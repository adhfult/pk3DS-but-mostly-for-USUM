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Other Files\Excel stuff\"/>
    </mc:Choice>
  </mc:AlternateContent>
  <xr:revisionPtr revIDLastSave="0" documentId="13_ncr:1_{4A104EFA-5D68-4AC4-B663-E5CEBB93B1B1}" xr6:coauthVersionLast="47" xr6:coauthVersionMax="47" xr10:uidLastSave="{00000000-0000-0000-0000-000000000000}"/>
  <bookViews>
    <workbookView xWindow="16457" yWindow="0" windowWidth="16457" windowHeight="17914" firstSheet="1" activeTab="2" xr2:uid="{D38B487D-5E68-4179-8D23-01D9D4C86915}"/>
  </bookViews>
  <sheets>
    <sheet name="paste from garc here" sheetId="1" r:id="rId1"/>
    <sheet name="table for research" sheetId="2" r:id="rId2"/>
    <sheet name="jump table &amp; data structure" sheetId="4" r:id="rId3"/>
    <sheet name="Sheet5" sheetId="5" r:id="rId4"/>
    <sheet name="names" sheetId="3" r:id="rId5"/>
  </sheets>
  <definedNames>
    <definedName name="_xlnm._FilterDatabase" localSheetId="1" hidden="1">'table for research'!$A$1:$AO$961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5" l="1"/>
  <c r="A9" i="5" s="1"/>
  <c r="A8" i="5" s="1"/>
  <c r="A7" i="5" s="1"/>
  <c r="A6" i="5" s="1"/>
  <c r="A5" i="5" s="1"/>
  <c r="A47" i="5"/>
  <c r="A46" i="5" s="1"/>
  <c r="A45" i="5" s="1"/>
  <c r="A44" i="5" s="1"/>
  <c r="A41" i="5" s="1"/>
  <c r="A40" i="5" s="1"/>
  <c r="A39" i="5" s="1"/>
  <c r="C56" i="4"/>
  <c r="C55" i="4"/>
  <c r="C54" i="4"/>
  <c r="C53" i="4"/>
  <c r="C52" i="4"/>
  <c r="C51" i="4"/>
  <c r="A66" i="4"/>
  <c r="A65" i="4"/>
  <c r="A64" i="4"/>
  <c r="A63" i="4"/>
  <c r="A62" i="4"/>
  <c r="A57" i="4"/>
  <c r="A58" i="4" s="1"/>
  <c r="A59" i="4" s="1"/>
  <c r="A60" i="4" s="1"/>
  <c r="A61" i="4" s="1"/>
  <c r="A48" i="4"/>
  <c r="A49" i="4" s="1"/>
  <c r="A50" i="4" s="1"/>
  <c r="A51" i="4" s="1"/>
  <c r="A52" i="4" s="1"/>
  <c r="A53" i="4" s="1"/>
  <c r="A54" i="4" s="1"/>
  <c r="A55" i="4" s="1"/>
  <c r="A56" i="4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25" i="4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24" i="4"/>
  <c r="A23" i="4"/>
  <c r="A37" i="5" l="1"/>
  <c r="A36" i="5" s="1"/>
  <c r="A35" i="5" s="1"/>
  <c r="A34" i="5" s="1"/>
  <c r="A33" i="5" s="1"/>
  <c r="A32" i="5" s="1"/>
  <c r="A31" i="5" s="1"/>
  <c r="A30" i="5" s="1"/>
  <c r="A29" i="5" s="1"/>
  <c r="A28" i="5" s="1"/>
  <c r="A27" i="5" s="1"/>
  <c r="A26" i="5" s="1"/>
  <c r="A25" i="5" s="1"/>
  <c r="A24" i="5" s="1"/>
  <c r="A23" i="5" s="1"/>
  <c r="A22" i="5" s="1"/>
  <c r="A21" i="5" s="1"/>
  <c r="A20" i="5" s="1"/>
  <c r="A19" i="5" s="1"/>
  <c r="A18" i="5" s="1"/>
  <c r="A16" i="5" s="1"/>
  <c r="A15" i="5" s="1"/>
  <c r="A14" i="5" s="1"/>
  <c r="A13" i="5" s="1"/>
  <c r="A12" i="5" s="1"/>
  <c r="A11" i="5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B4" i="2" l="1"/>
  <c r="A9" i="1"/>
  <c r="A8" i="1"/>
  <c r="A7" i="1"/>
  <c r="A6" i="1"/>
  <c r="B4" i="1"/>
  <c r="B9" i="1" s="1"/>
  <c r="B3" i="1"/>
  <c r="B8" i="1" s="1"/>
  <c r="B2" i="1"/>
  <c r="B7" i="1" s="1"/>
  <c r="B1" i="1"/>
  <c r="B6" i="1" s="1"/>
  <c r="B10" i="1" l="1"/>
  <c r="A10" i="1"/>
  <c r="C3" i="1"/>
  <c r="C8" i="1" s="1"/>
  <c r="C2" i="1"/>
  <c r="C7" i="1" s="1"/>
  <c r="C1" i="1"/>
  <c r="B5" i="2"/>
  <c r="C6" i="1" l="1"/>
  <c r="C10" i="1" s="1"/>
  <c r="B6" i="2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l="1"/>
  <c r="B20" i="2" l="1"/>
  <c r="B21" i="2" l="1"/>
  <c r="B22" i="2" l="1"/>
  <c r="B23" i="2" l="1"/>
  <c r="B24" i="2" l="1"/>
  <c r="B25" i="2" l="1"/>
  <c r="B26" i="2" l="1"/>
  <c r="B27" i="2" l="1"/>
  <c r="B28" i="2" l="1"/>
  <c r="B29" i="2" l="1"/>
  <c r="B30" i="2" l="1"/>
  <c r="B31" i="2" l="1"/>
  <c r="B32" i="2" l="1"/>
  <c r="B33" i="2" l="1"/>
  <c r="B34" i="2" l="1"/>
  <c r="B35" i="2" l="1"/>
  <c r="B36" i="2" l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0" i="2" l="1"/>
  <c r="B51" i="2" l="1"/>
  <c r="B52" i="2" l="1"/>
  <c r="B53" i="2" l="1"/>
  <c r="B54" i="2" l="1"/>
  <c r="B55" i="2" l="1"/>
  <c r="B56" i="2" l="1"/>
  <c r="B57" i="2" l="1"/>
  <c r="B58" i="2" l="1"/>
  <c r="B59" i="2" l="1"/>
  <c r="B60" i="2" l="1"/>
  <c r="B61" i="2" l="1"/>
  <c r="B62" i="2" l="1"/>
  <c r="B63" i="2" l="1"/>
  <c r="B64" i="2" l="1"/>
  <c r="B65" i="2" l="1"/>
  <c r="B66" i="2" l="1"/>
  <c r="B67" i="2" l="1"/>
  <c r="B68" i="2" l="1"/>
  <c r="B69" i="2" l="1"/>
  <c r="B70" i="2" l="1"/>
  <c r="B71" i="2" l="1"/>
  <c r="B72" i="2" l="1"/>
  <c r="B73" i="2" l="1"/>
  <c r="B74" i="2" l="1"/>
  <c r="B75" i="2" l="1"/>
  <c r="B76" i="2" l="1"/>
  <c r="B77" i="2" l="1"/>
  <c r="B78" i="2" l="1"/>
  <c r="B79" i="2" l="1"/>
  <c r="B80" i="2" l="1"/>
  <c r="B81" i="2" l="1"/>
  <c r="B82" i="2" l="1"/>
  <c r="B83" i="2" l="1"/>
  <c r="B84" i="2" l="1"/>
  <c r="B85" i="2" l="1"/>
  <c r="B86" i="2" l="1"/>
  <c r="B87" i="2" l="1"/>
  <c r="B88" i="2" l="1"/>
  <c r="B89" i="2" l="1"/>
  <c r="B90" i="2" l="1"/>
  <c r="B91" i="2" l="1"/>
  <c r="B92" i="2" l="1"/>
  <c r="B93" i="2" l="1"/>
  <c r="B94" i="2" l="1"/>
  <c r="B95" i="2" l="1"/>
  <c r="B96" i="2" l="1"/>
  <c r="B97" i="2" l="1"/>
  <c r="B98" i="2" l="1"/>
  <c r="B99" i="2" l="1"/>
  <c r="B100" i="2" l="1"/>
  <c r="B101" i="2" l="1"/>
  <c r="B102" i="2" l="1"/>
  <c r="B103" i="2" l="1"/>
  <c r="B104" i="2" l="1"/>
  <c r="B105" i="2" l="1"/>
  <c r="B106" i="2" l="1"/>
  <c r="B107" i="2" l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  <c r="B118" i="2" l="1"/>
  <c r="B119" i="2" l="1"/>
  <c r="B120" i="2" l="1"/>
  <c r="B121" i="2" l="1"/>
  <c r="B122" i="2" l="1"/>
  <c r="B123" i="2" l="1"/>
  <c r="B124" i="2" l="1"/>
  <c r="B125" i="2" l="1"/>
  <c r="B126" i="2" l="1"/>
  <c r="B127" i="2" l="1"/>
  <c r="B128" i="2" l="1"/>
  <c r="D3" i="2" l="1"/>
  <c r="F3" i="2"/>
  <c r="E3" i="2"/>
  <c r="C3" i="2"/>
  <c r="O3" i="2"/>
  <c r="M3" i="2"/>
  <c r="K3" i="2"/>
  <c r="N3" i="2"/>
  <c r="L3" i="2"/>
  <c r="G3" i="2"/>
  <c r="H3" i="2"/>
  <c r="I3" i="2"/>
  <c r="J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B129" i="2"/>
  <c r="L4" i="2" l="1"/>
  <c r="E4" i="2"/>
  <c r="D4" i="2"/>
  <c r="O4" i="2"/>
  <c r="K4" i="2"/>
  <c r="C4" i="2"/>
  <c r="M4" i="2"/>
  <c r="N4" i="2"/>
  <c r="F4" i="2"/>
  <c r="G4" i="2"/>
  <c r="H4" i="2"/>
  <c r="I4" i="2"/>
  <c r="J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B130" i="2"/>
  <c r="C5" i="2" l="1"/>
  <c r="O5" i="2"/>
  <c r="L5" i="2"/>
  <c r="D5" i="2"/>
  <c r="M5" i="2"/>
  <c r="N5" i="2"/>
  <c r="K5" i="2"/>
  <c r="E5" i="2"/>
  <c r="F5" i="2"/>
  <c r="G5" i="2"/>
  <c r="H5" i="2"/>
  <c r="I5" i="2"/>
  <c r="J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B131" i="2"/>
  <c r="M6" i="2" l="1"/>
  <c r="F6" i="2"/>
  <c r="O6" i="2"/>
  <c r="C6" i="2"/>
  <c r="N6" i="2"/>
  <c r="L6" i="2"/>
  <c r="E6" i="2"/>
  <c r="K6" i="2"/>
  <c r="D6" i="2"/>
  <c r="G6" i="2"/>
  <c r="H6" i="2"/>
  <c r="I6" i="2"/>
  <c r="J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B132" i="2"/>
  <c r="M7" i="2" l="1"/>
  <c r="F7" i="2"/>
  <c r="O7" i="2"/>
  <c r="E7" i="2"/>
  <c r="N7" i="2"/>
  <c r="L7" i="2"/>
  <c r="D7" i="2"/>
  <c r="C7" i="2"/>
  <c r="K7" i="2"/>
  <c r="G7" i="2"/>
  <c r="H7" i="2"/>
  <c r="I7" i="2"/>
  <c r="J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B133" i="2"/>
  <c r="M8" i="2" l="1"/>
  <c r="D8" i="2"/>
  <c r="O8" i="2"/>
  <c r="H8" i="2"/>
  <c r="N8" i="2"/>
  <c r="G8" i="2"/>
  <c r="K8" i="2"/>
  <c r="E8" i="2"/>
  <c r="F8" i="2"/>
  <c r="L8" i="2"/>
  <c r="I8" i="2"/>
  <c r="C8" i="2"/>
  <c r="J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B134" i="2"/>
  <c r="N9" i="2" l="1"/>
  <c r="D9" i="2"/>
  <c r="M9" i="2"/>
  <c r="H9" i="2"/>
  <c r="O9" i="2"/>
  <c r="I9" i="2"/>
  <c r="L9" i="2"/>
  <c r="F9" i="2"/>
  <c r="E9" i="2"/>
  <c r="K9" i="2"/>
  <c r="C9" i="2"/>
  <c r="G9" i="2"/>
  <c r="J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B135" i="2"/>
  <c r="N10" i="2" l="1"/>
  <c r="M10" i="2"/>
  <c r="O10" i="2"/>
  <c r="H10" i="2"/>
  <c r="L10" i="2"/>
  <c r="F10" i="2"/>
  <c r="C10" i="2"/>
  <c r="K10" i="2"/>
  <c r="J10" i="2"/>
  <c r="G10" i="2"/>
  <c r="E10" i="2"/>
  <c r="D10" i="2"/>
  <c r="I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B136" i="2"/>
  <c r="B137" i="2" l="1"/>
  <c r="B138" i="2" l="1"/>
  <c r="B139" i="2" l="1"/>
  <c r="B140" i="2" l="1"/>
  <c r="B141" i="2" l="1"/>
  <c r="B142" i="2" l="1"/>
  <c r="B143" i="2" l="1"/>
  <c r="B144" i="2" l="1"/>
  <c r="B145" i="2" l="1"/>
  <c r="B146" i="2" l="1"/>
  <c r="B147" i="2" l="1"/>
  <c r="B148" i="2" l="1"/>
  <c r="B149" i="2" l="1"/>
  <c r="B150" i="2" l="1"/>
  <c r="O11" i="2" l="1"/>
  <c r="H11" i="2"/>
  <c r="D11" i="2"/>
  <c r="N11" i="2"/>
  <c r="F11" i="2"/>
  <c r="M11" i="2"/>
  <c r="L11" i="2"/>
  <c r="G11" i="2"/>
  <c r="J11" i="2"/>
  <c r="E11" i="2"/>
  <c r="K11" i="2"/>
  <c r="I11" i="2"/>
  <c r="C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N12" i="2" l="1"/>
  <c r="F12" i="2"/>
  <c r="O12" i="2"/>
  <c r="D12" i="2"/>
  <c r="M12" i="2"/>
  <c r="L12" i="2"/>
  <c r="E12" i="2"/>
  <c r="J12" i="2"/>
  <c r="H12" i="2"/>
  <c r="C12" i="2"/>
  <c r="K12" i="2"/>
  <c r="I12" i="2"/>
  <c r="G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O13" i="2" l="1"/>
  <c r="G13" i="2"/>
  <c r="F13" i="2"/>
  <c r="M13" i="2"/>
  <c r="I13" i="2"/>
  <c r="N13" i="2"/>
  <c r="H13" i="2"/>
  <c r="L13" i="2"/>
  <c r="P13" i="2"/>
  <c r="K13" i="2"/>
  <c r="Q13" i="2"/>
  <c r="E13" i="2"/>
  <c r="C13" i="2"/>
  <c r="J13" i="2"/>
  <c r="D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O14" i="2" l="1"/>
  <c r="D14" i="2"/>
  <c r="F14" i="2"/>
  <c r="M14" i="2"/>
  <c r="E14" i="2"/>
  <c r="I14" i="2"/>
  <c r="N14" i="2"/>
  <c r="H14" i="2"/>
  <c r="L14" i="2"/>
  <c r="P14" i="2"/>
  <c r="Q14" i="2"/>
  <c r="K14" i="2"/>
  <c r="C14" i="2"/>
  <c r="J14" i="2"/>
  <c r="G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O15" i="2" l="1"/>
  <c r="F15" i="2"/>
  <c r="N15" i="2"/>
  <c r="Q15" i="2"/>
  <c r="R15" i="2"/>
  <c r="M15" i="2"/>
  <c r="L15" i="2"/>
  <c r="H15" i="2"/>
  <c r="E15" i="2"/>
  <c r="G15" i="2"/>
  <c r="K15" i="2"/>
  <c r="C15" i="2"/>
  <c r="D15" i="2"/>
  <c r="J15" i="2"/>
  <c r="I15" i="2"/>
  <c r="S15" i="2"/>
  <c r="P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O16" i="2" l="1"/>
  <c r="E16" i="2"/>
  <c r="S16" i="2"/>
  <c r="G16" i="2"/>
  <c r="P16" i="2"/>
  <c r="T16" i="2"/>
  <c r="N16" i="2"/>
  <c r="Q16" i="2"/>
  <c r="R16" i="2"/>
  <c r="M16" i="2"/>
  <c r="L16" i="2"/>
  <c r="I16" i="2"/>
  <c r="H16" i="2"/>
  <c r="K16" i="2"/>
  <c r="F16" i="2"/>
  <c r="C16" i="2"/>
  <c r="D16" i="2"/>
  <c r="J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O17" i="2" l="1"/>
  <c r="S17" i="2"/>
  <c r="R17" i="2"/>
  <c r="N17" i="2"/>
  <c r="T17" i="2"/>
  <c r="G17" i="2"/>
  <c r="M17" i="2"/>
  <c r="J17" i="2"/>
  <c r="L17" i="2"/>
  <c r="D17" i="2"/>
  <c r="E17" i="2"/>
  <c r="P17" i="2"/>
  <c r="I17" i="2"/>
  <c r="H17" i="2"/>
  <c r="K17" i="2"/>
  <c r="C17" i="2"/>
  <c r="F17" i="2"/>
  <c r="U17" i="2"/>
  <c r="Q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N18" i="2" l="1"/>
  <c r="H18" i="2"/>
  <c r="F18" i="2"/>
  <c r="V18" i="2"/>
  <c r="M18" i="2"/>
  <c r="P18" i="2"/>
  <c r="D18" i="2"/>
  <c r="O18" i="2"/>
  <c r="I18" i="2"/>
  <c r="U18" i="2"/>
  <c r="K18" i="2"/>
  <c r="T18" i="2"/>
  <c r="C18" i="2"/>
  <c r="E18" i="2"/>
  <c r="R18" i="2"/>
  <c r="L18" i="2"/>
  <c r="G18" i="2"/>
  <c r="J18" i="2"/>
  <c r="Q18" i="2"/>
  <c r="S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O19" i="2" l="1"/>
  <c r="P19" i="2"/>
  <c r="J19" i="2"/>
  <c r="N19" i="2"/>
  <c r="G19" i="2"/>
  <c r="S19" i="2"/>
  <c r="Q19" i="2"/>
  <c r="M19" i="2"/>
  <c r="U19" i="2"/>
  <c r="F19" i="2"/>
  <c r="L19" i="2"/>
  <c r="I19" i="2"/>
  <c r="H19" i="2"/>
  <c r="V19" i="2"/>
  <c r="K19" i="2"/>
  <c r="C19" i="2"/>
  <c r="E19" i="2"/>
  <c r="D19" i="2"/>
  <c r="R19" i="2"/>
  <c r="T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O20" i="2" l="1"/>
  <c r="Q20" i="2"/>
  <c r="N20" i="2"/>
  <c r="C20" i="2"/>
  <c r="M20" i="2"/>
  <c r="L20" i="2"/>
  <c r="D20" i="2"/>
  <c r="E20" i="2"/>
  <c r="J20" i="2"/>
  <c r="I20" i="2"/>
  <c r="H20" i="2"/>
  <c r="T20" i="2"/>
  <c r="K20" i="2"/>
  <c r="W20" i="2"/>
  <c r="P20" i="2"/>
  <c r="S20" i="2"/>
  <c r="V20" i="2"/>
  <c r="G20" i="2"/>
  <c r="F20" i="2"/>
  <c r="R20" i="2"/>
  <c r="U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O21" i="2" l="1"/>
  <c r="V21" i="2"/>
  <c r="W21" i="2"/>
  <c r="R21" i="2"/>
  <c r="I21" i="2"/>
  <c r="M21" i="2"/>
  <c r="C21" i="2"/>
  <c r="X21" i="2"/>
  <c r="N21" i="2"/>
  <c r="J21" i="2"/>
  <c r="L21" i="2"/>
  <c r="T21" i="2"/>
  <c r="K21" i="2"/>
  <c r="Q21" i="2"/>
  <c r="P21" i="2"/>
  <c r="E21" i="2"/>
  <c r="D21" i="2"/>
  <c r="F21" i="2"/>
  <c r="G21" i="2"/>
  <c r="U21" i="2"/>
  <c r="H21" i="2"/>
  <c r="S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N22" i="2" l="1"/>
  <c r="W22" i="2"/>
  <c r="Q22" i="2"/>
  <c r="I22" i="2"/>
  <c r="M22" i="2"/>
  <c r="V22" i="2"/>
  <c r="O22" i="2"/>
  <c r="K22" i="2"/>
  <c r="E22" i="2"/>
  <c r="R22" i="2"/>
  <c r="F22" i="2"/>
  <c r="U22" i="2"/>
  <c r="L22" i="2"/>
  <c r="S22" i="2"/>
  <c r="Y22" i="2"/>
  <c r="J22" i="2"/>
  <c r="X22" i="2"/>
  <c r="G22" i="2"/>
  <c r="C22" i="2"/>
  <c r="H22" i="2"/>
  <c r="T22" i="2"/>
  <c r="P22" i="2"/>
  <c r="D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N23" i="2" l="1"/>
  <c r="H23" i="2"/>
  <c r="O23" i="2"/>
  <c r="X23" i="2"/>
  <c r="Q23" i="2"/>
  <c r="M23" i="2"/>
  <c r="Z23" i="2"/>
  <c r="G23" i="2"/>
  <c r="K23" i="2"/>
  <c r="V23" i="2"/>
  <c r="I23" i="2"/>
  <c r="R23" i="2"/>
  <c r="L23" i="2"/>
  <c r="S23" i="2"/>
  <c r="AA23" i="2"/>
  <c r="W23" i="2"/>
  <c r="Y23" i="2"/>
  <c r="C23" i="2"/>
  <c r="J23" i="2"/>
  <c r="U23" i="2"/>
  <c r="P23" i="2"/>
  <c r="T23" i="2"/>
  <c r="F23" i="2"/>
  <c r="E23" i="2"/>
  <c r="D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N24" i="2" l="1"/>
  <c r="S24" i="2"/>
  <c r="W24" i="2"/>
  <c r="M24" i="2"/>
  <c r="AA24" i="2"/>
  <c r="Q24" i="2"/>
  <c r="H24" i="2"/>
  <c r="I24" i="2"/>
  <c r="O24" i="2"/>
  <c r="U24" i="2"/>
  <c r="E24" i="2"/>
  <c r="L24" i="2"/>
  <c r="T24" i="2"/>
  <c r="D24" i="2"/>
  <c r="Z24" i="2"/>
  <c r="F24" i="2"/>
  <c r="K24" i="2"/>
  <c r="AB24" i="2"/>
  <c r="V24" i="2"/>
  <c r="P24" i="2"/>
  <c r="J24" i="2"/>
  <c r="C24" i="2"/>
  <c r="Y24" i="2"/>
  <c r="X24" i="2"/>
  <c r="G24" i="2"/>
  <c r="R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N25" i="2" l="1"/>
  <c r="P25" i="2"/>
  <c r="R25" i="2"/>
  <c r="X25" i="2"/>
  <c r="U25" i="2"/>
  <c r="O25" i="2"/>
  <c r="F25" i="2"/>
  <c r="AB25" i="2"/>
  <c r="C25" i="2"/>
  <c r="H25" i="2"/>
  <c r="M25" i="2"/>
  <c r="J25" i="2"/>
  <c r="T25" i="2"/>
  <c r="G25" i="2"/>
  <c r="I25" i="2"/>
  <c r="L25" i="2"/>
  <c r="V25" i="2"/>
  <c r="E25" i="2"/>
  <c r="AA25" i="2"/>
  <c r="S25" i="2"/>
  <c r="Q25" i="2"/>
  <c r="K25" i="2"/>
  <c r="Y25" i="2"/>
  <c r="W25" i="2"/>
  <c r="AC25" i="2"/>
  <c r="D25" i="2"/>
  <c r="Z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N26" i="2" l="1"/>
  <c r="AD26" i="2"/>
  <c r="Y26" i="2"/>
  <c r="S26" i="2"/>
  <c r="AC26" i="2"/>
  <c r="Q26" i="2"/>
  <c r="O26" i="2"/>
  <c r="Z26" i="2"/>
  <c r="G26" i="2"/>
  <c r="W26" i="2"/>
  <c r="M26" i="2"/>
  <c r="J26" i="2"/>
  <c r="I26" i="2"/>
  <c r="T26" i="2"/>
  <c r="V26" i="2"/>
  <c r="R26" i="2"/>
  <c r="K26" i="2"/>
  <c r="H26" i="2"/>
  <c r="D26" i="2"/>
  <c r="U26" i="2"/>
  <c r="C26" i="2"/>
  <c r="X26" i="2"/>
  <c r="L26" i="2"/>
  <c r="E26" i="2"/>
  <c r="P26" i="2"/>
  <c r="AB26" i="2"/>
  <c r="AA26" i="2"/>
  <c r="F26" i="2"/>
  <c r="AE26" i="2"/>
  <c r="AF26" i="2"/>
  <c r="AG26" i="2"/>
  <c r="AH26" i="2"/>
  <c r="AI26" i="2"/>
  <c r="AJ26" i="2"/>
  <c r="AK26" i="2"/>
  <c r="AL26" i="2"/>
  <c r="AM26" i="2"/>
  <c r="AN26" i="2"/>
  <c r="AO26" i="2"/>
  <c r="N27" i="2" l="1"/>
  <c r="V27" i="2"/>
  <c r="P27" i="2"/>
  <c r="D27" i="2"/>
  <c r="Y27" i="2"/>
  <c r="X27" i="2"/>
  <c r="S27" i="2"/>
  <c r="O27" i="2"/>
  <c r="AC27" i="2"/>
  <c r="T27" i="2"/>
  <c r="Q27" i="2"/>
  <c r="M27" i="2"/>
  <c r="H27" i="2"/>
  <c r="C27" i="2"/>
  <c r="AD27" i="2"/>
  <c r="K27" i="2"/>
  <c r="W27" i="2"/>
  <c r="F27" i="2"/>
  <c r="AA27" i="2"/>
  <c r="I27" i="2"/>
  <c r="U27" i="2"/>
  <c r="R27" i="2"/>
  <c r="J27" i="2"/>
  <c r="AB27" i="2"/>
  <c r="L27" i="2"/>
  <c r="G27" i="2"/>
  <c r="E27" i="2"/>
  <c r="Z27" i="2"/>
  <c r="AE27" i="2"/>
  <c r="AF27" i="2"/>
  <c r="AG27" i="2"/>
  <c r="AH27" i="2"/>
  <c r="AI27" i="2"/>
  <c r="AJ27" i="2"/>
  <c r="AK27" i="2"/>
  <c r="AL27" i="2"/>
  <c r="AM27" i="2"/>
  <c r="AN27" i="2"/>
  <c r="AO27" i="2"/>
  <c r="O28" i="2" l="1"/>
  <c r="T28" i="2"/>
  <c r="V28" i="2"/>
  <c r="S28" i="2"/>
  <c r="H28" i="2"/>
  <c r="N28" i="2"/>
  <c r="U28" i="2"/>
  <c r="I28" i="2"/>
  <c r="AF28" i="2"/>
  <c r="M28" i="2"/>
  <c r="W28" i="2"/>
  <c r="AD28" i="2"/>
  <c r="K28" i="2"/>
  <c r="F28" i="2"/>
  <c r="C28" i="2"/>
  <c r="R28" i="2"/>
  <c r="J28" i="2"/>
  <c r="Q28" i="2"/>
  <c r="Z28" i="2"/>
  <c r="L28" i="2"/>
  <c r="X28" i="2"/>
  <c r="P28" i="2"/>
  <c r="E28" i="2"/>
  <c r="AE28" i="2"/>
  <c r="G28" i="2"/>
  <c r="Y28" i="2"/>
  <c r="AC28" i="2"/>
  <c r="D28" i="2"/>
  <c r="AA28" i="2"/>
  <c r="AB28" i="2"/>
  <c r="AG28" i="2"/>
  <c r="AH28" i="2"/>
  <c r="AI28" i="2"/>
  <c r="AJ28" i="2"/>
  <c r="AK28" i="2"/>
  <c r="AL28" i="2"/>
  <c r="AM28" i="2"/>
  <c r="AN28" i="2"/>
  <c r="AO28" i="2"/>
  <c r="M29" i="2" l="1"/>
  <c r="X29" i="2"/>
  <c r="W29" i="2"/>
  <c r="AB29" i="2"/>
  <c r="I29" i="2"/>
  <c r="J29" i="2"/>
  <c r="N29" i="2"/>
  <c r="AF29" i="2"/>
  <c r="O29" i="2"/>
  <c r="S29" i="2"/>
  <c r="U29" i="2"/>
  <c r="K29" i="2"/>
  <c r="V29" i="2"/>
  <c r="R29" i="2"/>
  <c r="C29" i="2"/>
  <c r="AG29" i="2"/>
  <c r="Y29" i="2"/>
  <c r="L29" i="2"/>
  <c r="P29" i="2"/>
  <c r="G29" i="2"/>
  <c r="E29" i="2"/>
  <c r="D29" i="2"/>
  <c r="AE29" i="2"/>
  <c r="T29" i="2"/>
  <c r="F29" i="2"/>
  <c r="Q29" i="2"/>
  <c r="H29" i="2"/>
  <c r="AC29" i="2"/>
  <c r="AD29" i="2"/>
  <c r="AA29" i="2"/>
  <c r="Z29" i="2"/>
  <c r="AH29" i="2"/>
  <c r="AI29" i="2"/>
  <c r="AJ29" i="2"/>
  <c r="AK29" i="2"/>
  <c r="AL29" i="2"/>
  <c r="AM29" i="2"/>
  <c r="AN29" i="2"/>
  <c r="AO29" i="2"/>
  <c r="O30" i="2" l="1"/>
  <c r="J30" i="2"/>
  <c r="M30" i="2"/>
  <c r="W30" i="2"/>
  <c r="P30" i="2"/>
  <c r="T30" i="2"/>
  <c r="N30" i="2"/>
  <c r="H30" i="2"/>
  <c r="C30" i="2"/>
  <c r="AA30" i="2"/>
  <c r="F30" i="2"/>
  <c r="K30" i="2"/>
  <c r="V30" i="2"/>
  <c r="L30" i="2"/>
  <c r="R30" i="2"/>
  <c r="D30" i="2"/>
  <c r="I30" i="2"/>
  <c r="AE30" i="2"/>
  <c r="AD30" i="2"/>
  <c r="G30" i="2"/>
  <c r="AH30" i="2"/>
  <c r="U30" i="2"/>
  <c r="AC30" i="2"/>
  <c r="E30" i="2"/>
  <c r="X30" i="2"/>
  <c r="Z30" i="2"/>
  <c r="Y30" i="2"/>
  <c r="S30" i="2"/>
  <c r="AB30" i="2"/>
  <c r="AG30" i="2"/>
  <c r="Q30" i="2"/>
  <c r="AF30" i="2"/>
  <c r="AI30" i="2"/>
  <c r="AJ30" i="2"/>
  <c r="AK30" i="2"/>
  <c r="AL30" i="2"/>
  <c r="AM30" i="2"/>
  <c r="AN30" i="2"/>
  <c r="AO30" i="2"/>
  <c r="M31" i="2" l="1"/>
  <c r="AD31" i="2"/>
  <c r="AI31" i="2"/>
  <c r="F31" i="2"/>
  <c r="O31" i="2"/>
  <c r="J31" i="2"/>
  <c r="Y31" i="2"/>
  <c r="T31" i="2"/>
  <c r="R31" i="2"/>
  <c r="AC31" i="2"/>
  <c r="N31" i="2"/>
  <c r="AE31" i="2"/>
  <c r="L31" i="2"/>
  <c r="Z31" i="2"/>
  <c r="H31" i="2"/>
  <c r="P31" i="2"/>
  <c r="C31" i="2"/>
  <c r="X31" i="2"/>
  <c r="K31" i="2"/>
  <c r="E31" i="2"/>
  <c r="I31" i="2"/>
  <c r="AF31" i="2"/>
  <c r="W31" i="2"/>
  <c r="V31" i="2"/>
  <c r="AA31" i="2"/>
  <c r="AB31" i="2"/>
  <c r="AH31" i="2"/>
  <c r="U31" i="2"/>
  <c r="Q31" i="2"/>
  <c r="S31" i="2"/>
  <c r="AG31" i="2"/>
  <c r="D31" i="2"/>
  <c r="G31" i="2"/>
  <c r="AJ31" i="2"/>
  <c r="AK31" i="2"/>
  <c r="AL31" i="2"/>
  <c r="AM31" i="2"/>
  <c r="AN31" i="2"/>
  <c r="AO31" i="2"/>
  <c r="M32" i="2" l="1"/>
  <c r="G32" i="2"/>
  <c r="E32" i="2"/>
  <c r="D32" i="2"/>
  <c r="U32" i="2"/>
  <c r="AA32" i="2"/>
  <c r="X32" i="2"/>
  <c r="Q32" i="2"/>
  <c r="H32" i="2"/>
  <c r="AG32" i="2"/>
  <c r="N32" i="2"/>
  <c r="R32" i="2"/>
  <c r="AH32" i="2"/>
  <c r="AE32" i="2"/>
  <c r="O32" i="2"/>
  <c r="S32" i="2"/>
  <c r="AJ32" i="2"/>
  <c r="Y32" i="2"/>
  <c r="C32" i="2"/>
  <c r="AB32" i="2"/>
  <c r="L32" i="2"/>
  <c r="Z32" i="2"/>
  <c r="P32" i="2"/>
  <c r="K32" i="2"/>
  <c r="AI32" i="2"/>
  <c r="F32" i="2"/>
  <c r="AC32" i="2"/>
  <c r="W32" i="2"/>
  <c r="J32" i="2"/>
  <c r="T32" i="2"/>
  <c r="V32" i="2"/>
  <c r="I32" i="2"/>
  <c r="AF32" i="2"/>
  <c r="AD32" i="2"/>
  <c r="AK32" i="2"/>
  <c r="AL32" i="2"/>
  <c r="AM32" i="2"/>
  <c r="AN32" i="2"/>
  <c r="AO32" i="2"/>
  <c r="M33" i="2" l="1"/>
  <c r="AA33" i="2"/>
  <c r="Y33" i="2"/>
  <c r="X33" i="2"/>
  <c r="AK33" i="2"/>
  <c r="AE33" i="2"/>
  <c r="AC33" i="2"/>
  <c r="W33" i="2"/>
  <c r="AG33" i="2"/>
  <c r="Q33" i="2"/>
  <c r="R33" i="2"/>
  <c r="N33" i="2"/>
  <c r="T33" i="2"/>
  <c r="J33" i="2"/>
  <c r="V33" i="2"/>
  <c r="S33" i="2"/>
  <c r="P33" i="2"/>
  <c r="O33" i="2"/>
  <c r="AJ33" i="2"/>
  <c r="AD33" i="2"/>
  <c r="L33" i="2"/>
  <c r="AH33" i="2"/>
  <c r="H33" i="2"/>
  <c r="K33" i="2"/>
  <c r="AI33" i="2"/>
  <c r="C33" i="2"/>
  <c r="E33" i="2"/>
  <c r="AB33" i="2"/>
  <c r="D33" i="2"/>
  <c r="AF33" i="2"/>
  <c r="Z33" i="2"/>
  <c r="U33" i="2"/>
  <c r="F33" i="2"/>
  <c r="I33" i="2"/>
  <c r="G33" i="2"/>
  <c r="AL33" i="2"/>
  <c r="AM33" i="2"/>
  <c r="AN33" i="2"/>
  <c r="AO33" i="2"/>
  <c r="M34" i="2" l="1"/>
  <c r="AH34" i="2"/>
  <c r="AF34" i="2"/>
  <c r="U34" i="2"/>
  <c r="T34" i="2"/>
  <c r="I34" i="2"/>
  <c r="W34" i="2"/>
  <c r="N34" i="2"/>
  <c r="Z34" i="2"/>
  <c r="R34" i="2"/>
  <c r="X34" i="2"/>
  <c r="AE34" i="2"/>
  <c r="F34" i="2"/>
  <c r="E34" i="2"/>
  <c r="AB34" i="2"/>
  <c r="AC34" i="2"/>
  <c r="H34" i="2"/>
  <c r="P34" i="2"/>
  <c r="O34" i="2"/>
  <c r="Y34" i="2"/>
  <c r="AG34" i="2"/>
  <c r="V34" i="2"/>
  <c r="D34" i="2"/>
  <c r="Q34" i="2"/>
  <c r="AA34" i="2"/>
  <c r="L34" i="2"/>
  <c r="AD34" i="2"/>
  <c r="AL34" i="2"/>
  <c r="AI34" i="2"/>
  <c r="K34" i="2"/>
  <c r="AK34" i="2"/>
  <c r="G34" i="2"/>
  <c r="AJ34" i="2"/>
  <c r="C34" i="2"/>
  <c r="J34" i="2"/>
  <c r="S34" i="2"/>
  <c r="AM34" i="2"/>
  <c r="AN34" i="2"/>
  <c r="AO34" i="2"/>
  <c r="N35" i="2" l="1"/>
  <c r="F35" i="2"/>
  <c r="AJ35" i="2"/>
  <c r="AF35" i="2"/>
  <c r="AK35" i="2"/>
  <c r="AI35" i="2"/>
  <c r="AD35" i="2"/>
  <c r="G35" i="2"/>
  <c r="O35" i="2"/>
  <c r="Q35" i="2"/>
  <c r="C35" i="2"/>
  <c r="AM35" i="2"/>
  <c r="AA35" i="2"/>
  <c r="AE35" i="2"/>
  <c r="I35" i="2"/>
  <c r="M35" i="2"/>
  <c r="V35" i="2"/>
  <c r="H35" i="2"/>
  <c r="X35" i="2"/>
  <c r="Y35" i="2"/>
  <c r="D35" i="2"/>
  <c r="P35" i="2"/>
  <c r="J35" i="2"/>
  <c r="AG35" i="2"/>
  <c r="L35" i="2"/>
  <c r="U35" i="2"/>
  <c r="K35" i="2"/>
  <c r="AC35" i="2"/>
  <c r="Z35" i="2"/>
  <c r="W35" i="2"/>
  <c r="AL35" i="2"/>
  <c r="E35" i="2"/>
  <c r="S35" i="2"/>
  <c r="T35" i="2"/>
  <c r="AB35" i="2"/>
  <c r="AH35" i="2"/>
  <c r="R35" i="2"/>
  <c r="AN35" i="2"/>
  <c r="AO35" i="2"/>
  <c r="M36" i="2" l="1"/>
  <c r="P36" i="2"/>
  <c r="K36" i="2"/>
  <c r="AF36" i="2"/>
  <c r="AA36" i="2"/>
  <c r="G36" i="2"/>
  <c r="E36" i="2"/>
  <c r="AB36" i="2"/>
  <c r="N36" i="2"/>
  <c r="Z36" i="2"/>
  <c r="H36" i="2"/>
  <c r="I36" i="2"/>
  <c r="F36" i="2"/>
  <c r="C36" i="2"/>
  <c r="AN36" i="2"/>
  <c r="AH36" i="2"/>
  <c r="AD36" i="2"/>
  <c r="O36" i="2"/>
  <c r="W36" i="2"/>
  <c r="AJ36" i="2"/>
  <c r="X36" i="2"/>
  <c r="U36" i="2"/>
  <c r="AE36" i="2"/>
  <c r="AG36" i="2"/>
  <c r="Y36" i="2"/>
  <c r="AC36" i="2"/>
  <c r="J36" i="2"/>
  <c r="L36" i="2"/>
  <c r="AK36" i="2"/>
  <c r="AI36" i="2"/>
  <c r="AL36" i="2"/>
  <c r="AM36" i="2"/>
  <c r="T36" i="2"/>
  <c r="S36" i="2"/>
  <c r="D36" i="2"/>
  <c r="V36" i="2"/>
  <c r="Q36" i="2"/>
  <c r="R36" i="2"/>
  <c r="AO36" i="2"/>
  <c r="O37" i="2" l="1"/>
  <c r="E37" i="2"/>
  <c r="C37" i="2"/>
  <c r="AJ37" i="2"/>
  <c r="AN37" i="2"/>
  <c r="AF37" i="2"/>
  <c r="Y37" i="2"/>
  <c r="AG37" i="2"/>
  <c r="M37" i="2"/>
  <c r="AK37" i="2"/>
  <c r="Q37" i="2"/>
  <c r="V37" i="2"/>
  <c r="P37" i="2"/>
  <c r="G37" i="2"/>
  <c r="AE37" i="2"/>
  <c r="I37" i="2"/>
  <c r="F37" i="2"/>
  <c r="N37" i="2"/>
  <c r="AB37" i="2"/>
  <c r="S37" i="2"/>
  <c r="R37" i="2"/>
  <c r="Z37" i="2"/>
  <c r="AH37" i="2"/>
  <c r="AO37" i="2"/>
  <c r="W37" i="2"/>
  <c r="AA37" i="2"/>
  <c r="AI37" i="2"/>
  <c r="J37" i="2"/>
  <c r="K37" i="2"/>
  <c r="AL37" i="2"/>
  <c r="H37" i="2"/>
  <c r="L37" i="2"/>
  <c r="D37" i="2"/>
  <c r="AC37" i="2"/>
  <c r="U37" i="2"/>
  <c r="X37" i="2"/>
  <c r="T37" i="2"/>
  <c r="AM37" i="2"/>
  <c r="AD37" i="2"/>
  <c r="O38" i="2" l="1"/>
  <c r="AH38" i="2"/>
  <c r="G38" i="2"/>
  <c r="D38" i="2"/>
  <c r="H38" i="2"/>
  <c r="Z38" i="2"/>
  <c r="AK38" i="2"/>
  <c r="S38" i="2"/>
  <c r="AM38" i="2"/>
  <c r="AJ38" i="2"/>
  <c r="AG38" i="2"/>
  <c r="N38" i="2"/>
  <c r="P38" i="2"/>
  <c r="I38" i="2"/>
  <c r="AB38" i="2"/>
  <c r="AA38" i="2"/>
  <c r="AO38" i="2"/>
  <c r="T38" i="2"/>
  <c r="M38" i="2"/>
  <c r="E38" i="2"/>
  <c r="AD38" i="2"/>
  <c r="Q38" i="2"/>
  <c r="Y38" i="2"/>
  <c r="AN38" i="2"/>
  <c r="AI38" i="2"/>
  <c r="L38" i="2"/>
  <c r="AE38" i="2"/>
  <c r="X38" i="2"/>
  <c r="K38" i="2"/>
  <c r="J38" i="2"/>
  <c r="R38" i="2"/>
  <c r="C38" i="2"/>
  <c r="U38" i="2"/>
  <c r="W38" i="2"/>
  <c r="AF38" i="2"/>
  <c r="F38" i="2"/>
  <c r="AC38" i="2"/>
  <c r="AL38" i="2"/>
  <c r="V38" i="2"/>
  <c r="O39" i="2" l="1"/>
  <c r="W39" i="2"/>
  <c r="D39" i="2"/>
  <c r="M39" i="2"/>
  <c r="L39" i="2"/>
  <c r="Q39" i="2"/>
  <c r="I39" i="2"/>
  <c r="Y39" i="2"/>
  <c r="V39" i="2"/>
  <c r="AD39" i="2"/>
  <c r="U39" i="2"/>
  <c r="J39" i="2"/>
  <c r="G39" i="2"/>
  <c r="S39" i="2"/>
  <c r="AA39" i="2"/>
  <c r="AB39" i="2"/>
  <c r="N39" i="2"/>
  <c r="K39" i="2"/>
  <c r="H39" i="2"/>
  <c r="C39" i="2"/>
  <c r="E39" i="2"/>
  <c r="AI39" i="2"/>
  <c r="AF39" i="2"/>
  <c r="AH39" i="2"/>
  <c r="T39" i="2"/>
  <c r="AJ39" i="2"/>
  <c r="AL39" i="2"/>
  <c r="R39" i="2"/>
  <c r="AE39" i="2"/>
  <c r="X39" i="2"/>
  <c r="P39" i="2"/>
  <c r="AO39" i="2"/>
  <c r="AM39" i="2"/>
  <c r="F39" i="2"/>
  <c r="AK39" i="2"/>
  <c r="AN39" i="2"/>
  <c r="Z39" i="2"/>
  <c r="AG39" i="2"/>
  <c r="AC39" i="2"/>
  <c r="O40" i="2" l="1"/>
  <c r="R40" i="2"/>
  <c r="AN40" i="2"/>
  <c r="L40" i="2"/>
  <c r="AB40" i="2"/>
  <c r="Y40" i="2"/>
  <c r="AI40" i="2"/>
  <c r="G40" i="2"/>
  <c r="AJ40" i="2"/>
  <c r="F40" i="2"/>
  <c r="S40" i="2"/>
  <c r="X40" i="2"/>
  <c r="M40" i="2"/>
  <c r="AO40" i="2"/>
  <c r="D40" i="2"/>
  <c r="AD40" i="2"/>
  <c r="W40" i="2"/>
  <c r="P40" i="2"/>
  <c r="U40" i="2"/>
  <c r="AH40" i="2"/>
  <c r="H40" i="2"/>
  <c r="Z40" i="2"/>
  <c r="AM40" i="2"/>
  <c r="N40" i="2"/>
  <c r="K40" i="2"/>
  <c r="AL40" i="2"/>
  <c r="V40" i="2"/>
  <c r="Q40" i="2"/>
  <c r="I40" i="2"/>
  <c r="E40" i="2"/>
  <c r="AC40" i="2"/>
  <c r="AA40" i="2"/>
  <c r="J40" i="2"/>
  <c r="AF40" i="2"/>
  <c r="AK40" i="2"/>
  <c r="T40" i="2"/>
  <c r="AE40" i="2"/>
  <c r="C40" i="2"/>
  <c r="AG40" i="2"/>
  <c r="O41" i="2" l="1"/>
  <c r="D41" i="2"/>
  <c r="AO41" i="2"/>
  <c r="L41" i="2"/>
  <c r="U41" i="2"/>
  <c r="AH41" i="2"/>
  <c r="AD41" i="2"/>
  <c r="S41" i="2"/>
  <c r="Y41" i="2"/>
  <c r="AL41" i="2"/>
  <c r="M41" i="2"/>
  <c r="J41" i="2"/>
  <c r="AC41" i="2"/>
  <c r="AJ41" i="2"/>
  <c r="T41" i="2"/>
  <c r="G41" i="2"/>
  <c r="R41" i="2"/>
  <c r="AB41" i="2"/>
  <c r="Z41" i="2"/>
  <c r="F41" i="2"/>
  <c r="I41" i="2"/>
  <c r="N41" i="2"/>
  <c r="K41" i="2"/>
  <c r="AI41" i="2"/>
  <c r="AF41" i="2"/>
  <c r="AN41" i="2"/>
  <c r="X41" i="2"/>
  <c r="AK41" i="2"/>
  <c r="AA41" i="2"/>
  <c r="C41" i="2"/>
  <c r="Q41" i="2"/>
  <c r="E41" i="2"/>
  <c r="W41" i="2"/>
  <c r="V41" i="2"/>
  <c r="AE41" i="2"/>
  <c r="P41" i="2"/>
  <c r="H41" i="2"/>
  <c r="AM41" i="2"/>
  <c r="AG41" i="2"/>
  <c r="O42" i="2" l="1"/>
  <c r="G42" i="2"/>
  <c r="F42" i="2"/>
  <c r="L42" i="2"/>
  <c r="Z42" i="2"/>
  <c r="AJ42" i="2"/>
  <c r="AI42" i="2"/>
  <c r="Y42" i="2"/>
  <c r="AF42" i="2"/>
  <c r="AL42" i="2"/>
  <c r="AA42" i="2"/>
  <c r="V42" i="2"/>
  <c r="AD42" i="2"/>
  <c r="J42" i="2"/>
  <c r="N42" i="2"/>
  <c r="AO42" i="2"/>
  <c r="K42" i="2"/>
  <c r="C42" i="2"/>
  <c r="T42" i="2"/>
  <c r="E42" i="2"/>
  <c r="X42" i="2"/>
  <c r="AN42" i="2"/>
  <c r="R42" i="2"/>
  <c r="Q42" i="2"/>
  <c r="S42" i="2"/>
  <c r="M42" i="2"/>
  <c r="P42" i="2"/>
  <c r="AE42" i="2"/>
  <c r="W42" i="2"/>
  <c r="AM42" i="2"/>
  <c r="H42" i="2"/>
  <c r="I42" i="2"/>
  <c r="AK42" i="2"/>
  <c r="D42" i="2"/>
  <c r="AG42" i="2"/>
  <c r="AC42" i="2"/>
  <c r="AB42" i="2"/>
  <c r="U42" i="2"/>
  <c r="AH42" i="2"/>
  <c r="O43" i="2" l="1"/>
  <c r="Z43" i="2"/>
  <c r="Y43" i="2"/>
  <c r="L43" i="2"/>
  <c r="G43" i="2"/>
  <c r="AF43" i="2"/>
  <c r="I43" i="2"/>
  <c r="AO43" i="2"/>
  <c r="AH43" i="2"/>
  <c r="Q43" i="2"/>
  <c r="H43" i="2"/>
  <c r="C43" i="2"/>
  <c r="AK43" i="2"/>
  <c r="N43" i="2"/>
  <c r="AL43" i="2"/>
  <c r="S43" i="2"/>
  <c r="AB43" i="2"/>
  <c r="E43" i="2"/>
  <c r="AD43" i="2"/>
  <c r="AC43" i="2"/>
  <c r="AG43" i="2"/>
  <c r="J43" i="2"/>
  <c r="D43" i="2"/>
  <c r="AI43" i="2"/>
  <c r="AN43" i="2"/>
  <c r="M43" i="2"/>
  <c r="K43" i="2"/>
  <c r="W43" i="2"/>
  <c r="AE43" i="2"/>
  <c r="AJ43" i="2"/>
  <c r="F43" i="2"/>
  <c r="R43" i="2"/>
  <c r="V43" i="2"/>
  <c r="U43" i="2"/>
  <c r="T43" i="2"/>
  <c r="P43" i="2"/>
  <c r="X43" i="2"/>
  <c r="AA43" i="2"/>
  <c r="AM43" i="2"/>
  <c r="N44" i="2" l="1"/>
  <c r="T44" i="2"/>
  <c r="L44" i="2"/>
  <c r="K44" i="2"/>
  <c r="AD44" i="2"/>
  <c r="G44" i="2"/>
  <c r="R44" i="2"/>
  <c r="D44" i="2"/>
  <c r="F44" i="2"/>
  <c r="AG44" i="2"/>
  <c r="AO44" i="2"/>
  <c r="O44" i="2"/>
  <c r="AL44" i="2"/>
  <c r="I44" i="2"/>
  <c r="P44" i="2"/>
  <c r="U44" i="2"/>
  <c r="W44" i="2"/>
  <c r="H44" i="2"/>
  <c r="AN44" i="2"/>
  <c r="AK44" i="2"/>
  <c r="X44" i="2"/>
  <c r="M44" i="2"/>
  <c r="J44" i="2"/>
  <c r="AJ44" i="2"/>
  <c r="AB44" i="2"/>
  <c r="E44" i="2"/>
  <c r="AI44" i="2"/>
  <c r="C44" i="2"/>
  <c r="AA44" i="2"/>
  <c r="V44" i="2"/>
  <c r="AC44" i="2"/>
  <c r="AF44" i="2"/>
  <c r="Z44" i="2"/>
  <c r="AH44" i="2"/>
  <c r="Q44" i="2"/>
  <c r="Y44" i="2"/>
  <c r="S44" i="2"/>
  <c r="AM44" i="2"/>
  <c r="AE44" i="2"/>
  <c r="O45" i="2" l="1"/>
  <c r="AA45" i="2"/>
  <c r="X45" i="2"/>
  <c r="K45" i="2"/>
  <c r="L45" i="2"/>
  <c r="D45" i="2"/>
  <c r="AO45" i="2"/>
  <c r="V45" i="2"/>
  <c r="I45" i="2"/>
  <c r="AD45" i="2"/>
  <c r="S45" i="2"/>
  <c r="AC45" i="2"/>
  <c r="R45" i="2"/>
  <c r="AM45" i="2"/>
  <c r="N45" i="2"/>
  <c r="AI45" i="2"/>
  <c r="E45" i="2"/>
  <c r="C45" i="2"/>
  <c r="Z45" i="2"/>
  <c r="Q45" i="2"/>
  <c r="AF45" i="2"/>
  <c r="U45" i="2"/>
  <c r="H45" i="2"/>
  <c r="AL45" i="2"/>
  <c r="M45" i="2"/>
  <c r="AJ45" i="2"/>
  <c r="AK45" i="2"/>
  <c r="AN45" i="2"/>
  <c r="G45" i="2"/>
  <c r="W45" i="2"/>
  <c r="AE45" i="2"/>
  <c r="AG45" i="2"/>
  <c r="P45" i="2"/>
  <c r="J45" i="2"/>
  <c r="AB45" i="2"/>
  <c r="AH45" i="2"/>
  <c r="T45" i="2"/>
  <c r="Y45" i="2"/>
  <c r="F45" i="2"/>
  <c r="O46" i="2" l="1"/>
  <c r="E46" i="2"/>
  <c r="AO46" i="2"/>
  <c r="Y46" i="2"/>
  <c r="AL46" i="2"/>
  <c r="C46" i="2"/>
  <c r="AJ46" i="2"/>
  <c r="F46" i="2"/>
  <c r="AH46" i="2"/>
  <c r="W46" i="2"/>
  <c r="AB46" i="2"/>
  <c r="AF46" i="2"/>
  <c r="V46" i="2"/>
  <c r="N46" i="2"/>
  <c r="AC46" i="2"/>
  <c r="K46" i="2"/>
  <c r="AD46" i="2"/>
  <c r="X46" i="2"/>
  <c r="AN46" i="2"/>
  <c r="S46" i="2"/>
  <c r="R46" i="2"/>
  <c r="AG46" i="2"/>
  <c r="H46" i="2"/>
  <c r="Z46" i="2"/>
  <c r="M46" i="2"/>
  <c r="L46" i="2"/>
  <c r="U46" i="2"/>
  <c r="AM46" i="2"/>
  <c r="AA46" i="2"/>
  <c r="T46" i="2"/>
  <c r="AI46" i="2"/>
  <c r="P46" i="2"/>
  <c r="AE46" i="2"/>
  <c r="J46" i="2"/>
  <c r="AK46" i="2"/>
  <c r="G46" i="2"/>
  <c r="I46" i="2"/>
  <c r="Q46" i="2"/>
  <c r="D46" i="2"/>
  <c r="N47" i="2" l="1"/>
  <c r="AB47" i="2"/>
  <c r="R47" i="2"/>
  <c r="K47" i="2"/>
  <c r="W47" i="2"/>
  <c r="J47" i="2"/>
  <c r="AO47" i="2"/>
  <c r="AC47" i="2"/>
  <c r="G47" i="2"/>
  <c r="P47" i="2"/>
  <c r="V47" i="2"/>
  <c r="U47" i="2"/>
  <c r="D47" i="2"/>
  <c r="M47" i="2"/>
  <c r="AD47" i="2"/>
  <c r="L47" i="2"/>
  <c r="AK47" i="2"/>
  <c r="AF47" i="2"/>
  <c r="T47" i="2"/>
  <c r="I47" i="2"/>
  <c r="AI47" i="2"/>
  <c r="AN47" i="2"/>
  <c r="AM47" i="2"/>
  <c r="O47" i="2"/>
  <c r="Q47" i="2"/>
  <c r="AL47" i="2"/>
  <c r="AG47" i="2"/>
  <c r="X47" i="2"/>
  <c r="E47" i="2"/>
  <c r="AJ47" i="2"/>
  <c r="C47" i="2"/>
  <c r="Z47" i="2"/>
  <c r="H47" i="2"/>
  <c r="AA47" i="2"/>
  <c r="F47" i="2"/>
  <c r="AE47" i="2"/>
  <c r="Y47" i="2"/>
  <c r="S47" i="2"/>
  <c r="AH47" i="2"/>
  <c r="N48" i="2" l="1"/>
  <c r="AH48" i="2"/>
  <c r="J48" i="2"/>
  <c r="AG48" i="2"/>
  <c r="F48" i="2"/>
  <c r="AF48" i="2"/>
  <c r="AC48" i="2"/>
  <c r="AJ48" i="2"/>
  <c r="AO48" i="2"/>
  <c r="X48" i="2"/>
  <c r="H48" i="2"/>
  <c r="D48" i="2"/>
  <c r="W48" i="2"/>
  <c r="AL48" i="2"/>
  <c r="S48" i="2"/>
  <c r="M48" i="2"/>
  <c r="K48" i="2"/>
  <c r="L48" i="2"/>
  <c r="U48" i="2"/>
  <c r="C48" i="2"/>
  <c r="Y48" i="2"/>
  <c r="I48" i="2"/>
  <c r="AE48" i="2"/>
  <c r="AM48" i="2"/>
  <c r="O48" i="2"/>
  <c r="Q48" i="2"/>
  <c r="AK48" i="2"/>
  <c r="P48" i="2"/>
  <c r="T48" i="2"/>
  <c r="AI48" i="2"/>
  <c r="E48" i="2"/>
  <c r="AN48" i="2"/>
  <c r="AA48" i="2"/>
  <c r="G48" i="2"/>
  <c r="AB48" i="2"/>
  <c r="AD48" i="2"/>
  <c r="Z48" i="2"/>
  <c r="R48" i="2"/>
  <c r="V48" i="2"/>
  <c r="N49" i="2" l="1"/>
  <c r="AJ49" i="2"/>
  <c r="AF49" i="2"/>
  <c r="Y49" i="2"/>
  <c r="V49" i="2"/>
  <c r="H49" i="2"/>
  <c r="AB49" i="2"/>
  <c r="G49" i="2"/>
  <c r="I49" i="2"/>
  <c r="E49" i="2"/>
  <c r="C49" i="2"/>
  <c r="Q49" i="2"/>
  <c r="J49" i="2"/>
  <c r="S49" i="2"/>
  <c r="M49" i="2"/>
  <c r="K49" i="2"/>
  <c r="L49" i="2"/>
  <c r="AO49" i="2"/>
  <c r="AA49" i="2"/>
  <c r="P49" i="2"/>
  <c r="F49" i="2"/>
  <c r="X49" i="2"/>
  <c r="W49" i="2"/>
  <c r="AM49" i="2"/>
  <c r="AD49" i="2"/>
  <c r="O49" i="2"/>
  <c r="AN49" i="2"/>
  <c r="R49" i="2"/>
  <c r="AL49" i="2"/>
  <c r="T49" i="2"/>
  <c r="D49" i="2"/>
  <c r="AK49" i="2"/>
  <c r="AC49" i="2"/>
  <c r="U49" i="2"/>
  <c r="AH49" i="2"/>
  <c r="AG49" i="2"/>
  <c r="AI49" i="2"/>
  <c r="Z49" i="2"/>
  <c r="AE49" i="2"/>
  <c r="N50" i="2" l="1"/>
  <c r="G50" i="2"/>
  <c r="AJ50" i="2"/>
  <c r="O50" i="2"/>
  <c r="AB50" i="2"/>
  <c r="AA50" i="2"/>
  <c r="C50" i="2"/>
  <c r="AL50" i="2"/>
  <c r="AK50" i="2"/>
  <c r="E50" i="2"/>
  <c r="F50" i="2"/>
  <c r="AM50" i="2"/>
  <c r="AE50" i="2"/>
  <c r="M50" i="2"/>
  <c r="K50" i="2"/>
  <c r="L50" i="2"/>
  <c r="W50" i="2"/>
  <c r="AG50" i="2"/>
  <c r="S50" i="2"/>
  <c r="AI50" i="2"/>
  <c r="AO50" i="2"/>
  <c r="P50" i="2"/>
  <c r="T50" i="2"/>
  <c r="I50" i="2"/>
  <c r="X50" i="2"/>
  <c r="R50" i="2"/>
  <c r="AN50" i="2"/>
  <c r="AF50" i="2"/>
  <c r="U50" i="2"/>
  <c r="V50" i="2"/>
  <c r="Q50" i="2"/>
  <c r="J50" i="2"/>
  <c r="Z50" i="2"/>
  <c r="D50" i="2"/>
  <c r="Y50" i="2"/>
  <c r="AC50" i="2"/>
  <c r="AH50" i="2"/>
  <c r="AD50" i="2"/>
  <c r="H50" i="2"/>
  <c r="M51" i="2" l="1"/>
  <c r="Y51" i="2"/>
  <c r="W51" i="2"/>
  <c r="K51" i="2"/>
  <c r="H51" i="2"/>
  <c r="AA51" i="2"/>
  <c r="X51" i="2"/>
  <c r="T51" i="2"/>
  <c r="S51" i="2"/>
  <c r="Q51" i="2"/>
  <c r="G51" i="2"/>
  <c r="AK51" i="2"/>
  <c r="AF51" i="2"/>
  <c r="R51" i="2"/>
  <c r="AG51" i="2"/>
  <c r="O51" i="2"/>
  <c r="AN51" i="2"/>
  <c r="L51" i="2"/>
  <c r="AB51" i="2"/>
  <c r="E51" i="2"/>
  <c r="J51" i="2"/>
  <c r="AJ51" i="2"/>
  <c r="V51" i="2"/>
  <c r="AI51" i="2"/>
  <c r="N51" i="2"/>
  <c r="F51" i="2"/>
  <c r="P51" i="2"/>
  <c r="D51" i="2"/>
  <c r="Z51" i="2"/>
  <c r="C51" i="2"/>
  <c r="AO51" i="2"/>
  <c r="AD51" i="2"/>
  <c r="AC51" i="2"/>
  <c r="I51" i="2"/>
  <c r="AM51" i="2"/>
  <c r="AH51" i="2"/>
  <c r="AL51" i="2"/>
  <c r="U51" i="2"/>
  <c r="AE51" i="2"/>
  <c r="M52" i="2" l="1"/>
  <c r="X52" i="2"/>
  <c r="K52" i="2"/>
  <c r="AA52" i="2"/>
  <c r="I52" i="2"/>
  <c r="AE52" i="2"/>
  <c r="AF52" i="2"/>
  <c r="Y52" i="2"/>
  <c r="T52" i="2"/>
  <c r="W52" i="2"/>
  <c r="O52" i="2"/>
  <c r="H52" i="2"/>
  <c r="AG52" i="2"/>
  <c r="Z52" i="2"/>
  <c r="AJ52" i="2"/>
  <c r="G52" i="2"/>
  <c r="F52" i="2"/>
  <c r="AL52" i="2"/>
  <c r="AH52" i="2"/>
  <c r="V52" i="2"/>
  <c r="U52" i="2"/>
  <c r="R52" i="2"/>
  <c r="AK52" i="2"/>
  <c r="N52" i="2"/>
  <c r="AC52" i="2"/>
  <c r="C52" i="2"/>
  <c r="L52" i="2"/>
  <c r="AD52" i="2"/>
  <c r="AM52" i="2"/>
  <c r="AB52" i="2"/>
  <c r="E52" i="2"/>
  <c r="Q52" i="2"/>
  <c r="S52" i="2"/>
  <c r="AI52" i="2"/>
  <c r="D52" i="2"/>
  <c r="P52" i="2"/>
  <c r="J52" i="2"/>
  <c r="AO52" i="2"/>
  <c r="AN52" i="2"/>
  <c r="M53" i="2" l="1"/>
  <c r="AO53" i="2"/>
  <c r="H53" i="2"/>
  <c r="N53" i="2"/>
  <c r="Y53" i="2"/>
  <c r="R53" i="2"/>
  <c r="AI53" i="2"/>
  <c r="X53" i="2"/>
  <c r="AL53" i="2"/>
  <c r="C53" i="2"/>
  <c r="AH53" i="2"/>
  <c r="AA53" i="2"/>
  <c r="AC53" i="2"/>
  <c r="D53" i="2"/>
  <c r="AJ53" i="2"/>
  <c r="I53" i="2"/>
  <c r="O53" i="2"/>
  <c r="K53" i="2"/>
  <c r="L53" i="2"/>
  <c r="Q53" i="2"/>
  <c r="AD53" i="2"/>
  <c r="J53" i="2"/>
  <c r="AK53" i="2"/>
  <c r="V53" i="2"/>
  <c r="W53" i="2"/>
  <c r="AG53" i="2"/>
  <c r="U53" i="2"/>
  <c r="AB53" i="2"/>
  <c r="T53" i="2"/>
  <c r="Z53" i="2"/>
  <c r="AE53" i="2"/>
  <c r="AF53" i="2"/>
  <c r="G53" i="2"/>
  <c r="AM53" i="2"/>
  <c r="P53" i="2"/>
  <c r="E53" i="2"/>
  <c r="AN53" i="2"/>
  <c r="F53" i="2"/>
  <c r="S53" i="2"/>
  <c r="M54" i="2" l="1"/>
  <c r="AF54" i="2"/>
  <c r="C54" i="2"/>
  <c r="L54" i="2"/>
  <c r="AC54" i="2"/>
  <c r="J54" i="2"/>
  <c r="AL54" i="2"/>
  <c r="AI54" i="2"/>
  <c r="H54" i="2"/>
  <c r="AA54" i="2"/>
  <c r="O54" i="2"/>
  <c r="AD54" i="2"/>
  <c r="AM54" i="2"/>
  <c r="K54" i="2"/>
  <c r="I54" i="2"/>
  <c r="G54" i="2"/>
  <c r="AB54" i="2"/>
  <c r="AE54" i="2"/>
  <c r="P54" i="2"/>
  <c r="D54" i="2"/>
  <c r="AG54" i="2"/>
  <c r="U54" i="2"/>
  <c r="AK54" i="2"/>
  <c r="N54" i="2"/>
  <c r="X54" i="2"/>
  <c r="AO54" i="2"/>
  <c r="AJ54" i="2"/>
  <c r="Q54" i="2"/>
  <c r="T54" i="2"/>
  <c r="S54" i="2"/>
  <c r="Y54" i="2"/>
  <c r="AN54" i="2"/>
  <c r="R54" i="2"/>
  <c r="V54" i="2"/>
  <c r="Z54" i="2"/>
  <c r="E54" i="2"/>
  <c r="AH54" i="2"/>
  <c r="F54" i="2"/>
  <c r="W54" i="2"/>
  <c r="N55" i="2" l="1"/>
  <c r="D55" i="2"/>
  <c r="AD55" i="2"/>
  <c r="S55" i="2"/>
  <c r="L55" i="2"/>
  <c r="K55" i="2"/>
  <c r="AE55" i="2"/>
  <c r="F55" i="2"/>
  <c r="E55" i="2"/>
  <c r="AA55" i="2"/>
  <c r="AB55" i="2"/>
  <c r="H55" i="2"/>
  <c r="AN55" i="2"/>
  <c r="I55" i="2"/>
  <c r="AH55" i="2"/>
  <c r="O55" i="2"/>
  <c r="X55" i="2"/>
  <c r="P55" i="2"/>
  <c r="J55" i="2"/>
  <c r="C55" i="2"/>
  <c r="AC55" i="2"/>
  <c r="R55" i="2"/>
  <c r="AK55" i="2"/>
  <c r="AJ55" i="2"/>
  <c r="Z55" i="2"/>
  <c r="T55" i="2"/>
  <c r="M55" i="2"/>
  <c r="U55" i="2"/>
  <c r="AO55" i="2"/>
  <c r="AL55" i="2"/>
  <c r="AM55" i="2"/>
  <c r="Y55" i="2"/>
  <c r="W55" i="2"/>
  <c r="AG55" i="2"/>
  <c r="Q55" i="2"/>
  <c r="AF55" i="2"/>
  <c r="V55" i="2"/>
  <c r="AI55" i="2"/>
  <c r="G55" i="2"/>
  <c r="N56" i="2" l="1"/>
  <c r="AK56" i="2"/>
  <c r="L56" i="2"/>
  <c r="J56" i="2"/>
  <c r="S56" i="2"/>
  <c r="AM56" i="2"/>
  <c r="AN56" i="2"/>
  <c r="AI56" i="2"/>
  <c r="G56" i="2"/>
  <c r="U56" i="2"/>
  <c r="M56" i="2"/>
  <c r="P56" i="2"/>
  <c r="I56" i="2"/>
  <c r="X56" i="2"/>
  <c r="Y56" i="2"/>
  <c r="AE56" i="2"/>
  <c r="H56" i="2"/>
  <c r="D56" i="2"/>
  <c r="C56" i="2"/>
  <c r="AA56" i="2"/>
  <c r="V56" i="2"/>
  <c r="AL56" i="2"/>
  <c r="AC56" i="2"/>
  <c r="AO56" i="2"/>
  <c r="O56" i="2"/>
  <c r="K56" i="2"/>
  <c r="Q56" i="2"/>
  <c r="W56" i="2"/>
  <c r="AH56" i="2"/>
  <c r="AG56" i="2"/>
  <c r="AB56" i="2"/>
  <c r="E56" i="2"/>
  <c r="Z56" i="2"/>
  <c r="R56" i="2"/>
  <c r="AF56" i="2"/>
  <c r="F56" i="2"/>
  <c r="T56" i="2"/>
  <c r="AJ56" i="2"/>
  <c r="AD56" i="2"/>
  <c r="N57" i="2" l="1"/>
  <c r="S57" i="2"/>
  <c r="L57" i="2"/>
  <c r="AJ57" i="2"/>
  <c r="AK57" i="2"/>
  <c r="AB57" i="2"/>
  <c r="I57" i="2"/>
  <c r="Q57" i="2"/>
  <c r="R57" i="2"/>
  <c r="P57" i="2"/>
  <c r="C57" i="2"/>
  <c r="M57" i="2"/>
  <c r="AL57" i="2"/>
  <c r="E57" i="2"/>
  <c r="K57" i="2"/>
  <c r="U57" i="2"/>
  <c r="J57" i="2"/>
  <c r="AD57" i="2"/>
  <c r="W57" i="2"/>
  <c r="F57" i="2"/>
  <c r="AC57" i="2"/>
  <c r="AH57" i="2"/>
  <c r="AG57" i="2"/>
  <c r="AF57" i="2"/>
  <c r="O57" i="2"/>
  <c r="Z57" i="2"/>
  <c r="AM57" i="2"/>
  <c r="AE57" i="2"/>
  <c r="AI57" i="2"/>
  <c r="AO57" i="2"/>
  <c r="V57" i="2"/>
  <c r="T57" i="2"/>
  <c r="D57" i="2"/>
  <c r="Y57" i="2"/>
  <c r="AN57" i="2"/>
  <c r="G57" i="2"/>
  <c r="X57" i="2"/>
  <c r="AA57" i="2"/>
  <c r="H57" i="2"/>
  <c r="N58" i="2" l="1"/>
  <c r="U58" i="2"/>
  <c r="AL58" i="2"/>
  <c r="AD58" i="2"/>
  <c r="AK58" i="2"/>
  <c r="F58" i="2"/>
  <c r="AG58" i="2"/>
  <c r="C58" i="2"/>
  <c r="T58" i="2"/>
  <c r="AI58" i="2"/>
  <c r="AC58" i="2"/>
  <c r="AA58" i="2"/>
  <c r="H58" i="2"/>
  <c r="M58" i="2"/>
  <c r="AM58" i="2"/>
  <c r="K58" i="2"/>
  <c r="Z58" i="2"/>
  <c r="V58" i="2"/>
  <c r="Q58" i="2"/>
  <c r="D58" i="2"/>
  <c r="I58" i="2"/>
  <c r="AJ58" i="2"/>
  <c r="AB58" i="2"/>
  <c r="G58" i="2"/>
  <c r="X58" i="2"/>
  <c r="O58" i="2"/>
  <c r="L58" i="2"/>
  <c r="E58" i="2"/>
  <c r="AH58" i="2"/>
  <c r="S58" i="2"/>
  <c r="Y58" i="2"/>
  <c r="W58" i="2"/>
  <c r="AF58" i="2"/>
  <c r="P58" i="2"/>
  <c r="AO58" i="2"/>
  <c r="AN58" i="2"/>
  <c r="AE58" i="2"/>
  <c r="R58" i="2"/>
  <c r="J58" i="2"/>
  <c r="O59" i="2" l="1"/>
  <c r="J59" i="2"/>
  <c r="N59" i="2"/>
  <c r="L59" i="2"/>
  <c r="K59" i="2"/>
  <c r="AC59" i="2"/>
  <c r="AA59" i="2"/>
  <c r="AK59" i="2"/>
  <c r="H59" i="2"/>
  <c r="I59" i="2"/>
  <c r="AB59" i="2"/>
  <c r="E59" i="2"/>
  <c r="M59" i="2"/>
  <c r="V59" i="2"/>
  <c r="T59" i="2"/>
  <c r="S59" i="2"/>
  <c r="AD59" i="2"/>
  <c r="AI59" i="2"/>
  <c r="AN59" i="2"/>
  <c r="AM59" i="2"/>
  <c r="F59" i="2"/>
  <c r="W59" i="2"/>
  <c r="AF59" i="2"/>
  <c r="R59" i="2"/>
  <c r="U59" i="2"/>
  <c r="C59" i="2"/>
  <c r="P59" i="2"/>
  <c r="D59" i="2"/>
  <c r="AJ59" i="2"/>
  <c r="Z59" i="2"/>
  <c r="AL59" i="2"/>
  <c r="X59" i="2"/>
  <c r="AE59" i="2"/>
  <c r="G59" i="2"/>
  <c r="Y59" i="2"/>
  <c r="Q59" i="2"/>
  <c r="AO59" i="2"/>
  <c r="AH59" i="2"/>
  <c r="AG59" i="2"/>
  <c r="O60" i="2" l="1"/>
  <c r="AM60" i="2"/>
  <c r="G60" i="2"/>
  <c r="J60" i="2"/>
  <c r="T60" i="2"/>
  <c r="I60" i="2"/>
  <c r="P60" i="2"/>
  <c r="W60" i="2"/>
  <c r="AI60" i="2"/>
  <c r="H60" i="2"/>
  <c r="D60" i="2"/>
  <c r="AB60" i="2"/>
  <c r="F60" i="2"/>
  <c r="AA60" i="2"/>
  <c r="AN60" i="2"/>
  <c r="M60" i="2"/>
  <c r="L60" i="2"/>
  <c r="K60" i="2"/>
  <c r="E60" i="2"/>
  <c r="AC60" i="2"/>
  <c r="Q60" i="2"/>
  <c r="S60" i="2"/>
  <c r="AE60" i="2"/>
  <c r="AD60" i="2"/>
  <c r="N60" i="2"/>
  <c r="AG60" i="2"/>
  <c r="Z60" i="2"/>
  <c r="AF60" i="2"/>
  <c r="C60" i="2"/>
  <c r="AO60" i="2"/>
  <c r="U60" i="2"/>
  <c r="R60" i="2"/>
  <c r="Y60" i="2"/>
  <c r="AJ60" i="2"/>
  <c r="AK60" i="2"/>
  <c r="AL60" i="2"/>
  <c r="V60" i="2"/>
  <c r="X60" i="2"/>
  <c r="AH60" i="2"/>
  <c r="O61" i="2" l="1"/>
  <c r="AK61" i="2"/>
  <c r="AL61" i="2"/>
  <c r="L61" i="2"/>
  <c r="C61" i="2"/>
  <c r="X61" i="2"/>
  <c r="AJ61" i="2"/>
  <c r="AO61" i="2"/>
  <c r="S61" i="2"/>
  <c r="Q61" i="2"/>
  <c r="AA61" i="2"/>
  <c r="AH61" i="2"/>
  <c r="M61" i="2"/>
  <c r="R61" i="2"/>
  <c r="AB61" i="2"/>
  <c r="K61" i="2"/>
  <c r="AG61" i="2"/>
  <c r="T61" i="2"/>
  <c r="I61" i="2"/>
  <c r="AD61" i="2"/>
  <c r="H61" i="2"/>
  <c r="E61" i="2"/>
  <c r="G61" i="2"/>
  <c r="N61" i="2"/>
  <c r="U61" i="2"/>
  <c r="AM61" i="2"/>
  <c r="AF61" i="2"/>
  <c r="D61" i="2"/>
  <c r="P61" i="2"/>
  <c r="W61" i="2"/>
  <c r="J61" i="2"/>
  <c r="V61" i="2"/>
  <c r="AI61" i="2"/>
  <c r="AC61" i="2"/>
  <c r="Z61" i="2"/>
  <c r="AN61" i="2"/>
  <c r="AE61" i="2"/>
  <c r="F61" i="2"/>
  <c r="Y61" i="2"/>
  <c r="N62" i="2" l="1"/>
  <c r="AA62" i="2"/>
  <c r="P62" i="2"/>
  <c r="AI62" i="2"/>
  <c r="K62" i="2"/>
  <c r="AB62" i="2"/>
  <c r="X62" i="2"/>
  <c r="AK62" i="2"/>
  <c r="AJ62" i="2"/>
  <c r="AE62" i="2"/>
  <c r="E62" i="2"/>
  <c r="AN62" i="2"/>
  <c r="G62" i="2"/>
  <c r="Z62" i="2"/>
  <c r="M62" i="2"/>
  <c r="U62" i="2"/>
  <c r="Y62" i="2"/>
  <c r="Q62" i="2"/>
  <c r="R62" i="2"/>
  <c r="V62" i="2"/>
  <c r="S62" i="2"/>
  <c r="W62" i="2"/>
  <c r="O62" i="2"/>
  <c r="L62" i="2"/>
  <c r="D62" i="2"/>
  <c r="AM62" i="2"/>
  <c r="AG62" i="2"/>
  <c r="AL62" i="2"/>
  <c r="H62" i="2"/>
  <c r="AO62" i="2"/>
  <c r="J62" i="2"/>
  <c r="AC62" i="2"/>
  <c r="T62" i="2"/>
  <c r="C62" i="2"/>
  <c r="F62" i="2"/>
  <c r="AF62" i="2"/>
  <c r="AD62" i="2"/>
  <c r="I62" i="2"/>
  <c r="AH62" i="2"/>
  <c r="N63" i="2" l="1"/>
  <c r="I63" i="2"/>
  <c r="Y63" i="2"/>
  <c r="K63" i="2"/>
  <c r="J63" i="2"/>
  <c r="G63" i="2"/>
  <c r="V63" i="2"/>
  <c r="Q63" i="2"/>
  <c r="AL63" i="2"/>
  <c r="AD63" i="2"/>
  <c r="U63" i="2"/>
  <c r="AO63" i="2"/>
  <c r="O63" i="2"/>
  <c r="AK63" i="2"/>
  <c r="H63" i="2"/>
  <c r="AC63" i="2"/>
  <c r="AM63" i="2"/>
  <c r="AI63" i="2"/>
  <c r="S63" i="2"/>
  <c r="AF63" i="2"/>
  <c r="AA63" i="2"/>
  <c r="AN63" i="2"/>
  <c r="Z63" i="2"/>
  <c r="D63" i="2"/>
  <c r="M63" i="2"/>
  <c r="L63" i="2"/>
  <c r="AB63" i="2"/>
  <c r="AJ63" i="2"/>
  <c r="AE63" i="2"/>
  <c r="X63" i="2"/>
  <c r="E63" i="2"/>
  <c r="W63" i="2"/>
  <c r="F63" i="2"/>
  <c r="AG63" i="2"/>
  <c r="T63" i="2"/>
  <c r="C63" i="2"/>
  <c r="P63" i="2"/>
  <c r="R63" i="2"/>
  <c r="AH63" i="2"/>
  <c r="N64" i="2" l="1"/>
  <c r="AC64" i="2"/>
  <c r="V64" i="2"/>
  <c r="AB64" i="2"/>
  <c r="U64" i="2"/>
  <c r="P64" i="2"/>
  <c r="AL64" i="2"/>
  <c r="AH64" i="2"/>
  <c r="AE64" i="2"/>
  <c r="AD64" i="2"/>
  <c r="J64" i="2"/>
  <c r="I64" i="2"/>
  <c r="D64" i="2"/>
  <c r="R64" i="2"/>
  <c r="O64" i="2"/>
  <c r="L64" i="2"/>
  <c r="K64" i="2"/>
  <c r="AK64" i="2"/>
  <c r="AA64" i="2"/>
  <c r="Z64" i="2"/>
  <c r="S64" i="2"/>
  <c r="Q64" i="2"/>
  <c r="AO64" i="2"/>
  <c r="M64" i="2"/>
  <c r="AN64" i="2"/>
  <c r="F64" i="2"/>
  <c r="AI64" i="2"/>
  <c r="AF64" i="2"/>
  <c r="AM64" i="2"/>
  <c r="AG64" i="2"/>
  <c r="T64" i="2"/>
  <c r="X64" i="2"/>
  <c r="G64" i="2"/>
  <c r="AJ64" i="2"/>
  <c r="H64" i="2"/>
  <c r="W64" i="2"/>
  <c r="Y64" i="2"/>
  <c r="E64" i="2"/>
  <c r="C64" i="2"/>
  <c r="O65" i="2" l="1"/>
  <c r="Q65" i="2"/>
  <c r="G65" i="2"/>
  <c r="S65" i="2"/>
  <c r="J65" i="2"/>
  <c r="AK65" i="2"/>
  <c r="F65" i="2"/>
  <c r="U65" i="2"/>
  <c r="Y65" i="2"/>
  <c r="Z65" i="2"/>
  <c r="N65" i="2"/>
  <c r="L65" i="2"/>
  <c r="K65" i="2"/>
  <c r="H65" i="2"/>
  <c r="I65" i="2"/>
  <c r="AD65" i="2"/>
  <c r="AJ65" i="2"/>
  <c r="AF65" i="2"/>
  <c r="W65" i="2"/>
  <c r="D65" i="2"/>
  <c r="AM65" i="2"/>
  <c r="M65" i="2"/>
  <c r="AI65" i="2"/>
  <c r="AO65" i="2"/>
  <c r="AG65" i="2"/>
  <c r="E65" i="2"/>
  <c r="AL65" i="2"/>
  <c r="R65" i="2"/>
  <c r="V65" i="2"/>
  <c r="AE65" i="2"/>
  <c r="AN65" i="2"/>
  <c r="AC65" i="2"/>
  <c r="AB65" i="2"/>
  <c r="C65" i="2"/>
  <c r="AH65" i="2"/>
  <c r="X65" i="2"/>
  <c r="T65" i="2"/>
  <c r="P65" i="2"/>
  <c r="AA65" i="2"/>
  <c r="O66" i="2" l="1"/>
  <c r="X66" i="2"/>
  <c r="N66" i="2"/>
  <c r="J66" i="2"/>
  <c r="M66" i="2"/>
  <c r="L66" i="2"/>
  <c r="H66" i="2"/>
  <c r="AM66" i="2"/>
  <c r="AO66" i="2"/>
  <c r="W66" i="2"/>
  <c r="AN66" i="2"/>
  <c r="AD66" i="2"/>
  <c r="AL66" i="2"/>
  <c r="S66" i="2"/>
  <c r="AB66" i="2"/>
  <c r="I66" i="2"/>
  <c r="G66" i="2"/>
  <c r="AJ66" i="2"/>
  <c r="U66" i="2"/>
  <c r="AE66" i="2"/>
  <c r="AG66" i="2"/>
  <c r="E66" i="2"/>
  <c r="C66" i="2"/>
  <c r="K66" i="2"/>
  <c r="F66" i="2"/>
  <c r="Q66" i="2"/>
  <c r="Z66" i="2"/>
  <c r="AC66" i="2"/>
  <c r="T66" i="2"/>
  <c r="R66" i="2"/>
  <c r="AH66" i="2"/>
  <c r="D66" i="2"/>
  <c r="AF66" i="2"/>
  <c r="AA66" i="2"/>
  <c r="V66" i="2"/>
  <c r="AI66" i="2"/>
  <c r="Y66" i="2"/>
  <c r="AK66" i="2"/>
  <c r="P66" i="2"/>
  <c r="O67" i="2" l="1"/>
  <c r="V67" i="2"/>
  <c r="E67" i="2"/>
  <c r="AK67" i="2"/>
  <c r="N67" i="2"/>
  <c r="AO67" i="2"/>
  <c r="AF67" i="2"/>
  <c r="AJ67" i="2"/>
  <c r="AM67" i="2"/>
  <c r="D67" i="2"/>
  <c r="AD67" i="2"/>
  <c r="U67" i="2"/>
  <c r="Z67" i="2"/>
  <c r="Y67" i="2"/>
  <c r="G67" i="2"/>
  <c r="S67" i="2"/>
  <c r="M67" i="2"/>
  <c r="AC67" i="2"/>
  <c r="P67" i="2"/>
  <c r="AH67" i="2"/>
  <c r="C67" i="2"/>
  <c r="AE67" i="2"/>
  <c r="Q67" i="2"/>
  <c r="F67" i="2"/>
  <c r="K67" i="2"/>
  <c r="W67" i="2"/>
  <c r="AL67" i="2"/>
  <c r="J67" i="2"/>
  <c r="AA67" i="2"/>
  <c r="L67" i="2"/>
  <c r="AB67" i="2"/>
  <c r="X67" i="2"/>
  <c r="AG67" i="2"/>
  <c r="AI67" i="2"/>
  <c r="AN67" i="2"/>
  <c r="I67" i="2"/>
  <c r="R67" i="2"/>
  <c r="H67" i="2"/>
  <c r="T67" i="2"/>
  <c r="O68" i="2" l="1"/>
  <c r="U68" i="2"/>
  <c r="N68" i="2"/>
  <c r="M68" i="2"/>
  <c r="K68" i="2"/>
  <c r="AN68" i="2"/>
  <c r="AG68" i="2"/>
  <c r="E68" i="2"/>
  <c r="X68" i="2"/>
  <c r="AA68" i="2"/>
  <c r="C68" i="2"/>
  <c r="AL68" i="2"/>
  <c r="AO68" i="2"/>
  <c r="AH68" i="2"/>
  <c r="V68" i="2"/>
  <c r="AK68" i="2"/>
  <c r="AB68" i="2"/>
  <c r="H68" i="2"/>
  <c r="D68" i="2"/>
  <c r="AI68" i="2"/>
  <c r="AD68" i="2"/>
  <c r="AM68" i="2"/>
  <c r="AC68" i="2"/>
  <c r="R68" i="2"/>
  <c r="I68" i="2"/>
  <c r="Q68" i="2"/>
  <c r="W68" i="2"/>
  <c r="F68" i="2"/>
  <c r="P68" i="2"/>
  <c r="AJ68" i="2"/>
  <c r="L68" i="2"/>
  <c r="AF68" i="2"/>
  <c r="Z68" i="2"/>
  <c r="G68" i="2"/>
  <c r="AE68" i="2"/>
  <c r="J68" i="2"/>
  <c r="T68" i="2"/>
  <c r="Y68" i="2"/>
  <c r="S68" i="2"/>
  <c r="O69" i="2" l="1"/>
  <c r="X69" i="2"/>
  <c r="AH69" i="2"/>
  <c r="P69" i="2"/>
  <c r="M69" i="2"/>
  <c r="C69" i="2"/>
  <c r="W69" i="2"/>
  <c r="H69" i="2"/>
  <c r="AA69" i="2"/>
  <c r="AC69" i="2"/>
  <c r="R69" i="2"/>
  <c r="AM69" i="2"/>
  <c r="N69" i="2"/>
  <c r="AK69" i="2"/>
  <c r="J69" i="2"/>
  <c r="Y69" i="2"/>
  <c r="AB69" i="2"/>
  <c r="D69" i="2"/>
  <c r="T69" i="2"/>
  <c r="K69" i="2"/>
  <c r="AJ69" i="2"/>
  <c r="L69" i="2"/>
  <c r="Q69" i="2"/>
  <c r="G69" i="2"/>
  <c r="AF69" i="2"/>
  <c r="AG69" i="2"/>
  <c r="U69" i="2"/>
  <c r="S69" i="2"/>
  <c r="AE69" i="2"/>
  <c r="AL69" i="2"/>
  <c r="E69" i="2"/>
  <c r="AD69" i="2"/>
  <c r="V69" i="2"/>
  <c r="F69" i="2"/>
  <c r="I69" i="2"/>
  <c r="AI69" i="2"/>
  <c r="Z69" i="2"/>
  <c r="AN69" i="2"/>
  <c r="AO69" i="2"/>
  <c r="O70" i="2" l="1"/>
  <c r="AC70" i="2"/>
  <c r="F70" i="2"/>
  <c r="AA70" i="2"/>
  <c r="X70" i="2"/>
  <c r="M70" i="2"/>
  <c r="I70" i="2"/>
  <c r="H70" i="2"/>
  <c r="AB70" i="2"/>
  <c r="C70" i="2"/>
  <c r="N70" i="2"/>
  <c r="W70" i="2"/>
  <c r="Q70" i="2"/>
  <c r="AF70" i="2"/>
  <c r="V70" i="2"/>
  <c r="AO70" i="2"/>
  <c r="K70" i="2"/>
  <c r="Z70" i="2"/>
  <c r="R70" i="2"/>
  <c r="L70" i="2"/>
  <c r="P70" i="2"/>
  <c r="AD70" i="2"/>
  <c r="G70" i="2"/>
  <c r="D70" i="2"/>
  <c r="AG70" i="2"/>
  <c r="AE70" i="2"/>
  <c r="AK70" i="2"/>
  <c r="AJ70" i="2"/>
  <c r="T70" i="2"/>
  <c r="AL70" i="2"/>
  <c r="AH70" i="2"/>
  <c r="S70" i="2"/>
  <c r="AM70" i="2"/>
  <c r="AN70" i="2"/>
  <c r="AI70" i="2"/>
  <c r="U70" i="2"/>
  <c r="Y70" i="2"/>
  <c r="E70" i="2"/>
  <c r="J70" i="2"/>
  <c r="O71" i="2" l="1"/>
  <c r="W71" i="2"/>
  <c r="D71" i="2"/>
  <c r="N71" i="2"/>
  <c r="L71" i="2"/>
  <c r="AC71" i="2"/>
  <c r="P71" i="2"/>
  <c r="I71" i="2"/>
  <c r="Y71" i="2"/>
  <c r="V71" i="2"/>
  <c r="M71" i="2"/>
  <c r="AI71" i="2"/>
  <c r="F71" i="2"/>
  <c r="AH71" i="2"/>
  <c r="U71" i="2"/>
  <c r="AN71" i="2"/>
  <c r="AA71" i="2"/>
  <c r="E71" i="2"/>
  <c r="K71" i="2"/>
  <c r="R71" i="2"/>
  <c r="C71" i="2"/>
  <c r="AL71" i="2"/>
  <c r="Q71" i="2"/>
  <c r="X71" i="2"/>
  <c r="S71" i="2"/>
  <c r="AJ71" i="2"/>
  <c r="AG71" i="2"/>
  <c r="AB71" i="2"/>
  <c r="AO71" i="2"/>
  <c r="AE71" i="2"/>
  <c r="AD71" i="2"/>
  <c r="AF71" i="2"/>
  <c r="AM71" i="2"/>
  <c r="J71" i="2"/>
  <c r="T71" i="2"/>
  <c r="AK71" i="2"/>
  <c r="Z71" i="2"/>
  <c r="G71" i="2"/>
  <c r="H71" i="2"/>
  <c r="O72" i="2" l="1"/>
  <c r="H72" i="2"/>
  <c r="AK72" i="2"/>
  <c r="I72" i="2"/>
  <c r="L72" i="2"/>
  <c r="Q72" i="2"/>
  <c r="AM72" i="2"/>
  <c r="W72" i="2"/>
  <c r="AC72" i="2"/>
  <c r="E72" i="2"/>
  <c r="C72" i="2"/>
  <c r="M72" i="2"/>
  <c r="K72" i="2"/>
  <c r="AF72" i="2"/>
  <c r="V72" i="2"/>
  <c r="AI72" i="2"/>
  <c r="AJ72" i="2"/>
  <c r="N72" i="2"/>
  <c r="D72" i="2"/>
  <c r="Y72" i="2"/>
  <c r="S72" i="2"/>
  <c r="U72" i="2"/>
  <c r="AO72" i="2"/>
  <c r="T72" i="2"/>
  <c r="P72" i="2"/>
  <c r="X72" i="2"/>
  <c r="F72" i="2"/>
  <c r="R72" i="2"/>
  <c r="AB72" i="2"/>
  <c r="AG72" i="2"/>
  <c r="AD72" i="2"/>
  <c r="J72" i="2"/>
  <c r="AE72" i="2"/>
  <c r="AA72" i="2"/>
  <c r="Z72" i="2"/>
  <c r="AL72" i="2"/>
  <c r="G72" i="2"/>
  <c r="AH72" i="2"/>
  <c r="AN72" i="2"/>
  <c r="M73" i="2" l="1"/>
  <c r="AI73" i="2"/>
  <c r="N73" i="2"/>
  <c r="Z73" i="2"/>
  <c r="T73" i="2"/>
  <c r="K73" i="2"/>
  <c r="AG73" i="2"/>
  <c r="AK73" i="2"/>
  <c r="AC73" i="2"/>
  <c r="P73" i="2"/>
  <c r="Y73" i="2"/>
  <c r="AF73" i="2"/>
  <c r="AA73" i="2"/>
  <c r="C73" i="2"/>
  <c r="S73" i="2"/>
  <c r="E73" i="2"/>
  <c r="X73" i="2"/>
  <c r="O73" i="2"/>
  <c r="AB73" i="2"/>
  <c r="AL73" i="2"/>
  <c r="Q73" i="2"/>
  <c r="L73" i="2"/>
  <c r="AE73" i="2"/>
  <c r="D73" i="2"/>
  <c r="W73" i="2"/>
  <c r="R73" i="2"/>
  <c r="V73" i="2"/>
  <c r="G73" i="2"/>
  <c r="AO73" i="2"/>
  <c r="F73" i="2"/>
  <c r="AM73" i="2"/>
  <c r="AJ73" i="2"/>
  <c r="AD73" i="2"/>
  <c r="U73" i="2"/>
  <c r="AN73" i="2"/>
  <c r="J73" i="2"/>
  <c r="AH73" i="2"/>
  <c r="I73" i="2"/>
  <c r="H73" i="2"/>
  <c r="M74" i="2" l="1"/>
  <c r="AA74" i="2"/>
  <c r="O74" i="2"/>
  <c r="D74" i="2"/>
  <c r="N74" i="2"/>
  <c r="AC74" i="2"/>
  <c r="K74" i="2"/>
  <c r="X74" i="2"/>
  <c r="V74" i="2"/>
  <c r="T74" i="2"/>
  <c r="AJ74" i="2"/>
  <c r="Z74" i="2"/>
  <c r="AI74" i="2"/>
  <c r="L74" i="2"/>
  <c r="U74" i="2"/>
  <c r="AE74" i="2"/>
  <c r="AF74" i="2"/>
  <c r="F74" i="2"/>
  <c r="Y74" i="2"/>
  <c r="Q74" i="2"/>
  <c r="P74" i="2"/>
  <c r="R74" i="2"/>
  <c r="AO74" i="2"/>
  <c r="E74" i="2"/>
  <c r="AG74" i="2"/>
  <c r="J74" i="2"/>
  <c r="AN74" i="2"/>
  <c r="AH74" i="2"/>
  <c r="AM74" i="2"/>
  <c r="AB74" i="2"/>
  <c r="AK74" i="2"/>
  <c r="C74" i="2"/>
  <c r="AL74" i="2"/>
  <c r="I74" i="2"/>
  <c r="S74" i="2"/>
  <c r="W74" i="2"/>
  <c r="H74" i="2"/>
  <c r="AD74" i="2"/>
  <c r="G74" i="2"/>
  <c r="O75" i="2" l="1"/>
  <c r="T75" i="2"/>
  <c r="Y75" i="2"/>
  <c r="AJ75" i="2"/>
  <c r="P75" i="2"/>
  <c r="AM75" i="2"/>
  <c r="AH75" i="2"/>
  <c r="N75" i="2"/>
  <c r="I75" i="2"/>
  <c r="AG75" i="2"/>
  <c r="AF75" i="2"/>
  <c r="C75" i="2"/>
  <c r="J75" i="2"/>
  <c r="D75" i="2"/>
  <c r="AC75" i="2"/>
  <c r="M75" i="2"/>
  <c r="S75" i="2"/>
  <c r="AK75" i="2"/>
  <c r="G75" i="2"/>
  <c r="K75" i="2"/>
  <c r="AE75" i="2"/>
  <c r="AN75" i="2"/>
  <c r="U75" i="2"/>
  <c r="AA75" i="2"/>
  <c r="Z75" i="2"/>
  <c r="L75" i="2"/>
  <c r="H75" i="2"/>
  <c r="AB75" i="2"/>
  <c r="Q75" i="2"/>
  <c r="W75" i="2"/>
  <c r="AI75" i="2"/>
  <c r="AD75" i="2"/>
  <c r="F75" i="2"/>
  <c r="AL75" i="2"/>
  <c r="V75" i="2"/>
  <c r="E75" i="2"/>
  <c r="AO75" i="2"/>
  <c r="R75" i="2"/>
  <c r="X75" i="2"/>
  <c r="N76" i="2" l="1"/>
  <c r="X76" i="2"/>
  <c r="AE76" i="2"/>
  <c r="T76" i="2"/>
  <c r="H76" i="2"/>
  <c r="E76" i="2"/>
  <c r="AK76" i="2"/>
  <c r="G76" i="2"/>
  <c r="S76" i="2"/>
  <c r="AI76" i="2"/>
  <c r="W76" i="2"/>
  <c r="M76" i="2"/>
  <c r="V76" i="2"/>
  <c r="AN76" i="2"/>
  <c r="AD76" i="2"/>
  <c r="U76" i="2"/>
  <c r="R76" i="2"/>
  <c r="AJ76" i="2"/>
  <c r="O76" i="2"/>
  <c r="P76" i="2"/>
  <c r="AF76" i="2"/>
  <c r="K76" i="2"/>
  <c r="AH76" i="2"/>
  <c r="L76" i="2"/>
  <c r="AA76" i="2"/>
  <c r="AM76" i="2"/>
  <c r="AC76" i="2"/>
  <c r="AB76" i="2"/>
  <c r="Y76" i="2"/>
  <c r="AL76" i="2"/>
  <c r="J76" i="2"/>
  <c r="I76" i="2"/>
  <c r="Q76" i="2"/>
  <c r="F76" i="2"/>
  <c r="D76" i="2"/>
  <c r="AG76" i="2"/>
  <c r="AO76" i="2"/>
  <c r="Z76" i="2"/>
  <c r="C76" i="2"/>
  <c r="N77" i="2" l="1"/>
  <c r="V77" i="2"/>
  <c r="Q77" i="2"/>
  <c r="K77" i="2"/>
  <c r="H77" i="2"/>
  <c r="AO77" i="2"/>
  <c r="AA77" i="2"/>
  <c r="T77" i="2"/>
  <c r="AJ77" i="2"/>
  <c r="AM77" i="2"/>
  <c r="F77" i="2"/>
  <c r="AD77" i="2"/>
  <c r="Z77" i="2"/>
  <c r="O77" i="2"/>
  <c r="I77" i="2"/>
  <c r="U77" i="2"/>
  <c r="L77" i="2"/>
  <c r="D77" i="2"/>
  <c r="AF77" i="2"/>
  <c r="AG77" i="2"/>
  <c r="W77" i="2"/>
  <c r="P77" i="2"/>
  <c r="E77" i="2"/>
  <c r="X77" i="2"/>
  <c r="AB77" i="2"/>
  <c r="J77" i="2"/>
  <c r="M77" i="2"/>
  <c r="AN77" i="2"/>
  <c r="AE77" i="2"/>
  <c r="S77" i="2"/>
  <c r="R77" i="2"/>
  <c r="G77" i="2"/>
  <c r="AH77" i="2"/>
  <c r="AK77" i="2"/>
  <c r="AC77" i="2"/>
  <c r="Y77" i="2"/>
  <c r="C77" i="2"/>
  <c r="AL77" i="2"/>
  <c r="AI77" i="2"/>
  <c r="N78" i="2" l="1"/>
  <c r="Y78" i="2"/>
  <c r="AH78" i="2"/>
  <c r="K78" i="2"/>
  <c r="L78" i="2"/>
  <c r="T78" i="2"/>
  <c r="AE78" i="2"/>
  <c r="P78" i="2"/>
  <c r="J78" i="2"/>
  <c r="G78" i="2"/>
  <c r="AG78" i="2"/>
  <c r="AB78" i="2"/>
  <c r="V78" i="2"/>
  <c r="X78" i="2"/>
  <c r="O78" i="2"/>
  <c r="AJ78" i="2"/>
  <c r="M78" i="2"/>
  <c r="H78" i="2"/>
  <c r="E78" i="2"/>
  <c r="Z78" i="2"/>
  <c r="U78" i="2"/>
  <c r="AA78" i="2"/>
  <c r="AI78" i="2"/>
  <c r="AO78" i="2"/>
  <c r="AD78" i="2"/>
  <c r="D78" i="2"/>
  <c r="W78" i="2"/>
  <c r="AM78" i="2"/>
  <c r="R78" i="2"/>
  <c r="AF78" i="2"/>
  <c r="C78" i="2"/>
  <c r="Q78" i="2"/>
  <c r="S78" i="2"/>
  <c r="F78" i="2"/>
  <c r="AK78" i="2"/>
  <c r="AN78" i="2"/>
  <c r="AC78" i="2"/>
  <c r="I78" i="2"/>
  <c r="AL78" i="2"/>
  <c r="O79" i="2" l="1"/>
  <c r="AE79" i="2"/>
  <c r="Q79" i="2"/>
  <c r="L79" i="2"/>
  <c r="AL79" i="2"/>
  <c r="AI79" i="2"/>
  <c r="Y79" i="2"/>
  <c r="AC79" i="2"/>
  <c r="X79" i="2"/>
  <c r="AD79" i="2"/>
  <c r="G79" i="2"/>
  <c r="C79" i="2"/>
  <c r="E79" i="2"/>
  <c r="N79" i="2"/>
  <c r="J79" i="2"/>
  <c r="T79" i="2"/>
  <c r="U79" i="2"/>
  <c r="F79" i="2"/>
  <c r="AM79" i="2"/>
  <c r="AF79" i="2"/>
  <c r="W79" i="2"/>
  <c r="AN79" i="2"/>
  <c r="AA79" i="2"/>
  <c r="I79" i="2"/>
  <c r="V79" i="2"/>
  <c r="M79" i="2"/>
  <c r="K79" i="2"/>
  <c r="Z79" i="2"/>
  <c r="AG79" i="2"/>
  <c r="AK79" i="2"/>
  <c r="D79" i="2"/>
  <c r="AJ79" i="2"/>
  <c r="H79" i="2"/>
  <c r="S79" i="2"/>
  <c r="R79" i="2"/>
  <c r="AO79" i="2"/>
  <c r="P79" i="2"/>
  <c r="AH79" i="2"/>
  <c r="AB79" i="2"/>
  <c r="O80" i="2" l="1"/>
  <c r="AL80" i="2"/>
  <c r="I80" i="2"/>
  <c r="L80" i="2"/>
  <c r="U80" i="2"/>
  <c r="AA80" i="2"/>
  <c r="X80" i="2"/>
  <c r="AG80" i="2"/>
  <c r="AF80" i="2"/>
  <c r="E80" i="2"/>
  <c r="AC80" i="2"/>
  <c r="T80" i="2"/>
  <c r="N80" i="2"/>
  <c r="AO80" i="2"/>
  <c r="AD80" i="2"/>
  <c r="Y80" i="2"/>
  <c r="V80" i="2"/>
  <c r="S80" i="2"/>
  <c r="AH80" i="2"/>
  <c r="G80" i="2"/>
  <c r="AM80" i="2"/>
  <c r="AE80" i="2"/>
  <c r="AB80" i="2"/>
  <c r="F80" i="2"/>
  <c r="M80" i="2"/>
  <c r="K80" i="2"/>
  <c r="AJ80" i="2"/>
  <c r="W80" i="2"/>
  <c r="AK80" i="2"/>
  <c r="C80" i="2"/>
  <c r="R80" i="2"/>
  <c r="AN80" i="2"/>
  <c r="Q80" i="2"/>
  <c r="P80" i="2"/>
  <c r="AI80" i="2"/>
  <c r="H80" i="2"/>
  <c r="D80" i="2"/>
  <c r="J80" i="2"/>
  <c r="Z80" i="2"/>
  <c r="O81" i="2" l="1"/>
  <c r="AA81" i="2"/>
  <c r="T81" i="2"/>
  <c r="G81" i="2"/>
  <c r="U81" i="2"/>
  <c r="F81" i="2"/>
  <c r="AC81" i="2"/>
  <c r="AI81" i="2"/>
  <c r="Z81" i="2"/>
  <c r="AJ81" i="2"/>
  <c r="N81" i="2"/>
  <c r="AG81" i="2"/>
  <c r="K81" i="2"/>
  <c r="C81" i="2"/>
  <c r="AE81" i="2"/>
  <c r="E81" i="2"/>
  <c r="R81" i="2"/>
  <c r="AO81" i="2"/>
  <c r="AK81" i="2"/>
  <c r="AM81" i="2"/>
  <c r="M81" i="2"/>
  <c r="L81" i="2"/>
  <c r="V81" i="2"/>
  <c r="I81" i="2"/>
  <c r="AD81" i="2"/>
  <c r="P81" i="2"/>
  <c r="AB81" i="2"/>
  <c r="H81" i="2"/>
  <c r="AH81" i="2"/>
  <c r="S81" i="2"/>
  <c r="D81" i="2"/>
  <c r="AN81" i="2"/>
  <c r="X81" i="2"/>
  <c r="AF81" i="2"/>
  <c r="W81" i="2"/>
  <c r="Q81" i="2"/>
  <c r="J81" i="2"/>
  <c r="AL81" i="2"/>
  <c r="Y81" i="2"/>
  <c r="N82" i="2" l="1"/>
  <c r="AN82" i="2"/>
  <c r="Z82" i="2"/>
  <c r="L82" i="2"/>
  <c r="D82" i="2"/>
  <c r="AC82" i="2"/>
  <c r="J82" i="2"/>
  <c r="AH82" i="2"/>
  <c r="F82" i="2"/>
  <c r="W82" i="2"/>
  <c r="AA82" i="2"/>
  <c r="AG82" i="2"/>
  <c r="R82" i="2"/>
  <c r="M82" i="2"/>
  <c r="S82" i="2"/>
  <c r="Y82" i="2"/>
  <c r="U82" i="2"/>
  <c r="P82" i="2"/>
  <c r="AM82" i="2"/>
  <c r="H82" i="2"/>
  <c r="AB82" i="2"/>
  <c r="AO82" i="2"/>
  <c r="AL82" i="2"/>
  <c r="E82" i="2"/>
  <c r="C82" i="2"/>
  <c r="O82" i="2"/>
  <c r="K82" i="2"/>
  <c r="AJ82" i="2"/>
  <c r="AF82" i="2"/>
  <c r="G82" i="2"/>
  <c r="AE82" i="2"/>
  <c r="V82" i="2"/>
  <c r="I82" i="2"/>
  <c r="AD82" i="2"/>
  <c r="Q82" i="2"/>
  <c r="AK82" i="2"/>
  <c r="X82" i="2"/>
  <c r="T82" i="2"/>
  <c r="AI82" i="2"/>
  <c r="N83" i="2" l="1"/>
  <c r="AG83" i="2"/>
  <c r="W83" i="2"/>
  <c r="AN83" i="2"/>
  <c r="S83" i="2"/>
  <c r="E83" i="2"/>
  <c r="AH83" i="2"/>
  <c r="AE83" i="2"/>
  <c r="AB83" i="2"/>
  <c r="M83" i="2"/>
  <c r="P83" i="2"/>
  <c r="L83" i="2"/>
  <c r="D83" i="2"/>
  <c r="Z83" i="2"/>
  <c r="X83" i="2"/>
  <c r="AM83" i="2"/>
  <c r="AK83" i="2"/>
  <c r="H83" i="2"/>
  <c r="T83" i="2"/>
  <c r="AD83" i="2"/>
  <c r="AO83" i="2"/>
  <c r="O83" i="2"/>
  <c r="AF83" i="2"/>
  <c r="K83" i="2"/>
  <c r="F83" i="2"/>
  <c r="Y83" i="2"/>
  <c r="AA83" i="2"/>
  <c r="AL83" i="2"/>
  <c r="V83" i="2"/>
  <c r="U83" i="2"/>
  <c r="I83" i="2"/>
  <c r="AC83" i="2"/>
  <c r="R83" i="2"/>
  <c r="C83" i="2"/>
  <c r="AJ83" i="2"/>
  <c r="G83" i="2"/>
  <c r="J83" i="2"/>
  <c r="AI83" i="2"/>
  <c r="Q83" i="2"/>
  <c r="N84" i="2" l="1"/>
  <c r="E84" i="2"/>
  <c r="Z84" i="2"/>
  <c r="AM84" i="2"/>
  <c r="T84" i="2"/>
  <c r="Q84" i="2"/>
  <c r="P84" i="2"/>
  <c r="F84" i="2"/>
  <c r="G84" i="2"/>
  <c r="D84" i="2"/>
  <c r="AG84" i="2"/>
  <c r="Y84" i="2"/>
  <c r="M84" i="2"/>
  <c r="K84" i="2"/>
  <c r="L84" i="2"/>
  <c r="X84" i="2"/>
  <c r="W84" i="2"/>
  <c r="S84" i="2"/>
  <c r="AI84" i="2"/>
  <c r="U84" i="2"/>
  <c r="AK84" i="2"/>
  <c r="AF84" i="2"/>
  <c r="AA84" i="2"/>
  <c r="O84" i="2"/>
  <c r="AJ84" i="2"/>
  <c r="C84" i="2"/>
  <c r="AL84" i="2"/>
  <c r="I84" i="2"/>
  <c r="AD84" i="2"/>
  <c r="J84" i="2"/>
  <c r="AB84" i="2"/>
  <c r="AN84" i="2"/>
  <c r="AH84" i="2"/>
  <c r="AC84" i="2"/>
  <c r="V84" i="2"/>
  <c r="R84" i="2"/>
  <c r="H84" i="2"/>
  <c r="AO84" i="2"/>
  <c r="AE84" i="2"/>
  <c r="M85" i="2" l="1"/>
  <c r="G85" i="2"/>
  <c r="AG85" i="2"/>
  <c r="AB85" i="2"/>
  <c r="AM85" i="2"/>
  <c r="P85" i="2"/>
  <c r="AC85" i="2"/>
  <c r="AL85" i="2"/>
  <c r="E85" i="2"/>
  <c r="D85" i="2"/>
  <c r="V85" i="2"/>
  <c r="T85" i="2"/>
  <c r="X85" i="2"/>
  <c r="O85" i="2"/>
  <c r="AH85" i="2"/>
  <c r="L85" i="2"/>
  <c r="K85" i="2"/>
  <c r="AO85" i="2"/>
  <c r="AN85" i="2"/>
  <c r="H85" i="2"/>
  <c r="J85" i="2"/>
  <c r="AD85" i="2"/>
  <c r="AI85" i="2"/>
  <c r="N85" i="2"/>
  <c r="F85" i="2"/>
  <c r="Z85" i="2"/>
  <c r="AK85" i="2"/>
  <c r="Y85" i="2"/>
  <c r="R85" i="2"/>
  <c r="AE85" i="2"/>
  <c r="AJ85" i="2"/>
  <c r="C85" i="2"/>
  <c r="I85" i="2"/>
  <c r="S85" i="2"/>
  <c r="Q85" i="2"/>
  <c r="AA85" i="2"/>
  <c r="AF85" i="2"/>
  <c r="W85" i="2"/>
  <c r="U85" i="2"/>
  <c r="M86" i="2" l="1"/>
  <c r="T86" i="2"/>
  <c r="L86" i="2"/>
  <c r="P86" i="2"/>
  <c r="AO86" i="2"/>
  <c r="S86" i="2"/>
  <c r="AA86" i="2"/>
  <c r="R86" i="2"/>
  <c r="AN86" i="2"/>
  <c r="AG86" i="2"/>
  <c r="AC86" i="2"/>
  <c r="N86" i="2"/>
  <c r="AB86" i="2"/>
  <c r="K86" i="2"/>
  <c r="Z86" i="2"/>
  <c r="Y86" i="2"/>
  <c r="J86" i="2"/>
  <c r="AE86" i="2"/>
  <c r="AF86" i="2"/>
  <c r="AK86" i="2"/>
  <c r="W86" i="2"/>
  <c r="O86" i="2"/>
  <c r="C86" i="2"/>
  <c r="AI86" i="2"/>
  <c r="Q86" i="2"/>
  <c r="H86" i="2"/>
  <c r="F86" i="2"/>
  <c r="E86" i="2"/>
  <c r="AL86" i="2"/>
  <c r="D86" i="2"/>
  <c r="AD86" i="2"/>
  <c r="AJ86" i="2"/>
  <c r="V86" i="2"/>
  <c r="I86" i="2"/>
  <c r="AM86" i="2"/>
  <c r="X86" i="2"/>
  <c r="G86" i="2"/>
  <c r="U86" i="2"/>
  <c r="AH86" i="2"/>
  <c r="O87" i="2" l="1"/>
  <c r="I87" i="2"/>
  <c r="AG87" i="2"/>
  <c r="K87" i="2"/>
  <c r="AC87" i="2"/>
  <c r="AJ87" i="2"/>
  <c r="AA87" i="2"/>
  <c r="Z87" i="2"/>
  <c r="U87" i="2"/>
  <c r="C87" i="2"/>
  <c r="AE87" i="2"/>
  <c r="M87" i="2"/>
  <c r="L87" i="2"/>
  <c r="H87" i="2"/>
  <c r="T87" i="2"/>
  <c r="R87" i="2"/>
  <c r="V87" i="2"/>
  <c r="X87" i="2"/>
  <c r="W87" i="2"/>
  <c r="P87" i="2"/>
  <c r="D87" i="2"/>
  <c r="AB87" i="2"/>
  <c r="AF87" i="2"/>
  <c r="N87" i="2"/>
  <c r="AK87" i="2"/>
  <c r="S87" i="2"/>
  <c r="AN87" i="2"/>
  <c r="Y87" i="2"/>
  <c r="AM87" i="2"/>
  <c r="AL87" i="2"/>
  <c r="J87" i="2"/>
  <c r="E87" i="2"/>
  <c r="Q87" i="2"/>
  <c r="AO87" i="2"/>
  <c r="AI87" i="2"/>
  <c r="AH87" i="2"/>
  <c r="F87" i="2"/>
  <c r="G87" i="2"/>
  <c r="AD87" i="2"/>
  <c r="O88" i="2" l="1"/>
  <c r="T88" i="2"/>
  <c r="H88" i="2"/>
  <c r="Q88" i="2"/>
  <c r="R88" i="2"/>
  <c r="J88" i="2"/>
  <c r="V88" i="2"/>
  <c r="I88" i="2"/>
  <c r="AG88" i="2"/>
  <c r="E88" i="2"/>
  <c r="AE88" i="2"/>
  <c r="Y88" i="2"/>
  <c r="M88" i="2"/>
  <c r="AD88" i="2"/>
  <c r="L88" i="2"/>
  <c r="X88" i="2"/>
  <c r="W88" i="2"/>
  <c r="AH88" i="2"/>
  <c r="F88" i="2"/>
  <c r="AJ88" i="2"/>
  <c r="S88" i="2"/>
  <c r="AM88" i="2"/>
  <c r="D88" i="2"/>
  <c r="N88" i="2"/>
  <c r="AA88" i="2"/>
  <c r="K88" i="2"/>
  <c r="Z88" i="2"/>
  <c r="P88" i="2"/>
  <c r="U88" i="2"/>
  <c r="AC88" i="2"/>
  <c r="AF88" i="2"/>
  <c r="AN88" i="2"/>
  <c r="AK88" i="2"/>
  <c r="C88" i="2"/>
  <c r="G88" i="2"/>
  <c r="AL88" i="2"/>
  <c r="AB88" i="2"/>
  <c r="AO88" i="2"/>
  <c r="AI88" i="2"/>
  <c r="O89" i="2" l="1"/>
  <c r="P89" i="2"/>
  <c r="W89" i="2"/>
  <c r="AF89" i="2"/>
  <c r="Y89" i="2"/>
  <c r="AA89" i="2"/>
  <c r="C89" i="2"/>
  <c r="Z89" i="2"/>
  <c r="T89" i="2"/>
  <c r="X89" i="2"/>
  <c r="Q89" i="2"/>
  <c r="AO89" i="2"/>
  <c r="E89" i="2"/>
  <c r="AL89" i="2"/>
  <c r="N89" i="2"/>
  <c r="AI89" i="2"/>
  <c r="L89" i="2"/>
  <c r="K89" i="2"/>
  <c r="H89" i="2"/>
  <c r="I89" i="2"/>
  <c r="V89" i="2"/>
  <c r="J89" i="2"/>
  <c r="AN89" i="2"/>
  <c r="AH89" i="2"/>
  <c r="R89" i="2"/>
  <c r="U89" i="2"/>
  <c r="AM89" i="2"/>
  <c r="M89" i="2"/>
  <c r="AC89" i="2"/>
  <c r="AE89" i="2"/>
  <c r="G89" i="2"/>
  <c r="S89" i="2"/>
  <c r="AG89" i="2"/>
  <c r="AJ89" i="2"/>
  <c r="AD89" i="2"/>
  <c r="D89" i="2"/>
  <c r="AK89" i="2"/>
  <c r="F89" i="2"/>
  <c r="AB89" i="2"/>
  <c r="O90" i="2" l="1"/>
  <c r="Y90" i="2"/>
  <c r="S90" i="2"/>
  <c r="AA90" i="2"/>
  <c r="Z90" i="2"/>
  <c r="P90" i="2"/>
  <c r="AF90" i="2"/>
  <c r="G90" i="2"/>
  <c r="D90" i="2"/>
  <c r="AD90" i="2"/>
  <c r="J90" i="2"/>
  <c r="N90" i="2"/>
  <c r="AG90" i="2"/>
  <c r="K90" i="2"/>
  <c r="F90" i="2"/>
  <c r="I90" i="2"/>
  <c r="C90" i="2"/>
  <c r="R90" i="2"/>
  <c r="AL90" i="2"/>
  <c r="V90" i="2"/>
  <c r="T90" i="2"/>
  <c r="AC90" i="2"/>
  <c r="M90" i="2"/>
  <c r="H90" i="2"/>
  <c r="L90" i="2"/>
  <c r="AE90" i="2"/>
  <c r="W90" i="2"/>
  <c r="AI90" i="2"/>
  <c r="AO90" i="2"/>
  <c r="Q90" i="2"/>
  <c r="AN90" i="2"/>
  <c r="U90" i="2"/>
  <c r="E90" i="2"/>
  <c r="AB90" i="2"/>
  <c r="AH90" i="2"/>
  <c r="AK90" i="2"/>
  <c r="X90" i="2"/>
  <c r="AJ90" i="2"/>
  <c r="AM90" i="2"/>
  <c r="M91" i="2" l="1"/>
  <c r="G91" i="2"/>
  <c r="E91" i="2"/>
  <c r="N91" i="2"/>
  <c r="L91" i="2"/>
  <c r="X91" i="2"/>
  <c r="AI91" i="2"/>
  <c r="AL91" i="2"/>
  <c r="P91" i="2"/>
  <c r="AJ91" i="2"/>
  <c r="T91" i="2"/>
  <c r="O91" i="2"/>
  <c r="AA91" i="2"/>
  <c r="K91" i="2"/>
  <c r="F91" i="2"/>
  <c r="Y91" i="2"/>
  <c r="AO91" i="2"/>
  <c r="AE91" i="2"/>
  <c r="AH91" i="2"/>
  <c r="AC91" i="2"/>
  <c r="AF91" i="2"/>
  <c r="S91" i="2"/>
  <c r="AG91" i="2"/>
  <c r="AM91" i="2"/>
  <c r="AD91" i="2"/>
  <c r="Z91" i="2"/>
  <c r="R91" i="2"/>
  <c r="I91" i="2"/>
  <c r="C91" i="2"/>
  <c r="V91" i="2"/>
  <c r="AK91" i="2"/>
  <c r="Q91" i="2"/>
  <c r="H91" i="2"/>
  <c r="U91" i="2"/>
  <c r="W91" i="2"/>
  <c r="AN91" i="2"/>
  <c r="AB91" i="2"/>
  <c r="D91" i="2"/>
  <c r="J91" i="2"/>
  <c r="M92" i="2" l="1"/>
  <c r="AL92" i="2"/>
  <c r="L92" i="2"/>
  <c r="Q92" i="2"/>
  <c r="F92" i="2"/>
  <c r="AG92" i="2"/>
  <c r="J92" i="2"/>
  <c r="S92" i="2"/>
  <c r="O92" i="2"/>
  <c r="AB92" i="2"/>
  <c r="K92" i="2"/>
  <c r="Z92" i="2"/>
  <c r="Y92" i="2"/>
  <c r="D92" i="2"/>
  <c r="R92" i="2"/>
  <c r="C92" i="2"/>
  <c r="AJ92" i="2"/>
  <c r="AD92" i="2"/>
  <c r="T92" i="2"/>
  <c r="E92" i="2"/>
  <c r="AF92" i="2"/>
  <c r="AE92" i="2"/>
  <c r="V92" i="2"/>
  <c r="N92" i="2"/>
  <c r="AA92" i="2"/>
  <c r="G92" i="2"/>
  <c r="H92" i="2"/>
  <c r="AC92" i="2"/>
  <c r="AK92" i="2"/>
  <c r="X92" i="2"/>
  <c r="W92" i="2"/>
  <c r="AI92" i="2"/>
  <c r="I92" i="2"/>
  <c r="AM92" i="2"/>
  <c r="P92" i="2"/>
  <c r="AO92" i="2"/>
  <c r="U92" i="2"/>
  <c r="AH92" i="2"/>
  <c r="AN92" i="2"/>
  <c r="M93" i="2" l="1"/>
  <c r="J93" i="2"/>
  <c r="L93" i="2"/>
  <c r="I93" i="2"/>
  <c r="AG93" i="2"/>
  <c r="AC93" i="2"/>
  <c r="S93" i="2"/>
  <c r="D93" i="2"/>
  <c r="Z93" i="2"/>
  <c r="C93" i="2"/>
  <c r="AA93" i="2"/>
  <c r="O93" i="2"/>
  <c r="AJ93" i="2"/>
  <c r="F93" i="2"/>
  <c r="AO93" i="2"/>
  <c r="Y93" i="2"/>
  <c r="R93" i="2"/>
  <c r="W93" i="2"/>
  <c r="U93" i="2"/>
  <c r="AL93" i="2"/>
  <c r="H93" i="2"/>
  <c r="N93" i="2"/>
  <c r="G93" i="2"/>
  <c r="K93" i="2"/>
  <c r="AE93" i="2"/>
  <c r="AF93" i="2"/>
  <c r="P93" i="2"/>
  <c r="V93" i="2"/>
  <c r="AK93" i="2"/>
  <c r="AI93" i="2"/>
  <c r="AN93" i="2"/>
  <c r="X93" i="2"/>
  <c r="AH93" i="2"/>
  <c r="AB93" i="2"/>
  <c r="E93" i="2"/>
  <c r="AD93" i="2"/>
  <c r="AM93" i="2"/>
  <c r="T93" i="2"/>
  <c r="Q93" i="2"/>
  <c r="M94" i="2" l="1"/>
  <c r="AF94" i="2"/>
  <c r="AO94" i="2"/>
  <c r="N94" i="2"/>
  <c r="K94" i="2"/>
  <c r="AC94" i="2"/>
  <c r="Q94" i="2"/>
  <c r="AA94" i="2"/>
  <c r="P94" i="2"/>
  <c r="Y94" i="2"/>
  <c r="J94" i="2"/>
  <c r="U94" i="2"/>
  <c r="AM94" i="2"/>
  <c r="R94" i="2"/>
  <c r="AH94" i="2"/>
  <c r="D94" i="2"/>
  <c r="O94" i="2"/>
  <c r="S94" i="2"/>
  <c r="L94" i="2"/>
  <c r="AI94" i="2"/>
  <c r="AL94" i="2"/>
  <c r="X94" i="2"/>
  <c r="AD94" i="2"/>
  <c r="AE94" i="2"/>
  <c r="AK94" i="2"/>
  <c r="E94" i="2"/>
  <c r="Z94" i="2"/>
  <c r="G94" i="2"/>
  <c r="H94" i="2"/>
  <c r="AN94" i="2"/>
  <c r="F94" i="2"/>
  <c r="AJ94" i="2"/>
  <c r="AG94" i="2"/>
  <c r="T94" i="2"/>
  <c r="AB94" i="2"/>
  <c r="I94" i="2"/>
  <c r="C94" i="2"/>
  <c r="V94" i="2"/>
  <c r="W94" i="2"/>
  <c r="O95" i="2" l="1"/>
  <c r="AB95" i="2"/>
  <c r="Q95" i="2"/>
  <c r="L95" i="2"/>
  <c r="R95" i="2"/>
  <c r="P95" i="2"/>
  <c r="AK95" i="2"/>
  <c r="W95" i="2"/>
  <c r="D95" i="2"/>
  <c r="AC95" i="2"/>
  <c r="AA95" i="2"/>
  <c r="AE95" i="2"/>
  <c r="N95" i="2"/>
  <c r="AI95" i="2"/>
  <c r="K95" i="2"/>
  <c r="T95" i="2"/>
  <c r="Z95" i="2"/>
  <c r="F95" i="2"/>
  <c r="AL95" i="2"/>
  <c r="V95" i="2"/>
  <c r="E95" i="2"/>
  <c r="AF95" i="2"/>
  <c r="AD95" i="2"/>
  <c r="C95" i="2"/>
  <c r="M95" i="2"/>
  <c r="S95" i="2"/>
  <c r="I95" i="2"/>
  <c r="AG95" i="2"/>
  <c r="Y95" i="2"/>
  <c r="H95" i="2"/>
  <c r="AJ95" i="2"/>
  <c r="J95" i="2"/>
  <c r="U95" i="2"/>
  <c r="AH95" i="2"/>
  <c r="AM95" i="2"/>
  <c r="AO95" i="2"/>
  <c r="G95" i="2"/>
  <c r="X95" i="2"/>
  <c r="AN95" i="2"/>
  <c r="O96" i="2" l="1"/>
  <c r="G96" i="2"/>
  <c r="AJ96" i="2"/>
  <c r="N96" i="2"/>
  <c r="X96" i="2"/>
  <c r="L96" i="2"/>
  <c r="W96" i="2"/>
  <c r="V96" i="2"/>
  <c r="P96" i="2"/>
  <c r="J96" i="2"/>
  <c r="Q96" i="2"/>
  <c r="E96" i="2"/>
  <c r="AF96" i="2"/>
  <c r="M96" i="2"/>
  <c r="K96" i="2"/>
  <c r="U96" i="2"/>
  <c r="AB96" i="2"/>
  <c r="F96" i="2"/>
  <c r="AM96" i="2"/>
  <c r="Y96" i="2"/>
  <c r="AE96" i="2"/>
  <c r="Z96" i="2"/>
  <c r="H96" i="2"/>
  <c r="C96" i="2"/>
  <c r="S96" i="2"/>
  <c r="R96" i="2"/>
  <c r="AH96" i="2"/>
  <c r="AD96" i="2"/>
  <c r="AL96" i="2"/>
  <c r="AG96" i="2"/>
  <c r="AO96" i="2"/>
  <c r="I96" i="2"/>
  <c r="AI96" i="2"/>
  <c r="D96" i="2"/>
  <c r="AA96" i="2"/>
  <c r="AN96" i="2"/>
  <c r="AK96" i="2"/>
  <c r="AC96" i="2"/>
  <c r="T96" i="2"/>
  <c r="O97" i="2" l="1"/>
  <c r="Y97" i="2"/>
  <c r="AN97" i="2"/>
  <c r="AE97" i="2"/>
  <c r="AF97" i="2"/>
  <c r="U97" i="2"/>
  <c r="AM97" i="2"/>
  <c r="R97" i="2"/>
  <c r="F97" i="2"/>
  <c r="D97" i="2"/>
  <c r="Z97" i="2"/>
  <c r="M97" i="2"/>
  <c r="V97" i="2"/>
  <c r="L97" i="2"/>
  <c r="S97" i="2"/>
  <c r="J97" i="2"/>
  <c r="AJ97" i="2"/>
  <c r="AD97" i="2"/>
  <c r="X97" i="2"/>
  <c r="H97" i="2"/>
  <c r="I97" i="2"/>
  <c r="AK97" i="2"/>
  <c r="AA97" i="2"/>
  <c r="N97" i="2"/>
  <c r="K97" i="2"/>
  <c r="C97" i="2"/>
  <c r="W97" i="2"/>
  <c r="Q97" i="2"/>
  <c r="AB97" i="2"/>
  <c r="T97" i="2"/>
  <c r="G97" i="2"/>
  <c r="AL97" i="2"/>
  <c r="AI97" i="2"/>
  <c r="AG97" i="2"/>
  <c r="P97" i="2"/>
  <c r="AO97" i="2"/>
  <c r="AH97" i="2"/>
  <c r="AC97" i="2"/>
  <c r="E97" i="2"/>
  <c r="O98" i="2" l="1"/>
  <c r="E98" i="2"/>
  <c r="D98" i="2"/>
  <c r="Y98" i="2"/>
  <c r="F98" i="2"/>
  <c r="J98" i="2"/>
  <c r="AM98" i="2"/>
  <c r="R98" i="2"/>
  <c r="G98" i="2"/>
  <c r="X98" i="2"/>
  <c r="Z98" i="2"/>
  <c r="M98" i="2"/>
  <c r="H98" i="2"/>
  <c r="L98" i="2"/>
  <c r="W98" i="2"/>
  <c r="V98" i="2"/>
  <c r="AH98" i="2"/>
  <c r="I98" i="2"/>
  <c r="AI98" i="2"/>
  <c r="AG98" i="2"/>
  <c r="S98" i="2"/>
  <c r="AN98" i="2"/>
  <c r="N98" i="2"/>
  <c r="K98" i="2"/>
  <c r="AJ98" i="2"/>
  <c r="AF98" i="2"/>
  <c r="AA98" i="2"/>
  <c r="C98" i="2"/>
  <c r="Q98" i="2"/>
  <c r="T98" i="2"/>
  <c r="AO98" i="2"/>
  <c r="AK98" i="2"/>
  <c r="AL98" i="2"/>
  <c r="AC98" i="2"/>
  <c r="AB98" i="2"/>
  <c r="AD98" i="2"/>
  <c r="AE98" i="2"/>
  <c r="P98" i="2"/>
  <c r="U98" i="2"/>
  <c r="O99" i="2" l="1"/>
  <c r="AH99" i="2"/>
  <c r="V99" i="2"/>
  <c r="M99" i="2"/>
  <c r="L99" i="2"/>
  <c r="AC99" i="2"/>
  <c r="G99" i="2"/>
  <c r="AF99" i="2"/>
  <c r="AB99" i="2"/>
  <c r="AK99" i="2"/>
  <c r="C99" i="2"/>
  <c r="W99" i="2"/>
  <c r="Q99" i="2"/>
  <c r="AO99" i="2"/>
  <c r="AA99" i="2"/>
  <c r="AI99" i="2"/>
  <c r="N99" i="2"/>
  <c r="K99" i="2"/>
  <c r="I99" i="2"/>
  <c r="Z99" i="2"/>
  <c r="X99" i="2"/>
  <c r="T99" i="2"/>
  <c r="AJ99" i="2"/>
  <c r="E99" i="2"/>
  <c r="H99" i="2"/>
  <c r="U99" i="2"/>
  <c r="AD99" i="2"/>
  <c r="Y99" i="2"/>
  <c r="P99" i="2"/>
  <c r="AM99" i="2"/>
  <c r="AL99" i="2"/>
  <c r="S99" i="2"/>
  <c r="F99" i="2"/>
  <c r="AE99" i="2"/>
  <c r="AN99" i="2"/>
  <c r="D99" i="2"/>
  <c r="R99" i="2"/>
  <c r="AG99" i="2"/>
  <c r="J99" i="2"/>
  <c r="O100" i="2" l="1"/>
  <c r="AI100" i="2"/>
  <c r="AL100" i="2"/>
  <c r="M100" i="2"/>
  <c r="L100" i="2"/>
  <c r="F100" i="2"/>
  <c r="AB100" i="2"/>
  <c r="X100" i="2"/>
  <c r="U100" i="2"/>
  <c r="S100" i="2"/>
  <c r="C100" i="2"/>
  <c r="G100" i="2"/>
  <c r="P100" i="2"/>
  <c r="E100" i="2"/>
  <c r="D100" i="2"/>
  <c r="N100" i="2"/>
  <c r="J100" i="2"/>
  <c r="K100" i="2"/>
  <c r="Q100" i="2"/>
  <c r="AA100" i="2"/>
  <c r="AM100" i="2"/>
  <c r="R100" i="2"/>
  <c r="AO100" i="2"/>
  <c r="AN100" i="2"/>
  <c r="W100" i="2"/>
  <c r="AD100" i="2"/>
  <c r="T100" i="2"/>
  <c r="AH100" i="2"/>
  <c r="H100" i="2"/>
  <c r="AG100" i="2"/>
  <c r="AC100" i="2"/>
  <c r="I100" i="2"/>
  <c r="AJ100" i="2"/>
  <c r="AE100" i="2"/>
  <c r="Z100" i="2"/>
  <c r="AF100" i="2"/>
  <c r="V100" i="2"/>
  <c r="Y100" i="2"/>
  <c r="AK100" i="2"/>
  <c r="O101" i="2" l="1"/>
  <c r="X101" i="2"/>
  <c r="AC101" i="2"/>
  <c r="M101" i="2"/>
  <c r="L101" i="2"/>
  <c r="AH101" i="2"/>
  <c r="V101" i="2"/>
  <c r="AD101" i="2"/>
  <c r="AK101" i="2"/>
  <c r="AI101" i="2"/>
  <c r="H101" i="2"/>
  <c r="P101" i="2"/>
  <c r="AA101" i="2"/>
  <c r="D101" i="2"/>
  <c r="AG101" i="2"/>
  <c r="N101" i="2"/>
  <c r="K101" i="2"/>
  <c r="R101" i="2"/>
  <c r="S101" i="2"/>
  <c r="U101" i="2"/>
  <c r="T101" i="2"/>
  <c r="AO101" i="2"/>
  <c r="J101" i="2"/>
  <c r="C101" i="2"/>
  <c r="AE101" i="2"/>
  <c r="AB101" i="2"/>
  <c r="W101" i="2"/>
  <c r="AL101" i="2"/>
  <c r="Q101" i="2"/>
  <c r="F101" i="2"/>
  <c r="AJ101" i="2"/>
  <c r="AM101" i="2"/>
  <c r="AF101" i="2"/>
  <c r="G101" i="2"/>
  <c r="E101" i="2"/>
  <c r="I101" i="2"/>
  <c r="Y101" i="2"/>
  <c r="AN101" i="2"/>
  <c r="Z101" i="2"/>
  <c r="N102" i="2" l="1"/>
  <c r="S102" i="2"/>
  <c r="L102" i="2"/>
  <c r="F102" i="2"/>
  <c r="P102" i="2"/>
  <c r="X102" i="2"/>
  <c r="W102" i="2"/>
  <c r="J102" i="2"/>
  <c r="AB102" i="2"/>
  <c r="C102" i="2"/>
  <c r="AF102" i="2"/>
  <c r="AK102" i="2"/>
  <c r="G102" i="2"/>
  <c r="O102" i="2"/>
  <c r="I102" i="2"/>
  <c r="R102" i="2"/>
  <c r="H102" i="2"/>
  <c r="K102" i="2"/>
  <c r="U102" i="2"/>
  <c r="AE102" i="2"/>
  <c r="AL102" i="2"/>
  <c r="V102" i="2"/>
  <c r="AM102" i="2"/>
  <c r="AO102" i="2"/>
  <c r="D102" i="2"/>
  <c r="M102" i="2"/>
  <c r="Q102" i="2"/>
  <c r="AH102" i="2"/>
  <c r="Y102" i="2"/>
  <c r="AN102" i="2"/>
  <c r="AG102" i="2"/>
  <c r="AJ102" i="2"/>
  <c r="AI102" i="2"/>
  <c r="AA102" i="2"/>
  <c r="AD102" i="2"/>
  <c r="AC102" i="2"/>
  <c r="E102" i="2"/>
  <c r="Z102" i="2"/>
  <c r="T102" i="2"/>
  <c r="N103" i="2" l="1"/>
  <c r="H103" i="2"/>
  <c r="AM103" i="2"/>
  <c r="M103" i="2"/>
  <c r="L103" i="2"/>
  <c r="AN103" i="2"/>
  <c r="AO103" i="2"/>
  <c r="AD103" i="2"/>
  <c r="Y103" i="2"/>
  <c r="Z103" i="2"/>
  <c r="R103" i="2"/>
  <c r="T103" i="2"/>
  <c r="E103" i="2"/>
  <c r="AK103" i="2"/>
  <c r="O103" i="2"/>
  <c r="S103" i="2"/>
  <c r="K103" i="2"/>
  <c r="AJ103" i="2"/>
  <c r="AL103" i="2"/>
  <c r="J103" i="2"/>
  <c r="I103" i="2"/>
  <c r="AB103" i="2"/>
  <c r="AF103" i="2"/>
  <c r="D103" i="2"/>
  <c r="AC103" i="2"/>
  <c r="AH103" i="2"/>
  <c r="F103" i="2"/>
  <c r="V103" i="2"/>
  <c r="X103" i="2"/>
  <c r="W103" i="2"/>
  <c r="Q103" i="2"/>
  <c r="AI103" i="2"/>
  <c r="C103" i="2"/>
  <c r="AG103" i="2"/>
  <c r="AE103" i="2"/>
  <c r="P103" i="2"/>
  <c r="U103" i="2"/>
  <c r="AA103" i="2"/>
  <c r="G103" i="2"/>
  <c r="N104" i="2" l="1"/>
  <c r="AC104" i="2"/>
  <c r="L104" i="2"/>
  <c r="AJ104" i="2"/>
  <c r="R104" i="2"/>
  <c r="Q104" i="2"/>
  <c r="T104" i="2"/>
  <c r="J104" i="2"/>
  <c r="I104" i="2"/>
  <c r="AD104" i="2"/>
  <c r="S104" i="2"/>
  <c r="E104" i="2"/>
  <c r="O104" i="2"/>
  <c r="AE104" i="2"/>
  <c r="G104" i="2"/>
  <c r="D104" i="2"/>
  <c r="W104" i="2"/>
  <c r="Z104" i="2"/>
  <c r="C104" i="2"/>
  <c r="Y104" i="2"/>
  <c r="AN104" i="2"/>
  <c r="AB104" i="2"/>
  <c r="AF104" i="2"/>
  <c r="M104" i="2"/>
  <c r="AH104" i="2"/>
  <c r="K104" i="2"/>
  <c r="F104" i="2"/>
  <c r="V104" i="2"/>
  <c r="AM104" i="2"/>
  <c r="AL104" i="2"/>
  <c r="H104" i="2"/>
  <c r="U104" i="2"/>
  <c r="X104" i="2"/>
  <c r="AI104" i="2"/>
  <c r="P104" i="2"/>
  <c r="AK104" i="2"/>
  <c r="AO104" i="2"/>
  <c r="AA104" i="2"/>
  <c r="AG104" i="2"/>
  <c r="N105" i="2" l="1"/>
  <c r="AL105" i="2"/>
  <c r="L105" i="2"/>
  <c r="AA105" i="2"/>
  <c r="Z105" i="2"/>
  <c r="AC105" i="2"/>
  <c r="AI105" i="2"/>
  <c r="F105" i="2"/>
  <c r="AB105" i="2"/>
  <c r="R105" i="2"/>
  <c r="C105" i="2"/>
  <c r="Q105" i="2"/>
  <c r="O105" i="2"/>
  <c r="I105" i="2"/>
  <c r="G105" i="2"/>
  <c r="S105" i="2"/>
  <c r="V105" i="2"/>
  <c r="U105" i="2"/>
  <c r="D105" i="2"/>
  <c r="P105" i="2"/>
  <c r="AF105" i="2"/>
  <c r="AE105" i="2"/>
  <c r="W105" i="2"/>
  <c r="M105" i="2"/>
  <c r="AK105" i="2"/>
  <c r="K105" i="2"/>
  <c r="H105" i="2"/>
  <c r="X105" i="2"/>
  <c r="AM105" i="2"/>
  <c r="J105" i="2"/>
  <c r="T105" i="2"/>
  <c r="AO105" i="2"/>
  <c r="AJ105" i="2"/>
  <c r="AG105" i="2"/>
  <c r="Y105" i="2"/>
  <c r="AH105" i="2"/>
  <c r="AD105" i="2"/>
  <c r="E105" i="2"/>
  <c r="AN105" i="2"/>
  <c r="N106" i="2" l="1"/>
  <c r="C106" i="2"/>
  <c r="M106" i="2"/>
  <c r="O106" i="2"/>
  <c r="V106" i="2"/>
  <c r="K106" i="2"/>
  <c r="J106" i="2"/>
  <c r="AJ106" i="2"/>
  <c r="AF106" i="2"/>
  <c r="S106" i="2"/>
  <c r="AN106" i="2"/>
  <c r="Q106" i="2"/>
  <c r="W106" i="2"/>
  <c r="AL106" i="2"/>
  <c r="R106" i="2"/>
  <c r="G106" i="2"/>
  <c r="AK106" i="2"/>
  <c r="T106" i="2"/>
  <c r="H106" i="2"/>
  <c r="I106" i="2"/>
  <c r="AI106" i="2"/>
  <c r="D106" i="2"/>
  <c r="AM106" i="2"/>
  <c r="E106" i="2"/>
  <c r="P106" i="2"/>
  <c r="X106" i="2"/>
  <c r="AE106" i="2"/>
  <c r="L106" i="2"/>
  <c r="AD106" i="2"/>
  <c r="AO106" i="2"/>
  <c r="AC106" i="2"/>
  <c r="AA106" i="2"/>
  <c r="Z106" i="2"/>
  <c r="F106" i="2"/>
  <c r="Y106" i="2"/>
  <c r="AB106" i="2"/>
  <c r="AG106" i="2"/>
  <c r="AH106" i="2"/>
  <c r="U106" i="2"/>
  <c r="N107" i="2" l="1"/>
  <c r="I107" i="2"/>
  <c r="W107" i="2"/>
  <c r="K107" i="2"/>
  <c r="P107" i="2"/>
  <c r="AI107" i="2"/>
  <c r="AF107" i="2"/>
  <c r="AL107" i="2"/>
  <c r="H107" i="2"/>
  <c r="S107" i="2"/>
  <c r="AD107" i="2"/>
  <c r="J107" i="2"/>
  <c r="AE107" i="2"/>
  <c r="O107" i="2"/>
  <c r="V107" i="2"/>
  <c r="Z107" i="2"/>
  <c r="Y107" i="2"/>
  <c r="X107" i="2"/>
  <c r="AN107" i="2"/>
  <c r="AM107" i="2"/>
  <c r="AH107" i="2"/>
  <c r="AG107" i="2"/>
  <c r="AJ107" i="2"/>
  <c r="E107" i="2"/>
  <c r="M107" i="2"/>
  <c r="L107" i="2"/>
  <c r="AO107" i="2"/>
  <c r="AB107" i="2"/>
  <c r="R107" i="2"/>
  <c r="AC107" i="2"/>
  <c r="AA107" i="2"/>
  <c r="D107" i="2"/>
  <c r="G107" i="2"/>
  <c r="F107" i="2"/>
  <c r="Q107" i="2"/>
  <c r="AK107" i="2"/>
  <c r="T107" i="2"/>
  <c r="U107" i="2"/>
  <c r="C107" i="2"/>
  <c r="O108" i="2" l="1"/>
  <c r="Y108" i="2"/>
  <c r="AJ108" i="2"/>
  <c r="K108" i="2"/>
  <c r="AH108" i="2"/>
  <c r="V108" i="2"/>
  <c r="AD108" i="2"/>
  <c r="Q108" i="2"/>
  <c r="AE108" i="2"/>
  <c r="AI108" i="2"/>
  <c r="H108" i="2"/>
  <c r="M108" i="2"/>
  <c r="T108" i="2"/>
  <c r="L108" i="2"/>
  <c r="S108" i="2"/>
  <c r="E108" i="2"/>
  <c r="AL108" i="2"/>
  <c r="AM108" i="2"/>
  <c r="AC108" i="2"/>
  <c r="AO108" i="2"/>
  <c r="Z108" i="2"/>
  <c r="J108" i="2"/>
  <c r="C108" i="2"/>
  <c r="X108" i="2"/>
  <c r="AN108" i="2"/>
  <c r="N108" i="2"/>
  <c r="G108" i="2"/>
  <c r="I108" i="2"/>
  <c r="R108" i="2"/>
  <c r="AG108" i="2"/>
  <c r="AA108" i="2"/>
  <c r="AB108" i="2"/>
  <c r="D108" i="2"/>
  <c r="AK108" i="2"/>
  <c r="U108" i="2"/>
  <c r="W108" i="2"/>
  <c r="P108" i="2"/>
  <c r="F108" i="2"/>
  <c r="AF108" i="2"/>
  <c r="M109" i="2" l="1"/>
  <c r="E109" i="2"/>
  <c r="AB109" i="2"/>
  <c r="AA109" i="2"/>
  <c r="AE109" i="2"/>
  <c r="Z109" i="2"/>
  <c r="D109" i="2"/>
  <c r="V109" i="2"/>
  <c r="AH109" i="2"/>
  <c r="AG109" i="2"/>
  <c r="P109" i="2"/>
  <c r="AI109" i="2"/>
  <c r="Q109" i="2"/>
  <c r="R109" i="2"/>
  <c r="N109" i="2"/>
  <c r="K109" i="2"/>
  <c r="L109" i="2"/>
  <c r="W109" i="2"/>
  <c r="AJ109" i="2"/>
  <c r="AK109" i="2"/>
  <c r="AF109" i="2"/>
  <c r="AC109" i="2"/>
  <c r="C109" i="2"/>
  <c r="U109" i="2"/>
  <c r="AN109" i="2"/>
  <c r="O109" i="2"/>
  <c r="AO109" i="2"/>
  <c r="I109" i="2"/>
  <c r="Y109" i="2"/>
  <c r="X109" i="2"/>
  <c r="T109" i="2"/>
  <c r="H109" i="2"/>
  <c r="G109" i="2"/>
  <c r="AL109" i="2"/>
  <c r="J109" i="2"/>
  <c r="S109" i="2"/>
  <c r="F109" i="2"/>
  <c r="AD109" i="2"/>
  <c r="AM109" i="2"/>
  <c r="O110" i="2" l="1"/>
  <c r="Y110" i="2"/>
  <c r="AH110" i="2"/>
  <c r="L110" i="2"/>
  <c r="K110" i="2"/>
  <c r="AA110" i="2"/>
  <c r="AD110" i="2"/>
  <c r="P110" i="2"/>
  <c r="AI110" i="2"/>
  <c r="Z110" i="2"/>
  <c r="F110" i="2"/>
  <c r="U110" i="2"/>
  <c r="N110" i="2"/>
  <c r="AB110" i="2"/>
  <c r="J110" i="2"/>
  <c r="R110" i="2"/>
  <c r="S110" i="2"/>
  <c r="H110" i="2"/>
  <c r="AJ110" i="2"/>
  <c r="AK110" i="2"/>
  <c r="AF110" i="2"/>
  <c r="AC110" i="2"/>
  <c r="V110" i="2"/>
  <c r="AL110" i="2"/>
  <c r="AE110" i="2"/>
  <c r="M110" i="2"/>
  <c r="X110" i="2"/>
  <c r="W110" i="2"/>
  <c r="AM110" i="2"/>
  <c r="I110" i="2"/>
  <c r="D110" i="2"/>
  <c r="AO110" i="2"/>
  <c r="AG110" i="2"/>
  <c r="C110" i="2"/>
  <c r="Q110" i="2"/>
  <c r="T110" i="2"/>
  <c r="G110" i="2"/>
  <c r="AN110" i="2"/>
  <c r="E110" i="2"/>
  <c r="O111" i="2" l="1"/>
  <c r="AB111" i="2"/>
  <c r="J111" i="2"/>
  <c r="L111" i="2"/>
  <c r="AO111" i="2"/>
  <c r="S111" i="2"/>
  <c r="AC111" i="2"/>
  <c r="F111" i="2"/>
  <c r="AL111" i="2"/>
  <c r="AJ111" i="2"/>
  <c r="AI111" i="2"/>
  <c r="AH111" i="2"/>
  <c r="AE111" i="2"/>
  <c r="M111" i="2"/>
  <c r="V111" i="2"/>
  <c r="AD111" i="2"/>
  <c r="K111" i="2"/>
  <c r="AK111" i="2"/>
  <c r="D111" i="2"/>
  <c r="Z111" i="2"/>
  <c r="Q111" i="2"/>
  <c r="AM111" i="2"/>
  <c r="U111" i="2"/>
  <c r="P111" i="2"/>
  <c r="N111" i="2"/>
  <c r="E111" i="2"/>
  <c r="AA111" i="2"/>
  <c r="X111" i="2"/>
  <c r="AG111" i="2"/>
  <c r="G111" i="2"/>
  <c r="H111" i="2"/>
  <c r="T111" i="2"/>
  <c r="W111" i="2"/>
  <c r="Y111" i="2"/>
  <c r="I111" i="2"/>
  <c r="C111" i="2"/>
  <c r="R111" i="2"/>
  <c r="AF111" i="2"/>
  <c r="AN111" i="2"/>
  <c r="O112" i="2" l="1"/>
  <c r="F112" i="2"/>
  <c r="D112" i="2"/>
  <c r="T112" i="2"/>
  <c r="L112" i="2"/>
  <c r="AJ112" i="2"/>
  <c r="P112" i="2"/>
  <c r="I112" i="2"/>
  <c r="AO112" i="2"/>
  <c r="AF112" i="2"/>
  <c r="H112" i="2"/>
  <c r="AK112" i="2"/>
  <c r="AH112" i="2"/>
  <c r="X112" i="2"/>
  <c r="U112" i="2"/>
  <c r="M112" i="2"/>
  <c r="K112" i="2"/>
  <c r="AG112" i="2"/>
  <c r="AL112" i="2"/>
  <c r="AN112" i="2"/>
  <c r="C112" i="2"/>
  <c r="AI112" i="2"/>
  <c r="AA112" i="2"/>
  <c r="AC112" i="2"/>
  <c r="AB112" i="2"/>
  <c r="N112" i="2"/>
  <c r="G112" i="2"/>
  <c r="E112" i="2"/>
  <c r="J112" i="2"/>
  <c r="Q112" i="2"/>
  <c r="AM112" i="2"/>
  <c r="Z112" i="2"/>
  <c r="Y112" i="2"/>
  <c r="V112" i="2"/>
  <c r="AE112" i="2"/>
  <c r="AD112" i="2"/>
  <c r="W112" i="2"/>
  <c r="S112" i="2"/>
  <c r="R112" i="2"/>
  <c r="M113" i="2" l="1"/>
  <c r="U113" i="2"/>
  <c r="C113" i="2"/>
  <c r="N113" i="2"/>
  <c r="L113" i="2"/>
  <c r="H113" i="2"/>
  <c r="K113" i="2"/>
  <c r="E113" i="2"/>
  <c r="AM113" i="2"/>
  <c r="W113" i="2"/>
  <c r="AJ113" i="2"/>
  <c r="AE113" i="2"/>
  <c r="AA113" i="2"/>
  <c r="AO113" i="2"/>
  <c r="O113" i="2"/>
  <c r="AN113" i="2"/>
  <c r="Q113" i="2"/>
  <c r="AK113" i="2"/>
  <c r="S113" i="2"/>
  <c r="D113" i="2"/>
  <c r="G113" i="2"/>
  <c r="I113" i="2"/>
  <c r="F113" i="2"/>
  <c r="Z113" i="2"/>
  <c r="AB113" i="2"/>
  <c r="V113" i="2"/>
  <c r="J113" i="2"/>
  <c r="T113" i="2"/>
  <c r="R113" i="2"/>
  <c r="P113" i="2"/>
  <c r="AC113" i="2"/>
  <c r="Y113" i="2"/>
  <c r="AH113" i="2"/>
  <c r="AL113" i="2"/>
  <c r="AI113" i="2"/>
  <c r="AG113" i="2"/>
  <c r="X113" i="2"/>
  <c r="AD113" i="2"/>
  <c r="AF113" i="2"/>
  <c r="M114" i="2" l="1"/>
  <c r="AN114" i="2"/>
  <c r="X114" i="2"/>
  <c r="AJ114" i="2"/>
  <c r="J114" i="2"/>
  <c r="AA114" i="2"/>
  <c r="AO114" i="2"/>
  <c r="T114" i="2"/>
  <c r="V114" i="2"/>
  <c r="AI114" i="2"/>
  <c r="AH114" i="2"/>
  <c r="AK114" i="2"/>
  <c r="R114" i="2"/>
  <c r="N114" i="2"/>
  <c r="S114" i="2"/>
  <c r="L114" i="2"/>
  <c r="K114" i="2"/>
  <c r="F114" i="2"/>
  <c r="I114" i="2"/>
  <c r="P114" i="2"/>
  <c r="AM114" i="2"/>
  <c r="AL114" i="2"/>
  <c r="AD114" i="2"/>
  <c r="AB114" i="2"/>
  <c r="O114" i="2"/>
  <c r="U114" i="2"/>
  <c r="G114" i="2"/>
  <c r="D114" i="2"/>
  <c r="AE114" i="2"/>
  <c r="Z114" i="2"/>
  <c r="Y114" i="2"/>
  <c r="AF114" i="2"/>
  <c r="H114" i="2"/>
  <c r="E114" i="2"/>
  <c r="W114" i="2"/>
  <c r="AG114" i="2"/>
  <c r="Q114" i="2"/>
  <c r="C114" i="2"/>
  <c r="AC114" i="2"/>
  <c r="N115" i="2" l="1"/>
  <c r="AB115" i="2"/>
  <c r="AD115" i="2"/>
  <c r="AA115" i="2"/>
  <c r="AI115" i="2"/>
  <c r="Q115" i="2"/>
  <c r="T115" i="2"/>
  <c r="E115" i="2"/>
  <c r="V115" i="2"/>
  <c r="M115" i="2"/>
  <c r="X115" i="2"/>
  <c r="K115" i="2"/>
  <c r="L115" i="2"/>
  <c r="S115" i="2"/>
  <c r="C115" i="2"/>
  <c r="D115" i="2"/>
  <c r="Z115" i="2"/>
  <c r="U115" i="2"/>
  <c r="AN115" i="2"/>
  <c r="AL115" i="2"/>
  <c r="R115" i="2"/>
  <c r="P115" i="2"/>
  <c r="O115" i="2"/>
  <c r="AE115" i="2"/>
  <c r="AC115" i="2"/>
  <c r="H115" i="2"/>
  <c r="AF115" i="2"/>
  <c r="J115" i="2"/>
  <c r="AH115" i="2"/>
  <c r="AM115" i="2"/>
  <c r="AK115" i="2"/>
  <c r="W115" i="2"/>
  <c r="F115" i="2"/>
  <c r="AO115" i="2"/>
  <c r="Y115" i="2"/>
  <c r="AG115" i="2"/>
  <c r="G115" i="2"/>
  <c r="I115" i="2"/>
  <c r="AJ115" i="2"/>
  <c r="N116" i="2" l="1"/>
  <c r="AB116" i="2"/>
  <c r="U116" i="2"/>
  <c r="T116" i="2"/>
  <c r="K116" i="2"/>
  <c r="S116" i="2"/>
  <c r="X116" i="2"/>
  <c r="J116" i="2"/>
  <c r="F116" i="2"/>
  <c r="G116" i="2"/>
  <c r="AI116" i="2"/>
  <c r="AG116" i="2"/>
  <c r="O116" i="2"/>
  <c r="AE116" i="2"/>
  <c r="L116" i="2"/>
  <c r="I116" i="2"/>
  <c r="Q116" i="2"/>
  <c r="AA116" i="2"/>
  <c r="D116" i="2"/>
  <c r="AK116" i="2"/>
  <c r="H116" i="2"/>
  <c r="AH116" i="2"/>
  <c r="R116" i="2"/>
  <c r="P116" i="2"/>
  <c r="M116" i="2"/>
  <c r="AD116" i="2"/>
  <c r="Z116" i="2"/>
  <c r="AJ116" i="2"/>
  <c r="AC116" i="2"/>
  <c r="AF116" i="2"/>
  <c r="W116" i="2"/>
  <c r="C116" i="2"/>
  <c r="AL116" i="2"/>
  <c r="Y116" i="2"/>
  <c r="E116" i="2"/>
  <c r="AN116" i="2"/>
  <c r="AM116" i="2"/>
  <c r="V116" i="2"/>
  <c r="AO116" i="2"/>
  <c r="M117" i="2" l="1"/>
  <c r="AE117" i="2"/>
  <c r="K117" i="2"/>
  <c r="AL117" i="2"/>
  <c r="E117" i="2"/>
  <c r="AK117" i="2"/>
  <c r="J117" i="2"/>
  <c r="AN117" i="2"/>
  <c r="AJ117" i="2"/>
  <c r="C117" i="2"/>
  <c r="G117" i="2"/>
  <c r="Y117" i="2"/>
  <c r="V117" i="2"/>
  <c r="O117" i="2"/>
  <c r="T117" i="2"/>
  <c r="S117" i="2"/>
  <c r="H117" i="2"/>
  <c r="Q117" i="2"/>
  <c r="D117" i="2"/>
  <c r="AI117" i="2"/>
  <c r="P117" i="2"/>
  <c r="I117" i="2"/>
  <c r="AM117" i="2"/>
  <c r="U117" i="2"/>
  <c r="AH117" i="2"/>
  <c r="AG117" i="2"/>
  <c r="AC117" i="2"/>
  <c r="N117" i="2"/>
  <c r="L117" i="2"/>
  <c r="R117" i="2"/>
  <c r="AO117" i="2"/>
  <c r="AD117" i="2"/>
  <c r="F117" i="2"/>
  <c r="W117" i="2"/>
  <c r="X117" i="2"/>
  <c r="AB117" i="2"/>
  <c r="AA117" i="2"/>
  <c r="Z117" i="2"/>
  <c r="AF117" i="2"/>
  <c r="N118" i="2" l="1"/>
  <c r="C118" i="2"/>
  <c r="D118" i="2"/>
  <c r="M118" i="2"/>
  <c r="L118" i="2"/>
  <c r="AE118" i="2"/>
  <c r="AN118" i="2"/>
  <c r="AK118" i="2"/>
  <c r="Z118" i="2"/>
  <c r="AM118" i="2"/>
  <c r="H118" i="2"/>
  <c r="F118" i="2"/>
  <c r="E118" i="2"/>
  <c r="O118" i="2"/>
  <c r="K118" i="2"/>
  <c r="AC118" i="2"/>
  <c r="AD118" i="2"/>
  <c r="AB118" i="2"/>
  <c r="X118" i="2"/>
  <c r="W118" i="2"/>
  <c r="J118" i="2"/>
  <c r="AO118" i="2"/>
  <c r="V118" i="2"/>
  <c r="P118" i="2"/>
  <c r="Q118" i="2"/>
  <c r="S118" i="2"/>
  <c r="G118" i="2"/>
  <c r="AH118" i="2"/>
  <c r="AJ118" i="2"/>
  <c r="AA118" i="2"/>
  <c r="R118" i="2"/>
  <c r="Y118" i="2"/>
  <c r="AL118" i="2"/>
  <c r="T118" i="2"/>
  <c r="AF118" i="2"/>
  <c r="U118" i="2"/>
  <c r="AI118" i="2"/>
  <c r="AG118" i="2"/>
  <c r="I118" i="2"/>
  <c r="O119" i="2" l="1"/>
  <c r="U119" i="2"/>
  <c r="Q119" i="2"/>
  <c r="F119" i="2"/>
  <c r="C119" i="2"/>
  <c r="E119" i="2"/>
  <c r="R119" i="2"/>
  <c r="Y119" i="2"/>
  <c r="X119" i="2"/>
  <c r="AE119" i="2"/>
  <c r="H119" i="2"/>
  <c r="AN119" i="2"/>
  <c r="N119" i="2"/>
  <c r="S119" i="2"/>
  <c r="L119" i="2"/>
  <c r="AA119" i="2"/>
  <c r="AL119" i="2"/>
  <c r="AJ119" i="2"/>
  <c r="AM119" i="2"/>
  <c r="AK119" i="2"/>
  <c r="AG119" i="2"/>
  <c r="I119" i="2"/>
  <c r="AO119" i="2"/>
  <c r="T119" i="2"/>
  <c r="AC119" i="2"/>
  <c r="D119" i="2"/>
  <c r="M119" i="2"/>
  <c r="K119" i="2"/>
  <c r="Z119" i="2"/>
  <c r="AF119" i="2"/>
  <c r="AI119" i="2"/>
  <c r="AH119" i="2"/>
  <c r="P119" i="2"/>
  <c r="G119" i="2"/>
  <c r="W119" i="2"/>
  <c r="AB119" i="2"/>
  <c r="J119" i="2"/>
  <c r="AD119" i="2"/>
  <c r="V119" i="2"/>
  <c r="O120" i="2" l="1"/>
  <c r="P120" i="2"/>
  <c r="Q120" i="2"/>
  <c r="H120" i="2"/>
  <c r="F120" i="2"/>
  <c r="AA120" i="2"/>
  <c r="J120" i="2"/>
  <c r="E120" i="2"/>
  <c r="D120" i="2"/>
  <c r="AK120" i="2"/>
  <c r="AF120" i="2"/>
  <c r="N120" i="2"/>
  <c r="AM120" i="2"/>
  <c r="L120" i="2"/>
  <c r="AN120" i="2"/>
  <c r="R120" i="2"/>
  <c r="G120" i="2"/>
  <c r="AD120" i="2"/>
  <c r="AI120" i="2"/>
  <c r="S120" i="2"/>
  <c r="U120" i="2"/>
  <c r="M120" i="2"/>
  <c r="C120" i="2"/>
  <c r="K120" i="2"/>
  <c r="I120" i="2"/>
  <c r="AE120" i="2"/>
  <c r="Z120" i="2"/>
  <c r="AO120" i="2"/>
  <c r="Y120" i="2"/>
  <c r="X120" i="2"/>
  <c r="AL120" i="2"/>
  <c r="W120" i="2"/>
  <c r="AC120" i="2"/>
  <c r="AH120" i="2"/>
  <c r="AJ120" i="2"/>
  <c r="AB120" i="2"/>
  <c r="V120" i="2"/>
  <c r="T120" i="2"/>
  <c r="AG120" i="2"/>
  <c r="O121" i="2" l="1"/>
  <c r="P121" i="2"/>
  <c r="L121" i="2"/>
  <c r="AJ121" i="2"/>
  <c r="Y121" i="2"/>
  <c r="S121" i="2"/>
  <c r="AD121" i="2"/>
  <c r="AF121" i="2"/>
  <c r="AL121" i="2"/>
  <c r="AE121" i="2"/>
  <c r="N121" i="2"/>
  <c r="V121" i="2"/>
  <c r="AH121" i="2"/>
  <c r="D121" i="2"/>
  <c r="H121" i="2"/>
  <c r="I121" i="2"/>
  <c r="AI121" i="2"/>
  <c r="C121" i="2"/>
  <c r="F121" i="2"/>
  <c r="R121" i="2"/>
  <c r="J121" i="2"/>
  <c r="AB121" i="2"/>
  <c r="W121" i="2"/>
  <c r="M121" i="2"/>
  <c r="K121" i="2"/>
  <c r="E121" i="2"/>
  <c r="T121" i="2"/>
  <c r="AN121" i="2"/>
  <c r="X121" i="2"/>
  <c r="AG121" i="2"/>
  <c r="AM121" i="2"/>
  <c r="G121" i="2"/>
  <c r="U121" i="2"/>
  <c r="Z121" i="2"/>
  <c r="Q121" i="2"/>
  <c r="AA121" i="2"/>
  <c r="AK121" i="2"/>
  <c r="AO121" i="2"/>
  <c r="AC121" i="2"/>
  <c r="N122" i="2" l="1"/>
  <c r="AF122" i="2"/>
  <c r="L122" i="2"/>
  <c r="F122" i="2"/>
  <c r="AD122" i="2"/>
  <c r="P122" i="2"/>
  <c r="R122" i="2"/>
  <c r="AK122" i="2"/>
  <c r="S122" i="2"/>
  <c r="Y122" i="2"/>
  <c r="I122" i="2"/>
  <c r="AH122" i="2"/>
  <c r="M122" i="2"/>
  <c r="AJ122" i="2"/>
  <c r="U122" i="2"/>
  <c r="AE122" i="2"/>
  <c r="AC122" i="2"/>
  <c r="W122" i="2"/>
  <c r="AG122" i="2"/>
  <c r="J122" i="2"/>
  <c r="AL122" i="2"/>
  <c r="V122" i="2"/>
  <c r="Z122" i="2"/>
  <c r="O122" i="2"/>
  <c r="AN122" i="2"/>
  <c r="K122" i="2"/>
  <c r="C122" i="2"/>
  <c r="AO122" i="2"/>
  <c r="T122" i="2"/>
  <c r="E122" i="2"/>
  <c r="AI122" i="2"/>
  <c r="AM122" i="2"/>
  <c r="H122" i="2"/>
  <c r="G122" i="2"/>
  <c r="AB122" i="2"/>
  <c r="X122" i="2"/>
  <c r="Q122" i="2"/>
  <c r="AA122" i="2"/>
  <c r="D122" i="2"/>
  <c r="N123" i="2" l="1"/>
  <c r="Y123" i="2"/>
  <c r="AL123" i="2"/>
  <c r="AB123" i="2"/>
  <c r="K123" i="2"/>
  <c r="L123" i="2"/>
  <c r="C123" i="2"/>
  <c r="D123" i="2"/>
  <c r="V123" i="2"/>
  <c r="U123" i="2"/>
  <c r="I123" i="2"/>
  <c r="AM123" i="2"/>
  <c r="AD123" i="2"/>
  <c r="AJ123" i="2"/>
  <c r="AA123" i="2"/>
  <c r="M123" i="2"/>
  <c r="X123" i="2"/>
  <c r="AH123" i="2"/>
  <c r="J123" i="2"/>
  <c r="W123" i="2"/>
  <c r="AF123" i="2"/>
  <c r="AN123" i="2"/>
  <c r="AK123" i="2"/>
  <c r="Q123" i="2"/>
  <c r="H123" i="2"/>
  <c r="E123" i="2"/>
  <c r="O123" i="2"/>
  <c r="Z123" i="2"/>
  <c r="S123" i="2"/>
  <c r="P123" i="2"/>
  <c r="AG123" i="2"/>
  <c r="AE123" i="2"/>
  <c r="AC123" i="2"/>
  <c r="T123" i="2"/>
  <c r="F123" i="2"/>
  <c r="AI123" i="2"/>
  <c r="AO123" i="2"/>
  <c r="R123" i="2"/>
  <c r="G123" i="2"/>
  <c r="N124" i="2" l="1"/>
  <c r="AF124" i="2"/>
  <c r="AJ124" i="2"/>
  <c r="P124" i="2"/>
  <c r="AH124" i="2"/>
  <c r="AD124" i="2"/>
  <c r="AI124" i="2"/>
  <c r="I124" i="2"/>
  <c r="T124" i="2"/>
  <c r="AB124" i="2"/>
  <c r="Y124" i="2"/>
  <c r="Z124" i="2"/>
  <c r="AA124" i="2"/>
  <c r="O124" i="2"/>
  <c r="X124" i="2"/>
  <c r="K124" i="2"/>
  <c r="H124" i="2"/>
  <c r="J124" i="2"/>
  <c r="R124" i="2"/>
  <c r="V124" i="2"/>
  <c r="U124" i="2"/>
  <c r="Q124" i="2"/>
  <c r="AO124" i="2"/>
  <c r="AN124" i="2"/>
  <c r="AG124" i="2"/>
  <c r="M124" i="2"/>
  <c r="F124" i="2"/>
  <c r="L124" i="2"/>
  <c r="W124" i="2"/>
  <c r="G124" i="2"/>
  <c r="AC124" i="2"/>
  <c r="D124" i="2"/>
  <c r="S124" i="2"/>
  <c r="AM124" i="2"/>
  <c r="AE124" i="2"/>
  <c r="C124" i="2"/>
  <c r="AK124" i="2"/>
  <c r="E124" i="2"/>
  <c r="AL124" i="2"/>
  <c r="O125" i="2" l="1"/>
  <c r="G125" i="2"/>
  <c r="J125" i="2"/>
  <c r="L125" i="2"/>
  <c r="K125" i="2"/>
  <c r="D125" i="2"/>
  <c r="AA125" i="2"/>
  <c r="U125" i="2"/>
  <c r="AH125" i="2"/>
  <c r="AG125" i="2"/>
  <c r="X125" i="2"/>
  <c r="Q125" i="2"/>
  <c r="M125" i="2"/>
  <c r="F125" i="2"/>
  <c r="AB125" i="2"/>
  <c r="S125" i="2"/>
  <c r="AJ125" i="2"/>
  <c r="AI125" i="2"/>
  <c r="AN125" i="2"/>
  <c r="AK125" i="2"/>
  <c r="R125" i="2"/>
  <c r="AC125" i="2"/>
  <c r="N125" i="2"/>
  <c r="T125" i="2"/>
  <c r="I125" i="2"/>
  <c r="Y125" i="2"/>
  <c r="Z125" i="2"/>
  <c r="AO125" i="2"/>
  <c r="AL125" i="2"/>
  <c r="E125" i="2"/>
  <c r="V125" i="2"/>
  <c r="P125" i="2"/>
  <c r="AD125" i="2"/>
  <c r="W125" i="2"/>
  <c r="AF125" i="2"/>
  <c r="AM125" i="2"/>
  <c r="C125" i="2"/>
  <c r="H125" i="2"/>
  <c r="AE125" i="2"/>
  <c r="O126" i="2" l="1"/>
  <c r="AF126" i="2"/>
  <c r="AL126" i="2"/>
  <c r="E126" i="2"/>
  <c r="K126" i="2"/>
  <c r="J126" i="2"/>
  <c r="AH126" i="2"/>
  <c r="AA126" i="2"/>
  <c r="F126" i="2"/>
  <c r="AG126" i="2"/>
  <c r="AO126" i="2"/>
  <c r="AM126" i="2"/>
  <c r="X126" i="2"/>
  <c r="M126" i="2"/>
  <c r="Y126" i="2"/>
  <c r="L126" i="2"/>
  <c r="D126" i="2"/>
  <c r="AD126" i="2"/>
  <c r="U126" i="2"/>
  <c r="G126" i="2"/>
  <c r="Z126" i="2"/>
  <c r="S126" i="2"/>
  <c r="H126" i="2"/>
  <c r="V126" i="2"/>
  <c r="AN126" i="2"/>
  <c r="AB126" i="2"/>
  <c r="N126" i="2"/>
  <c r="Q126" i="2"/>
  <c r="AJ126" i="2"/>
  <c r="P126" i="2"/>
  <c r="AI126" i="2"/>
  <c r="C126" i="2"/>
  <c r="T126" i="2"/>
  <c r="I126" i="2"/>
  <c r="AE126" i="2"/>
  <c r="AC126" i="2"/>
  <c r="W126" i="2"/>
  <c r="R126" i="2"/>
  <c r="AK126" i="2"/>
  <c r="O127" i="2" l="1"/>
  <c r="Z127" i="2"/>
  <c r="AJ127" i="2"/>
  <c r="L127" i="2"/>
  <c r="E127" i="2"/>
  <c r="AM127" i="2"/>
  <c r="S127" i="2"/>
  <c r="AN127" i="2"/>
  <c r="G127" i="2"/>
  <c r="C127" i="2"/>
  <c r="AG127" i="2"/>
  <c r="F127" i="2"/>
  <c r="N127" i="2"/>
  <c r="R127" i="2"/>
  <c r="K127" i="2"/>
  <c r="T127" i="2"/>
  <c r="AC127" i="2"/>
  <c r="AF127" i="2"/>
  <c r="AE127" i="2"/>
  <c r="AD127" i="2"/>
  <c r="D127" i="2"/>
  <c r="P127" i="2"/>
  <c r="J127" i="2"/>
  <c r="M127" i="2"/>
  <c r="H127" i="2"/>
  <c r="I127" i="2"/>
  <c r="V127" i="2"/>
  <c r="AA127" i="2"/>
  <c r="U127" i="2"/>
  <c r="AL127" i="2"/>
  <c r="AB127" i="2"/>
  <c r="Q127" i="2"/>
  <c r="W127" i="2"/>
  <c r="AO127" i="2"/>
  <c r="AK127" i="2"/>
  <c r="X127" i="2"/>
  <c r="AH127" i="2"/>
  <c r="Y127" i="2"/>
  <c r="AI127" i="2"/>
  <c r="M128" i="2" l="1"/>
  <c r="H128" i="2"/>
  <c r="P128" i="2"/>
  <c r="AJ128" i="2"/>
  <c r="D128" i="2"/>
  <c r="AK128" i="2"/>
  <c r="Z128" i="2"/>
  <c r="O128" i="2"/>
  <c r="T128" i="2"/>
  <c r="V128" i="2"/>
  <c r="AO128" i="2"/>
  <c r="AC128" i="2"/>
  <c r="W128" i="2"/>
  <c r="K128" i="2"/>
  <c r="J128" i="2"/>
  <c r="G128" i="2"/>
  <c r="F128" i="2"/>
  <c r="AI128" i="2"/>
  <c r="E128" i="2"/>
  <c r="AL128" i="2"/>
  <c r="AG128" i="2"/>
  <c r="AB128" i="2"/>
  <c r="I128" i="2"/>
  <c r="Y128" i="2"/>
  <c r="L128" i="2"/>
  <c r="Q128" i="2"/>
  <c r="U128" i="2"/>
  <c r="AM128" i="2"/>
  <c r="AD128" i="2"/>
  <c r="N128" i="2"/>
  <c r="AF128" i="2"/>
  <c r="AA128" i="2"/>
  <c r="S128" i="2"/>
  <c r="C128" i="2"/>
  <c r="AH128" i="2"/>
  <c r="AN128" i="2"/>
  <c r="R128" i="2"/>
  <c r="X128" i="2"/>
  <c r="AE128" i="2"/>
  <c r="M129" i="2" l="1"/>
  <c r="U129" i="2"/>
  <c r="H129" i="2"/>
  <c r="T129" i="2"/>
  <c r="C129" i="2"/>
  <c r="J129" i="2"/>
  <c r="AC129" i="2"/>
  <c r="AL129" i="2"/>
  <c r="F129" i="2"/>
  <c r="AA129" i="2"/>
  <c r="O129" i="2"/>
  <c r="S129" i="2"/>
  <c r="AE129" i="2"/>
  <c r="AD129" i="2"/>
  <c r="AO129" i="2"/>
  <c r="R129" i="2"/>
  <c r="G129" i="2"/>
  <c r="N129" i="2"/>
  <c r="K129" i="2"/>
  <c r="L129" i="2"/>
  <c r="P129" i="2"/>
  <c r="Y129" i="2"/>
  <c r="AJ129" i="2"/>
  <c r="X129" i="2"/>
  <c r="D129" i="2"/>
  <c r="AF129" i="2"/>
  <c r="AG129" i="2"/>
  <c r="I129" i="2"/>
  <c r="W129" i="2"/>
  <c r="E129" i="2"/>
  <c r="AB129" i="2"/>
  <c r="AH129" i="2"/>
  <c r="Q129" i="2"/>
  <c r="Z129" i="2"/>
  <c r="AK129" i="2"/>
  <c r="V129" i="2"/>
  <c r="AI129" i="2"/>
  <c r="AN129" i="2"/>
  <c r="AM129" i="2"/>
  <c r="M130" i="2" l="1"/>
  <c r="X130" i="2"/>
  <c r="P130" i="2"/>
  <c r="E130" i="2"/>
  <c r="F130" i="2"/>
  <c r="Z130" i="2"/>
  <c r="AK130" i="2"/>
  <c r="AL130" i="2"/>
  <c r="O130" i="2"/>
  <c r="AA130" i="2"/>
  <c r="I130" i="2"/>
  <c r="AH130" i="2"/>
  <c r="AE130" i="2"/>
  <c r="AG130" i="2"/>
  <c r="AJ130" i="2"/>
  <c r="L130" i="2"/>
  <c r="K130" i="2"/>
  <c r="AM130" i="2"/>
  <c r="R130" i="2"/>
  <c r="D130" i="2"/>
  <c r="H130" i="2"/>
  <c r="U130" i="2"/>
  <c r="AD130" i="2"/>
  <c r="AI130" i="2"/>
  <c r="N130" i="2"/>
  <c r="AO130" i="2"/>
  <c r="AN130" i="2"/>
  <c r="AB130" i="2"/>
  <c r="W130" i="2"/>
  <c r="V130" i="2"/>
  <c r="AF130" i="2"/>
  <c r="Y130" i="2"/>
  <c r="S130" i="2"/>
  <c r="AC130" i="2"/>
  <c r="G130" i="2"/>
  <c r="C130" i="2"/>
  <c r="Q130" i="2"/>
  <c r="T130" i="2"/>
  <c r="J130" i="2"/>
  <c r="N131" i="2" l="1"/>
  <c r="G131" i="2"/>
  <c r="AI131" i="2"/>
  <c r="H131" i="2"/>
  <c r="X131" i="2"/>
  <c r="D131" i="2"/>
  <c r="U131" i="2"/>
  <c r="AB131" i="2"/>
  <c r="M131" i="2"/>
  <c r="O131" i="2"/>
  <c r="V131" i="2"/>
  <c r="AL131" i="2"/>
  <c r="AJ131" i="2"/>
  <c r="AE131" i="2"/>
  <c r="E131" i="2"/>
  <c r="Z131" i="2"/>
  <c r="W131" i="2"/>
  <c r="L131" i="2"/>
  <c r="K131" i="2"/>
  <c r="I131" i="2"/>
  <c r="P131" i="2"/>
  <c r="Y131" i="2"/>
  <c r="AD131" i="2"/>
  <c r="AA131" i="2"/>
  <c r="AN131" i="2"/>
  <c r="C131" i="2"/>
  <c r="AO131" i="2"/>
  <c r="AH131" i="2"/>
  <c r="R131" i="2"/>
  <c r="T131" i="2"/>
  <c r="AF131" i="2"/>
  <c r="AK131" i="2"/>
  <c r="Q131" i="2"/>
  <c r="AC131" i="2"/>
  <c r="AM131" i="2"/>
  <c r="F131" i="2"/>
  <c r="S131" i="2"/>
  <c r="AG131" i="2"/>
  <c r="J131" i="2"/>
  <c r="N132" i="2" l="1"/>
  <c r="AD132" i="2"/>
  <c r="D132" i="2"/>
  <c r="L132" i="2"/>
  <c r="G132" i="2"/>
  <c r="K132" i="2"/>
  <c r="V132" i="2"/>
  <c r="Q132" i="2"/>
  <c r="J132" i="2"/>
  <c r="AK132" i="2"/>
  <c r="R132" i="2"/>
  <c r="AN132" i="2"/>
  <c r="H132" i="2"/>
  <c r="AJ132" i="2"/>
  <c r="W132" i="2"/>
  <c r="U132" i="2"/>
  <c r="M132" i="2"/>
  <c r="O132" i="2"/>
  <c r="T132" i="2"/>
  <c r="AF132" i="2"/>
  <c r="S132" i="2"/>
  <c r="AE132" i="2"/>
  <c r="AB132" i="2"/>
  <c r="AH132" i="2"/>
  <c r="F132" i="2"/>
  <c r="AC132" i="2"/>
  <c r="X132" i="2"/>
  <c r="P132" i="2"/>
  <c r="AL132" i="2"/>
  <c r="AA132" i="2"/>
  <c r="I132" i="2"/>
  <c r="E132" i="2"/>
  <c r="C132" i="2"/>
  <c r="AI132" i="2"/>
  <c r="Z132" i="2"/>
  <c r="Y132" i="2"/>
  <c r="AG132" i="2"/>
  <c r="AM132" i="2"/>
  <c r="AO132" i="2"/>
  <c r="M133" i="2" l="1"/>
  <c r="AC133" i="2"/>
  <c r="AD133" i="2"/>
  <c r="R133" i="2"/>
  <c r="AA133" i="2"/>
  <c r="F133" i="2"/>
  <c r="AM133" i="2"/>
  <c r="AK133" i="2"/>
  <c r="AO133" i="2"/>
  <c r="E133" i="2"/>
  <c r="D133" i="2"/>
  <c r="Q133" i="2"/>
  <c r="P133" i="2"/>
  <c r="Z133" i="2"/>
  <c r="N133" i="2"/>
  <c r="AE133" i="2"/>
  <c r="H133" i="2"/>
  <c r="X133" i="2"/>
  <c r="L133" i="2"/>
  <c r="AB133" i="2"/>
  <c r="K133" i="2"/>
  <c r="AL133" i="2"/>
  <c r="AI133" i="2"/>
  <c r="W133" i="2"/>
  <c r="V133" i="2"/>
  <c r="J133" i="2"/>
  <c r="AH133" i="2"/>
  <c r="AN133" i="2"/>
  <c r="Y133" i="2"/>
  <c r="T133" i="2"/>
  <c r="AJ133" i="2"/>
  <c r="C133" i="2"/>
  <c r="S133" i="2"/>
  <c r="I133" i="2"/>
  <c r="U133" i="2"/>
  <c r="G133" i="2"/>
  <c r="AG133" i="2"/>
  <c r="AF133" i="2"/>
  <c r="O133" i="2"/>
  <c r="M134" i="2" l="1"/>
  <c r="AD134" i="2"/>
  <c r="K134" i="2"/>
  <c r="U134" i="2"/>
  <c r="Q134" i="2"/>
  <c r="W134" i="2"/>
  <c r="S134" i="2"/>
  <c r="AM134" i="2"/>
  <c r="V134" i="2"/>
  <c r="AA134" i="2"/>
  <c r="J134" i="2"/>
  <c r="AJ134" i="2"/>
  <c r="AO134" i="2"/>
  <c r="N134" i="2"/>
  <c r="Y134" i="2"/>
  <c r="AB134" i="2"/>
  <c r="P134" i="2"/>
  <c r="AC134" i="2"/>
  <c r="C134" i="2"/>
  <c r="AL134" i="2"/>
  <c r="T134" i="2"/>
  <c r="L134" i="2"/>
  <c r="AI134" i="2"/>
  <c r="AF134" i="2"/>
  <c r="R134" i="2"/>
  <c r="AK134" i="2"/>
  <c r="Z134" i="2"/>
  <c r="G134" i="2"/>
  <c r="AH134" i="2"/>
  <c r="F134" i="2"/>
  <c r="E134" i="2"/>
  <c r="AE134" i="2"/>
  <c r="AN134" i="2"/>
  <c r="AG134" i="2"/>
  <c r="D134" i="2"/>
  <c r="I134" i="2"/>
  <c r="X134" i="2"/>
  <c r="H134" i="2"/>
  <c r="O134" i="2"/>
  <c r="N135" i="2" l="1"/>
  <c r="I135" i="2"/>
  <c r="K135" i="2"/>
  <c r="AM135" i="2"/>
  <c r="AO135" i="2"/>
  <c r="V135" i="2"/>
  <c r="R135" i="2"/>
  <c r="J135" i="2"/>
  <c r="M135" i="2"/>
  <c r="Y135" i="2"/>
  <c r="Z135" i="2"/>
  <c r="H135" i="2"/>
  <c r="AB135" i="2"/>
  <c r="U135" i="2"/>
  <c r="C135" i="2"/>
  <c r="L135" i="2"/>
  <c r="X135" i="2"/>
  <c r="W135" i="2"/>
  <c r="AE135" i="2"/>
  <c r="AD135" i="2"/>
  <c r="AK135" i="2"/>
  <c r="D135" i="2"/>
  <c r="AG135" i="2"/>
  <c r="S135" i="2"/>
  <c r="E135" i="2"/>
  <c r="AH135" i="2"/>
  <c r="T135" i="2"/>
  <c r="AA135" i="2"/>
  <c r="O135" i="2"/>
  <c r="Q135" i="2"/>
  <c r="AJ135" i="2"/>
  <c r="AC135" i="2"/>
  <c r="AL135" i="2"/>
  <c r="P135" i="2"/>
  <c r="AI135" i="2"/>
  <c r="G135" i="2"/>
  <c r="AF135" i="2"/>
  <c r="AN135" i="2"/>
  <c r="F135" i="2"/>
  <c r="O136" i="2" l="1"/>
  <c r="AA136" i="2"/>
  <c r="I136" i="2"/>
  <c r="AH136" i="2"/>
  <c r="AD136" i="2"/>
  <c r="J136" i="2"/>
  <c r="C136" i="2"/>
  <c r="X136" i="2"/>
  <c r="AI136" i="2"/>
  <c r="F136" i="2"/>
  <c r="N136" i="2"/>
  <c r="Y136" i="2"/>
  <c r="K136" i="2"/>
  <c r="L136" i="2"/>
  <c r="G136" i="2"/>
  <c r="Z136" i="2"/>
  <c r="AC136" i="2"/>
  <c r="AO136" i="2"/>
  <c r="AJ136" i="2"/>
  <c r="Q136" i="2"/>
  <c r="AK136" i="2"/>
  <c r="M136" i="2"/>
  <c r="U136" i="2"/>
  <c r="D136" i="2"/>
  <c r="AF136" i="2"/>
  <c r="AE136" i="2"/>
  <c r="S136" i="2"/>
  <c r="R136" i="2"/>
  <c r="P136" i="2"/>
  <c r="H136" i="2"/>
  <c r="AL136" i="2"/>
  <c r="AM136" i="2"/>
  <c r="AN136" i="2"/>
  <c r="T136" i="2"/>
  <c r="E136" i="2"/>
  <c r="W136" i="2"/>
  <c r="AG136" i="2"/>
  <c r="V136" i="2"/>
  <c r="AB136" i="2"/>
  <c r="N137" i="2" l="1"/>
  <c r="AG137" i="2"/>
  <c r="T137" i="2"/>
  <c r="AN137" i="2"/>
  <c r="J137" i="2"/>
  <c r="D137" i="2"/>
  <c r="AJ137" i="2"/>
  <c r="R137" i="2"/>
  <c r="S137" i="2"/>
  <c r="AC137" i="2"/>
  <c r="E137" i="2"/>
  <c r="AO137" i="2"/>
  <c r="Q137" i="2"/>
  <c r="M137" i="2"/>
  <c r="K137" i="2"/>
  <c r="L137" i="2"/>
  <c r="AE137" i="2"/>
  <c r="Y137" i="2"/>
  <c r="V137" i="2"/>
  <c r="Z137" i="2"/>
  <c r="AI137" i="2"/>
  <c r="X137" i="2"/>
  <c r="AK137" i="2"/>
  <c r="F137" i="2"/>
  <c r="O137" i="2"/>
  <c r="G137" i="2"/>
  <c r="AB137" i="2"/>
  <c r="AF137" i="2"/>
  <c r="AA137" i="2"/>
  <c r="AM137" i="2"/>
  <c r="AH137" i="2"/>
  <c r="C137" i="2"/>
  <c r="H137" i="2"/>
  <c r="U137" i="2"/>
  <c r="W137" i="2"/>
  <c r="I137" i="2"/>
  <c r="P137" i="2"/>
  <c r="AD137" i="2"/>
  <c r="AL137" i="2"/>
  <c r="O138" i="2" l="1"/>
  <c r="C138" i="2"/>
  <c r="L138" i="2"/>
  <c r="AB138" i="2"/>
  <c r="AC138" i="2"/>
  <c r="AF138" i="2"/>
  <c r="AO138" i="2"/>
  <c r="AK138" i="2"/>
  <c r="AJ138" i="2"/>
  <c r="W138" i="2"/>
  <c r="AG138" i="2"/>
  <c r="N138" i="2"/>
  <c r="S138" i="2"/>
  <c r="P138" i="2"/>
  <c r="H138" i="2"/>
  <c r="R138" i="2"/>
  <c r="E138" i="2"/>
  <c r="AE138" i="2"/>
  <c r="F138" i="2"/>
  <c r="AA138" i="2"/>
  <c r="X138" i="2"/>
  <c r="Z138" i="2"/>
  <c r="M138" i="2"/>
  <c r="I138" i="2"/>
  <c r="K138" i="2"/>
  <c r="J138" i="2"/>
  <c r="G138" i="2"/>
  <c r="V138" i="2"/>
  <c r="AD138" i="2"/>
  <c r="AM138" i="2"/>
  <c r="AL138" i="2"/>
  <c r="AN138" i="2"/>
  <c r="T138" i="2"/>
  <c r="Q138" i="2"/>
  <c r="U138" i="2"/>
  <c r="AI138" i="2"/>
  <c r="Y138" i="2"/>
  <c r="AH138" i="2"/>
  <c r="D138" i="2"/>
  <c r="O139" i="2" l="1"/>
  <c r="AM139" i="2"/>
  <c r="R139" i="2"/>
  <c r="F139" i="2"/>
  <c r="P139" i="2"/>
  <c r="V139" i="2"/>
  <c r="I139" i="2"/>
  <c r="T139" i="2"/>
  <c r="S139" i="2"/>
  <c r="Q139" i="2"/>
  <c r="X139" i="2"/>
  <c r="M139" i="2"/>
  <c r="AL139" i="2"/>
  <c r="K139" i="2"/>
  <c r="J139" i="2"/>
  <c r="AC139" i="2"/>
  <c r="AH139" i="2"/>
  <c r="AJ139" i="2"/>
  <c r="AF139" i="2"/>
  <c r="U139" i="2"/>
  <c r="Z139" i="2"/>
  <c r="AA139" i="2"/>
  <c r="AO139" i="2"/>
  <c r="N139" i="2"/>
  <c r="L139" i="2"/>
  <c r="AG139" i="2"/>
  <c r="G139" i="2"/>
  <c r="AI139" i="2"/>
  <c r="D139" i="2"/>
  <c r="AD139" i="2"/>
  <c r="AN139" i="2"/>
  <c r="H139" i="2"/>
  <c r="E139" i="2"/>
  <c r="C139" i="2"/>
  <c r="AE139" i="2"/>
  <c r="AB139" i="2"/>
  <c r="Y139" i="2"/>
  <c r="W139" i="2"/>
  <c r="AK139" i="2"/>
  <c r="O140" i="2" l="1"/>
  <c r="D140" i="2"/>
  <c r="N140" i="2"/>
  <c r="L140" i="2"/>
  <c r="K140" i="2"/>
  <c r="AI140" i="2"/>
  <c r="AL140" i="2"/>
  <c r="T140" i="2"/>
  <c r="AG140" i="2"/>
  <c r="AB140" i="2"/>
  <c r="AN140" i="2"/>
  <c r="J140" i="2"/>
  <c r="AH140" i="2"/>
  <c r="M140" i="2"/>
  <c r="AJ140" i="2"/>
  <c r="Q140" i="2"/>
  <c r="S140" i="2"/>
  <c r="P140" i="2"/>
  <c r="W140" i="2"/>
  <c r="V140" i="2"/>
  <c r="I140" i="2"/>
  <c r="AD140" i="2"/>
  <c r="AO140" i="2"/>
  <c r="H140" i="2"/>
  <c r="AM140" i="2"/>
  <c r="AA140" i="2"/>
  <c r="G140" i="2"/>
  <c r="X140" i="2"/>
  <c r="E140" i="2"/>
  <c r="Z140" i="2"/>
  <c r="R140" i="2"/>
  <c r="AK140" i="2"/>
  <c r="AE140" i="2"/>
  <c r="AC140" i="2"/>
  <c r="Y140" i="2"/>
  <c r="F140" i="2"/>
  <c r="U140" i="2"/>
  <c r="C140" i="2"/>
  <c r="AF140" i="2"/>
  <c r="O141" i="2" l="1"/>
  <c r="AD141" i="2"/>
  <c r="AH141" i="2"/>
  <c r="AG141" i="2"/>
  <c r="T141" i="2"/>
  <c r="AC141" i="2"/>
  <c r="D141" i="2"/>
  <c r="J141" i="2"/>
  <c r="AE141" i="2"/>
  <c r="V141" i="2"/>
  <c r="H141" i="2"/>
  <c r="F141" i="2"/>
  <c r="M141" i="2"/>
  <c r="AB141" i="2"/>
  <c r="L141" i="2"/>
  <c r="AO141" i="2"/>
  <c r="AF141" i="2"/>
  <c r="AA141" i="2"/>
  <c r="C141" i="2"/>
  <c r="U141" i="2"/>
  <c r="I141" i="2"/>
  <c r="S141" i="2"/>
  <c r="AL141" i="2"/>
  <c r="N141" i="2"/>
  <c r="W141" i="2"/>
  <c r="K141" i="2"/>
  <c r="Y141" i="2"/>
  <c r="Q141" i="2"/>
  <c r="AM141" i="2"/>
  <c r="P141" i="2"/>
  <c r="E141" i="2"/>
  <c r="AN141" i="2"/>
  <c r="R141" i="2"/>
  <c r="G141" i="2"/>
  <c r="AI141" i="2"/>
  <c r="AK141" i="2"/>
  <c r="Z141" i="2"/>
  <c r="X141" i="2"/>
  <c r="AJ141" i="2"/>
  <c r="N142" i="2" l="1"/>
  <c r="U142" i="2"/>
  <c r="AO142" i="2"/>
  <c r="I142" i="2"/>
  <c r="L142" i="2"/>
  <c r="K142" i="2"/>
  <c r="H142" i="2"/>
  <c r="AH142" i="2"/>
  <c r="AA142" i="2"/>
  <c r="T142" i="2"/>
  <c r="AD142" i="2"/>
  <c r="AI142" i="2"/>
  <c r="AG142" i="2"/>
  <c r="Y142" i="2"/>
  <c r="S142" i="2"/>
  <c r="O142" i="2"/>
  <c r="AM142" i="2"/>
  <c r="P142" i="2"/>
  <c r="AE142" i="2"/>
  <c r="W142" i="2"/>
  <c r="J142" i="2"/>
  <c r="V142" i="2"/>
  <c r="G142" i="2"/>
  <c r="E142" i="2"/>
  <c r="AB142" i="2"/>
  <c r="M142" i="2"/>
  <c r="X142" i="2"/>
  <c r="AJ142" i="2"/>
  <c r="Z142" i="2"/>
  <c r="C142" i="2"/>
  <c r="AC142" i="2"/>
  <c r="F142" i="2"/>
  <c r="AF142" i="2"/>
  <c r="D142" i="2"/>
  <c r="AN142" i="2"/>
  <c r="AL142" i="2"/>
  <c r="Q142" i="2"/>
  <c r="R142" i="2"/>
  <c r="AK142" i="2"/>
  <c r="N143" i="2" l="1"/>
  <c r="Q143" i="2"/>
  <c r="X143" i="2"/>
  <c r="K143" i="2"/>
  <c r="H143" i="2"/>
  <c r="AL143" i="2"/>
  <c r="AC143" i="2"/>
  <c r="R143" i="2"/>
  <c r="AG143" i="2"/>
  <c r="S143" i="2"/>
  <c r="O143" i="2"/>
  <c r="AF143" i="2"/>
  <c r="L143" i="2"/>
  <c r="T143" i="2"/>
  <c r="J143" i="2"/>
  <c r="AB143" i="2"/>
  <c r="C143" i="2"/>
  <c r="AI143" i="2"/>
  <c r="V143" i="2"/>
  <c r="AD143" i="2"/>
  <c r="AH143" i="2"/>
  <c r="I143" i="2"/>
  <c r="Y143" i="2"/>
  <c r="AK143" i="2"/>
  <c r="M143" i="2"/>
  <c r="U143" i="2"/>
  <c r="W143" i="2"/>
  <c r="E143" i="2"/>
  <c r="G143" i="2"/>
  <c r="AM143" i="2"/>
  <c r="F143" i="2"/>
  <c r="AA143" i="2"/>
  <c r="AN143" i="2"/>
  <c r="AE143" i="2"/>
  <c r="P143" i="2"/>
  <c r="D143" i="2"/>
  <c r="AJ143" i="2"/>
  <c r="AO143" i="2"/>
  <c r="Z143" i="2"/>
  <c r="N144" i="2" l="1"/>
  <c r="Q144" i="2"/>
  <c r="AO144" i="2"/>
  <c r="AM144" i="2"/>
  <c r="V144" i="2"/>
  <c r="AA144" i="2"/>
  <c r="G144" i="2"/>
  <c r="AH144" i="2"/>
  <c r="W144" i="2"/>
  <c r="AK144" i="2"/>
  <c r="C144" i="2"/>
  <c r="P144" i="2"/>
  <c r="O144" i="2"/>
  <c r="AE144" i="2"/>
  <c r="L144" i="2"/>
  <c r="AB144" i="2"/>
  <c r="J144" i="2"/>
  <c r="AN144" i="2"/>
  <c r="Y144" i="2"/>
  <c r="U144" i="2"/>
  <c r="AJ144" i="2"/>
  <c r="R144" i="2"/>
  <c r="I144" i="2"/>
  <c r="AF144" i="2"/>
  <c r="M144" i="2"/>
  <c r="K144" i="2"/>
  <c r="H144" i="2"/>
  <c r="AD144" i="2"/>
  <c r="X144" i="2"/>
  <c r="AC144" i="2"/>
  <c r="Z144" i="2"/>
  <c r="S144" i="2"/>
  <c r="F144" i="2"/>
  <c r="AI144" i="2"/>
  <c r="AG144" i="2"/>
  <c r="T144" i="2"/>
  <c r="AL144" i="2"/>
  <c r="E144" i="2"/>
  <c r="D144" i="2"/>
  <c r="N145" i="2" l="1"/>
  <c r="AH145" i="2"/>
  <c r="U145" i="2"/>
  <c r="X145" i="2"/>
  <c r="W145" i="2"/>
  <c r="AL145" i="2"/>
  <c r="D145" i="2"/>
  <c r="C145" i="2"/>
  <c r="R145" i="2"/>
  <c r="S145" i="2"/>
  <c r="H145" i="2"/>
  <c r="M145" i="2"/>
  <c r="J145" i="2"/>
  <c r="K145" i="2"/>
  <c r="AB145" i="2"/>
  <c r="Z145" i="2"/>
  <c r="AF145" i="2"/>
  <c r="P145" i="2"/>
  <c r="AC145" i="2"/>
  <c r="AG145" i="2"/>
  <c r="AI145" i="2"/>
  <c r="AE145" i="2"/>
  <c r="AA145" i="2"/>
  <c r="O145" i="2"/>
  <c r="V145" i="2"/>
  <c r="L145" i="2"/>
  <c r="F145" i="2"/>
  <c r="AM145" i="2"/>
  <c r="G145" i="2"/>
  <c r="AJ145" i="2"/>
  <c r="E145" i="2"/>
  <c r="I145" i="2"/>
  <c r="AN145" i="2"/>
  <c r="AO145" i="2"/>
  <c r="Y145" i="2"/>
  <c r="AK145" i="2"/>
  <c r="Q145" i="2"/>
  <c r="AD145" i="2"/>
  <c r="T145" i="2"/>
  <c r="N146" i="2" l="1"/>
  <c r="E146" i="2"/>
  <c r="L146" i="2"/>
  <c r="AA146" i="2"/>
  <c r="C146" i="2"/>
  <c r="AM146" i="2"/>
  <c r="R146" i="2"/>
  <c r="W146" i="2"/>
  <c r="I146" i="2"/>
  <c r="AG146" i="2"/>
  <c r="U146" i="2"/>
  <c r="M146" i="2"/>
  <c r="AB146" i="2"/>
  <c r="K146" i="2"/>
  <c r="Z146" i="2"/>
  <c r="AF146" i="2"/>
  <c r="X146" i="2"/>
  <c r="V146" i="2"/>
  <c r="AE146" i="2"/>
  <c r="F146" i="2"/>
  <c r="AK146" i="2"/>
  <c r="AC146" i="2"/>
  <c r="O146" i="2"/>
  <c r="D146" i="2"/>
  <c r="Q146" i="2"/>
  <c r="AJ146" i="2"/>
  <c r="AN146" i="2"/>
  <c r="G146" i="2"/>
  <c r="AD146" i="2"/>
  <c r="AO146" i="2"/>
  <c r="S146" i="2"/>
  <c r="P146" i="2"/>
  <c r="Y146" i="2"/>
  <c r="J146" i="2"/>
  <c r="T146" i="2"/>
  <c r="AL146" i="2"/>
  <c r="H146" i="2"/>
  <c r="AH146" i="2"/>
  <c r="AI146" i="2"/>
  <c r="N147" i="2" l="1"/>
  <c r="AE147" i="2"/>
  <c r="AG147" i="2"/>
  <c r="K147" i="2"/>
  <c r="J147" i="2"/>
  <c r="AI147" i="2"/>
  <c r="AC147" i="2"/>
  <c r="AK147" i="2"/>
  <c r="AL147" i="2"/>
  <c r="I147" i="2"/>
  <c r="Q147" i="2"/>
  <c r="F147" i="2"/>
  <c r="V147" i="2"/>
  <c r="M147" i="2"/>
  <c r="E147" i="2"/>
  <c r="Y147" i="2"/>
  <c r="T147" i="2"/>
  <c r="AD147" i="2"/>
  <c r="AM147" i="2"/>
  <c r="AB147" i="2"/>
  <c r="AO147" i="2"/>
  <c r="R147" i="2"/>
  <c r="G147" i="2"/>
  <c r="AA147" i="2"/>
  <c r="D147" i="2"/>
  <c r="W147" i="2"/>
  <c r="O147" i="2"/>
  <c r="L147" i="2"/>
  <c r="S147" i="2"/>
  <c r="Z147" i="2"/>
  <c r="AJ147" i="2"/>
  <c r="AF147" i="2"/>
  <c r="C147" i="2"/>
  <c r="U147" i="2"/>
  <c r="AN147" i="2"/>
  <c r="P147" i="2"/>
  <c r="H147" i="2"/>
  <c r="AH147" i="2"/>
  <c r="X147" i="2"/>
  <c r="O148" i="2" l="1"/>
  <c r="AG148" i="2"/>
  <c r="AM148" i="2"/>
  <c r="G148" i="2"/>
  <c r="K148" i="2"/>
  <c r="V148" i="2"/>
  <c r="AO148" i="2"/>
  <c r="I148" i="2"/>
  <c r="Y148" i="2"/>
  <c r="AH148" i="2"/>
  <c r="AI148" i="2"/>
  <c r="AA148" i="2"/>
  <c r="AL148" i="2"/>
  <c r="N148" i="2"/>
  <c r="T148" i="2"/>
  <c r="E148" i="2"/>
  <c r="J148" i="2"/>
  <c r="AJ148" i="2"/>
  <c r="Z148" i="2"/>
  <c r="H148" i="2"/>
  <c r="S148" i="2"/>
  <c r="C148" i="2"/>
  <c r="AB148" i="2"/>
  <c r="X148" i="2"/>
  <c r="W148" i="2"/>
  <c r="M148" i="2"/>
  <c r="L148" i="2"/>
  <c r="AF148" i="2"/>
  <c r="D148" i="2"/>
  <c r="U148" i="2"/>
  <c r="Q148" i="2"/>
  <c r="R148" i="2"/>
  <c r="P148" i="2"/>
  <c r="AE148" i="2"/>
  <c r="AD148" i="2"/>
  <c r="AK148" i="2"/>
  <c r="F148" i="2"/>
  <c r="AC148" i="2"/>
  <c r="AN148" i="2"/>
  <c r="N149" i="2" l="1"/>
  <c r="AI149" i="2"/>
  <c r="AD149" i="2"/>
  <c r="C149" i="2"/>
  <c r="J149" i="2"/>
  <c r="AJ149" i="2"/>
  <c r="AN149" i="2"/>
  <c r="AH149" i="2"/>
  <c r="AO149" i="2"/>
  <c r="O149" i="2"/>
  <c r="T149" i="2"/>
  <c r="K149" i="2"/>
  <c r="F149" i="2"/>
  <c r="AC149" i="2"/>
  <c r="Y149" i="2"/>
  <c r="V149" i="2"/>
  <c r="X149" i="2"/>
  <c r="AM149" i="2"/>
  <c r="U149" i="2"/>
  <c r="D149" i="2"/>
  <c r="AK149" i="2"/>
  <c r="AA149" i="2"/>
  <c r="P149" i="2"/>
  <c r="M149" i="2"/>
  <c r="S149" i="2"/>
  <c r="L149" i="2"/>
  <c r="W149" i="2"/>
  <c r="AE149" i="2"/>
  <c r="G149" i="2"/>
  <c r="AG149" i="2"/>
  <c r="AL149" i="2"/>
  <c r="R149" i="2"/>
  <c r="E149" i="2"/>
  <c r="I149" i="2"/>
  <c r="AF149" i="2"/>
  <c r="H149" i="2"/>
  <c r="Q149" i="2"/>
  <c r="Z149" i="2"/>
  <c r="AB149" i="2"/>
  <c r="O150" i="2" l="1"/>
  <c r="AF150" i="2"/>
  <c r="L150" i="2"/>
  <c r="Y150" i="2"/>
  <c r="AJ150" i="2"/>
  <c r="R150" i="2"/>
  <c r="H150" i="2"/>
  <c r="S150" i="2"/>
  <c r="V150" i="2"/>
  <c r="AE150" i="2"/>
  <c r="AN150" i="2"/>
  <c r="C150" i="2"/>
  <c r="P150" i="2"/>
  <c r="AH150" i="2"/>
  <c r="N150" i="2"/>
  <c r="T150" i="2"/>
  <c r="K150" i="2"/>
  <c r="AD150" i="2"/>
  <c r="G150" i="2"/>
  <c r="AA150" i="2"/>
  <c r="W150" i="2"/>
  <c r="AO150" i="2"/>
  <c r="X150" i="2"/>
  <c r="AC150" i="2"/>
  <c r="Z150" i="2"/>
  <c r="U150" i="2"/>
  <c r="M150" i="2"/>
  <c r="AL150" i="2"/>
  <c r="I150" i="2"/>
  <c r="F150" i="2"/>
  <c r="D150" i="2"/>
  <c r="J150" i="2"/>
  <c r="E150" i="2"/>
  <c r="AI150" i="2"/>
  <c r="AB150" i="2"/>
  <c r="Q150" i="2"/>
  <c r="AM150" i="2"/>
  <c r="AK150" i="2"/>
  <c r="AG150" i="2"/>
  <c r="B151" i="2" l="1"/>
  <c r="B152" i="2" l="1"/>
  <c r="O151" i="2"/>
  <c r="H151" i="2"/>
  <c r="K151" i="2"/>
  <c r="J151" i="2"/>
  <c r="AD151" i="2"/>
  <c r="D151" i="2"/>
  <c r="AO151" i="2"/>
  <c r="Q151" i="2"/>
  <c r="AF151" i="2"/>
  <c r="Z151" i="2"/>
  <c r="V151" i="2"/>
  <c r="I151" i="2"/>
  <c r="X151" i="2"/>
  <c r="AI151" i="2"/>
  <c r="C151" i="2"/>
  <c r="AJ151" i="2"/>
  <c r="AC151" i="2"/>
  <c r="AG151" i="2"/>
  <c r="AE151" i="2"/>
  <c r="AK151" i="2"/>
  <c r="T151" i="2"/>
  <c r="AB151" i="2"/>
  <c r="AL151" i="2"/>
  <c r="P151" i="2"/>
  <c r="AA151" i="2"/>
  <c r="F151" i="2"/>
  <c r="W151" i="2"/>
  <c r="N151" i="2"/>
  <c r="L151" i="2"/>
  <c r="M151" i="2"/>
  <c r="AH151" i="2"/>
  <c r="Y151" i="2"/>
  <c r="R151" i="2"/>
  <c r="AM151" i="2"/>
  <c r="E151" i="2"/>
  <c r="U151" i="2"/>
  <c r="AN151" i="2"/>
  <c r="G151" i="2"/>
  <c r="S151" i="2"/>
  <c r="O152" i="2" l="1"/>
  <c r="J152" i="2"/>
  <c r="E152" i="2"/>
  <c r="I152" i="2"/>
  <c r="P152" i="2"/>
  <c r="AN152" i="2"/>
  <c r="T152" i="2"/>
  <c r="AO152" i="2"/>
  <c r="AM152" i="2"/>
  <c r="AI152" i="2"/>
  <c r="AD152" i="2"/>
  <c r="AA152" i="2"/>
  <c r="D152" i="2"/>
  <c r="S152" i="2"/>
  <c r="M152" i="2"/>
  <c r="W152" i="2"/>
  <c r="V152" i="2"/>
  <c r="AE152" i="2"/>
  <c r="N152" i="2"/>
  <c r="AG152" i="2"/>
  <c r="L152" i="2"/>
  <c r="K152" i="2"/>
  <c r="AK152" i="2"/>
  <c r="G152" i="2"/>
  <c r="AH152" i="2"/>
  <c r="Z152" i="2"/>
  <c r="H152" i="2"/>
  <c r="AF152" i="2"/>
  <c r="Q152" i="2"/>
  <c r="AC152" i="2"/>
  <c r="R152" i="2"/>
  <c r="AJ152" i="2"/>
  <c r="AL152" i="2"/>
  <c r="Y152" i="2"/>
  <c r="X152" i="2"/>
  <c r="F152" i="2"/>
  <c r="C152" i="2"/>
  <c r="AB152" i="2"/>
  <c r="U152" i="2"/>
  <c r="B153" i="2"/>
  <c r="G153" i="2" s="1"/>
  <c r="E153" i="2" l="1"/>
  <c r="B154" i="2"/>
  <c r="AN153" i="2"/>
  <c r="M153" i="2"/>
  <c r="AJ153" i="2"/>
  <c r="O153" i="2"/>
  <c r="X153" i="2"/>
  <c r="AI153" i="2"/>
  <c r="AL153" i="2"/>
  <c r="Z153" i="2"/>
  <c r="J153" i="2"/>
  <c r="D153" i="2"/>
  <c r="U153" i="2"/>
  <c r="Y153" i="2"/>
  <c r="K153" i="2"/>
  <c r="L153" i="2"/>
  <c r="AB153" i="2"/>
  <c r="AG153" i="2"/>
  <c r="AE153" i="2"/>
  <c r="V153" i="2"/>
  <c r="H153" i="2"/>
  <c r="C153" i="2"/>
  <c r="AH153" i="2"/>
  <c r="T153" i="2"/>
  <c r="AA153" i="2"/>
  <c r="P153" i="2"/>
  <c r="F153" i="2"/>
  <c r="S153" i="2"/>
  <c r="N153" i="2"/>
  <c r="AC153" i="2"/>
  <c r="Q153" i="2"/>
  <c r="AO153" i="2"/>
  <c r="AK153" i="2"/>
  <c r="W153" i="2"/>
  <c r="I153" i="2"/>
  <c r="AM153" i="2"/>
  <c r="AD153" i="2"/>
  <c r="R153" i="2"/>
  <c r="AF153" i="2"/>
  <c r="B155" i="2" l="1"/>
  <c r="V154" i="2"/>
  <c r="X154" i="2"/>
  <c r="L154" i="2"/>
  <c r="Q154" i="2"/>
  <c r="N154" i="2"/>
  <c r="AK154" i="2"/>
  <c r="AO154" i="2"/>
  <c r="P154" i="2"/>
  <c r="AG154" i="2"/>
  <c r="AL154" i="2"/>
  <c r="AA154" i="2"/>
  <c r="Z154" i="2"/>
  <c r="G154" i="2"/>
  <c r="AB154" i="2"/>
  <c r="K154" i="2"/>
  <c r="AN154" i="2"/>
  <c r="E154" i="2"/>
  <c r="AJ154" i="2"/>
  <c r="J154" i="2"/>
  <c r="M154" i="2"/>
  <c r="O154" i="2"/>
  <c r="AI154" i="2"/>
  <c r="F154" i="2"/>
  <c r="Y154" i="2"/>
  <c r="U154" i="2"/>
  <c r="AF154" i="2"/>
  <c r="AM154" i="2"/>
  <c r="C154" i="2"/>
  <c r="W154" i="2"/>
  <c r="T154" i="2"/>
  <c r="AC154" i="2"/>
  <c r="H154" i="2"/>
  <c r="S154" i="2"/>
  <c r="AE154" i="2"/>
  <c r="AH154" i="2"/>
  <c r="D154" i="2"/>
  <c r="I154" i="2"/>
  <c r="R154" i="2"/>
  <c r="AD154" i="2"/>
  <c r="B156" i="2" l="1"/>
  <c r="AK155" i="2"/>
  <c r="U155" i="2"/>
  <c r="AO155" i="2"/>
  <c r="F155" i="2"/>
  <c r="AI155" i="2"/>
  <c r="AG155" i="2"/>
  <c r="J155" i="2"/>
  <c r="D155" i="2"/>
  <c r="AN155" i="2"/>
  <c r="AA155" i="2"/>
  <c r="X155" i="2"/>
  <c r="C155" i="2"/>
  <c r="K155" i="2"/>
  <c r="O155" i="2"/>
  <c r="R155" i="2"/>
  <c r="Y155" i="2"/>
  <c r="AM155" i="2"/>
  <c r="S155" i="2"/>
  <c r="Q155" i="2"/>
  <c r="V155" i="2"/>
  <c r="AE155" i="2"/>
  <c r="AJ155" i="2"/>
  <c r="Z155" i="2"/>
  <c r="T155" i="2"/>
  <c r="AF155" i="2"/>
  <c r="H155" i="2"/>
  <c r="M155" i="2"/>
  <c r="AD155" i="2"/>
  <c r="AL155" i="2"/>
  <c r="W155" i="2"/>
  <c r="AB155" i="2"/>
  <c r="P155" i="2"/>
  <c r="AH155" i="2"/>
  <c r="G155" i="2"/>
  <c r="I155" i="2"/>
  <c r="AC155" i="2"/>
  <c r="L155" i="2"/>
  <c r="E155" i="2"/>
  <c r="N155" i="2"/>
  <c r="B157" i="2" l="1"/>
  <c r="I156" i="2"/>
  <c r="X156" i="2"/>
  <c r="AC156" i="2"/>
  <c r="AF156" i="2"/>
  <c r="AA156" i="2"/>
  <c r="AI156" i="2"/>
  <c r="AD156" i="2"/>
  <c r="AL156" i="2"/>
  <c r="Y156" i="2"/>
  <c r="AE156" i="2"/>
  <c r="V156" i="2"/>
  <c r="F156" i="2"/>
  <c r="Z156" i="2"/>
  <c r="AH156" i="2"/>
  <c r="AO156" i="2"/>
  <c r="P156" i="2"/>
  <c r="AB156" i="2"/>
  <c r="O156" i="2"/>
  <c r="H156" i="2"/>
  <c r="AK156" i="2"/>
  <c r="E156" i="2"/>
  <c r="G156" i="2"/>
  <c r="S156" i="2"/>
  <c r="W156" i="2"/>
  <c r="L156" i="2"/>
  <c r="K156" i="2"/>
  <c r="AJ156" i="2"/>
  <c r="D156" i="2"/>
  <c r="U156" i="2"/>
  <c r="AG156" i="2"/>
  <c r="M156" i="2"/>
  <c r="AN156" i="2"/>
  <c r="J156" i="2"/>
  <c r="C156" i="2"/>
  <c r="T156" i="2"/>
  <c r="Q156" i="2"/>
  <c r="R156" i="2"/>
  <c r="AM156" i="2"/>
  <c r="N156" i="2"/>
  <c r="B158" i="2" l="1"/>
  <c r="J157" i="2"/>
  <c r="AL157" i="2"/>
  <c r="AJ157" i="2"/>
  <c r="AI157" i="2"/>
  <c r="V157" i="2"/>
  <c r="L157" i="2"/>
  <c r="S157" i="2"/>
  <c r="AB157" i="2"/>
  <c r="Q157" i="2"/>
  <c r="I157" i="2"/>
  <c r="AH157" i="2"/>
  <c r="P157" i="2"/>
  <c r="AN157" i="2"/>
  <c r="AM157" i="2"/>
  <c r="G157" i="2"/>
  <c r="U157" i="2"/>
  <c r="C157" i="2"/>
  <c r="H157" i="2"/>
  <c r="AO157" i="2"/>
  <c r="E157" i="2"/>
  <c r="AK157" i="2"/>
  <c r="O157" i="2"/>
  <c r="N157" i="2"/>
  <c r="AF157" i="2"/>
  <c r="AG157" i="2"/>
  <c r="Z157" i="2"/>
  <c r="K157" i="2"/>
  <c r="R157" i="2"/>
  <c r="AE157" i="2"/>
  <c r="D157" i="2"/>
  <c r="Y157" i="2"/>
  <c r="X157" i="2"/>
  <c r="AA157" i="2"/>
  <c r="AD157" i="2"/>
  <c r="T157" i="2"/>
  <c r="F157" i="2"/>
  <c r="M157" i="2"/>
  <c r="AC157" i="2"/>
  <c r="W157" i="2"/>
  <c r="B159" i="2" l="1"/>
  <c r="AB158" i="2"/>
  <c r="E158" i="2"/>
  <c r="AJ158" i="2"/>
  <c r="AF158" i="2"/>
  <c r="W158" i="2"/>
  <c r="AK158" i="2"/>
  <c r="L158" i="2"/>
  <c r="C158" i="2"/>
  <c r="AN158" i="2"/>
  <c r="H158" i="2"/>
  <c r="Y158" i="2"/>
  <c r="AC158" i="2"/>
  <c r="Q158" i="2"/>
  <c r="X158" i="2"/>
  <c r="P158" i="2"/>
  <c r="O158" i="2"/>
  <c r="G158" i="2"/>
  <c r="N158" i="2"/>
  <c r="S158" i="2"/>
  <c r="Z158" i="2"/>
  <c r="R158" i="2"/>
  <c r="AG158" i="2"/>
  <c r="AM158" i="2"/>
  <c r="D158" i="2"/>
  <c r="U158" i="2"/>
  <c r="AE158" i="2"/>
  <c r="V158" i="2"/>
  <c r="AA158" i="2"/>
  <c r="AL158" i="2"/>
  <c r="K158" i="2"/>
  <c r="M158" i="2"/>
  <c r="F158" i="2"/>
  <c r="AH158" i="2"/>
  <c r="I158" i="2"/>
  <c r="AI158" i="2"/>
  <c r="AO158" i="2"/>
  <c r="T158" i="2"/>
  <c r="AD158" i="2"/>
  <c r="J158" i="2"/>
  <c r="B160" i="2" l="1"/>
  <c r="R159" i="2"/>
  <c r="Q159" i="2"/>
  <c r="AN159" i="2"/>
  <c r="J159" i="2"/>
  <c r="P159" i="2"/>
  <c r="Y159" i="2"/>
  <c r="Z159" i="2"/>
  <c r="C159" i="2"/>
  <c r="AD159" i="2"/>
  <c r="AI159" i="2"/>
  <c r="AB159" i="2"/>
  <c r="U159" i="2"/>
  <c r="AK159" i="2"/>
  <c r="E159" i="2"/>
  <c r="W159" i="2"/>
  <c r="AF159" i="2"/>
  <c r="AE159" i="2"/>
  <c r="AG159" i="2"/>
  <c r="N159" i="2"/>
  <c r="AM159" i="2"/>
  <c r="S159" i="2"/>
  <c r="AC159" i="2"/>
  <c r="K159" i="2"/>
  <c r="AO159" i="2"/>
  <c r="O159" i="2"/>
  <c r="AJ159" i="2"/>
  <c r="H159" i="2"/>
  <c r="AA159" i="2"/>
  <c r="V159" i="2"/>
  <c r="F159" i="2"/>
  <c r="M159" i="2"/>
  <c r="I159" i="2"/>
  <c r="AL159" i="2"/>
  <c r="T159" i="2"/>
  <c r="D159" i="2"/>
  <c r="G159" i="2"/>
  <c r="X159" i="2"/>
  <c r="AH159" i="2"/>
  <c r="L159" i="2"/>
  <c r="B161" i="2" l="1"/>
  <c r="T160" i="2"/>
  <c r="Q160" i="2"/>
  <c r="M160" i="2"/>
  <c r="L160" i="2"/>
  <c r="Z160" i="2"/>
  <c r="AL160" i="2"/>
  <c r="I160" i="2"/>
  <c r="V160" i="2"/>
  <c r="AA160" i="2"/>
  <c r="Y160" i="2"/>
  <c r="G160" i="2"/>
  <c r="AB160" i="2"/>
  <c r="AG160" i="2"/>
  <c r="P160" i="2"/>
  <c r="O160" i="2"/>
  <c r="AJ160" i="2"/>
  <c r="AD160" i="2"/>
  <c r="W160" i="2"/>
  <c r="AN160" i="2"/>
  <c r="S160" i="2"/>
  <c r="K160" i="2"/>
  <c r="AF160" i="2"/>
  <c r="AC160" i="2"/>
  <c r="AM160" i="2"/>
  <c r="D160" i="2"/>
  <c r="F160" i="2"/>
  <c r="R160" i="2"/>
  <c r="AH160" i="2"/>
  <c r="U160" i="2"/>
  <c r="H160" i="2"/>
  <c r="X160" i="2"/>
  <c r="AK160" i="2"/>
  <c r="AI160" i="2"/>
  <c r="AO160" i="2"/>
  <c r="E160" i="2"/>
  <c r="AE160" i="2"/>
  <c r="J160" i="2"/>
  <c r="C160" i="2"/>
  <c r="N160" i="2"/>
  <c r="B162" i="2" l="1"/>
  <c r="AO161" i="2"/>
  <c r="M161" i="2"/>
  <c r="V161" i="2"/>
  <c r="AC161" i="2"/>
  <c r="H161" i="2"/>
  <c r="I161" i="2"/>
  <c r="AN161" i="2"/>
  <c r="K161" i="2"/>
  <c r="E161" i="2"/>
  <c r="AE161" i="2"/>
  <c r="Q161" i="2"/>
  <c r="AJ161" i="2"/>
  <c r="R161" i="2"/>
  <c r="W161" i="2"/>
  <c r="X161" i="2"/>
  <c r="AB161" i="2"/>
  <c r="P161" i="2"/>
  <c r="G161" i="2"/>
  <c r="F161" i="2"/>
  <c r="AL161" i="2"/>
  <c r="D161" i="2"/>
  <c r="AM161" i="2"/>
  <c r="C161" i="2"/>
  <c r="AD161" i="2"/>
  <c r="AH161" i="2"/>
  <c r="T161" i="2"/>
  <c r="AF161" i="2"/>
  <c r="O161" i="2"/>
  <c r="AG161" i="2"/>
  <c r="S161" i="2"/>
  <c r="U161" i="2"/>
  <c r="Z161" i="2"/>
  <c r="N161" i="2"/>
  <c r="AI161" i="2"/>
  <c r="AA161" i="2"/>
  <c r="J161" i="2"/>
  <c r="L161" i="2"/>
  <c r="AK161" i="2"/>
  <c r="Y161" i="2"/>
  <c r="B163" i="2" l="1"/>
  <c r="F162" i="2"/>
  <c r="AC162" i="2"/>
  <c r="H162" i="2"/>
  <c r="V162" i="2"/>
  <c r="Q162" i="2"/>
  <c r="R162" i="2"/>
  <c r="Y162" i="2"/>
  <c r="AM162" i="2"/>
  <c r="W162" i="2"/>
  <c r="L162" i="2"/>
  <c r="C162" i="2"/>
  <c r="AF162" i="2"/>
  <c r="AH162" i="2"/>
  <c r="AN162" i="2"/>
  <c r="AA162" i="2"/>
  <c r="AE162" i="2"/>
  <c r="AL162" i="2"/>
  <c r="N162" i="2"/>
  <c r="AG162" i="2"/>
  <c r="M162" i="2"/>
  <c r="I162" i="2"/>
  <c r="S162" i="2"/>
  <c r="AO162" i="2"/>
  <c r="AI162" i="2"/>
  <c r="E162" i="2"/>
  <c r="P162" i="2"/>
  <c r="G162" i="2"/>
  <c r="AD162" i="2"/>
  <c r="AK162" i="2"/>
  <c r="Z162" i="2"/>
  <c r="J162" i="2"/>
  <c r="AJ162" i="2"/>
  <c r="U162" i="2"/>
  <c r="K162" i="2"/>
  <c r="O162" i="2"/>
  <c r="AB162" i="2"/>
  <c r="X162" i="2"/>
  <c r="T162" i="2"/>
  <c r="D162" i="2"/>
  <c r="B164" i="2" l="1"/>
  <c r="Z163" i="2"/>
  <c r="D163" i="2"/>
  <c r="V163" i="2"/>
  <c r="AH163" i="2"/>
  <c r="AA163" i="2"/>
  <c r="AL163" i="2"/>
  <c r="C163" i="2"/>
  <c r="AG163" i="2"/>
  <c r="H163" i="2"/>
  <c r="I163" i="2"/>
  <c r="S163" i="2"/>
  <c r="AF163" i="2"/>
  <c r="AC163" i="2"/>
  <c r="AM163" i="2"/>
  <c r="F163" i="2"/>
  <c r="O163" i="2"/>
  <c r="E163" i="2"/>
  <c r="M163" i="2"/>
  <c r="Y163" i="2"/>
  <c r="T163" i="2"/>
  <c r="P163" i="2"/>
  <c r="Q163" i="2"/>
  <c r="U163" i="2"/>
  <c r="AE163" i="2"/>
  <c r="N163" i="2"/>
  <c r="K163" i="2"/>
  <c r="AK163" i="2"/>
  <c r="J163" i="2"/>
  <c r="AB163" i="2"/>
  <c r="AO163" i="2"/>
  <c r="AN163" i="2"/>
  <c r="AD163" i="2"/>
  <c r="AJ163" i="2"/>
  <c r="L163" i="2"/>
  <c r="W163" i="2"/>
  <c r="AI163" i="2"/>
  <c r="X163" i="2"/>
  <c r="R163" i="2"/>
  <c r="G163" i="2"/>
  <c r="B165" i="2" l="1"/>
  <c r="AN164" i="2"/>
  <c r="Z164" i="2"/>
  <c r="O164" i="2"/>
  <c r="AC164" i="2"/>
  <c r="G164" i="2"/>
  <c r="Y164" i="2"/>
  <c r="AE164" i="2"/>
  <c r="E164" i="2"/>
  <c r="C164" i="2"/>
  <c r="N164" i="2"/>
  <c r="X164" i="2"/>
  <c r="K164" i="2"/>
  <c r="T164" i="2"/>
  <c r="M164" i="2"/>
  <c r="AO164" i="2"/>
  <c r="AB164" i="2"/>
  <c r="D164" i="2"/>
  <c r="U164" i="2"/>
  <c r="Q164" i="2"/>
  <c r="P164" i="2"/>
  <c r="I164" i="2"/>
  <c r="AM164" i="2"/>
  <c r="AI164" i="2"/>
  <c r="AH164" i="2"/>
  <c r="F164" i="2"/>
  <c r="AD164" i="2"/>
  <c r="AJ164" i="2"/>
  <c r="W164" i="2"/>
  <c r="AL164" i="2"/>
  <c r="AA164" i="2"/>
  <c r="J164" i="2"/>
  <c r="R164" i="2"/>
  <c r="H164" i="2"/>
  <c r="V164" i="2"/>
  <c r="AF164" i="2"/>
  <c r="AG164" i="2"/>
  <c r="AK164" i="2"/>
  <c r="S164" i="2"/>
  <c r="L164" i="2"/>
  <c r="B166" i="2" l="1"/>
  <c r="AG165" i="2"/>
  <c r="L165" i="2"/>
  <c r="M165" i="2"/>
  <c r="AL165" i="2"/>
  <c r="Z165" i="2"/>
  <c r="AC165" i="2"/>
  <c r="G165" i="2"/>
  <c r="P165" i="2"/>
  <c r="AM165" i="2"/>
  <c r="AD165" i="2"/>
  <c r="Q165" i="2"/>
  <c r="Y165" i="2"/>
  <c r="I165" i="2"/>
  <c r="N165" i="2"/>
  <c r="AA165" i="2"/>
  <c r="AK165" i="2"/>
  <c r="J165" i="2"/>
  <c r="C165" i="2"/>
  <c r="E165" i="2"/>
  <c r="H165" i="2"/>
  <c r="S165" i="2"/>
  <c r="AH165" i="2"/>
  <c r="X165" i="2"/>
  <c r="W165" i="2"/>
  <c r="R165" i="2"/>
  <c r="AN165" i="2"/>
  <c r="D165" i="2"/>
  <c r="AF165" i="2"/>
  <c r="K165" i="2"/>
  <c r="O165" i="2"/>
  <c r="AE165" i="2"/>
  <c r="AO165" i="2"/>
  <c r="V165" i="2"/>
  <c r="T165" i="2"/>
  <c r="U165" i="2"/>
  <c r="AJ165" i="2"/>
  <c r="F165" i="2"/>
  <c r="AB165" i="2"/>
  <c r="AI165" i="2"/>
  <c r="B167" i="2" l="1"/>
  <c r="J166" i="2"/>
  <c r="P166" i="2"/>
  <c r="M166" i="2"/>
  <c r="AO166" i="2"/>
  <c r="W166" i="2"/>
  <c r="AH166" i="2"/>
  <c r="AI166" i="2"/>
  <c r="S166" i="2"/>
  <c r="R166" i="2"/>
  <c r="L166" i="2"/>
  <c r="H166" i="2"/>
  <c r="F166" i="2"/>
  <c r="AK166" i="2"/>
  <c r="C166" i="2"/>
  <c r="Z166" i="2"/>
  <c r="V166" i="2"/>
  <c r="AD166" i="2"/>
  <c r="AM166" i="2"/>
  <c r="Y166" i="2"/>
  <c r="E166" i="2"/>
  <c r="G166" i="2"/>
  <c r="AC166" i="2"/>
  <c r="Q166" i="2"/>
  <c r="N166" i="2"/>
  <c r="AB166" i="2"/>
  <c r="AJ166" i="2"/>
  <c r="I166" i="2"/>
  <c r="X166" i="2"/>
  <c r="AE166" i="2"/>
  <c r="O166" i="2"/>
  <c r="AG166" i="2"/>
  <c r="T166" i="2"/>
  <c r="AA166" i="2"/>
  <c r="AN166" i="2"/>
  <c r="D166" i="2"/>
  <c r="K166" i="2"/>
  <c r="U166" i="2"/>
  <c r="AF166" i="2"/>
  <c r="AL166" i="2"/>
  <c r="B168" i="2" l="1"/>
  <c r="J167" i="2"/>
  <c r="N167" i="2"/>
  <c r="E167" i="2"/>
  <c r="AK167" i="2"/>
  <c r="AD167" i="2"/>
  <c r="F167" i="2"/>
  <c r="P167" i="2"/>
  <c r="L167" i="2"/>
  <c r="U167" i="2"/>
  <c r="G167" i="2"/>
  <c r="AE167" i="2"/>
  <c r="W167" i="2"/>
  <c r="M167" i="2"/>
  <c r="AG167" i="2"/>
  <c r="R167" i="2"/>
  <c r="C167" i="2"/>
  <c r="AH167" i="2"/>
  <c r="I167" i="2"/>
  <c r="X167" i="2"/>
  <c r="S167" i="2"/>
  <c r="AN167" i="2"/>
  <c r="T167" i="2"/>
  <c r="Q167" i="2"/>
  <c r="O167" i="2"/>
  <c r="K167" i="2"/>
  <c r="AJ167" i="2"/>
  <c r="AM167" i="2"/>
  <c r="AF167" i="2"/>
  <c r="AA167" i="2"/>
  <c r="D167" i="2"/>
  <c r="AO167" i="2"/>
  <c r="AL167" i="2"/>
  <c r="AC167" i="2"/>
  <c r="H167" i="2"/>
  <c r="Z167" i="2"/>
  <c r="AB167" i="2"/>
  <c r="AI167" i="2"/>
  <c r="V167" i="2"/>
  <c r="Y167" i="2"/>
  <c r="B169" i="2" l="1"/>
  <c r="AK168" i="2"/>
  <c r="P168" i="2"/>
  <c r="AE168" i="2"/>
  <c r="Y168" i="2"/>
  <c r="AC168" i="2"/>
  <c r="AG168" i="2"/>
  <c r="AN168" i="2"/>
  <c r="S168" i="2"/>
  <c r="E168" i="2"/>
  <c r="Z168" i="2"/>
  <c r="W168" i="2"/>
  <c r="J168" i="2"/>
  <c r="H168" i="2"/>
  <c r="AJ168" i="2"/>
  <c r="U168" i="2"/>
  <c r="AB168" i="2"/>
  <c r="O168" i="2"/>
  <c r="M168" i="2"/>
  <c r="AL168" i="2"/>
  <c r="AF168" i="2"/>
  <c r="AA168" i="2"/>
  <c r="G168" i="2"/>
  <c r="F168" i="2"/>
  <c r="T168" i="2"/>
  <c r="N168" i="2"/>
  <c r="AO168" i="2"/>
  <c r="K168" i="2"/>
  <c r="Q168" i="2"/>
  <c r="V168" i="2"/>
  <c r="AH168" i="2"/>
  <c r="X168" i="2"/>
  <c r="C168" i="2"/>
  <c r="AD168" i="2"/>
  <c r="I168" i="2"/>
  <c r="AI168" i="2"/>
  <c r="D168" i="2"/>
  <c r="R168" i="2"/>
  <c r="AM168" i="2"/>
  <c r="L168" i="2"/>
  <c r="B170" i="2" l="1"/>
  <c r="AI169" i="2"/>
  <c r="F169" i="2"/>
  <c r="Z169" i="2"/>
  <c r="AM169" i="2"/>
  <c r="T169" i="2"/>
  <c r="J169" i="2"/>
  <c r="AL169" i="2"/>
  <c r="G169" i="2"/>
  <c r="C169" i="2"/>
  <c r="N169" i="2"/>
  <c r="AO169" i="2"/>
  <c r="W169" i="2"/>
  <c r="K169" i="2"/>
  <c r="I169" i="2"/>
  <c r="L169" i="2"/>
  <c r="M169" i="2"/>
  <c r="H169" i="2"/>
  <c r="AH169" i="2"/>
  <c r="S169" i="2"/>
  <c r="AF169" i="2"/>
  <c r="D169" i="2"/>
  <c r="V169" i="2"/>
  <c r="AK169" i="2"/>
  <c r="Y169" i="2"/>
  <c r="AE169" i="2"/>
  <c r="Q169" i="2"/>
  <c r="AC169" i="2"/>
  <c r="AB169" i="2"/>
  <c r="X169" i="2"/>
  <c r="AJ169" i="2"/>
  <c r="E169" i="2"/>
  <c r="P169" i="2"/>
  <c r="U169" i="2"/>
  <c r="AA169" i="2"/>
  <c r="AG169" i="2"/>
  <c r="AN169" i="2"/>
  <c r="R169" i="2"/>
  <c r="AD169" i="2"/>
  <c r="O169" i="2"/>
  <c r="B171" i="2" l="1"/>
  <c r="X170" i="2"/>
  <c r="D170" i="2"/>
  <c r="C170" i="2"/>
  <c r="Q170" i="2"/>
  <c r="P170" i="2"/>
  <c r="N170" i="2"/>
  <c r="AF170" i="2"/>
  <c r="L170" i="2"/>
  <c r="AJ170" i="2"/>
  <c r="T170" i="2"/>
  <c r="K170" i="2"/>
  <c r="G170" i="2"/>
  <c r="AI170" i="2"/>
  <c r="AE170" i="2"/>
  <c r="F170" i="2"/>
  <c r="AA170" i="2"/>
  <c r="Z170" i="2"/>
  <c r="Y170" i="2"/>
  <c r="AL170" i="2"/>
  <c r="AN170" i="2"/>
  <c r="AC170" i="2"/>
  <c r="AG170" i="2"/>
  <c r="I170" i="2"/>
  <c r="AO170" i="2"/>
  <c r="U170" i="2"/>
  <c r="M170" i="2"/>
  <c r="V170" i="2"/>
  <c r="O170" i="2"/>
  <c r="W170" i="2"/>
  <c r="H170" i="2"/>
  <c r="AH170" i="2"/>
  <c r="S170" i="2"/>
  <c r="AB170" i="2"/>
  <c r="R170" i="2"/>
  <c r="E170" i="2"/>
  <c r="AM170" i="2"/>
  <c r="AD170" i="2"/>
  <c r="AK170" i="2"/>
  <c r="J170" i="2"/>
  <c r="B172" i="2" l="1"/>
  <c r="T171" i="2"/>
  <c r="AA171" i="2"/>
  <c r="P171" i="2"/>
  <c r="W171" i="2"/>
  <c r="U171" i="2"/>
  <c r="AB171" i="2"/>
  <c r="D171" i="2"/>
  <c r="AM171" i="2"/>
  <c r="AH171" i="2"/>
  <c r="AC171" i="2"/>
  <c r="Z171" i="2"/>
  <c r="E171" i="2"/>
  <c r="AO171" i="2"/>
  <c r="V171" i="2"/>
  <c r="AG171" i="2"/>
  <c r="K171" i="2"/>
  <c r="Q171" i="2"/>
  <c r="J171" i="2"/>
  <c r="O171" i="2"/>
  <c r="AD171" i="2"/>
  <c r="AI171" i="2"/>
  <c r="L171" i="2"/>
  <c r="S171" i="2"/>
  <c r="X171" i="2"/>
  <c r="H171" i="2"/>
  <c r="AJ171" i="2"/>
  <c r="C171" i="2"/>
  <c r="AN171" i="2"/>
  <c r="AK171" i="2"/>
  <c r="AL171" i="2"/>
  <c r="G171" i="2"/>
  <c r="R171" i="2"/>
  <c r="Y171" i="2"/>
  <c r="I171" i="2"/>
  <c r="M171" i="2"/>
  <c r="AF171" i="2"/>
  <c r="N171" i="2"/>
  <c r="AE171" i="2"/>
  <c r="F171" i="2"/>
  <c r="B173" i="2" l="1"/>
  <c r="AC172" i="2"/>
  <c r="I172" i="2"/>
  <c r="AJ172" i="2"/>
  <c r="J172" i="2"/>
  <c r="S172" i="2"/>
  <c r="P172" i="2"/>
  <c r="O172" i="2"/>
  <c r="AH172" i="2"/>
  <c r="Q172" i="2"/>
  <c r="AF172" i="2"/>
  <c r="K172" i="2"/>
  <c r="G172" i="2"/>
  <c r="L172" i="2"/>
  <c r="T172" i="2"/>
  <c r="R172" i="2"/>
  <c r="AO172" i="2"/>
  <c r="H172" i="2"/>
  <c r="AK172" i="2"/>
  <c r="AI172" i="2"/>
  <c r="AA172" i="2"/>
  <c r="Z172" i="2"/>
  <c r="F172" i="2"/>
  <c r="D172" i="2"/>
  <c r="N172" i="2"/>
  <c r="AD172" i="2"/>
  <c r="M172" i="2"/>
  <c r="AE172" i="2"/>
  <c r="Y172" i="2"/>
  <c r="X172" i="2"/>
  <c r="C172" i="2"/>
  <c r="AN172" i="2"/>
  <c r="E172" i="2"/>
  <c r="AB172" i="2"/>
  <c r="AL172" i="2"/>
  <c r="W172" i="2"/>
  <c r="U172" i="2"/>
  <c r="AG172" i="2"/>
  <c r="V172" i="2"/>
  <c r="AM172" i="2"/>
  <c r="B174" i="2" l="1"/>
  <c r="AO173" i="2"/>
  <c r="S173" i="2"/>
  <c r="AD173" i="2"/>
  <c r="M173" i="2"/>
  <c r="AK173" i="2"/>
  <c r="R173" i="2"/>
  <c r="P173" i="2"/>
  <c r="H173" i="2"/>
  <c r="N173" i="2"/>
  <c r="AE173" i="2"/>
  <c r="D173" i="2"/>
  <c r="AL173" i="2"/>
  <c r="C173" i="2"/>
  <c r="AM173" i="2"/>
  <c r="L173" i="2"/>
  <c r="Z173" i="2"/>
  <c r="J173" i="2"/>
  <c r="F173" i="2"/>
  <c r="AC173" i="2"/>
  <c r="Q173" i="2"/>
  <c r="U173" i="2"/>
  <c r="O173" i="2"/>
  <c r="AJ173" i="2"/>
  <c r="X173" i="2"/>
  <c r="W173" i="2"/>
  <c r="K173" i="2"/>
  <c r="AF173" i="2"/>
  <c r="Y173" i="2"/>
  <c r="AG173" i="2"/>
  <c r="G173" i="2"/>
  <c r="AA173" i="2"/>
  <c r="E173" i="2"/>
  <c r="V173" i="2"/>
  <c r="AI173" i="2"/>
  <c r="AN173" i="2"/>
  <c r="AH173" i="2"/>
  <c r="I173" i="2"/>
  <c r="T173" i="2"/>
  <c r="AB173" i="2"/>
  <c r="B175" i="2" l="1"/>
  <c r="AD174" i="2"/>
  <c r="I174" i="2"/>
  <c r="T174" i="2"/>
  <c r="O174" i="2"/>
  <c r="AL174" i="2"/>
  <c r="AK174" i="2"/>
  <c r="L174" i="2"/>
  <c r="M174" i="2"/>
  <c r="AJ174" i="2"/>
  <c r="E174" i="2"/>
  <c r="K174" i="2"/>
  <c r="W174" i="2"/>
  <c r="D174" i="2"/>
  <c r="AB174" i="2"/>
  <c r="H174" i="2"/>
  <c r="AC174" i="2"/>
  <c r="AN174" i="2"/>
  <c r="U174" i="2"/>
  <c r="J174" i="2"/>
  <c r="G174" i="2"/>
  <c r="S174" i="2"/>
  <c r="AG174" i="2"/>
  <c r="X174" i="2"/>
  <c r="R174" i="2"/>
  <c r="AM174" i="2"/>
  <c r="AH174" i="2"/>
  <c r="AE174" i="2"/>
  <c r="AO174" i="2"/>
  <c r="AA174" i="2"/>
  <c r="AI174" i="2"/>
  <c r="F174" i="2"/>
  <c r="AF174" i="2"/>
  <c r="C174" i="2"/>
  <c r="P174" i="2"/>
  <c r="Z174" i="2"/>
  <c r="Y174" i="2"/>
  <c r="N174" i="2"/>
  <c r="V174" i="2"/>
  <c r="Q174" i="2"/>
  <c r="B176" i="2" l="1"/>
  <c r="AN175" i="2"/>
  <c r="AO175" i="2"/>
  <c r="AF175" i="2"/>
  <c r="R175" i="2"/>
  <c r="P175" i="2"/>
  <c r="AC175" i="2"/>
  <c r="M175" i="2"/>
  <c r="AB175" i="2"/>
  <c r="L175" i="2"/>
  <c r="AL175" i="2"/>
  <c r="Y175" i="2"/>
  <c r="N175" i="2"/>
  <c r="V175" i="2"/>
  <c r="X175" i="2"/>
  <c r="U175" i="2"/>
  <c r="S175" i="2"/>
  <c r="Q175" i="2"/>
  <c r="AI175" i="2"/>
  <c r="J175" i="2"/>
  <c r="AE175" i="2"/>
  <c r="I175" i="2"/>
  <c r="O175" i="2"/>
  <c r="AJ175" i="2"/>
  <c r="AK175" i="2"/>
  <c r="W175" i="2"/>
  <c r="H175" i="2"/>
  <c r="K175" i="2"/>
  <c r="F175" i="2"/>
  <c r="C175" i="2"/>
  <c r="T175" i="2"/>
  <c r="AM175" i="2"/>
  <c r="AH175" i="2"/>
  <c r="E175" i="2"/>
  <c r="AA175" i="2"/>
  <c r="AD175" i="2"/>
  <c r="G175" i="2"/>
  <c r="Z175" i="2"/>
  <c r="D175" i="2"/>
  <c r="AG175" i="2"/>
  <c r="B177" i="2" l="1"/>
  <c r="X176" i="2"/>
  <c r="T176" i="2"/>
  <c r="K176" i="2"/>
  <c r="R176" i="2"/>
  <c r="AD176" i="2"/>
  <c r="O176" i="2"/>
  <c r="E176" i="2"/>
  <c r="AC176" i="2"/>
  <c r="AF176" i="2"/>
  <c r="AB176" i="2"/>
  <c r="AK176" i="2"/>
  <c r="J176" i="2"/>
  <c r="C176" i="2"/>
  <c r="Z176" i="2"/>
  <c r="M176" i="2"/>
  <c r="N176" i="2"/>
  <c r="W176" i="2"/>
  <c r="F176" i="2"/>
  <c r="D176" i="2"/>
  <c r="AL176" i="2"/>
  <c r="AM176" i="2"/>
  <c r="I176" i="2"/>
  <c r="U176" i="2"/>
  <c r="L176" i="2"/>
  <c r="AG176" i="2"/>
  <c r="Q176" i="2"/>
  <c r="AI176" i="2"/>
  <c r="P176" i="2"/>
  <c r="AO176" i="2"/>
  <c r="V176" i="2"/>
  <c r="G176" i="2"/>
  <c r="AA176" i="2"/>
  <c r="AH176" i="2"/>
  <c r="AN176" i="2"/>
  <c r="Y176" i="2"/>
  <c r="S176" i="2"/>
  <c r="H176" i="2"/>
  <c r="AE176" i="2"/>
  <c r="AJ176" i="2"/>
  <c r="B178" i="2" l="1"/>
  <c r="AD177" i="2"/>
  <c r="AL177" i="2"/>
  <c r="I177" i="2"/>
  <c r="AO177" i="2"/>
  <c r="M177" i="2"/>
  <c r="Q177" i="2"/>
  <c r="K177" i="2"/>
  <c r="N177" i="2"/>
  <c r="D177" i="2"/>
  <c r="S177" i="2"/>
  <c r="W177" i="2"/>
  <c r="Y177" i="2"/>
  <c r="AK177" i="2"/>
  <c r="R177" i="2"/>
  <c r="X177" i="2"/>
  <c r="C177" i="2"/>
  <c r="AJ177" i="2"/>
  <c r="F177" i="2"/>
  <c r="L177" i="2"/>
  <c r="T177" i="2"/>
  <c r="AN177" i="2"/>
  <c r="H177" i="2"/>
  <c r="E177" i="2"/>
  <c r="Z177" i="2"/>
  <c r="V177" i="2"/>
  <c r="AC177" i="2"/>
  <c r="AF177" i="2"/>
  <c r="P177" i="2"/>
  <c r="AB177" i="2"/>
  <c r="AA177" i="2"/>
  <c r="J177" i="2"/>
  <c r="O177" i="2"/>
  <c r="AM177" i="2"/>
  <c r="AG177" i="2"/>
  <c r="U177" i="2"/>
  <c r="AI177" i="2"/>
  <c r="G177" i="2"/>
  <c r="AH177" i="2"/>
  <c r="AE177" i="2"/>
  <c r="B179" i="2" l="1"/>
  <c r="AL178" i="2"/>
  <c r="AA178" i="2"/>
  <c r="Z178" i="2"/>
  <c r="F178" i="2"/>
  <c r="AD178" i="2"/>
  <c r="X178" i="2"/>
  <c r="AK178" i="2"/>
  <c r="I178" i="2"/>
  <c r="E178" i="2"/>
  <c r="Y178" i="2"/>
  <c r="C178" i="2"/>
  <c r="AC178" i="2"/>
  <c r="M178" i="2"/>
  <c r="P178" i="2"/>
  <c r="Q178" i="2"/>
  <c r="AE178" i="2"/>
  <c r="L178" i="2"/>
  <c r="O178" i="2"/>
  <c r="G178" i="2"/>
  <c r="H178" i="2"/>
  <c r="J178" i="2"/>
  <c r="AO178" i="2"/>
  <c r="U178" i="2"/>
  <c r="AG178" i="2"/>
  <c r="AI178" i="2"/>
  <c r="AJ178" i="2"/>
  <c r="V178" i="2"/>
  <c r="S178" i="2"/>
  <c r="AM178" i="2"/>
  <c r="AF178" i="2"/>
  <c r="D178" i="2"/>
  <c r="K178" i="2"/>
  <c r="R178" i="2"/>
  <c r="T178" i="2"/>
  <c r="AH178" i="2"/>
  <c r="N178" i="2"/>
  <c r="AB178" i="2"/>
  <c r="W178" i="2"/>
  <c r="AN178" i="2"/>
  <c r="B180" i="2" l="1"/>
  <c r="X179" i="2"/>
  <c r="AJ179" i="2"/>
  <c r="M179" i="2"/>
  <c r="P179" i="2"/>
  <c r="S179" i="2"/>
  <c r="Z179" i="2"/>
  <c r="AD179" i="2"/>
  <c r="E179" i="2"/>
  <c r="W179" i="2"/>
  <c r="J179" i="2"/>
  <c r="AF179" i="2"/>
  <c r="G179" i="2"/>
  <c r="R179" i="2"/>
  <c r="Y179" i="2"/>
  <c r="AE179" i="2"/>
  <c r="AA179" i="2"/>
  <c r="F179" i="2"/>
  <c r="L179" i="2"/>
  <c r="AI179" i="2"/>
  <c r="AC179" i="2"/>
  <c r="AL179" i="2"/>
  <c r="AK179" i="2"/>
  <c r="O179" i="2"/>
  <c r="V179" i="2"/>
  <c r="K179" i="2"/>
  <c r="T179" i="2"/>
  <c r="D179" i="2"/>
  <c r="U179" i="2"/>
  <c r="H179" i="2"/>
  <c r="Q179" i="2"/>
  <c r="AH179" i="2"/>
  <c r="AM179" i="2"/>
  <c r="C179" i="2"/>
  <c r="N179" i="2"/>
  <c r="AO179" i="2"/>
  <c r="AG179" i="2"/>
  <c r="AN179" i="2"/>
  <c r="I179" i="2"/>
  <c r="AB179" i="2"/>
  <c r="B181" i="2" l="1"/>
  <c r="AB180" i="2"/>
  <c r="AF180" i="2"/>
  <c r="V180" i="2"/>
  <c r="AN180" i="2"/>
  <c r="AA180" i="2"/>
  <c r="U180" i="2"/>
  <c r="K180" i="2"/>
  <c r="C180" i="2"/>
  <c r="E180" i="2"/>
  <c r="M180" i="2"/>
  <c r="I180" i="2"/>
  <c r="AJ180" i="2"/>
  <c r="AI180" i="2"/>
  <c r="AM180" i="2"/>
  <c r="F180" i="2"/>
  <c r="Q180" i="2"/>
  <c r="AK180" i="2"/>
  <c r="G180" i="2"/>
  <c r="AG180" i="2"/>
  <c r="P180" i="2"/>
  <c r="O180" i="2"/>
  <c r="R180" i="2"/>
  <c r="D180" i="2"/>
  <c r="AH180" i="2"/>
  <c r="L180" i="2"/>
  <c r="W180" i="2"/>
  <c r="AL180" i="2"/>
  <c r="T180" i="2"/>
  <c r="Y180" i="2"/>
  <c r="N180" i="2"/>
  <c r="AE180" i="2"/>
  <c r="H180" i="2"/>
  <c r="X180" i="2"/>
  <c r="J180" i="2"/>
  <c r="S180" i="2"/>
  <c r="AD180" i="2"/>
  <c r="AC180" i="2"/>
  <c r="Z180" i="2"/>
  <c r="AO180" i="2"/>
  <c r="B182" i="2" l="1"/>
  <c r="AE181" i="2"/>
  <c r="AA181" i="2"/>
  <c r="K181" i="2"/>
  <c r="R181" i="2"/>
  <c r="E181" i="2"/>
  <c r="V181" i="2"/>
  <c r="S181" i="2"/>
  <c r="U181" i="2"/>
  <c r="Z181" i="2"/>
  <c r="AM181" i="2"/>
  <c r="H181" i="2"/>
  <c r="D181" i="2"/>
  <c r="P181" i="2"/>
  <c r="T181" i="2"/>
  <c r="G181" i="2"/>
  <c r="AB181" i="2"/>
  <c r="AK181" i="2"/>
  <c r="AH181" i="2"/>
  <c r="Q181" i="2"/>
  <c r="AD181" i="2"/>
  <c r="AN181" i="2"/>
  <c r="AG181" i="2"/>
  <c r="AO181" i="2"/>
  <c r="C181" i="2"/>
  <c r="AJ181" i="2"/>
  <c r="AL181" i="2"/>
  <c r="AI181" i="2"/>
  <c r="AC181" i="2"/>
  <c r="N181" i="2"/>
  <c r="M181" i="2"/>
  <c r="Y181" i="2"/>
  <c r="AF181" i="2"/>
  <c r="X181" i="2"/>
  <c r="W181" i="2"/>
  <c r="J181" i="2"/>
  <c r="F181" i="2"/>
  <c r="O181" i="2"/>
  <c r="L181" i="2"/>
  <c r="I181" i="2"/>
  <c r="B183" i="2" l="1"/>
  <c r="W182" i="2"/>
  <c r="R182" i="2"/>
  <c r="C182" i="2"/>
  <c r="AN182" i="2"/>
  <c r="N182" i="2"/>
  <c r="X182" i="2"/>
  <c r="AM182" i="2"/>
  <c r="S182" i="2"/>
  <c r="AL182" i="2"/>
  <c r="AJ182" i="2"/>
  <c r="L182" i="2"/>
  <c r="AA182" i="2"/>
  <c r="AH182" i="2"/>
  <c r="AI182" i="2"/>
  <c r="V182" i="2"/>
  <c r="I182" i="2"/>
  <c r="K182" i="2"/>
  <c r="P182" i="2"/>
  <c r="AK182" i="2"/>
  <c r="AF182" i="2"/>
  <c r="Y182" i="2"/>
  <c r="M182" i="2"/>
  <c r="Q182" i="2"/>
  <c r="E182" i="2"/>
  <c r="J182" i="2"/>
  <c r="AE182" i="2"/>
  <c r="AO182" i="2"/>
  <c r="F182" i="2"/>
  <c r="AD182" i="2"/>
  <c r="T182" i="2"/>
  <c r="AB182" i="2"/>
  <c r="AC182" i="2"/>
  <c r="H182" i="2"/>
  <c r="D182" i="2"/>
  <c r="O182" i="2"/>
  <c r="AG182" i="2"/>
  <c r="Z182" i="2"/>
  <c r="G182" i="2"/>
  <c r="U182" i="2"/>
  <c r="B184" i="2" l="1"/>
  <c r="I183" i="2"/>
  <c r="AO183" i="2"/>
  <c r="AB183" i="2"/>
  <c r="O183" i="2"/>
  <c r="T183" i="2"/>
  <c r="AK183" i="2"/>
  <c r="AH183" i="2"/>
  <c r="AD183" i="2"/>
  <c r="AG183" i="2"/>
  <c r="G183" i="2"/>
  <c r="AI183" i="2"/>
  <c r="U183" i="2"/>
  <c r="D183" i="2"/>
  <c r="AJ183" i="2"/>
  <c r="Q183" i="2"/>
  <c r="R183" i="2"/>
  <c r="N183" i="2"/>
  <c r="AC183" i="2"/>
  <c r="V183" i="2"/>
  <c r="J183" i="2"/>
  <c r="F183" i="2"/>
  <c r="H183" i="2"/>
  <c r="W183" i="2"/>
  <c r="M183" i="2"/>
  <c r="AA183" i="2"/>
  <c r="AF183" i="2"/>
  <c r="AL183" i="2"/>
  <c r="E183" i="2"/>
  <c r="AM183" i="2"/>
  <c r="K183" i="2"/>
  <c r="L183" i="2"/>
  <c r="AE183" i="2"/>
  <c r="C183" i="2"/>
  <c r="Y183" i="2"/>
  <c r="S183" i="2"/>
  <c r="P183" i="2"/>
  <c r="AN183" i="2"/>
  <c r="Z183" i="2"/>
  <c r="X183" i="2"/>
  <c r="B185" i="2" l="1"/>
  <c r="AA184" i="2"/>
  <c r="AF184" i="2"/>
  <c r="AL184" i="2"/>
  <c r="AI184" i="2"/>
  <c r="Y184" i="2"/>
  <c r="E184" i="2"/>
  <c r="R184" i="2"/>
  <c r="K184" i="2"/>
  <c r="W184" i="2"/>
  <c r="P184" i="2"/>
  <c r="Q184" i="2"/>
  <c r="S184" i="2"/>
  <c r="U184" i="2"/>
  <c r="F184" i="2"/>
  <c r="V184" i="2"/>
  <c r="H184" i="2"/>
  <c r="G184" i="2"/>
  <c r="N184" i="2"/>
  <c r="AM184" i="2"/>
  <c r="M184" i="2"/>
  <c r="J184" i="2"/>
  <c r="I184" i="2"/>
  <c r="D184" i="2"/>
  <c r="AN184" i="2"/>
  <c r="AE184" i="2"/>
  <c r="AJ184" i="2"/>
  <c r="AB184" i="2"/>
  <c r="AO184" i="2"/>
  <c r="AC184" i="2"/>
  <c r="L184" i="2"/>
  <c r="AD184" i="2"/>
  <c r="C184" i="2"/>
  <c r="AK184" i="2"/>
  <c r="AH184" i="2"/>
  <c r="AG184" i="2"/>
  <c r="T184" i="2"/>
  <c r="Z184" i="2"/>
  <c r="O184" i="2"/>
  <c r="X184" i="2"/>
  <c r="B186" i="2" l="1"/>
  <c r="AM185" i="2"/>
  <c r="AJ185" i="2"/>
  <c r="AG185" i="2"/>
  <c r="AF185" i="2"/>
  <c r="W185" i="2"/>
  <c r="F185" i="2"/>
  <c r="L185" i="2"/>
  <c r="H185" i="2"/>
  <c r="N185" i="2"/>
  <c r="C185" i="2"/>
  <c r="D185" i="2"/>
  <c r="X185" i="2"/>
  <c r="J185" i="2"/>
  <c r="Z185" i="2"/>
  <c r="AO185" i="2"/>
  <c r="I185" i="2"/>
  <c r="V185" i="2"/>
  <c r="AH185" i="2"/>
  <c r="S185" i="2"/>
  <c r="AI185" i="2"/>
  <c r="M185" i="2"/>
  <c r="Y185" i="2"/>
  <c r="U185" i="2"/>
  <c r="P185" i="2"/>
  <c r="R185" i="2"/>
  <c r="AN185" i="2"/>
  <c r="AK185" i="2"/>
  <c r="O185" i="2"/>
  <c r="T185" i="2"/>
  <c r="E185" i="2"/>
  <c r="G185" i="2"/>
  <c r="AL185" i="2"/>
  <c r="AB185" i="2"/>
  <c r="AD185" i="2"/>
  <c r="AE185" i="2"/>
  <c r="Q185" i="2"/>
  <c r="AC185" i="2"/>
  <c r="K185" i="2"/>
  <c r="AA185" i="2"/>
  <c r="B187" i="2" l="1"/>
  <c r="AL186" i="2"/>
  <c r="AN186" i="2"/>
  <c r="J186" i="2"/>
  <c r="AH186" i="2"/>
  <c r="K186" i="2"/>
  <c r="N186" i="2"/>
  <c r="AC186" i="2"/>
  <c r="H186" i="2"/>
  <c r="AM186" i="2"/>
  <c r="AJ186" i="2"/>
  <c r="R186" i="2"/>
  <c r="P186" i="2"/>
  <c r="AI186" i="2"/>
  <c r="X186" i="2"/>
  <c r="AE186" i="2"/>
  <c r="Z186" i="2"/>
  <c r="T186" i="2"/>
  <c r="AG186" i="2"/>
  <c r="G186" i="2"/>
  <c r="L186" i="2"/>
  <c r="F186" i="2"/>
  <c r="AA186" i="2"/>
  <c r="AO186" i="2"/>
  <c r="Q186" i="2"/>
  <c r="AF186" i="2"/>
  <c r="AB186" i="2"/>
  <c r="D186" i="2"/>
  <c r="U186" i="2"/>
  <c r="V186" i="2"/>
  <c r="C186" i="2"/>
  <c r="S186" i="2"/>
  <c r="O186" i="2"/>
  <c r="I186" i="2"/>
  <c r="W186" i="2"/>
  <c r="M186" i="2"/>
  <c r="Y186" i="2"/>
  <c r="AK186" i="2"/>
  <c r="AD186" i="2"/>
  <c r="E186" i="2"/>
  <c r="B188" i="2" l="1"/>
  <c r="C187" i="2"/>
  <c r="AB187" i="2"/>
  <c r="M187" i="2"/>
  <c r="R187" i="2"/>
  <c r="D187" i="2"/>
  <c r="AI187" i="2"/>
  <c r="G187" i="2"/>
  <c r="AH187" i="2"/>
  <c r="W187" i="2"/>
  <c r="H187" i="2"/>
  <c r="P187" i="2"/>
  <c r="L187" i="2"/>
  <c r="AE187" i="2"/>
  <c r="F187" i="2"/>
  <c r="AA187" i="2"/>
  <c r="AD187" i="2"/>
  <c r="V187" i="2"/>
  <c r="AL187" i="2"/>
  <c r="T187" i="2"/>
  <c r="AC187" i="2"/>
  <c r="Z187" i="2"/>
  <c r="AG187" i="2"/>
  <c r="AM187" i="2"/>
  <c r="X187" i="2"/>
  <c r="AO187" i="2"/>
  <c r="U187" i="2"/>
  <c r="E187" i="2"/>
  <c r="AF187" i="2"/>
  <c r="AK187" i="2"/>
  <c r="S187" i="2"/>
  <c r="AJ187" i="2"/>
  <c r="O187" i="2"/>
  <c r="J187" i="2"/>
  <c r="AN187" i="2"/>
  <c r="Q187" i="2"/>
  <c r="N187" i="2"/>
  <c r="K187" i="2"/>
  <c r="Y187" i="2"/>
  <c r="I187" i="2"/>
  <c r="B189" i="2" l="1"/>
  <c r="O188" i="2"/>
  <c r="S188" i="2"/>
  <c r="AH188" i="2"/>
  <c r="W188" i="2"/>
  <c r="V188" i="2"/>
  <c r="AK188" i="2"/>
  <c r="D188" i="2"/>
  <c r="N188" i="2"/>
  <c r="J188" i="2"/>
  <c r="Q188" i="2"/>
  <c r="X188" i="2"/>
  <c r="C188" i="2"/>
  <c r="AL188" i="2"/>
  <c r="AB188" i="2"/>
  <c r="T188" i="2"/>
  <c r="G188" i="2"/>
  <c r="F188" i="2"/>
  <c r="L188" i="2"/>
  <c r="AD188" i="2"/>
  <c r="H188" i="2"/>
  <c r="K188" i="2"/>
  <c r="AN188" i="2"/>
  <c r="AF188" i="2"/>
  <c r="AG188" i="2"/>
  <c r="E188" i="2"/>
  <c r="AA188" i="2"/>
  <c r="AM188" i="2"/>
  <c r="P188" i="2"/>
  <c r="R188" i="2"/>
  <c r="AO188" i="2"/>
  <c r="AJ188" i="2"/>
  <c r="Z188" i="2"/>
  <c r="M188" i="2"/>
  <c r="Y188" i="2"/>
  <c r="AC188" i="2"/>
  <c r="AI188" i="2"/>
  <c r="I188" i="2"/>
  <c r="U188" i="2"/>
  <c r="AE188" i="2"/>
  <c r="B190" i="2" l="1"/>
  <c r="Y189" i="2"/>
  <c r="C189" i="2"/>
  <c r="L189" i="2"/>
  <c r="AL189" i="2"/>
  <c r="AC189" i="2"/>
  <c r="N189" i="2"/>
  <c r="X189" i="2"/>
  <c r="H189" i="2"/>
  <c r="AB189" i="2"/>
  <c r="U189" i="2"/>
  <c r="R189" i="2"/>
  <c r="AH189" i="2"/>
  <c r="AM189" i="2"/>
  <c r="S189" i="2"/>
  <c r="J189" i="2"/>
  <c r="AJ189" i="2"/>
  <c r="G189" i="2"/>
  <c r="Z189" i="2"/>
  <c r="AE189" i="2"/>
  <c r="AK189" i="2"/>
  <c r="D189" i="2"/>
  <c r="M189" i="2"/>
  <c r="AD189" i="2"/>
  <c r="F189" i="2"/>
  <c r="E189" i="2"/>
  <c r="V189" i="2"/>
  <c r="Q189" i="2"/>
  <c r="AO189" i="2"/>
  <c r="P189" i="2"/>
  <c r="AF189" i="2"/>
  <c r="AI189" i="2"/>
  <c r="O189" i="2"/>
  <c r="AN189" i="2"/>
  <c r="AG189" i="2"/>
  <c r="W189" i="2"/>
  <c r="I189" i="2"/>
  <c r="AA189" i="2"/>
  <c r="K189" i="2"/>
  <c r="T189" i="2"/>
  <c r="B191" i="2" l="1"/>
  <c r="AB190" i="2"/>
  <c r="D190" i="2"/>
  <c r="C190" i="2"/>
  <c r="AH190" i="2"/>
  <c r="AA190" i="2"/>
  <c r="S190" i="2"/>
  <c r="G190" i="2"/>
  <c r="P190" i="2"/>
  <c r="AK190" i="2"/>
  <c r="N190" i="2"/>
  <c r="K190" i="2"/>
  <c r="Y190" i="2"/>
  <c r="T190" i="2"/>
  <c r="E190" i="2"/>
  <c r="O190" i="2"/>
  <c r="J190" i="2"/>
  <c r="M190" i="2"/>
  <c r="AJ190" i="2"/>
  <c r="X190" i="2"/>
  <c r="V190" i="2"/>
  <c r="R190" i="2"/>
  <c r="AL190" i="2"/>
  <c r="AO190" i="2"/>
  <c r="AN190" i="2"/>
  <c r="L190" i="2"/>
  <c r="I190" i="2"/>
  <c r="AD190" i="2"/>
  <c r="AM190" i="2"/>
  <c r="Z190" i="2"/>
  <c r="AF190" i="2"/>
  <c r="F190" i="2"/>
  <c r="H190" i="2"/>
  <c r="AI190" i="2"/>
  <c r="W190" i="2"/>
  <c r="Q190" i="2"/>
  <c r="AC190" i="2"/>
  <c r="AG190" i="2"/>
  <c r="AE190" i="2"/>
  <c r="U190" i="2"/>
  <c r="B192" i="2" l="1"/>
  <c r="X191" i="2"/>
  <c r="AI191" i="2"/>
  <c r="AJ191" i="2"/>
  <c r="L191" i="2"/>
  <c r="AH191" i="2"/>
  <c r="C191" i="2"/>
  <c r="R191" i="2"/>
  <c r="Y191" i="2"/>
  <c r="AO191" i="2"/>
  <c r="O191" i="2"/>
  <c r="AE191" i="2"/>
  <c r="S191" i="2"/>
  <c r="E191" i="2"/>
  <c r="M191" i="2"/>
  <c r="J191" i="2"/>
  <c r="F191" i="2"/>
  <c r="I191" i="2"/>
  <c r="AL191" i="2"/>
  <c r="P191" i="2"/>
  <c r="AK191" i="2"/>
  <c r="W191" i="2"/>
  <c r="D191" i="2"/>
  <c r="H191" i="2"/>
  <c r="AD191" i="2"/>
  <c r="AG191" i="2"/>
  <c r="V191" i="2"/>
  <c r="AN191" i="2"/>
  <c r="AF191" i="2"/>
  <c r="AB191" i="2"/>
  <c r="AC191" i="2"/>
  <c r="K191" i="2"/>
  <c r="AM191" i="2"/>
  <c r="T191" i="2"/>
  <c r="Z191" i="2"/>
  <c r="U191" i="2"/>
  <c r="G191" i="2"/>
  <c r="N191" i="2"/>
  <c r="AA191" i="2"/>
  <c r="Q191" i="2"/>
  <c r="B193" i="2" l="1"/>
  <c r="D192" i="2"/>
  <c r="C192" i="2"/>
  <c r="U192" i="2"/>
  <c r="AF192" i="2"/>
  <c r="S192" i="2"/>
  <c r="Q192" i="2"/>
  <c r="AD192" i="2"/>
  <c r="K192" i="2"/>
  <c r="G192" i="2"/>
  <c r="V192" i="2"/>
  <c r="N192" i="2"/>
  <c r="Z192" i="2"/>
  <c r="O192" i="2"/>
  <c r="E192" i="2"/>
  <c r="P192" i="2"/>
  <c r="M192" i="2"/>
  <c r="I192" i="2"/>
  <c r="AN192" i="2"/>
  <c r="AM192" i="2"/>
  <c r="J192" i="2"/>
  <c r="AG192" i="2"/>
  <c r="AH192" i="2"/>
  <c r="F192" i="2"/>
  <c r="X192" i="2"/>
  <c r="Y192" i="2"/>
  <c r="AK192" i="2"/>
  <c r="H192" i="2"/>
  <c r="AA192" i="2"/>
  <c r="AC192" i="2"/>
  <c r="AO192" i="2"/>
  <c r="AJ192" i="2"/>
  <c r="T192" i="2"/>
  <c r="W192" i="2"/>
  <c r="AI192" i="2"/>
  <c r="L192" i="2"/>
  <c r="AL192" i="2"/>
  <c r="AB192" i="2"/>
  <c r="AE192" i="2"/>
  <c r="R192" i="2"/>
  <c r="B194" i="2" l="1"/>
  <c r="T193" i="2"/>
  <c r="AM193" i="2"/>
  <c r="X193" i="2"/>
  <c r="AH193" i="2"/>
  <c r="W193" i="2"/>
  <c r="AL193" i="2"/>
  <c r="H193" i="2"/>
  <c r="AC193" i="2"/>
  <c r="AF193" i="2"/>
  <c r="G193" i="2"/>
  <c r="I193" i="2"/>
  <c r="Z193" i="2"/>
  <c r="AD193" i="2"/>
  <c r="AO193" i="2"/>
  <c r="AJ193" i="2"/>
  <c r="AI193" i="2"/>
  <c r="F193" i="2"/>
  <c r="AK193" i="2"/>
  <c r="N193" i="2"/>
  <c r="Q193" i="2"/>
  <c r="R193" i="2"/>
  <c r="J193" i="2"/>
  <c r="AG193" i="2"/>
  <c r="V193" i="2"/>
  <c r="S193" i="2"/>
  <c r="AB193" i="2"/>
  <c r="Y193" i="2"/>
  <c r="U193" i="2"/>
  <c r="E193" i="2"/>
  <c r="O193" i="2"/>
  <c r="P193" i="2"/>
  <c r="C193" i="2"/>
  <c r="M193" i="2"/>
  <c r="AN193" i="2"/>
  <c r="K193" i="2"/>
  <c r="AA193" i="2"/>
  <c r="L193" i="2"/>
  <c r="D193" i="2"/>
  <c r="AE193" i="2"/>
  <c r="B195" i="2" l="1"/>
  <c r="AM194" i="2"/>
  <c r="AJ194" i="2"/>
  <c r="U194" i="2"/>
  <c r="AE194" i="2"/>
  <c r="AC194" i="2"/>
  <c r="X194" i="2"/>
  <c r="Q194" i="2"/>
  <c r="P194" i="2"/>
  <c r="I194" i="2"/>
  <c r="R194" i="2"/>
  <c r="L194" i="2"/>
  <c r="K194" i="2"/>
  <c r="AA194" i="2"/>
  <c r="E194" i="2"/>
  <c r="W194" i="2"/>
  <c r="V194" i="2"/>
  <c r="AB194" i="2"/>
  <c r="AI194" i="2"/>
  <c r="N194" i="2"/>
  <c r="D194" i="2"/>
  <c r="Y194" i="2"/>
  <c r="AK194" i="2"/>
  <c r="T194" i="2"/>
  <c r="F194" i="2"/>
  <c r="H194" i="2"/>
  <c r="M194" i="2"/>
  <c r="S194" i="2"/>
  <c r="AO194" i="2"/>
  <c r="AH194" i="2"/>
  <c r="G194" i="2"/>
  <c r="J194" i="2"/>
  <c r="AG194" i="2"/>
  <c r="Z194" i="2"/>
  <c r="C194" i="2"/>
  <c r="AD194" i="2"/>
  <c r="O194" i="2"/>
  <c r="AF194" i="2"/>
  <c r="AL194" i="2"/>
  <c r="AN194" i="2"/>
  <c r="B196" i="2" l="1"/>
  <c r="W195" i="2"/>
  <c r="AE195" i="2"/>
  <c r="G195" i="2"/>
  <c r="F195" i="2"/>
  <c r="M195" i="2"/>
  <c r="AF195" i="2"/>
  <c r="AL195" i="2"/>
  <c r="U195" i="2"/>
  <c r="J195" i="2"/>
  <c r="AG195" i="2"/>
  <c r="AI195" i="2"/>
  <c r="R195" i="2"/>
  <c r="C195" i="2"/>
  <c r="AD195" i="2"/>
  <c r="AK195" i="2"/>
  <c r="AO195" i="2"/>
  <c r="AN195" i="2"/>
  <c r="S195" i="2"/>
  <c r="O195" i="2"/>
  <c r="AC195" i="2"/>
  <c r="AJ195" i="2"/>
  <c r="X195" i="2"/>
  <c r="V195" i="2"/>
  <c r="N195" i="2"/>
  <c r="AB195" i="2"/>
  <c r="AM195" i="2"/>
  <c r="I195" i="2"/>
  <c r="Y195" i="2"/>
  <c r="AA195" i="2"/>
  <c r="E195" i="2"/>
  <c r="K195" i="2"/>
  <c r="AH195" i="2"/>
  <c r="P195" i="2"/>
  <c r="L195" i="2"/>
  <c r="T195" i="2"/>
  <c r="Z195" i="2"/>
  <c r="D195" i="2"/>
  <c r="H195" i="2"/>
  <c r="Q195" i="2"/>
  <c r="B197" i="2" l="1"/>
  <c r="AF196" i="2"/>
  <c r="W196" i="2"/>
  <c r="I196" i="2"/>
  <c r="E196" i="2"/>
  <c r="AA196" i="2"/>
  <c r="T196" i="2"/>
  <c r="AO196" i="2"/>
  <c r="AC196" i="2"/>
  <c r="L196" i="2"/>
  <c r="AE196" i="2"/>
  <c r="AH196" i="2"/>
  <c r="J196" i="2"/>
  <c r="O196" i="2"/>
  <c r="AJ196" i="2"/>
  <c r="Y196" i="2"/>
  <c r="Q196" i="2"/>
  <c r="K196" i="2"/>
  <c r="AI196" i="2"/>
  <c r="D196" i="2"/>
  <c r="G196" i="2"/>
  <c r="S196" i="2"/>
  <c r="N196" i="2"/>
  <c r="AD196" i="2"/>
  <c r="C196" i="2"/>
  <c r="AM196" i="2"/>
  <c r="M196" i="2"/>
  <c r="AK196" i="2"/>
  <c r="AN196" i="2"/>
  <c r="AB196" i="2"/>
  <c r="F196" i="2"/>
  <c r="P196" i="2"/>
  <c r="AL196" i="2"/>
  <c r="H196" i="2"/>
  <c r="U196" i="2"/>
  <c r="X196" i="2"/>
  <c r="AG196" i="2"/>
  <c r="R196" i="2"/>
  <c r="Z196" i="2"/>
  <c r="V196" i="2"/>
  <c r="B198" i="2" l="1"/>
  <c r="C197" i="2"/>
  <c r="Y197" i="2"/>
  <c r="G197" i="2"/>
  <c r="M197" i="2"/>
  <c r="AB197" i="2"/>
  <c r="U197" i="2"/>
  <c r="AH197" i="2"/>
  <c r="Z197" i="2"/>
  <c r="AJ197" i="2"/>
  <c r="L197" i="2"/>
  <c r="O197" i="2"/>
  <c r="T197" i="2"/>
  <c r="F197" i="2"/>
  <c r="W197" i="2"/>
  <c r="R197" i="2"/>
  <c r="AE197" i="2"/>
  <c r="AC197" i="2"/>
  <c r="K197" i="2"/>
  <c r="AF197" i="2"/>
  <c r="N197" i="2"/>
  <c r="D197" i="2"/>
  <c r="AI197" i="2"/>
  <c r="P197" i="2"/>
  <c r="AL197" i="2"/>
  <c r="E197" i="2"/>
  <c r="AK197" i="2"/>
  <c r="H197" i="2"/>
  <c r="V197" i="2"/>
  <c r="AA197" i="2"/>
  <c r="AG197" i="2"/>
  <c r="J197" i="2"/>
  <c r="AM197" i="2"/>
  <c r="X197" i="2"/>
  <c r="Q197" i="2"/>
  <c r="S197" i="2"/>
  <c r="AD197" i="2"/>
  <c r="I197" i="2"/>
  <c r="AO197" i="2"/>
  <c r="AN197" i="2"/>
  <c r="B199" i="2" l="1"/>
  <c r="L198" i="2"/>
  <c r="N198" i="2"/>
  <c r="E198" i="2"/>
  <c r="C198" i="2"/>
  <c r="AO198" i="2"/>
  <c r="W198" i="2"/>
  <c r="P198" i="2"/>
  <c r="AK198" i="2"/>
  <c r="U198" i="2"/>
  <c r="R198" i="2"/>
  <c r="D198" i="2"/>
  <c r="K198" i="2"/>
  <c r="AB198" i="2"/>
  <c r="AH198" i="2"/>
  <c r="AE198" i="2"/>
  <c r="Q198" i="2"/>
  <c r="AL198" i="2"/>
  <c r="Z198" i="2"/>
  <c r="X198" i="2"/>
  <c r="G198" i="2"/>
  <c r="AG198" i="2"/>
  <c r="I198" i="2"/>
  <c r="Y198" i="2"/>
  <c r="AJ198" i="2"/>
  <c r="AM198" i="2"/>
  <c r="O198" i="2"/>
  <c r="AC198" i="2"/>
  <c r="S198" i="2"/>
  <c r="T198" i="2"/>
  <c r="AD198" i="2"/>
  <c r="M198" i="2"/>
  <c r="AF198" i="2"/>
  <c r="AA198" i="2"/>
  <c r="F198" i="2"/>
  <c r="AI198" i="2"/>
  <c r="H198" i="2"/>
  <c r="J198" i="2"/>
  <c r="V198" i="2"/>
  <c r="AN198" i="2"/>
  <c r="B200" i="2" l="1"/>
  <c r="AB199" i="2"/>
  <c r="J199" i="2"/>
  <c r="Z199" i="2"/>
  <c r="T199" i="2"/>
  <c r="V199" i="2"/>
  <c r="O199" i="2"/>
  <c r="D199" i="2"/>
  <c r="AH199" i="2"/>
  <c r="AL199" i="2"/>
  <c r="F199" i="2"/>
  <c r="AO199" i="2"/>
  <c r="E199" i="2"/>
  <c r="H199" i="2"/>
  <c r="AJ199" i="2"/>
  <c r="G199" i="2"/>
  <c r="AM199" i="2"/>
  <c r="AN199" i="2"/>
  <c r="AE199" i="2"/>
  <c r="U199" i="2"/>
  <c r="S199" i="2"/>
  <c r="AA199" i="2"/>
  <c r="Y199" i="2"/>
  <c r="M199" i="2"/>
  <c r="W199" i="2"/>
  <c r="AG199" i="2"/>
  <c r="AD199" i="2"/>
  <c r="R199" i="2"/>
  <c r="AF199" i="2"/>
  <c r="P199" i="2"/>
  <c r="X199" i="2"/>
  <c r="K199" i="2"/>
  <c r="C199" i="2"/>
  <c r="AK199" i="2"/>
  <c r="AC199" i="2"/>
  <c r="N199" i="2"/>
  <c r="I199" i="2"/>
  <c r="AI199" i="2"/>
  <c r="L199" i="2"/>
  <c r="Q199" i="2"/>
  <c r="B201" i="2" l="1"/>
  <c r="AL200" i="2"/>
  <c r="T200" i="2"/>
  <c r="AC200" i="2"/>
  <c r="Y200" i="2"/>
  <c r="L200" i="2"/>
  <c r="AA200" i="2"/>
  <c r="W200" i="2"/>
  <c r="AF200" i="2"/>
  <c r="AD200" i="2"/>
  <c r="O200" i="2"/>
  <c r="AO200" i="2"/>
  <c r="AN200" i="2"/>
  <c r="AE200" i="2"/>
  <c r="H200" i="2"/>
  <c r="V200" i="2"/>
  <c r="P200" i="2"/>
  <c r="C200" i="2"/>
  <c r="AB200" i="2"/>
  <c r="N200" i="2"/>
  <c r="Z200" i="2"/>
  <c r="M200" i="2"/>
  <c r="AJ200" i="2"/>
  <c r="AI200" i="2"/>
  <c r="D200" i="2"/>
  <c r="Q200" i="2"/>
  <c r="AK200" i="2"/>
  <c r="S200" i="2"/>
  <c r="J200" i="2"/>
  <c r="AH200" i="2"/>
  <c r="G200" i="2"/>
  <c r="AG200" i="2"/>
  <c r="F200" i="2"/>
  <c r="I200" i="2"/>
  <c r="R200" i="2"/>
  <c r="X200" i="2"/>
  <c r="E200" i="2"/>
  <c r="AM200" i="2"/>
  <c r="K200" i="2"/>
  <c r="U200" i="2"/>
  <c r="B202" i="2" l="1"/>
  <c r="J201" i="2"/>
  <c r="T201" i="2"/>
  <c r="D201" i="2"/>
  <c r="M201" i="2"/>
  <c r="AI201" i="2"/>
  <c r="F201" i="2"/>
  <c r="Z201" i="2"/>
  <c r="C201" i="2"/>
  <c r="H201" i="2"/>
  <c r="AA201" i="2"/>
  <c r="O201" i="2"/>
  <c r="AJ201" i="2"/>
  <c r="K201" i="2"/>
  <c r="V201" i="2"/>
  <c r="Q201" i="2"/>
  <c r="AC201" i="2"/>
  <c r="U201" i="2"/>
  <c r="X201" i="2"/>
  <c r="L201" i="2"/>
  <c r="P201" i="2"/>
  <c r="R201" i="2"/>
  <c r="AN201" i="2"/>
  <c r="G201" i="2"/>
  <c r="AF201" i="2"/>
  <c r="S201" i="2"/>
  <c r="AD201" i="2"/>
  <c r="AM201" i="2"/>
  <c r="AE201" i="2"/>
  <c r="E201" i="2"/>
  <c r="N201" i="2"/>
  <c r="AG201" i="2"/>
  <c r="AK201" i="2"/>
  <c r="AO201" i="2"/>
  <c r="W201" i="2"/>
  <c r="AH201" i="2"/>
  <c r="AL201" i="2"/>
  <c r="Y201" i="2"/>
  <c r="I201" i="2"/>
  <c r="AB201" i="2"/>
  <c r="B203" i="2" l="1"/>
  <c r="X202" i="2"/>
  <c r="I202" i="2"/>
  <c r="AJ202" i="2"/>
  <c r="AN202" i="2"/>
  <c r="AD202" i="2"/>
  <c r="AE202" i="2"/>
  <c r="H202" i="2"/>
  <c r="P202" i="2"/>
  <c r="AB202" i="2"/>
  <c r="N202" i="2"/>
  <c r="T202" i="2"/>
  <c r="R202" i="2"/>
  <c r="O202" i="2"/>
  <c r="AI202" i="2"/>
  <c r="AA202" i="2"/>
  <c r="AF202" i="2"/>
  <c r="V202" i="2"/>
  <c r="Z202" i="2"/>
  <c r="S202" i="2"/>
  <c r="M202" i="2"/>
  <c r="AM202" i="2"/>
  <c r="AC202" i="2"/>
  <c r="C202" i="2"/>
  <c r="U202" i="2"/>
  <c r="AO202" i="2"/>
  <c r="E202" i="2"/>
  <c r="L202" i="2"/>
  <c r="AG202" i="2"/>
  <c r="Y202" i="2"/>
  <c r="Q202" i="2"/>
  <c r="G202" i="2"/>
  <c r="J202" i="2"/>
  <c r="D202" i="2"/>
  <c r="AL202" i="2"/>
  <c r="AK202" i="2"/>
  <c r="AH202" i="2"/>
  <c r="W202" i="2"/>
  <c r="F202" i="2"/>
  <c r="K202" i="2"/>
  <c r="B204" i="2" l="1"/>
  <c r="AE203" i="2"/>
  <c r="Q203" i="2"/>
  <c r="E203" i="2"/>
  <c r="S203" i="2"/>
  <c r="AI203" i="2"/>
  <c r="AO203" i="2"/>
  <c r="L203" i="2"/>
  <c r="AN203" i="2"/>
  <c r="X203" i="2"/>
  <c r="Y203" i="2"/>
  <c r="U203" i="2"/>
  <c r="AH203" i="2"/>
  <c r="V203" i="2"/>
  <c r="M203" i="2"/>
  <c r="AJ203" i="2"/>
  <c r="N203" i="2"/>
  <c r="H203" i="2"/>
  <c r="AM203" i="2"/>
  <c r="AB203" i="2"/>
  <c r="AA203" i="2"/>
  <c r="T203" i="2"/>
  <c r="P203" i="2"/>
  <c r="C203" i="2"/>
  <c r="AF203" i="2"/>
  <c r="AL203" i="2"/>
  <c r="K203" i="2"/>
  <c r="J203" i="2"/>
  <c r="AK203" i="2"/>
  <c r="D203" i="2"/>
  <c r="O203" i="2"/>
  <c r="I203" i="2"/>
  <c r="W203" i="2"/>
  <c r="G203" i="2"/>
  <c r="AG203" i="2"/>
  <c r="R203" i="2"/>
  <c r="Z203" i="2"/>
  <c r="F203" i="2"/>
  <c r="AC203" i="2"/>
  <c r="AD203" i="2"/>
  <c r="B205" i="2" l="1"/>
  <c r="T204" i="2"/>
  <c r="Q204" i="2"/>
  <c r="AO204" i="2"/>
  <c r="AH204" i="2"/>
  <c r="AD204" i="2"/>
  <c r="C204" i="2"/>
  <c r="V204" i="2"/>
  <c r="AB204" i="2"/>
  <c r="AC204" i="2"/>
  <c r="D204" i="2"/>
  <c r="M204" i="2"/>
  <c r="I204" i="2"/>
  <c r="F204" i="2"/>
  <c r="AG204" i="2"/>
  <c r="R204" i="2"/>
  <c r="AA204" i="2"/>
  <c r="L204" i="2"/>
  <c r="Y204" i="2"/>
  <c r="N204" i="2"/>
  <c r="AK204" i="2"/>
  <c r="S204" i="2"/>
  <c r="X204" i="2"/>
  <c r="AF204" i="2"/>
  <c r="K204" i="2"/>
  <c r="AI204" i="2"/>
  <c r="H204" i="2"/>
  <c r="O204" i="2"/>
  <c r="AJ204" i="2"/>
  <c r="E204" i="2"/>
  <c r="AM204" i="2"/>
  <c r="AN204" i="2"/>
  <c r="P204" i="2"/>
  <c r="J204" i="2"/>
  <c r="AL204" i="2"/>
  <c r="G204" i="2"/>
  <c r="W204" i="2"/>
  <c r="AE204" i="2"/>
  <c r="U204" i="2"/>
  <c r="Z204" i="2"/>
  <c r="B206" i="2" l="1"/>
  <c r="H205" i="2"/>
  <c r="U205" i="2"/>
  <c r="I205" i="2"/>
  <c r="Z205" i="2"/>
  <c r="N205" i="2"/>
  <c r="V205" i="2"/>
  <c r="AM205" i="2"/>
  <c r="P205" i="2"/>
  <c r="Y205" i="2"/>
  <c r="E205" i="2"/>
  <c r="G205" i="2"/>
  <c r="T205" i="2"/>
  <c r="AD205" i="2"/>
  <c r="AB205" i="2"/>
  <c r="AF205" i="2"/>
  <c r="AA205" i="2"/>
  <c r="AH205" i="2"/>
  <c r="AL205" i="2"/>
  <c r="AN205" i="2"/>
  <c r="C205" i="2"/>
  <c r="J205" i="2"/>
  <c r="K205" i="2"/>
  <c r="R205" i="2"/>
  <c r="AO205" i="2"/>
  <c r="AG205" i="2"/>
  <c r="AK205" i="2"/>
  <c r="AI205" i="2"/>
  <c r="M205" i="2"/>
  <c r="AE205" i="2"/>
  <c r="X205" i="2"/>
  <c r="AC205" i="2"/>
  <c r="W205" i="2"/>
  <c r="AJ205" i="2"/>
  <c r="Q205" i="2"/>
  <c r="F205" i="2"/>
  <c r="L205" i="2"/>
  <c r="S205" i="2"/>
  <c r="D205" i="2"/>
  <c r="O205" i="2"/>
  <c r="B207" i="2" l="1"/>
  <c r="AG206" i="2"/>
  <c r="AF206" i="2"/>
  <c r="E206" i="2"/>
  <c r="H206" i="2"/>
  <c r="K206" i="2"/>
  <c r="U206" i="2"/>
  <c r="C206" i="2"/>
  <c r="Y206" i="2"/>
  <c r="Z206" i="2"/>
  <c r="W206" i="2"/>
  <c r="L206" i="2"/>
  <c r="O206" i="2"/>
  <c r="V206" i="2"/>
  <c r="AN206" i="2"/>
  <c r="T206" i="2"/>
  <c r="AL206" i="2"/>
  <c r="AM206" i="2"/>
  <c r="G206" i="2"/>
  <c r="R206" i="2"/>
  <c r="Q206" i="2"/>
  <c r="AO206" i="2"/>
  <c r="N206" i="2"/>
  <c r="AJ206" i="2"/>
  <c r="J206" i="2"/>
  <c r="AB206" i="2"/>
  <c r="AE206" i="2"/>
  <c r="AK206" i="2"/>
  <c r="X206" i="2"/>
  <c r="M206" i="2"/>
  <c r="AI206" i="2"/>
  <c r="P206" i="2"/>
  <c r="AA206" i="2"/>
  <c r="F206" i="2"/>
  <c r="D206" i="2"/>
  <c r="AH206" i="2"/>
  <c r="I206" i="2"/>
  <c r="AC206" i="2"/>
  <c r="S206" i="2"/>
  <c r="AD206" i="2"/>
  <c r="B208" i="2" l="1"/>
  <c r="AE207" i="2"/>
  <c r="F207" i="2"/>
  <c r="AC207" i="2"/>
  <c r="V207" i="2"/>
  <c r="AB207" i="2"/>
  <c r="AM207" i="2"/>
  <c r="L207" i="2"/>
  <c r="R207" i="2"/>
  <c r="AL207" i="2"/>
  <c r="H207" i="2"/>
  <c r="G207" i="2"/>
  <c r="T207" i="2"/>
  <c r="AH207" i="2"/>
  <c r="I207" i="2"/>
  <c r="D207" i="2"/>
  <c r="O207" i="2"/>
  <c r="AI207" i="2"/>
  <c r="S207" i="2"/>
  <c r="AA207" i="2"/>
  <c r="AN207" i="2"/>
  <c r="N207" i="2"/>
  <c r="AD207" i="2"/>
  <c r="P207" i="2"/>
  <c r="Y207" i="2"/>
  <c r="AO207" i="2"/>
  <c r="E207" i="2"/>
  <c r="K207" i="2"/>
  <c r="M207" i="2"/>
  <c r="AF207" i="2"/>
  <c r="Z207" i="2"/>
  <c r="AK207" i="2"/>
  <c r="AJ207" i="2"/>
  <c r="J207" i="2"/>
  <c r="Q207" i="2"/>
  <c r="X207" i="2"/>
  <c r="C207" i="2"/>
  <c r="W207" i="2"/>
  <c r="U207" i="2"/>
  <c r="AG207" i="2"/>
  <c r="B209" i="2" l="1"/>
  <c r="R208" i="2"/>
  <c r="W208" i="2"/>
  <c r="AI208" i="2"/>
  <c r="AD208" i="2"/>
  <c r="AA208" i="2"/>
  <c r="J208" i="2"/>
  <c r="K208" i="2"/>
  <c r="AJ208" i="2"/>
  <c r="AL208" i="2"/>
  <c r="AF208" i="2"/>
  <c r="AM208" i="2"/>
  <c r="D208" i="2"/>
  <c r="AG208" i="2"/>
  <c r="Y208" i="2"/>
  <c r="O208" i="2"/>
  <c r="V208" i="2"/>
  <c r="Z208" i="2"/>
  <c r="S208" i="2"/>
  <c r="AO208" i="2"/>
  <c r="AK208" i="2"/>
  <c r="E208" i="2"/>
  <c r="P208" i="2"/>
  <c r="AH208" i="2"/>
  <c r="Q208" i="2"/>
  <c r="AB208" i="2"/>
  <c r="F208" i="2"/>
  <c r="X208" i="2"/>
  <c r="I208" i="2"/>
  <c r="L208" i="2"/>
  <c r="G208" i="2"/>
  <c r="N208" i="2"/>
  <c r="H208" i="2"/>
  <c r="M208" i="2"/>
  <c r="T208" i="2"/>
  <c r="AN208" i="2"/>
  <c r="C208" i="2"/>
  <c r="AE208" i="2"/>
  <c r="U208" i="2"/>
  <c r="AC208" i="2"/>
  <c r="B210" i="2" l="1"/>
  <c r="R209" i="2"/>
  <c r="L209" i="2"/>
  <c r="N209" i="2"/>
  <c r="AN209" i="2"/>
  <c r="T209" i="2"/>
  <c r="Q209" i="2"/>
  <c r="AB209" i="2"/>
  <c r="Y209" i="2"/>
  <c r="S209" i="2"/>
  <c r="C209" i="2"/>
  <c r="AE209" i="2"/>
  <c r="I209" i="2"/>
  <c r="AH209" i="2"/>
  <c r="F209" i="2"/>
  <c r="X209" i="2"/>
  <c r="AA209" i="2"/>
  <c r="H209" i="2"/>
  <c r="AO209" i="2"/>
  <c r="AL209" i="2"/>
  <c r="V209" i="2"/>
  <c r="AC209" i="2"/>
  <c r="M209" i="2"/>
  <c r="AI209" i="2"/>
  <c r="P209" i="2"/>
  <c r="AM209" i="2"/>
  <c r="AK209" i="2"/>
  <c r="E209" i="2"/>
  <c r="G209" i="2"/>
  <c r="W209" i="2"/>
  <c r="AJ209" i="2"/>
  <c r="AF209" i="2"/>
  <c r="AD209" i="2"/>
  <c r="K209" i="2"/>
  <c r="D209" i="2"/>
  <c r="O209" i="2"/>
  <c r="AG209" i="2"/>
  <c r="U209" i="2"/>
  <c r="J209" i="2"/>
  <c r="Z209" i="2"/>
  <c r="B211" i="2" l="1"/>
  <c r="M210" i="2"/>
  <c r="P210" i="2"/>
  <c r="AG210" i="2"/>
  <c r="Q210" i="2"/>
  <c r="Y210" i="2"/>
  <c r="AL210" i="2"/>
  <c r="AK210" i="2"/>
  <c r="AC210" i="2"/>
  <c r="AF210" i="2"/>
  <c r="R210" i="2"/>
  <c r="V210" i="2"/>
  <c r="AH210" i="2"/>
  <c r="G210" i="2"/>
  <c r="AD210" i="2"/>
  <c r="U210" i="2"/>
  <c r="AM210" i="2"/>
  <c r="C210" i="2"/>
  <c r="D210" i="2"/>
  <c r="AJ210" i="2"/>
  <c r="X210" i="2"/>
  <c r="I210" i="2"/>
  <c r="AE210" i="2"/>
  <c r="AN210" i="2"/>
  <c r="L210" i="2"/>
  <c r="Z210" i="2"/>
  <c r="O210" i="2"/>
  <c r="J210" i="2"/>
  <c r="E210" i="2"/>
  <c r="K210" i="2"/>
  <c r="W210" i="2"/>
  <c r="F210" i="2"/>
  <c r="AB210" i="2"/>
  <c r="AI210" i="2"/>
  <c r="H210" i="2"/>
  <c r="S210" i="2"/>
  <c r="T210" i="2"/>
  <c r="N210" i="2"/>
  <c r="AA210" i="2"/>
  <c r="AO210" i="2"/>
  <c r="B212" i="2" l="1"/>
  <c r="L211" i="2"/>
  <c r="D211" i="2"/>
  <c r="AK211" i="2"/>
  <c r="AC211" i="2"/>
  <c r="AB211" i="2"/>
  <c r="H211" i="2"/>
  <c r="AF211" i="2"/>
  <c r="I211" i="2"/>
  <c r="K211" i="2"/>
  <c r="AJ211" i="2"/>
  <c r="Z211" i="2"/>
  <c r="R211" i="2"/>
  <c r="N211" i="2"/>
  <c r="U211" i="2"/>
  <c r="AD211" i="2"/>
  <c r="J211" i="2"/>
  <c r="AL211" i="2"/>
  <c r="AM211" i="2"/>
  <c r="T211" i="2"/>
  <c r="G211" i="2"/>
  <c r="P211" i="2"/>
  <c r="V211" i="2"/>
  <c r="AH211" i="2"/>
  <c r="O211" i="2"/>
  <c r="E211" i="2"/>
  <c r="AN211" i="2"/>
  <c r="AA211" i="2"/>
  <c r="X211" i="2"/>
  <c r="F211" i="2"/>
  <c r="Y211" i="2"/>
  <c r="AI211" i="2"/>
  <c r="C211" i="2"/>
  <c r="AE211" i="2"/>
  <c r="AG211" i="2"/>
  <c r="W211" i="2"/>
  <c r="Q211" i="2"/>
  <c r="M211" i="2"/>
  <c r="AO211" i="2"/>
  <c r="S211" i="2"/>
  <c r="B213" i="2" l="1"/>
  <c r="AD212" i="2"/>
  <c r="I212" i="2"/>
  <c r="AH212" i="2"/>
  <c r="AE212" i="2"/>
  <c r="S212" i="2"/>
  <c r="AC212" i="2"/>
  <c r="AK212" i="2"/>
  <c r="D212" i="2"/>
  <c r="L212" i="2"/>
  <c r="T212" i="2"/>
  <c r="N212" i="2"/>
  <c r="AO212" i="2"/>
  <c r="AF212" i="2"/>
  <c r="C212" i="2"/>
  <c r="AL212" i="2"/>
  <c r="R212" i="2"/>
  <c r="M212" i="2"/>
  <c r="AB212" i="2"/>
  <c r="V212" i="2"/>
  <c r="W212" i="2"/>
  <c r="Z212" i="2"/>
  <c r="J212" i="2"/>
  <c r="Y212" i="2"/>
  <c r="E212" i="2"/>
  <c r="P212" i="2"/>
  <c r="AM212" i="2"/>
  <c r="K212" i="2"/>
  <c r="Q212" i="2"/>
  <c r="AG212" i="2"/>
  <c r="AJ212" i="2"/>
  <c r="AN212" i="2"/>
  <c r="U212" i="2"/>
  <c r="H212" i="2"/>
  <c r="X212" i="2"/>
  <c r="O212" i="2"/>
  <c r="F212" i="2"/>
  <c r="AI212" i="2"/>
  <c r="G212" i="2"/>
  <c r="AA212" i="2"/>
  <c r="B214" i="2" l="1"/>
  <c r="W213" i="2"/>
  <c r="V213" i="2"/>
  <c r="AG213" i="2"/>
  <c r="AI213" i="2"/>
  <c r="Q213" i="2"/>
  <c r="N213" i="2"/>
  <c r="AO213" i="2"/>
  <c r="L213" i="2"/>
  <c r="K213" i="2"/>
  <c r="D213" i="2"/>
  <c r="AB213" i="2"/>
  <c r="AJ213" i="2"/>
  <c r="H213" i="2"/>
  <c r="AF213" i="2"/>
  <c r="O213" i="2"/>
  <c r="J213" i="2"/>
  <c r="AA213" i="2"/>
  <c r="AK213" i="2"/>
  <c r="R213" i="2"/>
  <c r="AH213" i="2"/>
  <c r="M213" i="2"/>
  <c r="I213" i="2"/>
  <c r="AD213" i="2"/>
  <c r="U213" i="2"/>
  <c r="C213" i="2"/>
  <c r="T213" i="2"/>
  <c r="AL213" i="2"/>
  <c r="Y213" i="2"/>
  <c r="AC213" i="2"/>
  <c r="G213" i="2"/>
  <c r="Z213" i="2"/>
  <c r="X213" i="2"/>
  <c r="P213" i="2"/>
  <c r="AM213" i="2"/>
  <c r="AE213" i="2"/>
  <c r="S213" i="2"/>
  <c r="AN213" i="2"/>
  <c r="F213" i="2"/>
  <c r="E213" i="2"/>
  <c r="B215" i="2" l="1"/>
  <c r="AJ214" i="2"/>
  <c r="S214" i="2"/>
  <c r="N214" i="2"/>
  <c r="L214" i="2"/>
  <c r="U214" i="2"/>
  <c r="Z214" i="2"/>
  <c r="AA214" i="2"/>
  <c r="X214" i="2"/>
  <c r="AM214" i="2"/>
  <c r="G214" i="2"/>
  <c r="D214" i="2"/>
  <c r="V214" i="2"/>
  <c r="W214" i="2"/>
  <c r="M214" i="2"/>
  <c r="AC214" i="2"/>
  <c r="AB214" i="2"/>
  <c r="AK214" i="2"/>
  <c r="Q214" i="2"/>
  <c r="T214" i="2"/>
  <c r="H214" i="2"/>
  <c r="AI214" i="2"/>
  <c r="E214" i="2"/>
  <c r="O214" i="2"/>
  <c r="AL214" i="2"/>
  <c r="AO214" i="2"/>
  <c r="R214" i="2"/>
  <c r="F214" i="2"/>
  <c r="K214" i="2"/>
  <c r="J214" i="2"/>
  <c r="AD214" i="2"/>
  <c r="AE214" i="2"/>
  <c r="AN214" i="2"/>
  <c r="P214" i="2"/>
  <c r="AF214" i="2"/>
  <c r="C214" i="2"/>
  <c r="I214" i="2"/>
  <c r="Y214" i="2"/>
  <c r="AG214" i="2"/>
  <c r="AH214" i="2"/>
  <c r="B216" i="2" l="1"/>
  <c r="I215" i="2"/>
  <c r="U215" i="2"/>
  <c r="P215" i="2"/>
  <c r="AD215" i="2"/>
  <c r="AA215" i="2"/>
  <c r="D215" i="2"/>
  <c r="S215" i="2"/>
  <c r="AJ215" i="2"/>
  <c r="AK215" i="2"/>
  <c r="W215" i="2"/>
  <c r="N215" i="2"/>
  <c r="E215" i="2"/>
  <c r="AO215" i="2"/>
  <c r="R215" i="2"/>
  <c r="Y215" i="2"/>
  <c r="K215" i="2"/>
  <c r="Z215" i="2"/>
  <c r="C215" i="2"/>
  <c r="AF215" i="2"/>
  <c r="V215" i="2"/>
  <c r="AE215" i="2"/>
  <c r="AN215" i="2"/>
  <c r="AL215" i="2"/>
  <c r="O215" i="2"/>
  <c r="AC215" i="2"/>
  <c r="X215" i="2"/>
  <c r="T215" i="2"/>
  <c r="Q215" i="2"/>
  <c r="F215" i="2"/>
  <c r="AH215" i="2"/>
  <c r="G215" i="2"/>
  <c r="J215" i="2"/>
  <c r="M215" i="2"/>
  <c r="AG215" i="2"/>
  <c r="H215" i="2"/>
  <c r="AI215" i="2"/>
  <c r="AM215" i="2"/>
  <c r="AB215" i="2"/>
  <c r="L215" i="2"/>
  <c r="B217" i="2" l="1"/>
  <c r="I216" i="2"/>
  <c r="AI216" i="2"/>
  <c r="U216" i="2"/>
  <c r="J216" i="2"/>
  <c r="AB216" i="2"/>
  <c r="AD216" i="2"/>
  <c r="AH216" i="2"/>
  <c r="V216" i="2"/>
  <c r="N216" i="2"/>
  <c r="E216" i="2"/>
  <c r="L216" i="2"/>
  <c r="AF216" i="2"/>
  <c r="T216" i="2"/>
  <c r="Z216" i="2"/>
  <c r="Q216" i="2"/>
  <c r="H216" i="2"/>
  <c r="S216" i="2"/>
  <c r="AL216" i="2"/>
  <c r="AG216" i="2"/>
  <c r="AN216" i="2"/>
  <c r="G216" i="2"/>
  <c r="Y216" i="2"/>
  <c r="M216" i="2"/>
  <c r="AA216" i="2"/>
  <c r="D216" i="2"/>
  <c r="AC216" i="2"/>
  <c r="O216" i="2"/>
  <c r="AJ216" i="2"/>
  <c r="AO216" i="2"/>
  <c r="F216" i="2"/>
  <c r="W216" i="2"/>
  <c r="R216" i="2"/>
  <c r="X216" i="2"/>
  <c r="P216" i="2"/>
  <c r="AK216" i="2"/>
  <c r="C216" i="2"/>
  <c r="K216" i="2"/>
  <c r="AE216" i="2"/>
  <c r="AM216" i="2"/>
  <c r="B218" i="2" l="1"/>
  <c r="AN217" i="2"/>
  <c r="Z217" i="2"/>
  <c r="O217" i="2"/>
  <c r="I217" i="2"/>
  <c r="E217" i="2"/>
  <c r="AJ217" i="2"/>
  <c r="T217" i="2"/>
  <c r="AO217" i="2"/>
  <c r="Q217" i="2"/>
  <c r="F217" i="2"/>
  <c r="R217" i="2"/>
  <c r="J217" i="2"/>
  <c r="V217" i="2"/>
  <c r="AL217" i="2"/>
  <c r="AK217" i="2"/>
  <c r="D217" i="2"/>
  <c r="AA217" i="2"/>
  <c r="AD217" i="2"/>
  <c r="AM217" i="2"/>
  <c r="N217" i="2"/>
  <c r="Y217" i="2"/>
  <c r="AG217" i="2"/>
  <c r="H217" i="2"/>
  <c r="AB217" i="2"/>
  <c r="L217" i="2"/>
  <c r="K217" i="2"/>
  <c r="AC217" i="2"/>
  <c r="W217" i="2"/>
  <c r="AI217" i="2"/>
  <c r="U217" i="2"/>
  <c r="AE217" i="2"/>
  <c r="S217" i="2"/>
  <c r="M217" i="2"/>
  <c r="AF217" i="2"/>
  <c r="P217" i="2"/>
  <c r="C217" i="2"/>
  <c r="AH217" i="2"/>
  <c r="X217" i="2"/>
  <c r="G217" i="2"/>
  <c r="B219" i="2" l="1"/>
  <c r="AH218" i="2"/>
  <c r="Y218" i="2"/>
  <c r="X218" i="2"/>
  <c r="E218" i="2"/>
  <c r="AF218" i="2"/>
  <c r="I218" i="2"/>
  <c r="O218" i="2"/>
  <c r="AL218" i="2"/>
  <c r="D218" i="2"/>
  <c r="S218" i="2"/>
  <c r="Q218" i="2"/>
  <c r="AD218" i="2"/>
  <c r="U218" i="2"/>
  <c r="Z218" i="2"/>
  <c r="AO218" i="2"/>
  <c r="AG218" i="2"/>
  <c r="H218" i="2"/>
  <c r="T218" i="2"/>
  <c r="AI218" i="2"/>
  <c r="M218" i="2"/>
  <c r="AB218" i="2"/>
  <c r="N218" i="2"/>
  <c r="W218" i="2"/>
  <c r="F218" i="2"/>
  <c r="G218" i="2"/>
  <c r="AK218" i="2"/>
  <c r="C218" i="2"/>
  <c r="L218" i="2"/>
  <c r="K218" i="2"/>
  <c r="AM218" i="2"/>
  <c r="R218" i="2"/>
  <c r="AJ218" i="2"/>
  <c r="AN218" i="2"/>
  <c r="V218" i="2"/>
  <c r="AE218" i="2"/>
  <c r="P218" i="2"/>
  <c r="AC218" i="2"/>
  <c r="AA218" i="2"/>
  <c r="J218" i="2"/>
  <c r="B220" i="2" l="1"/>
  <c r="Q219" i="2"/>
  <c r="AA219" i="2"/>
  <c r="V219" i="2"/>
  <c r="I219" i="2"/>
  <c r="T219" i="2"/>
  <c r="R219" i="2"/>
  <c r="M219" i="2"/>
  <c r="AC219" i="2"/>
  <c r="S219" i="2"/>
  <c r="H219" i="2"/>
  <c r="AB219" i="2"/>
  <c r="X219" i="2"/>
  <c r="AM219" i="2"/>
  <c r="G219" i="2"/>
  <c r="Y219" i="2"/>
  <c r="AI219" i="2"/>
  <c r="AN219" i="2"/>
  <c r="J219" i="2"/>
  <c r="U219" i="2"/>
  <c r="W219" i="2"/>
  <c r="AD219" i="2"/>
  <c r="AF219" i="2"/>
  <c r="C219" i="2"/>
  <c r="E219" i="2"/>
  <c r="AK219" i="2"/>
  <c r="AH219" i="2"/>
  <c r="K219" i="2"/>
  <c r="F219" i="2"/>
  <c r="Z219" i="2"/>
  <c r="AE219" i="2"/>
  <c r="D219" i="2"/>
  <c r="P219" i="2"/>
  <c r="N219" i="2"/>
  <c r="L219" i="2"/>
  <c r="AO219" i="2"/>
  <c r="AG219" i="2"/>
  <c r="AJ219" i="2"/>
  <c r="O219" i="2"/>
  <c r="AL219" i="2"/>
  <c r="B221" i="2" l="1"/>
  <c r="H220" i="2"/>
  <c r="AJ220" i="2"/>
  <c r="AB220" i="2"/>
  <c r="R220" i="2"/>
  <c r="V220" i="2"/>
  <c r="AA220" i="2"/>
  <c r="AF220" i="2"/>
  <c r="I220" i="2"/>
  <c r="W220" i="2"/>
  <c r="T220" i="2"/>
  <c r="X220" i="2"/>
  <c r="P220" i="2"/>
  <c r="Y220" i="2"/>
  <c r="AK220" i="2"/>
  <c r="G220" i="2"/>
  <c r="S220" i="2"/>
  <c r="Q220" i="2"/>
  <c r="AN220" i="2"/>
  <c r="L220" i="2"/>
  <c r="AM220" i="2"/>
  <c r="F220" i="2"/>
  <c r="AH220" i="2"/>
  <c r="C220" i="2"/>
  <c r="U220" i="2"/>
  <c r="AD220" i="2"/>
  <c r="K220" i="2"/>
  <c r="E220" i="2"/>
  <c r="N220" i="2"/>
  <c r="AI220" i="2"/>
  <c r="M220" i="2"/>
  <c r="Z220" i="2"/>
  <c r="D220" i="2"/>
  <c r="AG220" i="2"/>
  <c r="AL220" i="2"/>
  <c r="J220" i="2"/>
  <c r="AO220" i="2"/>
  <c r="AC220" i="2"/>
  <c r="AE220" i="2"/>
  <c r="O220" i="2"/>
  <c r="B222" i="2" l="1"/>
  <c r="E221" i="2"/>
  <c r="K221" i="2"/>
  <c r="AL221" i="2"/>
  <c r="Y221" i="2"/>
  <c r="L221" i="2"/>
  <c r="D221" i="2"/>
  <c r="AD221" i="2"/>
  <c r="AJ221" i="2"/>
  <c r="R221" i="2"/>
  <c r="N221" i="2"/>
  <c r="AI221" i="2"/>
  <c r="AG221" i="2"/>
  <c r="AE221" i="2"/>
  <c r="U221" i="2"/>
  <c r="G221" i="2"/>
  <c r="P221" i="2"/>
  <c r="Z221" i="2"/>
  <c r="AK221" i="2"/>
  <c r="V221" i="2"/>
  <c r="C221" i="2"/>
  <c r="M221" i="2"/>
  <c r="T221" i="2"/>
  <c r="S221" i="2"/>
  <c r="Q221" i="2"/>
  <c r="W221" i="2"/>
  <c r="I221" i="2"/>
  <c r="AN221" i="2"/>
  <c r="H221" i="2"/>
  <c r="O221" i="2"/>
  <c r="AM221" i="2"/>
  <c r="AB221" i="2"/>
  <c r="F221" i="2"/>
  <c r="J221" i="2"/>
  <c r="AO221" i="2"/>
  <c r="AH221" i="2"/>
  <c r="AF221" i="2"/>
  <c r="AC221" i="2"/>
  <c r="X221" i="2"/>
  <c r="AA221" i="2"/>
  <c r="B223" i="2" l="1"/>
  <c r="C222" i="2"/>
  <c r="Z222" i="2"/>
  <c r="I222" i="2"/>
  <c r="AJ222" i="2"/>
  <c r="E222" i="2"/>
  <c r="X222" i="2"/>
  <c r="V222" i="2"/>
  <c r="M222" i="2"/>
  <c r="AI222" i="2"/>
  <c r="H222" i="2"/>
  <c r="AD222" i="2"/>
  <c r="AG222" i="2"/>
  <c r="S222" i="2"/>
  <c r="W222" i="2"/>
  <c r="F222" i="2"/>
  <c r="AE222" i="2"/>
  <c r="AF222" i="2"/>
  <c r="P222" i="2"/>
  <c r="T222" i="2"/>
  <c r="G222" i="2"/>
  <c r="AO222" i="2"/>
  <c r="Y222" i="2"/>
  <c r="N222" i="2"/>
  <c r="K222" i="2"/>
  <c r="U222" i="2"/>
  <c r="AB222" i="2"/>
  <c r="AK222" i="2"/>
  <c r="D222" i="2"/>
  <c r="L222" i="2"/>
  <c r="Q222" i="2"/>
  <c r="AC222" i="2"/>
  <c r="AM222" i="2"/>
  <c r="AA222" i="2"/>
  <c r="O222" i="2"/>
  <c r="AN222" i="2"/>
  <c r="J222" i="2"/>
  <c r="AL222" i="2"/>
  <c r="R222" i="2"/>
  <c r="AH222" i="2"/>
  <c r="B224" i="2" l="1"/>
  <c r="AI223" i="2"/>
  <c r="Z223" i="2"/>
  <c r="H223" i="2"/>
  <c r="S223" i="2"/>
  <c r="AD223" i="2"/>
  <c r="AN223" i="2"/>
  <c r="AO223" i="2"/>
  <c r="X223" i="2"/>
  <c r="K223" i="2"/>
  <c r="E223" i="2"/>
  <c r="P223" i="2"/>
  <c r="AA223" i="2"/>
  <c r="AJ223" i="2"/>
  <c r="AL223" i="2"/>
  <c r="R223" i="2"/>
  <c r="Y223" i="2"/>
  <c r="F223" i="2"/>
  <c r="I223" i="2"/>
  <c r="AE223" i="2"/>
  <c r="Q223" i="2"/>
  <c r="L223" i="2"/>
  <c r="AG223" i="2"/>
  <c r="C223" i="2"/>
  <c r="J223" i="2"/>
  <c r="V223" i="2"/>
  <c r="N223" i="2"/>
  <c r="D223" i="2"/>
  <c r="M223" i="2"/>
  <c r="T223" i="2"/>
  <c r="W223" i="2"/>
  <c r="AB223" i="2"/>
  <c r="AF223" i="2"/>
  <c r="U223" i="2"/>
  <c r="AM223" i="2"/>
  <c r="G223" i="2"/>
  <c r="O223" i="2"/>
  <c r="AH223" i="2"/>
  <c r="AK223" i="2"/>
  <c r="AC223" i="2"/>
  <c r="B225" i="2" l="1"/>
  <c r="AL224" i="2"/>
  <c r="AC224" i="2"/>
  <c r="L224" i="2"/>
  <c r="C224" i="2"/>
  <c r="AG224" i="2"/>
  <c r="U224" i="2"/>
  <c r="P224" i="2"/>
  <c r="G224" i="2"/>
  <c r="AH224" i="2"/>
  <c r="AI224" i="2"/>
  <c r="AO224" i="2"/>
  <c r="AM224" i="2"/>
  <c r="T224" i="2"/>
  <c r="Q224" i="2"/>
  <c r="K224" i="2"/>
  <c r="AB224" i="2"/>
  <c r="W224" i="2"/>
  <c r="AE224" i="2"/>
  <c r="H224" i="2"/>
  <c r="J224" i="2"/>
  <c r="V224" i="2"/>
  <c r="D224" i="2"/>
  <c r="Y224" i="2"/>
  <c r="AF224" i="2"/>
  <c r="M224" i="2"/>
  <c r="E224" i="2"/>
  <c r="AA224" i="2"/>
  <c r="O224" i="2"/>
  <c r="F224" i="2"/>
  <c r="N224" i="2"/>
  <c r="I224" i="2"/>
  <c r="AJ224" i="2"/>
  <c r="Z224" i="2"/>
  <c r="AD224" i="2"/>
  <c r="AK224" i="2"/>
  <c r="S224" i="2"/>
  <c r="X224" i="2"/>
  <c r="AN224" i="2"/>
  <c r="R224" i="2"/>
  <c r="B226" i="2" l="1"/>
  <c r="AI225" i="2"/>
  <c r="F225" i="2"/>
  <c r="X225" i="2"/>
  <c r="U225" i="2"/>
  <c r="AO225" i="2"/>
  <c r="E225" i="2"/>
  <c r="AM225" i="2"/>
  <c r="H225" i="2"/>
  <c r="Z225" i="2"/>
  <c r="M225" i="2"/>
  <c r="I225" i="2"/>
  <c r="AK225" i="2"/>
  <c r="G225" i="2"/>
  <c r="R225" i="2"/>
  <c r="Q225" i="2"/>
  <c r="L225" i="2"/>
  <c r="K225" i="2"/>
  <c r="AC225" i="2"/>
  <c r="AD225" i="2"/>
  <c r="T225" i="2"/>
  <c r="AG225" i="2"/>
  <c r="Y225" i="2"/>
  <c r="C225" i="2"/>
  <c r="S225" i="2"/>
  <c r="AA225" i="2"/>
  <c r="AH225" i="2"/>
  <c r="AB225" i="2"/>
  <c r="AJ225" i="2"/>
  <c r="N225" i="2"/>
  <c r="AL225" i="2"/>
  <c r="AE225" i="2"/>
  <c r="W225" i="2"/>
  <c r="AN225" i="2"/>
  <c r="V225" i="2"/>
  <c r="P225" i="2"/>
  <c r="J225" i="2"/>
  <c r="O225" i="2"/>
  <c r="D225" i="2"/>
  <c r="AF225" i="2"/>
  <c r="B227" i="2" l="1"/>
  <c r="AL226" i="2"/>
  <c r="N226" i="2"/>
  <c r="T226" i="2"/>
  <c r="M226" i="2"/>
  <c r="S226" i="2"/>
  <c r="G226" i="2"/>
  <c r="AD226" i="2"/>
  <c r="Y226" i="2"/>
  <c r="R226" i="2"/>
  <c r="AB226" i="2"/>
  <c r="L226" i="2"/>
  <c r="D226" i="2"/>
  <c r="V226" i="2"/>
  <c r="AE226" i="2"/>
  <c r="K226" i="2"/>
  <c r="W226" i="2"/>
  <c r="AA226" i="2"/>
  <c r="AC226" i="2"/>
  <c r="AJ226" i="2"/>
  <c r="I226" i="2"/>
  <c r="AN226" i="2"/>
  <c r="AO226" i="2"/>
  <c r="AM226" i="2"/>
  <c r="P226" i="2"/>
  <c r="H226" i="2"/>
  <c r="O226" i="2"/>
  <c r="U226" i="2"/>
  <c r="J226" i="2"/>
  <c r="X226" i="2"/>
  <c r="E226" i="2"/>
  <c r="Q226" i="2"/>
  <c r="C226" i="2"/>
  <c r="AH226" i="2"/>
  <c r="F226" i="2"/>
  <c r="AI226" i="2"/>
  <c r="AK226" i="2"/>
  <c r="Z226" i="2"/>
  <c r="AF226" i="2"/>
  <c r="AG226" i="2"/>
  <c r="B228" i="2" l="1"/>
  <c r="AO227" i="2"/>
  <c r="AK227" i="2"/>
  <c r="F227" i="2"/>
  <c r="N227" i="2"/>
  <c r="AD227" i="2"/>
  <c r="R227" i="2"/>
  <c r="AN227" i="2"/>
  <c r="H227" i="2"/>
  <c r="V227" i="2"/>
  <c r="AL227" i="2"/>
  <c r="X227" i="2"/>
  <c r="E227" i="2"/>
  <c r="AE227" i="2"/>
  <c r="Y227" i="2"/>
  <c r="G227" i="2"/>
  <c r="L227" i="2"/>
  <c r="AB227" i="2"/>
  <c r="D227" i="2"/>
  <c r="S227" i="2"/>
  <c r="AI227" i="2"/>
  <c r="AC227" i="2"/>
  <c r="AH227" i="2"/>
  <c r="K227" i="2"/>
  <c r="T227" i="2"/>
  <c r="AM227" i="2"/>
  <c r="Z227" i="2"/>
  <c r="W227" i="2"/>
  <c r="AF227" i="2"/>
  <c r="AJ227" i="2"/>
  <c r="C227" i="2"/>
  <c r="AG227" i="2"/>
  <c r="P227" i="2"/>
  <c r="O227" i="2"/>
  <c r="I227" i="2"/>
  <c r="AA227" i="2"/>
  <c r="J227" i="2"/>
  <c r="M227" i="2"/>
  <c r="U227" i="2"/>
  <c r="Q227" i="2"/>
  <c r="B229" i="2" l="1"/>
  <c r="H228" i="2"/>
  <c r="U228" i="2"/>
  <c r="AE228" i="2"/>
  <c r="AA228" i="2"/>
  <c r="K228" i="2"/>
  <c r="O228" i="2"/>
  <c r="AD228" i="2"/>
  <c r="D228" i="2"/>
  <c r="Z228" i="2"/>
  <c r="E228" i="2"/>
  <c r="S228" i="2"/>
  <c r="Y228" i="2"/>
  <c r="AG228" i="2"/>
  <c r="C228" i="2"/>
  <c r="R228" i="2"/>
  <c r="F228" i="2"/>
  <c r="P228" i="2"/>
  <c r="I228" i="2"/>
  <c r="AF228" i="2"/>
  <c r="AM228" i="2"/>
  <c r="N228" i="2"/>
  <c r="T228" i="2"/>
  <c r="W228" i="2"/>
  <c r="AL228" i="2"/>
  <c r="J228" i="2"/>
  <c r="AN228" i="2"/>
  <c r="AJ228" i="2"/>
  <c r="G228" i="2"/>
  <c r="AI228" i="2"/>
  <c r="AB228" i="2"/>
  <c r="AO228" i="2"/>
  <c r="AC228" i="2"/>
  <c r="M228" i="2"/>
  <c r="V228" i="2"/>
  <c r="Q228" i="2"/>
  <c r="AH228" i="2"/>
  <c r="X228" i="2"/>
  <c r="AK228" i="2"/>
  <c r="L228" i="2"/>
  <c r="B230" i="2" l="1"/>
  <c r="AD229" i="2"/>
  <c r="D229" i="2"/>
  <c r="AJ229" i="2"/>
  <c r="AF229" i="2"/>
  <c r="AA229" i="2"/>
  <c r="AI229" i="2"/>
  <c r="T229" i="2"/>
  <c r="O229" i="2"/>
  <c r="L229" i="2"/>
  <c r="AL229" i="2"/>
  <c r="G229" i="2"/>
  <c r="AG229" i="2"/>
  <c r="Q229" i="2"/>
  <c r="AN229" i="2"/>
  <c r="Y229" i="2"/>
  <c r="H229" i="2"/>
  <c r="W229" i="2"/>
  <c r="F229" i="2"/>
  <c r="Z229" i="2"/>
  <c r="AE229" i="2"/>
  <c r="S229" i="2"/>
  <c r="I229" i="2"/>
  <c r="J229" i="2"/>
  <c r="V229" i="2"/>
  <c r="K229" i="2"/>
  <c r="R229" i="2"/>
  <c r="E229" i="2"/>
  <c r="AK229" i="2"/>
  <c r="AH229" i="2"/>
  <c r="C229" i="2"/>
  <c r="AB229" i="2"/>
  <c r="X229" i="2"/>
  <c r="AC229" i="2"/>
  <c r="AM229" i="2"/>
  <c r="P229" i="2"/>
  <c r="M229" i="2"/>
  <c r="U229" i="2"/>
  <c r="AO229" i="2"/>
  <c r="N229" i="2"/>
  <c r="B231" i="2" l="1"/>
  <c r="N230" i="2"/>
  <c r="F230" i="2"/>
  <c r="K230" i="2"/>
  <c r="AN230" i="2"/>
  <c r="AG230" i="2"/>
  <c r="AJ230" i="2"/>
  <c r="AC230" i="2"/>
  <c r="AM230" i="2"/>
  <c r="L230" i="2"/>
  <c r="O230" i="2"/>
  <c r="P230" i="2"/>
  <c r="Q230" i="2"/>
  <c r="G230" i="2"/>
  <c r="U230" i="2"/>
  <c r="J230" i="2"/>
  <c r="AA230" i="2"/>
  <c r="AB230" i="2"/>
  <c r="I230" i="2"/>
  <c r="AH230" i="2"/>
  <c r="AL230" i="2"/>
  <c r="T230" i="2"/>
  <c r="D230" i="2"/>
  <c r="AK230" i="2"/>
  <c r="AF230" i="2"/>
  <c r="R230" i="2"/>
  <c r="Z230" i="2"/>
  <c r="AI230" i="2"/>
  <c r="AD230" i="2"/>
  <c r="S230" i="2"/>
  <c r="AE230" i="2"/>
  <c r="X230" i="2"/>
  <c r="V230" i="2"/>
  <c r="H230" i="2"/>
  <c r="C230" i="2"/>
  <c r="M230" i="2"/>
  <c r="E230" i="2"/>
  <c r="W230" i="2"/>
  <c r="AO230" i="2"/>
  <c r="Y230" i="2"/>
  <c r="B232" i="2" l="1"/>
  <c r="O231" i="2"/>
  <c r="AK231" i="2"/>
  <c r="L231" i="2"/>
  <c r="R231" i="2"/>
  <c r="AJ231" i="2"/>
  <c r="AM231" i="2"/>
  <c r="P231" i="2"/>
  <c r="AI231" i="2"/>
  <c r="D231" i="2"/>
  <c r="AA231" i="2"/>
  <c r="S231" i="2"/>
  <c r="X231" i="2"/>
  <c r="M231" i="2"/>
  <c r="AG231" i="2"/>
  <c r="T231" i="2"/>
  <c r="Q231" i="2"/>
  <c r="F231" i="2"/>
  <c r="I231" i="2"/>
  <c r="AD231" i="2"/>
  <c r="V231" i="2"/>
  <c r="K231" i="2"/>
  <c r="AB231" i="2"/>
  <c r="AN231" i="2"/>
  <c r="AL231" i="2"/>
  <c r="AH231" i="2"/>
  <c r="N231" i="2"/>
  <c r="U231" i="2"/>
  <c r="Y231" i="2"/>
  <c r="J231" i="2"/>
  <c r="Z231" i="2"/>
  <c r="AO231" i="2"/>
  <c r="AC231" i="2"/>
  <c r="AF231" i="2"/>
  <c r="W231" i="2"/>
  <c r="E231" i="2"/>
  <c r="H231" i="2"/>
  <c r="AE231" i="2"/>
  <c r="G231" i="2"/>
  <c r="C231" i="2"/>
  <c r="B233" i="2" l="1"/>
  <c r="Z232" i="2"/>
  <c r="AN232" i="2"/>
  <c r="N232" i="2"/>
  <c r="K232" i="2"/>
  <c r="T232" i="2"/>
  <c r="V232" i="2"/>
  <c r="D232" i="2"/>
  <c r="W232" i="2"/>
  <c r="AM232" i="2"/>
  <c r="L232" i="2"/>
  <c r="S232" i="2"/>
  <c r="X232" i="2"/>
  <c r="H232" i="2"/>
  <c r="M232" i="2"/>
  <c r="C232" i="2"/>
  <c r="R232" i="2"/>
  <c r="P232" i="2"/>
  <c r="Q232" i="2"/>
  <c r="AC232" i="2"/>
  <c r="AK232" i="2"/>
  <c r="AI232" i="2"/>
  <c r="AD232" i="2"/>
  <c r="Y232" i="2"/>
  <c r="G232" i="2"/>
  <c r="AG232" i="2"/>
  <c r="E232" i="2"/>
  <c r="U232" i="2"/>
  <c r="F232" i="2"/>
  <c r="AE232" i="2"/>
  <c r="AA232" i="2"/>
  <c r="AJ232" i="2"/>
  <c r="AB232" i="2"/>
  <c r="AH232" i="2"/>
  <c r="I232" i="2"/>
  <c r="J232" i="2"/>
  <c r="AL232" i="2"/>
  <c r="AF232" i="2"/>
  <c r="O232" i="2"/>
  <c r="AO232" i="2"/>
  <c r="B234" i="2" l="1"/>
  <c r="AC233" i="2"/>
  <c r="AH233" i="2"/>
  <c r="R233" i="2"/>
  <c r="N233" i="2"/>
  <c r="M233" i="2"/>
  <c r="AA233" i="2"/>
  <c r="AJ233" i="2"/>
  <c r="V233" i="2"/>
  <c r="W233" i="2"/>
  <c r="AL233" i="2"/>
  <c r="K233" i="2"/>
  <c r="F233" i="2"/>
  <c r="G233" i="2"/>
  <c r="AM233" i="2"/>
  <c r="AI233" i="2"/>
  <c r="I233" i="2"/>
  <c r="O233" i="2"/>
  <c r="AB233" i="2"/>
  <c r="AO233" i="2"/>
  <c r="U233" i="2"/>
  <c r="Q233" i="2"/>
  <c r="T233" i="2"/>
  <c r="D233" i="2"/>
  <c r="AK233" i="2"/>
  <c r="Y233" i="2"/>
  <c r="H233" i="2"/>
  <c r="S233" i="2"/>
  <c r="P233" i="2"/>
  <c r="J233" i="2"/>
  <c r="L233" i="2"/>
  <c r="AD233" i="2"/>
  <c r="AN233" i="2"/>
  <c r="X233" i="2"/>
  <c r="AG233" i="2"/>
  <c r="E233" i="2"/>
  <c r="AF233" i="2"/>
  <c r="Z233" i="2"/>
  <c r="AE233" i="2"/>
  <c r="C233" i="2"/>
  <c r="B235" i="2" l="1"/>
  <c r="AO234" i="2"/>
  <c r="AD234" i="2"/>
  <c r="AN234" i="2"/>
  <c r="Z234" i="2"/>
  <c r="D234" i="2"/>
  <c r="H234" i="2"/>
  <c r="P234" i="2"/>
  <c r="AJ234" i="2"/>
  <c r="I234" i="2"/>
  <c r="AG234" i="2"/>
  <c r="C234" i="2"/>
  <c r="Y234" i="2"/>
  <c r="AA234" i="2"/>
  <c r="E234" i="2"/>
  <c r="F234" i="2"/>
  <c r="AI234" i="2"/>
  <c r="AK234" i="2"/>
  <c r="M234" i="2"/>
  <c r="K234" i="2"/>
  <c r="G234" i="2"/>
  <c r="V234" i="2"/>
  <c r="N234" i="2"/>
  <c r="AB234" i="2"/>
  <c r="AC234" i="2"/>
  <c r="AL234" i="2"/>
  <c r="S234" i="2"/>
  <c r="R234" i="2"/>
  <c r="T234" i="2"/>
  <c r="L234" i="2"/>
  <c r="J234" i="2"/>
  <c r="O234" i="2"/>
  <c r="AM234" i="2"/>
  <c r="AE234" i="2"/>
  <c r="Q234" i="2"/>
  <c r="AF234" i="2"/>
  <c r="X234" i="2"/>
  <c r="U234" i="2"/>
  <c r="W234" i="2"/>
  <c r="AH234" i="2"/>
  <c r="B236" i="2" l="1"/>
  <c r="V235" i="2"/>
  <c r="S235" i="2"/>
  <c r="F235" i="2"/>
  <c r="AB235" i="2"/>
  <c r="N235" i="2"/>
  <c r="AG235" i="2"/>
  <c r="AE235" i="2"/>
  <c r="H235" i="2"/>
  <c r="AL235" i="2"/>
  <c r="U235" i="2"/>
  <c r="AI235" i="2"/>
  <c r="G235" i="2"/>
  <c r="I235" i="2"/>
  <c r="AN235" i="2"/>
  <c r="AD235" i="2"/>
  <c r="AJ235" i="2"/>
  <c r="Y235" i="2"/>
  <c r="T235" i="2"/>
  <c r="M235" i="2"/>
  <c r="C235" i="2"/>
  <c r="AC235" i="2"/>
  <c r="AM235" i="2"/>
  <c r="Q235" i="2"/>
  <c r="O235" i="2"/>
  <c r="J235" i="2"/>
  <c r="R235" i="2"/>
  <c r="AK235" i="2"/>
  <c r="Z235" i="2"/>
  <c r="X235" i="2"/>
  <c r="AH235" i="2"/>
  <c r="W235" i="2"/>
  <c r="AO235" i="2"/>
  <c r="AF235" i="2"/>
  <c r="D235" i="2"/>
  <c r="E235" i="2"/>
  <c r="L235" i="2"/>
  <c r="AA235" i="2"/>
  <c r="P235" i="2"/>
  <c r="K235" i="2"/>
  <c r="B237" i="2" l="1"/>
  <c r="Y236" i="2"/>
  <c r="I236" i="2"/>
  <c r="Q236" i="2"/>
  <c r="M236" i="2"/>
  <c r="AA236" i="2"/>
  <c r="E236" i="2"/>
  <c r="AB236" i="2"/>
  <c r="P236" i="2"/>
  <c r="AH236" i="2"/>
  <c r="F236" i="2"/>
  <c r="W236" i="2"/>
  <c r="Z236" i="2"/>
  <c r="AM236" i="2"/>
  <c r="AN236" i="2"/>
  <c r="AG236" i="2"/>
  <c r="V236" i="2"/>
  <c r="AC236" i="2"/>
  <c r="U236" i="2"/>
  <c r="AE236" i="2"/>
  <c r="AJ236" i="2"/>
  <c r="D236" i="2"/>
  <c r="L236" i="2"/>
  <c r="C236" i="2"/>
  <c r="R236" i="2"/>
  <c r="K236" i="2"/>
  <c r="N236" i="2"/>
  <c r="AD236" i="2"/>
  <c r="G236" i="2"/>
  <c r="AO236" i="2"/>
  <c r="AK236" i="2"/>
  <c r="J236" i="2"/>
  <c r="AI236" i="2"/>
  <c r="S236" i="2"/>
  <c r="T236" i="2"/>
  <c r="H236" i="2"/>
  <c r="AF236" i="2"/>
  <c r="X236" i="2"/>
  <c r="AL236" i="2"/>
  <c r="O236" i="2"/>
  <c r="B238" i="2" l="1"/>
  <c r="G237" i="2"/>
  <c r="Y237" i="2"/>
  <c r="AM237" i="2"/>
  <c r="W237" i="2"/>
  <c r="K237" i="2"/>
  <c r="U237" i="2"/>
  <c r="AF237" i="2"/>
  <c r="AB237" i="2"/>
  <c r="P237" i="2"/>
  <c r="C237" i="2"/>
  <c r="AC237" i="2"/>
  <c r="AN237" i="2"/>
  <c r="AD237" i="2"/>
  <c r="I237" i="2"/>
  <c r="AI237" i="2"/>
  <c r="AG237" i="2"/>
  <c r="R237" i="2"/>
  <c r="D237" i="2"/>
  <c r="J237" i="2"/>
  <c r="O237" i="2"/>
  <c r="S237" i="2"/>
  <c r="V237" i="2"/>
  <c r="L237" i="2"/>
  <c r="Z237" i="2"/>
  <c r="X237" i="2"/>
  <c r="AA237" i="2"/>
  <c r="T237" i="2"/>
  <c r="AE237" i="2"/>
  <c r="N237" i="2"/>
  <c r="M237" i="2"/>
  <c r="AK237" i="2"/>
  <c r="Q237" i="2"/>
  <c r="AO237" i="2"/>
  <c r="E237" i="2"/>
  <c r="H237" i="2"/>
  <c r="AL237" i="2"/>
  <c r="F237" i="2"/>
  <c r="AJ237" i="2"/>
  <c r="AH237" i="2"/>
  <c r="B239" i="2" l="1"/>
  <c r="P238" i="2"/>
  <c r="AA238" i="2"/>
  <c r="O238" i="2"/>
  <c r="E238" i="2"/>
  <c r="Q238" i="2"/>
  <c r="U238" i="2"/>
  <c r="K238" i="2"/>
  <c r="AH238" i="2"/>
  <c r="G238" i="2"/>
  <c r="J238" i="2"/>
  <c r="D238" i="2"/>
  <c r="M238" i="2"/>
  <c r="L238" i="2"/>
  <c r="AL238" i="2"/>
  <c r="H238" i="2"/>
  <c r="AF238" i="2"/>
  <c r="S238" i="2"/>
  <c r="AO238" i="2"/>
  <c r="V238" i="2"/>
  <c r="AJ238" i="2"/>
  <c r="AE238" i="2"/>
  <c r="W238" i="2"/>
  <c r="AD238" i="2"/>
  <c r="AM238" i="2"/>
  <c r="T238" i="2"/>
  <c r="AB238" i="2"/>
  <c r="AN238" i="2"/>
  <c r="N238" i="2"/>
  <c r="AG238" i="2"/>
  <c r="F238" i="2"/>
  <c r="Y238" i="2"/>
  <c r="Z238" i="2"/>
  <c r="C238" i="2"/>
  <c r="I238" i="2"/>
  <c r="AK238" i="2"/>
  <c r="AC238" i="2"/>
  <c r="AI238" i="2"/>
  <c r="R238" i="2"/>
  <c r="X238" i="2"/>
  <c r="B240" i="2" l="1"/>
  <c r="G239" i="2"/>
  <c r="AF239" i="2"/>
  <c r="AO239" i="2"/>
  <c r="I239" i="2"/>
  <c r="AN239" i="2"/>
  <c r="J239" i="2"/>
  <c r="R239" i="2"/>
  <c r="V239" i="2"/>
  <c r="AM239" i="2"/>
  <c r="T239" i="2"/>
  <c r="F239" i="2"/>
  <c r="AE239" i="2"/>
  <c r="AK239" i="2"/>
  <c r="D239" i="2"/>
  <c r="M239" i="2"/>
  <c r="AD239" i="2"/>
  <c r="AH239" i="2"/>
  <c r="N239" i="2"/>
  <c r="Z239" i="2"/>
  <c r="P239" i="2"/>
  <c r="X239" i="2"/>
  <c r="AL239" i="2"/>
  <c r="L239" i="2"/>
  <c r="U239" i="2"/>
  <c r="E239" i="2"/>
  <c r="Q239" i="2"/>
  <c r="W239" i="2"/>
  <c r="AA239" i="2"/>
  <c r="C239" i="2"/>
  <c r="K239" i="2"/>
  <c r="Y239" i="2"/>
  <c r="AG239" i="2"/>
  <c r="AB239" i="2"/>
  <c r="O239" i="2"/>
  <c r="S239" i="2"/>
  <c r="AJ239" i="2"/>
  <c r="H239" i="2"/>
  <c r="AI239" i="2"/>
  <c r="AC239" i="2"/>
  <c r="B241" i="2" l="1"/>
  <c r="V240" i="2"/>
  <c r="L240" i="2"/>
  <c r="AN240" i="2"/>
  <c r="W240" i="2"/>
  <c r="AL240" i="2"/>
  <c r="AC240" i="2"/>
  <c r="U240" i="2"/>
  <c r="AH240" i="2"/>
  <c r="O240" i="2"/>
  <c r="AG240" i="2"/>
  <c r="AF240" i="2"/>
  <c r="K240" i="2"/>
  <c r="S240" i="2"/>
  <c r="AK240" i="2"/>
  <c r="Y240" i="2"/>
  <c r="AD240" i="2"/>
  <c r="AE240" i="2"/>
  <c r="AJ240" i="2"/>
  <c r="C240" i="2"/>
  <c r="R240" i="2"/>
  <c r="M240" i="2"/>
  <c r="H240" i="2"/>
  <c r="J240" i="2"/>
  <c r="I240" i="2"/>
  <c r="Q240" i="2"/>
  <c r="N240" i="2"/>
  <c r="F240" i="2"/>
  <c r="P240" i="2"/>
  <c r="AM240" i="2"/>
  <c r="D240" i="2"/>
  <c r="E240" i="2"/>
  <c r="AB240" i="2"/>
  <c r="AI240" i="2"/>
  <c r="AA240" i="2"/>
  <c r="T240" i="2"/>
  <c r="G240" i="2"/>
  <c r="Z240" i="2"/>
  <c r="AO240" i="2"/>
  <c r="X240" i="2"/>
  <c r="B242" i="2" l="1"/>
  <c r="R241" i="2"/>
  <c r="AB241" i="2"/>
  <c r="T241" i="2"/>
  <c r="AC241" i="2"/>
  <c r="P241" i="2"/>
  <c r="L241" i="2"/>
  <c r="M241" i="2"/>
  <c r="H241" i="2"/>
  <c r="AN241" i="2"/>
  <c r="AK241" i="2"/>
  <c r="AO241" i="2"/>
  <c r="AD241" i="2"/>
  <c r="D241" i="2"/>
  <c r="AE241" i="2"/>
  <c r="K241" i="2"/>
  <c r="S241" i="2"/>
  <c r="AH241" i="2"/>
  <c r="Q241" i="2"/>
  <c r="AI241" i="2"/>
  <c r="C241" i="2"/>
  <c r="U241" i="2"/>
  <c r="X241" i="2"/>
  <c r="F241" i="2"/>
  <c r="Y241" i="2"/>
  <c r="AJ241" i="2"/>
  <c r="W241" i="2"/>
  <c r="V241" i="2"/>
  <c r="Z241" i="2"/>
  <c r="AG241" i="2"/>
  <c r="G241" i="2"/>
  <c r="E241" i="2"/>
  <c r="O241" i="2"/>
  <c r="AF241" i="2"/>
  <c r="I241" i="2"/>
  <c r="AA241" i="2"/>
  <c r="J241" i="2"/>
  <c r="AM241" i="2"/>
  <c r="N241" i="2"/>
  <c r="AL241" i="2"/>
  <c r="B243" i="2" l="1"/>
  <c r="K242" i="2"/>
  <c r="S242" i="2"/>
  <c r="L242" i="2"/>
  <c r="AK242" i="2"/>
  <c r="AB242" i="2"/>
  <c r="AL242" i="2"/>
  <c r="V242" i="2"/>
  <c r="O242" i="2"/>
  <c r="Y242" i="2"/>
  <c r="AJ242" i="2"/>
  <c r="Z242" i="2"/>
  <c r="D242" i="2"/>
  <c r="N242" i="2"/>
  <c r="AC242" i="2"/>
  <c r="W242" i="2"/>
  <c r="AD242" i="2"/>
  <c r="AO242" i="2"/>
  <c r="AA242" i="2"/>
  <c r="R242" i="2"/>
  <c r="Q242" i="2"/>
  <c r="AH242" i="2"/>
  <c r="AM242" i="2"/>
  <c r="P242" i="2"/>
  <c r="H242" i="2"/>
  <c r="X242" i="2"/>
  <c r="AF242" i="2"/>
  <c r="AG242" i="2"/>
  <c r="T242" i="2"/>
  <c r="M242" i="2"/>
  <c r="I242" i="2"/>
  <c r="F242" i="2"/>
  <c r="J242" i="2"/>
  <c r="C242" i="2"/>
  <c r="AN242" i="2"/>
  <c r="AE242" i="2"/>
  <c r="E242" i="2"/>
  <c r="AI242" i="2"/>
  <c r="G242" i="2"/>
  <c r="U242" i="2"/>
  <c r="B244" i="2" l="1"/>
  <c r="I243" i="2"/>
  <c r="U243" i="2"/>
  <c r="AN243" i="2"/>
  <c r="AA243" i="2"/>
  <c r="AE243" i="2"/>
  <c r="AK243" i="2"/>
  <c r="D243" i="2"/>
  <c r="T243" i="2"/>
  <c r="AH243" i="2"/>
  <c r="AF243" i="2"/>
  <c r="R243" i="2"/>
  <c r="S243" i="2"/>
  <c r="P243" i="2"/>
  <c r="G243" i="2"/>
  <c r="C243" i="2"/>
  <c r="AO243" i="2"/>
  <c r="Z243" i="2"/>
  <c r="K243" i="2"/>
  <c r="Q243" i="2"/>
  <c r="J243" i="2"/>
  <c r="O243" i="2"/>
  <c r="F243" i="2"/>
  <c r="AI243" i="2"/>
  <c r="E243" i="2"/>
  <c r="AG243" i="2"/>
  <c r="AL243" i="2"/>
  <c r="AD243" i="2"/>
  <c r="X243" i="2"/>
  <c r="AM243" i="2"/>
  <c r="Y243" i="2"/>
  <c r="AC243" i="2"/>
  <c r="N243" i="2"/>
  <c r="H243" i="2"/>
  <c r="AB243" i="2"/>
  <c r="W243" i="2"/>
  <c r="L243" i="2"/>
  <c r="AJ243" i="2"/>
  <c r="V243" i="2"/>
  <c r="M243" i="2"/>
  <c r="B245" i="2" l="1"/>
  <c r="W244" i="2"/>
  <c r="AI244" i="2"/>
  <c r="X244" i="2"/>
  <c r="H244" i="2"/>
  <c r="I244" i="2"/>
  <c r="AB244" i="2"/>
  <c r="AN244" i="2"/>
  <c r="Q244" i="2"/>
  <c r="AK244" i="2"/>
  <c r="K244" i="2"/>
  <c r="L244" i="2"/>
  <c r="AJ244" i="2"/>
  <c r="AM244" i="2"/>
  <c r="AA244" i="2"/>
  <c r="AG244" i="2"/>
  <c r="G244" i="2"/>
  <c r="J244" i="2"/>
  <c r="AC244" i="2"/>
  <c r="E244" i="2"/>
  <c r="D244" i="2"/>
  <c r="P244" i="2"/>
  <c r="AD244" i="2"/>
  <c r="AO244" i="2"/>
  <c r="U244" i="2"/>
  <c r="T244" i="2"/>
  <c r="AE244" i="2"/>
  <c r="V244" i="2"/>
  <c r="C244" i="2"/>
  <c r="R244" i="2"/>
  <c r="N244" i="2"/>
  <c r="M244" i="2"/>
  <c r="S244" i="2"/>
  <c r="AF244" i="2"/>
  <c r="F244" i="2"/>
  <c r="Y244" i="2"/>
  <c r="AL244" i="2"/>
  <c r="AH244" i="2"/>
  <c r="Z244" i="2"/>
  <c r="O244" i="2"/>
  <c r="B246" i="2" l="1"/>
  <c r="AH245" i="2"/>
  <c r="AM245" i="2"/>
  <c r="X245" i="2"/>
  <c r="AC245" i="2"/>
  <c r="U245" i="2"/>
  <c r="I245" i="2"/>
  <c r="W245" i="2"/>
  <c r="AN245" i="2"/>
  <c r="F245" i="2"/>
  <c r="R245" i="2"/>
  <c r="J245" i="2"/>
  <c r="AO245" i="2"/>
  <c r="AF245" i="2"/>
  <c r="S245" i="2"/>
  <c r="AJ245" i="2"/>
  <c r="G245" i="2"/>
  <c r="AI245" i="2"/>
  <c r="AE245" i="2"/>
  <c r="Y245" i="2"/>
  <c r="H245" i="2"/>
  <c r="AA245" i="2"/>
  <c r="O245" i="2"/>
  <c r="AK245" i="2"/>
  <c r="C245" i="2"/>
  <c r="T245" i="2"/>
  <c r="V245" i="2"/>
  <c r="D245" i="2"/>
  <c r="Z245" i="2"/>
  <c r="K245" i="2"/>
  <c r="N245" i="2"/>
  <c r="Q245" i="2"/>
  <c r="M245" i="2"/>
  <c r="AL245" i="2"/>
  <c r="L245" i="2"/>
  <c r="AD245" i="2"/>
  <c r="E245" i="2"/>
  <c r="AB245" i="2"/>
  <c r="P245" i="2"/>
  <c r="AG245" i="2"/>
  <c r="B247" i="2" l="1"/>
  <c r="Z246" i="2"/>
  <c r="N246" i="2"/>
  <c r="AH246" i="2"/>
  <c r="AA246" i="2"/>
  <c r="AL246" i="2"/>
  <c r="AF246" i="2"/>
  <c r="L246" i="2"/>
  <c r="V246" i="2"/>
  <c r="AD246" i="2"/>
  <c r="AN246" i="2"/>
  <c r="AG246" i="2"/>
  <c r="X246" i="2"/>
  <c r="O246" i="2"/>
  <c r="W246" i="2"/>
  <c r="F246" i="2"/>
  <c r="P246" i="2"/>
  <c r="H246" i="2"/>
  <c r="AB246" i="2"/>
  <c r="D246" i="2"/>
  <c r="Y246" i="2"/>
  <c r="C246" i="2"/>
  <c r="AO246" i="2"/>
  <c r="E246" i="2"/>
  <c r="G246" i="2"/>
  <c r="AC246" i="2"/>
  <c r="AE246" i="2"/>
  <c r="AJ246" i="2"/>
  <c r="J246" i="2"/>
  <c r="AM246" i="2"/>
  <c r="T246" i="2"/>
  <c r="K246" i="2"/>
  <c r="AK246" i="2"/>
  <c r="I246" i="2"/>
  <c r="Q246" i="2"/>
  <c r="S246" i="2"/>
  <c r="M246" i="2"/>
  <c r="U246" i="2"/>
  <c r="AI246" i="2"/>
  <c r="R246" i="2"/>
  <c r="B248" i="2" l="1"/>
  <c r="P247" i="2"/>
  <c r="M247" i="2"/>
  <c r="X247" i="2"/>
  <c r="N247" i="2"/>
  <c r="AC247" i="2"/>
  <c r="AN247" i="2"/>
  <c r="AB247" i="2"/>
  <c r="D247" i="2"/>
  <c r="AJ247" i="2"/>
  <c r="S247" i="2"/>
  <c r="F247" i="2"/>
  <c r="J247" i="2"/>
  <c r="AH247" i="2"/>
  <c r="O247" i="2"/>
  <c r="Z247" i="2"/>
  <c r="V247" i="2"/>
  <c r="L247" i="2"/>
  <c r="Y247" i="2"/>
  <c r="Q247" i="2"/>
  <c r="W247" i="2"/>
  <c r="AD247" i="2"/>
  <c r="AO247" i="2"/>
  <c r="T247" i="2"/>
  <c r="AM247" i="2"/>
  <c r="C247" i="2"/>
  <c r="I247" i="2"/>
  <c r="AI247" i="2"/>
  <c r="U247" i="2"/>
  <c r="AA247" i="2"/>
  <c r="AK247" i="2"/>
  <c r="E247" i="2"/>
  <c r="AL247" i="2"/>
  <c r="AF247" i="2"/>
  <c r="H247" i="2"/>
  <c r="AE247" i="2"/>
  <c r="R247" i="2"/>
  <c r="G247" i="2"/>
  <c r="K247" i="2"/>
  <c r="AG247" i="2"/>
  <c r="B249" i="2" l="1"/>
  <c r="W248" i="2"/>
  <c r="Q248" i="2"/>
  <c r="Y248" i="2"/>
  <c r="M248" i="2"/>
  <c r="Z248" i="2"/>
  <c r="N248" i="2"/>
  <c r="AF248" i="2"/>
  <c r="E248" i="2"/>
  <c r="AM248" i="2"/>
  <c r="X248" i="2"/>
  <c r="D248" i="2"/>
  <c r="AL248" i="2"/>
  <c r="AO248" i="2"/>
  <c r="AN248" i="2"/>
  <c r="AI248" i="2"/>
  <c r="AD248" i="2"/>
  <c r="K248" i="2"/>
  <c r="AJ248" i="2"/>
  <c r="G248" i="2"/>
  <c r="F248" i="2"/>
  <c r="S248" i="2"/>
  <c r="AA248" i="2"/>
  <c r="H248" i="2"/>
  <c r="AK248" i="2"/>
  <c r="J248" i="2"/>
  <c r="AB248" i="2"/>
  <c r="AG248" i="2"/>
  <c r="AE248" i="2"/>
  <c r="C248" i="2"/>
  <c r="I248" i="2"/>
  <c r="V248" i="2"/>
  <c r="O248" i="2"/>
  <c r="T248" i="2"/>
  <c r="L248" i="2"/>
  <c r="P248" i="2"/>
  <c r="AH248" i="2"/>
  <c r="R248" i="2"/>
  <c r="U248" i="2"/>
  <c r="AC248" i="2"/>
  <c r="B250" i="2" l="1"/>
  <c r="F249" i="2"/>
  <c r="AA249" i="2"/>
  <c r="AI249" i="2"/>
  <c r="W249" i="2"/>
  <c r="AH249" i="2"/>
  <c r="M249" i="2"/>
  <c r="Y249" i="2"/>
  <c r="N249" i="2"/>
  <c r="AC249" i="2"/>
  <c r="D249" i="2"/>
  <c r="AG249" i="2"/>
  <c r="U249" i="2"/>
  <c r="AO249" i="2"/>
  <c r="AM249" i="2"/>
  <c r="R249" i="2"/>
  <c r="AN249" i="2"/>
  <c r="Q249" i="2"/>
  <c r="AK249" i="2"/>
  <c r="K249" i="2"/>
  <c r="G249" i="2"/>
  <c r="L249" i="2"/>
  <c r="P249" i="2"/>
  <c r="V249" i="2"/>
  <c r="I249" i="2"/>
  <c r="AB249" i="2"/>
  <c r="AJ249" i="2"/>
  <c r="J249" i="2"/>
  <c r="AL249" i="2"/>
  <c r="AD249" i="2"/>
  <c r="Z249" i="2"/>
  <c r="E249" i="2"/>
  <c r="X249" i="2"/>
  <c r="O249" i="2"/>
  <c r="T249" i="2"/>
  <c r="H249" i="2"/>
  <c r="AE249" i="2"/>
  <c r="S249" i="2"/>
  <c r="C249" i="2"/>
  <c r="AF249" i="2"/>
  <c r="B251" i="2" l="1"/>
  <c r="C250" i="2"/>
  <c r="E250" i="2"/>
  <c r="M250" i="2"/>
  <c r="R250" i="2"/>
  <c r="L250" i="2"/>
  <c r="U250" i="2"/>
  <c r="AG250" i="2"/>
  <c r="AJ250" i="2"/>
  <c r="P250" i="2"/>
  <c r="N250" i="2"/>
  <c r="AE250" i="2"/>
  <c r="G250" i="2"/>
  <c r="F250" i="2"/>
  <c r="AD250" i="2"/>
  <c r="H250" i="2"/>
  <c r="I250" i="2"/>
  <c r="D250" i="2"/>
  <c r="S250" i="2"/>
  <c r="AO250" i="2"/>
  <c r="K250" i="2"/>
  <c r="AB250" i="2"/>
  <c r="Z250" i="2"/>
  <c r="AC250" i="2"/>
  <c r="V250" i="2"/>
  <c r="Y250" i="2"/>
  <c r="AI250" i="2"/>
  <c r="Q250" i="2"/>
  <c r="T250" i="2"/>
  <c r="AK250" i="2"/>
  <c r="AF250" i="2"/>
  <c r="O250" i="2"/>
  <c r="AA250" i="2"/>
  <c r="X250" i="2"/>
  <c r="AM250" i="2"/>
  <c r="AL250" i="2"/>
  <c r="J250" i="2"/>
  <c r="AN250" i="2"/>
  <c r="W250" i="2"/>
  <c r="AH250" i="2"/>
  <c r="B252" i="2" l="1"/>
  <c r="AI251" i="2"/>
  <c r="AM251" i="2"/>
  <c r="H251" i="2"/>
  <c r="X251" i="2"/>
  <c r="N251" i="2"/>
  <c r="E251" i="2"/>
  <c r="AA251" i="2"/>
  <c r="P251" i="2"/>
  <c r="W251" i="2"/>
  <c r="F251" i="2"/>
  <c r="AC251" i="2"/>
  <c r="O251" i="2"/>
  <c r="AG251" i="2"/>
  <c r="K251" i="2"/>
  <c r="Z251" i="2"/>
  <c r="S251" i="2"/>
  <c r="R251" i="2"/>
  <c r="V251" i="2"/>
  <c r="M251" i="2"/>
  <c r="AL251" i="2"/>
  <c r="AE251" i="2"/>
  <c r="C251" i="2"/>
  <c r="G251" i="2"/>
  <c r="AF251" i="2"/>
  <c r="T251" i="2"/>
  <c r="AK251" i="2"/>
  <c r="U251" i="2"/>
  <c r="AB251" i="2"/>
  <c r="AD251" i="2"/>
  <c r="L251" i="2"/>
  <c r="I251" i="2"/>
  <c r="AH251" i="2"/>
  <c r="Y251" i="2"/>
  <c r="J251" i="2"/>
  <c r="AN251" i="2"/>
  <c r="AJ251" i="2"/>
  <c r="D251" i="2"/>
  <c r="Q251" i="2"/>
  <c r="AO251" i="2"/>
  <c r="B253" i="2" l="1"/>
  <c r="P252" i="2"/>
  <c r="AI252" i="2"/>
  <c r="M252" i="2"/>
  <c r="N252" i="2"/>
  <c r="AK252" i="2"/>
  <c r="AC252" i="2"/>
  <c r="AL252" i="2"/>
  <c r="V252" i="2"/>
  <c r="Z252" i="2"/>
  <c r="F252" i="2"/>
  <c r="AN252" i="2"/>
  <c r="Y252" i="2"/>
  <c r="Q252" i="2"/>
  <c r="O252" i="2"/>
  <c r="R252" i="2"/>
  <c r="E252" i="2"/>
  <c r="AM252" i="2"/>
  <c r="T252" i="2"/>
  <c r="I252" i="2"/>
  <c r="AJ252" i="2"/>
  <c r="AF252" i="2"/>
  <c r="AD252" i="2"/>
  <c r="AH252" i="2"/>
  <c r="X252" i="2"/>
  <c r="G252" i="2"/>
  <c r="W252" i="2"/>
  <c r="AA252" i="2"/>
  <c r="AG252" i="2"/>
  <c r="U252" i="2"/>
  <c r="J252" i="2"/>
  <c r="H252" i="2"/>
  <c r="L252" i="2"/>
  <c r="AO252" i="2"/>
  <c r="C252" i="2"/>
  <c r="AE252" i="2"/>
  <c r="AB252" i="2"/>
  <c r="S252" i="2"/>
  <c r="D252" i="2"/>
  <c r="K252" i="2"/>
  <c r="B254" i="2" l="1"/>
  <c r="T253" i="2"/>
  <c r="AB253" i="2"/>
  <c r="X253" i="2"/>
  <c r="Q253" i="2"/>
  <c r="AE253" i="2"/>
  <c r="K253" i="2"/>
  <c r="L253" i="2"/>
  <c r="Z253" i="2"/>
  <c r="AN253" i="2"/>
  <c r="E253" i="2"/>
  <c r="Y253" i="2"/>
  <c r="F253" i="2"/>
  <c r="J253" i="2"/>
  <c r="V253" i="2"/>
  <c r="AJ253" i="2"/>
  <c r="H253" i="2"/>
  <c r="O253" i="2"/>
  <c r="AI253" i="2"/>
  <c r="R253" i="2"/>
  <c r="AC253" i="2"/>
  <c r="AF253" i="2"/>
  <c r="AO253" i="2"/>
  <c r="P253" i="2"/>
  <c r="AM253" i="2"/>
  <c r="AG253" i="2"/>
  <c r="D253" i="2"/>
  <c r="W253" i="2"/>
  <c r="AL253" i="2"/>
  <c r="C253" i="2"/>
  <c r="AK253" i="2"/>
  <c r="U253" i="2"/>
  <c r="AA253" i="2"/>
  <c r="N253" i="2"/>
  <c r="G253" i="2"/>
  <c r="M253" i="2"/>
  <c r="AD253" i="2"/>
  <c r="AH253" i="2"/>
  <c r="I253" i="2"/>
  <c r="S253" i="2"/>
  <c r="B255" i="2" l="1"/>
  <c r="P254" i="2"/>
  <c r="AC254" i="2"/>
  <c r="R254" i="2"/>
  <c r="AF254" i="2"/>
  <c r="AL254" i="2"/>
  <c r="U254" i="2"/>
  <c r="D254" i="2"/>
  <c r="AK254" i="2"/>
  <c r="Q254" i="2"/>
  <c r="W254" i="2"/>
  <c r="M254" i="2"/>
  <c r="F254" i="2"/>
  <c r="L254" i="2"/>
  <c r="AG254" i="2"/>
  <c r="O254" i="2"/>
  <c r="AH254" i="2"/>
  <c r="AE254" i="2"/>
  <c r="S254" i="2"/>
  <c r="AD254" i="2"/>
  <c r="AN254" i="2"/>
  <c r="Z254" i="2"/>
  <c r="K254" i="2"/>
  <c r="T254" i="2"/>
  <c r="N254" i="2"/>
  <c r="AJ254" i="2"/>
  <c r="AA254" i="2"/>
  <c r="I254" i="2"/>
  <c r="AB254" i="2"/>
  <c r="V254" i="2"/>
  <c r="G254" i="2"/>
  <c r="AI254" i="2"/>
  <c r="J254" i="2"/>
  <c r="E254" i="2"/>
  <c r="AM254" i="2"/>
  <c r="Y254" i="2"/>
  <c r="C254" i="2"/>
  <c r="X254" i="2"/>
  <c r="H254" i="2"/>
  <c r="AO254" i="2"/>
  <c r="B256" i="2" l="1"/>
  <c r="AA255" i="2"/>
  <c r="S255" i="2"/>
  <c r="AC255" i="2"/>
  <c r="AD255" i="2"/>
  <c r="AI255" i="2"/>
  <c r="AM255" i="2"/>
  <c r="P255" i="2"/>
  <c r="Q255" i="2"/>
  <c r="O255" i="2"/>
  <c r="E255" i="2"/>
  <c r="C255" i="2"/>
  <c r="AN255" i="2"/>
  <c r="V255" i="2"/>
  <c r="AL255" i="2"/>
  <c r="M255" i="2"/>
  <c r="AK255" i="2"/>
  <c r="AE255" i="2"/>
  <c r="R255" i="2"/>
  <c r="T255" i="2"/>
  <c r="Z255" i="2"/>
  <c r="AF255" i="2"/>
  <c r="J255" i="2"/>
  <c r="H255" i="2"/>
  <c r="Y255" i="2"/>
  <c r="AO255" i="2"/>
  <c r="D255" i="2"/>
  <c r="U255" i="2"/>
  <c r="N255" i="2"/>
  <c r="L255" i="2"/>
  <c r="W255" i="2"/>
  <c r="AH255" i="2"/>
  <c r="I255" i="2"/>
  <c r="X255" i="2"/>
  <c r="AB255" i="2"/>
  <c r="G255" i="2"/>
  <c r="AJ255" i="2"/>
  <c r="F255" i="2"/>
  <c r="AG255" i="2"/>
  <c r="K255" i="2"/>
  <c r="B257" i="2" l="1"/>
  <c r="AH256" i="2"/>
  <c r="O256" i="2"/>
  <c r="AM256" i="2"/>
  <c r="AO256" i="2"/>
  <c r="AF256" i="2"/>
  <c r="J256" i="2"/>
  <c r="AA256" i="2"/>
  <c r="AI256" i="2"/>
  <c r="P256" i="2"/>
  <c r="AN256" i="2"/>
  <c r="Y256" i="2"/>
  <c r="D256" i="2"/>
  <c r="G256" i="2"/>
  <c r="Q256" i="2"/>
  <c r="AJ256" i="2"/>
  <c r="AB256" i="2"/>
  <c r="C256" i="2"/>
  <c r="S256" i="2"/>
  <c r="Z256" i="2"/>
  <c r="U256" i="2"/>
  <c r="F256" i="2"/>
  <c r="K256" i="2"/>
  <c r="AG256" i="2"/>
  <c r="R256" i="2"/>
  <c r="N256" i="2"/>
  <c r="AE256" i="2"/>
  <c r="M256" i="2"/>
  <c r="V256" i="2"/>
  <c r="T256" i="2"/>
  <c r="W256" i="2"/>
  <c r="E256" i="2"/>
  <c r="AL256" i="2"/>
  <c r="AC256" i="2"/>
  <c r="H256" i="2"/>
  <c r="L256" i="2"/>
  <c r="I256" i="2"/>
  <c r="X256" i="2"/>
  <c r="AK256" i="2"/>
  <c r="AD256" i="2"/>
  <c r="B258" i="2" l="1"/>
  <c r="W257" i="2"/>
  <c r="AH257" i="2"/>
  <c r="AJ257" i="2"/>
  <c r="D257" i="2"/>
  <c r="P257" i="2"/>
  <c r="AF257" i="2"/>
  <c r="AD257" i="2"/>
  <c r="R257" i="2"/>
  <c r="AN257" i="2"/>
  <c r="I257" i="2"/>
  <c r="H257" i="2"/>
  <c r="E257" i="2"/>
  <c r="AA257" i="2"/>
  <c r="Q257" i="2"/>
  <c r="M257" i="2"/>
  <c r="V257" i="2"/>
  <c r="AB257" i="2"/>
  <c r="O257" i="2"/>
  <c r="T257" i="2"/>
  <c r="N257" i="2"/>
  <c r="AI257" i="2"/>
  <c r="AG257" i="2"/>
  <c r="U257" i="2"/>
  <c r="AL257" i="2"/>
  <c r="AM257" i="2"/>
  <c r="G257" i="2"/>
  <c r="Y257" i="2"/>
  <c r="F257" i="2"/>
  <c r="AO257" i="2"/>
  <c r="AE257" i="2"/>
  <c r="J257" i="2"/>
  <c r="K257" i="2"/>
  <c r="C257" i="2"/>
  <c r="Z257" i="2"/>
  <c r="X257" i="2"/>
  <c r="AC257" i="2"/>
  <c r="S257" i="2"/>
  <c r="AK257" i="2"/>
  <c r="L257" i="2"/>
  <c r="B259" i="2" l="1"/>
  <c r="AF258" i="2"/>
  <c r="W258" i="2"/>
  <c r="V258" i="2"/>
  <c r="E258" i="2"/>
  <c r="U258" i="2"/>
  <c r="AO258" i="2"/>
  <c r="O258" i="2"/>
  <c r="F258" i="2"/>
  <c r="AE258" i="2"/>
  <c r="G258" i="2"/>
  <c r="P258" i="2"/>
  <c r="X258" i="2"/>
  <c r="AL258" i="2"/>
  <c r="AI258" i="2"/>
  <c r="AN258" i="2"/>
  <c r="Y258" i="2"/>
  <c r="AA258" i="2"/>
  <c r="C258" i="2"/>
  <c r="Q258" i="2"/>
  <c r="S258" i="2"/>
  <c r="Z258" i="2"/>
  <c r="M258" i="2"/>
  <c r="K258" i="2"/>
  <c r="AK258" i="2"/>
  <c r="AD258" i="2"/>
  <c r="D258" i="2"/>
  <c r="R258" i="2"/>
  <c r="AJ258" i="2"/>
  <c r="AM258" i="2"/>
  <c r="AG258" i="2"/>
  <c r="I258" i="2"/>
  <c r="AC258" i="2"/>
  <c r="AB258" i="2"/>
  <c r="AH258" i="2"/>
  <c r="J258" i="2"/>
  <c r="T258" i="2"/>
  <c r="H258" i="2"/>
  <c r="N258" i="2"/>
  <c r="L258" i="2"/>
  <c r="B260" i="2" l="1"/>
  <c r="G259" i="2"/>
  <c r="V259" i="2"/>
  <c r="O259" i="2"/>
  <c r="T259" i="2"/>
  <c r="Q259" i="2"/>
  <c r="R259" i="2"/>
  <c r="X259" i="2"/>
  <c r="P259" i="2"/>
  <c r="AJ259" i="2"/>
  <c r="AD259" i="2"/>
  <c r="J259" i="2"/>
  <c r="AG259" i="2"/>
  <c r="Z259" i="2"/>
  <c r="AA259" i="2"/>
  <c r="F259" i="2"/>
  <c r="H259" i="2"/>
  <c r="AF259" i="2"/>
  <c r="D259" i="2"/>
  <c r="M259" i="2"/>
  <c r="L259" i="2"/>
  <c r="Y259" i="2"/>
  <c r="AK259" i="2"/>
  <c r="K259" i="2"/>
  <c r="E259" i="2"/>
  <c r="AL259" i="2"/>
  <c r="N259" i="2"/>
  <c r="AE259" i="2"/>
  <c r="AH259" i="2"/>
  <c r="AB259" i="2"/>
  <c r="AC259" i="2"/>
  <c r="W259" i="2"/>
  <c r="C259" i="2"/>
  <c r="S259" i="2"/>
  <c r="I259" i="2"/>
  <c r="AN259" i="2"/>
  <c r="AO259" i="2"/>
  <c r="U259" i="2"/>
  <c r="AM259" i="2"/>
  <c r="AI259" i="2"/>
  <c r="B261" i="2" l="1"/>
  <c r="E260" i="2"/>
  <c r="L260" i="2"/>
  <c r="AJ260" i="2"/>
  <c r="AM260" i="2"/>
  <c r="AD260" i="2"/>
  <c r="Y260" i="2"/>
  <c r="W260" i="2"/>
  <c r="M260" i="2"/>
  <c r="U260" i="2"/>
  <c r="P260" i="2"/>
  <c r="AK260" i="2"/>
  <c r="AF260" i="2"/>
  <c r="AL260" i="2"/>
  <c r="J260" i="2"/>
  <c r="T260" i="2"/>
  <c r="G260" i="2"/>
  <c r="AO260" i="2"/>
  <c r="Q260" i="2"/>
  <c r="AC260" i="2"/>
  <c r="AA260" i="2"/>
  <c r="V260" i="2"/>
  <c r="X260" i="2"/>
  <c r="Z260" i="2"/>
  <c r="AN260" i="2"/>
  <c r="AB260" i="2"/>
  <c r="S260" i="2"/>
  <c r="K260" i="2"/>
  <c r="F260" i="2"/>
  <c r="AE260" i="2"/>
  <c r="C260" i="2"/>
  <c r="AH260" i="2"/>
  <c r="I260" i="2"/>
  <c r="O260" i="2"/>
  <c r="D260" i="2"/>
  <c r="R260" i="2"/>
  <c r="N260" i="2"/>
  <c r="H260" i="2"/>
  <c r="AG260" i="2"/>
  <c r="AI260" i="2"/>
  <c r="B262" i="2" l="1"/>
  <c r="AH261" i="2"/>
  <c r="P261" i="2"/>
  <c r="AO261" i="2"/>
  <c r="N261" i="2"/>
  <c r="W261" i="2"/>
  <c r="V261" i="2"/>
  <c r="F261" i="2"/>
  <c r="I261" i="2"/>
  <c r="R261" i="2"/>
  <c r="G261" i="2"/>
  <c r="AE261" i="2"/>
  <c r="C261" i="2"/>
  <c r="H261" i="2"/>
  <c r="AG261" i="2"/>
  <c r="X261" i="2"/>
  <c r="L261" i="2"/>
  <c r="J261" i="2"/>
  <c r="AB261" i="2"/>
  <c r="E261" i="2"/>
  <c r="AK261" i="2"/>
  <c r="AL261" i="2"/>
  <c r="S261" i="2"/>
  <c r="D261" i="2"/>
  <c r="Q261" i="2"/>
  <c r="AD261" i="2"/>
  <c r="AJ261" i="2"/>
  <c r="U261" i="2"/>
  <c r="AC261" i="2"/>
  <c r="Z261" i="2"/>
  <c r="M261" i="2"/>
  <c r="Y261" i="2"/>
  <c r="K261" i="2"/>
  <c r="AN261" i="2"/>
  <c r="O261" i="2"/>
  <c r="AA261" i="2"/>
  <c r="T261" i="2"/>
  <c r="AM261" i="2"/>
  <c r="AF261" i="2"/>
  <c r="AI261" i="2"/>
  <c r="B263" i="2" l="1"/>
  <c r="V262" i="2"/>
  <c r="C262" i="2"/>
  <c r="I262" i="2"/>
  <c r="G262" i="2"/>
  <c r="Q262" i="2"/>
  <c r="AH262" i="2"/>
  <c r="AK262" i="2"/>
  <c r="AJ262" i="2"/>
  <c r="E262" i="2"/>
  <c r="T262" i="2"/>
  <c r="D262" i="2"/>
  <c r="R262" i="2"/>
  <c r="X262" i="2"/>
  <c r="J262" i="2"/>
  <c r="AM262" i="2"/>
  <c r="P262" i="2"/>
  <c r="AO262" i="2"/>
  <c r="AF262" i="2"/>
  <c r="H262" i="2"/>
  <c r="AG262" i="2"/>
  <c r="Y262" i="2"/>
  <c r="M262" i="2"/>
  <c r="F262" i="2"/>
  <c r="AD262" i="2"/>
  <c r="AL262" i="2"/>
  <c r="AN262" i="2"/>
  <c r="K262" i="2"/>
  <c r="AB262" i="2"/>
  <c r="Z262" i="2"/>
  <c r="AI262" i="2"/>
  <c r="W262" i="2"/>
  <c r="N262" i="2"/>
  <c r="AC262" i="2"/>
  <c r="S262" i="2"/>
  <c r="AE262" i="2"/>
  <c r="AA262" i="2"/>
  <c r="U262" i="2"/>
  <c r="L262" i="2"/>
  <c r="O262" i="2"/>
  <c r="B264" i="2" l="1"/>
  <c r="E263" i="2"/>
  <c r="M263" i="2"/>
  <c r="AA263" i="2"/>
  <c r="L263" i="2"/>
  <c r="J263" i="2"/>
  <c r="AN263" i="2"/>
  <c r="R263" i="2"/>
  <c r="AE263" i="2"/>
  <c r="AC263" i="2"/>
  <c r="V263" i="2"/>
  <c r="G263" i="2"/>
  <c r="P263" i="2"/>
  <c r="I263" i="2"/>
  <c r="AO263" i="2"/>
  <c r="AK263" i="2"/>
  <c r="AD263" i="2"/>
  <c r="Q263" i="2"/>
  <c r="AJ263" i="2"/>
  <c r="AH263" i="2"/>
  <c r="AI263" i="2"/>
  <c r="T263" i="2"/>
  <c r="N263" i="2"/>
  <c r="K263" i="2"/>
  <c r="O263" i="2"/>
  <c r="AL263" i="2"/>
  <c r="D263" i="2"/>
  <c r="Y263" i="2"/>
  <c r="W263" i="2"/>
  <c r="AF263" i="2"/>
  <c r="AG263" i="2"/>
  <c r="C263" i="2"/>
  <c r="U263" i="2"/>
  <c r="Z263" i="2"/>
  <c r="AB263" i="2"/>
  <c r="H263" i="2"/>
  <c r="X263" i="2"/>
  <c r="AM263" i="2"/>
  <c r="S263" i="2"/>
  <c r="F263" i="2"/>
  <c r="B265" i="2" l="1"/>
  <c r="I264" i="2"/>
  <c r="Z264" i="2"/>
  <c r="AJ264" i="2"/>
  <c r="P264" i="2"/>
  <c r="D264" i="2"/>
  <c r="Y264" i="2"/>
  <c r="AF264" i="2"/>
  <c r="N264" i="2"/>
  <c r="H264" i="2"/>
  <c r="R264" i="2"/>
  <c r="AG264" i="2"/>
  <c r="X264" i="2"/>
  <c r="F264" i="2"/>
  <c r="V264" i="2"/>
  <c r="AH264" i="2"/>
  <c r="AA264" i="2"/>
  <c r="S264" i="2"/>
  <c r="U264" i="2"/>
  <c r="AE264" i="2"/>
  <c r="W264" i="2"/>
  <c r="G264" i="2"/>
  <c r="Q264" i="2"/>
  <c r="AK264" i="2"/>
  <c r="E264" i="2"/>
  <c r="K264" i="2"/>
  <c r="AN264" i="2"/>
  <c r="O264" i="2"/>
  <c r="L264" i="2"/>
  <c r="AD264" i="2"/>
  <c r="AI264" i="2"/>
  <c r="AL264" i="2"/>
  <c r="C264" i="2"/>
  <c r="T264" i="2"/>
  <c r="J264" i="2"/>
  <c r="AO264" i="2"/>
  <c r="AM264" i="2"/>
  <c r="AB264" i="2"/>
  <c r="AC264" i="2"/>
  <c r="M264" i="2"/>
  <c r="B266" i="2" l="1"/>
  <c r="D265" i="2"/>
  <c r="X265" i="2"/>
  <c r="AG265" i="2"/>
  <c r="F265" i="2"/>
  <c r="N265" i="2"/>
  <c r="AE265" i="2"/>
  <c r="AD265" i="2"/>
  <c r="G265" i="2"/>
  <c r="AI265" i="2"/>
  <c r="S265" i="2"/>
  <c r="T265" i="2"/>
  <c r="R265" i="2"/>
  <c r="Y265" i="2"/>
  <c r="AJ265" i="2"/>
  <c r="AA265" i="2"/>
  <c r="AL265" i="2"/>
  <c r="U265" i="2"/>
  <c r="K265" i="2"/>
  <c r="AC265" i="2"/>
  <c r="V265" i="2"/>
  <c r="Q265" i="2"/>
  <c r="AF265" i="2"/>
  <c r="AO265" i="2"/>
  <c r="C265" i="2"/>
  <c r="M265" i="2"/>
  <c r="I265" i="2"/>
  <c r="AM265" i="2"/>
  <c r="H265" i="2"/>
  <c r="AB265" i="2"/>
  <c r="AH265" i="2"/>
  <c r="P265" i="2"/>
  <c r="J265" i="2"/>
  <c r="W265" i="2"/>
  <c r="L265" i="2"/>
  <c r="O265" i="2"/>
  <c r="E265" i="2"/>
  <c r="AN265" i="2"/>
  <c r="Z265" i="2"/>
  <c r="AK265" i="2"/>
  <c r="B267" i="2" l="1"/>
  <c r="D266" i="2"/>
  <c r="N266" i="2"/>
  <c r="E266" i="2"/>
  <c r="AK266" i="2"/>
  <c r="P266" i="2"/>
  <c r="AJ266" i="2"/>
  <c r="AM266" i="2"/>
  <c r="S266" i="2"/>
  <c r="F266" i="2"/>
  <c r="AA266" i="2"/>
  <c r="O266" i="2"/>
  <c r="I266" i="2"/>
  <c r="C266" i="2"/>
  <c r="Y266" i="2"/>
  <c r="AL266" i="2"/>
  <c r="AD266" i="2"/>
  <c r="AC266" i="2"/>
  <c r="AN266" i="2"/>
  <c r="T266" i="2"/>
  <c r="W266" i="2"/>
  <c r="R266" i="2"/>
  <c r="AG266" i="2"/>
  <c r="U266" i="2"/>
  <c r="K266" i="2"/>
  <c r="J266" i="2"/>
  <c r="AH266" i="2"/>
  <c r="AO266" i="2"/>
  <c r="G266" i="2"/>
  <c r="AI266" i="2"/>
  <c r="AE266" i="2"/>
  <c r="AB266" i="2"/>
  <c r="V266" i="2"/>
  <c r="M266" i="2"/>
  <c r="L266" i="2"/>
  <c r="H266" i="2"/>
  <c r="Z266" i="2"/>
  <c r="X266" i="2"/>
  <c r="Q266" i="2"/>
  <c r="AF266" i="2"/>
  <c r="B268" i="2" l="1"/>
  <c r="C267" i="2"/>
  <c r="R267" i="2"/>
  <c r="AC267" i="2"/>
  <c r="N267" i="2"/>
  <c r="E267" i="2"/>
  <c r="X267" i="2"/>
  <c r="S267" i="2"/>
  <c r="V267" i="2"/>
  <c r="AL267" i="2"/>
  <c r="AD267" i="2"/>
  <c r="AA267" i="2"/>
  <c r="K267" i="2"/>
  <c r="I267" i="2"/>
  <c r="U267" i="2"/>
  <c r="Q267" i="2"/>
  <c r="AM267" i="2"/>
  <c r="M267" i="2"/>
  <c r="T267" i="2"/>
  <c r="G267" i="2"/>
  <c r="AJ267" i="2"/>
  <c r="AO267" i="2"/>
  <c r="AG267" i="2"/>
  <c r="AH267" i="2"/>
  <c r="F267" i="2"/>
  <c r="AE267" i="2"/>
  <c r="AI267" i="2"/>
  <c r="AN267" i="2"/>
  <c r="Y267" i="2"/>
  <c r="L267" i="2"/>
  <c r="AB267" i="2"/>
  <c r="AK267" i="2"/>
  <c r="H267" i="2"/>
  <c r="AF267" i="2"/>
  <c r="O267" i="2"/>
  <c r="Z267" i="2"/>
  <c r="J267" i="2"/>
  <c r="P267" i="2"/>
  <c r="D267" i="2"/>
  <c r="W267" i="2"/>
  <c r="B269" i="2" l="1"/>
  <c r="W268" i="2"/>
  <c r="AI268" i="2"/>
  <c r="C268" i="2"/>
  <c r="P268" i="2"/>
  <c r="AE268" i="2"/>
  <c r="N268" i="2"/>
  <c r="AK268" i="2"/>
  <c r="AB268" i="2"/>
  <c r="E268" i="2"/>
  <c r="U268" i="2"/>
  <c r="AM268" i="2"/>
  <c r="J268" i="2"/>
  <c r="X268" i="2"/>
  <c r="Y268" i="2"/>
  <c r="AO268" i="2"/>
  <c r="G268" i="2"/>
  <c r="AD268" i="2"/>
  <c r="H268" i="2"/>
  <c r="S268" i="2"/>
  <c r="I268" i="2"/>
  <c r="D268" i="2"/>
  <c r="Z268" i="2"/>
  <c r="V268" i="2"/>
  <c r="R268" i="2"/>
  <c r="AH268" i="2"/>
  <c r="AC268" i="2"/>
  <c r="AA268" i="2"/>
  <c r="Q268" i="2"/>
  <c r="O268" i="2"/>
  <c r="AG268" i="2"/>
  <c r="AF268" i="2"/>
  <c r="AN268" i="2"/>
  <c r="AJ268" i="2"/>
  <c r="L268" i="2"/>
  <c r="F268" i="2"/>
  <c r="K268" i="2"/>
  <c r="M268" i="2"/>
  <c r="T268" i="2"/>
  <c r="AL268" i="2"/>
  <c r="B270" i="2" l="1"/>
  <c r="W269" i="2"/>
  <c r="U269" i="2"/>
  <c r="AE269" i="2"/>
  <c r="AM269" i="2"/>
  <c r="AO269" i="2"/>
  <c r="P269" i="2"/>
  <c r="AD269" i="2"/>
  <c r="N269" i="2"/>
  <c r="K269" i="2"/>
  <c r="AL269" i="2"/>
  <c r="AN269" i="2"/>
  <c r="G269" i="2"/>
  <c r="T269" i="2"/>
  <c r="Z269" i="2"/>
  <c r="E269" i="2"/>
  <c r="AI269" i="2"/>
  <c r="S269" i="2"/>
  <c r="H269" i="2"/>
  <c r="O269" i="2"/>
  <c r="R269" i="2"/>
  <c r="Y269" i="2"/>
  <c r="V269" i="2"/>
  <c r="AC269" i="2"/>
  <c r="F269" i="2"/>
  <c r="AG269" i="2"/>
  <c r="AJ269" i="2"/>
  <c r="AB269" i="2"/>
  <c r="D269" i="2"/>
  <c r="L269" i="2"/>
  <c r="I269" i="2"/>
  <c r="Q269" i="2"/>
  <c r="AK269" i="2"/>
  <c r="X269" i="2"/>
  <c r="J269" i="2"/>
  <c r="AF269" i="2"/>
  <c r="AH269" i="2"/>
  <c r="C269" i="2"/>
  <c r="M269" i="2"/>
  <c r="AA269" i="2"/>
  <c r="B271" i="2" l="1"/>
  <c r="E270" i="2"/>
  <c r="V270" i="2"/>
  <c r="G270" i="2"/>
  <c r="AE270" i="2"/>
  <c r="AB270" i="2"/>
  <c r="L270" i="2"/>
  <c r="AH270" i="2"/>
  <c r="AM270" i="2"/>
  <c r="W270" i="2"/>
  <c r="M270" i="2"/>
  <c r="AI270" i="2"/>
  <c r="T270" i="2"/>
  <c r="H270" i="2"/>
  <c r="D270" i="2"/>
  <c r="AO270" i="2"/>
  <c r="I270" i="2"/>
  <c r="N270" i="2"/>
  <c r="Z270" i="2"/>
  <c r="AG270" i="2"/>
  <c r="R270" i="2"/>
  <c r="C270" i="2"/>
  <c r="U270" i="2"/>
  <c r="X270" i="2"/>
  <c r="AF270" i="2"/>
  <c r="AJ270" i="2"/>
  <c r="J270" i="2"/>
  <c r="O270" i="2"/>
  <c r="AL270" i="2"/>
  <c r="AA270" i="2"/>
  <c r="AN270" i="2"/>
  <c r="P270" i="2"/>
  <c r="AD270" i="2"/>
  <c r="F270" i="2"/>
  <c r="AC270" i="2"/>
  <c r="AK270" i="2"/>
  <c r="K270" i="2"/>
  <c r="Y270" i="2"/>
  <c r="S270" i="2"/>
  <c r="Q270" i="2"/>
  <c r="B272" i="2" l="1"/>
  <c r="G271" i="2"/>
  <c r="T271" i="2"/>
  <c r="AB271" i="2"/>
  <c r="AJ271" i="2"/>
  <c r="E271" i="2"/>
  <c r="AC271" i="2"/>
  <c r="AM271" i="2"/>
  <c r="J271" i="2"/>
  <c r="O271" i="2"/>
  <c r="L271" i="2"/>
  <c r="H271" i="2"/>
  <c r="M271" i="2"/>
  <c r="W271" i="2"/>
  <c r="AI271" i="2"/>
  <c r="AE271" i="2"/>
  <c r="K271" i="2"/>
  <c r="Z271" i="2"/>
  <c r="N271" i="2"/>
  <c r="AG271" i="2"/>
  <c r="AL271" i="2"/>
  <c r="Q271" i="2"/>
  <c r="AD271" i="2"/>
  <c r="AA271" i="2"/>
  <c r="U271" i="2"/>
  <c r="S271" i="2"/>
  <c r="AH271" i="2"/>
  <c r="R271" i="2"/>
  <c r="X271" i="2"/>
  <c r="AK271" i="2"/>
  <c r="C271" i="2"/>
  <c r="V271" i="2"/>
  <c r="AO271" i="2"/>
  <c r="I271" i="2"/>
  <c r="D271" i="2"/>
  <c r="AN271" i="2"/>
  <c r="F271" i="2"/>
  <c r="AF271" i="2"/>
  <c r="P271" i="2"/>
  <c r="Y271" i="2"/>
  <c r="B273" i="2" l="1"/>
  <c r="AI272" i="2"/>
  <c r="J272" i="2"/>
  <c r="T272" i="2"/>
  <c r="AK272" i="2"/>
  <c r="AJ272" i="2"/>
  <c r="P272" i="2"/>
  <c r="O272" i="2"/>
  <c r="Y272" i="2"/>
  <c r="L272" i="2"/>
  <c r="G272" i="2"/>
  <c r="AA272" i="2"/>
  <c r="Q272" i="2"/>
  <c r="AD272" i="2"/>
  <c r="V272" i="2"/>
  <c r="N272" i="2"/>
  <c r="AN272" i="2"/>
  <c r="U272" i="2"/>
  <c r="Z272" i="2"/>
  <c r="AM272" i="2"/>
  <c r="E272" i="2"/>
  <c r="F272" i="2"/>
  <c r="H272" i="2"/>
  <c r="D272" i="2"/>
  <c r="AO272" i="2"/>
  <c r="AE272" i="2"/>
  <c r="X272" i="2"/>
  <c r="AL272" i="2"/>
  <c r="W272" i="2"/>
  <c r="K272" i="2"/>
  <c r="AG272" i="2"/>
  <c r="AH272" i="2"/>
  <c r="AF272" i="2"/>
  <c r="AC272" i="2"/>
  <c r="S272" i="2"/>
  <c r="AB272" i="2"/>
  <c r="R272" i="2"/>
  <c r="I272" i="2"/>
  <c r="M272" i="2"/>
  <c r="C272" i="2"/>
  <c r="B274" i="2" l="1"/>
  <c r="AK273" i="2"/>
  <c r="U273" i="2"/>
  <c r="E273" i="2"/>
  <c r="W273" i="2"/>
  <c r="AG273" i="2"/>
  <c r="AB273" i="2"/>
  <c r="T273" i="2"/>
  <c r="AE273" i="2"/>
  <c r="AF273" i="2"/>
  <c r="J273" i="2"/>
  <c r="AJ273" i="2"/>
  <c r="L273" i="2"/>
  <c r="Z273" i="2"/>
  <c r="D273" i="2"/>
  <c r="AO273" i="2"/>
  <c r="O273" i="2"/>
  <c r="M273" i="2"/>
  <c r="AD273" i="2"/>
  <c r="AL273" i="2"/>
  <c r="Q273" i="2"/>
  <c r="I273" i="2"/>
  <c r="AA273" i="2"/>
  <c r="G273" i="2"/>
  <c r="R273" i="2"/>
  <c r="P273" i="2"/>
  <c r="H273" i="2"/>
  <c r="K273" i="2"/>
  <c r="X273" i="2"/>
  <c r="AH273" i="2"/>
  <c r="C273" i="2"/>
  <c r="AI273" i="2"/>
  <c r="S273" i="2"/>
  <c r="V273" i="2"/>
  <c r="AC273" i="2"/>
  <c r="F273" i="2"/>
  <c r="Y273" i="2"/>
  <c r="AM273" i="2"/>
  <c r="N273" i="2"/>
  <c r="AN273" i="2"/>
  <c r="B275" i="2" l="1"/>
  <c r="AA274" i="2"/>
  <c r="E274" i="2"/>
  <c r="AG274" i="2"/>
  <c r="K274" i="2"/>
  <c r="N274" i="2"/>
  <c r="AM274" i="2"/>
  <c r="AD274" i="2"/>
  <c r="AN274" i="2"/>
  <c r="AK274" i="2"/>
  <c r="R274" i="2"/>
  <c r="AF274" i="2"/>
  <c r="AI274" i="2"/>
  <c r="I274" i="2"/>
  <c r="T274" i="2"/>
  <c r="D274" i="2"/>
  <c r="Y274" i="2"/>
  <c r="S274" i="2"/>
  <c r="O274" i="2"/>
  <c r="U274" i="2"/>
  <c r="AO274" i="2"/>
  <c r="J274" i="2"/>
  <c r="M274" i="2"/>
  <c r="P274" i="2"/>
  <c r="H274" i="2"/>
  <c r="AH274" i="2"/>
  <c r="Q274" i="2"/>
  <c r="G274" i="2"/>
  <c r="W274" i="2"/>
  <c r="C274" i="2"/>
  <c r="AL274" i="2"/>
  <c r="AB274" i="2"/>
  <c r="L274" i="2"/>
  <c r="Z274" i="2"/>
  <c r="AE274" i="2"/>
  <c r="F274" i="2"/>
  <c r="V274" i="2"/>
  <c r="X274" i="2"/>
  <c r="AJ274" i="2"/>
  <c r="AC274" i="2"/>
  <c r="B276" i="2" l="1"/>
  <c r="U275" i="2"/>
  <c r="AO275" i="2"/>
  <c r="AD275" i="2"/>
  <c r="P275" i="2"/>
  <c r="J275" i="2"/>
  <c r="R275" i="2"/>
  <c r="AA275" i="2"/>
  <c r="V275" i="2"/>
  <c r="F275" i="2"/>
  <c r="D275" i="2"/>
  <c r="AK275" i="2"/>
  <c r="I275" i="2"/>
  <c r="T275" i="2"/>
  <c r="AG275" i="2"/>
  <c r="AN275" i="2"/>
  <c r="S275" i="2"/>
  <c r="AB275" i="2"/>
  <c r="W275" i="2"/>
  <c r="AL275" i="2"/>
  <c r="AF275" i="2"/>
  <c r="AE275" i="2"/>
  <c r="X275" i="2"/>
  <c r="E275" i="2"/>
  <c r="AM275" i="2"/>
  <c r="L275" i="2"/>
  <c r="N275" i="2"/>
  <c r="AI275" i="2"/>
  <c r="O275" i="2"/>
  <c r="Z275" i="2"/>
  <c r="Q275" i="2"/>
  <c r="C275" i="2"/>
  <c r="AC275" i="2"/>
  <c r="M275" i="2"/>
  <c r="Y275" i="2"/>
  <c r="AH275" i="2"/>
  <c r="AJ275" i="2"/>
  <c r="G275" i="2"/>
  <c r="K275" i="2"/>
  <c r="H275" i="2"/>
  <c r="B277" i="2" l="1"/>
  <c r="AK276" i="2"/>
  <c r="AN276" i="2"/>
  <c r="Z276" i="2"/>
  <c r="AD276" i="2"/>
  <c r="Y276" i="2"/>
  <c r="E276" i="2"/>
  <c r="K276" i="2"/>
  <c r="AH276" i="2"/>
  <c r="AL276" i="2"/>
  <c r="U276" i="2"/>
  <c r="G276" i="2"/>
  <c r="X276" i="2"/>
  <c r="AJ276" i="2"/>
  <c r="AA276" i="2"/>
  <c r="AE276" i="2"/>
  <c r="P276" i="2"/>
  <c r="R276" i="2"/>
  <c r="N276" i="2"/>
  <c r="J276" i="2"/>
  <c r="S276" i="2"/>
  <c r="F276" i="2"/>
  <c r="D276" i="2"/>
  <c r="AO276" i="2"/>
  <c r="AI276" i="2"/>
  <c r="M276" i="2"/>
  <c r="AB276" i="2"/>
  <c r="V276" i="2"/>
  <c r="Q276" i="2"/>
  <c r="C276" i="2"/>
  <c r="L276" i="2"/>
  <c r="T276" i="2"/>
  <c r="I276" i="2"/>
  <c r="AF276" i="2"/>
  <c r="AC276" i="2"/>
  <c r="AM276" i="2"/>
  <c r="AG276" i="2"/>
  <c r="H276" i="2"/>
  <c r="O276" i="2"/>
  <c r="W276" i="2"/>
  <c r="B278" i="2" l="1"/>
  <c r="J277" i="2"/>
  <c r="V277" i="2"/>
  <c r="D277" i="2"/>
  <c r="AO277" i="2"/>
  <c r="M277" i="2"/>
  <c r="W277" i="2"/>
  <c r="AJ277" i="2"/>
  <c r="O277" i="2"/>
  <c r="S277" i="2"/>
  <c r="AD277" i="2"/>
  <c r="AF277" i="2"/>
  <c r="AL277" i="2"/>
  <c r="AE277" i="2"/>
  <c r="AN277" i="2"/>
  <c r="K277" i="2"/>
  <c r="Q277" i="2"/>
  <c r="T277" i="2"/>
  <c r="G277" i="2"/>
  <c r="U277" i="2"/>
  <c r="N277" i="2"/>
  <c r="C277" i="2"/>
  <c r="AA277" i="2"/>
  <c r="AG277" i="2"/>
  <c r="AH277" i="2"/>
  <c r="H277" i="2"/>
  <c r="X277" i="2"/>
  <c r="L277" i="2"/>
  <c r="AC277" i="2"/>
  <c r="I277" i="2"/>
  <c r="AM277" i="2"/>
  <c r="F277" i="2"/>
  <c r="Z277" i="2"/>
  <c r="AB277" i="2"/>
  <c r="P277" i="2"/>
  <c r="AK277" i="2"/>
  <c r="AI277" i="2"/>
  <c r="E277" i="2"/>
  <c r="Y277" i="2"/>
  <c r="R277" i="2"/>
  <c r="B279" i="2" l="1"/>
  <c r="AK278" i="2"/>
  <c r="Z278" i="2"/>
  <c r="AD278" i="2"/>
  <c r="Q278" i="2"/>
  <c r="F278" i="2"/>
  <c r="T278" i="2"/>
  <c r="M278" i="2"/>
  <c r="AH278" i="2"/>
  <c r="AA278" i="2"/>
  <c r="AE278" i="2"/>
  <c r="AO278" i="2"/>
  <c r="J278" i="2"/>
  <c r="P278" i="2"/>
  <c r="K278" i="2"/>
  <c r="AC278" i="2"/>
  <c r="AJ278" i="2"/>
  <c r="AN278" i="2"/>
  <c r="G278" i="2"/>
  <c r="AF278" i="2"/>
  <c r="AM278" i="2"/>
  <c r="AB278" i="2"/>
  <c r="O278" i="2"/>
  <c r="V278" i="2"/>
  <c r="S278" i="2"/>
  <c r="I278" i="2"/>
  <c r="AI278" i="2"/>
  <c r="U278" i="2"/>
  <c r="D278" i="2"/>
  <c r="N278" i="2"/>
  <c r="AG278" i="2"/>
  <c r="X278" i="2"/>
  <c r="E278" i="2"/>
  <c r="Y278" i="2"/>
  <c r="R278" i="2"/>
  <c r="L278" i="2"/>
  <c r="AL278" i="2"/>
  <c r="C278" i="2"/>
  <c r="W278" i="2"/>
  <c r="H278" i="2"/>
  <c r="B280" i="2" l="1"/>
  <c r="S279" i="2"/>
  <c r="K279" i="2"/>
  <c r="W279" i="2"/>
  <c r="Y279" i="2"/>
  <c r="AE279" i="2"/>
  <c r="R279" i="2"/>
  <c r="AJ279" i="2"/>
  <c r="O279" i="2"/>
  <c r="F279" i="2"/>
  <c r="E279" i="2"/>
  <c r="AK279" i="2"/>
  <c r="AM279" i="2"/>
  <c r="AN279" i="2"/>
  <c r="AD279" i="2"/>
  <c r="AL279" i="2"/>
  <c r="L279" i="2"/>
  <c r="AO279" i="2"/>
  <c r="AG279" i="2"/>
  <c r="C279" i="2"/>
  <c r="Q279" i="2"/>
  <c r="P279" i="2"/>
  <c r="AC279" i="2"/>
  <c r="T279" i="2"/>
  <c r="J279" i="2"/>
  <c r="G279" i="2"/>
  <c r="AI279" i="2"/>
  <c r="AF279" i="2"/>
  <c r="X279" i="2"/>
  <c r="I279" i="2"/>
  <c r="Z279" i="2"/>
  <c r="U279" i="2"/>
  <c r="D279" i="2"/>
  <c r="M279" i="2"/>
  <c r="H279" i="2"/>
  <c r="AB279" i="2"/>
  <c r="V279" i="2"/>
  <c r="AA279" i="2"/>
  <c r="AH279" i="2"/>
  <c r="N279" i="2"/>
  <c r="B281" i="2" l="1"/>
  <c r="V280" i="2"/>
  <c r="AD280" i="2"/>
  <c r="W280" i="2"/>
  <c r="AN280" i="2"/>
  <c r="AI280" i="2"/>
  <c r="AO280" i="2"/>
  <c r="K280" i="2"/>
  <c r="AA280" i="2"/>
  <c r="Q280" i="2"/>
  <c r="R280" i="2"/>
  <c r="AH280" i="2"/>
  <c r="M280" i="2"/>
  <c r="AG280" i="2"/>
  <c r="G280" i="2"/>
  <c r="C280" i="2"/>
  <c r="AK280" i="2"/>
  <c r="F280" i="2"/>
  <c r="Y280" i="2"/>
  <c r="X280" i="2"/>
  <c r="D280" i="2"/>
  <c r="T280" i="2"/>
  <c r="AM280" i="2"/>
  <c r="AF280" i="2"/>
  <c r="N280" i="2"/>
  <c r="AE280" i="2"/>
  <c r="AB280" i="2"/>
  <c r="P280" i="2"/>
  <c r="AJ280" i="2"/>
  <c r="U280" i="2"/>
  <c r="AL280" i="2"/>
  <c r="E280" i="2"/>
  <c r="AC280" i="2"/>
  <c r="S280" i="2"/>
  <c r="I280" i="2"/>
  <c r="L280" i="2"/>
  <c r="H280" i="2"/>
  <c r="J280" i="2"/>
  <c r="Z280" i="2"/>
  <c r="O280" i="2"/>
  <c r="B282" i="2" l="1"/>
  <c r="M281" i="2"/>
  <c r="G281" i="2"/>
  <c r="P281" i="2"/>
  <c r="AD281" i="2"/>
  <c r="W281" i="2"/>
  <c r="S281" i="2"/>
  <c r="J281" i="2"/>
  <c r="V281" i="2"/>
  <c r="AL281" i="2"/>
  <c r="Y281" i="2"/>
  <c r="X281" i="2"/>
  <c r="AE281" i="2"/>
  <c r="K281" i="2"/>
  <c r="U281" i="2"/>
  <c r="AO281" i="2"/>
  <c r="Q281" i="2"/>
  <c r="H281" i="2"/>
  <c r="C281" i="2"/>
  <c r="AN281" i="2"/>
  <c r="T281" i="2"/>
  <c r="E281" i="2"/>
  <c r="AB281" i="2"/>
  <c r="AM281" i="2"/>
  <c r="AK281" i="2"/>
  <c r="AF281" i="2"/>
  <c r="R281" i="2"/>
  <c r="O281" i="2"/>
  <c r="N281" i="2"/>
  <c r="AA281" i="2"/>
  <c r="I281" i="2"/>
  <c r="F281" i="2"/>
  <c r="L281" i="2"/>
  <c r="AH281" i="2"/>
  <c r="AJ281" i="2"/>
  <c r="AC281" i="2"/>
  <c r="D281" i="2"/>
  <c r="AI281" i="2"/>
  <c r="AG281" i="2"/>
  <c r="Z281" i="2"/>
  <c r="B283" i="2" l="1"/>
  <c r="E282" i="2"/>
  <c r="AB282" i="2"/>
  <c r="Z282" i="2"/>
  <c r="AK282" i="2"/>
  <c r="X282" i="2"/>
  <c r="AD282" i="2"/>
  <c r="V282" i="2"/>
  <c r="AA282" i="2"/>
  <c r="AH282" i="2"/>
  <c r="AF282" i="2"/>
  <c r="U282" i="2"/>
  <c r="O282" i="2"/>
  <c r="G282" i="2"/>
  <c r="C282" i="2"/>
  <c r="AE282" i="2"/>
  <c r="K282" i="2"/>
  <c r="J282" i="2"/>
  <c r="AJ282" i="2"/>
  <c r="H282" i="2"/>
  <c r="AG282" i="2"/>
  <c r="L282" i="2"/>
  <c r="D282" i="2"/>
  <c r="F282" i="2"/>
  <c r="AN282" i="2"/>
  <c r="AL282" i="2"/>
  <c r="AC282" i="2"/>
  <c r="Y282" i="2"/>
  <c r="T282" i="2"/>
  <c r="N282" i="2"/>
  <c r="AO282" i="2"/>
  <c r="W282" i="2"/>
  <c r="I282" i="2"/>
  <c r="P282" i="2"/>
  <c r="M282" i="2"/>
  <c r="S282" i="2"/>
  <c r="Q282" i="2"/>
  <c r="AM282" i="2"/>
  <c r="AI282" i="2"/>
  <c r="R282" i="2"/>
  <c r="B284" i="2" l="1"/>
  <c r="D283" i="2"/>
  <c r="C283" i="2"/>
  <c r="AN283" i="2"/>
  <c r="R283" i="2"/>
  <c r="U283" i="2"/>
  <c r="AO283" i="2"/>
  <c r="AC283" i="2"/>
  <c r="H283" i="2"/>
  <c r="O283" i="2"/>
  <c r="I283" i="2"/>
  <c r="Z283" i="2"/>
  <c r="AJ283" i="2"/>
  <c r="P283" i="2"/>
  <c r="F283" i="2"/>
  <c r="L283" i="2"/>
  <c r="G283" i="2"/>
  <c r="AH283" i="2"/>
  <c r="W283" i="2"/>
  <c r="T283" i="2"/>
  <c r="AI283" i="2"/>
  <c r="AL283" i="2"/>
  <c r="X283" i="2"/>
  <c r="E283" i="2"/>
  <c r="N283" i="2"/>
  <c r="Q283" i="2"/>
  <c r="K283" i="2"/>
  <c r="V283" i="2"/>
  <c r="AG283" i="2"/>
  <c r="AD283" i="2"/>
  <c r="S283" i="2"/>
  <c r="Y283" i="2"/>
  <c r="AK283" i="2"/>
  <c r="AE283" i="2"/>
  <c r="M283" i="2"/>
  <c r="AM283" i="2"/>
  <c r="AF283" i="2"/>
  <c r="AA283" i="2"/>
  <c r="AB283" i="2"/>
  <c r="J283" i="2"/>
  <c r="B285" i="2" l="1"/>
  <c r="L284" i="2"/>
  <c r="AH284" i="2"/>
  <c r="AL284" i="2"/>
  <c r="AO284" i="2"/>
  <c r="Y284" i="2"/>
  <c r="X284" i="2"/>
  <c r="AB284" i="2"/>
  <c r="J284" i="2"/>
  <c r="AM284" i="2"/>
  <c r="AA284" i="2"/>
  <c r="D284" i="2"/>
  <c r="G284" i="2"/>
  <c r="AK284" i="2"/>
  <c r="T284" i="2"/>
  <c r="N284" i="2"/>
  <c r="AJ284" i="2"/>
  <c r="AI284" i="2"/>
  <c r="K284" i="2"/>
  <c r="AD284" i="2"/>
  <c r="U284" i="2"/>
  <c r="H284" i="2"/>
  <c r="R284" i="2"/>
  <c r="AC284" i="2"/>
  <c r="O284" i="2"/>
  <c r="AG284" i="2"/>
  <c r="S284" i="2"/>
  <c r="AF284" i="2"/>
  <c r="P284" i="2"/>
  <c r="Z284" i="2"/>
  <c r="F284" i="2"/>
  <c r="V284" i="2"/>
  <c r="Q284" i="2"/>
  <c r="AN284" i="2"/>
  <c r="C284" i="2"/>
  <c r="I284" i="2"/>
  <c r="E284" i="2"/>
  <c r="AE284" i="2"/>
  <c r="W284" i="2"/>
  <c r="M284" i="2"/>
  <c r="B286" i="2" l="1"/>
  <c r="X285" i="2"/>
  <c r="AJ285" i="2"/>
  <c r="K285" i="2"/>
  <c r="AG285" i="2"/>
  <c r="AN285" i="2"/>
  <c r="S285" i="2"/>
  <c r="AF285" i="2"/>
  <c r="AB285" i="2"/>
  <c r="G285" i="2"/>
  <c r="F285" i="2"/>
  <c r="AI285" i="2"/>
  <c r="AD285" i="2"/>
  <c r="W285" i="2"/>
  <c r="N285" i="2"/>
  <c r="AC285" i="2"/>
  <c r="L285" i="2"/>
  <c r="J285" i="2"/>
  <c r="H285" i="2"/>
  <c r="AM285" i="2"/>
  <c r="P285" i="2"/>
  <c r="AE285" i="2"/>
  <c r="Z285" i="2"/>
  <c r="E285" i="2"/>
  <c r="AO285" i="2"/>
  <c r="AH285" i="2"/>
  <c r="V285" i="2"/>
  <c r="I285" i="2"/>
  <c r="R285" i="2"/>
  <c r="T285" i="2"/>
  <c r="M285" i="2"/>
  <c r="AA285" i="2"/>
  <c r="AL285" i="2"/>
  <c r="U285" i="2"/>
  <c r="Y285" i="2"/>
  <c r="Q285" i="2"/>
  <c r="D285" i="2"/>
  <c r="C285" i="2"/>
  <c r="O285" i="2"/>
  <c r="AK285" i="2"/>
  <c r="B287" i="2" l="1"/>
  <c r="AI286" i="2"/>
  <c r="O286" i="2"/>
  <c r="L286" i="2"/>
  <c r="P286" i="2"/>
  <c r="AE286" i="2"/>
  <c r="W286" i="2"/>
  <c r="AD286" i="2"/>
  <c r="N286" i="2"/>
  <c r="H286" i="2"/>
  <c r="E286" i="2"/>
  <c r="AG286" i="2"/>
  <c r="Z286" i="2"/>
  <c r="AH286" i="2"/>
  <c r="M286" i="2"/>
  <c r="I286" i="2"/>
  <c r="U286" i="2"/>
  <c r="AJ286" i="2"/>
  <c r="Y286" i="2"/>
  <c r="J286" i="2"/>
  <c r="AC286" i="2"/>
  <c r="AL286" i="2"/>
  <c r="AO286" i="2"/>
  <c r="R286" i="2"/>
  <c r="AB286" i="2"/>
  <c r="AK286" i="2"/>
  <c r="AM286" i="2"/>
  <c r="K286" i="2"/>
  <c r="F286" i="2"/>
  <c r="G286" i="2"/>
  <c r="Q286" i="2"/>
  <c r="AA286" i="2"/>
  <c r="D286" i="2"/>
  <c r="V286" i="2"/>
  <c r="C286" i="2"/>
  <c r="T286" i="2"/>
  <c r="X286" i="2"/>
  <c r="S286" i="2"/>
  <c r="AN286" i="2"/>
  <c r="AF286" i="2"/>
  <c r="B288" i="2" l="1"/>
  <c r="AO287" i="2"/>
  <c r="Q287" i="2"/>
  <c r="AE287" i="2"/>
  <c r="M287" i="2"/>
  <c r="Z287" i="2"/>
  <c r="AC287" i="2"/>
  <c r="O287" i="2"/>
  <c r="R287" i="2"/>
  <c r="AG287" i="2"/>
  <c r="P287" i="2"/>
  <c r="AN287" i="2"/>
  <c r="AM287" i="2"/>
  <c r="E287" i="2"/>
  <c r="K287" i="2"/>
  <c r="N287" i="2"/>
  <c r="J287" i="2"/>
  <c r="U287" i="2"/>
  <c r="AL287" i="2"/>
  <c r="Y287" i="2"/>
  <c r="D287" i="2"/>
  <c r="X287" i="2"/>
  <c r="T287" i="2"/>
  <c r="AF287" i="2"/>
  <c r="AK287" i="2"/>
  <c r="AI287" i="2"/>
  <c r="AB287" i="2"/>
  <c r="AD287" i="2"/>
  <c r="F287" i="2"/>
  <c r="AJ287" i="2"/>
  <c r="C287" i="2"/>
  <c r="L287" i="2"/>
  <c r="AA287" i="2"/>
  <c r="AH287" i="2"/>
  <c r="G287" i="2"/>
  <c r="V287" i="2"/>
  <c r="W287" i="2"/>
  <c r="I287" i="2"/>
  <c r="H287" i="2"/>
  <c r="S287" i="2"/>
  <c r="B289" i="2" l="1"/>
  <c r="AC288" i="2"/>
  <c r="X288" i="2"/>
  <c r="V288" i="2"/>
  <c r="T288" i="2"/>
  <c r="O288" i="2"/>
  <c r="Z288" i="2"/>
  <c r="AJ288" i="2"/>
  <c r="AL288" i="2"/>
  <c r="D288" i="2"/>
  <c r="Y288" i="2"/>
  <c r="L288" i="2"/>
  <c r="AO288" i="2"/>
  <c r="R288" i="2"/>
  <c r="I288" i="2"/>
  <c r="AI288" i="2"/>
  <c r="F288" i="2"/>
  <c r="AA288" i="2"/>
  <c r="AH288" i="2"/>
  <c r="U288" i="2"/>
  <c r="AK288" i="2"/>
  <c r="AN288" i="2"/>
  <c r="K288" i="2"/>
  <c r="C288" i="2"/>
  <c r="S288" i="2"/>
  <c r="N288" i="2"/>
  <c r="H288" i="2"/>
  <c r="AD288" i="2"/>
  <c r="AG288" i="2"/>
  <c r="AB288" i="2"/>
  <c r="W288" i="2"/>
  <c r="M288" i="2"/>
  <c r="AM288" i="2"/>
  <c r="AE288" i="2"/>
  <c r="G288" i="2"/>
  <c r="AF288" i="2"/>
  <c r="J288" i="2"/>
  <c r="E288" i="2"/>
  <c r="Q288" i="2"/>
  <c r="P288" i="2"/>
  <c r="B290" i="2" l="1"/>
  <c r="AK289" i="2"/>
  <c r="V289" i="2"/>
  <c r="AG289" i="2"/>
  <c r="R289" i="2"/>
  <c r="C289" i="2"/>
  <c r="P289" i="2"/>
  <c r="H289" i="2"/>
  <c r="AN289" i="2"/>
  <c r="Q289" i="2"/>
  <c r="X289" i="2"/>
  <c r="AO289" i="2"/>
  <c r="AL289" i="2"/>
  <c r="AF289" i="2"/>
  <c r="S289" i="2"/>
  <c r="O289" i="2"/>
  <c r="L289" i="2"/>
  <c r="D289" i="2"/>
  <c r="AC289" i="2"/>
  <c r="I289" i="2"/>
  <c r="AD289" i="2"/>
  <c r="AB289" i="2"/>
  <c r="W289" i="2"/>
  <c r="F289" i="2"/>
  <c r="N289" i="2"/>
  <c r="AM289" i="2"/>
  <c r="Y289" i="2"/>
  <c r="K289" i="2"/>
  <c r="AH289" i="2"/>
  <c r="AA289" i="2"/>
  <c r="J289" i="2"/>
  <c r="G289" i="2"/>
  <c r="AJ289" i="2"/>
  <c r="Z289" i="2"/>
  <c r="AE289" i="2"/>
  <c r="AI289" i="2"/>
  <c r="M289" i="2"/>
  <c r="E289" i="2"/>
  <c r="U289" i="2"/>
  <c r="T289" i="2"/>
  <c r="B291" i="2" l="1"/>
  <c r="AN290" i="2"/>
  <c r="L290" i="2"/>
  <c r="S290" i="2"/>
  <c r="F290" i="2"/>
  <c r="AE290" i="2"/>
  <c r="Z290" i="2"/>
  <c r="AO290" i="2"/>
  <c r="J290" i="2"/>
  <c r="AH290" i="2"/>
  <c r="Q290" i="2"/>
  <c r="W290" i="2"/>
  <c r="D290" i="2"/>
  <c r="I290" i="2"/>
  <c r="V290" i="2"/>
  <c r="AJ290" i="2"/>
  <c r="AK290" i="2"/>
  <c r="C290" i="2"/>
  <c r="AD290" i="2"/>
  <c r="T290" i="2"/>
  <c r="X290" i="2"/>
  <c r="AI290" i="2"/>
  <c r="H290" i="2"/>
  <c r="N290" i="2"/>
  <c r="AC290" i="2"/>
  <c r="K290" i="2"/>
  <c r="AA290" i="2"/>
  <c r="AM290" i="2"/>
  <c r="G290" i="2"/>
  <c r="R290" i="2"/>
  <c r="AL290" i="2"/>
  <c r="P290" i="2"/>
  <c r="U290" i="2"/>
  <c r="AB290" i="2"/>
  <c r="E290" i="2"/>
  <c r="AG290" i="2"/>
  <c r="M290" i="2"/>
  <c r="AF290" i="2"/>
  <c r="O290" i="2"/>
  <c r="Y290" i="2"/>
  <c r="B292" i="2" l="1"/>
  <c r="D291" i="2"/>
  <c r="V291" i="2"/>
  <c r="P291" i="2"/>
  <c r="R291" i="2"/>
  <c r="AL291" i="2"/>
  <c r="AO291" i="2"/>
  <c r="J291" i="2"/>
  <c r="O291" i="2"/>
  <c r="C291" i="2"/>
  <c r="U291" i="2"/>
  <c r="G291" i="2"/>
  <c r="AM291" i="2"/>
  <c r="Y291" i="2"/>
  <c r="L291" i="2"/>
  <c r="AH291" i="2"/>
  <c r="AA291" i="2"/>
  <c r="AF291" i="2"/>
  <c r="N291" i="2"/>
  <c r="I291" i="2"/>
  <c r="AI291" i="2"/>
  <c r="AG291" i="2"/>
  <c r="M291" i="2"/>
  <c r="W291" i="2"/>
  <c r="H291" i="2"/>
  <c r="E291" i="2"/>
  <c r="S291" i="2"/>
  <c r="AD291" i="2"/>
  <c r="AC291" i="2"/>
  <c r="T291" i="2"/>
  <c r="Q291" i="2"/>
  <c r="AJ291" i="2"/>
  <c r="K291" i="2"/>
  <c r="AN291" i="2"/>
  <c r="AE291" i="2"/>
  <c r="X291" i="2"/>
  <c r="AB291" i="2"/>
  <c r="AK291" i="2"/>
  <c r="F291" i="2"/>
  <c r="Z291" i="2"/>
  <c r="B293" i="2" l="1"/>
  <c r="AL292" i="2"/>
  <c r="V292" i="2"/>
  <c r="AH292" i="2"/>
  <c r="Y292" i="2"/>
  <c r="I292" i="2"/>
  <c r="AD292" i="2"/>
  <c r="AB292" i="2"/>
  <c r="X292" i="2"/>
  <c r="K292" i="2"/>
  <c r="AK292" i="2"/>
  <c r="Z292" i="2"/>
  <c r="N292" i="2"/>
  <c r="L292" i="2"/>
  <c r="AF292" i="2"/>
  <c r="AN292" i="2"/>
  <c r="S292" i="2"/>
  <c r="AI292" i="2"/>
  <c r="J292" i="2"/>
  <c r="R292" i="2"/>
  <c r="M292" i="2"/>
  <c r="O292" i="2"/>
  <c r="AO292" i="2"/>
  <c r="D292" i="2"/>
  <c r="E292" i="2"/>
  <c r="C292" i="2"/>
  <c r="Q292" i="2"/>
  <c r="G292" i="2"/>
  <c r="H292" i="2"/>
  <c r="U292" i="2"/>
  <c r="P292" i="2"/>
  <c r="T292" i="2"/>
  <c r="F292" i="2"/>
  <c r="AE292" i="2"/>
  <c r="AC292" i="2"/>
  <c r="W292" i="2"/>
  <c r="AM292" i="2"/>
  <c r="AG292" i="2"/>
  <c r="AA292" i="2"/>
  <c r="AJ292" i="2"/>
  <c r="B294" i="2" l="1"/>
  <c r="U293" i="2"/>
  <c r="AC293" i="2"/>
  <c r="C293" i="2"/>
  <c r="AL293" i="2"/>
  <c r="L293" i="2"/>
  <c r="AO293" i="2"/>
  <c r="AD293" i="2"/>
  <c r="AE293" i="2"/>
  <c r="Q293" i="2"/>
  <c r="X293" i="2"/>
  <c r="D293" i="2"/>
  <c r="G293" i="2"/>
  <c r="N293" i="2"/>
  <c r="AF293" i="2"/>
  <c r="V293" i="2"/>
  <c r="AB293" i="2"/>
  <c r="AN293" i="2"/>
  <c r="Z293" i="2"/>
  <c r="M293" i="2"/>
  <c r="AI293" i="2"/>
  <c r="AM293" i="2"/>
  <c r="AK293" i="2"/>
  <c r="Y293" i="2"/>
  <c r="AG293" i="2"/>
  <c r="F293" i="2"/>
  <c r="W293" i="2"/>
  <c r="J293" i="2"/>
  <c r="K293" i="2"/>
  <c r="O293" i="2"/>
  <c r="AJ293" i="2"/>
  <c r="R293" i="2"/>
  <c r="AH293" i="2"/>
  <c r="S293" i="2"/>
  <c r="T293" i="2"/>
  <c r="I293" i="2"/>
  <c r="P293" i="2"/>
  <c r="H293" i="2"/>
  <c r="E293" i="2"/>
  <c r="AA293" i="2"/>
  <c r="B295" i="2" l="1"/>
  <c r="AA294" i="2"/>
  <c r="M294" i="2"/>
  <c r="AO294" i="2"/>
  <c r="Q294" i="2"/>
  <c r="F294" i="2"/>
  <c r="T294" i="2"/>
  <c r="AM294" i="2"/>
  <c r="D294" i="2"/>
  <c r="V294" i="2"/>
  <c r="AF294" i="2"/>
  <c r="AG294" i="2"/>
  <c r="Y294" i="2"/>
  <c r="AD294" i="2"/>
  <c r="S294" i="2"/>
  <c r="AN294" i="2"/>
  <c r="W294" i="2"/>
  <c r="AJ294" i="2"/>
  <c r="C294" i="2"/>
  <c r="E294" i="2"/>
  <c r="H294" i="2"/>
  <c r="O294" i="2"/>
  <c r="Z294" i="2"/>
  <c r="I294" i="2"/>
  <c r="L294" i="2"/>
  <c r="N294" i="2"/>
  <c r="K294" i="2"/>
  <c r="AK294" i="2"/>
  <c r="AH294" i="2"/>
  <c r="AE294" i="2"/>
  <c r="AC294" i="2"/>
  <c r="U294" i="2"/>
  <c r="J294" i="2"/>
  <c r="X294" i="2"/>
  <c r="AB294" i="2"/>
  <c r="R294" i="2"/>
  <c r="AL294" i="2"/>
  <c r="P294" i="2"/>
  <c r="G294" i="2"/>
  <c r="AI294" i="2"/>
  <c r="B296" i="2" l="1"/>
  <c r="C295" i="2"/>
  <c r="AJ295" i="2"/>
  <c r="AF295" i="2"/>
  <c r="N295" i="2"/>
  <c r="K295" i="2"/>
  <c r="I295" i="2"/>
  <c r="H295" i="2"/>
  <c r="U295" i="2"/>
  <c r="Z295" i="2"/>
  <c r="R295" i="2"/>
  <c r="AN295" i="2"/>
  <c r="W295" i="2"/>
  <c r="AA295" i="2"/>
  <c r="M295" i="2"/>
  <c r="P295" i="2"/>
  <c r="AL295" i="2"/>
  <c r="AD295" i="2"/>
  <c r="F295" i="2"/>
  <c r="AK295" i="2"/>
  <c r="AG295" i="2"/>
  <c r="AO295" i="2"/>
  <c r="AI295" i="2"/>
  <c r="Q295" i="2"/>
  <c r="O295" i="2"/>
  <c r="L295" i="2"/>
  <c r="AB295" i="2"/>
  <c r="Y295" i="2"/>
  <c r="AC295" i="2"/>
  <c r="AH295" i="2"/>
  <c r="E295" i="2"/>
  <c r="X295" i="2"/>
  <c r="S295" i="2"/>
  <c r="G295" i="2"/>
  <c r="D295" i="2"/>
  <c r="AE295" i="2"/>
  <c r="T295" i="2"/>
  <c r="V295" i="2"/>
  <c r="AM295" i="2"/>
  <c r="J295" i="2"/>
  <c r="B297" i="2" l="1"/>
  <c r="AF296" i="2"/>
  <c r="Z296" i="2"/>
  <c r="K296" i="2"/>
  <c r="AG296" i="2"/>
  <c r="AK296" i="2"/>
  <c r="M296" i="2"/>
  <c r="J296" i="2"/>
  <c r="AB296" i="2"/>
  <c r="P296" i="2"/>
  <c r="AD296" i="2"/>
  <c r="V296" i="2"/>
  <c r="AH296" i="2"/>
  <c r="U296" i="2"/>
  <c r="Q296" i="2"/>
  <c r="H296" i="2"/>
  <c r="F296" i="2"/>
  <c r="AI296" i="2"/>
  <c r="AM296" i="2"/>
  <c r="G296" i="2"/>
  <c r="L296" i="2"/>
  <c r="I296" i="2"/>
  <c r="AO296" i="2"/>
  <c r="N296" i="2"/>
  <c r="AL296" i="2"/>
  <c r="D296" i="2"/>
  <c r="AE296" i="2"/>
  <c r="AA296" i="2"/>
  <c r="S296" i="2"/>
  <c r="Y296" i="2"/>
  <c r="AC296" i="2"/>
  <c r="C296" i="2"/>
  <c r="AJ296" i="2"/>
  <c r="X296" i="2"/>
  <c r="W296" i="2"/>
  <c r="O296" i="2"/>
  <c r="T296" i="2"/>
  <c r="E296" i="2"/>
  <c r="R296" i="2"/>
  <c r="AN296" i="2"/>
  <c r="B298" i="2" l="1"/>
  <c r="E297" i="2"/>
  <c r="P297" i="2"/>
  <c r="M297" i="2"/>
  <c r="V297" i="2"/>
  <c r="AK297" i="2"/>
  <c r="H297" i="2"/>
  <c r="K297" i="2"/>
  <c r="O297" i="2"/>
  <c r="AF297" i="2"/>
  <c r="N297" i="2"/>
  <c r="G297" i="2"/>
  <c r="Z297" i="2"/>
  <c r="C297" i="2"/>
  <c r="AA297" i="2"/>
  <c r="AJ297" i="2"/>
  <c r="AB297" i="2"/>
  <c r="D297" i="2"/>
  <c r="AO297" i="2"/>
  <c r="U297" i="2"/>
  <c r="J297" i="2"/>
  <c r="R297" i="2"/>
  <c r="AI297" i="2"/>
  <c r="AG297" i="2"/>
  <c r="AE297" i="2"/>
  <c r="Y297" i="2"/>
  <c r="T297" i="2"/>
  <c r="AM297" i="2"/>
  <c r="AD297" i="2"/>
  <c r="AC297" i="2"/>
  <c r="AN297" i="2"/>
  <c r="AL297" i="2"/>
  <c r="I297" i="2"/>
  <c r="F297" i="2"/>
  <c r="AH297" i="2"/>
  <c r="S297" i="2"/>
  <c r="L297" i="2"/>
  <c r="W297" i="2"/>
  <c r="X297" i="2"/>
  <c r="Q297" i="2"/>
  <c r="B299" i="2" l="1"/>
  <c r="K298" i="2"/>
  <c r="N298" i="2"/>
  <c r="L298" i="2"/>
  <c r="C298" i="2"/>
  <c r="X298" i="2"/>
  <c r="AC298" i="2"/>
  <c r="W298" i="2"/>
  <c r="S298" i="2"/>
  <c r="M298" i="2"/>
  <c r="O298" i="2"/>
  <c r="AA298" i="2"/>
  <c r="AG298" i="2"/>
  <c r="AE298" i="2"/>
  <c r="Y298" i="2"/>
  <c r="AJ298" i="2"/>
  <c r="R298" i="2"/>
  <c r="E298" i="2"/>
  <c r="AL298" i="2"/>
  <c r="AB298" i="2"/>
  <c r="I298" i="2"/>
  <c r="H298" i="2"/>
  <c r="F298" i="2"/>
  <c r="V298" i="2"/>
  <c r="T298" i="2"/>
  <c r="P298" i="2"/>
  <c r="AI298" i="2"/>
  <c r="AH298" i="2"/>
  <c r="G298" i="2"/>
  <c r="AM298" i="2"/>
  <c r="AO298" i="2"/>
  <c r="J298" i="2"/>
  <c r="AN298" i="2"/>
  <c r="Q298" i="2"/>
  <c r="U298" i="2"/>
  <c r="AD298" i="2"/>
  <c r="D298" i="2"/>
  <c r="Z298" i="2"/>
  <c r="AK298" i="2"/>
  <c r="AF298" i="2"/>
  <c r="B300" i="2" l="1"/>
  <c r="AD299" i="2"/>
  <c r="E299" i="2"/>
  <c r="AG299" i="2"/>
  <c r="AA299" i="2"/>
  <c r="J299" i="2"/>
  <c r="W299" i="2"/>
  <c r="M299" i="2"/>
  <c r="L299" i="2"/>
  <c r="AN299" i="2"/>
  <c r="R299" i="2"/>
  <c r="Q299" i="2"/>
  <c r="N299" i="2"/>
  <c r="P299" i="2"/>
  <c r="Z299" i="2"/>
  <c r="D299" i="2"/>
  <c r="O299" i="2"/>
  <c r="F299" i="2"/>
  <c r="AE299" i="2"/>
  <c r="G299" i="2"/>
  <c r="AB299" i="2"/>
  <c r="T299" i="2"/>
  <c r="AH299" i="2"/>
  <c r="AF299" i="2"/>
  <c r="AL299" i="2"/>
  <c r="AO299" i="2"/>
  <c r="AI299" i="2"/>
  <c r="AC299" i="2"/>
  <c r="H299" i="2"/>
  <c r="AJ299" i="2"/>
  <c r="S299" i="2"/>
  <c r="Y299" i="2"/>
  <c r="X299" i="2"/>
  <c r="V299" i="2"/>
  <c r="C299" i="2"/>
  <c r="AM299" i="2"/>
  <c r="U299" i="2"/>
  <c r="K299" i="2"/>
  <c r="I299" i="2"/>
  <c r="AK299" i="2"/>
  <c r="B301" i="2" l="1"/>
  <c r="E300" i="2"/>
  <c r="AO300" i="2"/>
  <c r="AB300" i="2"/>
  <c r="AI300" i="2"/>
  <c r="Y300" i="2"/>
  <c r="T300" i="2"/>
  <c r="F300" i="2"/>
  <c r="Q300" i="2"/>
  <c r="Z300" i="2"/>
  <c r="S300" i="2"/>
  <c r="AL300" i="2"/>
  <c r="G300" i="2"/>
  <c r="L300" i="2"/>
  <c r="N300" i="2"/>
  <c r="U300" i="2"/>
  <c r="AH300" i="2"/>
  <c r="AE300" i="2"/>
  <c r="AJ300" i="2"/>
  <c r="H300" i="2"/>
  <c r="AC300" i="2"/>
  <c r="AN300" i="2"/>
  <c r="AF300" i="2"/>
  <c r="X300" i="2"/>
  <c r="M300" i="2"/>
  <c r="W300" i="2"/>
  <c r="V300" i="2"/>
  <c r="C300" i="2"/>
  <c r="I300" i="2"/>
  <c r="R300" i="2"/>
  <c r="AA300" i="2"/>
  <c r="AM300" i="2"/>
  <c r="P300" i="2"/>
  <c r="K300" i="2"/>
  <c r="AD300" i="2"/>
  <c r="J300" i="2"/>
  <c r="AG300" i="2"/>
  <c r="AK300" i="2"/>
  <c r="O300" i="2"/>
  <c r="D300" i="2"/>
  <c r="B302" i="2" l="1"/>
  <c r="T301" i="2"/>
  <c r="AB301" i="2"/>
  <c r="AO301" i="2"/>
  <c r="AE301" i="2"/>
  <c r="I301" i="2"/>
  <c r="AH301" i="2"/>
  <c r="W301" i="2"/>
  <c r="AJ301" i="2"/>
  <c r="U301" i="2"/>
  <c r="C301" i="2"/>
  <c r="AK301" i="2"/>
  <c r="Z301" i="2"/>
  <c r="AN301" i="2"/>
  <c r="AL301" i="2"/>
  <c r="AC301" i="2"/>
  <c r="AA301" i="2"/>
  <c r="H301" i="2"/>
  <c r="Y301" i="2"/>
  <c r="S301" i="2"/>
  <c r="E301" i="2"/>
  <c r="G301" i="2"/>
  <c r="J301" i="2"/>
  <c r="N301" i="2"/>
  <c r="AD301" i="2"/>
  <c r="P301" i="2"/>
  <c r="O301" i="2"/>
  <c r="R301" i="2"/>
  <c r="AG301" i="2"/>
  <c r="Q301" i="2"/>
  <c r="L301" i="2"/>
  <c r="AM301" i="2"/>
  <c r="AF301" i="2"/>
  <c r="V301" i="2"/>
  <c r="D301" i="2"/>
  <c r="F301" i="2"/>
  <c r="M301" i="2"/>
  <c r="AI301" i="2"/>
  <c r="K301" i="2"/>
  <c r="X301" i="2"/>
  <c r="B303" i="2" l="1"/>
  <c r="AH302" i="2"/>
  <c r="R302" i="2"/>
  <c r="AL302" i="2"/>
  <c r="W302" i="2"/>
  <c r="T302" i="2"/>
  <c r="AA302" i="2"/>
  <c r="J302" i="2"/>
  <c r="AC302" i="2"/>
  <c r="AO302" i="2"/>
  <c r="AB302" i="2"/>
  <c r="AK302" i="2"/>
  <c r="M302" i="2"/>
  <c r="Q302" i="2"/>
  <c r="I302" i="2"/>
  <c r="K302" i="2"/>
  <c r="O302" i="2"/>
  <c r="E302" i="2"/>
  <c r="AM302" i="2"/>
  <c r="AE302" i="2"/>
  <c r="F302" i="2"/>
  <c r="X302" i="2"/>
  <c r="C302" i="2"/>
  <c r="AJ302" i="2"/>
  <c r="AN302" i="2"/>
  <c r="AF302" i="2"/>
  <c r="AG302" i="2"/>
  <c r="N302" i="2"/>
  <c r="H302" i="2"/>
  <c r="Z302" i="2"/>
  <c r="V302" i="2"/>
  <c r="U302" i="2"/>
  <c r="D302" i="2"/>
  <c r="AD302" i="2"/>
  <c r="P302" i="2"/>
  <c r="L302" i="2"/>
  <c r="S302" i="2"/>
  <c r="G302" i="2"/>
  <c r="Y302" i="2"/>
  <c r="AI302" i="2"/>
  <c r="B304" i="2" l="1"/>
  <c r="D303" i="2"/>
  <c r="V303" i="2"/>
  <c r="AM303" i="2"/>
  <c r="L303" i="2"/>
  <c r="Z303" i="2"/>
  <c r="AF303" i="2"/>
  <c r="Q303" i="2"/>
  <c r="J303" i="2"/>
  <c r="AB303" i="2"/>
  <c r="G303" i="2"/>
  <c r="AO303" i="2"/>
  <c r="E303" i="2"/>
  <c r="N303" i="2"/>
  <c r="AG303" i="2"/>
  <c r="AL303" i="2"/>
  <c r="AD303" i="2"/>
  <c r="X303" i="2"/>
  <c r="U303" i="2"/>
  <c r="F303" i="2"/>
  <c r="K303" i="2"/>
  <c r="AH303" i="2"/>
  <c r="AE303" i="2"/>
  <c r="M303" i="2"/>
  <c r="S303" i="2"/>
  <c r="AN303" i="2"/>
  <c r="AJ303" i="2"/>
  <c r="W303" i="2"/>
  <c r="O303" i="2"/>
  <c r="AK303" i="2"/>
  <c r="AA303" i="2"/>
  <c r="P303" i="2"/>
  <c r="T303" i="2"/>
  <c r="H303" i="2"/>
  <c r="Y303" i="2"/>
  <c r="AI303" i="2"/>
  <c r="AC303" i="2"/>
  <c r="C303" i="2"/>
  <c r="R303" i="2"/>
  <c r="I303" i="2"/>
  <c r="B305" i="2" l="1"/>
  <c r="K304" i="2"/>
  <c r="P304" i="2"/>
  <c r="AH304" i="2"/>
  <c r="AJ304" i="2"/>
  <c r="AK304" i="2"/>
  <c r="J304" i="2"/>
  <c r="AG304" i="2"/>
  <c r="AC304" i="2"/>
  <c r="D304" i="2"/>
  <c r="O304" i="2"/>
  <c r="F304" i="2"/>
  <c r="AM304" i="2"/>
  <c r="W304" i="2"/>
  <c r="X304" i="2"/>
  <c r="R304" i="2"/>
  <c r="S304" i="2"/>
  <c r="C304" i="2"/>
  <c r="I304" i="2"/>
  <c r="V304" i="2"/>
  <c r="H304" i="2"/>
  <c r="M304" i="2"/>
  <c r="AL304" i="2"/>
  <c r="L304" i="2"/>
  <c r="T304" i="2"/>
  <c r="Q304" i="2"/>
  <c r="E304" i="2"/>
  <c r="G304" i="2"/>
  <c r="N304" i="2"/>
  <c r="Y304" i="2"/>
  <c r="AN304" i="2"/>
  <c r="U304" i="2"/>
  <c r="AI304" i="2"/>
  <c r="AB304" i="2"/>
  <c r="AE304" i="2"/>
  <c r="AO304" i="2"/>
  <c r="AD304" i="2"/>
  <c r="AA304" i="2"/>
  <c r="AF304" i="2"/>
  <c r="Z304" i="2"/>
  <c r="B306" i="2" l="1"/>
  <c r="O305" i="2"/>
  <c r="X305" i="2"/>
  <c r="AK305" i="2"/>
  <c r="R305" i="2"/>
  <c r="L305" i="2"/>
  <c r="D305" i="2"/>
  <c r="AO305" i="2"/>
  <c r="AF305" i="2"/>
  <c r="E305" i="2"/>
  <c r="AH305" i="2"/>
  <c r="K305" i="2"/>
  <c r="U305" i="2"/>
  <c r="AI305" i="2"/>
  <c r="AC305" i="2"/>
  <c r="Y305" i="2"/>
  <c r="T305" i="2"/>
  <c r="AD305" i="2"/>
  <c r="M305" i="2"/>
  <c r="W305" i="2"/>
  <c r="AB305" i="2"/>
  <c r="AA305" i="2"/>
  <c r="J305" i="2"/>
  <c r="Q305" i="2"/>
  <c r="H305" i="2"/>
  <c r="AL305" i="2"/>
  <c r="G305" i="2"/>
  <c r="C305" i="2"/>
  <c r="P305" i="2"/>
  <c r="N305" i="2"/>
  <c r="S305" i="2"/>
  <c r="I305" i="2"/>
  <c r="V305" i="2"/>
  <c r="Z305" i="2"/>
  <c r="AN305" i="2"/>
  <c r="AJ305" i="2"/>
  <c r="F305" i="2"/>
  <c r="AM305" i="2"/>
  <c r="AE305" i="2"/>
  <c r="AG305" i="2"/>
  <c r="B307" i="2" l="1"/>
  <c r="Q306" i="2"/>
  <c r="Z306" i="2"/>
  <c r="U306" i="2"/>
  <c r="AM306" i="2"/>
  <c r="AC306" i="2"/>
  <c r="AD306" i="2"/>
  <c r="T306" i="2"/>
  <c r="P306" i="2"/>
  <c r="AO306" i="2"/>
  <c r="G306" i="2"/>
  <c r="AE306" i="2"/>
  <c r="AF306" i="2"/>
  <c r="K306" i="2"/>
  <c r="AN306" i="2"/>
  <c r="AK306" i="2"/>
  <c r="F306" i="2"/>
  <c r="N306" i="2"/>
  <c r="J306" i="2"/>
  <c r="H306" i="2"/>
  <c r="S306" i="2"/>
  <c r="AH306" i="2"/>
  <c r="X306" i="2"/>
  <c r="AJ306" i="2"/>
  <c r="E306" i="2"/>
  <c r="V306" i="2"/>
  <c r="O306" i="2"/>
  <c r="D306" i="2"/>
  <c r="L306" i="2"/>
  <c r="AB306" i="2"/>
  <c r="AA306" i="2"/>
  <c r="AL306" i="2"/>
  <c r="AI306" i="2"/>
  <c r="AG306" i="2"/>
  <c r="I306" i="2"/>
  <c r="W306" i="2"/>
  <c r="R306" i="2"/>
  <c r="M306" i="2"/>
  <c r="Y306" i="2"/>
  <c r="C306" i="2"/>
  <c r="B308" i="2" l="1"/>
  <c r="U307" i="2"/>
  <c r="K307" i="2"/>
  <c r="C307" i="2"/>
  <c r="F307" i="2"/>
  <c r="O307" i="2"/>
  <c r="L307" i="2"/>
  <c r="H307" i="2"/>
  <c r="D307" i="2"/>
  <c r="X307" i="2"/>
  <c r="Z307" i="2"/>
  <c r="W307" i="2"/>
  <c r="AJ307" i="2"/>
  <c r="Y307" i="2"/>
  <c r="AA307" i="2"/>
  <c r="Q307" i="2"/>
  <c r="AK307" i="2"/>
  <c r="N307" i="2"/>
  <c r="AL307" i="2"/>
  <c r="I307" i="2"/>
  <c r="AB307" i="2"/>
  <c r="S307" i="2"/>
  <c r="AC307" i="2"/>
  <c r="P307" i="2"/>
  <c r="AN307" i="2"/>
  <c r="E307" i="2"/>
  <c r="J307" i="2"/>
  <c r="V307" i="2"/>
  <c r="AO307" i="2"/>
  <c r="AE307" i="2"/>
  <c r="M307" i="2"/>
  <c r="AI307" i="2"/>
  <c r="T307" i="2"/>
  <c r="AM307" i="2"/>
  <c r="AG307" i="2"/>
  <c r="R307" i="2"/>
  <c r="AH307" i="2"/>
  <c r="AF307" i="2"/>
  <c r="G307" i="2"/>
  <c r="AD307" i="2"/>
  <c r="B309" i="2" l="1"/>
  <c r="D308" i="2"/>
  <c r="Z308" i="2"/>
  <c r="AI308" i="2"/>
  <c r="F308" i="2"/>
  <c r="G308" i="2"/>
  <c r="X308" i="2"/>
  <c r="U308" i="2"/>
  <c r="J308" i="2"/>
  <c r="V308" i="2"/>
  <c r="AE308" i="2"/>
  <c r="AC308" i="2"/>
  <c r="Q308" i="2"/>
  <c r="T308" i="2"/>
  <c r="AD308" i="2"/>
  <c r="AM308" i="2"/>
  <c r="S308" i="2"/>
  <c r="AO308" i="2"/>
  <c r="AK308" i="2"/>
  <c r="K308" i="2"/>
  <c r="AN308" i="2"/>
  <c r="AL308" i="2"/>
  <c r="L308" i="2"/>
  <c r="AH308" i="2"/>
  <c r="Y308" i="2"/>
  <c r="O308" i="2"/>
  <c r="R308" i="2"/>
  <c r="AJ308" i="2"/>
  <c r="AF308" i="2"/>
  <c r="AB308" i="2"/>
  <c r="C308" i="2"/>
  <c r="E308" i="2"/>
  <c r="N308" i="2"/>
  <c r="I308" i="2"/>
  <c r="W308" i="2"/>
  <c r="M308" i="2"/>
  <c r="H308" i="2"/>
  <c r="AG308" i="2"/>
  <c r="P308" i="2"/>
  <c r="AA308" i="2"/>
  <c r="B310" i="2" l="1"/>
  <c r="O309" i="2"/>
  <c r="G309" i="2"/>
  <c r="AK309" i="2"/>
  <c r="W309" i="2"/>
  <c r="I309" i="2"/>
  <c r="AO309" i="2"/>
  <c r="AC309" i="2"/>
  <c r="AF309" i="2"/>
  <c r="V309" i="2"/>
  <c r="T309" i="2"/>
  <c r="AH309" i="2"/>
  <c r="AI309" i="2"/>
  <c r="AE309" i="2"/>
  <c r="H309" i="2"/>
  <c r="AL309" i="2"/>
  <c r="AB309" i="2"/>
  <c r="D309" i="2"/>
  <c r="U309" i="2"/>
  <c r="Y309" i="2"/>
  <c r="X309" i="2"/>
  <c r="AM309" i="2"/>
  <c r="K309" i="2"/>
  <c r="J309" i="2"/>
  <c r="AG309" i="2"/>
  <c r="AJ309" i="2"/>
  <c r="R309" i="2"/>
  <c r="L309" i="2"/>
  <c r="S309" i="2"/>
  <c r="P309" i="2"/>
  <c r="M309" i="2"/>
  <c r="Z309" i="2"/>
  <c r="AD309" i="2"/>
  <c r="N309" i="2"/>
  <c r="F309" i="2"/>
  <c r="E309" i="2"/>
  <c r="AN309" i="2"/>
  <c r="AA309" i="2"/>
  <c r="C309" i="2"/>
  <c r="Q309" i="2"/>
  <c r="B311" i="2" l="1"/>
  <c r="I310" i="2"/>
  <c r="AN310" i="2"/>
  <c r="Z310" i="2"/>
  <c r="X310" i="2"/>
  <c r="T310" i="2"/>
  <c r="E310" i="2"/>
  <c r="K310" i="2"/>
  <c r="Y310" i="2"/>
  <c r="G310" i="2"/>
  <c r="C310" i="2"/>
  <c r="AG310" i="2"/>
  <c r="M310" i="2"/>
  <c r="U310" i="2"/>
  <c r="AO310" i="2"/>
  <c r="V310" i="2"/>
  <c r="O310" i="2"/>
  <c r="W310" i="2"/>
  <c r="S310" i="2"/>
  <c r="D310" i="2"/>
  <c r="AH310" i="2"/>
  <c r="AA310" i="2"/>
  <c r="AD310" i="2"/>
  <c r="AL310" i="2"/>
  <c r="AB310" i="2"/>
  <c r="AJ310" i="2"/>
  <c r="R310" i="2"/>
  <c r="J310" i="2"/>
  <c r="AM310" i="2"/>
  <c r="AE310" i="2"/>
  <c r="P310" i="2"/>
  <c r="L310" i="2"/>
  <c r="AK310" i="2"/>
  <c r="H310" i="2"/>
  <c r="F310" i="2"/>
  <c r="AI310" i="2"/>
  <c r="N310" i="2"/>
  <c r="Q310" i="2"/>
  <c r="AC310" i="2"/>
  <c r="AF310" i="2"/>
  <c r="B312" i="2" l="1"/>
  <c r="H311" i="2"/>
  <c r="C311" i="2"/>
  <c r="I311" i="2"/>
  <c r="O311" i="2"/>
  <c r="V311" i="2"/>
  <c r="K311" i="2"/>
  <c r="S311" i="2"/>
  <c r="Y311" i="2"/>
  <c r="Q311" i="2"/>
  <c r="AO311" i="2"/>
  <c r="AE311" i="2"/>
  <c r="J311" i="2"/>
  <c r="R311" i="2"/>
  <c r="T311" i="2"/>
  <c r="AH311" i="2"/>
  <c r="AG311" i="2"/>
  <c r="AK311" i="2"/>
  <c r="AA311" i="2"/>
  <c r="G311" i="2"/>
  <c r="AC311" i="2"/>
  <c r="AL311" i="2"/>
  <c r="AM311" i="2"/>
  <c r="AD311" i="2"/>
  <c r="AN311" i="2"/>
  <c r="W311" i="2"/>
  <c r="D311" i="2"/>
  <c r="U311" i="2"/>
  <c r="AB311" i="2"/>
  <c r="E311" i="2"/>
  <c r="N311" i="2"/>
  <c r="AJ311" i="2"/>
  <c r="P311" i="2"/>
  <c r="X311" i="2"/>
  <c r="AF311" i="2"/>
  <c r="F311" i="2"/>
  <c r="Z311" i="2"/>
  <c r="L311" i="2"/>
  <c r="AI311" i="2"/>
  <c r="M311" i="2"/>
  <c r="B313" i="2" l="1"/>
  <c r="J312" i="2"/>
  <c r="D312" i="2"/>
  <c r="M312" i="2"/>
  <c r="C312" i="2"/>
  <c r="Q312" i="2"/>
  <c r="X312" i="2"/>
  <c r="AA312" i="2"/>
  <c r="T312" i="2"/>
  <c r="P312" i="2"/>
  <c r="W312" i="2"/>
  <c r="F312" i="2"/>
  <c r="AJ312" i="2"/>
  <c r="AG312" i="2"/>
  <c r="AF312" i="2"/>
  <c r="AE312" i="2"/>
  <c r="AH312" i="2"/>
  <c r="H312" i="2"/>
  <c r="Z312" i="2"/>
  <c r="AL312" i="2"/>
  <c r="V312" i="2"/>
  <c r="R312" i="2"/>
  <c r="U312" i="2"/>
  <c r="O312" i="2"/>
  <c r="Y312" i="2"/>
  <c r="AC312" i="2"/>
  <c r="G312" i="2"/>
  <c r="L312" i="2"/>
  <c r="AD312" i="2"/>
  <c r="E312" i="2"/>
  <c r="N312" i="2"/>
  <c r="S312" i="2"/>
  <c r="AB312" i="2"/>
  <c r="K312" i="2"/>
  <c r="I312" i="2"/>
  <c r="AN312" i="2"/>
  <c r="AK312" i="2"/>
  <c r="AO312" i="2"/>
  <c r="AI312" i="2"/>
  <c r="AM312" i="2"/>
  <c r="B314" i="2" l="1"/>
  <c r="AN313" i="2"/>
  <c r="AH313" i="2"/>
  <c r="U313" i="2"/>
  <c r="H313" i="2"/>
  <c r="K313" i="2"/>
  <c r="AE313" i="2"/>
  <c r="O313" i="2"/>
  <c r="AL313" i="2"/>
  <c r="J313" i="2"/>
  <c r="C313" i="2"/>
  <c r="AK313" i="2"/>
  <c r="I313" i="2"/>
  <c r="X313" i="2"/>
  <c r="AC313" i="2"/>
  <c r="L313" i="2"/>
  <c r="T313" i="2"/>
  <c r="G313" i="2"/>
  <c r="N313" i="2"/>
  <c r="Z313" i="2"/>
  <c r="V313" i="2"/>
  <c r="AA313" i="2"/>
  <c r="E313" i="2"/>
  <c r="S313" i="2"/>
  <c r="AB313" i="2"/>
  <c r="AO313" i="2"/>
  <c r="D313" i="2"/>
  <c r="R313" i="2"/>
  <c r="M313" i="2"/>
  <c r="Q313" i="2"/>
  <c r="Y313" i="2"/>
  <c r="AM313" i="2"/>
  <c r="W313" i="2"/>
  <c r="P313" i="2"/>
  <c r="AD313" i="2"/>
  <c r="AJ313" i="2"/>
  <c r="AF313" i="2"/>
  <c r="AG313" i="2"/>
  <c r="F313" i="2"/>
  <c r="AI313" i="2"/>
  <c r="B315" i="2" l="1"/>
  <c r="L314" i="2"/>
  <c r="M314" i="2"/>
  <c r="H314" i="2"/>
  <c r="U314" i="2"/>
  <c r="I314" i="2"/>
  <c r="AM314" i="2"/>
  <c r="AB314" i="2"/>
  <c r="AE314" i="2"/>
  <c r="Z314" i="2"/>
  <c r="R314" i="2"/>
  <c r="AD314" i="2"/>
  <c r="K314" i="2"/>
  <c r="G314" i="2"/>
  <c r="AH314" i="2"/>
  <c r="Y314" i="2"/>
  <c r="P314" i="2"/>
  <c r="AG314" i="2"/>
  <c r="W314" i="2"/>
  <c r="N314" i="2"/>
  <c r="AK314" i="2"/>
  <c r="AI314" i="2"/>
  <c r="O314" i="2"/>
  <c r="AJ314" i="2"/>
  <c r="T314" i="2"/>
  <c r="AN314" i="2"/>
  <c r="AO314" i="2"/>
  <c r="E314" i="2"/>
  <c r="AA314" i="2"/>
  <c r="J314" i="2"/>
  <c r="X314" i="2"/>
  <c r="AC314" i="2"/>
  <c r="F314" i="2"/>
  <c r="AL314" i="2"/>
  <c r="AF314" i="2"/>
  <c r="Q314" i="2"/>
  <c r="S314" i="2"/>
  <c r="D314" i="2"/>
  <c r="C314" i="2"/>
  <c r="V314" i="2"/>
  <c r="B316" i="2" l="1"/>
  <c r="M315" i="2"/>
  <c r="AL315" i="2"/>
  <c r="L315" i="2"/>
  <c r="O315" i="2"/>
  <c r="AK315" i="2"/>
  <c r="D315" i="2"/>
  <c r="I315" i="2"/>
  <c r="AE315" i="2"/>
  <c r="N315" i="2"/>
  <c r="G315" i="2"/>
  <c r="Q315" i="2"/>
  <c r="C315" i="2"/>
  <c r="F315" i="2"/>
  <c r="P315" i="2"/>
  <c r="X315" i="2"/>
  <c r="E315" i="2"/>
  <c r="J315" i="2"/>
  <c r="AO315" i="2"/>
  <c r="V315" i="2"/>
  <c r="U315" i="2"/>
  <c r="AG315" i="2"/>
  <c r="AN315" i="2"/>
  <c r="R315" i="2"/>
  <c r="AC315" i="2"/>
  <c r="H315" i="2"/>
  <c r="W315" i="2"/>
  <c r="Y315" i="2"/>
  <c r="AF315" i="2"/>
  <c r="AM315" i="2"/>
  <c r="AI315" i="2"/>
  <c r="AH315" i="2"/>
  <c r="T315" i="2"/>
  <c r="AA315" i="2"/>
  <c r="S315" i="2"/>
  <c r="AJ315" i="2"/>
  <c r="AD315" i="2"/>
  <c r="AB315" i="2"/>
  <c r="Z315" i="2"/>
  <c r="K315" i="2"/>
  <c r="B317" i="2" l="1"/>
  <c r="U316" i="2"/>
  <c r="AH316" i="2"/>
  <c r="E316" i="2"/>
  <c r="C316" i="2"/>
  <c r="AD316" i="2"/>
  <c r="O316" i="2"/>
  <c r="F316" i="2"/>
  <c r="H316" i="2"/>
  <c r="J316" i="2"/>
  <c r="AO316" i="2"/>
  <c r="I316" i="2"/>
  <c r="AK316" i="2"/>
  <c r="AG316" i="2"/>
  <c r="AI316" i="2"/>
  <c r="AA316" i="2"/>
  <c r="AE316" i="2"/>
  <c r="AN316" i="2"/>
  <c r="Y316" i="2"/>
  <c r="AJ316" i="2"/>
  <c r="K316" i="2"/>
  <c r="AB316" i="2"/>
  <c r="AF316" i="2"/>
  <c r="S316" i="2"/>
  <c r="AC316" i="2"/>
  <c r="X316" i="2"/>
  <c r="L316" i="2"/>
  <c r="R316" i="2"/>
  <c r="D316" i="2"/>
  <c r="G316" i="2"/>
  <c r="P316" i="2"/>
  <c r="T316" i="2"/>
  <c r="Z316" i="2"/>
  <c r="V316" i="2"/>
  <c r="AL316" i="2"/>
  <c r="AM316" i="2"/>
  <c r="Q316" i="2"/>
  <c r="N316" i="2"/>
  <c r="M316" i="2"/>
  <c r="W316" i="2"/>
  <c r="B318" i="2" l="1"/>
  <c r="L317" i="2"/>
  <c r="I317" i="2"/>
  <c r="X317" i="2"/>
  <c r="AC317" i="2"/>
  <c r="K317" i="2"/>
  <c r="AM317" i="2"/>
  <c r="F317" i="2"/>
  <c r="O317" i="2"/>
  <c r="H317" i="2"/>
  <c r="P317" i="2"/>
  <c r="Z317" i="2"/>
  <c r="E317" i="2"/>
  <c r="Q317" i="2"/>
  <c r="U317" i="2"/>
  <c r="AD317" i="2"/>
  <c r="AA317" i="2"/>
  <c r="T317" i="2"/>
  <c r="R317" i="2"/>
  <c r="AG317" i="2"/>
  <c r="N317" i="2"/>
  <c r="W317" i="2"/>
  <c r="AL317" i="2"/>
  <c r="AH317" i="2"/>
  <c r="J317" i="2"/>
  <c r="AF317" i="2"/>
  <c r="AB317" i="2"/>
  <c r="Y317" i="2"/>
  <c r="AE317" i="2"/>
  <c r="D317" i="2"/>
  <c r="AJ317" i="2"/>
  <c r="AI317" i="2"/>
  <c r="C317" i="2"/>
  <c r="M317" i="2"/>
  <c r="AO317" i="2"/>
  <c r="AN317" i="2"/>
  <c r="G317" i="2"/>
  <c r="V317" i="2"/>
  <c r="S317" i="2"/>
  <c r="AK317" i="2"/>
  <c r="B319" i="2" l="1"/>
  <c r="K318" i="2"/>
  <c r="V318" i="2"/>
  <c r="G318" i="2"/>
  <c r="R318" i="2"/>
  <c r="I318" i="2"/>
  <c r="T318" i="2"/>
  <c r="AH318" i="2"/>
  <c r="H318" i="2"/>
  <c r="Z318" i="2"/>
  <c r="O318" i="2"/>
  <c r="AL318" i="2"/>
  <c r="W318" i="2"/>
  <c r="L318" i="2"/>
  <c r="AO318" i="2"/>
  <c r="AG318" i="2"/>
  <c r="AD318" i="2"/>
  <c r="AN318" i="2"/>
  <c r="C318" i="2"/>
  <c r="AB318" i="2"/>
  <c r="S318" i="2"/>
  <c r="N318" i="2"/>
  <c r="AA318" i="2"/>
  <c r="AM318" i="2"/>
  <c r="AJ318" i="2"/>
  <c r="AK318" i="2"/>
  <c r="U318" i="2"/>
  <c r="X318" i="2"/>
  <c r="AE318" i="2"/>
  <c r="F318" i="2"/>
  <c r="AI318" i="2"/>
  <c r="E318" i="2"/>
  <c r="AC318" i="2"/>
  <c r="AF318" i="2"/>
  <c r="P318" i="2"/>
  <c r="Y318" i="2"/>
  <c r="Q318" i="2"/>
  <c r="M318" i="2"/>
  <c r="J318" i="2"/>
  <c r="D318" i="2"/>
  <c r="B320" i="2" l="1"/>
  <c r="J319" i="2"/>
  <c r="R319" i="2"/>
  <c r="Q319" i="2"/>
  <c r="O319" i="2"/>
  <c r="AL319" i="2"/>
  <c r="S319" i="2"/>
  <c r="AN319" i="2"/>
  <c r="AM319" i="2"/>
  <c r="AJ319" i="2"/>
  <c r="W319" i="2"/>
  <c r="AI319" i="2"/>
  <c r="N319" i="2"/>
  <c r="AO319" i="2"/>
  <c r="P319" i="2"/>
  <c r="AD319" i="2"/>
  <c r="T319" i="2"/>
  <c r="AG319" i="2"/>
  <c r="AB319" i="2"/>
  <c r="V319" i="2"/>
  <c r="AE319" i="2"/>
  <c r="AF319" i="2"/>
  <c r="G319" i="2"/>
  <c r="U319" i="2"/>
  <c r="I319" i="2"/>
  <c r="AH319" i="2"/>
  <c r="C319" i="2"/>
  <c r="Z319" i="2"/>
  <c r="M319" i="2"/>
  <c r="L319" i="2"/>
  <c r="AC319" i="2"/>
  <c r="X319" i="2"/>
  <c r="Y319" i="2"/>
  <c r="H319" i="2"/>
  <c r="AA319" i="2"/>
  <c r="K319" i="2"/>
  <c r="AK319" i="2"/>
  <c r="D319" i="2"/>
  <c r="F319" i="2"/>
  <c r="E319" i="2"/>
  <c r="B321" i="2" l="1"/>
  <c r="K320" i="2"/>
  <c r="Z320" i="2"/>
  <c r="AJ320" i="2"/>
  <c r="AB320" i="2"/>
  <c r="E320" i="2"/>
  <c r="L320" i="2"/>
  <c r="H320" i="2"/>
  <c r="AN320" i="2"/>
  <c r="M320" i="2"/>
  <c r="Y320" i="2"/>
  <c r="AO320" i="2"/>
  <c r="R320" i="2"/>
  <c r="AM320" i="2"/>
  <c r="N320" i="2"/>
  <c r="V320" i="2"/>
  <c r="I320" i="2"/>
  <c r="C320" i="2"/>
  <c r="D320" i="2"/>
  <c r="W320" i="2"/>
  <c r="AK320" i="2"/>
  <c r="AD320" i="2"/>
  <c r="AF320" i="2"/>
  <c r="Q320" i="2"/>
  <c r="AL320" i="2"/>
  <c r="P320" i="2"/>
  <c r="AG320" i="2"/>
  <c r="AI320" i="2"/>
  <c r="U320" i="2"/>
  <c r="G320" i="2"/>
  <c r="AC320" i="2"/>
  <c r="AH320" i="2"/>
  <c r="F320" i="2"/>
  <c r="AA320" i="2"/>
  <c r="S320" i="2"/>
  <c r="T320" i="2"/>
  <c r="O320" i="2"/>
  <c r="X320" i="2"/>
  <c r="J320" i="2"/>
  <c r="AE320" i="2"/>
  <c r="B322" i="2" l="1"/>
  <c r="L321" i="2"/>
  <c r="S321" i="2"/>
  <c r="AI321" i="2"/>
  <c r="V321" i="2"/>
  <c r="AG321" i="2"/>
  <c r="P321" i="2"/>
  <c r="H321" i="2"/>
  <c r="AM321" i="2"/>
  <c r="AK321" i="2"/>
  <c r="Q321" i="2"/>
  <c r="M321" i="2"/>
  <c r="AJ321" i="2"/>
  <c r="I321" i="2"/>
  <c r="Y321" i="2"/>
  <c r="C321" i="2"/>
  <c r="W321" i="2"/>
  <c r="E321" i="2"/>
  <c r="N321" i="2"/>
  <c r="AA321" i="2"/>
  <c r="AB321" i="2"/>
  <c r="R321" i="2"/>
  <c r="K321" i="2"/>
  <c r="T321" i="2"/>
  <c r="AF321" i="2"/>
  <c r="AD321" i="2"/>
  <c r="AE321" i="2"/>
  <c r="U321" i="2"/>
  <c r="Z321" i="2"/>
  <c r="AH321" i="2"/>
  <c r="J321" i="2"/>
  <c r="D321" i="2"/>
  <c r="F321" i="2"/>
  <c r="O321" i="2"/>
  <c r="AN321" i="2"/>
  <c r="AL321" i="2"/>
  <c r="AO321" i="2"/>
  <c r="X321" i="2"/>
  <c r="AC321" i="2"/>
  <c r="G321" i="2"/>
  <c r="B323" i="2" l="1"/>
  <c r="K322" i="2"/>
  <c r="AM322" i="2"/>
  <c r="I322" i="2"/>
  <c r="AH322" i="2"/>
  <c r="F322" i="2"/>
  <c r="C322" i="2"/>
  <c r="V322" i="2"/>
  <c r="L322" i="2"/>
  <c r="U322" i="2"/>
  <c r="AA322" i="2"/>
  <c r="AB322" i="2"/>
  <c r="AI322" i="2"/>
  <c r="D322" i="2"/>
  <c r="R322" i="2"/>
  <c r="AE322" i="2"/>
  <c r="N322" i="2"/>
  <c r="Y322" i="2"/>
  <c r="P322" i="2"/>
  <c r="AL322" i="2"/>
  <c r="E322" i="2"/>
  <c r="AN322" i="2"/>
  <c r="AG322" i="2"/>
  <c r="X322" i="2"/>
  <c r="Z322" i="2"/>
  <c r="J322" i="2"/>
  <c r="T322" i="2"/>
  <c r="AK322" i="2"/>
  <c r="S322" i="2"/>
  <c r="W322" i="2"/>
  <c r="AF322" i="2"/>
  <c r="Q322" i="2"/>
  <c r="AD322" i="2"/>
  <c r="H322" i="2"/>
  <c r="AJ322" i="2"/>
  <c r="G322" i="2"/>
  <c r="AO322" i="2"/>
  <c r="M322" i="2"/>
  <c r="O322" i="2"/>
  <c r="AC322" i="2"/>
  <c r="B324" i="2" l="1"/>
  <c r="Y323" i="2"/>
  <c r="V323" i="2"/>
  <c r="AB323" i="2"/>
  <c r="Q323" i="2"/>
  <c r="W323" i="2"/>
  <c r="AE323" i="2"/>
  <c r="D323" i="2"/>
  <c r="AD323" i="2"/>
  <c r="AA323" i="2"/>
  <c r="AN323" i="2"/>
  <c r="AI323" i="2"/>
  <c r="AC323" i="2"/>
  <c r="S323" i="2"/>
  <c r="AL323" i="2"/>
  <c r="N323" i="2"/>
  <c r="AJ323" i="2"/>
  <c r="U323" i="2"/>
  <c r="E323" i="2"/>
  <c r="Z323" i="2"/>
  <c r="J323" i="2"/>
  <c r="AM323" i="2"/>
  <c r="R323" i="2"/>
  <c r="X323" i="2"/>
  <c r="L323" i="2"/>
  <c r="H323" i="2"/>
  <c r="G323" i="2"/>
  <c r="K323" i="2"/>
  <c r="P323" i="2"/>
  <c r="AO323" i="2"/>
  <c r="T323" i="2"/>
  <c r="M323" i="2"/>
  <c r="C323" i="2"/>
  <c r="O323" i="2"/>
  <c r="AK323" i="2"/>
  <c r="F323" i="2"/>
  <c r="AG323" i="2"/>
  <c r="AF323" i="2"/>
  <c r="AH323" i="2"/>
  <c r="I323" i="2"/>
  <c r="B325" i="2" l="1"/>
  <c r="Z324" i="2"/>
  <c r="U324" i="2"/>
  <c r="AM324" i="2"/>
  <c r="V324" i="2"/>
  <c r="E324" i="2"/>
  <c r="AN324" i="2"/>
  <c r="AL324" i="2"/>
  <c r="AG324" i="2"/>
  <c r="AF324" i="2"/>
  <c r="D324" i="2"/>
  <c r="L324" i="2"/>
  <c r="AO324" i="2"/>
  <c r="AK324" i="2"/>
  <c r="AJ324" i="2"/>
  <c r="I324" i="2"/>
  <c r="R324" i="2"/>
  <c r="AD324" i="2"/>
  <c r="AC324" i="2"/>
  <c r="AA324" i="2"/>
  <c r="AE324" i="2"/>
  <c r="M324" i="2"/>
  <c r="H324" i="2"/>
  <c r="T324" i="2"/>
  <c r="Y324" i="2"/>
  <c r="Q324" i="2"/>
  <c r="P324" i="2"/>
  <c r="X324" i="2"/>
  <c r="J324" i="2"/>
  <c r="AH324" i="2"/>
  <c r="O324" i="2"/>
  <c r="AB324" i="2"/>
  <c r="AI324" i="2"/>
  <c r="C324" i="2"/>
  <c r="F324" i="2"/>
  <c r="G324" i="2"/>
  <c r="N324" i="2"/>
  <c r="S324" i="2"/>
  <c r="K324" i="2"/>
  <c r="W324" i="2"/>
  <c r="B326" i="2" l="1"/>
  <c r="F325" i="2"/>
  <c r="R325" i="2"/>
  <c r="Z325" i="2"/>
  <c r="AB325" i="2"/>
  <c r="AD325" i="2"/>
  <c r="AM325" i="2"/>
  <c r="AC325" i="2"/>
  <c r="AO325" i="2"/>
  <c r="E325" i="2"/>
  <c r="AI325" i="2"/>
  <c r="AA325" i="2"/>
  <c r="AN325" i="2"/>
  <c r="T325" i="2"/>
  <c r="AG325" i="2"/>
  <c r="S325" i="2"/>
  <c r="Q325" i="2"/>
  <c r="L325" i="2"/>
  <c r="O325" i="2"/>
  <c r="AH325" i="2"/>
  <c r="W325" i="2"/>
  <c r="K325" i="2"/>
  <c r="C325" i="2"/>
  <c r="X325" i="2"/>
  <c r="G325" i="2"/>
  <c r="Y325" i="2"/>
  <c r="J325" i="2"/>
  <c r="D325" i="2"/>
  <c r="V325" i="2"/>
  <c r="P325" i="2"/>
  <c r="N325" i="2"/>
  <c r="H325" i="2"/>
  <c r="U325" i="2"/>
  <c r="M325" i="2"/>
  <c r="AE325" i="2"/>
  <c r="AL325" i="2"/>
  <c r="AK325" i="2"/>
  <c r="I325" i="2"/>
  <c r="AF325" i="2"/>
  <c r="AJ325" i="2"/>
  <c r="B327" i="2" l="1"/>
  <c r="AB326" i="2"/>
  <c r="Q326" i="2"/>
  <c r="AG326" i="2"/>
  <c r="AM326" i="2"/>
  <c r="E326" i="2"/>
  <c r="J326" i="2"/>
  <c r="AL326" i="2"/>
  <c r="G326" i="2"/>
  <c r="F326" i="2"/>
  <c r="AN326" i="2"/>
  <c r="AK326" i="2"/>
  <c r="AO326" i="2"/>
  <c r="AI326" i="2"/>
  <c r="AD326" i="2"/>
  <c r="M326" i="2"/>
  <c r="AF326" i="2"/>
  <c r="O326" i="2"/>
  <c r="Z326" i="2"/>
  <c r="U326" i="2"/>
  <c r="H326" i="2"/>
  <c r="D326" i="2"/>
  <c r="X326" i="2"/>
  <c r="S326" i="2"/>
  <c r="C326" i="2"/>
  <c r="I326" i="2"/>
  <c r="T326" i="2"/>
  <c r="AC326" i="2"/>
  <c r="AA326" i="2"/>
  <c r="AE326" i="2"/>
  <c r="Y326" i="2"/>
  <c r="L326" i="2"/>
  <c r="V326" i="2"/>
  <c r="R326" i="2"/>
  <c r="P326" i="2"/>
  <c r="K326" i="2"/>
  <c r="AH326" i="2"/>
  <c r="AJ326" i="2"/>
  <c r="W326" i="2"/>
  <c r="N326" i="2"/>
  <c r="B328" i="2" l="1"/>
  <c r="AK327" i="2"/>
  <c r="V327" i="2"/>
  <c r="I327" i="2"/>
  <c r="H327" i="2"/>
  <c r="AA327" i="2"/>
  <c r="AN327" i="2"/>
  <c r="L327" i="2"/>
  <c r="AI327" i="2"/>
  <c r="AH327" i="2"/>
  <c r="U327" i="2"/>
  <c r="W327" i="2"/>
  <c r="R327" i="2"/>
  <c r="D327" i="2"/>
  <c r="AM327" i="2"/>
  <c r="J327" i="2"/>
  <c r="Q327" i="2"/>
  <c r="AD327" i="2"/>
  <c r="AB327" i="2"/>
  <c r="E327" i="2"/>
  <c r="X327" i="2"/>
  <c r="AG327" i="2"/>
  <c r="P327" i="2"/>
  <c r="AJ327" i="2"/>
  <c r="T327" i="2"/>
  <c r="C327" i="2"/>
  <c r="G327" i="2"/>
  <c r="F327" i="2"/>
  <c r="N327" i="2"/>
  <c r="AC327" i="2"/>
  <c r="AO327" i="2"/>
  <c r="AE327" i="2"/>
  <c r="O327" i="2"/>
  <c r="AL327" i="2"/>
  <c r="Z327" i="2"/>
  <c r="M327" i="2"/>
  <c r="S327" i="2"/>
  <c r="AF327" i="2"/>
  <c r="Y327" i="2"/>
  <c r="K327" i="2"/>
  <c r="B329" i="2" l="1"/>
  <c r="H328" i="2"/>
  <c r="Z328" i="2"/>
  <c r="AO328" i="2"/>
  <c r="K328" i="2"/>
  <c r="D328" i="2"/>
  <c r="AN328" i="2"/>
  <c r="G328" i="2"/>
  <c r="AK328" i="2"/>
  <c r="AJ328" i="2"/>
  <c r="AD328" i="2"/>
  <c r="P328" i="2"/>
  <c r="C328" i="2"/>
  <c r="L328" i="2"/>
  <c r="AC328" i="2"/>
  <c r="AE328" i="2"/>
  <c r="Q328" i="2"/>
  <c r="AI328" i="2"/>
  <c r="W328" i="2"/>
  <c r="AA328" i="2"/>
  <c r="AB328" i="2"/>
  <c r="AM328" i="2"/>
  <c r="AH328" i="2"/>
  <c r="U328" i="2"/>
  <c r="N328" i="2"/>
  <c r="J328" i="2"/>
  <c r="AF328" i="2"/>
  <c r="X328" i="2"/>
  <c r="O328" i="2"/>
  <c r="E328" i="2"/>
  <c r="I328" i="2"/>
  <c r="Y328" i="2"/>
  <c r="V328" i="2"/>
  <c r="AG328" i="2"/>
  <c r="F328" i="2"/>
  <c r="R328" i="2"/>
  <c r="S328" i="2"/>
  <c r="M328" i="2"/>
  <c r="T328" i="2"/>
  <c r="AL328" i="2"/>
  <c r="B330" i="2" l="1"/>
  <c r="X329" i="2"/>
  <c r="AJ329" i="2"/>
  <c r="F329" i="2"/>
  <c r="AD329" i="2"/>
  <c r="Q329" i="2"/>
  <c r="E329" i="2"/>
  <c r="T329" i="2"/>
  <c r="AH329" i="2"/>
  <c r="AF329" i="2"/>
  <c r="H329" i="2"/>
  <c r="AG329" i="2"/>
  <c r="AK329" i="2"/>
  <c r="AA329" i="2"/>
  <c r="V329" i="2"/>
  <c r="AI329" i="2"/>
  <c r="I329" i="2"/>
  <c r="AE329" i="2"/>
  <c r="M329" i="2"/>
  <c r="AN329" i="2"/>
  <c r="S329" i="2"/>
  <c r="AB329" i="2"/>
  <c r="C329" i="2"/>
  <c r="U329" i="2"/>
  <c r="Z329" i="2"/>
  <c r="G329" i="2"/>
  <c r="O329" i="2"/>
  <c r="P329" i="2"/>
  <c r="Y329" i="2"/>
  <c r="W329" i="2"/>
  <c r="L329" i="2"/>
  <c r="AO329" i="2"/>
  <c r="R329" i="2"/>
  <c r="AM329" i="2"/>
  <c r="J329" i="2"/>
  <c r="AL329" i="2"/>
  <c r="N329" i="2"/>
  <c r="K329" i="2"/>
  <c r="D329" i="2"/>
  <c r="AC329" i="2"/>
  <c r="B331" i="2" l="1"/>
  <c r="AA330" i="2"/>
  <c r="E330" i="2"/>
  <c r="AF330" i="2"/>
  <c r="AC330" i="2"/>
  <c r="Q330" i="2"/>
  <c r="R330" i="2"/>
  <c r="H330" i="2"/>
  <c r="U330" i="2"/>
  <c r="F330" i="2"/>
  <c r="K330" i="2"/>
  <c r="AO330" i="2"/>
  <c r="AM330" i="2"/>
  <c r="T330" i="2"/>
  <c r="AI330" i="2"/>
  <c r="J330" i="2"/>
  <c r="V330" i="2"/>
  <c r="Y330" i="2"/>
  <c r="C330" i="2"/>
  <c r="G330" i="2"/>
  <c r="P330" i="2"/>
  <c r="L330" i="2"/>
  <c r="W330" i="2"/>
  <c r="N330" i="2"/>
  <c r="AH330" i="2"/>
  <c r="M330" i="2"/>
  <c r="AL330" i="2"/>
  <c r="S330" i="2"/>
  <c r="I330" i="2"/>
  <c r="AN330" i="2"/>
  <c r="D330" i="2"/>
  <c r="AK330" i="2"/>
  <c r="AG330" i="2"/>
  <c r="O330" i="2"/>
  <c r="AD330" i="2"/>
  <c r="AE330" i="2"/>
  <c r="X330" i="2"/>
  <c r="Z330" i="2"/>
  <c r="AJ330" i="2"/>
  <c r="AB330" i="2"/>
  <c r="B332" i="2" l="1"/>
  <c r="E331" i="2"/>
  <c r="Q331" i="2"/>
  <c r="AD331" i="2"/>
  <c r="AM331" i="2"/>
  <c r="G331" i="2"/>
  <c r="H331" i="2"/>
  <c r="T331" i="2"/>
  <c r="W331" i="2"/>
  <c r="V331" i="2"/>
  <c r="AH331" i="2"/>
  <c r="AE331" i="2"/>
  <c r="S331" i="2"/>
  <c r="Y331" i="2"/>
  <c r="AJ331" i="2"/>
  <c r="F331" i="2"/>
  <c r="AG331" i="2"/>
  <c r="U331" i="2"/>
  <c r="X331" i="2"/>
  <c r="O331" i="2"/>
  <c r="Z331" i="2"/>
  <c r="R331" i="2"/>
  <c r="AK331" i="2"/>
  <c r="AB331" i="2"/>
  <c r="M331" i="2"/>
  <c r="P331" i="2"/>
  <c r="C331" i="2"/>
  <c r="AC331" i="2"/>
  <c r="N331" i="2"/>
  <c r="AN331" i="2"/>
  <c r="AO331" i="2"/>
  <c r="L331" i="2"/>
  <c r="K331" i="2"/>
  <c r="AI331" i="2"/>
  <c r="AL331" i="2"/>
  <c r="D331" i="2"/>
  <c r="J331" i="2"/>
  <c r="I331" i="2"/>
  <c r="AF331" i="2"/>
  <c r="AA331" i="2"/>
  <c r="B333" i="2" l="1"/>
  <c r="J332" i="2"/>
  <c r="L332" i="2"/>
  <c r="AB332" i="2"/>
  <c r="V332" i="2"/>
  <c r="AK332" i="2"/>
  <c r="AO332" i="2"/>
  <c r="F332" i="2"/>
  <c r="P332" i="2"/>
  <c r="AN332" i="2"/>
  <c r="K332" i="2"/>
  <c r="H332" i="2"/>
  <c r="O332" i="2"/>
  <c r="Y332" i="2"/>
  <c r="C332" i="2"/>
  <c r="G332" i="2"/>
  <c r="S332" i="2"/>
  <c r="AF332" i="2"/>
  <c r="AD332" i="2"/>
  <c r="M332" i="2"/>
  <c r="AM332" i="2"/>
  <c r="AA332" i="2"/>
  <c r="AC332" i="2"/>
  <c r="N332" i="2"/>
  <c r="AL332" i="2"/>
  <c r="T332" i="2"/>
  <c r="Z332" i="2"/>
  <c r="I332" i="2"/>
  <c r="AH332" i="2"/>
  <c r="AE332" i="2"/>
  <c r="Q332" i="2"/>
  <c r="W332" i="2"/>
  <c r="E332" i="2"/>
  <c r="U332" i="2"/>
  <c r="R332" i="2"/>
  <c r="AJ332" i="2"/>
  <c r="X332" i="2"/>
  <c r="AG332" i="2"/>
  <c r="D332" i="2"/>
  <c r="AI332" i="2"/>
  <c r="B334" i="2" l="1"/>
  <c r="V333" i="2"/>
  <c r="AE333" i="2"/>
  <c r="Q333" i="2"/>
  <c r="S333" i="2"/>
  <c r="O333" i="2"/>
  <c r="G333" i="2"/>
  <c r="H333" i="2"/>
  <c r="AC333" i="2"/>
  <c r="F333" i="2"/>
  <c r="AA333" i="2"/>
  <c r="AL333" i="2"/>
  <c r="X333" i="2"/>
  <c r="AI333" i="2"/>
  <c r="J333" i="2"/>
  <c r="AD333" i="2"/>
  <c r="Z333" i="2"/>
  <c r="Y333" i="2"/>
  <c r="I333" i="2"/>
  <c r="P333" i="2"/>
  <c r="AO333" i="2"/>
  <c r="U333" i="2"/>
  <c r="N333" i="2"/>
  <c r="L333" i="2"/>
  <c r="K333" i="2"/>
  <c r="AF333" i="2"/>
  <c r="R333" i="2"/>
  <c r="T333" i="2"/>
  <c r="AM333" i="2"/>
  <c r="AN333" i="2"/>
  <c r="AH333" i="2"/>
  <c r="AB333" i="2"/>
  <c r="AK333" i="2"/>
  <c r="W333" i="2"/>
  <c r="AJ333" i="2"/>
  <c r="E333" i="2"/>
  <c r="D333" i="2"/>
  <c r="C333" i="2"/>
  <c r="M333" i="2"/>
  <c r="AG333" i="2"/>
  <c r="B335" i="2" l="1"/>
  <c r="O334" i="2"/>
  <c r="N334" i="2"/>
  <c r="K334" i="2"/>
  <c r="AF334" i="2"/>
  <c r="AG334" i="2"/>
  <c r="AJ334" i="2"/>
  <c r="J334" i="2"/>
  <c r="C334" i="2"/>
  <c r="AO334" i="2"/>
  <c r="F334" i="2"/>
  <c r="Z334" i="2"/>
  <c r="X334" i="2"/>
  <c r="AB334" i="2"/>
  <c r="Q334" i="2"/>
  <c r="AC334" i="2"/>
  <c r="T334" i="2"/>
  <c r="AH334" i="2"/>
  <c r="AM334" i="2"/>
  <c r="S334" i="2"/>
  <c r="Y334" i="2"/>
  <c r="AI334" i="2"/>
  <c r="E334" i="2"/>
  <c r="AL334" i="2"/>
  <c r="V334" i="2"/>
  <c r="L334" i="2"/>
  <c r="I334" i="2"/>
  <c r="AA334" i="2"/>
  <c r="AN334" i="2"/>
  <c r="AK334" i="2"/>
  <c r="D334" i="2"/>
  <c r="H334" i="2"/>
  <c r="P334" i="2"/>
  <c r="R334" i="2"/>
  <c r="W334" i="2"/>
  <c r="G334" i="2"/>
  <c r="AD334" i="2"/>
  <c r="M334" i="2"/>
  <c r="U334" i="2"/>
  <c r="AE334" i="2"/>
  <c r="B336" i="2" l="1"/>
  <c r="V335" i="2"/>
  <c r="G335" i="2"/>
  <c r="Q335" i="2"/>
  <c r="M335" i="2"/>
  <c r="R335" i="2"/>
  <c r="Z335" i="2"/>
  <c r="E335" i="2"/>
  <c r="AA335" i="2"/>
  <c r="X335" i="2"/>
  <c r="C335" i="2"/>
  <c r="D335" i="2"/>
  <c r="AH335" i="2"/>
  <c r="AJ335" i="2"/>
  <c r="H335" i="2"/>
  <c r="L335" i="2"/>
  <c r="AE335" i="2"/>
  <c r="AD335" i="2"/>
  <c r="J335" i="2"/>
  <c r="I335" i="2"/>
  <c r="W335" i="2"/>
  <c r="AN335" i="2"/>
  <c r="AB335" i="2"/>
  <c r="AK335" i="2"/>
  <c r="AC335" i="2"/>
  <c r="P335" i="2"/>
  <c r="AO335" i="2"/>
  <c r="AF335" i="2"/>
  <c r="AL335" i="2"/>
  <c r="T335" i="2"/>
  <c r="AI335" i="2"/>
  <c r="K335" i="2"/>
  <c r="O335" i="2"/>
  <c r="U335" i="2"/>
  <c r="AM335" i="2"/>
  <c r="F335" i="2"/>
  <c r="S335" i="2"/>
  <c r="Y335" i="2"/>
  <c r="AG335" i="2"/>
  <c r="N335" i="2"/>
  <c r="B337" i="2" l="1"/>
  <c r="T336" i="2"/>
  <c r="AJ336" i="2"/>
  <c r="N336" i="2"/>
  <c r="AI336" i="2"/>
  <c r="R336" i="2"/>
  <c r="M336" i="2"/>
  <c r="H336" i="2"/>
  <c r="C336" i="2"/>
  <c r="G336" i="2"/>
  <c r="J336" i="2"/>
  <c r="O336" i="2"/>
  <c r="AM336" i="2"/>
  <c r="AB336" i="2"/>
  <c r="Z336" i="2"/>
  <c r="X336" i="2"/>
  <c r="V336" i="2"/>
  <c r="AK336" i="2"/>
  <c r="E336" i="2"/>
  <c r="Y336" i="2"/>
  <c r="Q336" i="2"/>
  <c r="AF336" i="2"/>
  <c r="K336" i="2"/>
  <c r="AD336" i="2"/>
  <c r="AG336" i="2"/>
  <c r="W336" i="2"/>
  <c r="D336" i="2"/>
  <c r="AC336" i="2"/>
  <c r="F336" i="2"/>
  <c r="AH336" i="2"/>
  <c r="AA336" i="2"/>
  <c r="AL336" i="2"/>
  <c r="L336" i="2"/>
  <c r="AE336" i="2"/>
  <c r="AN336" i="2"/>
  <c r="AO336" i="2"/>
  <c r="S336" i="2"/>
  <c r="I336" i="2"/>
  <c r="P336" i="2"/>
  <c r="U336" i="2"/>
  <c r="B338" i="2" l="1"/>
  <c r="V337" i="2"/>
  <c r="AE337" i="2"/>
  <c r="K337" i="2"/>
  <c r="AC337" i="2"/>
  <c r="AH337" i="2"/>
  <c r="AL337" i="2"/>
  <c r="N337" i="2"/>
  <c r="M337" i="2"/>
  <c r="AN337" i="2"/>
  <c r="O337" i="2"/>
  <c r="T337" i="2"/>
  <c r="E337" i="2"/>
  <c r="AF337" i="2"/>
  <c r="AG337" i="2"/>
  <c r="W337" i="2"/>
  <c r="C337" i="2"/>
  <c r="Y337" i="2"/>
  <c r="S337" i="2"/>
  <c r="AJ337" i="2"/>
  <c r="AA337" i="2"/>
  <c r="AK337" i="2"/>
  <c r="F337" i="2"/>
  <c r="U337" i="2"/>
  <c r="D337" i="2"/>
  <c r="AB337" i="2"/>
  <c r="AD337" i="2"/>
  <c r="L337" i="2"/>
  <c r="X337" i="2"/>
  <c r="H337" i="2"/>
  <c r="I337" i="2"/>
  <c r="G337" i="2"/>
  <c r="AM337" i="2"/>
  <c r="R337" i="2"/>
  <c r="Q337" i="2"/>
  <c r="AO337" i="2"/>
  <c r="P337" i="2"/>
  <c r="AI337" i="2"/>
  <c r="J337" i="2"/>
  <c r="Z337" i="2"/>
  <c r="B339" i="2" l="1"/>
  <c r="G338" i="2"/>
  <c r="T338" i="2"/>
  <c r="N338" i="2"/>
  <c r="I338" i="2"/>
  <c r="AK338" i="2"/>
  <c r="H338" i="2"/>
  <c r="P338" i="2"/>
  <c r="AE338" i="2"/>
  <c r="AI338" i="2"/>
  <c r="O338" i="2"/>
  <c r="X338" i="2"/>
  <c r="AL338" i="2"/>
  <c r="L338" i="2"/>
  <c r="M338" i="2"/>
  <c r="K338" i="2"/>
  <c r="AO338" i="2"/>
  <c r="W338" i="2"/>
  <c r="AF338" i="2"/>
  <c r="AD338" i="2"/>
  <c r="R338" i="2"/>
  <c r="U338" i="2"/>
  <c r="V338" i="2"/>
  <c r="AN338" i="2"/>
  <c r="AA338" i="2"/>
  <c r="Z338" i="2"/>
  <c r="Q338" i="2"/>
  <c r="F338" i="2"/>
  <c r="AH338" i="2"/>
  <c r="D338" i="2"/>
  <c r="E338" i="2"/>
  <c r="AB338" i="2"/>
  <c r="S338" i="2"/>
  <c r="AJ338" i="2"/>
  <c r="AM338" i="2"/>
  <c r="Y338" i="2"/>
  <c r="AC338" i="2"/>
  <c r="C338" i="2"/>
  <c r="J338" i="2"/>
  <c r="AG338" i="2"/>
  <c r="B340" i="2" l="1"/>
  <c r="L339" i="2"/>
  <c r="R339" i="2"/>
  <c r="AA339" i="2"/>
  <c r="T339" i="2"/>
  <c r="E339" i="2"/>
  <c r="Z339" i="2"/>
  <c r="O339" i="2"/>
  <c r="I339" i="2"/>
  <c r="Q339" i="2"/>
  <c r="AG339" i="2"/>
  <c r="D339" i="2"/>
  <c r="N339" i="2"/>
  <c r="G339" i="2"/>
  <c r="AH339" i="2"/>
  <c r="AJ339" i="2"/>
  <c r="S339" i="2"/>
  <c r="M339" i="2"/>
  <c r="W339" i="2"/>
  <c r="AC339" i="2"/>
  <c r="P339" i="2"/>
  <c r="K339" i="2"/>
  <c r="AN339" i="2"/>
  <c r="U339" i="2"/>
  <c r="AI339" i="2"/>
  <c r="C339" i="2"/>
  <c r="AM339" i="2"/>
  <c r="X339" i="2"/>
  <c r="AD339" i="2"/>
  <c r="AK339" i="2"/>
  <c r="AB339" i="2"/>
  <c r="AO339" i="2"/>
  <c r="J339" i="2"/>
  <c r="H339" i="2"/>
  <c r="F339" i="2"/>
  <c r="AE339" i="2"/>
  <c r="Y339" i="2"/>
  <c r="AL339" i="2"/>
  <c r="V339" i="2"/>
  <c r="AF339" i="2"/>
  <c r="B341" i="2" l="1"/>
  <c r="AK340" i="2"/>
  <c r="L340" i="2"/>
  <c r="AN340" i="2"/>
  <c r="X340" i="2"/>
  <c r="AI340" i="2"/>
  <c r="AE340" i="2"/>
  <c r="V340" i="2"/>
  <c r="Z340" i="2"/>
  <c r="Y340" i="2"/>
  <c r="AM340" i="2"/>
  <c r="E340" i="2"/>
  <c r="J340" i="2"/>
  <c r="P340" i="2"/>
  <c r="N340" i="2"/>
  <c r="H340" i="2"/>
  <c r="AC340" i="2"/>
  <c r="U340" i="2"/>
  <c r="S340" i="2"/>
  <c r="AO340" i="2"/>
  <c r="AA340" i="2"/>
  <c r="AG340" i="2"/>
  <c r="C340" i="2"/>
  <c r="AH340" i="2"/>
  <c r="AD340" i="2"/>
  <c r="G340" i="2"/>
  <c r="Q340" i="2"/>
  <c r="AF340" i="2"/>
  <c r="W340" i="2"/>
  <c r="AL340" i="2"/>
  <c r="R340" i="2"/>
  <c r="AB340" i="2"/>
  <c r="I340" i="2"/>
  <c r="D340" i="2"/>
  <c r="T340" i="2"/>
  <c r="F340" i="2"/>
  <c r="AJ340" i="2"/>
  <c r="K340" i="2"/>
  <c r="O340" i="2"/>
  <c r="M340" i="2"/>
  <c r="B342" i="2" l="1"/>
  <c r="U341" i="2"/>
  <c r="X341" i="2"/>
  <c r="AK341" i="2"/>
  <c r="T341" i="2"/>
  <c r="N341" i="2"/>
  <c r="E341" i="2"/>
  <c r="K341" i="2"/>
  <c r="Z341" i="2"/>
  <c r="AN341" i="2"/>
  <c r="S341" i="2"/>
  <c r="P341" i="2"/>
  <c r="Y341" i="2"/>
  <c r="R341" i="2"/>
  <c r="AL341" i="2"/>
  <c r="AH341" i="2"/>
  <c r="AO341" i="2"/>
  <c r="L341" i="2"/>
  <c r="AE341" i="2"/>
  <c r="W341" i="2"/>
  <c r="J341" i="2"/>
  <c r="AF341" i="2"/>
  <c r="F341" i="2"/>
  <c r="AI341" i="2"/>
  <c r="H341" i="2"/>
  <c r="AJ341" i="2"/>
  <c r="AG341" i="2"/>
  <c r="AD341" i="2"/>
  <c r="O341" i="2"/>
  <c r="G341" i="2"/>
  <c r="AB341" i="2"/>
  <c r="AA341" i="2"/>
  <c r="D341" i="2"/>
  <c r="AC341" i="2"/>
  <c r="V341" i="2"/>
  <c r="I341" i="2"/>
  <c r="AM341" i="2"/>
  <c r="M341" i="2"/>
  <c r="C341" i="2"/>
  <c r="Q341" i="2"/>
  <c r="B343" i="2" l="1"/>
  <c r="V342" i="2"/>
  <c r="Z342" i="2"/>
  <c r="AO342" i="2"/>
  <c r="W342" i="2"/>
  <c r="AC342" i="2"/>
  <c r="E342" i="2"/>
  <c r="N342" i="2"/>
  <c r="AE342" i="2"/>
  <c r="I342" i="2"/>
  <c r="C342" i="2"/>
  <c r="AA342" i="2"/>
  <c r="R342" i="2"/>
  <c r="J342" i="2"/>
  <c r="AH342" i="2"/>
  <c r="P342" i="2"/>
  <c r="M342" i="2"/>
  <c r="AI342" i="2"/>
  <c r="AK342" i="2"/>
  <c r="K342" i="2"/>
  <c r="X342" i="2"/>
  <c r="H342" i="2"/>
  <c r="Q342" i="2"/>
  <c r="AL342" i="2"/>
  <c r="F342" i="2"/>
  <c r="U342" i="2"/>
  <c r="AM342" i="2"/>
  <c r="G342" i="2"/>
  <c r="O342" i="2"/>
  <c r="AN342" i="2"/>
  <c r="S342" i="2"/>
  <c r="T342" i="2"/>
  <c r="AJ342" i="2"/>
  <c r="AG342" i="2"/>
  <c r="AD342" i="2"/>
  <c r="Y342" i="2"/>
  <c r="D342" i="2"/>
  <c r="L342" i="2"/>
  <c r="AB342" i="2"/>
  <c r="AF342" i="2"/>
  <c r="B344" i="2" l="1"/>
  <c r="AD343" i="2"/>
  <c r="AA343" i="2"/>
  <c r="AC343" i="2"/>
  <c r="R343" i="2"/>
  <c r="AL343" i="2"/>
  <c r="AN343" i="2"/>
  <c r="AG343" i="2"/>
  <c r="AB343" i="2"/>
  <c r="P343" i="2"/>
  <c r="M343" i="2"/>
  <c r="K343" i="2"/>
  <c r="H343" i="2"/>
  <c r="Q343" i="2"/>
  <c r="J343" i="2"/>
  <c r="AO343" i="2"/>
  <c r="N343" i="2"/>
  <c r="AK343" i="2"/>
  <c r="T343" i="2"/>
  <c r="AM343" i="2"/>
  <c r="W343" i="2"/>
  <c r="AF343" i="2"/>
  <c r="Z343" i="2"/>
  <c r="U343" i="2"/>
  <c r="O343" i="2"/>
  <c r="I343" i="2"/>
  <c r="AI343" i="2"/>
  <c r="F343" i="2"/>
  <c r="Y343" i="2"/>
  <c r="X343" i="2"/>
  <c r="E343" i="2"/>
  <c r="C343" i="2"/>
  <c r="AE343" i="2"/>
  <c r="D343" i="2"/>
  <c r="AJ343" i="2"/>
  <c r="S343" i="2"/>
  <c r="G343" i="2"/>
  <c r="V343" i="2"/>
  <c r="AH343" i="2"/>
  <c r="L343" i="2"/>
  <c r="B345" i="2" l="1"/>
  <c r="Z344" i="2"/>
  <c r="AO344" i="2"/>
  <c r="P344" i="2"/>
  <c r="R344" i="2"/>
  <c r="T344" i="2"/>
  <c r="AF344" i="2"/>
  <c r="F344" i="2"/>
  <c r="G344" i="2"/>
  <c r="H344" i="2"/>
  <c r="Y344" i="2"/>
  <c r="AD344" i="2"/>
  <c r="AA344" i="2"/>
  <c r="L344" i="2"/>
  <c r="AJ344" i="2"/>
  <c r="S344" i="2"/>
  <c r="AE344" i="2"/>
  <c r="K344" i="2"/>
  <c r="AC344" i="2"/>
  <c r="AN344" i="2"/>
  <c r="AM344" i="2"/>
  <c r="Q344" i="2"/>
  <c r="W344" i="2"/>
  <c r="O344" i="2"/>
  <c r="N344" i="2"/>
  <c r="AK344" i="2"/>
  <c r="J344" i="2"/>
  <c r="AB344" i="2"/>
  <c r="AL344" i="2"/>
  <c r="U344" i="2"/>
  <c r="M344" i="2"/>
  <c r="I344" i="2"/>
  <c r="AH344" i="2"/>
  <c r="X344" i="2"/>
  <c r="AG344" i="2"/>
  <c r="C344" i="2"/>
  <c r="D344" i="2"/>
  <c r="AI344" i="2"/>
  <c r="E344" i="2"/>
  <c r="V344" i="2"/>
  <c r="B346" i="2" l="1"/>
  <c r="C345" i="2"/>
  <c r="T345" i="2"/>
  <c r="H345" i="2"/>
  <c r="AK345" i="2"/>
  <c r="J345" i="2"/>
  <c r="R345" i="2"/>
  <c r="AC345" i="2"/>
  <c r="AF345" i="2"/>
  <c r="U345" i="2"/>
  <c r="AA345" i="2"/>
  <c r="N345" i="2"/>
  <c r="X345" i="2"/>
  <c r="AN345" i="2"/>
  <c r="AD345" i="2"/>
  <c r="D345" i="2"/>
  <c r="E345" i="2"/>
  <c r="AG345" i="2"/>
  <c r="O345" i="2"/>
  <c r="Y345" i="2"/>
  <c r="L345" i="2"/>
  <c r="AM345" i="2"/>
  <c r="AO345" i="2"/>
  <c r="W345" i="2"/>
  <c r="V345" i="2"/>
  <c r="AI345" i="2"/>
  <c r="Z345" i="2"/>
  <c r="G345" i="2"/>
  <c r="AE345" i="2"/>
  <c r="K345" i="2"/>
  <c r="Q345" i="2"/>
  <c r="M345" i="2"/>
  <c r="AB345" i="2"/>
  <c r="S345" i="2"/>
  <c r="AL345" i="2"/>
  <c r="I345" i="2"/>
  <c r="F345" i="2"/>
  <c r="P345" i="2"/>
  <c r="AJ345" i="2"/>
  <c r="AH345" i="2"/>
  <c r="B347" i="2" l="1"/>
  <c r="AC346" i="2"/>
  <c r="R346" i="2"/>
  <c r="G346" i="2"/>
  <c r="K346" i="2"/>
  <c r="AK346" i="2"/>
  <c r="I346" i="2"/>
  <c r="AE346" i="2"/>
  <c r="AI346" i="2"/>
  <c r="Q346" i="2"/>
  <c r="Y346" i="2"/>
  <c r="AA346" i="2"/>
  <c r="J346" i="2"/>
  <c r="AB346" i="2"/>
  <c r="X346" i="2"/>
  <c r="H346" i="2"/>
  <c r="T346" i="2"/>
  <c r="V346" i="2"/>
  <c r="F346" i="2"/>
  <c r="Z346" i="2"/>
  <c r="O346" i="2"/>
  <c r="AF346" i="2"/>
  <c r="C346" i="2"/>
  <c r="AO346" i="2"/>
  <c r="M346" i="2"/>
  <c r="E346" i="2"/>
  <c r="AD346" i="2"/>
  <c r="AM346" i="2"/>
  <c r="U346" i="2"/>
  <c r="AL346" i="2"/>
  <c r="AH346" i="2"/>
  <c r="S346" i="2"/>
  <c r="L346" i="2"/>
  <c r="AJ346" i="2"/>
  <c r="AN346" i="2"/>
  <c r="W346" i="2"/>
  <c r="AG346" i="2"/>
  <c r="P346" i="2"/>
  <c r="D346" i="2"/>
  <c r="N346" i="2"/>
  <c r="B348" i="2" l="1"/>
  <c r="J347" i="2"/>
  <c r="AH347" i="2"/>
  <c r="AE347" i="2"/>
  <c r="M347" i="2"/>
  <c r="N347" i="2"/>
  <c r="T347" i="2"/>
  <c r="AI347" i="2"/>
  <c r="AB347" i="2"/>
  <c r="Z347" i="2"/>
  <c r="E347" i="2"/>
  <c r="G347" i="2"/>
  <c r="D347" i="2"/>
  <c r="W347" i="2"/>
  <c r="AD347" i="2"/>
  <c r="AK347" i="2"/>
  <c r="AG347" i="2"/>
  <c r="AA347" i="2"/>
  <c r="K347" i="2"/>
  <c r="AC347" i="2"/>
  <c r="X347" i="2"/>
  <c r="U347" i="2"/>
  <c r="P347" i="2"/>
  <c r="AO347" i="2"/>
  <c r="Y347" i="2"/>
  <c r="AJ347" i="2"/>
  <c r="V347" i="2"/>
  <c r="Q347" i="2"/>
  <c r="S347" i="2"/>
  <c r="H347" i="2"/>
  <c r="F347" i="2"/>
  <c r="AN347" i="2"/>
  <c r="AL347" i="2"/>
  <c r="AF347" i="2"/>
  <c r="L347" i="2"/>
  <c r="O347" i="2"/>
  <c r="C347" i="2"/>
  <c r="I347" i="2"/>
  <c r="AM347" i="2"/>
  <c r="R347" i="2"/>
  <c r="B349" i="2" l="1"/>
  <c r="AA348" i="2"/>
  <c r="R348" i="2"/>
  <c r="Z348" i="2"/>
  <c r="M348" i="2"/>
  <c r="H348" i="2"/>
  <c r="L348" i="2"/>
  <c r="Q348" i="2"/>
  <c r="P348" i="2"/>
  <c r="U348" i="2"/>
  <c r="AN348" i="2"/>
  <c r="G348" i="2"/>
  <c r="AI348" i="2"/>
  <c r="X348" i="2"/>
  <c r="AM348" i="2"/>
  <c r="V348" i="2"/>
  <c r="AD348" i="2"/>
  <c r="Y348" i="2"/>
  <c r="E348" i="2"/>
  <c r="W348" i="2"/>
  <c r="AF348" i="2"/>
  <c r="O348" i="2"/>
  <c r="I348" i="2"/>
  <c r="AG348" i="2"/>
  <c r="AO348" i="2"/>
  <c r="K348" i="2"/>
  <c r="AJ348" i="2"/>
  <c r="AE348" i="2"/>
  <c r="D348" i="2"/>
  <c r="J348" i="2"/>
  <c r="C348" i="2"/>
  <c r="AH348" i="2"/>
  <c r="S348" i="2"/>
  <c r="AB348" i="2"/>
  <c r="T348" i="2"/>
  <c r="AC348" i="2"/>
  <c r="F348" i="2"/>
  <c r="AK348" i="2"/>
  <c r="N348" i="2"/>
  <c r="AL348" i="2"/>
  <c r="B350" i="2" l="1"/>
  <c r="AE349" i="2"/>
  <c r="AN349" i="2"/>
  <c r="AI349" i="2"/>
  <c r="AL349" i="2"/>
  <c r="M349" i="2"/>
  <c r="F349" i="2"/>
  <c r="AF349" i="2"/>
  <c r="AJ349" i="2"/>
  <c r="AM349" i="2"/>
  <c r="W349" i="2"/>
  <c r="AG349" i="2"/>
  <c r="U349" i="2"/>
  <c r="AC349" i="2"/>
  <c r="I349" i="2"/>
  <c r="T349" i="2"/>
  <c r="L349" i="2"/>
  <c r="AA349" i="2"/>
  <c r="O349" i="2"/>
  <c r="C349" i="2"/>
  <c r="Z349" i="2"/>
  <c r="N349" i="2"/>
  <c r="AD349" i="2"/>
  <c r="P349" i="2"/>
  <c r="R349" i="2"/>
  <c r="H349" i="2"/>
  <c r="X349" i="2"/>
  <c r="AO349" i="2"/>
  <c r="AH349" i="2"/>
  <c r="G349" i="2"/>
  <c r="V349" i="2"/>
  <c r="E349" i="2"/>
  <c r="AB349" i="2"/>
  <c r="J349" i="2"/>
  <c r="K349" i="2"/>
  <c r="S349" i="2"/>
  <c r="Y349" i="2"/>
  <c r="Q349" i="2"/>
  <c r="AK349" i="2"/>
  <c r="D349" i="2"/>
  <c r="B351" i="2" l="1"/>
  <c r="L350" i="2"/>
  <c r="AM350" i="2"/>
  <c r="J350" i="2"/>
  <c r="AC350" i="2"/>
  <c r="AA350" i="2"/>
  <c r="AL350" i="2"/>
  <c r="O350" i="2"/>
  <c r="AB350" i="2"/>
  <c r="E350" i="2"/>
  <c r="W350" i="2"/>
  <c r="Q350" i="2"/>
  <c r="AG350" i="2"/>
  <c r="AO350" i="2"/>
  <c r="F350" i="2"/>
  <c r="M350" i="2"/>
  <c r="S350" i="2"/>
  <c r="P350" i="2"/>
  <c r="Y350" i="2"/>
  <c r="X350" i="2"/>
  <c r="AJ350" i="2"/>
  <c r="D350" i="2"/>
  <c r="AF350" i="2"/>
  <c r="I350" i="2"/>
  <c r="G350" i="2"/>
  <c r="V350" i="2"/>
  <c r="AI350" i="2"/>
  <c r="AD350" i="2"/>
  <c r="AK350" i="2"/>
  <c r="R350" i="2"/>
  <c r="H350" i="2"/>
  <c r="U350" i="2"/>
  <c r="T350" i="2"/>
  <c r="C350" i="2"/>
  <c r="AE350" i="2"/>
  <c r="K350" i="2"/>
  <c r="AN350" i="2"/>
  <c r="N350" i="2"/>
  <c r="AH350" i="2"/>
  <c r="Z350" i="2"/>
  <c r="B352" i="2" l="1"/>
  <c r="G351" i="2"/>
  <c r="M351" i="2"/>
  <c r="AA351" i="2"/>
  <c r="T351" i="2"/>
  <c r="S351" i="2"/>
  <c r="Y351" i="2"/>
  <c r="AF351" i="2"/>
  <c r="Q351" i="2"/>
  <c r="AM351" i="2"/>
  <c r="Z351" i="2"/>
  <c r="O351" i="2"/>
  <c r="K351" i="2"/>
  <c r="D351" i="2"/>
  <c r="P351" i="2"/>
  <c r="E351" i="2"/>
  <c r="AD351" i="2"/>
  <c r="AI351" i="2"/>
  <c r="U351" i="2"/>
  <c r="AH351" i="2"/>
  <c r="AO351" i="2"/>
  <c r="AB351" i="2"/>
  <c r="W351" i="2"/>
  <c r="V351" i="2"/>
  <c r="AE351" i="2"/>
  <c r="X351" i="2"/>
  <c r="AL351" i="2"/>
  <c r="C351" i="2"/>
  <c r="J351" i="2"/>
  <c r="AG351" i="2"/>
  <c r="AN351" i="2"/>
  <c r="H351" i="2"/>
  <c r="L351" i="2"/>
  <c r="AC351" i="2"/>
  <c r="AK351" i="2"/>
  <c r="N351" i="2"/>
  <c r="R351" i="2"/>
  <c r="I351" i="2"/>
  <c r="F351" i="2"/>
  <c r="AJ351" i="2"/>
  <c r="B353" i="2" l="1"/>
  <c r="V352" i="2"/>
  <c r="AA352" i="2"/>
  <c r="C352" i="2"/>
  <c r="U352" i="2"/>
  <c r="Q352" i="2"/>
  <c r="K352" i="2"/>
  <c r="AH352" i="2"/>
  <c r="AL352" i="2"/>
  <c r="AG352" i="2"/>
  <c r="T352" i="2"/>
  <c r="X352" i="2"/>
  <c r="J352" i="2"/>
  <c r="O352" i="2"/>
  <c r="E352" i="2"/>
  <c r="F352" i="2"/>
  <c r="G352" i="2"/>
  <c r="AF352" i="2"/>
  <c r="AK352" i="2"/>
  <c r="H352" i="2"/>
  <c r="AJ352" i="2"/>
  <c r="P352" i="2"/>
  <c r="S352" i="2"/>
  <c r="R352" i="2"/>
  <c r="I352" i="2"/>
  <c r="AE352" i="2"/>
  <c r="W352" i="2"/>
  <c r="AM352" i="2"/>
  <c r="Z352" i="2"/>
  <c r="Y352" i="2"/>
  <c r="D352" i="2"/>
  <c r="M352" i="2"/>
  <c r="AO352" i="2"/>
  <c r="AI352" i="2"/>
  <c r="AB352" i="2"/>
  <c r="L352" i="2"/>
  <c r="AN352" i="2"/>
  <c r="AD352" i="2"/>
  <c r="AC352" i="2"/>
  <c r="N352" i="2"/>
  <c r="B354" i="2" l="1"/>
  <c r="AJ353" i="2"/>
  <c r="AK353" i="2"/>
  <c r="X353" i="2"/>
  <c r="Z353" i="2"/>
  <c r="AI353" i="2"/>
  <c r="V353" i="2"/>
  <c r="AA353" i="2"/>
  <c r="I353" i="2"/>
  <c r="AE353" i="2"/>
  <c r="E353" i="2"/>
  <c r="AN353" i="2"/>
  <c r="P353" i="2"/>
  <c r="AM353" i="2"/>
  <c r="W353" i="2"/>
  <c r="L353" i="2"/>
  <c r="AH353" i="2"/>
  <c r="U353" i="2"/>
  <c r="K353" i="2"/>
  <c r="AB353" i="2"/>
  <c r="G353" i="2"/>
  <c r="AF353" i="2"/>
  <c r="AC353" i="2"/>
  <c r="D353" i="2"/>
  <c r="T353" i="2"/>
  <c r="Y353" i="2"/>
  <c r="R353" i="2"/>
  <c r="O353" i="2"/>
  <c r="AG353" i="2"/>
  <c r="N353" i="2"/>
  <c r="J353" i="2"/>
  <c r="AD353" i="2"/>
  <c r="AO353" i="2"/>
  <c r="M353" i="2"/>
  <c r="S353" i="2"/>
  <c r="AL353" i="2"/>
  <c r="Q353" i="2"/>
  <c r="F353" i="2"/>
  <c r="C353" i="2"/>
  <c r="H353" i="2"/>
  <c r="B355" i="2" l="1"/>
  <c r="L354" i="2"/>
  <c r="E354" i="2"/>
  <c r="AD354" i="2"/>
  <c r="AA354" i="2"/>
  <c r="J354" i="2"/>
  <c r="AM354" i="2"/>
  <c r="AI354" i="2"/>
  <c r="AG354" i="2"/>
  <c r="Q354" i="2"/>
  <c r="X354" i="2"/>
  <c r="T354" i="2"/>
  <c r="W354" i="2"/>
  <c r="F354" i="2"/>
  <c r="V354" i="2"/>
  <c r="AC354" i="2"/>
  <c r="H354" i="2"/>
  <c r="AL354" i="2"/>
  <c r="AB354" i="2"/>
  <c r="Y354" i="2"/>
  <c r="G354" i="2"/>
  <c r="AK354" i="2"/>
  <c r="AF354" i="2"/>
  <c r="AN354" i="2"/>
  <c r="AE354" i="2"/>
  <c r="D354" i="2"/>
  <c r="P354" i="2"/>
  <c r="AH354" i="2"/>
  <c r="Z354" i="2"/>
  <c r="AJ354" i="2"/>
  <c r="O354" i="2"/>
  <c r="AO354" i="2"/>
  <c r="I354" i="2"/>
  <c r="U354" i="2"/>
  <c r="C354" i="2"/>
  <c r="K354" i="2"/>
  <c r="N354" i="2"/>
  <c r="S354" i="2"/>
  <c r="M354" i="2"/>
  <c r="R354" i="2"/>
  <c r="B356" i="2" l="1"/>
  <c r="D355" i="2"/>
  <c r="AO355" i="2"/>
  <c r="AB355" i="2"/>
  <c r="AM355" i="2"/>
  <c r="V355" i="2"/>
  <c r="K355" i="2"/>
  <c r="P355" i="2"/>
  <c r="O355" i="2"/>
  <c r="AH355" i="2"/>
  <c r="E355" i="2"/>
  <c r="Q355" i="2"/>
  <c r="F355" i="2"/>
  <c r="I355" i="2"/>
  <c r="AD355" i="2"/>
  <c r="AC355" i="2"/>
  <c r="S355" i="2"/>
  <c r="Y355" i="2"/>
  <c r="L355" i="2"/>
  <c r="AL355" i="2"/>
  <c r="Z355" i="2"/>
  <c r="M355" i="2"/>
  <c r="AN355" i="2"/>
  <c r="J355" i="2"/>
  <c r="AI355" i="2"/>
  <c r="AJ355" i="2"/>
  <c r="AA355" i="2"/>
  <c r="G355" i="2"/>
  <c r="C355" i="2"/>
  <c r="AG355" i="2"/>
  <c r="X355" i="2"/>
  <c r="R355" i="2"/>
  <c r="AE355" i="2"/>
  <c r="N355" i="2"/>
  <c r="U355" i="2"/>
  <c r="H355" i="2"/>
  <c r="AK355" i="2"/>
  <c r="W355" i="2"/>
  <c r="AF355" i="2"/>
  <c r="T355" i="2"/>
  <c r="B357" i="2" l="1"/>
  <c r="V356" i="2"/>
  <c r="AG356" i="2"/>
  <c r="AM356" i="2"/>
  <c r="AJ356" i="2"/>
  <c r="Q356" i="2"/>
  <c r="D356" i="2"/>
  <c r="S356" i="2"/>
  <c r="Y356" i="2"/>
  <c r="AE356" i="2"/>
  <c r="AH356" i="2"/>
  <c r="I356" i="2"/>
  <c r="AB356" i="2"/>
  <c r="M356" i="2"/>
  <c r="O356" i="2"/>
  <c r="AC356" i="2"/>
  <c r="F356" i="2"/>
  <c r="AL356" i="2"/>
  <c r="P356" i="2"/>
  <c r="G356" i="2"/>
  <c r="R356" i="2"/>
  <c r="X356" i="2"/>
  <c r="AO356" i="2"/>
  <c r="L356" i="2"/>
  <c r="K356" i="2"/>
  <c r="AA356" i="2"/>
  <c r="H356" i="2"/>
  <c r="Z356" i="2"/>
  <c r="AF356" i="2"/>
  <c r="AK356" i="2"/>
  <c r="AD356" i="2"/>
  <c r="T356" i="2"/>
  <c r="W356" i="2"/>
  <c r="J356" i="2"/>
  <c r="AI356" i="2"/>
  <c r="AN356" i="2"/>
  <c r="U356" i="2"/>
  <c r="E356" i="2"/>
  <c r="C356" i="2"/>
  <c r="N356" i="2"/>
  <c r="B358" i="2" l="1"/>
  <c r="S357" i="2"/>
  <c r="AO357" i="2"/>
  <c r="AK357" i="2"/>
  <c r="AD357" i="2"/>
  <c r="X357" i="2"/>
  <c r="AA357" i="2"/>
  <c r="N357" i="2"/>
  <c r="O357" i="2"/>
  <c r="E357" i="2"/>
  <c r="AL357" i="2"/>
  <c r="I357" i="2"/>
  <c r="Z357" i="2"/>
  <c r="P357" i="2"/>
  <c r="R357" i="2"/>
  <c r="U357" i="2"/>
  <c r="AJ357" i="2"/>
  <c r="G357" i="2"/>
  <c r="C357" i="2"/>
  <c r="AE357" i="2"/>
  <c r="K357" i="2"/>
  <c r="AI357" i="2"/>
  <c r="AN357" i="2"/>
  <c r="T357" i="2"/>
  <c r="M357" i="2"/>
  <c r="AG357" i="2"/>
  <c r="Q357" i="2"/>
  <c r="V357" i="2"/>
  <c r="F357" i="2"/>
  <c r="Y357" i="2"/>
  <c r="AF357" i="2"/>
  <c r="H357" i="2"/>
  <c r="W357" i="2"/>
  <c r="AH357" i="2"/>
  <c r="J357" i="2"/>
  <c r="L357" i="2"/>
  <c r="D357" i="2"/>
  <c r="AC357" i="2"/>
  <c r="AB357" i="2"/>
  <c r="AM357" i="2"/>
  <c r="B359" i="2" l="1"/>
  <c r="P358" i="2"/>
  <c r="AE358" i="2"/>
  <c r="G358" i="2"/>
  <c r="AB358" i="2"/>
  <c r="R358" i="2"/>
  <c r="AI358" i="2"/>
  <c r="H358" i="2"/>
  <c r="AD358" i="2"/>
  <c r="AC358" i="2"/>
  <c r="AH358" i="2"/>
  <c r="X358" i="2"/>
  <c r="W358" i="2"/>
  <c r="Y358" i="2"/>
  <c r="N358" i="2"/>
  <c r="V358" i="2"/>
  <c r="O358" i="2"/>
  <c r="AL358" i="2"/>
  <c r="AK358" i="2"/>
  <c r="K358" i="2"/>
  <c r="AF358" i="2"/>
  <c r="Z358" i="2"/>
  <c r="M358" i="2"/>
  <c r="C358" i="2"/>
  <c r="AJ358" i="2"/>
  <c r="L358" i="2"/>
  <c r="S358" i="2"/>
  <c r="AO358" i="2"/>
  <c r="I358" i="2"/>
  <c r="D358" i="2"/>
  <c r="AA358" i="2"/>
  <c r="T358" i="2"/>
  <c r="U358" i="2"/>
  <c r="AG358" i="2"/>
  <c r="AN358" i="2"/>
  <c r="F358" i="2"/>
  <c r="AM358" i="2"/>
  <c r="E358" i="2"/>
  <c r="J358" i="2"/>
  <c r="Q358" i="2"/>
  <c r="B360" i="2" l="1"/>
  <c r="AB359" i="2"/>
  <c r="AG359" i="2"/>
  <c r="AM359" i="2"/>
  <c r="AF359" i="2"/>
  <c r="AL359" i="2"/>
  <c r="D359" i="2"/>
  <c r="AO359" i="2"/>
  <c r="Q359" i="2"/>
  <c r="H359" i="2"/>
  <c r="AN359" i="2"/>
  <c r="M359" i="2"/>
  <c r="R359" i="2"/>
  <c r="Z359" i="2"/>
  <c r="AH359" i="2"/>
  <c r="X359" i="2"/>
  <c r="AC359" i="2"/>
  <c r="C359" i="2"/>
  <c r="N359" i="2"/>
  <c r="W359" i="2"/>
  <c r="I359" i="2"/>
  <c r="AK359" i="2"/>
  <c r="K359" i="2"/>
  <c r="AJ359" i="2"/>
  <c r="F359" i="2"/>
  <c r="V359" i="2"/>
  <c r="Y359" i="2"/>
  <c r="AI359" i="2"/>
  <c r="AA359" i="2"/>
  <c r="G359" i="2"/>
  <c r="T359" i="2"/>
  <c r="E359" i="2"/>
  <c r="L359" i="2"/>
  <c r="AE359" i="2"/>
  <c r="O359" i="2"/>
  <c r="S359" i="2"/>
  <c r="U359" i="2"/>
  <c r="P359" i="2"/>
  <c r="J359" i="2"/>
  <c r="AD359" i="2"/>
  <c r="B361" i="2" l="1"/>
  <c r="AI360" i="2"/>
  <c r="T360" i="2"/>
  <c r="AO360" i="2"/>
  <c r="U360" i="2"/>
  <c r="AM360" i="2"/>
  <c r="AK360" i="2"/>
  <c r="W360" i="2"/>
  <c r="AE360" i="2"/>
  <c r="AB360" i="2"/>
  <c r="AJ360" i="2"/>
  <c r="AG360" i="2"/>
  <c r="AN360" i="2"/>
  <c r="K360" i="2"/>
  <c r="AD360" i="2"/>
  <c r="P360" i="2"/>
  <c r="O360" i="2"/>
  <c r="AH360" i="2"/>
  <c r="F360" i="2"/>
  <c r="D360" i="2"/>
  <c r="N360" i="2"/>
  <c r="X360" i="2"/>
  <c r="M360" i="2"/>
  <c r="E360" i="2"/>
  <c r="J360" i="2"/>
  <c r="AA360" i="2"/>
  <c r="AL360" i="2"/>
  <c r="S360" i="2"/>
  <c r="G360" i="2"/>
  <c r="R360" i="2"/>
  <c r="Z360" i="2"/>
  <c r="H360" i="2"/>
  <c r="AC360" i="2"/>
  <c r="Y360" i="2"/>
  <c r="L360" i="2"/>
  <c r="Q360" i="2"/>
  <c r="I360" i="2"/>
  <c r="AF360" i="2"/>
  <c r="V360" i="2"/>
  <c r="C360" i="2"/>
  <c r="B362" i="2" l="1"/>
  <c r="L361" i="2"/>
  <c r="E361" i="2"/>
  <c r="AH361" i="2"/>
  <c r="T361" i="2"/>
  <c r="K361" i="2"/>
  <c r="P361" i="2"/>
  <c r="AM361" i="2"/>
  <c r="U361" i="2"/>
  <c r="M361" i="2"/>
  <c r="N361" i="2"/>
  <c r="AD361" i="2"/>
  <c r="AN361" i="2"/>
  <c r="D361" i="2"/>
  <c r="AJ361" i="2"/>
  <c r="I361" i="2"/>
  <c r="F361" i="2"/>
  <c r="AG361" i="2"/>
  <c r="C361" i="2"/>
  <c r="AK361" i="2"/>
  <c r="S361" i="2"/>
  <c r="AA361" i="2"/>
  <c r="W361" i="2"/>
  <c r="Y361" i="2"/>
  <c r="H361" i="2"/>
  <c r="G361" i="2"/>
  <c r="R361" i="2"/>
  <c r="AB361" i="2"/>
  <c r="AI361" i="2"/>
  <c r="AC361" i="2"/>
  <c r="Q361" i="2"/>
  <c r="J361" i="2"/>
  <c r="AO361" i="2"/>
  <c r="Z361" i="2"/>
  <c r="AL361" i="2"/>
  <c r="X361" i="2"/>
  <c r="O361" i="2"/>
  <c r="AF361" i="2"/>
  <c r="AE361" i="2"/>
  <c r="V361" i="2"/>
  <c r="B363" i="2" l="1"/>
  <c r="AN362" i="2"/>
  <c r="D362" i="2"/>
  <c r="V362" i="2"/>
  <c r="AB362" i="2"/>
  <c r="H362" i="2"/>
  <c r="AH362" i="2"/>
  <c r="Q362" i="2"/>
  <c r="G362" i="2"/>
  <c r="Y362" i="2"/>
  <c r="Z362" i="2"/>
  <c r="U362" i="2"/>
  <c r="R362" i="2"/>
  <c r="AF362" i="2"/>
  <c r="I362" i="2"/>
  <c r="AC362" i="2"/>
  <c r="AM362" i="2"/>
  <c r="AD362" i="2"/>
  <c r="AA362" i="2"/>
  <c r="W362" i="2"/>
  <c r="AJ362" i="2"/>
  <c r="X362" i="2"/>
  <c r="F362" i="2"/>
  <c r="AK362" i="2"/>
  <c r="AE362" i="2"/>
  <c r="AL362" i="2"/>
  <c r="T362" i="2"/>
  <c r="L362" i="2"/>
  <c r="AO362" i="2"/>
  <c r="K362" i="2"/>
  <c r="N362" i="2"/>
  <c r="AG362" i="2"/>
  <c r="AI362" i="2"/>
  <c r="J362" i="2"/>
  <c r="O362" i="2"/>
  <c r="C362" i="2"/>
  <c r="E362" i="2"/>
  <c r="P362" i="2"/>
  <c r="S362" i="2"/>
  <c r="M362" i="2"/>
  <c r="B364" i="2" l="1"/>
  <c r="AM363" i="2"/>
  <c r="F363" i="2"/>
  <c r="L363" i="2"/>
  <c r="O363" i="2"/>
  <c r="N363" i="2"/>
  <c r="AA363" i="2"/>
  <c r="AK363" i="2"/>
  <c r="I363" i="2"/>
  <c r="S363" i="2"/>
  <c r="W363" i="2"/>
  <c r="C363" i="2"/>
  <c r="V363" i="2"/>
  <c r="AE363" i="2"/>
  <c r="R363" i="2"/>
  <c r="AN363" i="2"/>
  <c r="AL363" i="2"/>
  <c r="T363" i="2"/>
  <c r="AG363" i="2"/>
  <c r="J363" i="2"/>
  <c r="D363" i="2"/>
  <c r="AJ363" i="2"/>
  <c r="Y363" i="2"/>
  <c r="AF363" i="2"/>
  <c r="AI363" i="2"/>
  <c r="AH363" i="2"/>
  <c r="E363" i="2"/>
  <c r="K363" i="2"/>
  <c r="P363" i="2"/>
  <c r="U363" i="2"/>
  <c r="Q363" i="2"/>
  <c r="AC363" i="2"/>
  <c r="Z363" i="2"/>
  <c r="H363" i="2"/>
  <c r="G363" i="2"/>
  <c r="X363" i="2"/>
  <c r="M363" i="2"/>
  <c r="AD363" i="2"/>
  <c r="AO363" i="2"/>
  <c r="AB363" i="2"/>
  <c r="B365" i="2" l="1"/>
  <c r="T364" i="2"/>
  <c r="AD364" i="2"/>
  <c r="J364" i="2"/>
  <c r="D364" i="2"/>
  <c r="O364" i="2"/>
  <c r="U364" i="2"/>
  <c r="E364" i="2"/>
  <c r="Y364" i="2"/>
  <c r="AG364" i="2"/>
  <c r="N364" i="2"/>
  <c r="X364" i="2"/>
  <c r="F364" i="2"/>
  <c r="L364" i="2"/>
  <c r="H364" i="2"/>
  <c r="C364" i="2"/>
  <c r="P364" i="2"/>
  <c r="M364" i="2"/>
  <c r="W364" i="2"/>
  <c r="AJ364" i="2"/>
  <c r="G364" i="2"/>
  <c r="AA364" i="2"/>
  <c r="AI364" i="2"/>
  <c r="Q364" i="2"/>
  <c r="AF364" i="2"/>
  <c r="AC364" i="2"/>
  <c r="AL364" i="2"/>
  <c r="S364" i="2"/>
  <c r="AK364" i="2"/>
  <c r="AM364" i="2"/>
  <c r="AO364" i="2"/>
  <c r="K364" i="2"/>
  <c r="R364" i="2"/>
  <c r="AB364" i="2"/>
  <c r="AH364" i="2"/>
  <c r="V364" i="2"/>
  <c r="AN364" i="2"/>
  <c r="I364" i="2"/>
  <c r="AE364" i="2"/>
  <c r="Z364" i="2"/>
  <c r="B366" i="2" l="1"/>
  <c r="AA365" i="2"/>
  <c r="AC365" i="2"/>
  <c r="V365" i="2"/>
  <c r="Z365" i="2"/>
  <c r="AO365" i="2"/>
  <c r="I365" i="2"/>
  <c r="R365" i="2"/>
  <c r="S365" i="2"/>
  <c r="K365" i="2"/>
  <c r="Y365" i="2"/>
  <c r="AN365" i="2"/>
  <c r="AF365" i="2"/>
  <c r="AB365" i="2"/>
  <c r="Q365" i="2"/>
  <c r="E365" i="2"/>
  <c r="N365" i="2"/>
  <c r="AL365" i="2"/>
  <c r="AM365" i="2"/>
  <c r="L365" i="2"/>
  <c r="J365" i="2"/>
  <c r="AE365" i="2"/>
  <c r="AH365" i="2"/>
  <c r="AD365" i="2"/>
  <c r="AI365" i="2"/>
  <c r="U365" i="2"/>
  <c r="D365" i="2"/>
  <c r="C365" i="2"/>
  <c r="T365" i="2"/>
  <c r="P365" i="2"/>
  <c r="H365" i="2"/>
  <c r="AK365" i="2"/>
  <c r="F365" i="2"/>
  <c r="O365" i="2"/>
  <c r="G365" i="2"/>
  <c r="AG365" i="2"/>
  <c r="W365" i="2"/>
  <c r="M365" i="2"/>
  <c r="X365" i="2"/>
  <c r="AJ365" i="2"/>
  <c r="B367" i="2" l="1"/>
  <c r="AL366" i="2"/>
  <c r="L366" i="2"/>
  <c r="AK366" i="2"/>
  <c r="K366" i="2"/>
  <c r="AF366" i="2"/>
  <c r="I366" i="2"/>
  <c r="F366" i="2"/>
  <c r="AN366" i="2"/>
  <c r="AO366" i="2"/>
  <c r="AB366" i="2"/>
  <c r="R366" i="2"/>
  <c r="P366" i="2"/>
  <c r="Q366" i="2"/>
  <c r="AJ366" i="2"/>
  <c r="G366" i="2"/>
  <c r="E366" i="2"/>
  <c r="AD366" i="2"/>
  <c r="H366" i="2"/>
  <c r="D366" i="2"/>
  <c r="M366" i="2"/>
  <c r="W366" i="2"/>
  <c r="AE366" i="2"/>
  <c r="J366" i="2"/>
  <c r="T366" i="2"/>
  <c r="X366" i="2"/>
  <c r="AG366" i="2"/>
  <c r="AA366" i="2"/>
  <c r="AM366" i="2"/>
  <c r="N366" i="2"/>
  <c r="Y366" i="2"/>
  <c r="C366" i="2"/>
  <c r="U366" i="2"/>
  <c r="S366" i="2"/>
  <c r="AH366" i="2"/>
  <c r="V366" i="2"/>
  <c r="Z366" i="2"/>
  <c r="AI366" i="2"/>
  <c r="AC366" i="2"/>
  <c r="O366" i="2"/>
  <c r="B368" i="2" l="1"/>
  <c r="U367" i="2"/>
  <c r="D367" i="2"/>
  <c r="AJ367" i="2"/>
  <c r="W367" i="2"/>
  <c r="J367" i="2"/>
  <c r="S367" i="2"/>
  <c r="AG367" i="2"/>
  <c r="Z367" i="2"/>
  <c r="V367" i="2"/>
  <c r="AO367" i="2"/>
  <c r="K367" i="2"/>
  <c r="R367" i="2"/>
  <c r="AI367" i="2"/>
  <c r="X367" i="2"/>
  <c r="N367" i="2"/>
  <c r="AN367" i="2"/>
  <c r="Y367" i="2"/>
  <c r="AH367" i="2"/>
  <c r="AC367" i="2"/>
  <c r="P367" i="2"/>
  <c r="AF367" i="2"/>
  <c r="E367" i="2"/>
  <c r="AD367" i="2"/>
  <c r="AL367" i="2"/>
  <c r="C367" i="2"/>
  <c r="AA367" i="2"/>
  <c r="F367" i="2"/>
  <c r="G367" i="2"/>
  <c r="I367" i="2"/>
  <c r="O367" i="2"/>
  <c r="Q367" i="2"/>
  <c r="AE367" i="2"/>
  <c r="H367" i="2"/>
  <c r="AK367" i="2"/>
  <c r="AB367" i="2"/>
  <c r="L367" i="2"/>
  <c r="M367" i="2"/>
  <c r="T367" i="2"/>
  <c r="AM367" i="2"/>
  <c r="B369" i="2" l="1"/>
  <c r="AJ368" i="2"/>
  <c r="AB368" i="2"/>
  <c r="AN368" i="2"/>
  <c r="N368" i="2"/>
  <c r="AG368" i="2"/>
  <c r="AA368" i="2"/>
  <c r="V368" i="2"/>
  <c r="E368" i="2"/>
  <c r="F368" i="2"/>
  <c r="H368" i="2"/>
  <c r="I368" i="2"/>
  <c r="R368" i="2"/>
  <c r="Z368" i="2"/>
  <c r="S368" i="2"/>
  <c r="T368" i="2"/>
  <c r="L368" i="2"/>
  <c r="W368" i="2"/>
  <c r="AF368" i="2"/>
  <c r="AM368" i="2"/>
  <c r="U368" i="2"/>
  <c r="AI368" i="2"/>
  <c r="Q368" i="2"/>
  <c r="AK368" i="2"/>
  <c r="AC368" i="2"/>
  <c r="P368" i="2"/>
  <c r="K368" i="2"/>
  <c r="O368" i="2"/>
  <c r="J368" i="2"/>
  <c r="AE368" i="2"/>
  <c r="AH368" i="2"/>
  <c r="M368" i="2"/>
  <c r="C368" i="2"/>
  <c r="D368" i="2"/>
  <c r="AD368" i="2"/>
  <c r="Y368" i="2"/>
  <c r="AL368" i="2"/>
  <c r="X368" i="2"/>
  <c r="AO368" i="2"/>
  <c r="G368" i="2"/>
  <c r="B370" i="2" l="1"/>
  <c r="AO369" i="2"/>
  <c r="AG369" i="2"/>
  <c r="AF369" i="2"/>
  <c r="U369" i="2"/>
  <c r="AB369" i="2"/>
  <c r="Q369" i="2"/>
  <c r="AC369" i="2"/>
  <c r="Y369" i="2"/>
  <c r="K369" i="2"/>
  <c r="AJ369" i="2"/>
  <c r="AH369" i="2"/>
  <c r="F369" i="2"/>
  <c r="J369" i="2"/>
  <c r="AM369" i="2"/>
  <c r="AL369" i="2"/>
  <c r="D369" i="2"/>
  <c r="AE369" i="2"/>
  <c r="AN369" i="2"/>
  <c r="L369" i="2"/>
  <c r="W369" i="2"/>
  <c r="R369" i="2"/>
  <c r="G369" i="2"/>
  <c r="N369" i="2"/>
  <c r="AK369" i="2"/>
  <c r="P369" i="2"/>
  <c r="X369" i="2"/>
  <c r="AI369" i="2"/>
  <c r="I369" i="2"/>
  <c r="T369" i="2"/>
  <c r="AA369" i="2"/>
  <c r="H369" i="2"/>
  <c r="C369" i="2"/>
  <c r="V369" i="2"/>
  <c r="S369" i="2"/>
  <c r="M369" i="2"/>
  <c r="Z369" i="2"/>
  <c r="E369" i="2"/>
  <c r="AD369" i="2"/>
  <c r="O369" i="2"/>
  <c r="B371" i="2" l="1"/>
  <c r="M370" i="2"/>
  <c r="E370" i="2"/>
  <c r="AD370" i="2"/>
  <c r="D370" i="2"/>
  <c r="O370" i="2"/>
  <c r="Y370" i="2"/>
  <c r="AM370" i="2"/>
  <c r="J370" i="2"/>
  <c r="AO370" i="2"/>
  <c r="Q370" i="2"/>
  <c r="AJ370" i="2"/>
  <c r="U370" i="2"/>
  <c r="L370" i="2"/>
  <c r="Z370" i="2"/>
  <c r="AK370" i="2"/>
  <c r="F370" i="2"/>
  <c r="W370" i="2"/>
  <c r="G370" i="2"/>
  <c r="I370" i="2"/>
  <c r="X370" i="2"/>
  <c r="AL370" i="2"/>
  <c r="R370" i="2"/>
  <c r="S370" i="2"/>
  <c r="AH370" i="2"/>
  <c r="T370" i="2"/>
  <c r="AN370" i="2"/>
  <c r="V370" i="2"/>
  <c r="C370" i="2"/>
  <c r="AA370" i="2"/>
  <c r="P370" i="2"/>
  <c r="AC370" i="2"/>
  <c r="H370" i="2"/>
  <c r="K370" i="2"/>
  <c r="AI370" i="2"/>
  <c r="AE370" i="2"/>
  <c r="AF370" i="2"/>
  <c r="AG370" i="2"/>
  <c r="N370" i="2"/>
  <c r="AB370" i="2"/>
  <c r="B372" i="2" l="1"/>
  <c r="F371" i="2"/>
  <c r="O371" i="2"/>
  <c r="C371" i="2"/>
  <c r="AG371" i="2"/>
  <c r="AE371" i="2"/>
  <c r="D371" i="2"/>
  <c r="AA371" i="2"/>
  <c r="S371" i="2"/>
  <c r="AN371" i="2"/>
  <c r="H371" i="2"/>
  <c r="T371" i="2"/>
  <c r="G371" i="2"/>
  <c r="Z371" i="2"/>
  <c r="E371" i="2"/>
  <c r="X371" i="2"/>
  <c r="AK371" i="2"/>
  <c r="AJ371" i="2"/>
  <c r="M371" i="2"/>
  <c r="I371" i="2"/>
  <c r="R371" i="2"/>
  <c r="N371" i="2"/>
  <c r="L371" i="2"/>
  <c r="AM371" i="2"/>
  <c r="AH371" i="2"/>
  <c r="Q371" i="2"/>
  <c r="V371" i="2"/>
  <c r="AL371" i="2"/>
  <c r="P371" i="2"/>
  <c r="AI371" i="2"/>
  <c r="K371" i="2"/>
  <c r="Y371" i="2"/>
  <c r="AD371" i="2"/>
  <c r="AB371" i="2"/>
  <c r="W371" i="2"/>
  <c r="AO371" i="2"/>
  <c r="AC371" i="2"/>
  <c r="U371" i="2"/>
  <c r="J371" i="2"/>
  <c r="AF371" i="2"/>
  <c r="B373" i="2" l="1"/>
  <c r="H372" i="2"/>
  <c r="K372" i="2"/>
  <c r="M372" i="2"/>
  <c r="AL372" i="2"/>
  <c r="AF372" i="2"/>
  <c r="D372" i="2"/>
  <c r="AM372" i="2"/>
  <c r="U372" i="2"/>
  <c r="X372" i="2"/>
  <c r="E372" i="2"/>
  <c r="Z372" i="2"/>
  <c r="Y372" i="2"/>
  <c r="AA372" i="2"/>
  <c r="P372" i="2"/>
  <c r="AD372" i="2"/>
  <c r="O372" i="2"/>
  <c r="W372" i="2"/>
  <c r="AE372" i="2"/>
  <c r="AH372" i="2"/>
  <c r="R372" i="2"/>
  <c r="V372" i="2"/>
  <c r="AI372" i="2"/>
  <c r="L372" i="2"/>
  <c r="F372" i="2"/>
  <c r="G372" i="2"/>
  <c r="Q372" i="2"/>
  <c r="C372" i="2"/>
  <c r="J372" i="2"/>
  <c r="AG372" i="2"/>
  <c r="AO372" i="2"/>
  <c r="AK372" i="2"/>
  <c r="I372" i="2"/>
  <c r="AJ372" i="2"/>
  <c r="AC372" i="2"/>
  <c r="AB372" i="2"/>
  <c r="AN372" i="2"/>
  <c r="S372" i="2"/>
  <c r="N372" i="2"/>
  <c r="T372" i="2"/>
  <c r="B374" i="2" l="1"/>
  <c r="D373" i="2"/>
  <c r="R373" i="2"/>
  <c r="Y373" i="2"/>
  <c r="AC373" i="2"/>
  <c r="K373" i="2"/>
  <c r="P373" i="2"/>
  <c r="AI373" i="2"/>
  <c r="AA373" i="2"/>
  <c r="S373" i="2"/>
  <c r="AO373" i="2"/>
  <c r="AN373" i="2"/>
  <c r="AH373" i="2"/>
  <c r="O373" i="2"/>
  <c r="W373" i="2"/>
  <c r="AG373" i="2"/>
  <c r="AM373" i="2"/>
  <c r="AF373" i="2"/>
  <c r="V373" i="2"/>
  <c r="AD373" i="2"/>
  <c r="L373" i="2"/>
  <c r="E373" i="2"/>
  <c r="U373" i="2"/>
  <c r="G373" i="2"/>
  <c r="F373" i="2"/>
  <c r="Z373" i="2"/>
  <c r="H373" i="2"/>
  <c r="M373" i="2"/>
  <c r="T373" i="2"/>
  <c r="I373" i="2"/>
  <c r="AB373" i="2"/>
  <c r="Q373" i="2"/>
  <c r="AK373" i="2"/>
  <c r="AL373" i="2"/>
  <c r="AE373" i="2"/>
  <c r="AJ373" i="2"/>
  <c r="C373" i="2"/>
  <c r="X373" i="2"/>
  <c r="N373" i="2"/>
  <c r="J373" i="2"/>
  <c r="B375" i="2" l="1"/>
  <c r="AF374" i="2"/>
  <c r="F374" i="2"/>
  <c r="AK374" i="2"/>
  <c r="AB374" i="2"/>
  <c r="R374" i="2"/>
  <c r="P374" i="2"/>
  <c r="V374" i="2"/>
  <c r="AE374" i="2"/>
  <c r="W374" i="2"/>
  <c r="I374" i="2"/>
  <c r="C374" i="2"/>
  <c r="AN374" i="2"/>
  <c r="E374" i="2"/>
  <c r="AJ374" i="2"/>
  <c r="AO374" i="2"/>
  <c r="AC374" i="2"/>
  <c r="AD374" i="2"/>
  <c r="AH374" i="2"/>
  <c r="Z374" i="2"/>
  <c r="AM374" i="2"/>
  <c r="S374" i="2"/>
  <c r="AI374" i="2"/>
  <c r="AG374" i="2"/>
  <c r="K374" i="2"/>
  <c r="U374" i="2"/>
  <c r="H374" i="2"/>
  <c r="X374" i="2"/>
  <c r="T374" i="2"/>
  <c r="M374" i="2"/>
  <c r="AL374" i="2"/>
  <c r="G374" i="2"/>
  <c r="J374" i="2"/>
  <c r="D374" i="2"/>
  <c r="N374" i="2"/>
  <c r="AA374" i="2"/>
  <c r="Q374" i="2"/>
  <c r="Y374" i="2"/>
  <c r="L374" i="2"/>
  <c r="O374" i="2"/>
  <c r="B376" i="2" l="1"/>
  <c r="AN375" i="2"/>
  <c r="AD375" i="2"/>
  <c r="R375" i="2"/>
  <c r="K375" i="2"/>
  <c r="AJ375" i="2"/>
  <c r="AK375" i="2"/>
  <c r="H375" i="2"/>
  <c r="V375" i="2"/>
  <c r="AF375" i="2"/>
  <c r="AH375" i="2"/>
  <c r="L375" i="2"/>
  <c r="AG375" i="2"/>
  <c r="Q375" i="2"/>
  <c r="P375" i="2"/>
  <c r="E375" i="2"/>
  <c r="AC375" i="2"/>
  <c r="S375" i="2"/>
  <c r="I375" i="2"/>
  <c r="AM375" i="2"/>
  <c r="C375" i="2"/>
  <c r="G375" i="2"/>
  <c r="AB375" i="2"/>
  <c r="X375" i="2"/>
  <c r="AL375" i="2"/>
  <c r="T375" i="2"/>
  <c r="AE375" i="2"/>
  <c r="M375" i="2"/>
  <c r="Y375" i="2"/>
  <c r="W375" i="2"/>
  <c r="D375" i="2"/>
  <c r="AA375" i="2"/>
  <c r="AO375" i="2"/>
  <c r="O375" i="2"/>
  <c r="AI375" i="2"/>
  <c r="N375" i="2"/>
  <c r="F375" i="2"/>
  <c r="J375" i="2"/>
  <c r="Z375" i="2"/>
  <c r="U375" i="2"/>
  <c r="B377" i="2" l="1"/>
  <c r="I376" i="2"/>
  <c r="X376" i="2"/>
  <c r="AA376" i="2"/>
  <c r="AK376" i="2"/>
  <c r="T376" i="2"/>
  <c r="Y376" i="2"/>
  <c r="AB376" i="2"/>
  <c r="M376" i="2"/>
  <c r="E376" i="2"/>
  <c r="R376" i="2"/>
  <c r="F376" i="2"/>
  <c r="D376" i="2"/>
  <c r="O376" i="2"/>
  <c r="K376" i="2"/>
  <c r="U376" i="2"/>
  <c r="AE376" i="2"/>
  <c r="AF376" i="2"/>
  <c r="AL376" i="2"/>
  <c r="AI376" i="2"/>
  <c r="AM376" i="2"/>
  <c r="Z376" i="2"/>
  <c r="AH376" i="2"/>
  <c r="W376" i="2"/>
  <c r="AN376" i="2"/>
  <c r="AO376" i="2"/>
  <c r="AC376" i="2"/>
  <c r="AD376" i="2"/>
  <c r="J376" i="2"/>
  <c r="AJ376" i="2"/>
  <c r="AG376" i="2"/>
  <c r="C376" i="2"/>
  <c r="P376" i="2"/>
  <c r="H376" i="2"/>
  <c r="L376" i="2"/>
  <c r="S376" i="2"/>
  <c r="V376" i="2"/>
  <c r="Q376" i="2"/>
  <c r="N376" i="2"/>
  <c r="G376" i="2"/>
  <c r="B378" i="2" l="1"/>
  <c r="W377" i="2"/>
  <c r="Q377" i="2"/>
  <c r="AL377" i="2"/>
  <c r="J377" i="2"/>
  <c r="L377" i="2"/>
  <c r="N377" i="2"/>
  <c r="F377" i="2"/>
  <c r="V377" i="2"/>
  <c r="E377" i="2"/>
  <c r="Z377" i="2"/>
  <c r="AF377" i="2"/>
  <c r="G377" i="2"/>
  <c r="X377" i="2"/>
  <c r="O377" i="2"/>
  <c r="C377" i="2"/>
  <c r="AG377" i="2"/>
  <c r="AJ377" i="2"/>
  <c r="AD377" i="2"/>
  <c r="T377" i="2"/>
  <c r="H377" i="2"/>
  <c r="AM377" i="2"/>
  <c r="Y377" i="2"/>
  <c r="AE377" i="2"/>
  <c r="AH377" i="2"/>
  <c r="R377" i="2"/>
  <c r="P377" i="2"/>
  <c r="AN377" i="2"/>
  <c r="AA377" i="2"/>
  <c r="I377" i="2"/>
  <c r="AI377" i="2"/>
  <c r="K377" i="2"/>
  <c r="D377" i="2"/>
  <c r="U377" i="2"/>
  <c r="AC377" i="2"/>
  <c r="AK377" i="2"/>
  <c r="AB377" i="2"/>
  <c r="S377" i="2"/>
  <c r="AO377" i="2"/>
  <c r="M377" i="2"/>
  <c r="B379" i="2" l="1"/>
  <c r="AN378" i="2"/>
  <c r="E378" i="2"/>
  <c r="AL378" i="2"/>
  <c r="AK378" i="2"/>
  <c r="AM378" i="2"/>
  <c r="F378" i="2"/>
  <c r="H378" i="2"/>
  <c r="AO378" i="2"/>
  <c r="AC378" i="2"/>
  <c r="X378" i="2"/>
  <c r="R378" i="2"/>
  <c r="N378" i="2"/>
  <c r="AB378" i="2"/>
  <c r="C378" i="2"/>
  <c r="AD378" i="2"/>
  <c r="V378" i="2"/>
  <c r="L378" i="2"/>
  <c r="Q378" i="2"/>
  <c r="AJ378" i="2"/>
  <c r="AF378" i="2"/>
  <c r="J378" i="2"/>
  <c r="O378" i="2"/>
  <c r="P378" i="2"/>
  <c r="D378" i="2"/>
  <c r="Z378" i="2"/>
  <c r="U378" i="2"/>
  <c r="K378" i="2"/>
  <c r="G378" i="2"/>
  <c r="I378" i="2"/>
  <c r="T378" i="2"/>
  <c r="AE378" i="2"/>
  <c r="W378" i="2"/>
  <c r="Y378" i="2"/>
  <c r="AI378" i="2"/>
  <c r="S378" i="2"/>
  <c r="AA378" i="2"/>
  <c r="M378" i="2"/>
  <c r="AG378" i="2"/>
  <c r="AH378" i="2"/>
  <c r="B380" i="2" l="1"/>
  <c r="AI379" i="2"/>
  <c r="U379" i="2"/>
  <c r="AK379" i="2"/>
  <c r="AE379" i="2"/>
  <c r="W379" i="2"/>
  <c r="V379" i="2"/>
  <c r="AD379" i="2"/>
  <c r="F379" i="2"/>
  <c r="E379" i="2"/>
  <c r="AG379" i="2"/>
  <c r="J379" i="2"/>
  <c r="C379" i="2"/>
  <c r="AH379" i="2"/>
  <c r="Q379" i="2"/>
  <c r="Z379" i="2"/>
  <c r="AL379" i="2"/>
  <c r="T379" i="2"/>
  <c r="I379" i="2"/>
  <c r="K379" i="2"/>
  <c r="AO379" i="2"/>
  <c r="M379" i="2"/>
  <c r="D379" i="2"/>
  <c r="R379" i="2"/>
  <c r="S379" i="2"/>
  <c r="L379" i="2"/>
  <c r="N379" i="2"/>
  <c r="AM379" i="2"/>
  <c r="O379" i="2"/>
  <c r="X379" i="2"/>
  <c r="AB379" i="2"/>
  <c r="AJ379" i="2"/>
  <c r="G379" i="2"/>
  <c r="AC379" i="2"/>
  <c r="AN379" i="2"/>
  <c r="P379" i="2"/>
  <c r="H379" i="2"/>
  <c r="AA379" i="2"/>
  <c r="AF379" i="2"/>
  <c r="Y379" i="2"/>
  <c r="B381" i="2" l="1"/>
  <c r="AK380" i="2"/>
  <c r="AF380" i="2"/>
  <c r="G380" i="2"/>
  <c r="E380" i="2"/>
  <c r="U380" i="2"/>
  <c r="X380" i="2"/>
  <c r="AM380" i="2"/>
  <c r="D380" i="2"/>
  <c r="Y380" i="2"/>
  <c r="L380" i="2"/>
  <c r="AI380" i="2"/>
  <c r="I380" i="2"/>
  <c r="H380" i="2"/>
  <c r="R380" i="2"/>
  <c r="Q380" i="2"/>
  <c r="T380" i="2"/>
  <c r="AJ380" i="2"/>
  <c r="V380" i="2"/>
  <c r="AA380" i="2"/>
  <c r="M380" i="2"/>
  <c r="AG380" i="2"/>
  <c r="K380" i="2"/>
  <c r="AL380" i="2"/>
  <c r="S380" i="2"/>
  <c r="AC380" i="2"/>
  <c r="N380" i="2"/>
  <c r="F380" i="2"/>
  <c r="P380" i="2"/>
  <c r="AN380" i="2"/>
  <c r="AE380" i="2"/>
  <c r="Z380" i="2"/>
  <c r="J380" i="2"/>
  <c r="AO380" i="2"/>
  <c r="W380" i="2"/>
  <c r="AD380" i="2"/>
  <c r="O380" i="2"/>
  <c r="AH380" i="2"/>
  <c r="C380" i="2"/>
  <c r="AB380" i="2"/>
  <c r="B382" i="2" l="1"/>
  <c r="F381" i="2"/>
  <c r="AA381" i="2"/>
  <c r="AH381" i="2"/>
  <c r="AJ381" i="2"/>
  <c r="R381" i="2"/>
  <c r="H381" i="2"/>
  <c r="AK381" i="2"/>
  <c r="AC381" i="2"/>
  <c r="T381" i="2"/>
  <c r="AI381" i="2"/>
  <c r="N381" i="2"/>
  <c r="Z381" i="2"/>
  <c r="C381" i="2"/>
  <c r="AF381" i="2"/>
  <c r="I381" i="2"/>
  <c r="AG381" i="2"/>
  <c r="AD381" i="2"/>
  <c r="L381" i="2"/>
  <c r="G381" i="2"/>
  <c r="Y381" i="2"/>
  <c r="AB381" i="2"/>
  <c r="AO381" i="2"/>
  <c r="X381" i="2"/>
  <c r="U381" i="2"/>
  <c r="W381" i="2"/>
  <c r="Q381" i="2"/>
  <c r="O381" i="2"/>
  <c r="D381" i="2"/>
  <c r="E381" i="2"/>
  <c r="M381" i="2"/>
  <c r="AL381" i="2"/>
  <c r="S381" i="2"/>
  <c r="AN381" i="2"/>
  <c r="AM381" i="2"/>
  <c r="P381" i="2"/>
  <c r="K381" i="2"/>
  <c r="J381" i="2"/>
  <c r="AE381" i="2"/>
  <c r="V381" i="2"/>
  <c r="B383" i="2" l="1"/>
  <c r="AN382" i="2"/>
  <c r="S382" i="2"/>
  <c r="AC382" i="2"/>
  <c r="AM382" i="2"/>
  <c r="AG382" i="2"/>
  <c r="R382" i="2"/>
  <c r="H382" i="2"/>
  <c r="U382" i="2"/>
  <c r="Q382" i="2"/>
  <c r="C382" i="2"/>
  <c r="M382" i="2"/>
  <c r="Z382" i="2"/>
  <c r="AO382" i="2"/>
  <c r="AF382" i="2"/>
  <c r="I382" i="2"/>
  <c r="X382" i="2"/>
  <c r="D382" i="2"/>
  <c r="AK382" i="2"/>
  <c r="W382" i="2"/>
  <c r="Y382" i="2"/>
  <c r="P382" i="2"/>
  <c r="G382" i="2"/>
  <c r="AE382" i="2"/>
  <c r="K382" i="2"/>
  <c r="AJ382" i="2"/>
  <c r="F382" i="2"/>
  <c r="AB382" i="2"/>
  <c r="N382" i="2"/>
  <c r="V382" i="2"/>
  <c r="E382" i="2"/>
  <c r="T382" i="2"/>
  <c r="J382" i="2"/>
  <c r="AH382" i="2"/>
  <c r="AA382" i="2"/>
  <c r="O382" i="2"/>
  <c r="AD382" i="2"/>
  <c r="AL382" i="2"/>
  <c r="L382" i="2"/>
  <c r="AI382" i="2"/>
  <c r="B384" i="2" l="1"/>
  <c r="Z383" i="2"/>
  <c r="K383" i="2"/>
  <c r="AJ383" i="2"/>
  <c r="V383" i="2"/>
  <c r="AN383" i="2"/>
  <c r="AG383" i="2"/>
  <c r="U383" i="2"/>
  <c r="Y383" i="2"/>
  <c r="AA383" i="2"/>
  <c r="F383" i="2"/>
  <c r="P383" i="2"/>
  <c r="J383" i="2"/>
  <c r="L383" i="2"/>
  <c r="C383" i="2"/>
  <c r="AC383" i="2"/>
  <c r="AD383" i="2"/>
  <c r="T383" i="2"/>
  <c r="E383" i="2"/>
  <c r="S383" i="2"/>
  <c r="AO383" i="2"/>
  <c r="AF383" i="2"/>
  <c r="AI383" i="2"/>
  <c r="AB383" i="2"/>
  <c r="AH383" i="2"/>
  <c r="AE383" i="2"/>
  <c r="AM383" i="2"/>
  <c r="Q383" i="2"/>
  <c r="M383" i="2"/>
  <c r="R383" i="2"/>
  <c r="N383" i="2"/>
  <c r="I383" i="2"/>
  <c r="H383" i="2"/>
  <c r="O383" i="2"/>
  <c r="D383" i="2"/>
  <c r="AK383" i="2"/>
  <c r="G383" i="2"/>
  <c r="X383" i="2"/>
  <c r="AL383" i="2"/>
  <c r="W383" i="2"/>
  <c r="B385" i="2" l="1"/>
  <c r="R384" i="2"/>
  <c r="AL384" i="2"/>
  <c r="J384" i="2"/>
  <c r="Y384" i="2"/>
  <c r="L384" i="2"/>
  <c r="O384" i="2"/>
  <c r="P384" i="2"/>
  <c r="M384" i="2"/>
  <c r="K384" i="2"/>
  <c r="W384" i="2"/>
  <c r="AO384" i="2"/>
  <c r="AK384" i="2"/>
  <c r="AC384" i="2"/>
  <c r="AD384" i="2"/>
  <c r="AJ384" i="2"/>
  <c r="AN384" i="2"/>
  <c r="X384" i="2"/>
  <c r="AI384" i="2"/>
  <c r="Q384" i="2"/>
  <c r="T384" i="2"/>
  <c r="F384" i="2"/>
  <c r="S384" i="2"/>
  <c r="AA384" i="2"/>
  <c r="G384" i="2"/>
  <c r="Z384" i="2"/>
  <c r="H384" i="2"/>
  <c r="N384" i="2"/>
  <c r="AG384" i="2"/>
  <c r="E384" i="2"/>
  <c r="D384" i="2"/>
  <c r="U384" i="2"/>
  <c r="AM384" i="2"/>
  <c r="AH384" i="2"/>
  <c r="I384" i="2"/>
  <c r="AF384" i="2"/>
  <c r="C384" i="2"/>
  <c r="AB384" i="2"/>
  <c r="V384" i="2"/>
  <c r="AE384" i="2"/>
  <c r="B386" i="2" l="1"/>
  <c r="O385" i="2"/>
  <c r="AH385" i="2"/>
  <c r="F385" i="2"/>
  <c r="N385" i="2"/>
  <c r="C385" i="2"/>
  <c r="AB385" i="2"/>
  <c r="AJ385" i="2"/>
  <c r="AF385" i="2"/>
  <c r="Z385" i="2"/>
  <c r="I385" i="2"/>
  <c r="Y385" i="2"/>
  <c r="AK385" i="2"/>
  <c r="U385" i="2"/>
  <c r="M385" i="2"/>
  <c r="K385" i="2"/>
  <c r="AI385" i="2"/>
  <c r="D385" i="2"/>
  <c r="AD385" i="2"/>
  <c r="S385" i="2"/>
  <c r="G385" i="2"/>
  <c r="V385" i="2"/>
  <c r="AG385" i="2"/>
  <c r="AA385" i="2"/>
  <c r="AN385" i="2"/>
  <c r="AM385" i="2"/>
  <c r="P385" i="2"/>
  <c r="X385" i="2"/>
  <c r="AO385" i="2"/>
  <c r="Q385" i="2"/>
  <c r="AL385" i="2"/>
  <c r="AC385" i="2"/>
  <c r="R385" i="2"/>
  <c r="E385" i="2"/>
  <c r="T385" i="2"/>
  <c r="L385" i="2"/>
  <c r="H385" i="2"/>
  <c r="AE385" i="2"/>
  <c r="J385" i="2"/>
  <c r="W385" i="2"/>
  <c r="B387" i="2" l="1"/>
  <c r="AB386" i="2"/>
  <c r="X386" i="2"/>
  <c r="Z386" i="2"/>
  <c r="AD386" i="2"/>
  <c r="V386" i="2"/>
  <c r="AN386" i="2"/>
  <c r="AO386" i="2"/>
  <c r="U386" i="2"/>
  <c r="AM386" i="2"/>
  <c r="AH386" i="2"/>
  <c r="H386" i="2"/>
  <c r="L386" i="2"/>
  <c r="M386" i="2"/>
  <c r="Y386" i="2"/>
  <c r="AF386" i="2"/>
  <c r="AL386" i="2"/>
  <c r="F386" i="2"/>
  <c r="N386" i="2"/>
  <c r="Q386" i="2"/>
  <c r="C386" i="2"/>
  <c r="E386" i="2"/>
  <c r="S386" i="2"/>
  <c r="P386" i="2"/>
  <c r="AC386" i="2"/>
  <c r="AG386" i="2"/>
  <c r="I386" i="2"/>
  <c r="O386" i="2"/>
  <c r="AI386" i="2"/>
  <c r="K386" i="2"/>
  <c r="T386" i="2"/>
  <c r="AK386" i="2"/>
  <c r="J386" i="2"/>
  <c r="AA386" i="2"/>
  <c r="AJ386" i="2"/>
  <c r="G386" i="2"/>
  <c r="D386" i="2"/>
  <c r="R386" i="2"/>
  <c r="W386" i="2"/>
  <c r="AE386" i="2"/>
  <c r="B388" i="2" l="1"/>
  <c r="K387" i="2"/>
  <c r="AA387" i="2"/>
  <c r="R387" i="2"/>
  <c r="J387" i="2"/>
  <c r="C387" i="2"/>
  <c r="AM387" i="2"/>
  <c r="AB387" i="2"/>
  <c r="T387" i="2"/>
  <c r="AI387" i="2"/>
  <c r="G387" i="2"/>
  <c r="L387" i="2"/>
  <c r="D387" i="2"/>
  <c r="AH387" i="2"/>
  <c r="AN387" i="2"/>
  <c r="U387" i="2"/>
  <c r="Q387" i="2"/>
  <c r="X387" i="2"/>
  <c r="S387" i="2"/>
  <c r="AD387" i="2"/>
  <c r="N387" i="2"/>
  <c r="AJ387" i="2"/>
  <c r="AK387" i="2"/>
  <c r="AG387" i="2"/>
  <c r="AL387" i="2"/>
  <c r="H387" i="2"/>
  <c r="E387" i="2"/>
  <c r="W387" i="2"/>
  <c r="I387" i="2"/>
  <c r="AE387" i="2"/>
  <c r="V387" i="2"/>
  <c r="O387" i="2"/>
  <c r="Y387" i="2"/>
  <c r="AF387" i="2"/>
  <c r="P387" i="2"/>
  <c r="F387" i="2"/>
  <c r="AO387" i="2"/>
  <c r="AC387" i="2"/>
  <c r="M387" i="2"/>
  <c r="Z387" i="2"/>
  <c r="B389" i="2" l="1"/>
  <c r="AF388" i="2"/>
  <c r="Y388" i="2"/>
  <c r="M388" i="2"/>
  <c r="K388" i="2"/>
  <c r="AB388" i="2"/>
  <c r="U388" i="2"/>
  <c r="AO388" i="2"/>
  <c r="X388" i="2"/>
  <c r="AI388" i="2"/>
  <c r="AN388" i="2"/>
  <c r="AE388" i="2"/>
  <c r="S388" i="2"/>
  <c r="H388" i="2"/>
  <c r="AD388" i="2"/>
  <c r="Z388" i="2"/>
  <c r="AJ388" i="2"/>
  <c r="E388" i="2"/>
  <c r="AK388" i="2"/>
  <c r="AG388" i="2"/>
  <c r="C388" i="2"/>
  <c r="J388" i="2"/>
  <c r="W388" i="2"/>
  <c r="AL388" i="2"/>
  <c r="P388" i="2"/>
  <c r="N388" i="2"/>
  <c r="G388" i="2"/>
  <c r="T388" i="2"/>
  <c r="Q388" i="2"/>
  <c r="AM388" i="2"/>
  <c r="R388" i="2"/>
  <c r="I388" i="2"/>
  <c r="F388" i="2"/>
  <c r="AA388" i="2"/>
  <c r="AC388" i="2"/>
  <c r="AH388" i="2"/>
  <c r="L388" i="2"/>
  <c r="D388" i="2"/>
  <c r="V388" i="2"/>
  <c r="O388" i="2"/>
  <c r="B390" i="2" l="1"/>
  <c r="G389" i="2"/>
  <c r="E389" i="2"/>
  <c r="M389" i="2"/>
  <c r="C389" i="2"/>
  <c r="AJ389" i="2"/>
  <c r="AF389" i="2"/>
  <c r="U389" i="2"/>
  <c r="I389" i="2"/>
  <c r="Q389" i="2"/>
  <c r="AC389" i="2"/>
  <c r="AG389" i="2"/>
  <c r="Z389" i="2"/>
  <c r="K389" i="2"/>
  <c r="D389" i="2"/>
  <c r="R389" i="2"/>
  <c r="O389" i="2"/>
  <c r="H389" i="2"/>
  <c r="AL389" i="2"/>
  <c r="V389" i="2"/>
  <c r="AN389" i="2"/>
  <c r="AO389" i="2"/>
  <c r="AD389" i="2"/>
  <c r="L389" i="2"/>
  <c r="X389" i="2"/>
  <c r="N389" i="2"/>
  <c r="AI389" i="2"/>
  <c r="AB389" i="2"/>
  <c r="J389" i="2"/>
  <c r="P389" i="2"/>
  <c r="AH389" i="2"/>
  <c r="AE389" i="2"/>
  <c r="S389" i="2"/>
  <c r="Y389" i="2"/>
  <c r="AA389" i="2"/>
  <c r="AK389" i="2"/>
  <c r="F389" i="2"/>
  <c r="AM389" i="2"/>
  <c r="T389" i="2"/>
  <c r="W389" i="2"/>
  <c r="B391" i="2" l="1"/>
  <c r="W390" i="2"/>
  <c r="AJ390" i="2"/>
  <c r="O390" i="2"/>
  <c r="AG390" i="2"/>
  <c r="S390" i="2"/>
  <c r="AB390" i="2"/>
  <c r="V390" i="2"/>
  <c r="U390" i="2"/>
  <c r="H390" i="2"/>
  <c r="T390" i="2"/>
  <c r="G390" i="2"/>
  <c r="AN390" i="2"/>
  <c r="D390" i="2"/>
  <c r="E390" i="2"/>
  <c r="AF390" i="2"/>
  <c r="P390" i="2"/>
  <c r="AK390" i="2"/>
  <c r="X390" i="2"/>
  <c r="Q390" i="2"/>
  <c r="M390" i="2"/>
  <c r="R390" i="2"/>
  <c r="Y390" i="2"/>
  <c r="L390" i="2"/>
  <c r="J390" i="2"/>
  <c r="C390" i="2"/>
  <c r="AL390" i="2"/>
  <c r="AH390" i="2"/>
  <c r="AD390" i="2"/>
  <c r="AC390" i="2"/>
  <c r="AA390" i="2"/>
  <c r="AM390" i="2"/>
  <c r="AI390" i="2"/>
  <c r="N390" i="2"/>
  <c r="Z390" i="2"/>
  <c r="AO390" i="2"/>
  <c r="AE390" i="2"/>
  <c r="I390" i="2"/>
  <c r="K390" i="2"/>
  <c r="F390" i="2"/>
  <c r="B392" i="2" l="1"/>
  <c r="O391" i="2"/>
  <c r="M391" i="2"/>
  <c r="AN391" i="2"/>
  <c r="N391" i="2"/>
  <c r="K391" i="2"/>
  <c r="G391" i="2"/>
  <c r="AJ391" i="2"/>
  <c r="T391" i="2"/>
  <c r="AA391" i="2"/>
  <c r="AL391" i="2"/>
  <c r="Y391" i="2"/>
  <c r="I391" i="2"/>
  <c r="Z391" i="2"/>
  <c r="H391" i="2"/>
  <c r="F391" i="2"/>
  <c r="Q391" i="2"/>
  <c r="AK391" i="2"/>
  <c r="W391" i="2"/>
  <c r="AI391" i="2"/>
  <c r="R391" i="2"/>
  <c r="J391" i="2"/>
  <c r="AM391" i="2"/>
  <c r="X391" i="2"/>
  <c r="C391" i="2"/>
  <c r="D391" i="2"/>
  <c r="U391" i="2"/>
  <c r="AB391" i="2"/>
  <c r="V391" i="2"/>
  <c r="AC391" i="2"/>
  <c r="AD391" i="2"/>
  <c r="P391" i="2"/>
  <c r="S391" i="2"/>
  <c r="AH391" i="2"/>
  <c r="AE391" i="2"/>
  <c r="L391" i="2"/>
  <c r="AF391" i="2"/>
  <c r="AG391" i="2"/>
  <c r="E391" i="2"/>
  <c r="AO391" i="2"/>
  <c r="B393" i="2" l="1"/>
  <c r="S392" i="2"/>
  <c r="E392" i="2"/>
  <c r="Q392" i="2"/>
  <c r="AD392" i="2"/>
  <c r="U392" i="2"/>
  <c r="I392" i="2"/>
  <c r="AH392" i="2"/>
  <c r="R392" i="2"/>
  <c r="F392" i="2"/>
  <c r="AG392" i="2"/>
  <c r="AB392" i="2"/>
  <c r="AE392" i="2"/>
  <c r="AN392" i="2"/>
  <c r="O392" i="2"/>
  <c r="AO392" i="2"/>
  <c r="L392" i="2"/>
  <c r="V392" i="2"/>
  <c r="G392" i="2"/>
  <c r="C392" i="2"/>
  <c r="W392" i="2"/>
  <c r="X392" i="2"/>
  <c r="AA392" i="2"/>
  <c r="AC392" i="2"/>
  <c r="D392" i="2"/>
  <c r="T392" i="2"/>
  <c r="AI392" i="2"/>
  <c r="AK392" i="2"/>
  <c r="Z392" i="2"/>
  <c r="Y392" i="2"/>
  <c r="H392" i="2"/>
  <c r="K392" i="2"/>
  <c r="M392" i="2"/>
  <c r="AL392" i="2"/>
  <c r="J392" i="2"/>
  <c r="AJ392" i="2"/>
  <c r="N392" i="2"/>
  <c r="P392" i="2"/>
  <c r="AF392" i="2"/>
  <c r="AM392" i="2"/>
  <c r="B394" i="2" l="1"/>
  <c r="AJ393" i="2"/>
  <c r="AL393" i="2"/>
  <c r="AH393" i="2"/>
  <c r="J393" i="2"/>
  <c r="AG393" i="2"/>
  <c r="AM393" i="2"/>
  <c r="AK393" i="2"/>
  <c r="X393" i="2"/>
  <c r="AA393" i="2"/>
  <c r="AB393" i="2"/>
  <c r="R393" i="2"/>
  <c r="U393" i="2"/>
  <c r="Q393" i="2"/>
  <c r="E393" i="2"/>
  <c r="Y393" i="2"/>
  <c r="AI393" i="2"/>
  <c r="V393" i="2"/>
  <c r="O393" i="2"/>
  <c r="L393" i="2"/>
  <c r="D393" i="2"/>
  <c r="G393" i="2"/>
  <c r="S393" i="2"/>
  <c r="H393" i="2"/>
  <c r="AD393" i="2"/>
  <c r="T393" i="2"/>
  <c r="F393" i="2"/>
  <c r="I393" i="2"/>
  <c r="Z393" i="2"/>
  <c r="C393" i="2"/>
  <c r="W393" i="2"/>
  <c r="AO393" i="2"/>
  <c r="K393" i="2"/>
  <c r="AN393" i="2"/>
  <c r="N393" i="2"/>
  <c r="AC393" i="2"/>
  <c r="P393" i="2"/>
  <c r="AF393" i="2"/>
  <c r="M393" i="2"/>
  <c r="AE393" i="2"/>
  <c r="B395" i="2" l="1"/>
  <c r="Q394" i="2"/>
  <c r="H394" i="2"/>
  <c r="J394" i="2"/>
  <c r="P394" i="2"/>
  <c r="M394" i="2"/>
  <c r="F394" i="2"/>
  <c r="I394" i="2"/>
  <c r="AJ394" i="2"/>
  <c r="AO394" i="2"/>
  <c r="C394" i="2"/>
  <c r="E394" i="2"/>
  <c r="AG394" i="2"/>
  <c r="AF394" i="2"/>
  <c r="Y394" i="2"/>
  <c r="Z394" i="2"/>
  <c r="AE394" i="2"/>
  <c r="S394" i="2"/>
  <c r="G394" i="2"/>
  <c r="AI394" i="2"/>
  <c r="O394" i="2"/>
  <c r="V394" i="2"/>
  <c r="AK394" i="2"/>
  <c r="AB394" i="2"/>
  <c r="D394" i="2"/>
  <c r="AH394" i="2"/>
  <c r="W394" i="2"/>
  <c r="AC394" i="2"/>
  <c r="T394" i="2"/>
  <c r="AN394" i="2"/>
  <c r="AM394" i="2"/>
  <c r="R394" i="2"/>
  <c r="AD394" i="2"/>
  <c r="X394" i="2"/>
  <c r="K394" i="2"/>
  <c r="N394" i="2"/>
  <c r="U394" i="2"/>
  <c r="AL394" i="2"/>
  <c r="L394" i="2"/>
  <c r="AA394" i="2"/>
  <c r="B396" i="2" l="1"/>
  <c r="F395" i="2"/>
  <c r="L395" i="2"/>
  <c r="U395" i="2"/>
  <c r="AJ395" i="2"/>
  <c r="AA395" i="2"/>
  <c r="R395" i="2"/>
  <c r="AM395" i="2"/>
  <c r="K395" i="2"/>
  <c r="C395" i="2"/>
  <c r="V395" i="2"/>
  <c r="AO395" i="2"/>
  <c r="I395" i="2"/>
  <c r="M395" i="2"/>
  <c r="AB395" i="2"/>
  <c r="E395" i="2"/>
  <c r="AC395" i="2"/>
  <c r="AL395" i="2"/>
  <c r="X395" i="2"/>
  <c r="AH395" i="2"/>
  <c r="AF395" i="2"/>
  <c r="T395" i="2"/>
  <c r="AE395" i="2"/>
  <c r="O395" i="2"/>
  <c r="G395" i="2"/>
  <c r="AN395" i="2"/>
  <c r="AK395" i="2"/>
  <c r="AG395" i="2"/>
  <c r="Y395" i="2"/>
  <c r="W395" i="2"/>
  <c r="H395" i="2"/>
  <c r="Q395" i="2"/>
  <c r="N395" i="2"/>
  <c r="AI395" i="2"/>
  <c r="S395" i="2"/>
  <c r="Z395" i="2"/>
  <c r="J395" i="2"/>
  <c r="AD395" i="2"/>
  <c r="D395" i="2"/>
  <c r="P395" i="2"/>
  <c r="B397" i="2" l="1"/>
  <c r="S396" i="2"/>
  <c r="V396" i="2"/>
  <c r="L396" i="2"/>
  <c r="E396" i="2"/>
  <c r="AA396" i="2"/>
  <c r="R396" i="2"/>
  <c r="U396" i="2"/>
  <c r="AK396" i="2"/>
  <c r="AF396" i="2"/>
  <c r="W396" i="2"/>
  <c r="C396" i="2"/>
  <c r="AO396" i="2"/>
  <c r="Z396" i="2"/>
  <c r="AH396" i="2"/>
  <c r="G396" i="2"/>
  <c r="I396" i="2"/>
  <c r="Y396" i="2"/>
  <c r="AC396" i="2"/>
  <c r="AE396" i="2"/>
  <c r="AD396" i="2"/>
  <c r="T396" i="2"/>
  <c r="J396" i="2"/>
  <c r="Q396" i="2"/>
  <c r="AM396" i="2"/>
  <c r="K396" i="2"/>
  <c r="D396" i="2"/>
  <c r="P396" i="2"/>
  <c r="X396" i="2"/>
  <c r="F396" i="2"/>
  <c r="M396" i="2"/>
  <c r="O396" i="2"/>
  <c r="AG396" i="2"/>
  <c r="H396" i="2"/>
  <c r="AL396" i="2"/>
  <c r="AI396" i="2"/>
  <c r="AJ396" i="2"/>
  <c r="AB396" i="2"/>
  <c r="N396" i="2"/>
  <c r="AN396" i="2"/>
  <c r="B398" i="2" l="1"/>
  <c r="AG397" i="2"/>
  <c r="Z397" i="2"/>
  <c r="F397" i="2"/>
  <c r="AN397" i="2"/>
  <c r="N397" i="2"/>
  <c r="D397" i="2"/>
  <c r="AA397" i="2"/>
  <c r="AO397" i="2"/>
  <c r="AJ397" i="2"/>
  <c r="V397" i="2"/>
  <c r="X397" i="2"/>
  <c r="AL397" i="2"/>
  <c r="E397" i="2"/>
  <c r="U397" i="2"/>
  <c r="AC397" i="2"/>
  <c r="AI397" i="2"/>
  <c r="AF397" i="2"/>
  <c r="AH397" i="2"/>
  <c r="AM397" i="2"/>
  <c r="R397" i="2"/>
  <c r="K397" i="2"/>
  <c r="AD397" i="2"/>
  <c r="Y397" i="2"/>
  <c r="Q397" i="2"/>
  <c r="M397" i="2"/>
  <c r="L397" i="2"/>
  <c r="J397" i="2"/>
  <c r="S397" i="2"/>
  <c r="P397" i="2"/>
  <c r="G397" i="2"/>
  <c r="W397" i="2"/>
  <c r="T397" i="2"/>
  <c r="I397" i="2"/>
  <c r="AE397" i="2"/>
  <c r="AK397" i="2"/>
  <c r="C397" i="2"/>
  <c r="O397" i="2"/>
  <c r="AB397" i="2"/>
  <c r="H397" i="2"/>
  <c r="B399" i="2" l="1"/>
  <c r="Z398" i="2"/>
  <c r="H398" i="2"/>
  <c r="AA398" i="2"/>
  <c r="G398" i="2"/>
  <c r="K398" i="2"/>
  <c r="M398" i="2"/>
  <c r="Y398" i="2"/>
  <c r="AB398" i="2"/>
  <c r="S398" i="2"/>
  <c r="E398" i="2"/>
  <c r="AD398" i="2"/>
  <c r="AN398" i="2"/>
  <c r="F398" i="2"/>
  <c r="R398" i="2"/>
  <c r="L398" i="2"/>
  <c r="AJ398" i="2"/>
  <c r="I398" i="2"/>
  <c r="AO398" i="2"/>
  <c r="W398" i="2"/>
  <c r="AG398" i="2"/>
  <c r="AL398" i="2"/>
  <c r="U398" i="2"/>
  <c r="AH398" i="2"/>
  <c r="C398" i="2"/>
  <c r="AE398" i="2"/>
  <c r="AI398" i="2"/>
  <c r="AF398" i="2"/>
  <c r="AC398" i="2"/>
  <c r="X398" i="2"/>
  <c r="V398" i="2"/>
  <c r="J398" i="2"/>
  <c r="AM398" i="2"/>
  <c r="D398" i="2"/>
  <c r="T398" i="2"/>
  <c r="N398" i="2"/>
  <c r="O398" i="2"/>
  <c r="AK398" i="2"/>
  <c r="Q398" i="2"/>
  <c r="P398" i="2"/>
  <c r="B400" i="2" l="1"/>
  <c r="AH399" i="2"/>
  <c r="H399" i="2"/>
  <c r="AE399" i="2"/>
  <c r="M399" i="2"/>
  <c r="AG399" i="2"/>
  <c r="G399" i="2"/>
  <c r="Z399" i="2"/>
  <c r="AI399" i="2"/>
  <c r="K399" i="2"/>
  <c r="W399" i="2"/>
  <c r="R399" i="2"/>
  <c r="AC399" i="2"/>
  <c r="V399" i="2"/>
  <c r="AB399" i="2"/>
  <c r="AD399" i="2"/>
  <c r="AK399" i="2"/>
  <c r="T399" i="2"/>
  <c r="O399" i="2"/>
  <c r="L399" i="2"/>
  <c r="U399" i="2"/>
  <c r="AL399" i="2"/>
  <c r="E399" i="2"/>
  <c r="AJ399" i="2"/>
  <c r="P399" i="2"/>
  <c r="AO399" i="2"/>
  <c r="X399" i="2"/>
  <c r="AF399" i="2"/>
  <c r="C399" i="2"/>
  <c r="AM399" i="2"/>
  <c r="D399" i="2"/>
  <c r="AA399" i="2"/>
  <c r="Q399" i="2"/>
  <c r="I399" i="2"/>
  <c r="AN399" i="2"/>
  <c r="N399" i="2"/>
  <c r="S399" i="2"/>
  <c r="F399" i="2"/>
  <c r="J399" i="2"/>
  <c r="Y399" i="2"/>
  <c r="B401" i="2" l="1"/>
  <c r="AE400" i="2"/>
  <c r="L400" i="2"/>
  <c r="W400" i="2"/>
  <c r="C400" i="2"/>
  <c r="AG400" i="2"/>
  <c r="AM400" i="2"/>
  <c r="AH400" i="2"/>
  <c r="J400" i="2"/>
  <c r="X400" i="2"/>
  <c r="AI400" i="2"/>
  <c r="AO400" i="2"/>
  <c r="Z400" i="2"/>
  <c r="S400" i="2"/>
  <c r="K400" i="2"/>
  <c r="F400" i="2"/>
  <c r="Q400" i="2"/>
  <c r="I400" i="2"/>
  <c r="Y400" i="2"/>
  <c r="AA400" i="2"/>
  <c r="AD400" i="2"/>
  <c r="AK400" i="2"/>
  <c r="AB400" i="2"/>
  <c r="AJ400" i="2"/>
  <c r="R400" i="2"/>
  <c r="AL400" i="2"/>
  <c r="T400" i="2"/>
  <c r="AN400" i="2"/>
  <c r="G400" i="2"/>
  <c r="O400" i="2"/>
  <c r="E400" i="2"/>
  <c r="AF400" i="2"/>
  <c r="U400" i="2"/>
  <c r="P400" i="2"/>
  <c r="AC400" i="2"/>
  <c r="H400" i="2"/>
  <c r="M400" i="2"/>
  <c r="V400" i="2"/>
  <c r="N400" i="2"/>
  <c r="D400" i="2"/>
  <c r="B402" i="2" l="1"/>
  <c r="E401" i="2"/>
  <c r="AL401" i="2"/>
  <c r="AF401" i="2"/>
  <c r="F401" i="2"/>
  <c r="Y401" i="2"/>
  <c r="D401" i="2"/>
  <c r="K401" i="2"/>
  <c r="U401" i="2"/>
  <c r="AH401" i="2"/>
  <c r="S401" i="2"/>
  <c r="Z401" i="2"/>
  <c r="H401" i="2"/>
  <c r="N401" i="2"/>
  <c r="R401" i="2"/>
  <c r="AC401" i="2"/>
  <c r="AM401" i="2"/>
  <c r="AJ401" i="2"/>
  <c r="Q401" i="2"/>
  <c r="AK401" i="2"/>
  <c r="M401" i="2"/>
  <c r="G401" i="2"/>
  <c r="AB401" i="2"/>
  <c r="AI401" i="2"/>
  <c r="AN401" i="2"/>
  <c r="X401" i="2"/>
  <c r="AD401" i="2"/>
  <c r="C401" i="2"/>
  <c r="AO401" i="2"/>
  <c r="I401" i="2"/>
  <c r="T401" i="2"/>
  <c r="O401" i="2"/>
  <c r="P401" i="2"/>
  <c r="W401" i="2"/>
  <c r="AA401" i="2"/>
  <c r="V401" i="2"/>
  <c r="AE401" i="2"/>
  <c r="J401" i="2"/>
  <c r="L401" i="2"/>
  <c r="AG401" i="2"/>
  <c r="B403" i="2" l="1"/>
  <c r="AK402" i="2"/>
  <c r="AM402" i="2"/>
  <c r="AN402" i="2"/>
  <c r="Y402" i="2"/>
  <c r="AI402" i="2"/>
  <c r="AL402" i="2"/>
  <c r="I402" i="2"/>
  <c r="E402" i="2"/>
  <c r="F402" i="2"/>
  <c r="AO402" i="2"/>
  <c r="AH402" i="2"/>
  <c r="T402" i="2"/>
  <c r="AJ402" i="2"/>
  <c r="D402" i="2"/>
  <c r="M402" i="2"/>
  <c r="U402" i="2"/>
  <c r="O402" i="2"/>
  <c r="V402" i="2"/>
  <c r="Q402" i="2"/>
  <c r="AB402" i="2"/>
  <c r="H402" i="2"/>
  <c r="AA402" i="2"/>
  <c r="L402" i="2"/>
  <c r="X402" i="2"/>
  <c r="R402" i="2"/>
  <c r="G402" i="2"/>
  <c r="AC402" i="2"/>
  <c r="W402" i="2"/>
  <c r="J402" i="2"/>
  <c r="K402" i="2"/>
  <c r="AG402" i="2"/>
  <c r="AD402" i="2"/>
  <c r="S402" i="2"/>
  <c r="P402" i="2"/>
  <c r="Z402" i="2"/>
  <c r="C402" i="2"/>
  <c r="N402" i="2"/>
  <c r="AF402" i="2"/>
  <c r="AE402" i="2"/>
  <c r="B404" i="2" l="1"/>
  <c r="Z403" i="2"/>
  <c r="X403" i="2"/>
  <c r="AB403" i="2"/>
  <c r="R403" i="2"/>
  <c r="F403" i="2"/>
  <c r="AI403" i="2"/>
  <c r="S403" i="2"/>
  <c r="AN403" i="2"/>
  <c r="N403" i="2"/>
  <c r="AH403" i="2"/>
  <c r="W403" i="2"/>
  <c r="AA403" i="2"/>
  <c r="AC403" i="2"/>
  <c r="U403" i="2"/>
  <c r="AE403" i="2"/>
  <c r="AD403" i="2"/>
  <c r="AG403" i="2"/>
  <c r="V403" i="2"/>
  <c r="K403" i="2"/>
  <c r="AK403" i="2"/>
  <c r="H403" i="2"/>
  <c r="M403" i="2"/>
  <c r="AO403" i="2"/>
  <c r="I403" i="2"/>
  <c r="T403" i="2"/>
  <c r="AF403" i="2"/>
  <c r="O403" i="2"/>
  <c r="AL403" i="2"/>
  <c r="P403" i="2"/>
  <c r="AJ403" i="2"/>
  <c r="G403" i="2"/>
  <c r="Y403" i="2"/>
  <c r="L403" i="2"/>
  <c r="J403" i="2"/>
  <c r="AM403" i="2"/>
  <c r="D403" i="2"/>
  <c r="C403" i="2"/>
  <c r="Q403" i="2"/>
  <c r="E403" i="2"/>
  <c r="B405" i="2" l="1"/>
  <c r="AM404" i="2"/>
  <c r="O404" i="2"/>
  <c r="N404" i="2"/>
  <c r="V404" i="2"/>
  <c r="T404" i="2"/>
  <c r="H404" i="2"/>
  <c r="AG404" i="2"/>
  <c r="Y404" i="2"/>
  <c r="K404" i="2"/>
  <c r="F404" i="2"/>
  <c r="Z404" i="2"/>
  <c r="AC404" i="2"/>
  <c r="E404" i="2"/>
  <c r="S404" i="2"/>
  <c r="G404" i="2"/>
  <c r="D404" i="2"/>
  <c r="AE404" i="2"/>
  <c r="W404" i="2"/>
  <c r="AF404" i="2"/>
  <c r="AL404" i="2"/>
  <c r="U404" i="2"/>
  <c r="AI404" i="2"/>
  <c r="I404" i="2"/>
  <c r="AA404" i="2"/>
  <c r="L404" i="2"/>
  <c r="AK404" i="2"/>
  <c r="AD404" i="2"/>
  <c r="AH404" i="2"/>
  <c r="C404" i="2"/>
  <c r="AB404" i="2"/>
  <c r="X404" i="2"/>
  <c r="P404" i="2"/>
  <c r="AN404" i="2"/>
  <c r="J404" i="2"/>
  <c r="AJ404" i="2"/>
  <c r="M404" i="2"/>
  <c r="R404" i="2"/>
  <c r="Q404" i="2"/>
  <c r="AO404" i="2"/>
  <c r="B406" i="2" l="1"/>
  <c r="AM405" i="2"/>
  <c r="AH405" i="2"/>
  <c r="P405" i="2"/>
  <c r="O405" i="2"/>
  <c r="Y405" i="2"/>
  <c r="AO405" i="2"/>
  <c r="S405" i="2"/>
  <c r="AE405" i="2"/>
  <c r="W405" i="2"/>
  <c r="AG405" i="2"/>
  <c r="J405" i="2"/>
  <c r="AJ405" i="2"/>
  <c r="X405" i="2"/>
  <c r="T405" i="2"/>
  <c r="AB405" i="2"/>
  <c r="AI405" i="2"/>
  <c r="Q405" i="2"/>
  <c r="M405" i="2"/>
  <c r="G405" i="2"/>
  <c r="R405" i="2"/>
  <c r="AC405" i="2"/>
  <c r="L405" i="2"/>
  <c r="AN405" i="2"/>
  <c r="H405" i="2"/>
  <c r="F405" i="2"/>
  <c r="AF405" i="2"/>
  <c r="D405" i="2"/>
  <c r="AL405" i="2"/>
  <c r="Z405" i="2"/>
  <c r="I405" i="2"/>
  <c r="C405" i="2"/>
  <c r="AK405" i="2"/>
  <c r="N405" i="2"/>
  <c r="AA405" i="2"/>
  <c r="V405" i="2"/>
  <c r="U405" i="2"/>
  <c r="AD405" i="2"/>
  <c r="K405" i="2"/>
  <c r="E405" i="2"/>
  <c r="B407" i="2" l="1"/>
  <c r="Y406" i="2"/>
  <c r="Q406" i="2"/>
  <c r="AK406" i="2"/>
  <c r="AG406" i="2"/>
  <c r="D406" i="2"/>
  <c r="N406" i="2"/>
  <c r="AH406" i="2"/>
  <c r="C406" i="2"/>
  <c r="W406" i="2"/>
  <c r="AL406" i="2"/>
  <c r="Z406" i="2"/>
  <c r="G406" i="2"/>
  <c r="L406" i="2"/>
  <c r="T406" i="2"/>
  <c r="J406" i="2"/>
  <c r="AD406" i="2"/>
  <c r="AO406" i="2"/>
  <c r="AC406" i="2"/>
  <c r="E406" i="2"/>
  <c r="AB406" i="2"/>
  <c r="AJ406" i="2"/>
  <c r="X406" i="2"/>
  <c r="AN406" i="2"/>
  <c r="R406" i="2"/>
  <c r="AE406" i="2"/>
  <c r="M406" i="2"/>
  <c r="AF406" i="2"/>
  <c r="O406" i="2"/>
  <c r="S406" i="2"/>
  <c r="AM406" i="2"/>
  <c r="U406" i="2"/>
  <c r="I406" i="2"/>
  <c r="K406" i="2"/>
  <c r="H406" i="2"/>
  <c r="V406" i="2"/>
  <c r="P406" i="2"/>
  <c r="AI406" i="2"/>
  <c r="AA406" i="2"/>
  <c r="F406" i="2"/>
  <c r="B408" i="2" l="1"/>
  <c r="AA407" i="2"/>
  <c r="V407" i="2"/>
  <c r="AH407" i="2"/>
  <c r="M407" i="2"/>
  <c r="T407" i="2"/>
  <c r="AN407" i="2"/>
  <c r="D407" i="2"/>
  <c r="N407" i="2"/>
  <c r="Y407" i="2"/>
  <c r="J407" i="2"/>
  <c r="L407" i="2"/>
  <c r="C407" i="2"/>
  <c r="AF407" i="2"/>
  <c r="AO407" i="2"/>
  <c r="G407" i="2"/>
  <c r="I407" i="2"/>
  <c r="S407" i="2"/>
  <c r="AL407" i="2"/>
  <c r="AK407" i="2"/>
  <c r="X407" i="2"/>
  <c r="AG407" i="2"/>
  <c r="H407" i="2"/>
  <c r="AC407" i="2"/>
  <c r="K407" i="2"/>
  <c r="AE407" i="2"/>
  <c r="AD407" i="2"/>
  <c r="P407" i="2"/>
  <c r="E407" i="2"/>
  <c r="R407" i="2"/>
  <c r="Q407" i="2"/>
  <c r="AM407" i="2"/>
  <c r="F407" i="2"/>
  <c r="Z407" i="2"/>
  <c r="W407" i="2"/>
  <c r="AJ407" i="2"/>
  <c r="AI407" i="2"/>
  <c r="AB407" i="2"/>
  <c r="U407" i="2"/>
  <c r="O407" i="2"/>
  <c r="B409" i="2" l="1"/>
  <c r="H408" i="2"/>
  <c r="AO408" i="2"/>
  <c r="C408" i="2"/>
  <c r="P408" i="2"/>
  <c r="AI408" i="2"/>
  <c r="T408" i="2"/>
  <c r="J408" i="2"/>
  <c r="AK408" i="2"/>
  <c r="AF408" i="2"/>
  <c r="M408" i="2"/>
  <c r="U408" i="2"/>
  <c r="E408" i="2"/>
  <c r="I408" i="2"/>
  <c r="AL408" i="2"/>
  <c r="R408" i="2"/>
  <c r="AG408" i="2"/>
  <c r="AN408" i="2"/>
  <c r="F408" i="2"/>
  <c r="AD408" i="2"/>
  <c r="Y408" i="2"/>
  <c r="AH408" i="2"/>
  <c r="AE408" i="2"/>
  <c r="G408" i="2"/>
  <c r="D408" i="2"/>
  <c r="Z408" i="2"/>
  <c r="N408" i="2"/>
  <c r="O408" i="2"/>
  <c r="S408" i="2"/>
  <c r="AB408" i="2"/>
  <c r="X408" i="2"/>
  <c r="AM408" i="2"/>
  <c r="Q408" i="2"/>
  <c r="K408" i="2"/>
  <c r="L408" i="2"/>
  <c r="V408" i="2"/>
  <c r="W408" i="2"/>
  <c r="AA408" i="2"/>
  <c r="AJ408" i="2"/>
  <c r="AC408" i="2"/>
  <c r="B410" i="2" l="1"/>
  <c r="G409" i="2"/>
  <c r="AN409" i="2"/>
  <c r="X409" i="2"/>
  <c r="AB409" i="2"/>
  <c r="S409" i="2"/>
  <c r="AO409" i="2"/>
  <c r="D409" i="2"/>
  <c r="AM409" i="2"/>
  <c r="AI409" i="2"/>
  <c r="V409" i="2"/>
  <c r="C409" i="2"/>
  <c r="M409" i="2"/>
  <c r="P409" i="2"/>
  <c r="AA409" i="2"/>
  <c r="T409" i="2"/>
  <c r="N409" i="2"/>
  <c r="O409" i="2"/>
  <c r="L409" i="2"/>
  <c r="Y409" i="2"/>
  <c r="AK409" i="2"/>
  <c r="W409" i="2"/>
  <c r="U409" i="2"/>
  <c r="H409" i="2"/>
  <c r="AH409" i="2"/>
  <c r="Z409" i="2"/>
  <c r="E409" i="2"/>
  <c r="Q409" i="2"/>
  <c r="AE409" i="2"/>
  <c r="AJ409" i="2"/>
  <c r="AC409" i="2"/>
  <c r="AG409" i="2"/>
  <c r="AF409" i="2"/>
  <c r="I409" i="2"/>
  <c r="J409" i="2"/>
  <c r="F409" i="2"/>
  <c r="K409" i="2"/>
  <c r="R409" i="2"/>
  <c r="AL409" i="2"/>
  <c r="AD409" i="2"/>
  <c r="B411" i="2" l="1"/>
  <c r="D410" i="2"/>
  <c r="AM410" i="2"/>
  <c r="AI410" i="2"/>
  <c r="O410" i="2"/>
  <c r="AC410" i="2"/>
  <c r="K410" i="2"/>
  <c r="P410" i="2"/>
  <c r="G410" i="2"/>
  <c r="S410" i="2"/>
  <c r="C410" i="2"/>
  <c r="J410" i="2"/>
  <c r="L410" i="2"/>
  <c r="W410" i="2"/>
  <c r="M410" i="2"/>
  <c r="AN410" i="2"/>
  <c r="AE410" i="2"/>
  <c r="AD410" i="2"/>
  <c r="AA410" i="2"/>
  <c r="F410" i="2"/>
  <c r="R410" i="2"/>
  <c r="X410" i="2"/>
  <c r="V410" i="2"/>
  <c r="AF410" i="2"/>
  <c r="AB410" i="2"/>
  <c r="N410" i="2"/>
  <c r="AG410" i="2"/>
  <c r="Z410" i="2"/>
  <c r="AO410" i="2"/>
  <c r="AJ410" i="2"/>
  <c r="E410" i="2"/>
  <c r="H410" i="2"/>
  <c r="Y410" i="2"/>
  <c r="Q410" i="2"/>
  <c r="I410" i="2"/>
  <c r="U410" i="2"/>
  <c r="AH410" i="2"/>
  <c r="T410" i="2"/>
  <c r="AL410" i="2"/>
  <c r="AK410" i="2"/>
  <c r="B412" i="2" l="1"/>
  <c r="I411" i="2"/>
  <c r="AK411" i="2"/>
  <c r="AC411" i="2"/>
  <c r="AB411" i="2"/>
  <c r="K411" i="2"/>
  <c r="U411" i="2"/>
  <c r="G411" i="2"/>
  <c r="Y411" i="2"/>
  <c r="S411" i="2"/>
  <c r="J411" i="2"/>
  <c r="L411" i="2"/>
  <c r="AA411" i="2"/>
  <c r="AL411" i="2"/>
  <c r="P411" i="2"/>
  <c r="Q411" i="2"/>
  <c r="M411" i="2"/>
  <c r="AD411" i="2"/>
  <c r="F411" i="2"/>
  <c r="AJ411" i="2"/>
  <c r="N411" i="2"/>
  <c r="W411" i="2"/>
  <c r="AO411" i="2"/>
  <c r="D411" i="2"/>
  <c r="T411" i="2"/>
  <c r="Z411" i="2"/>
  <c r="AE411" i="2"/>
  <c r="V411" i="2"/>
  <c r="H411" i="2"/>
  <c r="AH411" i="2"/>
  <c r="AG411" i="2"/>
  <c r="AN411" i="2"/>
  <c r="R411" i="2"/>
  <c r="O411" i="2"/>
  <c r="AM411" i="2"/>
  <c r="C411" i="2"/>
  <c r="AF411" i="2"/>
  <c r="E411" i="2"/>
  <c r="X411" i="2"/>
  <c r="AI411" i="2"/>
  <c r="B413" i="2" l="1"/>
  <c r="AG412" i="2"/>
  <c r="F412" i="2"/>
  <c r="H412" i="2"/>
  <c r="AI412" i="2"/>
  <c r="J412" i="2"/>
  <c r="E412" i="2"/>
  <c r="AM412" i="2"/>
  <c r="W412" i="2"/>
  <c r="AF412" i="2"/>
  <c r="R412" i="2"/>
  <c r="AJ412" i="2"/>
  <c r="Q412" i="2"/>
  <c r="AA412" i="2"/>
  <c r="U412" i="2"/>
  <c r="G412" i="2"/>
  <c r="V412" i="2"/>
  <c r="AO412" i="2"/>
  <c r="AE412" i="2"/>
  <c r="C412" i="2"/>
  <c r="O412" i="2"/>
  <c r="K412" i="2"/>
  <c r="AN412" i="2"/>
  <c r="Z412" i="2"/>
  <c r="S412" i="2"/>
  <c r="P412" i="2"/>
  <c r="AL412" i="2"/>
  <c r="N412" i="2"/>
  <c r="AB412" i="2"/>
  <c r="T412" i="2"/>
  <c r="Y412" i="2"/>
  <c r="AD412" i="2"/>
  <c r="AK412" i="2"/>
  <c r="I412" i="2"/>
  <c r="X412" i="2"/>
  <c r="AC412" i="2"/>
  <c r="D412" i="2"/>
  <c r="M412" i="2"/>
  <c r="L412" i="2"/>
  <c r="AH412" i="2"/>
  <c r="B414" i="2" l="1"/>
  <c r="R413" i="2"/>
  <c r="I413" i="2"/>
  <c r="AM413" i="2"/>
  <c r="P413" i="2"/>
  <c r="AK413" i="2"/>
  <c r="E413" i="2"/>
  <c r="T413" i="2"/>
  <c r="AI413" i="2"/>
  <c r="Y413" i="2"/>
  <c r="X413" i="2"/>
  <c r="AL413" i="2"/>
  <c r="AG413" i="2"/>
  <c r="Z413" i="2"/>
  <c r="O413" i="2"/>
  <c r="AH413" i="2"/>
  <c r="D413" i="2"/>
  <c r="AD413" i="2"/>
  <c r="AC413" i="2"/>
  <c r="K413" i="2"/>
  <c r="U413" i="2"/>
  <c r="V413" i="2"/>
  <c r="AE413" i="2"/>
  <c r="F413" i="2"/>
  <c r="S413" i="2"/>
  <c r="AJ413" i="2"/>
  <c r="AO413" i="2"/>
  <c r="N413" i="2"/>
  <c r="M413" i="2"/>
  <c r="AB413" i="2"/>
  <c r="AF413" i="2"/>
  <c r="AN413" i="2"/>
  <c r="W413" i="2"/>
  <c r="AA413" i="2"/>
  <c r="Q413" i="2"/>
  <c r="G413" i="2"/>
  <c r="J413" i="2"/>
  <c r="L413" i="2"/>
  <c r="C413" i="2"/>
  <c r="H413" i="2"/>
  <c r="B415" i="2" l="1"/>
  <c r="AA414" i="2"/>
  <c r="AK414" i="2"/>
  <c r="Q414" i="2"/>
  <c r="AL414" i="2"/>
  <c r="T414" i="2"/>
  <c r="AN414" i="2"/>
  <c r="AO414" i="2"/>
  <c r="V414" i="2"/>
  <c r="K414" i="2"/>
  <c r="H414" i="2"/>
  <c r="AE414" i="2"/>
  <c r="AC414" i="2"/>
  <c r="Y414" i="2"/>
  <c r="AJ414" i="2"/>
  <c r="I414" i="2"/>
  <c r="P414" i="2"/>
  <c r="G414" i="2"/>
  <c r="R414" i="2"/>
  <c r="D414" i="2"/>
  <c r="X414" i="2"/>
  <c r="C414" i="2"/>
  <c r="O414" i="2"/>
  <c r="AG414" i="2"/>
  <c r="E414" i="2"/>
  <c r="AM414" i="2"/>
  <c r="W414" i="2"/>
  <c r="AH414" i="2"/>
  <c r="AF414" i="2"/>
  <c r="J414" i="2"/>
  <c r="AI414" i="2"/>
  <c r="S414" i="2"/>
  <c r="Z414" i="2"/>
  <c r="N414" i="2"/>
  <c r="F414" i="2"/>
  <c r="L414" i="2"/>
  <c r="M414" i="2"/>
  <c r="AB414" i="2"/>
  <c r="AD414" i="2"/>
  <c r="U414" i="2"/>
  <c r="B416" i="2" l="1"/>
  <c r="AM415" i="2"/>
  <c r="AN415" i="2"/>
  <c r="D415" i="2"/>
  <c r="V415" i="2"/>
  <c r="K415" i="2"/>
  <c r="Q415" i="2"/>
  <c r="N415" i="2"/>
  <c r="AL415" i="2"/>
  <c r="AK415" i="2"/>
  <c r="C415" i="2"/>
  <c r="X415" i="2"/>
  <c r="AI415" i="2"/>
  <c r="W415" i="2"/>
  <c r="AF415" i="2"/>
  <c r="AE415" i="2"/>
  <c r="H415" i="2"/>
  <c r="M415" i="2"/>
  <c r="O415" i="2"/>
  <c r="I415" i="2"/>
  <c r="AH415" i="2"/>
  <c r="Y415" i="2"/>
  <c r="E415" i="2"/>
  <c r="L415" i="2"/>
  <c r="T415" i="2"/>
  <c r="F415" i="2"/>
  <c r="AB415" i="2"/>
  <c r="AA415" i="2"/>
  <c r="AC415" i="2"/>
  <c r="S415" i="2"/>
  <c r="Z415" i="2"/>
  <c r="J415" i="2"/>
  <c r="AG415" i="2"/>
  <c r="G415" i="2"/>
  <c r="AJ415" i="2"/>
  <c r="P415" i="2"/>
  <c r="AD415" i="2"/>
  <c r="R415" i="2"/>
  <c r="AO415" i="2"/>
  <c r="U415" i="2"/>
  <c r="B417" i="2" l="1"/>
  <c r="AD416" i="2"/>
  <c r="AO416" i="2"/>
  <c r="AG416" i="2"/>
  <c r="M416" i="2"/>
  <c r="AA416" i="2"/>
  <c r="AN416" i="2"/>
  <c r="AL416" i="2"/>
  <c r="Q416" i="2"/>
  <c r="V416" i="2"/>
  <c r="D416" i="2"/>
  <c r="AH416" i="2"/>
  <c r="W416" i="2"/>
  <c r="AI416" i="2"/>
  <c r="T416" i="2"/>
  <c r="S416" i="2"/>
  <c r="P416" i="2"/>
  <c r="L416" i="2"/>
  <c r="J416" i="2"/>
  <c r="Z416" i="2"/>
  <c r="AJ416" i="2"/>
  <c r="X416" i="2"/>
  <c r="C416" i="2"/>
  <c r="AE416" i="2"/>
  <c r="AF416" i="2"/>
  <c r="Y416" i="2"/>
  <c r="K416" i="2"/>
  <c r="R416" i="2"/>
  <c r="F416" i="2"/>
  <c r="H416" i="2"/>
  <c r="E416" i="2"/>
  <c r="AC416" i="2"/>
  <c r="O416" i="2"/>
  <c r="I416" i="2"/>
  <c r="N416" i="2"/>
  <c r="AB416" i="2"/>
  <c r="AK416" i="2"/>
  <c r="AM416" i="2"/>
  <c r="G416" i="2"/>
  <c r="U416" i="2"/>
  <c r="B418" i="2" l="1"/>
  <c r="M417" i="2"/>
  <c r="AJ417" i="2"/>
  <c r="AN417" i="2"/>
  <c r="T417" i="2"/>
  <c r="X417" i="2"/>
  <c r="J417" i="2"/>
  <c r="G417" i="2"/>
  <c r="AD417" i="2"/>
  <c r="H417" i="2"/>
  <c r="S417" i="2"/>
  <c r="AA417" i="2"/>
  <c r="E417" i="2"/>
  <c r="D417" i="2"/>
  <c r="AL417" i="2"/>
  <c r="AF417" i="2"/>
  <c r="P417" i="2"/>
  <c r="AK417" i="2"/>
  <c r="N417" i="2"/>
  <c r="R417" i="2"/>
  <c r="AH417" i="2"/>
  <c r="Z417" i="2"/>
  <c r="K417" i="2"/>
  <c r="AB417" i="2"/>
  <c r="AC417" i="2"/>
  <c r="I417" i="2"/>
  <c r="L417" i="2"/>
  <c r="O417" i="2"/>
  <c r="V417" i="2"/>
  <c r="Y417" i="2"/>
  <c r="AM417" i="2"/>
  <c r="Q417" i="2"/>
  <c r="W417" i="2"/>
  <c r="AE417" i="2"/>
  <c r="AG417" i="2"/>
  <c r="U417" i="2"/>
  <c r="AO417" i="2"/>
  <c r="AI417" i="2"/>
  <c r="F417" i="2"/>
  <c r="C417" i="2"/>
  <c r="B419" i="2" l="1"/>
  <c r="X418" i="2"/>
  <c r="W418" i="2"/>
  <c r="AC418" i="2"/>
  <c r="AL418" i="2"/>
  <c r="AB418" i="2"/>
  <c r="Y418" i="2"/>
  <c r="AH418" i="2"/>
  <c r="U418" i="2"/>
  <c r="K418" i="2"/>
  <c r="M418" i="2"/>
  <c r="I418" i="2"/>
  <c r="AF418" i="2"/>
  <c r="AA418" i="2"/>
  <c r="H418" i="2"/>
  <c r="P418" i="2"/>
  <c r="AN418" i="2"/>
  <c r="F418" i="2"/>
  <c r="AJ418" i="2"/>
  <c r="AE418" i="2"/>
  <c r="AO418" i="2"/>
  <c r="D418" i="2"/>
  <c r="S418" i="2"/>
  <c r="R418" i="2"/>
  <c r="AG418" i="2"/>
  <c r="AM418" i="2"/>
  <c r="G418" i="2"/>
  <c r="C418" i="2"/>
  <c r="V418" i="2"/>
  <c r="N418" i="2"/>
  <c r="J418" i="2"/>
  <c r="AK418" i="2"/>
  <c r="E418" i="2"/>
  <c r="L418" i="2"/>
  <c r="AI418" i="2"/>
  <c r="Z418" i="2"/>
  <c r="AD418" i="2"/>
  <c r="Q418" i="2"/>
  <c r="O418" i="2"/>
  <c r="T418" i="2"/>
  <c r="B420" i="2" l="1"/>
  <c r="D419" i="2"/>
  <c r="L419" i="2"/>
  <c r="J419" i="2"/>
  <c r="AE419" i="2"/>
  <c r="M419" i="2"/>
  <c r="V419" i="2"/>
  <c r="E419" i="2"/>
  <c r="AC419" i="2"/>
  <c r="F419" i="2"/>
  <c r="O419" i="2"/>
  <c r="X419" i="2"/>
  <c r="R419" i="2"/>
  <c r="P419" i="2"/>
  <c r="Q419" i="2"/>
  <c r="W419" i="2"/>
  <c r="G419" i="2"/>
  <c r="AB419" i="2"/>
  <c r="AI419" i="2"/>
  <c r="I419" i="2"/>
  <c r="AA419" i="2"/>
  <c r="AL419" i="2"/>
  <c r="Y419" i="2"/>
  <c r="AO419" i="2"/>
  <c r="C419" i="2"/>
  <c r="T419" i="2"/>
  <c r="N419" i="2"/>
  <c r="AG419" i="2"/>
  <c r="AH419" i="2"/>
  <c r="AK419" i="2"/>
  <c r="AD419" i="2"/>
  <c r="AM419" i="2"/>
  <c r="U419" i="2"/>
  <c r="AJ419" i="2"/>
  <c r="AN419" i="2"/>
  <c r="K419" i="2"/>
  <c r="AF419" i="2"/>
  <c r="S419" i="2"/>
  <c r="H419" i="2"/>
  <c r="Z419" i="2"/>
  <c r="B421" i="2" l="1"/>
  <c r="R420" i="2"/>
  <c r="H420" i="2"/>
  <c r="AA420" i="2"/>
  <c r="Z420" i="2"/>
  <c r="Q420" i="2"/>
  <c r="X420" i="2"/>
  <c r="AM420" i="2"/>
  <c r="AK420" i="2"/>
  <c r="G420" i="2"/>
  <c r="AN420" i="2"/>
  <c r="AF420" i="2"/>
  <c r="C420" i="2"/>
  <c r="AH420" i="2"/>
  <c r="O420" i="2"/>
  <c r="Y420" i="2"/>
  <c r="AC420" i="2"/>
  <c r="AO420" i="2"/>
  <c r="L420" i="2"/>
  <c r="D420" i="2"/>
  <c r="AE420" i="2"/>
  <c r="S420" i="2"/>
  <c r="AB420" i="2"/>
  <c r="AL420" i="2"/>
  <c r="J420" i="2"/>
  <c r="N420" i="2"/>
  <c r="AJ420" i="2"/>
  <c r="U420" i="2"/>
  <c r="AD420" i="2"/>
  <c r="V420" i="2"/>
  <c r="M420" i="2"/>
  <c r="T420" i="2"/>
  <c r="I420" i="2"/>
  <c r="AG420" i="2"/>
  <c r="P420" i="2"/>
  <c r="K420" i="2"/>
  <c r="E420" i="2"/>
  <c r="F420" i="2"/>
  <c r="W420" i="2"/>
  <c r="AI420" i="2"/>
  <c r="B422" i="2" l="1"/>
  <c r="AI421" i="2"/>
  <c r="Y421" i="2"/>
  <c r="E421" i="2"/>
  <c r="N421" i="2"/>
  <c r="L421" i="2"/>
  <c r="AO421" i="2"/>
  <c r="F421" i="2"/>
  <c r="I421" i="2"/>
  <c r="X421" i="2"/>
  <c r="T421" i="2"/>
  <c r="AD421" i="2"/>
  <c r="P421" i="2"/>
  <c r="S421" i="2"/>
  <c r="Z421" i="2"/>
  <c r="D421" i="2"/>
  <c r="V421" i="2"/>
  <c r="AK421" i="2"/>
  <c r="K421" i="2"/>
  <c r="R421" i="2"/>
  <c r="M421" i="2"/>
  <c r="AE421" i="2"/>
  <c r="W421" i="2"/>
  <c r="AL421" i="2"/>
  <c r="O421" i="2"/>
  <c r="AJ421" i="2"/>
  <c r="C421" i="2"/>
  <c r="AA421" i="2"/>
  <c r="AC421" i="2"/>
  <c r="H421" i="2"/>
  <c r="AG421" i="2"/>
  <c r="AN421" i="2"/>
  <c r="AF421" i="2"/>
  <c r="Q421" i="2"/>
  <c r="U421" i="2"/>
  <c r="AH421" i="2"/>
  <c r="J421" i="2"/>
  <c r="AB421" i="2"/>
  <c r="G421" i="2"/>
  <c r="AM421" i="2"/>
  <c r="B423" i="2" l="1"/>
  <c r="AJ422" i="2"/>
  <c r="AD422" i="2"/>
  <c r="AN422" i="2"/>
  <c r="AI422" i="2"/>
  <c r="R422" i="2"/>
  <c r="AF422" i="2"/>
  <c r="AE422" i="2"/>
  <c r="J422" i="2"/>
  <c r="C422" i="2"/>
  <c r="I422" i="2"/>
  <c r="AO422" i="2"/>
  <c r="AM422" i="2"/>
  <c r="Q422" i="2"/>
  <c r="X422" i="2"/>
  <c r="U422" i="2"/>
  <c r="P422" i="2"/>
  <c r="AK422" i="2"/>
  <c r="AL422" i="2"/>
  <c r="M422" i="2"/>
  <c r="AG422" i="2"/>
  <c r="Z422" i="2"/>
  <c r="AA422" i="2"/>
  <c r="N422" i="2"/>
  <c r="G422" i="2"/>
  <c r="O422" i="2"/>
  <c r="W422" i="2"/>
  <c r="H422" i="2"/>
  <c r="E422" i="2"/>
  <c r="F422" i="2"/>
  <c r="Y422" i="2"/>
  <c r="AB422" i="2"/>
  <c r="T422" i="2"/>
  <c r="L422" i="2"/>
  <c r="AH422" i="2"/>
  <c r="D422" i="2"/>
  <c r="S422" i="2"/>
  <c r="V422" i="2"/>
  <c r="K422" i="2"/>
  <c r="AC422" i="2"/>
  <c r="B424" i="2" l="1"/>
  <c r="F423" i="2"/>
  <c r="J423" i="2"/>
  <c r="S423" i="2"/>
  <c r="U423" i="2"/>
  <c r="V423" i="2"/>
  <c r="AK423" i="2"/>
  <c r="P423" i="2"/>
  <c r="D423" i="2"/>
  <c r="AC423" i="2"/>
  <c r="K423" i="2"/>
  <c r="X423" i="2"/>
  <c r="G423" i="2"/>
  <c r="AN423" i="2"/>
  <c r="AH423" i="2"/>
  <c r="AM423" i="2"/>
  <c r="AO423" i="2"/>
  <c r="AI423" i="2"/>
  <c r="H423" i="2"/>
  <c r="AA423" i="2"/>
  <c r="W423" i="2"/>
  <c r="I423" i="2"/>
  <c r="N423" i="2"/>
  <c r="Z423" i="2"/>
  <c r="C423" i="2"/>
  <c r="M423" i="2"/>
  <c r="AF423" i="2"/>
  <c r="T423" i="2"/>
  <c r="AD423" i="2"/>
  <c r="L423" i="2"/>
  <c r="E423" i="2"/>
  <c r="AB423" i="2"/>
  <c r="O423" i="2"/>
  <c r="Y423" i="2"/>
  <c r="AJ423" i="2"/>
  <c r="Q423" i="2"/>
  <c r="R423" i="2"/>
  <c r="AL423" i="2"/>
  <c r="AG423" i="2"/>
  <c r="AE423" i="2"/>
  <c r="B425" i="2" l="1"/>
  <c r="AD424" i="2"/>
  <c r="N424" i="2"/>
  <c r="AI424" i="2"/>
  <c r="AF424" i="2"/>
  <c r="X424" i="2"/>
  <c r="AK424" i="2"/>
  <c r="T424" i="2"/>
  <c r="I424" i="2"/>
  <c r="J424" i="2"/>
  <c r="Z424" i="2"/>
  <c r="Q424" i="2"/>
  <c r="K424" i="2"/>
  <c r="M424" i="2"/>
  <c r="C424" i="2"/>
  <c r="L424" i="2"/>
  <c r="AN424" i="2"/>
  <c r="AJ424" i="2"/>
  <c r="U424" i="2"/>
  <c r="AM424" i="2"/>
  <c r="R424" i="2"/>
  <c r="G424" i="2"/>
  <c r="AL424" i="2"/>
  <c r="AH424" i="2"/>
  <c r="AG424" i="2"/>
  <c r="F424" i="2"/>
  <c r="AA424" i="2"/>
  <c r="S424" i="2"/>
  <c r="O424" i="2"/>
  <c r="AB424" i="2"/>
  <c r="AO424" i="2"/>
  <c r="AC424" i="2"/>
  <c r="P424" i="2"/>
  <c r="V424" i="2"/>
  <c r="W424" i="2"/>
  <c r="D424" i="2"/>
  <c r="E424" i="2"/>
  <c r="Y424" i="2"/>
  <c r="H424" i="2"/>
  <c r="AE424" i="2"/>
  <c r="B426" i="2" l="1"/>
  <c r="AM425" i="2"/>
  <c r="U425" i="2"/>
  <c r="Q425" i="2"/>
  <c r="O425" i="2"/>
  <c r="E425" i="2"/>
  <c r="AK425" i="2"/>
  <c r="I425" i="2"/>
  <c r="AO425" i="2"/>
  <c r="AG425" i="2"/>
  <c r="AC425" i="2"/>
  <c r="N425" i="2"/>
  <c r="AI425" i="2"/>
  <c r="AE425" i="2"/>
  <c r="W425" i="2"/>
  <c r="AA425" i="2"/>
  <c r="AH425" i="2"/>
  <c r="AD425" i="2"/>
  <c r="J425" i="2"/>
  <c r="K425" i="2"/>
  <c r="M425" i="2"/>
  <c r="R425" i="2"/>
  <c r="L425" i="2"/>
  <c r="AN425" i="2"/>
  <c r="Z425" i="2"/>
  <c r="F425" i="2"/>
  <c r="AB425" i="2"/>
  <c r="AJ425" i="2"/>
  <c r="V425" i="2"/>
  <c r="AF425" i="2"/>
  <c r="P425" i="2"/>
  <c r="S425" i="2"/>
  <c r="AL425" i="2"/>
  <c r="G425" i="2"/>
  <c r="D425" i="2"/>
  <c r="H425" i="2"/>
  <c r="Y425" i="2"/>
  <c r="C425" i="2"/>
  <c r="T425" i="2"/>
  <c r="X425" i="2"/>
  <c r="B427" i="2" l="1"/>
  <c r="C426" i="2"/>
  <c r="V426" i="2"/>
  <c r="AK426" i="2"/>
  <c r="E426" i="2"/>
  <c r="M426" i="2"/>
  <c r="O426" i="2"/>
  <c r="W426" i="2"/>
  <c r="I426" i="2"/>
  <c r="AE426" i="2"/>
  <c r="Y426" i="2"/>
  <c r="AH426" i="2"/>
  <c r="AD426" i="2"/>
  <c r="H426" i="2"/>
  <c r="Q426" i="2"/>
  <c r="N426" i="2"/>
  <c r="S426" i="2"/>
  <c r="L426" i="2"/>
  <c r="AJ426" i="2"/>
  <c r="J426" i="2"/>
  <c r="AA426" i="2"/>
  <c r="X426" i="2"/>
  <c r="AN426" i="2"/>
  <c r="P426" i="2"/>
  <c r="K426" i="2"/>
  <c r="AO426" i="2"/>
  <c r="T426" i="2"/>
  <c r="G426" i="2"/>
  <c r="F426" i="2"/>
  <c r="AI426" i="2"/>
  <c r="AL426" i="2"/>
  <c r="AB426" i="2"/>
  <c r="U426" i="2"/>
  <c r="AM426" i="2"/>
  <c r="AG426" i="2"/>
  <c r="AC426" i="2"/>
  <c r="AF426" i="2"/>
  <c r="D426" i="2"/>
  <c r="Z426" i="2"/>
  <c r="R426" i="2"/>
  <c r="B428" i="2" l="1"/>
  <c r="U427" i="2"/>
  <c r="I427" i="2"/>
  <c r="T427" i="2"/>
  <c r="Z427" i="2"/>
  <c r="R427" i="2"/>
  <c r="H427" i="2"/>
  <c r="AJ427" i="2"/>
  <c r="O427" i="2"/>
  <c r="E427" i="2"/>
  <c r="D427" i="2"/>
  <c r="W427" i="2"/>
  <c r="L427" i="2"/>
  <c r="S427" i="2"/>
  <c r="AC427" i="2"/>
  <c r="AI427" i="2"/>
  <c r="AN427" i="2"/>
  <c r="AB427" i="2"/>
  <c r="AD427" i="2"/>
  <c r="X427" i="2"/>
  <c r="AE427" i="2"/>
  <c r="N427" i="2"/>
  <c r="M427" i="2"/>
  <c r="J427" i="2"/>
  <c r="C427" i="2"/>
  <c r="K427" i="2"/>
  <c r="G427" i="2"/>
  <c r="Y427" i="2"/>
  <c r="AO427" i="2"/>
  <c r="F427" i="2"/>
  <c r="Q427" i="2"/>
  <c r="AF427" i="2"/>
  <c r="AH427" i="2"/>
  <c r="P427" i="2"/>
  <c r="AK427" i="2"/>
  <c r="AA427" i="2"/>
  <c r="AG427" i="2"/>
  <c r="V427" i="2"/>
  <c r="AL427" i="2"/>
  <c r="AM427" i="2"/>
  <c r="B429" i="2" l="1"/>
  <c r="Y428" i="2"/>
  <c r="AM428" i="2"/>
  <c r="M428" i="2"/>
  <c r="AF428" i="2"/>
  <c r="AC428" i="2"/>
  <c r="AA428" i="2"/>
  <c r="AO428" i="2"/>
  <c r="R428" i="2"/>
  <c r="I428" i="2"/>
  <c r="O428" i="2"/>
  <c r="C428" i="2"/>
  <c r="Q428" i="2"/>
  <c r="S428" i="2"/>
  <c r="T428" i="2"/>
  <c r="V428" i="2"/>
  <c r="E428" i="2"/>
  <c r="K428" i="2"/>
  <c r="AD428" i="2"/>
  <c r="AE428" i="2"/>
  <c r="AJ428" i="2"/>
  <c r="U428" i="2"/>
  <c r="X428" i="2"/>
  <c r="AB428" i="2"/>
  <c r="H428" i="2"/>
  <c r="D428" i="2"/>
  <c r="L428" i="2"/>
  <c r="P428" i="2"/>
  <c r="AI428" i="2"/>
  <c r="J428" i="2"/>
  <c r="G428" i="2"/>
  <c r="AN428" i="2"/>
  <c r="N428" i="2"/>
  <c r="AG428" i="2"/>
  <c r="Z428" i="2"/>
  <c r="AH428" i="2"/>
  <c r="F428" i="2"/>
  <c r="AK428" i="2"/>
  <c r="AL428" i="2"/>
  <c r="W428" i="2"/>
  <c r="B430" i="2" l="1"/>
  <c r="AI429" i="2"/>
  <c r="N429" i="2"/>
  <c r="W429" i="2"/>
  <c r="AB429" i="2"/>
  <c r="G429" i="2"/>
  <c r="L429" i="2"/>
  <c r="F429" i="2"/>
  <c r="AK429" i="2"/>
  <c r="E429" i="2"/>
  <c r="AJ429" i="2"/>
  <c r="D429" i="2"/>
  <c r="O429" i="2"/>
  <c r="AH429" i="2"/>
  <c r="S429" i="2"/>
  <c r="I429" i="2"/>
  <c r="AF429" i="2"/>
  <c r="J429" i="2"/>
  <c r="AL429" i="2"/>
  <c r="AG429" i="2"/>
  <c r="T429" i="2"/>
  <c r="C429" i="2"/>
  <c r="AO429" i="2"/>
  <c r="AC429" i="2"/>
  <c r="R429" i="2"/>
  <c r="AD429" i="2"/>
  <c r="Y429" i="2"/>
  <c r="H429" i="2"/>
  <c r="AE429" i="2"/>
  <c r="P429" i="2"/>
  <c r="AN429" i="2"/>
  <c r="V429" i="2"/>
  <c r="K429" i="2"/>
  <c r="AA429" i="2"/>
  <c r="Q429" i="2"/>
  <c r="U429" i="2"/>
  <c r="AM429" i="2"/>
  <c r="Z429" i="2"/>
  <c r="M429" i="2"/>
  <c r="X429" i="2"/>
  <c r="B431" i="2" l="1"/>
  <c r="AL430" i="2"/>
  <c r="AC430" i="2"/>
  <c r="J430" i="2"/>
  <c r="F430" i="2"/>
  <c r="W430" i="2"/>
  <c r="AH430" i="2"/>
  <c r="H430" i="2"/>
  <c r="K430" i="2"/>
  <c r="AG430" i="2"/>
  <c r="I430" i="2"/>
  <c r="N430" i="2"/>
  <c r="AI430" i="2"/>
  <c r="AE430" i="2"/>
  <c r="O430" i="2"/>
  <c r="AD430" i="2"/>
  <c r="U430" i="2"/>
  <c r="E430" i="2"/>
  <c r="Q430" i="2"/>
  <c r="AM430" i="2"/>
  <c r="R430" i="2"/>
  <c r="C430" i="2"/>
  <c r="Y430" i="2"/>
  <c r="AF430" i="2"/>
  <c r="M430" i="2"/>
  <c r="P430" i="2"/>
  <c r="AN430" i="2"/>
  <c r="AO430" i="2"/>
  <c r="L430" i="2"/>
  <c r="AK430" i="2"/>
  <c r="T430" i="2"/>
  <c r="AJ430" i="2"/>
  <c r="AB430" i="2"/>
  <c r="X430" i="2"/>
  <c r="D430" i="2"/>
  <c r="AA430" i="2"/>
  <c r="Z430" i="2"/>
  <c r="G430" i="2"/>
  <c r="S430" i="2"/>
  <c r="V430" i="2"/>
  <c r="B432" i="2" l="1"/>
  <c r="AB431" i="2"/>
  <c r="AL431" i="2"/>
  <c r="F431" i="2"/>
  <c r="AA431" i="2"/>
  <c r="L431" i="2"/>
  <c r="U431" i="2"/>
  <c r="V431" i="2"/>
  <c r="AO431" i="2"/>
  <c r="R431" i="2"/>
  <c r="AJ431" i="2"/>
  <c r="G431" i="2"/>
  <c r="AH431" i="2"/>
  <c r="W431" i="2"/>
  <c r="P431" i="2"/>
  <c r="I431" i="2"/>
  <c r="O431" i="2"/>
  <c r="H431" i="2"/>
  <c r="M431" i="2"/>
  <c r="D431" i="2"/>
  <c r="X431" i="2"/>
  <c r="AM431" i="2"/>
  <c r="C431" i="2"/>
  <c r="Z431" i="2"/>
  <c r="AK431" i="2"/>
  <c r="AC431" i="2"/>
  <c r="Q431" i="2"/>
  <c r="AD431" i="2"/>
  <c r="AG431" i="2"/>
  <c r="AF431" i="2"/>
  <c r="E431" i="2"/>
  <c r="N431" i="2"/>
  <c r="AI431" i="2"/>
  <c r="S431" i="2"/>
  <c r="T431" i="2"/>
  <c r="K431" i="2"/>
  <c r="Y431" i="2"/>
  <c r="J431" i="2"/>
  <c r="AE431" i="2"/>
  <c r="AN431" i="2"/>
  <c r="B433" i="2" l="1"/>
  <c r="Y432" i="2"/>
  <c r="Z432" i="2"/>
  <c r="AA432" i="2"/>
  <c r="W432" i="2"/>
  <c r="I432" i="2"/>
  <c r="S432" i="2"/>
  <c r="P432" i="2"/>
  <c r="AG432" i="2"/>
  <c r="U432" i="2"/>
  <c r="T432" i="2"/>
  <c r="H432" i="2"/>
  <c r="AM432" i="2"/>
  <c r="J432" i="2"/>
  <c r="M432" i="2"/>
  <c r="O432" i="2"/>
  <c r="AO432" i="2"/>
  <c r="AK432" i="2"/>
  <c r="V432" i="2"/>
  <c r="K432" i="2"/>
  <c r="C432" i="2"/>
  <c r="F432" i="2"/>
  <c r="AE432" i="2"/>
  <c r="R432" i="2"/>
  <c r="L432" i="2"/>
  <c r="N432" i="2"/>
  <c r="Q432" i="2"/>
  <c r="D432" i="2"/>
  <c r="AC432" i="2"/>
  <c r="AI432" i="2"/>
  <c r="G432" i="2"/>
  <c r="AF432" i="2"/>
  <c r="AJ432" i="2"/>
  <c r="AL432" i="2"/>
  <c r="E432" i="2"/>
  <c r="X432" i="2"/>
  <c r="AN432" i="2"/>
  <c r="AB432" i="2"/>
  <c r="AD432" i="2"/>
  <c r="AH432" i="2"/>
  <c r="B434" i="2" l="1"/>
  <c r="V433" i="2"/>
  <c r="J433" i="2"/>
  <c r="P433" i="2"/>
  <c r="AD433" i="2"/>
  <c r="L433" i="2"/>
  <c r="E433" i="2"/>
  <c r="AJ433" i="2"/>
  <c r="R433" i="2"/>
  <c r="Q433" i="2"/>
  <c r="AC433" i="2"/>
  <c r="G433" i="2"/>
  <c r="AM433" i="2"/>
  <c r="C433" i="2"/>
  <c r="N433" i="2"/>
  <c r="I433" i="2"/>
  <c r="O433" i="2"/>
  <c r="AL433" i="2"/>
  <c r="D433" i="2"/>
  <c r="AI433" i="2"/>
  <c r="AE433" i="2"/>
  <c r="W433" i="2"/>
  <c r="AO433" i="2"/>
  <c r="F433" i="2"/>
  <c r="M433" i="2"/>
  <c r="Z433" i="2"/>
  <c r="U433" i="2"/>
  <c r="AH433" i="2"/>
  <c r="AA433" i="2"/>
  <c r="AB433" i="2"/>
  <c r="X433" i="2"/>
  <c r="K433" i="2"/>
  <c r="AN433" i="2"/>
  <c r="AF433" i="2"/>
  <c r="Y433" i="2"/>
  <c r="H433" i="2"/>
  <c r="T433" i="2"/>
  <c r="AK433" i="2"/>
  <c r="AG433" i="2"/>
  <c r="S433" i="2"/>
  <c r="B435" i="2" l="1"/>
  <c r="V434" i="2"/>
  <c r="AJ434" i="2"/>
  <c r="X434" i="2"/>
  <c r="F434" i="2"/>
  <c r="Y434" i="2"/>
  <c r="AH434" i="2"/>
  <c r="AC434" i="2"/>
  <c r="AL434" i="2"/>
  <c r="AE434" i="2"/>
  <c r="AF434" i="2"/>
  <c r="L434" i="2"/>
  <c r="AI434" i="2"/>
  <c r="W434" i="2"/>
  <c r="E434" i="2"/>
  <c r="N434" i="2"/>
  <c r="AK434" i="2"/>
  <c r="AN434" i="2"/>
  <c r="AG434" i="2"/>
  <c r="D434" i="2"/>
  <c r="U434" i="2"/>
  <c r="AB434" i="2"/>
  <c r="AD434" i="2"/>
  <c r="M434" i="2"/>
  <c r="Q434" i="2"/>
  <c r="AM434" i="2"/>
  <c r="P434" i="2"/>
  <c r="K434" i="2"/>
  <c r="J434" i="2"/>
  <c r="C434" i="2"/>
  <c r="AA434" i="2"/>
  <c r="T434" i="2"/>
  <c r="I434" i="2"/>
  <c r="R434" i="2"/>
  <c r="S434" i="2"/>
  <c r="AO434" i="2"/>
  <c r="Z434" i="2"/>
  <c r="G434" i="2"/>
  <c r="H434" i="2"/>
  <c r="O434" i="2"/>
  <c r="B436" i="2" l="1"/>
  <c r="AM435" i="2"/>
  <c r="AA435" i="2"/>
  <c r="H435" i="2"/>
  <c r="I435" i="2"/>
  <c r="AE435" i="2"/>
  <c r="U435" i="2"/>
  <c r="AO435" i="2"/>
  <c r="G435" i="2"/>
  <c r="AH435" i="2"/>
  <c r="F435" i="2"/>
  <c r="M435" i="2"/>
  <c r="AL435" i="2"/>
  <c r="Z435" i="2"/>
  <c r="R435" i="2"/>
  <c r="AC435" i="2"/>
  <c r="T435" i="2"/>
  <c r="L435" i="2"/>
  <c r="O435" i="2"/>
  <c r="AF435" i="2"/>
  <c r="AK435" i="2"/>
  <c r="AN435" i="2"/>
  <c r="V435" i="2"/>
  <c r="AB435" i="2"/>
  <c r="W435" i="2"/>
  <c r="Q435" i="2"/>
  <c r="E435" i="2"/>
  <c r="AI435" i="2"/>
  <c r="P435" i="2"/>
  <c r="D435" i="2"/>
  <c r="S435" i="2"/>
  <c r="K435" i="2"/>
  <c r="AJ435" i="2"/>
  <c r="AD435" i="2"/>
  <c r="X435" i="2"/>
  <c r="C435" i="2"/>
  <c r="J435" i="2"/>
  <c r="N435" i="2"/>
  <c r="Y435" i="2"/>
  <c r="AG435" i="2"/>
  <c r="B437" i="2" l="1"/>
  <c r="AM436" i="2"/>
  <c r="V436" i="2"/>
  <c r="G436" i="2"/>
  <c r="W436" i="2"/>
  <c r="Z436" i="2"/>
  <c r="J436" i="2"/>
  <c r="AO436" i="2"/>
  <c r="AL436" i="2"/>
  <c r="I436" i="2"/>
  <c r="N436" i="2"/>
  <c r="X436" i="2"/>
  <c r="R436" i="2"/>
  <c r="L436" i="2"/>
  <c r="AI436" i="2"/>
  <c r="M436" i="2"/>
  <c r="Q436" i="2"/>
  <c r="P436" i="2"/>
  <c r="F436" i="2"/>
  <c r="Y436" i="2"/>
  <c r="O436" i="2"/>
  <c r="AA436" i="2"/>
  <c r="D436" i="2"/>
  <c r="AF436" i="2"/>
  <c r="AG436" i="2"/>
  <c r="AC436" i="2"/>
  <c r="T436" i="2"/>
  <c r="S436" i="2"/>
  <c r="C436" i="2"/>
  <c r="K436" i="2"/>
  <c r="AB436" i="2"/>
  <c r="AE436" i="2"/>
  <c r="AJ436" i="2"/>
  <c r="E436" i="2"/>
  <c r="AH436" i="2"/>
  <c r="AK436" i="2"/>
  <c r="AD436" i="2"/>
  <c r="H436" i="2"/>
  <c r="AN436" i="2"/>
  <c r="U436" i="2"/>
  <c r="B438" i="2" l="1"/>
  <c r="E437" i="2"/>
  <c r="G437" i="2"/>
  <c r="Q437" i="2"/>
  <c r="P437" i="2"/>
  <c r="AF437" i="2"/>
  <c r="AO437" i="2"/>
  <c r="W437" i="2"/>
  <c r="Z437" i="2"/>
  <c r="AA437" i="2"/>
  <c r="AD437" i="2"/>
  <c r="V437" i="2"/>
  <c r="AE437" i="2"/>
  <c r="AK437" i="2"/>
  <c r="X437" i="2"/>
  <c r="N437" i="2"/>
  <c r="S437" i="2"/>
  <c r="AH437" i="2"/>
  <c r="C437" i="2"/>
  <c r="T437" i="2"/>
  <c r="AJ437" i="2"/>
  <c r="F437" i="2"/>
  <c r="AN437" i="2"/>
  <c r="K437" i="2"/>
  <c r="D437" i="2"/>
  <c r="O437" i="2"/>
  <c r="AL437" i="2"/>
  <c r="AG437" i="2"/>
  <c r="M437" i="2"/>
  <c r="Y437" i="2"/>
  <c r="U437" i="2"/>
  <c r="L437" i="2"/>
  <c r="AC437" i="2"/>
  <c r="AB437" i="2"/>
  <c r="H437" i="2"/>
  <c r="I437" i="2"/>
  <c r="AM437" i="2"/>
  <c r="R437" i="2"/>
  <c r="AI437" i="2"/>
  <c r="J437" i="2"/>
  <c r="B439" i="2" l="1"/>
  <c r="J438" i="2"/>
  <c r="E438" i="2"/>
  <c r="AF438" i="2"/>
  <c r="AH438" i="2"/>
  <c r="I438" i="2"/>
  <c r="AO438" i="2"/>
  <c r="X438" i="2"/>
  <c r="K438" i="2"/>
  <c r="P438" i="2"/>
  <c r="F438" i="2"/>
  <c r="AL438" i="2"/>
  <c r="AE438" i="2"/>
  <c r="Q438" i="2"/>
  <c r="T438" i="2"/>
  <c r="W438" i="2"/>
  <c r="C438" i="2"/>
  <c r="N438" i="2"/>
  <c r="G438" i="2"/>
  <c r="Y438" i="2"/>
  <c r="AI438" i="2"/>
  <c r="AB438" i="2"/>
  <c r="U438" i="2"/>
  <c r="AD438" i="2"/>
  <c r="AA438" i="2"/>
  <c r="L438" i="2"/>
  <c r="R438" i="2"/>
  <c r="AK438" i="2"/>
  <c r="AC438" i="2"/>
  <c r="Z438" i="2"/>
  <c r="M438" i="2"/>
  <c r="AN438" i="2"/>
  <c r="V438" i="2"/>
  <c r="AM438" i="2"/>
  <c r="D438" i="2"/>
  <c r="S438" i="2"/>
  <c r="O438" i="2"/>
  <c r="H438" i="2"/>
  <c r="AG438" i="2"/>
  <c r="AJ438" i="2"/>
  <c r="B440" i="2" l="1"/>
  <c r="C439" i="2"/>
  <c r="E439" i="2"/>
  <c r="W439" i="2"/>
  <c r="AF439" i="2"/>
  <c r="AO439" i="2"/>
  <c r="AC439" i="2"/>
  <c r="AA439" i="2"/>
  <c r="AN439" i="2"/>
  <c r="X439" i="2"/>
  <c r="AE439" i="2"/>
  <c r="AM439" i="2"/>
  <c r="K439" i="2"/>
  <c r="AD439" i="2"/>
  <c r="M439" i="2"/>
  <c r="AB439" i="2"/>
  <c r="V439" i="2"/>
  <c r="F439" i="2"/>
  <c r="AH439" i="2"/>
  <c r="Q439" i="2"/>
  <c r="G439" i="2"/>
  <c r="I439" i="2"/>
  <c r="Z439" i="2"/>
  <c r="AI439" i="2"/>
  <c r="T439" i="2"/>
  <c r="O439" i="2"/>
  <c r="D439" i="2"/>
  <c r="S439" i="2"/>
  <c r="AK439" i="2"/>
  <c r="Y439" i="2"/>
  <c r="AJ439" i="2"/>
  <c r="L439" i="2"/>
  <c r="R439" i="2"/>
  <c r="U439" i="2"/>
  <c r="N439" i="2"/>
  <c r="P439" i="2"/>
  <c r="AL439" i="2"/>
  <c r="J439" i="2"/>
  <c r="H439" i="2"/>
  <c r="AG439" i="2"/>
  <c r="B441" i="2" l="1"/>
  <c r="Y440" i="2"/>
  <c r="Z440" i="2"/>
  <c r="AA440" i="2"/>
  <c r="AM440" i="2"/>
  <c r="H440" i="2"/>
  <c r="W440" i="2"/>
  <c r="AK440" i="2"/>
  <c r="F440" i="2"/>
  <c r="G440" i="2"/>
  <c r="AB440" i="2"/>
  <c r="AH440" i="2"/>
  <c r="AN440" i="2"/>
  <c r="AC440" i="2"/>
  <c r="X440" i="2"/>
  <c r="Q440" i="2"/>
  <c r="R440" i="2"/>
  <c r="AL440" i="2"/>
  <c r="AE440" i="2"/>
  <c r="AI440" i="2"/>
  <c r="S440" i="2"/>
  <c r="L440" i="2"/>
  <c r="M440" i="2"/>
  <c r="AF440" i="2"/>
  <c r="P440" i="2"/>
  <c r="K440" i="2"/>
  <c r="D440" i="2"/>
  <c r="E440" i="2"/>
  <c r="C440" i="2"/>
  <c r="AO440" i="2"/>
  <c r="AJ440" i="2"/>
  <c r="I440" i="2"/>
  <c r="N440" i="2"/>
  <c r="AG440" i="2"/>
  <c r="J440" i="2"/>
  <c r="AD440" i="2"/>
  <c r="V440" i="2"/>
  <c r="T440" i="2"/>
  <c r="U440" i="2"/>
  <c r="O440" i="2"/>
  <c r="B442" i="2" l="1"/>
  <c r="S441" i="2"/>
  <c r="AF441" i="2"/>
  <c r="L441" i="2"/>
  <c r="W441" i="2"/>
  <c r="U441" i="2"/>
  <c r="AH441" i="2"/>
  <c r="R441" i="2"/>
  <c r="M441" i="2"/>
  <c r="AC441" i="2"/>
  <c r="Q441" i="2"/>
  <c r="P441" i="2"/>
  <c r="AG441" i="2"/>
  <c r="AL441" i="2"/>
  <c r="F441" i="2"/>
  <c r="AE441" i="2"/>
  <c r="J441" i="2"/>
  <c r="AM441" i="2"/>
  <c r="AJ441" i="2"/>
  <c r="X441" i="2"/>
  <c r="AN441" i="2"/>
  <c r="I441" i="2"/>
  <c r="G441" i="2"/>
  <c r="AD441" i="2"/>
  <c r="T441" i="2"/>
  <c r="AI441" i="2"/>
  <c r="AB441" i="2"/>
  <c r="H441" i="2"/>
  <c r="C441" i="2"/>
  <c r="E441" i="2"/>
  <c r="AO441" i="2"/>
  <c r="Z441" i="2"/>
  <c r="AK441" i="2"/>
  <c r="N441" i="2"/>
  <c r="K441" i="2"/>
  <c r="D441" i="2"/>
  <c r="V441" i="2"/>
  <c r="O441" i="2"/>
  <c r="AA441" i="2"/>
  <c r="Y441" i="2"/>
  <c r="B443" i="2" l="1"/>
  <c r="AH442" i="2"/>
  <c r="I442" i="2"/>
  <c r="R442" i="2"/>
  <c r="G442" i="2"/>
  <c r="C442" i="2"/>
  <c r="AK442" i="2"/>
  <c r="V442" i="2"/>
  <c r="AI442" i="2"/>
  <c r="F442" i="2"/>
  <c r="J442" i="2"/>
  <c r="D442" i="2"/>
  <c r="AD442" i="2"/>
  <c r="AC442" i="2"/>
  <c r="H442" i="2"/>
  <c r="AG442" i="2"/>
  <c r="N442" i="2"/>
  <c r="Q442" i="2"/>
  <c r="AM442" i="2"/>
  <c r="AA442" i="2"/>
  <c r="AB442" i="2"/>
  <c r="AN442" i="2"/>
  <c r="AF442" i="2"/>
  <c r="U442" i="2"/>
  <c r="AE442" i="2"/>
  <c r="Y442" i="2"/>
  <c r="X442" i="2"/>
  <c r="T442" i="2"/>
  <c r="O442" i="2"/>
  <c r="W442" i="2"/>
  <c r="E442" i="2"/>
  <c r="S442" i="2"/>
  <c r="M442" i="2"/>
  <c r="P442" i="2"/>
  <c r="Z442" i="2"/>
  <c r="AJ442" i="2"/>
  <c r="L442" i="2"/>
  <c r="AL442" i="2"/>
  <c r="AO442" i="2"/>
  <c r="K442" i="2"/>
  <c r="B444" i="2" l="1"/>
  <c r="AF443" i="2"/>
  <c r="L443" i="2"/>
  <c r="S443" i="2"/>
  <c r="J443" i="2"/>
  <c r="X443" i="2"/>
  <c r="AM443" i="2"/>
  <c r="AK443" i="2"/>
  <c r="N443" i="2"/>
  <c r="AA443" i="2"/>
  <c r="F443" i="2"/>
  <c r="AE443" i="2"/>
  <c r="Z443" i="2"/>
  <c r="G443" i="2"/>
  <c r="R443" i="2"/>
  <c r="P443" i="2"/>
  <c r="AB443" i="2"/>
  <c r="V443" i="2"/>
  <c r="U443" i="2"/>
  <c r="AN443" i="2"/>
  <c r="AO443" i="2"/>
  <c r="Q443" i="2"/>
  <c r="Y443" i="2"/>
  <c r="AG443" i="2"/>
  <c r="W443" i="2"/>
  <c r="AI443" i="2"/>
  <c r="K443" i="2"/>
  <c r="AH443" i="2"/>
  <c r="M443" i="2"/>
  <c r="AD443" i="2"/>
  <c r="C443" i="2"/>
  <c r="D443" i="2"/>
  <c r="I443" i="2"/>
  <c r="AJ443" i="2"/>
  <c r="E443" i="2"/>
  <c r="O443" i="2"/>
  <c r="T443" i="2"/>
  <c r="AC443" i="2"/>
  <c r="AL443" i="2"/>
  <c r="H443" i="2"/>
  <c r="B445" i="2" l="1"/>
  <c r="AB444" i="2"/>
  <c r="N444" i="2"/>
  <c r="AN444" i="2"/>
  <c r="K444" i="2"/>
  <c r="D444" i="2"/>
  <c r="T444" i="2"/>
  <c r="Z444" i="2"/>
  <c r="Y444" i="2"/>
  <c r="AA444" i="2"/>
  <c r="AM444" i="2"/>
  <c r="P444" i="2"/>
  <c r="O444" i="2"/>
  <c r="AO444" i="2"/>
  <c r="E444" i="2"/>
  <c r="AC444" i="2"/>
  <c r="AI444" i="2"/>
  <c r="M444" i="2"/>
  <c r="AD444" i="2"/>
  <c r="I444" i="2"/>
  <c r="Q444" i="2"/>
  <c r="G444" i="2"/>
  <c r="L444" i="2"/>
  <c r="J444" i="2"/>
  <c r="AG444" i="2"/>
  <c r="V444" i="2"/>
  <c r="X444" i="2"/>
  <c r="C444" i="2"/>
  <c r="U444" i="2"/>
  <c r="AF444" i="2"/>
  <c r="AL444" i="2"/>
  <c r="AJ444" i="2"/>
  <c r="F444" i="2"/>
  <c r="R444" i="2"/>
  <c r="H444" i="2"/>
  <c r="AE444" i="2"/>
  <c r="S444" i="2"/>
  <c r="AH444" i="2"/>
  <c r="W444" i="2"/>
  <c r="AK444" i="2"/>
  <c r="B446" i="2" l="1"/>
  <c r="G445" i="2"/>
  <c r="AK445" i="2"/>
  <c r="M445" i="2"/>
  <c r="N445" i="2"/>
  <c r="K445" i="2"/>
  <c r="AE445" i="2"/>
  <c r="D445" i="2"/>
  <c r="AG445" i="2"/>
  <c r="H445" i="2"/>
  <c r="S445" i="2"/>
  <c r="L445" i="2"/>
  <c r="AH445" i="2"/>
  <c r="AC445" i="2"/>
  <c r="AN445" i="2"/>
  <c r="R445" i="2"/>
  <c r="AD445" i="2"/>
  <c r="C445" i="2"/>
  <c r="U445" i="2"/>
  <c r="Y445" i="2"/>
  <c r="E445" i="2"/>
  <c r="O445" i="2"/>
  <c r="I445" i="2"/>
  <c r="AB445" i="2"/>
  <c r="Z445" i="2"/>
  <c r="W445" i="2"/>
  <c r="AJ445" i="2"/>
  <c r="T445" i="2"/>
  <c r="P445" i="2"/>
  <c r="AA445" i="2"/>
  <c r="Q445" i="2"/>
  <c r="AF445" i="2"/>
  <c r="J445" i="2"/>
  <c r="V445" i="2"/>
  <c r="AO445" i="2"/>
  <c r="AM445" i="2"/>
  <c r="F445" i="2"/>
  <c r="AI445" i="2"/>
  <c r="AL445" i="2"/>
  <c r="X445" i="2"/>
  <c r="B447" i="2" l="1"/>
  <c r="V446" i="2"/>
  <c r="AI446" i="2"/>
  <c r="M446" i="2"/>
  <c r="S446" i="2"/>
  <c r="U446" i="2"/>
  <c r="N446" i="2"/>
  <c r="I446" i="2"/>
  <c r="Y446" i="2"/>
  <c r="AL446" i="2"/>
  <c r="X446" i="2"/>
  <c r="AH446" i="2"/>
  <c r="AG446" i="2"/>
  <c r="AF446" i="2"/>
  <c r="AK446" i="2"/>
  <c r="AJ446" i="2"/>
  <c r="L446" i="2"/>
  <c r="AD446" i="2"/>
  <c r="W446" i="2"/>
  <c r="J446" i="2"/>
  <c r="Z446" i="2"/>
  <c r="D446" i="2"/>
  <c r="AB446" i="2"/>
  <c r="AM446" i="2"/>
  <c r="F446" i="2"/>
  <c r="H446" i="2"/>
  <c r="AO446" i="2"/>
  <c r="R446" i="2"/>
  <c r="AC446" i="2"/>
  <c r="Q446" i="2"/>
  <c r="K446" i="2"/>
  <c r="P446" i="2"/>
  <c r="G446" i="2"/>
  <c r="E446" i="2"/>
  <c r="T446" i="2"/>
  <c r="AE446" i="2"/>
  <c r="C446" i="2"/>
  <c r="O446" i="2"/>
  <c r="AA446" i="2"/>
  <c r="AN446" i="2"/>
  <c r="B448" i="2" l="1"/>
  <c r="P447" i="2"/>
  <c r="O447" i="2"/>
  <c r="AA447" i="2"/>
  <c r="I447" i="2"/>
  <c r="U447" i="2"/>
  <c r="E447" i="2"/>
  <c r="AF447" i="2"/>
  <c r="N447" i="2"/>
  <c r="L447" i="2"/>
  <c r="AK447" i="2"/>
  <c r="AG447" i="2"/>
  <c r="G447" i="2"/>
  <c r="S447" i="2"/>
  <c r="V447" i="2"/>
  <c r="AM447" i="2"/>
  <c r="R447" i="2"/>
  <c r="H447" i="2"/>
  <c r="D447" i="2"/>
  <c r="Y447" i="2"/>
  <c r="Q447" i="2"/>
  <c r="AB447" i="2"/>
  <c r="AO447" i="2"/>
  <c r="Z447" i="2"/>
  <c r="X447" i="2"/>
  <c r="M447" i="2"/>
  <c r="AJ447" i="2"/>
  <c r="C447" i="2"/>
  <c r="AH447" i="2"/>
  <c r="AD447" i="2"/>
  <c r="AN447" i="2"/>
  <c r="K447" i="2"/>
  <c r="T447" i="2"/>
  <c r="W447" i="2"/>
  <c r="F447" i="2"/>
  <c r="J447" i="2"/>
  <c r="AC447" i="2"/>
  <c r="AL447" i="2"/>
  <c r="AI447" i="2"/>
  <c r="AE447" i="2"/>
  <c r="B449" i="2" l="1"/>
  <c r="O448" i="2"/>
  <c r="M448" i="2"/>
  <c r="AA448" i="2"/>
  <c r="P448" i="2"/>
  <c r="I448" i="2"/>
  <c r="T448" i="2"/>
  <c r="S448" i="2"/>
  <c r="AN448" i="2"/>
  <c r="AE448" i="2"/>
  <c r="N448" i="2"/>
  <c r="AH448" i="2"/>
  <c r="AJ448" i="2"/>
  <c r="Q448" i="2"/>
  <c r="AG448" i="2"/>
  <c r="H448" i="2"/>
  <c r="C448" i="2"/>
  <c r="F448" i="2"/>
  <c r="AI448" i="2"/>
  <c r="AM448" i="2"/>
  <c r="AC448" i="2"/>
  <c r="Z448" i="2"/>
  <c r="AO448" i="2"/>
  <c r="V448" i="2"/>
  <c r="W448" i="2"/>
  <c r="K448" i="2"/>
  <c r="AF448" i="2"/>
  <c r="R448" i="2"/>
  <c r="E448" i="2"/>
  <c r="D448" i="2"/>
  <c r="AK448" i="2"/>
  <c r="L448" i="2"/>
  <c r="U448" i="2"/>
  <c r="G448" i="2"/>
  <c r="J448" i="2"/>
  <c r="AL448" i="2"/>
  <c r="X448" i="2"/>
  <c r="AD448" i="2"/>
  <c r="AB448" i="2"/>
  <c r="Y448" i="2"/>
  <c r="B450" i="2" l="1"/>
  <c r="AG449" i="2"/>
  <c r="AA449" i="2"/>
  <c r="U449" i="2"/>
  <c r="AI449" i="2"/>
  <c r="V449" i="2"/>
  <c r="D449" i="2"/>
  <c r="T449" i="2"/>
  <c r="AD449" i="2"/>
  <c r="R449" i="2"/>
  <c r="AL449" i="2"/>
  <c r="K449" i="2"/>
  <c r="N449" i="2"/>
  <c r="AJ449" i="2"/>
  <c r="E449" i="2"/>
  <c r="G449" i="2"/>
  <c r="AO449" i="2"/>
  <c r="AN449" i="2"/>
  <c r="W449" i="2"/>
  <c r="F449" i="2"/>
  <c r="Z449" i="2"/>
  <c r="AM449" i="2"/>
  <c r="Y449" i="2"/>
  <c r="M449" i="2"/>
  <c r="AK449" i="2"/>
  <c r="Q449" i="2"/>
  <c r="AC449" i="2"/>
  <c r="J449" i="2"/>
  <c r="AB449" i="2"/>
  <c r="P449" i="2"/>
  <c r="X449" i="2"/>
  <c r="C449" i="2"/>
  <c r="AE449" i="2"/>
  <c r="L449" i="2"/>
  <c r="S449" i="2"/>
  <c r="AH449" i="2"/>
  <c r="AF449" i="2"/>
  <c r="H449" i="2"/>
  <c r="I449" i="2"/>
  <c r="O449" i="2"/>
  <c r="B451" i="2" l="1"/>
  <c r="F450" i="2"/>
  <c r="W450" i="2"/>
  <c r="AO450" i="2"/>
  <c r="AD450" i="2"/>
  <c r="Y450" i="2"/>
  <c r="AH450" i="2"/>
  <c r="AI450" i="2"/>
  <c r="I450" i="2"/>
  <c r="AM450" i="2"/>
  <c r="X450" i="2"/>
  <c r="E450" i="2"/>
  <c r="AE450" i="2"/>
  <c r="H450" i="2"/>
  <c r="N450" i="2"/>
  <c r="D450" i="2"/>
  <c r="AG450" i="2"/>
  <c r="P450" i="2"/>
  <c r="L450" i="2"/>
  <c r="AL450" i="2"/>
  <c r="AK450" i="2"/>
  <c r="AN450" i="2"/>
  <c r="AF450" i="2"/>
  <c r="J450" i="2"/>
  <c r="AJ450" i="2"/>
  <c r="Z450" i="2"/>
  <c r="U450" i="2"/>
  <c r="AC450" i="2"/>
  <c r="V450" i="2"/>
  <c r="M450" i="2"/>
  <c r="S450" i="2"/>
  <c r="K450" i="2"/>
  <c r="AB450" i="2"/>
  <c r="AA450" i="2"/>
  <c r="G450" i="2"/>
  <c r="R450" i="2"/>
  <c r="T450" i="2"/>
  <c r="Q450" i="2"/>
  <c r="O450" i="2"/>
  <c r="C450" i="2"/>
  <c r="B452" i="2" l="1"/>
  <c r="O451" i="2"/>
  <c r="J451" i="2"/>
  <c r="V451" i="2"/>
  <c r="U451" i="2"/>
  <c r="N451" i="2"/>
  <c r="AE451" i="2"/>
  <c r="I451" i="2"/>
  <c r="AO451" i="2"/>
  <c r="AA451" i="2"/>
  <c r="P451" i="2"/>
  <c r="AJ451" i="2"/>
  <c r="AH451" i="2"/>
  <c r="X451" i="2"/>
  <c r="F451" i="2"/>
  <c r="L451" i="2"/>
  <c r="M451" i="2"/>
  <c r="AI451" i="2"/>
  <c r="AM451" i="2"/>
  <c r="Q451" i="2"/>
  <c r="T451" i="2"/>
  <c r="S451" i="2"/>
  <c r="AN451" i="2"/>
  <c r="R451" i="2"/>
  <c r="K451" i="2"/>
  <c r="E451" i="2"/>
  <c r="C451" i="2"/>
  <c r="AC451" i="2"/>
  <c r="W451" i="2"/>
  <c r="AL451" i="2"/>
  <c r="AD451" i="2"/>
  <c r="AB451" i="2"/>
  <c r="AG451" i="2"/>
  <c r="D451" i="2"/>
  <c r="G451" i="2"/>
  <c r="Z451" i="2"/>
  <c r="AK451" i="2"/>
  <c r="H451" i="2"/>
  <c r="AF451" i="2"/>
  <c r="Y451" i="2"/>
  <c r="B453" i="2" l="1"/>
  <c r="W452" i="2"/>
  <c r="AB452" i="2"/>
  <c r="R452" i="2"/>
  <c r="S452" i="2"/>
  <c r="AN452" i="2"/>
  <c r="V452" i="2"/>
  <c r="AD452" i="2"/>
  <c r="H452" i="2"/>
  <c r="T452" i="2"/>
  <c r="AA452" i="2"/>
  <c r="X452" i="2"/>
  <c r="AH452" i="2"/>
  <c r="N452" i="2"/>
  <c r="C452" i="2"/>
  <c r="G452" i="2"/>
  <c r="E452" i="2"/>
  <c r="Q452" i="2"/>
  <c r="K452" i="2"/>
  <c r="AJ452" i="2"/>
  <c r="AO452" i="2"/>
  <c r="AF452" i="2"/>
  <c r="J452" i="2"/>
  <c r="O452" i="2"/>
  <c r="P452" i="2"/>
  <c r="Z452" i="2"/>
  <c r="F452" i="2"/>
  <c r="AC452" i="2"/>
  <c r="AM452" i="2"/>
  <c r="M452" i="2"/>
  <c r="AK452" i="2"/>
  <c r="I452" i="2"/>
  <c r="Y452" i="2"/>
  <c r="D452" i="2"/>
  <c r="U452" i="2"/>
  <c r="AG452" i="2"/>
  <c r="L452" i="2"/>
  <c r="AE452" i="2"/>
  <c r="AI452" i="2"/>
  <c r="AL452" i="2"/>
  <c r="B454" i="2" l="1"/>
  <c r="AN453" i="2"/>
  <c r="S453" i="2"/>
  <c r="O453" i="2"/>
  <c r="Q453" i="2"/>
  <c r="V453" i="2"/>
  <c r="D453" i="2"/>
  <c r="AH453" i="2"/>
  <c r="AF453" i="2"/>
  <c r="AI453" i="2"/>
  <c r="AM453" i="2"/>
  <c r="I453" i="2"/>
  <c r="L453" i="2"/>
  <c r="G453" i="2"/>
  <c r="E453" i="2"/>
  <c r="K453" i="2"/>
  <c r="Z453" i="2"/>
  <c r="F453" i="2"/>
  <c r="AB453" i="2"/>
  <c r="C453" i="2"/>
  <c r="AJ453" i="2"/>
  <c r="H453" i="2"/>
  <c r="AA453" i="2"/>
  <c r="AL453" i="2"/>
  <c r="W453" i="2"/>
  <c r="T453" i="2"/>
  <c r="U453" i="2"/>
  <c r="J453" i="2"/>
  <c r="AO453" i="2"/>
  <c r="R453" i="2"/>
  <c r="AK453" i="2"/>
  <c r="AG453" i="2"/>
  <c r="AE453" i="2"/>
  <c r="P453" i="2"/>
  <c r="AD453" i="2"/>
  <c r="N453" i="2"/>
  <c r="X453" i="2"/>
  <c r="M453" i="2"/>
  <c r="AC453" i="2"/>
  <c r="Y453" i="2"/>
  <c r="B455" i="2" l="1"/>
  <c r="AH454" i="2"/>
  <c r="L454" i="2"/>
  <c r="AD454" i="2"/>
  <c r="AE454" i="2"/>
  <c r="AA454" i="2"/>
  <c r="AF454" i="2"/>
  <c r="AL454" i="2"/>
  <c r="AO454" i="2"/>
  <c r="H454" i="2"/>
  <c r="S454" i="2"/>
  <c r="K454" i="2"/>
  <c r="D454" i="2"/>
  <c r="P454" i="2"/>
  <c r="AJ454" i="2"/>
  <c r="N454" i="2"/>
  <c r="C454" i="2"/>
  <c r="U454" i="2"/>
  <c r="Q454" i="2"/>
  <c r="AN454" i="2"/>
  <c r="Z454" i="2"/>
  <c r="X454" i="2"/>
  <c r="V454" i="2"/>
  <c r="AM454" i="2"/>
  <c r="E454" i="2"/>
  <c r="O454" i="2"/>
  <c r="AG454" i="2"/>
  <c r="AB454" i="2"/>
  <c r="J454" i="2"/>
  <c r="F454" i="2"/>
  <c r="Y454" i="2"/>
  <c r="AC454" i="2"/>
  <c r="AK454" i="2"/>
  <c r="M454" i="2"/>
  <c r="R454" i="2"/>
  <c r="AI454" i="2"/>
  <c r="I454" i="2"/>
  <c r="T454" i="2"/>
  <c r="W454" i="2"/>
  <c r="G454" i="2"/>
  <c r="B456" i="2" l="1"/>
  <c r="N455" i="2"/>
  <c r="K455" i="2"/>
  <c r="I455" i="2"/>
  <c r="AF455" i="2"/>
  <c r="S455" i="2"/>
  <c r="AK455" i="2"/>
  <c r="L455" i="2"/>
  <c r="AJ455" i="2"/>
  <c r="R455" i="2"/>
  <c r="AD455" i="2"/>
  <c r="M455" i="2"/>
  <c r="AE455" i="2"/>
  <c r="J455" i="2"/>
  <c r="AN455" i="2"/>
  <c r="AH455" i="2"/>
  <c r="V455" i="2"/>
  <c r="G455" i="2"/>
  <c r="O455" i="2"/>
  <c r="Y455" i="2"/>
  <c r="Z455" i="2"/>
  <c r="AA455" i="2"/>
  <c r="AI455" i="2"/>
  <c r="U455" i="2"/>
  <c r="X455" i="2"/>
  <c r="T455" i="2"/>
  <c r="C455" i="2"/>
  <c r="H455" i="2"/>
  <c r="AB455" i="2"/>
  <c r="AO455" i="2"/>
  <c r="AC455" i="2"/>
  <c r="W455" i="2"/>
  <c r="E455" i="2"/>
  <c r="AL455" i="2"/>
  <c r="P455" i="2"/>
  <c r="AM455" i="2"/>
  <c r="F455" i="2"/>
  <c r="Q455" i="2"/>
  <c r="D455" i="2"/>
  <c r="AG455" i="2"/>
  <c r="B457" i="2" l="1"/>
  <c r="AK456" i="2"/>
  <c r="N456" i="2"/>
  <c r="D456" i="2"/>
  <c r="R456" i="2"/>
  <c r="AJ456" i="2"/>
  <c r="S456" i="2"/>
  <c r="Q456" i="2"/>
  <c r="AA456" i="2"/>
  <c r="AI456" i="2"/>
  <c r="K456" i="2"/>
  <c r="L456" i="2"/>
  <c r="F456" i="2"/>
  <c r="AE456" i="2"/>
  <c r="U456" i="2"/>
  <c r="AN456" i="2"/>
  <c r="AF456" i="2"/>
  <c r="C456" i="2"/>
  <c r="I456" i="2"/>
  <c r="X456" i="2"/>
  <c r="M456" i="2"/>
  <c r="AL456" i="2"/>
  <c r="AO456" i="2"/>
  <c r="T456" i="2"/>
  <c r="E456" i="2"/>
  <c r="AH456" i="2"/>
  <c r="H456" i="2"/>
  <c r="AB456" i="2"/>
  <c r="O456" i="2"/>
  <c r="W456" i="2"/>
  <c r="AM456" i="2"/>
  <c r="P456" i="2"/>
  <c r="AD456" i="2"/>
  <c r="Z456" i="2"/>
  <c r="Y456" i="2"/>
  <c r="AG456" i="2"/>
  <c r="AC456" i="2"/>
  <c r="G456" i="2"/>
  <c r="V456" i="2"/>
  <c r="J456" i="2"/>
  <c r="B458" i="2" l="1"/>
  <c r="P457" i="2"/>
  <c r="D457" i="2"/>
  <c r="Q457" i="2"/>
  <c r="AC457" i="2"/>
  <c r="AO457" i="2"/>
  <c r="AD457" i="2"/>
  <c r="X457" i="2"/>
  <c r="Y457" i="2"/>
  <c r="AB457" i="2"/>
  <c r="S457" i="2"/>
  <c r="M457" i="2"/>
  <c r="J457" i="2"/>
  <c r="AH457" i="2"/>
  <c r="R457" i="2"/>
  <c r="AM457" i="2"/>
  <c r="AI457" i="2"/>
  <c r="V457" i="2"/>
  <c r="AN457" i="2"/>
  <c r="W457" i="2"/>
  <c r="AJ457" i="2"/>
  <c r="U457" i="2"/>
  <c r="N457" i="2"/>
  <c r="E457" i="2"/>
  <c r="L457" i="2"/>
  <c r="AK457" i="2"/>
  <c r="I457" i="2"/>
  <c r="F457" i="2"/>
  <c r="T457" i="2"/>
  <c r="O457" i="2"/>
  <c r="AL457" i="2"/>
  <c r="AE457" i="2"/>
  <c r="AF457" i="2"/>
  <c r="G457" i="2"/>
  <c r="K457" i="2"/>
  <c r="C457" i="2"/>
  <c r="AG457" i="2"/>
  <c r="AA457" i="2"/>
  <c r="H457" i="2"/>
  <c r="Z457" i="2"/>
  <c r="B459" i="2" l="1"/>
  <c r="AC458" i="2"/>
  <c r="N458" i="2"/>
  <c r="V458" i="2"/>
  <c r="AM458" i="2"/>
  <c r="AE458" i="2"/>
  <c r="AJ458" i="2"/>
  <c r="D458" i="2"/>
  <c r="Y458" i="2"/>
  <c r="C458" i="2"/>
  <c r="L458" i="2"/>
  <c r="AN458" i="2"/>
  <c r="AI458" i="2"/>
  <c r="AA458" i="2"/>
  <c r="E458" i="2"/>
  <c r="Q458" i="2"/>
  <c r="F458" i="2"/>
  <c r="AL458" i="2"/>
  <c r="G458" i="2"/>
  <c r="Z458" i="2"/>
  <c r="M458" i="2"/>
  <c r="W458" i="2"/>
  <c r="S458" i="2"/>
  <c r="AD458" i="2"/>
  <c r="H458" i="2"/>
  <c r="U458" i="2"/>
  <c r="AB458" i="2"/>
  <c r="P458" i="2"/>
  <c r="AK458" i="2"/>
  <c r="X458" i="2"/>
  <c r="K458" i="2"/>
  <c r="J458" i="2"/>
  <c r="AO458" i="2"/>
  <c r="R458" i="2"/>
  <c r="AH458" i="2"/>
  <c r="T458" i="2"/>
  <c r="AG458" i="2"/>
  <c r="AF458" i="2"/>
  <c r="I458" i="2"/>
  <c r="O458" i="2"/>
  <c r="B460" i="2" l="1"/>
  <c r="AK459" i="2"/>
  <c r="U459" i="2"/>
  <c r="P459" i="2"/>
  <c r="N459" i="2"/>
  <c r="AB459" i="2"/>
  <c r="X459" i="2"/>
  <c r="AO459" i="2"/>
  <c r="G459" i="2"/>
  <c r="AE459" i="2"/>
  <c r="AH459" i="2"/>
  <c r="H459" i="2"/>
  <c r="T459" i="2"/>
  <c r="V459" i="2"/>
  <c r="AL459" i="2"/>
  <c r="I459" i="2"/>
  <c r="AA459" i="2"/>
  <c r="F459" i="2"/>
  <c r="AD459" i="2"/>
  <c r="AG459" i="2"/>
  <c r="Y459" i="2"/>
  <c r="W459" i="2"/>
  <c r="AF459" i="2"/>
  <c r="S459" i="2"/>
  <c r="E459" i="2"/>
  <c r="AI459" i="2"/>
  <c r="Z459" i="2"/>
  <c r="O459" i="2"/>
  <c r="Q459" i="2"/>
  <c r="L459" i="2"/>
  <c r="AM459" i="2"/>
  <c r="C459" i="2"/>
  <c r="M459" i="2"/>
  <c r="K459" i="2"/>
  <c r="R459" i="2"/>
  <c r="AC459" i="2"/>
  <c r="AJ459" i="2"/>
  <c r="D459" i="2"/>
  <c r="J459" i="2"/>
  <c r="AN459" i="2"/>
  <c r="B461" i="2" l="1"/>
  <c r="V460" i="2"/>
  <c r="W460" i="2"/>
  <c r="AI460" i="2"/>
  <c r="F460" i="2"/>
  <c r="R460" i="2"/>
  <c r="K460" i="2"/>
  <c r="AJ460" i="2"/>
  <c r="I460" i="2"/>
  <c r="S460" i="2"/>
  <c r="AH460" i="2"/>
  <c r="AB460" i="2"/>
  <c r="AM460" i="2"/>
  <c r="T460" i="2"/>
  <c r="M460" i="2"/>
  <c r="AA460" i="2"/>
  <c r="J460" i="2"/>
  <c r="AN460" i="2"/>
  <c r="AL460" i="2"/>
  <c r="AK460" i="2"/>
  <c r="L460" i="2"/>
  <c r="X460" i="2"/>
  <c r="P460" i="2"/>
  <c r="D460" i="2"/>
  <c r="G460" i="2"/>
  <c r="AE460" i="2"/>
  <c r="AD460" i="2"/>
  <c r="Y460" i="2"/>
  <c r="H460" i="2"/>
  <c r="N460" i="2"/>
  <c r="C460" i="2"/>
  <c r="AO460" i="2"/>
  <c r="AG460" i="2"/>
  <c r="AC460" i="2"/>
  <c r="O460" i="2"/>
  <c r="Q460" i="2"/>
  <c r="AF460" i="2"/>
  <c r="Z460" i="2"/>
  <c r="E460" i="2"/>
  <c r="U460" i="2"/>
  <c r="B462" i="2" l="1"/>
  <c r="Q461" i="2"/>
  <c r="AK461" i="2"/>
  <c r="Z461" i="2"/>
  <c r="AE461" i="2"/>
  <c r="G461" i="2"/>
  <c r="F461" i="2"/>
  <c r="H461" i="2"/>
  <c r="AD461" i="2"/>
  <c r="N461" i="2"/>
  <c r="AF461" i="2"/>
  <c r="W461" i="2"/>
  <c r="E461" i="2"/>
  <c r="AH461" i="2"/>
  <c r="U461" i="2"/>
  <c r="T461" i="2"/>
  <c r="AC461" i="2"/>
  <c r="X461" i="2"/>
  <c r="I461" i="2"/>
  <c r="AO461" i="2"/>
  <c r="C461" i="2"/>
  <c r="K461" i="2"/>
  <c r="V461" i="2"/>
  <c r="AJ461" i="2"/>
  <c r="AA461" i="2"/>
  <c r="P461" i="2"/>
  <c r="M461" i="2"/>
  <c r="AL461" i="2"/>
  <c r="R461" i="2"/>
  <c r="AB461" i="2"/>
  <c r="Y461" i="2"/>
  <c r="AG461" i="2"/>
  <c r="AN461" i="2"/>
  <c r="AI461" i="2"/>
  <c r="L461" i="2"/>
  <c r="S461" i="2"/>
  <c r="D461" i="2"/>
  <c r="AM461" i="2"/>
  <c r="O461" i="2"/>
  <c r="J461" i="2"/>
  <c r="B463" i="2" l="1"/>
  <c r="AG462" i="2"/>
  <c r="AI462" i="2"/>
  <c r="D462" i="2"/>
  <c r="M462" i="2"/>
  <c r="AJ462" i="2"/>
  <c r="H462" i="2"/>
  <c r="AD462" i="2"/>
  <c r="R462" i="2"/>
  <c r="O462" i="2"/>
  <c r="I462" i="2"/>
  <c r="AA462" i="2"/>
  <c r="F462" i="2"/>
  <c r="AK462" i="2"/>
  <c r="X462" i="2"/>
  <c r="S462" i="2"/>
  <c r="T462" i="2"/>
  <c r="AF462" i="2"/>
  <c r="L462" i="2"/>
  <c r="AN462" i="2"/>
  <c r="K462" i="2"/>
  <c r="U462" i="2"/>
  <c r="Q462" i="2"/>
  <c r="AO462" i="2"/>
  <c r="AH462" i="2"/>
  <c r="J462" i="2"/>
  <c r="P462" i="2"/>
  <c r="Z462" i="2"/>
  <c r="AM462" i="2"/>
  <c r="AL462" i="2"/>
  <c r="N462" i="2"/>
  <c r="E462" i="2"/>
  <c r="W462" i="2"/>
  <c r="C462" i="2"/>
  <c r="V462" i="2"/>
  <c r="G462" i="2"/>
  <c r="Y462" i="2"/>
  <c r="AE462" i="2"/>
  <c r="AB462" i="2"/>
  <c r="AC462" i="2"/>
  <c r="B464" i="2" l="1"/>
  <c r="AN463" i="2"/>
  <c r="W463" i="2"/>
  <c r="L463" i="2"/>
  <c r="X463" i="2"/>
  <c r="T463" i="2"/>
  <c r="E463" i="2"/>
  <c r="AJ463" i="2"/>
  <c r="AF463" i="2"/>
  <c r="AH463" i="2"/>
  <c r="H463" i="2"/>
  <c r="I463" i="2"/>
  <c r="D463" i="2"/>
  <c r="M463" i="2"/>
  <c r="N463" i="2"/>
  <c r="AL463" i="2"/>
  <c r="R463" i="2"/>
  <c r="AE463" i="2"/>
  <c r="AO463" i="2"/>
  <c r="V463" i="2"/>
  <c r="Y463" i="2"/>
  <c r="Z463" i="2"/>
  <c r="F463" i="2"/>
  <c r="AA463" i="2"/>
  <c r="P463" i="2"/>
  <c r="C463" i="2"/>
  <c r="AD463" i="2"/>
  <c r="AK463" i="2"/>
  <c r="AB463" i="2"/>
  <c r="AM463" i="2"/>
  <c r="Q463" i="2"/>
  <c r="O463" i="2"/>
  <c r="G463" i="2"/>
  <c r="U463" i="2"/>
  <c r="AI463" i="2"/>
  <c r="S463" i="2"/>
  <c r="J463" i="2"/>
  <c r="AC463" i="2"/>
  <c r="AG463" i="2"/>
  <c r="K463" i="2"/>
  <c r="B465" i="2" l="1"/>
  <c r="I464" i="2"/>
  <c r="G464" i="2"/>
  <c r="AB464" i="2"/>
  <c r="F464" i="2"/>
  <c r="Y464" i="2"/>
  <c r="P464" i="2"/>
  <c r="AJ464" i="2"/>
  <c r="AF464" i="2"/>
  <c r="AL464" i="2"/>
  <c r="AN464" i="2"/>
  <c r="O464" i="2"/>
  <c r="AO464" i="2"/>
  <c r="AE464" i="2"/>
  <c r="AM464" i="2"/>
  <c r="H464" i="2"/>
  <c r="AC464" i="2"/>
  <c r="AK464" i="2"/>
  <c r="D464" i="2"/>
  <c r="AH464" i="2"/>
  <c r="AD464" i="2"/>
  <c r="J464" i="2"/>
  <c r="K464" i="2"/>
  <c r="U464" i="2"/>
  <c r="T464" i="2"/>
  <c r="W464" i="2"/>
  <c r="X464" i="2"/>
  <c r="M464" i="2"/>
  <c r="C464" i="2"/>
  <c r="N464" i="2"/>
  <c r="AI464" i="2"/>
  <c r="R464" i="2"/>
  <c r="AG464" i="2"/>
  <c r="V464" i="2"/>
  <c r="Q464" i="2"/>
  <c r="AA464" i="2"/>
  <c r="S464" i="2"/>
  <c r="Z464" i="2"/>
  <c r="E464" i="2"/>
  <c r="L464" i="2"/>
  <c r="B466" i="2" l="1"/>
  <c r="S465" i="2"/>
  <c r="O465" i="2"/>
  <c r="M465" i="2"/>
  <c r="L465" i="2"/>
  <c r="Q465" i="2"/>
  <c r="AM465" i="2"/>
  <c r="X465" i="2"/>
  <c r="W465" i="2"/>
  <c r="AO465" i="2"/>
  <c r="AF465" i="2"/>
  <c r="AL465" i="2"/>
  <c r="AA465" i="2"/>
  <c r="C465" i="2"/>
  <c r="U465" i="2"/>
  <c r="AJ465" i="2"/>
  <c r="AG465" i="2"/>
  <c r="AI465" i="2"/>
  <c r="P465" i="2"/>
  <c r="J465" i="2"/>
  <c r="I465" i="2"/>
  <c r="AN465" i="2"/>
  <c r="Y465" i="2"/>
  <c r="D465" i="2"/>
  <c r="F465" i="2"/>
  <c r="AE465" i="2"/>
  <c r="AC465" i="2"/>
  <c r="H465" i="2"/>
  <c r="AB465" i="2"/>
  <c r="G465" i="2"/>
  <c r="E465" i="2"/>
  <c r="T465" i="2"/>
  <c r="R465" i="2"/>
  <c r="K465" i="2"/>
  <c r="AD465" i="2"/>
  <c r="Z465" i="2"/>
  <c r="AH465" i="2"/>
  <c r="N465" i="2"/>
  <c r="V465" i="2"/>
  <c r="AK465" i="2"/>
  <c r="B467" i="2" l="1"/>
  <c r="W466" i="2"/>
  <c r="AB466" i="2"/>
  <c r="AI466" i="2"/>
  <c r="AM466" i="2"/>
  <c r="L466" i="2"/>
  <c r="R466" i="2"/>
  <c r="AJ466" i="2"/>
  <c r="AA466" i="2"/>
  <c r="N466" i="2"/>
  <c r="Z466" i="2"/>
  <c r="Y466" i="2"/>
  <c r="AH466" i="2"/>
  <c r="J466" i="2"/>
  <c r="E466" i="2"/>
  <c r="AN466" i="2"/>
  <c r="AD466" i="2"/>
  <c r="AO466" i="2"/>
  <c r="Q466" i="2"/>
  <c r="F466" i="2"/>
  <c r="C466" i="2"/>
  <c r="O466" i="2"/>
  <c r="AL466" i="2"/>
  <c r="X466" i="2"/>
  <c r="M466" i="2"/>
  <c r="AE466" i="2"/>
  <c r="I466" i="2"/>
  <c r="D466" i="2"/>
  <c r="G466" i="2"/>
  <c r="AG466" i="2"/>
  <c r="H466" i="2"/>
  <c r="AC466" i="2"/>
  <c r="V466" i="2"/>
  <c r="S466" i="2"/>
  <c r="T466" i="2"/>
  <c r="AK466" i="2"/>
  <c r="AF466" i="2"/>
  <c r="P466" i="2"/>
  <c r="U466" i="2"/>
  <c r="K466" i="2"/>
  <c r="B468" i="2" l="1"/>
  <c r="AK467" i="2"/>
  <c r="J467" i="2"/>
  <c r="Y467" i="2"/>
  <c r="C467" i="2"/>
  <c r="V467" i="2"/>
  <c r="AI467" i="2"/>
  <c r="H467" i="2"/>
  <c r="U467" i="2"/>
  <c r="I467" i="2"/>
  <c r="N467" i="2"/>
  <c r="AE467" i="2"/>
  <c r="AF467" i="2"/>
  <c r="E467" i="2"/>
  <c r="M467" i="2"/>
  <c r="R467" i="2"/>
  <c r="S467" i="2"/>
  <c r="P467" i="2"/>
  <c r="AL467" i="2"/>
  <c r="AD467" i="2"/>
  <c r="L467" i="2"/>
  <c r="K467" i="2"/>
  <c r="AN467" i="2"/>
  <c r="Z467" i="2"/>
  <c r="D467" i="2"/>
  <c r="G467" i="2"/>
  <c r="AG467" i="2"/>
  <c r="AH467" i="2"/>
  <c r="T467" i="2"/>
  <c r="AJ467" i="2"/>
  <c r="W467" i="2"/>
  <c r="AB467" i="2"/>
  <c r="AO467" i="2"/>
  <c r="AA467" i="2"/>
  <c r="X467" i="2"/>
  <c r="Q467" i="2"/>
  <c r="AM467" i="2"/>
  <c r="AC467" i="2"/>
  <c r="F467" i="2"/>
  <c r="O467" i="2"/>
  <c r="B469" i="2" l="1"/>
  <c r="N468" i="2"/>
  <c r="AA468" i="2"/>
  <c r="AE468" i="2"/>
  <c r="AM468" i="2"/>
  <c r="Z468" i="2"/>
  <c r="Y468" i="2"/>
  <c r="AF468" i="2"/>
  <c r="AK468" i="2"/>
  <c r="M468" i="2"/>
  <c r="Q468" i="2"/>
  <c r="K468" i="2"/>
  <c r="AD468" i="2"/>
  <c r="AI468" i="2"/>
  <c r="AC468" i="2"/>
  <c r="H468" i="2"/>
  <c r="T468" i="2"/>
  <c r="U468" i="2"/>
  <c r="P468" i="2"/>
  <c r="G468" i="2"/>
  <c r="AH468" i="2"/>
  <c r="C468" i="2"/>
  <c r="J468" i="2"/>
  <c r="AL468" i="2"/>
  <c r="S468" i="2"/>
  <c r="O468" i="2"/>
  <c r="D468" i="2"/>
  <c r="E468" i="2"/>
  <c r="X468" i="2"/>
  <c r="I468" i="2"/>
  <c r="AG468" i="2"/>
  <c r="AO468" i="2"/>
  <c r="L468" i="2"/>
  <c r="W468" i="2"/>
  <c r="AJ468" i="2"/>
  <c r="R468" i="2"/>
  <c r="AB468" i="2"/>
  <c r="V468" i="2"/>
  <c r="F468" i="2"/>
  <c r="AN468" i="2"/>
  <c r="B470" i="2" l="1"/>
  <c r="P469" i="2"/>
  <c r="V469" i="2"/>
  <c r="R469" i="2"/>
  <c r="AL469" i="2"/>
  <c r="Z469" i="2"/>
  <c r="Y469" i="2"/>
  <c r="AA469" i="2"/>
  <c r="M469" i="2"/>
  <c r="Q469" i="2"/>
  <c r="D469" i="2"/>
  <c r="AN469" i="2"/>
  <c r="K469" i="2"/>
  <c r="AC469" i="2"/>
  <c r="AB469" i="2"/>
  <c r="L469" i="2"/>
  <c r="AO469" i="2"/>
  <c r="AF469" i="2"/>
  <c r="AJ469" i="2"/>
  <c r="AI469" i="2"/>
  <c r="AH469" i="2"/>
  <c r="E469" i="2"/>
  <c r="AD469" i="2"/>
  <c r="AK469" i="2"/>
  <c r="G469" i="2"/>
  <c r="T469" i="2"/>
  <c r="I469" i="2"/>
  <c r="W469" i="2"/>
  <c r="AM469" i="2"/>
  <c r="X469" i="2"/>
  <c r="U469" i="2"/>
  <c r="F469" i="2"/>
  <c r="H469" i="2"/>
  <c r="J469" i="2"/>
  <c r="AG469" i="2"/>
  <c r="AE469" i="2"/>
  <c r="O469" i="2"/>
  <c r="C469" i="2"/>
  <c r="N469" i="2"/>
  <c r="S469" i="2"/>
  <c r="B471" i="2" l="1"/>
  <c r="H470" i="2"/>
  <c r="S470" i="2"/>
  <c r="T470" i="2"/>
  <c r="F470" i="2"/>
  <c r="AJ470" i="2"/>
  <c r="I470" i="2"/>
  <c r="Q470" i="2"/>
  <c r="K470" i="2"/>
  <c r="AC470" i="2"/>
  <c r="M470" i="2"/>
  <c r="AO470" i="2"/>
  <c r="L470" i="2"/>
  <c r="J470" i="2"/>
  <c r="AL470" i="2"/>
  <c r="Y470" i="2"/>
  <c r="AH470" i="2"/>
  <c r="AE470" i="2"/>
  <c r="O470" i="2"/>
  <c r="AF470" i="2"/>
  <c r="D470" i="2"/>
  <c r="AG470" i="2"/>
  <c r="AD470" i="2"/>
  <c r="W470" i="2"/>
  <c r="AM470" i="2"/>
  <c r="AA470" i="2"/>
  <c r="AN470" i="2"/>
  <c r="R470" i="2"/>
  <c r="N470" i="2"/>
  <c r="AB470" i="2"/>
  <c r="Z470" i="2"/>
  <c r="AI470" i="2"/>
  <c r="X470" i="2"/>
  <c r="C470" i="2"/>
  <c r="E470" i="2"/>
  <c r="V470" i="2"/>
  <c r="U470" i="2"/>
  <c r="P470" i="2"/>
  <c r="AK470" i="2"/>
  <c r="G470" i="2"/>
  <c r="B472" i="2" l="1"/>
  <c r="P471" i="2"/>
  <c r="AC471" i="2"/>
  <c r="N471" i="2"/>
  <c r="AL471" i="2"/>
  <c r="G471" i="2"/>
  <c r="U471" i="2"/>
  <c r="R471" i="2"/>
  <c r="AK471" i="2"/>
  <c r="AH471" i="2"/>
  <c r="AN471" i="2"/>
  <c r="AA471" i="2"/>
  <c r="O471" i="2"/>
  <c r="J471" i="2"/>
  <c r="I471" i="2"/>
  <c r="S471" i="2"/>
  <c r="AI471" i="2"/>
  <c r="W471" i="2"/>
  <c r="AM471" i="2"/>
  <c r="C471" i="2"/>
  <c r="H471" i="2"/>
  <c r="E471" i="2"/>
  <c r="AF471" i="2"/>
  <c r="Z471" i="2"/>
  <c r="Q471" i="2"/>
  <c r="AG471" i="2"/>
  <c r="L471" i="2"/>
  <c r="T471" i="2"/>
  <c r="V471" i="2"/>
  <c r="K471" i="2"/>
  <c r="Y471" i="2"/>
  <c r="AE471" i="2"/>
  <c r="AJ471" i="2"/>
  <c r="D471" i="2"/>
  <c r="X471" i="2"/>
  <c r="AO471" i="2"/>
  <c r="AB471" i="2"/>
  <c r="F471" i="2"/>
  <c r="M471" i="2"/>
  <c r="AD471" i="2"/>
  <c r="B473" i="2" l="1"/>
  <c r="AG472" i="2"/>
  <c r="X472" i="2"/>
  <c r="AE472" i="2"/>
  <c r="D472" i="2"/>
  <c r="M472" i="2"/>
  <c r="R472" i="2"/>
  <c r="AC472" i="2"/>
  <c r="J472" i="2"/>
  <c r="K472" i="2"/>
  <c r="I472" i="2"/>
  <c r="T472" i="2"/>
  <c r="F472" i="2"/>
  <c r="AH472" i="2"/>
  <c r="O472" i="2"/>
  <c r="AI472" i="2"/>
  <c r="L472" i="2"/>
  <c r="AB472" i="2"/>
  <c r="U472" i="2"/>
  <c r="H472" i="2"/>
  <c r="G472" i="2"/>
  <c r="Z472" i="2"/>
  <c r="AK472" i="2"/>
  <c r="AO472" i="2"/>
  <c r="AF472" i="2"/>
  <c r="N472" i="2"/>
  <c r="W472" i="2"/>
  <c r="S472" i="2"/>
  <c r="AN472" i="2"/>
  <c r="V472" i="2"/>
  <c r="AA472" i="2"/>
  <c r="Y472" i="2"/>
  <c r="AJ472" i="2"/>
  <c r="AD472" i="2"/>
  <c r="AL472" i="2"/>
  <c r="E472" i="2"/>
  <c r="P472" i="2"/>
  <c r="Q472" i="2"/>
  <c r="AM472" i="2"/>
  <c r="C472" i="2"/>
  <c r="B474" i="2" l="1"/>
  <c r="L473" i="2"/>
  <c r="Q473" i="2"/>
  <c r="M473" i="2"/>
  <c r="F473" i="2"/>
  <c r="Z473" i="2"/>
  <c r="U473" i="2"/>
  <c r="T473" i="2"/>
  <c r="J473" i="2"/>
  <c r="AH473" i="2"/>
  <c r="AD473" i="2"/>
  <c r="AL473" i="2"/>
  <c r="K473" i="2"/>
  <c r="AB473" i="2"/>
  <c r="AE473" i="2"/>
  <c r="AJ473" i="2"/>
  <c r="O473" i="2"/>
  <c r="S473" i="2"/>
  <c r="Y473" i="2"/>
  <c r="C473" i="2"/>
  <c r="AC473" i="2"/>
  <c r="E473" i="2"/>
  <c r="P473" i="2"/>
  <c r="X473" i="2"/>
  <c r="H473" i="2"/>
  <c r="R473" i="2"/>
  <c r="N473" i="2"/>
  <c r="V473" i="2"/>
  <c r="I473" i="2"/>
  <c r="AA473" i="2"/>
  <c r="D473" i="2"/>
  <c r="AI473" i="2"/>
  <c r="AK473" i="2"/>
  <c r="AF473" i="2"/>
  <c r="AO473" i="2"/>
  <c r="AN473" i="2"/>
  <c r="AM473" i="2"/>
  <c r="G473" i="2"/>
  <c r="W473" i="2"/>
  <c r="AG473" i="2"/>
  <c r="B475" i="2" l="1"/>
  <c r="AE474" i="2"/>
  <c r="AD474" i="2"/>
  <c r="S474" i="2"/>
  <c r="Y474" i="2"/>
  <c r="U474" i="2"/>
  <c r="AJ474" i="2"/>
  <c r="R474" i="2"/>
  <c r="M474" i="2"/>
  <c r="N474" i="2"/>
  <c r="Z474" i="2"/>
  <c r="E474" i="2"/>
  <c r="AI474" i="2"/>
  <c r="K474" i="2"/>
  <c r="J474" i="2"/>
  <c r="AF474" i="2"/>
  <c r="C474" i="2"/>
  <c r="F474" i="2"/>
  <c r="AN474" i="2"/>
  <c r="W474" i="2"/>
  <c r="L474" i="2"/>
  <c r="X474" i="2"/>
  <c r="AB474" i="2"/>
  <c r="H474" i="2"/>
  <c r="D474" i="2"/>
  <c r="T474" i="2"/>
  <c r="AC474" i="2"/>
  <c r="AO474" i="2"/>
  <c r="AM474" i="2"/>
  <c r="V474" i="2"/>
  <c r="O474" i="2"/>
  <c r="AH474" i="2"/>
  <c r="P474" i="2"/>
  <c r="I474" i="2"/>
  <c r="AA474" i="2"/>
  <c r="AK474" i="2"/>
  <c r="G474" i="2"/>
  <c r="AG474" i="2"/>
  <c r="Q474" i="2"/>
  <c r="AL474" i="2"/>
  <c r="B476" i="2" l="1"/>
  <c r="C475" i="2"/>
  <c r="AN475" i="2"/>
  <c r="R475" i="2"/>
  <c r="W475" i="2"/>
  <c r="G475" i="2"/>
  <c r="AO475" i="2"/>
  <c r="AI475" i="2"/>
  <c r="H475" i="2"/>
  <c r="O475" i="2"/>
  <c r="V475" i="2"/>
  <c r="P475" i="2"/>
  <c r="U475" i="2"/>
  <c r="I475" i="2"/>
  <c r="X475" i="2"/>
  <c r="AE475" i="2"/>
  <c r="F475" i="2"/>
  <c r="T475" i="2"/>
  <c r="AD475" i="2"/>
  <c r="AB475" i="2"/>
  <c r="AG475" i="2"/>
  <c r="Y475" i="2"/>
  <c r="N475" i="2"/>
  <c r="Q475" i="2"/>
  <c r="AL475" i="2"/>
  <c r="J475" i="2"/>
  <c r="M475" i="2"/>
  <c r="AF475" i="2"/>
  <c r="Z475" i="2"/>
  <c r="AH475" i="2"/>
  <c r="E475" i="2"/>
  <c r="L475" i="2"/>
  <c r="AA475" i="2"/>
  <c r="AC475" i="2"/>
  <c r="S475" i="2"/>
  <c r="AJ475" i="2"/>
  <c r="AM475" i="2"/>
  <c r="K475" i="2"/>
  <c r="D475" i="2"/>
  <c r="AK475" i="2"/>
  <c r="B477" i="2" l="1"/>
  <c r="T476" i="2"/>
  <c r="S476" i="2"/>
  <c r="AC476" i="2"/>
  <c r="Y476" i="2"/>
  <c r="AB476" i="2"/>
  <c r="I476" i="2"/>
  <c r="AM476" i="2"/>
  <c r="G476" i="2"/>
  <c r="E476" i="2"/>
  <c r="AO476" i="2"/>
  <c r="AD476" i="2"/>
  <c r="D476" i="2"/>
  <c r="V476" i="2"/>
  <c r="AK476" i="2"/>
  <c r="F476" i="2"/>
  <c r="AE476" i="2"/>
  <c r="O476" i="2"/>
  <c r="AI476" i="2"/>
  <c r="AJ476" i="2"/>
  <c r="J476" i="2"/>
  <c r="AF476" i="2"/>
  <c r="AG476" i="2"/>
  <c r="P476" i="2"/>
  <c r="Z476" i="2"/>
  <c r="U476" i="2"/>
  <c r="C476" i="2"/>
  <c r="AA476" i="2"/>
  <c r="Q476" i="2"/>
  <c r="N476" i="2"/>
  <c r="AH476" i="2"/>
  <c r="X476" i="2"/>
  <c r="W476" i="2"/>
  <c r="L476" i="2"/>
  <c r="AN476" i="2"/>
  <c r="AL476" i="2"/>
  <c r="K476" i="2"/>
  <c r="M476" i="2"/>
  <c r="R476" i="2"/>
  <c r="H476" i="2"/>
  <c r="B478" i="2" l="1"/>
  <c r="AK477" i="2"/>
  <c r="AF477" i="2"/>
  <c r="H477" i="2"/>
  <c r="AD477" i="2"/>
  <c r="Y477" i="2"/>
  <c r="AN477" i="2"/>
  <c r="AJ477" i="2"/>
  <c r="AO477" i="2"/>
  <c r="I477" i="2"/>
  <c r="P477" i="2"/>
  <c r="AM477" i="2"/>
  <c r="U477" i="2"/>
  <c r="Z477" i="2"/>
  <c r="X477" i="2"/>
  <c r="W477" i="2"/>
  <c r="L477" i="2"/>
  <c r="T477" i="2"/>
  <c r="M477" i="2"/>
  <c r="V477" i="2"/>
  <c r="G477" i="2"/>
  <c r="Q477" i="2"/>
  <c r="AL477" i="2"/>
  <c r="E477" i="2"/>
  <c r="S477" i="2"/>
  <c r="O477" i="2"/>
  <c r="D477" i="2"/>
  <c r="AA477" i="2"/>
  <c r="AH477" i="2"/>
  <c r="AE477" i="2"/>
  <c r="AB477" i="2"/>
  <c r="R477" i="2"/>
  <c r="AI477" i="2"/>
  <c r="K477" i="2"/>
  <c r="C477" i="2"/>
  <c r="N477" i="2"/>
  <c r="AG477" i="2"/>
  <c r="J477" i="2"/>
  <c r="F477" i="2"/>
  <c r="AC477" i="2"/>
  <c r="B479" i="2" l="1"/>
  <c r="U478" i="2"/>
  <c r="AM478" i="2"/>
  <c r="O478" i="2"/>
  <c r="AD478" i="2"/>
  <c r="AG478" i="2"/>
  <c r="R478" i="2"/>
  <c r="AL478" i="2"/>
  <c r="D478" i="2"/>
  <c r="S478" i="2"/>
  <c r="J478" i="2"/>
  <c r="X478" i="2"/>
  <c r="AJ478" i="2"/>
  <c r="AF478" i="2"/>
  <c r="AB478" i="2"/>
  <c r="AH478" i="2"/>
  <c r="AN478" i="2"/>
  <c r="Y478" i="2"/>
  <c r="V478" i="2"/>
  <c r="Z478" i="2"/>
  <c r="G478" i="2"/>
  <c r="T478" i="2"/>
  <c r="M478" i="2"/>
  <c r="N478" i="2"/>
  <c r="C478" i="2"/>
  <c r="E478" i="2"/>
  <c r="F478" i="2"/>
  <c r="L478" i="2"/>
  <c r="AA478" i="2"/>
  <c r="AC478" i="2"/>
  <c r="AO478" i="2"/>
  <c r="AI478" i="2"/>
  <c r="AE478" i="2"/>
  <c r="P478" i="2"/>
  <c r="K478" i="2"/>
  <c r="I478" i="2"/>
  <c r="H478" i="2"/>
  <c r="Q478" i="2"/>
  <c r="W478" i="2"/>
  <c r="AK478" i="2"/>
  <c r="B480" i="2" l="1"/>
  <c r="AC479" i="2"/>
  <c r="I479" i="2"/>
  <c r="AD479" i="2"/>
  <c r="T479" i="2"/>
  <c r="M479" i="2"/>
  <c r="AO479" i="2"/>
  <c r="AN479" i="2"/>
  <c r="S479" i="2"/>
  <c r="AI479" i="2"/>
  <c r="C479" i="2"/>
  <c r="K479" i="2"/>
  <c r="X479" i="2"/>
  <c r="E479" i="2"/>
  <c r="AM479" i="2"/>
  <c r="R479" i="2"/>
  <c r="Z479" i="2"/>
  <c r="F479" i="2"/>
  <c r="W479" i="2"/>
  <c r="AJ479" i="2"/>
  <c r="H479" i="2"/>
  <c r="O479" i="2"/>
  <c r="J479" i="2"/>
  <c r="AK479" i="2"/>
  <c r="AE479" i="2"/>
  <c r="G479" i="2"/>
  <c r="P479" i="2"/>
  <c r="AH479" i="2"/>
  <c r="N479" i="2"/>
  <c r="L479" i="2"/>
  <c r="V479" i="2"/>
  <c r="AB479" i="2"/>
  <c r="Y479" i="2"/>
  <c r="D479" i="2"/>
  <c r="U479" i="2"/>
  <c r="AF479" i="2"/>
  <c r="AL479" i="2"/>
  <c r="AG479" i="2"/>
  <c r="Q479" i="2"/>
  <c r="AA479" i="2"/>
  <c r="B481" i="2" l="1"/>
  <c r="P480" i="2"/>
  <c r="L480" i="2"/>
  <c r="AF480" i="2"/>
  <c r="R480" i="2"/>
  <c r="M480" i="2"/>
  <c r="AE480" i="2"/>
  <c r="J480" i="2"/>
  <c r="AI480" i="2"/>
  <c r="Y480" i="2"/>
  <c r="AA480" i="2"/>
  <c r="H480" i="2"/>
  <c r="AC480" i="2"/>
  <c r="AL480" i="2"/>
  <c r="Q480" i="2"/>
  <c r="I480" i="2"/>
  <c r="E480" i="2"/>
  <c r="S480" i="2"/>
  <c r="N480" i="2"/>
  <c r="AB480" i="2"/>
  <c r="V480" i="2"/>
  <c r="AD480" i="2"/>
  <c r="AK480" i="2"/>
  <c r="Z480" i="2"/>
  <c r="AG480" i="2"/>
  <c r="AN480" i="2"/>
  <c r="AJ480" i="2"/>
  <c r="W480" i="2"/>
  <c r="O480" i="2"/>
  <c r="G480" i="2"/>
  <c r="D480" i="2"/>
  <c r="T480" i="2"/>
  <c r="F480" i="2"/>
  <c r="AO480" i="2"/>
  <c r="U480" i="2"/>
  <c r="AM480" i="2"/>
  <c r="C480" i="2"/>
  <c r="K480" i="2"/>
  <c r="X480" i="2"/>
  <c r="AH480" i="2"/>
  <c r="B482" i="2" l="1"/>
  <c r="AN481" i="2"/>
  <c r="K481" i="2"/>
  <c r="AG481" i="2"/>
  <c r="AM481" i="2"/>
  <c r="L481" i="2"/>
  <c r="X481" i="2"/>
  <c r="G481" i="2"/>
  <c r="P481" i="2"/>
  <c r="M481" i="2"/>
  <c r="E481" i="2"/>
  <c r="I481" i="2"/>
  <c r="AO481" i="2"/>
  <c r="V481" i="2"/>
  <c r="U481" i="2"/>
  <c r="H481" i="2"/>
  <c r="Q481" i="2"/>
  <c r="F481" i="2"/>
  <c r="AF481" i="2"/>
  <c r="J481" i="2"/>
  <c r="AE481" i="2"/>
  <c r="AD481" i="2"/>
  <c r="AH481" i="2"/>
  <c r="D481" i="2"/>
  <c r="AL481" i="2"/>
  <c r="O481" i="2"/>
  <c r="AA481" i="2"/>
  <c r="AC481" i="2"/>
  <c r="T481" i="2"/>
  <c r="AK481" i="2"/>
  <c r="AB481" i="2"/>
  <c r="C481" i="2"/>
  <c r="AI481" i="2"/>
  <c r="N481" i="2"/>
  <c r="W481" i="2"/>
  <c r="Z481" i="2"/>
  <c r="S481" i="2"/>
  <c r="R481" i="2"/>
  <c r="AJ481" i="2"/>
  <c r="Y481" i="2"/>
  <c r="B483" i="2" l="1"/>
  <c r="AF482" i="2"/>
  <c r="Y482" i="2"/>
  <c r="AL482" i="2"/>
  <c r="AH482" i="2"/>
  <c r="AN482" i="2"/>
  <c r="X482" i="2"/>
  <c r="V482" i="2"/>
  <c r="AO482" i="2"/>
  <c r="S482" i="2"/>
  <c r="AE482" i="2"/>
  <c r="T482" i="2"/>
  <c r="K482" i="2"/>
  <c r="P482" i="2"/>
  <c r="AA482" i="2"/>
  <c r="O482" i="2"/>
  <c r="AM482" i="2"/>
  <c r="I482" i="2"/>
  <c r="C482" i="2"/>
  <c r="AI482" i="2"/>
  <c r="E482" i="2"/>
  <c r="H482" i="2"/>
  <c r="Z482" i="2"/>
  <c r="D482" i="2"/>
  <c r="R482" i="2"/>
  <c r="U482" i="2"/>
  <c r="AC482" i="2"/>
  <c r="F482" i="2"/>
  <c r="AD482" i="2"/>
  <c r="W482" i="2"/>
  <c r="AK482" i="2"/>
  <c r="L482" i="2"/>
  <c r="AJ482" i="2"/>
  <c r="AG482" i="2"/>
  <c r="Q482" i="2"/>
  <c r="M482" i="2"/>
  <c r="AB482" i="2"/>
  <c r="G482" i="2"/>
  <c r="N482" i="2"/>
  <c r="J482" i="2"/>
  <c r="B484" i="2" l="1"/>
  <c r="T483" i="2"/>
  <c r="AO483" i="2"/>
  <c r="N483" i="2"/>
  <c r="AN483" i="2"/>
  <c r="F483" i="2"/>
  <c r="K483" i="2"/>
  <c r="AL483" i="2"/>
  <c r="AK483" i="2"/>
  <c r="AF483" i="2"/>
  <c r="J483" i="2"/>
  <c r="W483" i="2"/>
  <c r="Z483" i="2"/>
  <c r="U483" i="2"/>
  <c r="AG483" i="2"/>
  <c r="L483" i="2"/>
  <c r="C483" i="2"/>
  <c r="Q483" i="2"/>
  <c r="AJ483" i="2"/>
  <c r="AD483" i="2"/>
  <c r="O483" i="2"/>
  <c r="I483" i="2"/>
  <c r="R483" i="2"/>
  <c r="H483" i="2"/>
  <c r="AH483" i="2"/>
  <c r="G483" i="2"/>
  <c r="AC483" i="2"/>
  <c r="AI483" i="2"/>
  <c r="AB483" i="2"/>
  <c r="AE483" i="2"/>
  <c r="AM483" i="2"/>
  <c r="X483" i="2"/>
  <c r="Y483" i="2"/>
  <c r="V483" i="2"/>
  <c r="S483" i="2"/>
  <c r="P483" i="2"/>
  <c r="E483" i="2"/>
  <c r="M483" i="2"/>
  <c r="AA483" i="2"/>
  <c r="D483" i="2"/>
  <c r="B485" i="2" l="1"/>
  <c r="V484" i="2"/>
  <c r="H484" i="2"/>
  <c r="T484" i="2"/>
  <c r="AN484" i="2"/>
  <c r="Z484" i="2"/>
  <c r="S484" i="2"/>
  <c r="AO484" i="2"/>
  <c r="D484" i="2"/>
  <c r="AL484" i="2"/>
  <c r="K484" i="2"/>
  <c r="U484" i="2"/>
  <c r="AJ484" i="2"/>
  <c r="AD484" i="2"/>
  <c r="I484" i="2"/>
  <c r="F484" i="2"/>
  <c r="AG484" i="2"/>
  <c r="AK484" i="2"/>
  <c r="AC484" i="2"/>
  <c r="E484" i="2"/>
  <c r="J484" i="2"/>
  <c r="AI484" i="2"/>
  <c r="M484" i="2"/>
  <c r="R484" i="2"/>
  <c r="Y484" i="2"/>
  <c r="AB484" i="2"/>
  <c r="G484" i="2"/>
  <c r="L484" i="2"/>
  <c r="O484" i="2"/>
  <c r="N484" i="2"/>
  <c r="AM484" i="2"/>
  <c r="Q484" i="2"/>
  <c r="AH484" i="2"/>
  <c r="AA484" i="2"/>
  <c r="C484" i="2"/>
  <c r="AE484" i="2"/>
  <c r="X484" i="2"/>
  <c r="P484" i="2"/>
  <c r="W484" i="2"/>
  <c r="AF484" i="2"/>
  <c r="B486" i="2" l="1"/>
  <c r="W485" i="2"/>
  <c r="AN485" i="2"/>
  <c r="AA485" i="2"/>
  <c r="O485" i="2"/>
  <c r="I485" i="2"/>
  <c r="Z485" i="2"/>
  <c r="AH485" i="2"/>
  <c r="V485" i="2"/>
  <c r="X485" i="2"/>
  <c r="AJ485" i="2"/>
  <c r="AB485" i="2"/>
  <c r="E485" i="2"/>
  <c r="AO485" i="2"/>
  <c r="F485" i="2"/>
  <c r="K485" i="2"/>
  <c r="C485" i="2"/>
  <c r="J485" i="2"/>
  <c r="T485" i="2"/>
  <c r="D485" i="2"/>
  <c r="AI485" i="2"/>
  <c r="AF485" i="2"/>
  <c r="R485" i="2"/>
  <c r="AC485" i="2"/>
  <c r="AM485" i="2"/>
  <c r="L485" i="2"/>
  <c r="AL485" i="2"/>
  <c r="G485" i="2"/>
  <c r="U485" i="2"/>
  <c r="AD485" i="2"/>
  <c r="AG485" i="2"/>
  <c r="P485" i="2"/>
  <c r="N485" i="2"/>
  <c r="AK485" i="2"/>
  <c r="S485" i="2"/>
  <c r="AE485" i="2"/>
  <c r="H485" i="2"/>
  <c r="Y485" i="2"/>
  <c r="M485" i="2"/>
  <c r="Q485" i="2"/>
  <c r="B487" i="2" l="1"/>
  <c r="AN486" i="2"/>
  <c r="N486" i="2"/>
  <c r="Y486" i="2"/>
  <c r="AA486" i="2"/>
  <c r="V486" i="2"/>
  <c r="G486" i="2"/>
  <c r="I486" i="2"/>
  <c r="O486" i="2"/>
  <c r="AH486" i="2"/>
  <c r="AO486" i="2"/>
  <c r="AI486" i="2"/>
  <c r="P486" i="2"/>
  <c r="C486" i="2"/>
  <c r="K486" i="2"/>
  <c r="Q486" i="2"/>
  <c r="AE486" i="2"/>
  <c r="T486" i="2"/>
  <c r="L486" i="2"/>
  <c r="Z486" i="2"/>
  <c r="AB486" i="2"/>
  <c r="M486" i="2"/>
  <c r="F486" i="2"/>
  <c r="AL486" i="2"/>
  <c r="H486" i="2"/>
  <c r="J486" i="2"/>
  <c r="AM486" i="2"/>
  <c r="AC486" i="2"/>
  <c r="X486" i="2"/>
  <c r="D486" i="2"/>
  <c r="S486" i="2"/>
  <c r="R486" i="2"/>
  <c r="U486" i="2"/>
  <c r="AK486" i="2"/>
  <c r="E486" i="2"/>
  <c r="AF486" i="2"/>
  <c r="AG486" i="2"/>
  <c r="AD486" i="2"/>
  <c r="AJ486" i="2"/>
  <c r="W486" i="2"/>
  <c r="B488" i="2" l="1"/>
  <c r="Z487" i="2"/>
  <c r="I487" i="2"/>
  <c r="S487" i="2"/>
  <c r="N487" i="2"/>
  <c r="AN487" i="2"/>
  <c r="AJ487" i="2"/>
  <c r="R487" i="2"/>
  <c r="J487" i="2"/>
  <c r="Q487" i="2"/>
  <c r="E487" i="2"/>
  <c r="AO487" i="2"/>
  <c r="V487" i="2"/>
  <c r="F487" i="2"/>
  <c r="M487" i="2"/>
  <c r="L487" i="2"/>
  <c r="AH487" i="2"/>
  <c r="Y487" i="2"/>
  <c r="AK487" i="2"/>
  <c r="X487" i="2"/>
  <c r="AE487" i="2"/>
  <c r="AL487" i="2"/>
  <c r="D487" i="2"/>
  <c r="AG487" i="2"/>
  <c r="AB487" i="2"/>
  <c r="T487" i="2"/>
  <c r="K487" i="2"/>
  <c r="H487" i="2"/>
  <c r="AI487" i="2"/>
  <c r="AC487" i="2"/>
  <c r="O487" i="2"/>
  <c r="AM487" i="2"/>
  <c r="W487" i="2"/>
  <c r="P487" i="2"/>
  <c r="AA487" i="2"/>
  <c r="C487" i="2"/>
  <c r="G487" i="2"/>
  <c r="U487" i="2"/>
  <c r="AD487" i="2"/>
  <c r="AF487" i="2"/>
  <c r="B489" i="2" l="1"/>
  <c r="AH488" i="2"/>
  <c r="P488" i="2"/>
  <c r="AJ488" i="2"/>
  <c r="S488" i="2"/>
  <c r="AA488" i="2"/>
  <c r="N488" i="2"/>
  <c r="AE488" i="2"/>
  <c r="L488" i="2"/>
  <c r="AO488" i="2"/>
  <c r="C488" i="2"/>
  <c r="F488" i="2"/>
  <c r="I488" i="2"/>
  <c r="AN488" i="2"/>
  <c r="AD488" i="2"/>
  <c r="D488" i="2"/>
  <c r="K488" i="2"/>
  <c r="M488" i="2"/>
  <c r="R488" i="2"/>
  <c r="W488" i="2"/>
  <c r="E488" i="2"/>
  <c r="G488" i="2"/>
  <c r="Y488" i="2"/>
  <c r="AI488" i="2"/>
  <c r="Z488" i="2"/>
  <c r="J488" i="2"/>
  <c r="T488" i="2"/>
  <c r="AM488" i="2"/>
  <c r="AC488" i="2"/>
  <c r="H488" i="2"/>
  <c r="AB488" i="2"/>
  <c r="AG488" i="2"/>
  <c r="AL488" i="2"/>
  <c r="X488" i="2"/>
  <c r="Q488" i="2"/>
  <c r="V488" i="2"/>
  <c r="AF488" i="2"/>
  <c r="O488" i="2"/>
  <c r="U488" i="2"/>
  <c r="AK488" i="2"/>
  <c r="B490" i="2" l="1"/>
  <c r="Z489" i="2"/>
  <c r="M489" i="2"/>
  <c r="AD489" i="2"/>
  <c r="T489" i="2"/>
  <c r="AH489" i="2"/>
  <c r="G489" i="2"/>
  <c r="D489" i="2"/>
  <c r="N489" i="2"/>
  <c r="AL489" i="2"/>
  <c r="AN489" i="2"/>
  <c r="E489" i="2"/>
  <c r="V489" i="2"/>
  <c r="L489" i="2"/>
  <c r="AO489" i="2"/>
  <c r="AA489" i="2"/>
  <c r="H489" i="2"/>
  <c r="Q489" i="2"/>
  <c r="P489" i="2"/>
  <c r="Y489" i="2"/>
  <c r="AC489" i="2"/>
  <c r="X489" i="2"/>
  <c r="S489" i="2"/>
  <c r="O489" i="2"/>
  <c r="AJ489" i="2"/>
  <c r="J489" i="2"/>
  <c r="C489" i="2"/>
  <c r="I489" i="2"/>
  <c r="AK489" i="2"/>
  <c r="R489" i="2"/>
  <c r="AB489" i="2"/>
  <c r="F489" i="2"/>
  <c r="AE489" i="2"/>
  <c r="AI489" i="2"/>
  <c r="AG489" i="2"/>
  <c r="W489" i="2"/>
  <c r="AM489" i="2"/>
  <c r="AF489" i="2"/>
  <c r="U489" i="2"/>
  <c r="K489" i="2"/>
  <c r="B491" i="2" l="1"/>
  <c r="M490" i="2"/>
  <c r="AC490" i="2"/>
  <c r="I490" i="2"/>
  <c r="AJ490" i="2"/>
  <c r="F490" i="2"/>
  <c r="T490" i="2"/>
  <c r="AL490" i="2"/>
  <c r="G490" i="2"/>
  <c r="V490" i="2"/>
  <c r="O490" i="2"/>
  <c r="X490" i="2"/>
  <c r="AG490" i="2"/>
  <c r="Y490" i="2"/>
  <c r="K490" i="2"/>
  <c r="AB490" i="2"/>
  <c r="AE490" i="2"/>
  <c r="AK490" i="2"/>
  <c r="W490" i="2"/>
  <c r="S490" i="2"/>
  <c r="D490" i="2"/>
  <c r="AM490" i="2"/>
  <c r="AN490" i="2"/>
  <c r="Z490" i="2"/>
  <c r="AO490" i="2"/>
  <c r="P490" i="2"/>
  <c r="R490" i="2"/>
  <c r="AI490" i="2"/>
  <c r="Q490" i="2"/>
  <c r="C490" i="2"/>
  <c r="AH490" i="2"/>
  <c r="J490" i="2"/>
  <c r="E490" i="2"/>
  <c r="U490" i="2"/>
  <c r="N490" i="2"/>
  <c r="L490" i="2"/>
  <c r="AA490" i="2"/>
  <c r="H490" i="2"/>
  <c r="AF490" i="2"/>
  <c r="AD490" i="2"/>
  <c r="B492" i="2" l="1"/>
  <c r="AC491" i="2"/>
  <c r="AF491" i="2"/>
  <c r="V491" i="2"/>
  <c r="M491" i="2"/>
  <c r="O491" i="2"/>
  <c r="AH491" i="2"/>
  <c r="AB491" i="2"/>
  <c r="Q491" i="2"/>
  <c r="P491" i="2"/>
  <c r="AM491" i="2"/>
  <c r="AI491" i="2"/>
  <c r="N491" i="2"/>
  <c r="I491" i="2"/>
  <c r="AJ491" i="2"/>
  <c r="AE491" i="2"/>
  <c r="F491" i="2"/>
  <c r="L491" i="2"/>
  <c r="E491" i="2"/>
  <c r="AO491" i="2"/>
  <c r="S491" i="2"/>
  <c r="AL491" i="2"/>
  <c r="AD491" i="2"/>
  <c r="K491" i="2"/>
  <c r="U491" i="2"/>
  <c r="G491" i="2"/>
  <c r="W491" i="2"/>
  <c r="D491" i="2"/>
  <c r="X491" i="2"/>
  <c r="AK491" i="2"/>
  <c r="C491" i="2"/>
  <c r="Z491" i="2"/>
  <c r="AN491" i="2"/>
  <c r="AG491" i="2"/>
  <c r="R491" i="2"/>
  <c r="Y491" i="2"/>
  <c r="H491" i="2"/>
  <c r="J491" i="2"/>
  <c r="AA491" i="2"/>
  <c r="T491" i="2"/>
  <c r="B493" i="2" l="1"/>
  <c r="J492" i="2"/>
  <c r="T492" i="2"/>
  <c r="AG492" i="2"/>
  <c r="AC492" i="2"/>
  <c r="K492" i="2"/>
  <c r="C492" i="2"/>
  <c r="L492" i="2"/>
  <c r="S492" i="2"/>
  <c r="R492" i="2"/>
  <c r="Q492" i="2"/>
  <c r="O492" i="2"/>
  <c r="AK492" i="2"/>
  <c r="G492" i="2"/>
  <c r="N492" i="2"/>
  <c r="Z492" i="2"/>
  <c r="AJ492" i="2"/>
  <c r="V492" i="2"/>
  <c r="AN492" i="2"/>
  <c r="F492" i="2"/>
  <c r="AM492" i="2"/>
  <c r="Y492" i="2"/>
  <c r="AE492" i="2"/>
  <c r="X492" i="2"/>
  <c r="W492" i="2"/>
  <c r="H492" i="2"/>
  <c r="AD492" i="2"/>
  <c r="U492" i="2"/>
  <c r="AB492" i="2"/>
  <c r="AF492" i="2"/>
  <c r="AH492" i="2"/>
  <c r="AO492" i="2"/>
  <c r="I492" i="2"/>
  <c r="D492" i="2"/>
  <c r="M492" i="2"/>
  <c r="AL492" i="2"/>
  <c r="E492" i="2"/>
  <c r="P492" i="2"/>
  <c r="AI492" i="2"/>
  <c r="AA492" i="2"/>
  <c r="B494" i="2" l="1"/>
  <c r="G493" i="2"/>
  <c r="R493" i="2"/>
  <c r="M493" i="2"/>
  <c r="AF493" i="2"/>
  <c r="V493" i="2"/>
  <c r="AN493" i="2"/>
  <c r="X493" i="2"/>
  <c r="AH493" i="2"/>
  <c r="AK493" i="2"/>
  <c r="AB493" i="2"/>
  <c r="Z493" i="2"/>
  <c r="AO493" i="2"/>
  <c r="AD493" i="2"/>
  <c r="F493" i="2"/>
  <c r="AM493" i="2"/>
  <c r="N493" i="2"/>
  <c r="AL493" i="2"/>
  <c r="O493" i="2"/>
  <c r="H493" i="2"/>
  <c r="C493" i="2"/>
  <c r="P493" i="2"/>
  <c r="Q493" i="2"/>
  <c r="I493" i="2"/>
  <c r="AC493" i="2"/>
  <c r="AJ493" i="2"/>
  <c r="J493" i="2"/>
  <c r="AG493" i="2"/>
  <c r="U493" i="2"/>
  <c r="AA493" i="2"/>
  <c r="T493" i="2"/>
  <c r="Y493" i="2"/>
  <c r="W493" i="2"/>
  <c r="E493" i="2"/>
  <c r="AI493" i="2"/>
  <c r="D493" i="2"/>
  <c r="L493" i="2"/>
  <c r="AE493" i="2"/>
  <c r="S493" i="2"/>
  <c r="K493" i="2"/>
  <c r="B495" i="2" l="1"/>
  <c r="AO494" i="2"/>
  <c r="V494" i="2"/>
  <c r="C494" i="2"/>
  <c r="AK494" i="2"/>
  <c r="X494" i="2"/>
  <c r="AE494" i="2"/>
  <c r="AD494" i="2"/>
  <c r="E494" i="2"/>
  <c r="Z494" i="2"/>
  <c r="J494" i="2"/>
  <c r="AJ494" i="2"/>
  <c r="U494" i="2"/>
  <c r="I494" i="2"/>
  <c r="AB494" i="2"/>
  <c r="AA494" i="2"/>
  <c r="AH494" i="2"/>
  <c r="G494" i="2"/>
  <c r="L494" i="2"/>
  <c r="T494" i="2"/>
  <c r="AN494" i="2"/>
  <c r="N494" i="2"/>
  <c r="AF494" i="2"/>
  <c r="P494" i="2"/>
  <c r="Q494" i="2"/>
  <c r="R494" i="2"/>
  <c r="S494" i="2"/>
  <c r="K494" i="2"/>
  <c r="AI494" i="2"/>
  <c r="D494" i="2"/>
  <c r="AM494" i="2"/>
  <c r="H494" i="2"/>
  <c r="Y494" i="2"/>
  <c r="AG494" i="2"/>
  <c r="AL494" i="2"/>
  <c r="AC494" i="2"/>
  <c r="M494" i="2"/>
  <c r="F494" i="2"/>
  <c r="O494" i="2"/>
  <c r="W494" i="2"/>
  <c r="B496" i="2" l="1"/>
  <c r="W495" i="2"/>
  <c r="AJ495" i="2"/>
  <c r="AO495" i="2"/>
  <c r="AK495" i="2"/>
  <c r="V495" i="2"/>
  <c r="G495" i="2"/>
  <c r="N495" i="2"/>
  <c r="L495" i="2"/>
  <c r="I495" i="2"/>
  <c r="AB495" i="2"/>
  <c r="AE495" i="2"/>
  <c r="Y495" i="2"/>
  <c r="AL495" i="2"/>
  <c r="AF495" i="2"/>
  <c r="Z495" i="2"/>
  <c r="R495" i="2"/>
  <c r="T495" i="2"/>
  <c r="AM495" i="2"/>
  <c r="S495" i="2"/>
  <c r="M495" i="2"/>
  <c r="AC495" i="2"/>
  <c r="D495" i="2"/>
  <c r="X495" i="2"/>
  <c r="P495" i="2"/>
  <c r="C495" i="2"/>
  <c r="U495" i="2"/>
  <c r="E495" i="2"/>
  <c r="AD495" i="2"/>
  <c r="F495" i="2"/>
  <c r="AN495" i="2"/>
  <c r="O495" i="2"/>
  <c r="AH495" i="2"/>
  <c r="Q495" i="2"/>
  <c r="AI495" i="2"/>
  <c r="K495" i="2"/>
  <c r="AA495" i="2"/>
  <c r="H495" i="2"/>
  <c r="J495" i="2"/>
  <c r="AG495" i="2"/>
  <c r="B497" i="2" l="1"/>
  <c r="AO496" i="2"/>
  <c r="V496" i="2"/>
  <c r="Y496" i="2"/>
  <c r="C496" i="2"/>
  <c r="AA496" i="2"/>
  <c r="I496" i="2"/>
  <c r="S496" i="2"/>
  <c r="AI496" i="2"/>
  <c r="AJ496" i="2"/>
  <c r="Z496" i="2"/>
  <c r="F496" i="2"/>
  <c r="J496" i="2"/>
  <c r="T496" i="2"/>
  <c r="G496" i="2"/>
  <c r="AG496" i="2"/>
  <c r="P496" i="2"/>
  <c r="H496" i="2"/>
  <c r="AM496" i="2"/>
  <c r="AC496" i="2"/>
  <c r="E496" i="2"/>
  <c r="AD496" i="2"/>
  <c r="L496" i="2"/>
  <c r="D496" i="2"/>
  <c r="N496" i="2"/>
  <c r="U496" i="2"/>
  <c r="W496" i="2"/>
  <c r="AK496" i="2"/>
  <c r="K496" i="2"/>
  <c r="X496" i="2"/>
  <c r="AF496" i="2"/>
  <c r="Q496" i="2"/>
  <c r="AE496" i="2"/>
  <c r="R496" i="2"/>
  <c r="AL496" i="2"/>
  <c r="AH496" i="2"/>
  <c r="M496" i="2"/>
  <c r="AB496" i="2"/>
  <c r="AN496" i="2"/>
  <c r="O496" i="2"/>
  <c r="B498" i="2" l="1"/>
  <c r="H497" i="2"/>
  <c r="AE497" i="2"/>
  <c r="U497" i="2"/>
  <c r="AL497" i="2"/>
  <c r="E497" i="2"/>
  <c r="W497" i="2"/>
  <c r="V497" i="2"/>
  <c r="T497" i="2"/>
  <c r="K497" i="2"/>
  <c r="G497" i="2"/>
  <c r="AI497" i="2"/>
  <c r="AK497" i="2"/>
  <c r="AC497" i="2"/>
  <c r="S497" i="2"/>
  <c r="AN497" i="2"/>
  <c r="J497" i="2"/>
  <c r="X497" i="2"/>
  <c r="O497" i="2"/>
  <c r="I497" i="2"/>
  <c r="D497" i="2"/>
  <c r="Q497" i="2"/>
  <c r="C497" i="2"/>
  <c r="AG497" i="2"/>
  <c r="L497" i="2"/>
  <c r="N497" i="2"/>
  <c r="AF497" i="2"/>
  <c r="Z497" i="2"/>
  <c r="F497" i="2"/>
  <c r="R497" i="2"/>
  <c r="AB497" i="2"/>
  <c r="AM497" i="2"/>
  <c r="AO497" i="2"/>
  <c r="AJ497" i="2"/>
  <c r="Y497" i="2"/>
  <c r="P497" i="2"/>
  <c r="M497" i="2"/>
  <c r="AD497" i="2"/>
  <c r="AH497" i="2"/>
  <c r="AA497" i="2"/>
  <c r="B499" i="2" l="1"/>
  <c r="AL498" i="2"/>
  <c r="S498" i="2"/>
  <c r="N498" i="2"/>
  <c r="AE498" i="2"/>
  <c r="AC498" i="2"/>
  <c r="V498" i="2"/>
  <c r="AM498" i="2"/>
  <c r="AF498" i="2"/>
  <c r="L498" i="2"/>
  <c r="P498" i="2"/>
  <c r="O498" i="2"/>
  <c r="AN498" i="2"/>
  <c r="Z498" i="2"/>
  <c r="G498" i="2"/>
  <c r="AG498" i="2"/>
  <c r="X498" i="2"/>
  <c r="T498" i="2"/>
  <c r="AO498" i="2"/>
  <c r="Y498" i="2"/>
  <c r="R498" i="2"/>
  <c r="Q498" i="2"/>
  <c r="H498" i="2"/>
  <c r="D498" i="2"/>
  <c r="U498" i="2"/>
  <c r="AD498" i="2"/>
  <c r="AA498" i="2"/>
  <c r="K498" i="2"/>
  <c r="AJ498" i="2"/>
  <c r="AI498" i="2"/>
  <c r="W498" i="2"/>
  <c r="F498" i="2"/>
  <c r="AB498" i="2"/>
  <c r="E498" i="2"/>
  <c r="J498" i="2"/>
  <c r="I498" i="2"/>
  <c r="AH498" i="2"/>
  <c r="AK498" i="2"/>
  <c r="M498" i="2"/>
  <c r="C498" i="2"/>
  <c r="B500" i="2" l="1"/>
  <c r="I499" i="2"/>
  <c r="N499" i="2"/>
  <c r="AO499" i="2"/>
  <c r="AI499" i="2"/>
  <c r="AJ499" i="2"/>
  <c r="V499" i="2"/>
  <c r="AG499" i="2"/>
  <c r="Y499" i="2"/>
  <c r="J499" i="2"/>
  <c r="E499" i="2"/>
  <c r="AB499" i="2"/>
  <c r="K499" i="2"/>
  <c r="AH499" i="2"/>
  <c r="M499" i="2"/>
  <c r="AF499" i="2"/>
  <c r="X499" i="2"/>
  <c r="AD499" i="2"/>
  <c r="D499" i="2"/>
  <c r="Z499" i="2"/>
  <c r="T499" i="2"/>
  <c r="AC499" i="2"/>
  <c r="AN499" i="2"/>
  <c r="AM499" i="2"/>
  <c r="L499" i="2"/>
  <c r="W499" i="2"/>
  <c r="AE499" i="2"/>
  <c r="R499" i="2"/>
  <c r="O499" i="2"/>
  <c r="S499" i="2"/>
  <c r="C499" i="2"/>
  <c r="P499" i="2"/>
  <c r="AK499" i="2"/>
  <c r="G499" i="2"/>
  <c r="H499" i="2"/>
  <c r="AL499" i="2"/>
  <c r="U499" i="2"/>
  <c r="Q499" i="2"/>
  <c r="AA499" i="2"/>
  <c r="F499" i="2"/>
  <c r="B501" i="2" l="1"/>
  <c r="R500" i="2"/>
  <c r="Q500" i="2"/>
  <c r="G500" i="2"/>
  <c r="J500" i="2"/>
  <c r="F500" i="2"/>
  <c r="H500" i="2"/>
  <c r="U500" i="2"/>
  <c r="AH500" i="2"/>
  <c r="AK500" i="2"/>
  <c r="AE500" i="2"/>
  <c r="AD500" i="2"/>
  <c r="AM500" i="2"/>
  <c r="AB500" i="2"/>
  <c r="Y500" i="2"/>
  <c r="AC500" i="2"/>
  <c r="C500" i="2"/>
  <c r="AJ500" i="2"/>
  <c r="AF500" i="2"/>
  <c r="T500" i="2"/>
  <c r="AL500" i="2"/>
  <c r="Z500" i="2"/>
  <c r="D500" i="2"/>
  <c r="W500" i="2"/>
  <c r="X500" i="2"/>
  <c r="AA500" i="2"/>
  <c r="N500" i="2"/>
  <c r="AI500" i="2"/>
  <c r="M500" i="2"/>
  <c r="I500" i="2"/>
  <c r="E500" i="2"/>
  <c r="K500" i="2"/>
  <c r="S500" i="2"/>
  <c r="AO500" i="2"/>
  <c r="V500" i="2"/>
  <c r="P500" i="2"/>
  <c r="L500" i="2"/>
  <c r="AN500" i="2"/>
  <c r="AG500" i="2"/>
  <c r="O500" i="2"/>
  <c r="B502" i="2" l="1"/>
  <c r="AK501" i="2"/>
  <c r="X501" i="2"/>
  <c r="S501" i="2"/>
  <c r="H501" i="2"/>
  <c r="AG501" i="2"/>
  <c r="E501" i="2"/>
  <c r="T501" i="2"/>
  <c r="F501" i="2"/>
  <c r="I501" i="2"/>
  <c r="Y501" i="2"/>
  <c r="D501" i="2"/>
  <c r="AA501" i="2"/>
  <c r="AH501" i="2"/>
  <c r="L501" i="2"/>
  <c r="AE501" i="2"/>
  <c r="P501" i="2"/>
  <c r="AJ501" i="2"/>
  <c r="J501" i="2"/>
  <c r="AD501" i="2"/>
  <c r="G501" i="2"/>
  <c r="U501" i="2"/>
  <c r="Q501" i="2"/>
  <c r="O501" i="2"/>
  <c r="R501" i="2"/>
  <c r="K501" i="2"/>
  <c r="C501" i="2"/>
  <c r="N501" i="2"/>
  <c r="AL501" i="2"/>
  <c r="AF501" i="2"/>
  <c r="W501" i="2"/>
  <c r="AO501" i="2"/>
  <c r="M501" i="2"/>
  <c r="AM501" i="2"/>
  <c r="AN501" i="2"/>
  <c r="Z501" i="2"/>
  <c r="AI501" i="2"/>
  <c r="AB501" i="2"/>
  <c r="V501" i="2"/>
  <c r="AC501" i="2"/>
  <c r="B503" i="2" l="1"/>
  <c r="X502" i="2"/>
  <c r="AI502" i="2"/>
  <c r="AJ502" i="2"/>
  <c r="AF502" i="2"/>
  <c r="AB502" i="2"/>
  <c r="AN502" i="2"/>
  <c r="N502" i="2"/>
  <c r="AD502" i="2"/>
  <c r="AE502" i="2"/>
  <c r="V502" i="2"/>
  <c r="G502" i="2"/>
  <c r="Q502" i="2"/>
  <c r="R502" i="2"/>
  <c r="L502" i="2"/>
  <c r="AC502" i="2"/>
  <c r="S502" i="2"/>
  <c r="O502" i="2"/>
  <c r="W502" i="2"/>
  <c r="Z502" i="2"/>
  <c r="T502" i="2"/>
  <c r="AK502" i="2"/>
  <c r="AO502" i="2"/>
  <c r="AH502" i="2"/>
  <c r="E502" i="2"/>
  <c r="AL502" i="2"/>
  <c r="Y502" i="2"/>
  <c r="K502" i="2"/>
  <c r="AA502" i="2"/>
  <c r="D502" i="2"/>
  <c r="C502" i="2"/>
  <c r="F502" i="2"/>
  <c r="M502" i="2"/>
  <c r="P502" i="2"/>
  <c r="J502" i="2"/>
  <c r="H502" i="2"/>
  <c r="AG502" i="2"/>
  <c r="I502" i="2"/>
  <c r="U502" i="2"/>
  <c r="AM502" i="2"/>
  <c r="B504" i="2" l="1"/>
  <c r="AF503" i="2"/>
  <c r="Q503" i="2"/>
  <c r="S503" i="2"/>
  <c r="T503" i="2"/>
  <c r="AK503" i="2"/>
  <c r="V503" i="2"/>
  <c r="AI503" i="2"/>
  <c r="U503" i="2"/>
  <c r="H503" i="2"/>
  <c r="AB503" i="2"/>
  <c r="E503" i="2"/>
  <c r="Z503" i="2"/>
  <c r="G503" i="2"/>
  <c r="N503" i="2"/>
  <c r="AJ503" i="2"/>
  <c r="X503" i="2"/>
  <c r="AA503" i="2"/>
  <c r="AM503" i="2"/>
  <c r="AL503" i="2"/>
  <c r="J503" i="2"/>
  <c r="C503" i="2"/>
  <c r="AH503" i="2"/>
  <c r="AC503" i="2"/>
  <c r="D503" i="2"/>
  <c r="AE503" i="2"/>
  <c r="O503" i="2"/>
  <c r="AD503" i="2"/>
  <c r="M503" i="2"/>
  <c r="K503" i="2"/>
  <c r="F503" i="2"/>
  <c r="W503" i="2"/>
  <c r="AG503" i="2"/>
  <c r="L503" i="2"/>
  <c r="Y503" i="2"/>
  <c r="AN503" i="2"/>
  <c r="AO503" i="2"/>
  <c r="I503" i="2"/>
  <c r="R503" i="2"/>
  <c r="P503" i="2"/>
  <c r="B505" i="2" l="1"/>
  <c r="L504" i="2"/>
  <c r="P504" i="2"/>
  <c r="C504" i="2"/>
  <c r="U504" i="2"/>
  <c r="AD504" i="2"/>
  <c r="D504" i="2"/>
  <c r="AK504" i="2"/>
  <c r="X504" i="2"/>
  <c r="S504" i="2"/>
  <c r="H504" i="2"/>
  <c r="G504" i="2"/>
  <c r="J504" i="2"/>
  <c r="F504" i="2"/>
  <c r="Y504" i="2"/>
  <c r="O504" i="2"/>
  <c r="AN504" i="2"/>
  <c r="R504" i="2"/>
  <c r="AC504" i="2"/>
  <c r="W504" i="2"/>
  <c r="K504" i="2"/>
  <c r="AF504" i="2"/>
  <c r="AE504" i="2"/>
  <c r="AJ504" i="2"/>
  <c r="AG504" i="2"/>
  <c r="AB504" i="2"/>
  <c r="AO504" i="2"/>
  <c r="V504" i="2"/>
  <c r="AI504" i="2"/>
  <c r="M504" i="2"/>
  <c r="E504" i="2"/>
  <c r="N504" i="2"/>
  <c r="I504" i="2"/>
  <c r="AA504" i="2"/>
  <c r="AH504" i="2"/>
  <c r="Q504" i="2"/>
  <c r="AL504" i="2"/>
  <c r="AM504" i="2"/>
  <c r="Z504" i="2"/>
  <c r="T504" i="2"/>
  <c r="B506" i="2" l="1"/>
  <c r="C505" i="2"/>
  <c r="N505" i="2"/>
  <c r="I505" i="2"/>
  <c r="T505" i="2"/>
  <c r="U505" i="2"/>
  <c r="P505" i="2"/>
  <c r="J505" i="2"/>
  <c r="AH505" i="2"/>
  <c r="X505" i="2"/>
  <c r="AI505" i="2"/>
  <c r="AJ505" i="2"/>
  <c r="V505" i="2"/>
  <c r="AO505" i="2"/>
  <c r="AE505" i="2"/>
  <c r="K505" i="2"/>
  <c r="AG505" i="2"/>
  <c r="AB505" i="2"/>
  <c r="Z505" i="2"/>
  <c r="E505" i="2"/>
  <c r="AA505" i="2"/>
  <c r="AN505" i="2"/>
  <c r="AD505" i="2"/>
  <c r="H505" i="2"/>
  <c r="D505" i="2"/>
  <c r="Q505" i="2"/>
  <c r="S505" i="2"/>
  <c r="AL505" i="2"/>
  <c r="R505" i="2"/>
  <c r="G505" i="2"/>
  <c r="AK505" i="2"/>
  <c r="AF505" i="2"/>
  <c r="W505" i="2"/>
  <c r="L505" i="2"/>
  <c r="AC505" i="2"/>
  <c r="F505" i="2"/>
  <c r="M505" i="2"/>
  <c r="AM505" i="2"/>
  <c r="Y505" i="2"/>
  <c r="O505" i="2"/>
  <c r="B507" i="2" l="1"/>
  <c r="H506" i="2"/>
  <c r="M506" i="2"/>
  <c r="I506" i="2"/>
  <c r="X506" i="2"/>
  <c r="AB506" i="2"/>
  <c r="AF506" i="2"/>
  <c r="AA506" i="2"/>
  <c r="N506" i="2"/>
  <c r="P506" i="2"/>
  <c r="AN506" i="2"/>
  <c r="AC506" i="2"/>
  <c r="V506" i="2"/>
  <c r="U506" i="2"/>
  <c r="AJ506" i="2"/>
  <c r="AD506" i="2"/>
  <c r="C506" i="2"/>
  <c r="K506" i="2"/>
  <c r="O506" i="2"/>
  <c r="L506" i="2"/>
  <c r="AO506" i="2"/>
  <c r="Q506" i="2"/>
  <c r="R506" i="2"/>
  <c r="E506" i="2"/>
  <c r="D506" i="2"/>
  <c r="AE506" i="2"/>
  <c r="Y506" i="2"/>
  <c r="F506" i="2"/>
  <c r="S506" i="2"/>
  <c r="G506" i="2"/>
  <c r="AM506" i="2"/>
  <c r="J506" i="2"/>
  <c r="AH506" i="2"/>
  <c r="AL506" i="2"/>
  <c r="AG506" i="2"/>
  <c r="W506" i="2"/>
  <c r="AI506" i="2"/>
  <c r="T506" i="2"/>
  <c r="AK506" i="2"/>
  <c r="Z506" i="2"/>
  <c r="B508" i="2" l="1"/>
  <c r="Z507" i="2"/>
  <c r="F507" i="2"/>
  <c r="Q507" i="2"/>
  <c r="O507" i="2"/>
  <c r="AB507" i="2"/>
  <c r="AI507" i="2"/>
  <c r="T507" i="2"/>
  <c r="AC507" i="2"/>
  <c r="H507" i="2"/>
  <c r="L507" i="2"/>
  <c r="J507" i="2"/>
  <c r="AO507" i="2"/>
  <c r="R507" i="2"/>
  <c r="AL507" i="2"/>
  <c r="AN507" i="2"/>
  <c r="S507" i="2"/>
  <c r="X507" i="2"/>
  <c r="AJ507" i="2"/>
  <c r="E507" i="2"/>
  <c r="AD507" i="2"/>
  <c r="AG507" i="2"/>
  <c r="C507" i="2"/>
  <c r="U507" i="2"/>
  <c r="P507" i="2"/>
  <c r="AM507" i="2"/>
  <c r="AA507" i="2"/>
  <c r="G507" i="2"/>
  <c r="AH507" i="2"/>
  <c r="I507" i="2"/>
  <c r="N507" i="2"/>
  <c r="V507" i="2"/>
  <c r="M507" i="2"/>
  <c r="Y507" i="2"/>
  <c r="D507" i="2"/>
  <c r="AE507" i="2"/>
  <c r="K507" i="2"/>
  <c r="AK507" i="2"/>
  <c r="AF507" i="2"/>
  <c r="W507" i="2"/>
  <c r="B509" i="2" l="1"/>
  <c r="H508" i="2"/>
  <c r="T508" i="2"/>
  <c r="Z508" i="2"/>
  <c r="AE508" i="2"/>
  <c r="S508" i="2"/>
  <c r="O508" i="2"/>
  <c r="I508" i="2"/>
  <c r="N508" i="2"/>
  <c r="W508" i="2"/>
  <c r="F508" i="2"/>
  <c r="AC508" i="2"/>
  <c r="U508" i="2"/>
  <c r="AM508" i="2"/>
  <c r="X508" i="2"/>
  <c r="J508" i="2"/>
  <c r="D508" i="2"/>
  <c r="AG508" i="2"/>
  <c r="Q508" i="2"/>
  <c r="C508" i="2"/>
  <c r="Y508" i="2"/>
  <c r="K508" i="2"/>
  <c r="AN508" i="2"/>
  <c r="AK508" i="2"/>
  <c r="AL508" i="2"/>
  <c r="R508" i="2"/>
  <c r="AJ508" i="2"/>
  <c r="AH508" i="2"/>
  <c r="V508" i="2"/>
  <c r="E508" i="2"/>
  <c r="G508" i="2"/>
  <c r="AF508" i="2"/>
  <c r="AA508" i="2"/>
  <c r="L508" i="2"/>
  <c r="AD508" i="2"/>
  <c r="AI508" i="2"/>
  <c r="AB508" i="2"/>
  <c r="P508" i="2"/>
  <c r="M508" i="2"/>
  <c r="AO508" i="2"/>
  <c r="B510" i="2" l="1"/>
  <c r="R509" i="2"/>
  <c r="X509" i="2"/>
  <c r="AA509" i="2"/>
  <c r="AF509" i="2"/>
  <c r="AO509" i="2"/>
  <c r="K509" i="2"/>
  <c r="AN509" i="2"/>
  <c r="O509" i="2"/>
  <c r="U509" i="2"/>
  <c r="AK509" i="2"/>
  <c r="AG509" i="2"/>
  <c r="AE509" i="2"/>
  <c r="Q509" i="2"/>
  <c r="AD509" i="2"/>
  <c r="AB509" i="2"/>
  <c r="T509" i="2"/>
  <c r="Y509" i="2"/>
  <c r="V509" i="2"/>
  <c r="M509" i="2"/>
  <c r="AC509" i="2"/>
  <c r="S509" i="2"/>
  <c r="H509" i="2"/>
  <c r="AM509" i="2"/>
  <c r="AI509" i="2"/>
  <c r="AL509" i="2"/>
  <c r="I509" i="2"/>
  <c r="N509" i="2"/>
  <c r="P509" i="2"/>
  <c r="Z509" i="2"/>
  <c r="G509" i="2"/>
  <c r="D509" i="2"/>
  <c r="W509" i="2"/>
  <c r="C509" i="2"/>
  <c r="F509" i="2"/>
  <c r="J509" i="2"/>
  <c r="L509" i="2"/>
  <c r="E509" i="2"/>
  <c r="AH509" i="2"/>
  <c r="AJ509" i="2"/>
  <c r="B511" i="2" l="1"/>
  <c r="AG510" i="2"/>
  <c r="W510" i="2"/>
  <c r="AB510" i="2"/>
  <c r="E510" i="2"/>
  <c r="M510" i="2"/>
  <c r="O510" i="2"/>
  <c r="AK510" i="2"/>
  <c r="AO510" i="2"/>
  <c r="AI510" i="2"/>
  <c r="N510" i="2"/>
  <c r="X510" i="2"/>
  <c r="V510" i="2"/>
  <c r="R510" i="2"/>
  <c r="Z510" i="2"/>
  <c r="AJ510" i="2"/>
  <c r="D510" i="2"/>
  <c r="I510" i="2"/>
  <c r="AE510" i="2"/>
  <c r="G510" i="2"/>
  <c r="Y510" i="2"/>
  <c r="S510" i="2"/>
  <c r="T510" i="2"/>
  <c r="AH510" i="2"/>
  <c r="L510" i="2"/>
  <c r="AN510" i="2"/>
  <c r="H510" i="2"/>
  <c r="K510" i="2"/>
  <c r="P510" i="2"/>
  <c r="AL510" i="2"/>
  <c r="J510" i="2"/>
  <c r="C510" i="2"/>
  <c r="AD510" i="2"/>
  <c r="Q510" i="2"/>
  <c r="U510" i="2"/>
  <c r="AF510" i="2"/>
  <c r="AA510" i="2"/>
  <c r="F510" i="2"/>
  <c r="AM510" i="2"/>
  <c r="AC510" i="2"/>
  <c r="B512" i="2" l="1"/>
  <c r="O511" i="2"/>
  <c r="L511" i="2"/>
  <c r="Z511" i="2"/>
  <c r="X511" i="2"/>
  <c r="G511" i="2"/>
  <c r="AN511" i="2"/>
  <c r="K511" i="2"/>
  <c r="AK511" i="2"/>
  <c r="R511" i="2"/>
  <c r="D511" i="2"/>
  <c r="AH511" i="2"/>
  <c r="N511" i="2"/>
  <c r="J511" i="2"/>
  <c r="AE511" i="2"/>
  <c r="AJ511" i="2"/>
  <c r="AF511" i="2"/>
  <c r="I511" i="2"/>
  <c r="W511" i="2"/>
  <c r="M511" i="2"/>
  <c r="S511" i="2"/>
  <c r="Q511" i="2"/>
  <c r="AC511" i="2"/>
  <c r="AO511" i="2"/>
  <c r="AB511" i="2"/>
  <c r="F511" i="2"/>
  <c r="AG511" i="2"/>
  <c r="V511" i="2"/>
  <c r="U511" i="2"/>
  <c r="AL511" i="2"/>
  <c r="C511" i="2"/>
  <c r="AM511" i="2"/>
  <c r="AI511" i="2"/>
  <c r="E511" i="2"/>
  <c r="H511" i="2"/>
  <c r="AD511" i="2"/>
  <c r="Y511" i="2"/>
  <c r="AA511" i="2"/>
  <c r="P511" i="2"/>
  <c r="T511" i="2"/>
  <c r="B513" i="2" l="1"/>
  <c r="AL512" i="2"/>
  <c r="AO512" i="2"/>
  <c r="AD512" i="2"/>
  <c r="O512" i="2"/>
  <c r="S512" i="2"/>
  <c r="AI512" i="2"/>
  <c r="AA512" i="2"/>
  <c r="AB512" i="2"/>
  <c r="AJ512" i="2"/>
  <c r="AN512" i="2"/>
  <c r="AH512" i="2"/>
  <c r="AF512" i="2"/>
  <c r="AK512" i="2"/>
  <c r="N512" i="2"/>
  <c r="I512" i="2"/>
  <c r="E512" i="2"/>
  <c r="X512" i="2"/>
  <c r="AM512" i="2"/>
  <c r="C512" i="2"/>
  <c r="H512" i="2"/>
  <c r="J512" i="2"/>
  <c r="U512" i="2"/>
  <c r="Z512" i="2"/>
  <c r="AG512" i="2"/>
  <c r="Y512" i="2"/>
  <c r="L512" i="2"/>
  <c r="G512" i="2"/>
  <c r="F512" i="2"/>
  <c r="T512" i="2"/>
  <c r="V512" i="2"/>
  <c r="AC512" i="2"/>
  <c r="Q512" i="2"/>
  <c r="R512" i="2"/>
  <c r="K512" i="2"/>
  <c r="D512" i="2"/>
  <c r="M512" i="2"/>
  <c r="W512" i="2"/>
  <c r="P512" i="2"/>
  <c r="AE512" i="2"/>
  <c r="B514" i="2" l="1"/>
  <c r="U513" i="2"/>
  <c r="AC513" i="2"/>
  <c r="V513" i="2"/>
  <c r="P513" i="2"/>
  <c r="AO513" i="2"/>
  <c r="C513" i="2"/>
  <c r="Q513" i="2"/>
  <c r="AF513" i="2"/>
  <c r="AL513" i="2"/>
  <c r="K513" i="2"/>
  <c r="AG513" i="2"/>
  <c r="S513" i="2"/>
  <c r="N513" i="2"/>
  <c r="I513" i="2"/>
  <c r="AI513" i="2"/>
  <c r="O513" i="2"/>
  <c r="R513" i="2"/>
  <c r="M513" i="2"/>
  <c r="AB513" i="2"/>
  <c r="T513" i="2"/>
  <c r="AN513" i="2"/>
  <c r="AA513" i="2"/>
  <c r="AD513" i="2"/>
  <c r="AE513" i="2"/>
  <c r="AJ513" i="2"/>
  <c r="G513" i="2"/>
  <c r="J513" i="2"/>
  <c r="H513" i="2"/>
  <c r="AK513" i="2"/>
  <c r="X513" i="2"/>
  <c r="D513" i="2"/>
  <c r="L513" i="2"/>
  <c r="E513" i="2"/>
  <c r="W513" i="2"/>
  <c r="Z513" i="2"/>
  <c r="Y513" i="2"/>
  <c r="AH513" i="2"/>
  <c r="F513" i="2"/>
  <c r="AM513" i="2"/>
  <c r="B515" i="2" l="1"/>
  <c r="AC514" i="2"/>
  <c r="AG514" i="2"/>
  <c r="AK514" i="2"/>
  <c r="AA514" i="2"/>
  <c r="W514" i="2"/>
  <c r="M514" i="2"/>
  <c r="D514" i="2"/>
  <c r="X514" i="2"/>
  <c r="F514" i="2"/>
  <c r="T514" i="2"/>
  <c r="H514" i="2"/>
  <c r="N514" i="2"/>
  <c r="U514" i="2"/>
  <c r="AO514" i="2"/>
  <c r="AN514" i="2"/>
  <c r="K514" i="2"/>
  <c r="I514" i="2"/>
  <c r="AL514" i="2"/>
  <c r="AJ514" i="2"/>
  <c r="AH514" i="2"/>
  <c r="Q514" i="2"/>
  <c r="AE514" i="2"/>
  <c r="C514" i="2"/>
  <c r="Z514" i="2"/>
  <c r="AF514" i="2"/>
  <c r="S514" i="2"/>
  <c r="AD514" i="2"/>
  <c r="P514" i="2"/>
  <c r="O514" i="2"/>
  <c r="V514" i="2"/>
  <c r="L514" i="2"/>
  <c r="AI514" i="2"/>
  <c r="R514" i="2"/>
  <c r="G514" i="2"/>
  <c r="AM514" i="2"/>
  <c r="J514" i="2"/>
  <c r="AB514" i="2"/>
  <c r="E514" i="2"/>
  <c r="Y514" i="2"/>
  <c r="B516" i="2" l="1"/>
  <c r="S515" i="2"/>
  <c r="AA515" i="2"/>
  <c r="T515" i="2"/>
  <c r="E515" i="2"/>
  <c r="AH515" i="2"/>
  <c r="R515" i="2"/>
  <c r="AJ515" i="2"/>
  <c r="AM515" i="2"/>
  <c r="K515" i="2"/>
  <c r="L515" i="2"/>
  <c r="F515" i="2"/>
  <c r="Z515" i="2"/>
  <c r="AN515" i="2"/>
  <c r="V515" i="2"/>
  <c r="AI515" i="2"/>
  <c r="AE515" i="2"/>
  <c r="J515" i="2"/>
  <c r="AK515" i="2"/>
  <c r="Q515" i="2"/>
  <c r="C515" i="2"/>
  <c r="U515" i="2"/>
  <c r="M515" i="2"/>
  <c r="Y515" i="2"/>
  <c r="AC515" i="2"/>
  <c r="AL515" i="2"/>
  <c r="AO515" i="2"/>
  <c r="I515" i="2"/>
  <c r="N515" i="2"/>
  <c r="AB515" i="2"/>
  <c r="D515" i="2"/>
  <c r="AG515" i="2"/>
  <c r="P515" i="2"/>
  <c r="X515" i="2"/>
  <c r="AD515" i="2"/>
  <c r="W515" i="2"/>
  <c r="O515" i="2"/>
  <c r="AF515" i="2"/>
  <c r="H515" i="2"/>
  <c r="G515" i="2"/>
  <c r="B517" i="2" l="1"/>
  <c r="Z516" i="2"/>
  <c r="G516" i="2"/>
  <c r="P516" i="2"/>
  <c r="AO516" i="2"/>
  <c r="N516" i="2"/>
  <c r="X516" i="2"/>
  <c r="AK516" i="2"/>
  <c r="O516" i="2"/>
  <c r="W516" i="2"/>
  <c r="AJ516" i="2"/>
  <c r="AL516" i="2"/>
  <c r="J516" i="2"/>
  <c r="AF516" i="2"/>
  <c r="R516" i="2"/>
  <c r="L516" i="2"/>
  <c r="AC516" i="2"/>
  <c r="F516" i="2"/>
  <c r="AG516" i="2"/>
  <c r="AB516" i="2"/>
  <c r="AA516" i="2"/>
  <c r="C516" i="2"/>
  <c r="I516" i="2"/>
  <c r="D516" i="2"/>
  <c r="AI516" i="2"/>
  <c r="Q516" i="2"/>
  <c r="AN516" i="2"/>
  <c r="AM516" i="2"/>
  <c r="AH516" i="2"/>
  <c r="AE516" i="2"/>
  <c r="V516" i="2"/>
  <c r="K516" i="2"/>
  <c r="T516" i="2"/>
  <c r="Y516" i="2"/>
  <c r="M516" i="2"/>
  <c r="E516" i="2"/>
  <c r="S516" i="2"/>
  <c r="H516" i="2"/>
  <c r="U516" i="2"/>
  <c r="AD516" i="2"/>
  <c r="B518" i="2" l="1"/>
  <c r="K517" i="2"/>
  <c r="AF517" i="2"/>
  <c r="V517" i="2"/>
  <c r="O517" i="2"/>
  <c r="AE517" i="2"/>
  <c r="R517" i="2"/>
  <c r="AC517" i="2"/>
  <c r="AD517" i="2"/>
  <c r="AG517" i="2"/>
  <c r="Q517" i="2"/>
  <c r="G517" i="2"/>
  <c r="M517" i="2"/>
  <c r="D517" i="2"/>
  <c r="H517" i="2"/>
  <c r="E517" i="2"/>
  <c r="AL517" i="2"/>
  <c r="U517" i="2"/>
  <c r="AA517" i="2"/>
  <c r="F517" i="2"/>
  <c r="C517" i="2"/>
  <c r="Y517" i="2"/>
  <c r="I517" i="2"/>
  <c r="AO517" i="2"/>
  <c r="AH517" i="2"/>
  <c r="AI517" i="2"/>
  <c r="N517" i="2"/>
  <c r="AN517" i="2"/>
  <c r="L517" i="2"/>
  <c r="Z517" i="2"/>
  <c r="AB517" i="2"/>
  <c r="T517" i="2"/>
  <c r="AK517" i="2"/>
  <c r="AM517" i="2"/>
  <c r="S517" i="2"/>
  <c r="P517" i="2"/>
  <c r="J517" i="2"/>
  <c r="X517" i="2"/>
  <c r="W517" i="2"/>
  <c r="AJ517" i="2"/>
  <c r="B519" i="2" l="1"/>
  <c r="AG518" i="2"/>
  <c r="AN518" i="2"/>
  <c r="AI518" i="2"/>
  <c r="P518" i="2"/>
  <c r="AC518" i="2"/>
  <c r="I518" i="2"/>
  <c r="K518" i="2"/>
  <c r="Z518" i="2"/>
  <c r="E518" i="2"/>
  <c r="O518" i="2"/>
  <c r="S518" i="2"/>
  <c r="L518" i="2"/>
  <c r="AH518" i="2"/>
  <c r="C518" i="2"/>
  <c r="Y518" i="2"/>
  <c r="AD518" i="2"/>
  <c r="J518" i="2"/>
  <c r="AK518" i="2"/>
  <c r="T518" i="2"/>
  <c r="F518" i="2"/>
  <c r="X518" i="2"/>
  <c r="U518" i="2"/>
  <c r="AE518" i="2"/>
  <c r="AF518" i="2"/>
  <c r="AJ518" i="2"/>
  <c r="AL518" i="2"/>
  <c r="W518" i="2"/>
  <c r="H518" i="2"/>
  <c r="D518" i="2"/>
  <c r="R518" i="2"/>
  <c r="N518" i="2"/>
  <c r="AM518" i="2"/>
  <c r="AA518" i="2"/>
  <c r="AO518" i="2"/>
  <c r="V518" i="2"/>
  <c r="M518" i="2"/>
  <c r="AB518" i="2"/>
  <c r="Q518" i="2"/>
  <c r="G518" i="2"/>
  <c r="B520" i="2" l="1"/>
  <c r="E519" i="2"/>
  <c r="L519" i="2"/>
  <c r="V519" i="2"/>
  <c r="R519" i="2"/>
  <c r="I519" i="2"/>
  <c r="S519" i="2"/>
  <c r="U519" i="2"/>
  <c r="AF519" i="2"/>
  <c r="AE519" i="2"/>
  <c r="O519" i="2"/>
  <c r="C519" i="2"/>
  <c r="K519" i="2"/>
  <c r="AN519" i="2"/>
  <c r="AI519" i="2"/>
  <c r="M519" i="2"/>
  <c r="F519" i="2"/>
  <c r="J519" i="2"/>
  <c r="AM519" i="2"/>
  <c r="Q519" i="2"/>
  <c r="AL519" i="2"/>
  <c r="AO519" i="2"/>
  <c r="AJ519" i="2"/>
  <c r="H519" i="2"/>
  <c r="AG519" i="2"/>
  <c r="AA519" i="2"/>
  <c r="G519" i="2"/>
  <c r="D519" i="2"/>
  <c r="AK519" i="2"/>
  <c r="AH519" i="2"/>
  <c r="P519" i="2"/>
  <c r="N519" i="2"/>
  <c r="AB519" i="2"/>
  <c r="AD519" i="2"/>
  <c r="W519" i="2"/>
  <c r="AC519" i="2"/>
  <c r="Y519" i="2"/>
  <c r="T519" i="2"/>
  <c r="Z519" i="2"/>
  <c r="X519" i="2"/>
  <c r="B521" i="2" l="1"/>
  <c r="AF520" i="2"/>
  <c r="M520" i="2"/>
  <c r="AC520" i="2"/>
  <c r="H520" i="2"/>
  <c r="K520" i="2"/>
  <c r="AG520" i="2"/>
  <c r="C520" i="2"/>
  <c r="O520" i="2"/>
  <c r="I520" i="2"/>
  <c r="P520" i="2"/>
  <c r="U520" i="2"/>
  <c r="AL520" i="2"/>
  <c r="AA520" i="2"/>
  <c r="G520" i="2"/>
  <c r="Q520" i="2"/>
  <c r="V520" i="2"/>
  <c r="L520" i="2"/>
  <c r="R520" i="2"/>
  <c r="AE520" i="2"/>
  <c r="AN520" i="2"/>
  <c r="Z520" i="2"/>
  <c r="AM520" i="2"/>
  <c r="AI520" i="2"/>
  <c r="AO520" i="2"/>
  <c r="AJ520" i="2"/>
  <c r="Y520" i="2"/>
  <c r="F520" i="2"/>
  <c r="E520" i="2"/>
  <c r="AH520" i="2"/>
  <c r="D520" i="2"/>
  <c r="AD520" i="2"/>
  <c r="T520" i="2"/>
  <c r="AB520" i="2"/>
  <c r="AK520" i="2"/>
  <c r="X520" i="2"/>
  <c r="S520" i="2"/>
  <c r="W520" i="2"/>
  <c r="N520" i="2"/>
  <c r="J520" i="2"/>
  <c r="B522" i="2" l="1"/>
  <c r="E521" i="2"/>
  <c r="U521" i="2"/>
  <c r="AB521" i="2"/>
  <c r="AK521" i="2"/>
  <c r="AG521" i="2"/>
  <c r="P521" i="2"/>
  <c r="O521" i="2"/>
  <c r="AJ521" i="2"/>
  <c r="L521" i="2"/>
  <c r="N521" i="2"/>
  <c r="I521" i="2"/>
  <c r="AA521" i="2"/>
  <c r="C521" i="2"/>
  <c r="F521" i="2"/>
  <c r="M521" i="2"/>
  <c r="H521" i="2"/>
  <c r="AE521" i="2"/>
  <c r="G521" i="2"/>
  <c r="Y521" i="2"/>
  <c r="Z521" i="2"/>
  <c r="AD521" i="2"/>
  <c r="AL521" i="2"/>
  <c r="R521" i="2"/>
  <c r="AF521" i="2"/>
  <c r="S521" i="2"/>
  <c r="AM521" i="2"/>
  <c r="Q521" i="2"/>
  <c r="D521" i="2"/>
  <c r="J521" i="2"/>
  <c r="AN521" i="2"/>
  <c r="X521" i="2"/>
  <c r="T521" i="2"/>
  <c r="V521" i="2"/>
  <c r="K521" i="2"/>
  <c r="AC521" i="2"/>
  <c r="AO521" i="2"/>
  <c r="W521" i="2"/>
  <c r="AH521" i="2"/>
  <c r="AI521" i="2"/>
  <c r="B523" i="2" l="1"/>
  <c r="V522" i="2"/>
  <c r="R522" i="2"/>
  <c r="H522" i="2"/>
  <c r="AG522" i="2"/>
  <c r="K522" i="2"/>
  <c r="AH522" i="2"/>
  <c r="AK522" i="2"/>
  <c r="I522" i="2"/>
  <c r="E522" i="2"/>
  <c r="T522" i="2"/>
  <c r="AO522" i="2"/>
  <c r="S522" i="2"/>
  <c r="AE522" i="2"/>
  <c r="C522" i="2"/>
  <c r="AB522" i="2"/>
  <c r="M522" i="2"/>
  <c r="N522" i="2"/>
  <c r="Z522" i="2"/>
  <c r="AL522" i="2"/>
  <c r="AF522" i="2"/>
  <c r="AD522" i="2"/>
  <c r="P522" i="2"/>
  <c r="G522" i="2"/>
  <c r="O522" i="2"/>
  <c r="Y522" i="2"/>
  <c r="D522" i="2"/>
  <c r="L522" i="2"/>
  <c r="J522" i="2"/>
  <c r="AJ522" i="2"/>
  <c r="AA522" i="2"/>
  <c r="AN522" i="2"/>
  <c r="F522" i="2"/>
  <c r="AC522" i="2"/>
  <c r="AM522" i="2"/>
  <c r="X522" i="2"/>
  <c r="AI522" i="2"/>
  <c r="Q522" i="2"/>
  <c r="U522" i="2"/>
  <c r="W522" i="2"/>
  <c r="B524" i="2" l="1"/>
  <c r="AF523" i="2"/>
  <c r="K523" i="2"/>
  <c r="AG523" i="2"/>
  <c r="X523" i="2"/>
  <c r="P523" i="2"/>
  <c r="AI523" i="2"/>
  <c r="U523" i="2"/>
  <c r="AB523" i="2"/>
  <c r="I523" i="2"/>
  <c r="D523" i="2"/>
  <c r="AK523" i="2"/>
  <c r="AE523" i="2"/>
  <c r="N523" i="2"/>
  <c r="Y523" i="2"/>
  <c r="AH523" i="2"/>
  <c r="M523" i="2"/>
  <c r="AD523" i="2"/>
  <c r="AA523" i="2"/>
  <c r="Q523" i="2"/>
  <c r="R523" i="2"/>
  <c r="AC523" i="2"/>
  <c r="Z523" i="2"/>
  <c r="F523" i="2"/>
  <c r="V523" i="2"/>
  <c r="AJ523" i="2"/>
  <c r="L523" i="2"/>
  <c r="AM523" i="2"/>
  <c r="AN523" i="2"/>
  <c r="AO523" i="2"/>
  <c r="J523" i="2"/>
  <c r="C523" i="2"/>
  <c r="W523" i="2"/>
  <c r="E523" i="2"/>
  <c r="T523" i="2"/>
  <c r="H523" i="2"/>
  <c r="AL523" i="2"/>
  <c r="S523" i="2"/>
  <c r="O523" i="2"/>
  <c r="G523" i="2"/>
  <c r="B525" i="2" l="1"/>
  <c r="E524" i="2"/>
  <c r="AB524" i="2"/>
  <c r="AH524" i="2"/>
  <c r="AN524" i="2"/>
  <c r="T524" i="2"/>
  <c r="AL524" i="2"/>
  <c r="V524" i="2"/>
  <c r="X524" i="2"/>
  <c r="H524" i="2"/>
  <c r="N524" i="2"/>
  <c r="D524" i="2"/>
  <c r="O524" i="2"/>
  <c r="L524" i="2"/>
  <c r="AC524" i="2"/>
  <c r="AE524" i="2"/>
  <c r="AI524" i="2"/>
  <c r="AK524" i="2"/>
  <c r="AJ524" i="2"/>
  <c r="Z524" i="2"/>
  <c r="AM524" i="2"/>
  <c r="S524" i="2"/>
  <c r="F524" i="2"/>
  <c r="J524" i="2"/>
  <c r="U524" i="2"/>
  <c r="K524" i="2"/>
  <c r="M524" i="2"/>
  <c r="AD524" i="2"/>
  <c r="R524" i="2"/>
  <c r="P524" i="2"/>
  <c r="G524" i="2"/>
  <c r="AG524" i="2"/>
  <c r="C524" i="2"/>
  <c r="Y524" i="2"/>
  <c r="W524" i="2"/>
  <c r="AF524" i="2"/>
  <c r="I524" i="2"/>
  <c r="AO524" i="2"/>
  <c r="AA524" i="2"/>
  <c r="Q524" i="2"/>
  <c r="B526" i="2" l="1"/>
  <c r="M525" i="2"/>
  <c r="W525" i="2"/>
  <c r="P525" i="2"/>
  <c r="E525" i="2"/>
  <c r="Q525" i="2"/>
  <c r="S525" i="2"/>
  <c r="AJ525" i="2"/>
  <c r="C525" i="2"/>
  <c r="AG525" i="2"/>
  <c r="AM525" i="2"/>
  <c r="K525" i="2"/>
  <c r="U525" i="2"/>
  <c r="G525" i="2"/>
  <c r="H525" i="2"/>
  <c r="V525" i="2"/>
  <c r="D525" i="2"/>
  <c r="AL525" i="2"/>
  <c r="AA525" i="2"/>
  <c r="AO525" i="2"/>
  <c r="R525" i="2"/>
  <c r="AB525" i="2"/>
  <c r="O525" i="2"/>
  <c r="T525" i="2"/>
  <c r="J525" i="2"/>
  <c r="L525" i="2"/>
  <c r="AH525" i="2"/>
  <c r="Z525" i="2"/>
  <c r="AC525" i="2"/>
  <c r="X525" i="2"/>
  <c r="I525" i="2"/>
  <c r="AF525" i="2"/>
  <c r="N525" i="2"/>
  <c r="Y525" i="2"/>
  <c r="AI525" i="2"/>
  <c r="AD525" i="2"/>
  <c r="AE525" i="2"/>
  <c r="F525" i="2"/>
  <c r="AN525" i="2"/>
  <c r="AK525" i="2"/>
  <c r="B527" i="2" l="1"/>
  <c r="E526" i="2"/>
  <c r="D526" i="2"/>
  <c r="H526" i="2"/>
  <c r="AN526" i="2"/>
  <c r="L526" i="2"/>
  <c r="AD526" i="2"/>
  <c r="X526" i="2"/>
  <c r="K526" i="2"/>
  <c r="F526" i="2"/>
  <c r="Y526" i="2"/>
  <c r="N526" i="2"/>
  <c r="AJ526" i="2"/>
  <c r="Q526" i="2"/>
  <c r="AM526" i="2"/>
  <c r="AA526" i="2"/>
  <c r="AE526" i="2"/>
  <c r="AC526" i="2"/>
  <c r="AK526" i="2"/>
  <c r="I526" i="2"/>
  <c r="P526" i="2"/>
  <c r="AH526" i="2"/>
  <c r="S526" i="2"/>
  <c r="Z526" i="2"/>
  <c r="R526" i="2"/>
  <c r="AB526" i="2"/>
  <c r="G526" i="2"/>
  <c r="AO526" i="2"/>
  <c r="AL526" i="2"/>
  <c r="T526" i="2"/>
  <c r="AF526" i="2"/>
  <c r="U526" i="2"/>
  <c r="J526" i="2"/>
  <c r="O526" i="2"/>
  <c r="W526" i="2"/>
  <c r="AG526" i="2"/>
  <c r="AI526" i="2"/>
  <c r="M526" i="2"/>
  <c r="C526" i="2"/>
  <c r="V526" i="2"/>
  <c r="B528" i="2" l="1"/>
  <c r="AF527" i="2"/>
  <c r="AG527" i="2"/>
  <c r="S527" i="2"/>
  <c r="AO527" i="2"/>
  <c r="AH527" i="2"/>
  <c r="V527" i="2"/>
  <c r="AA527" i="2"/>
  <c r="AI527" i="2"/>
  <c r="AC527" i="2"/>
  <c r="R527" i="2"/>
  <c r="AM527" i="2"/>
  <c r="O527" i="2"/>
  <c r="AE527" i="2"/>
  <c r="AJ527" i="2"/>
  <c r="G527" i="2"/>
  <c r="T527" i="2"/>
  <c r="W527" i="2"/>
  <c r="L527" i="2"/>
  <c r="H527" i="2"/>
  <c r="U527" i="2"/>
  <c r="AL527" i="2"/>
  <c r="AN527" i="2"/>
  <c r="D527" i="2"/>
  <c r="N527" i="2"/>
  <c r="E527" i="2"/>
  <c r="X527" i="2"/>
  <c r="AB527" i="2"/>
  <c r="Q527" i="2"/>
  <c r="F527" i="2"/>
  <c r="AD527" i="2"/>
  <c r="J527" i="2"/>
  <c r="K527" i="2"/>
  <c r="M527" i="2"/>
  <c r="Z527" i="2"/>
  <c r="P527" i="2"/>
  <c r="C527" i="2"/>
  <c r="I527" i="2"/>
  <c r="Y527" i="2"/>
  <c r="AK527" i="2"/>
  <c r="B529" i="2" l="1"/>
  <c r="AJ528" i="2"/>
  <c r="AE528" i="2"/>
  <c r="C528" i="2"/>
  <c r="R528" i="2"/>
  <c r="AC528" i="2"/>
  <c r="AG528" i="2"/>
  <c r="H528" i="2"/>
  <c r="K528" i="2"/>
  <c r="U528" i="2"/>
  <c r="L528" i="2"/>
  <c r="AD528" i="2"/>
  <c r="AK528" i="2"/>
  <c r="AL528" i="2"/>
  <c r="N528" i="2"/>
  <c r="Y528" i="2"/>
  <c r="AO528" i="2"/>
  <c r="S528" i="2"/>
  <c r="Z528" i="2"/>
  <c r="AN528" i="2"/>
  <c r="T528" i="2"/>
  <c r="P528" i="2"/>
  <c r="E528" i="2"/>
  <c r="AM528" i="2"/>
  <c r="G528" i="2"/>
  <c r="AA528" i="2"/>
  <c r="F528" i="2"/>
  <c r="V528" i="2"/>
  <c r="O528" i="2"/>
  <c r="I528" i="2"/>
  <c r="J528" i="2"/>
  <c r="M528" i="2"/>
  <c r="W528" i="2"/>
  <c r="AH528" i="2"/>
  <c r="D528" i="2"/>
  <c r="Q528" i="2"/>
  <c r="AB528" i="2"/>
  <c r="AI528" i="2"/>
  <c r="AF528" i="2"/>
  <c r="X528" i="2"/>
  <c r="B530" i="2" l="1"/>
  <c r="AA529" i="2"/>
  <c r="V529" i="2"/>
  <c r="I529" i="2"/>
  <c r="M529" i="2"/>
  <c r="W529" i="2"/>
  <c r="D529" i="2"/>
  <c r="X529" i="2"/>
  <c r="AK529" i="2"/>
  <c r="O529" i="2"/>
  <c r="R529" i="2"/>
  <c r="AH529" i="2"/>
  <c r="L529" i="2"/>
  <c r="AC529" i="2"/>
  <c r="F529" i="2"/>
  <c r="AG529" i="2"/>
  <c r="AF529" i="2"/>
  <c r="G529" i="2"/>
  <c r="AM529" i="2"/>
  <c r="AO529" i="2"/>
  <c r="AD529" i="2"/>
  <c r="T529" i="2"/>
  <c r="U529" i="2"/>
  <c r="Z529" i="2"/>
  <c r="Y529" i="2"/>
  <c r="N529" i="2"/>
  <c r="Q529" i="2"/>
  <c r="P529" i="2"/>
  <c r="E529" i="2"/>
  <c r="AJ529" i="2"/>
  <c r="H529" i="2"/>
  <c r="S529" i="2"/>
  <c r="AN529" i="2"/>
  <c r="AB529" i="2"/>
  <c r="AI529" i="2"/>
  <c r="C529" i="2"/>
  <c r="J529" i="2"/>
  <c r="AE529" i="2"/>
  <c r="AL529" i="2"/>
  <c r="K529" i="2"/>
  <c r="B531" i="2" l="1"/>
  <c r="K530" i="2"/>
  <c r="M530" i="2"/>
  <c r="AA530" i="2"/>
  <c r="L530" i="2"/>
  <c r="W530" i="2"/>
  <c r="R530" i="2"/>
  <c r="V530" i="2"/>
  <c r="S530" i="2"/>
  <c r="Q530" i="2"/>
  <c r="C530" i="2"/>
  <c r="G530" i="2"/>
  <c r="AC530" i="2"/>
  <c r="AB530" i="2"/>
  <c r="AE530" i="2"/>
  <c r="E530" i="2"/>
  <c r="AF530" i="2"/>
  <c r="O530" i="2"/>
  <c r="AJ530" i="2"/>
  <c r="AI530" i="2"/>
  <c r="AO530" i="2"/>
  <c r="Z530" i="2"/>
  <c r="N530" i="2"/>
  <c r="AL530" i="2"/>
  <c r="AM530" i="2"/>
  <c r="J530" i="2"/>
  <c r="T530" i="2"/>
  <c r="P530" i="2"/>
  <c r="U530" i="2"/>
  <c r="H530" i="2"/>
  <c r="Y530" i="2"/>
  <c r="AD530" i="2"/>
  <c r="AK530" i="2"/>
  <c r="AG530" i="2"/>
  <c r="I530" i="2"/>
  <c r="AN530" i="2"/>
  <c r="D530" i="2"/>
  <c r="X530" i="2"/>
  <c r="AH530" i="2"/>
  <c r="F530" i="2"/>
  <c r="B532" i="2" l="1"/>
  <c r="V531" i="2"/>
  <c r="H531" i="2"/>
  <c r="AG531" i="2"/>
  <c r="L531" i="2"/>
  <c r="AM531" i="2"/>
  <c r="AA531" i="2"/>
  <c r="G531" i="2"/>
  <c r="AF531" i="2"/>
  <c r="X531" i="2"/>
  <c r="M531" i="2"/>
  <c r="K531" i="2"/>
  <c r="AH531" i="2"/>
  <c r="AI531" i="2"/>
  <c r="F531" i="2"/>
  <c r="AE531" i="2"/>
  <c r="C531" i="2"/>
  <c r="R531" i="2"/>
  <c r="W531" i="2"/>
  <c r="AD531" i="2"/>
  <c r="I531" i="2"/>
  <c r="J531" i="2"/>
  <c r="N531" i="2"/>
  <c r="Y531" i="2"/>
  <c r="U531" i="2"/>
  <c r="AC531" i="2"/>
  <c r="E531" i="2"/>
  <c r="P531" i="2"/>
  <c r="AK531" i="2"/>
  <c r="AJ531" i="2"/>
  <c r="AL531" i="2"/>
  <c r="AO531" i="2"/>
  <c r="D531" i="2"/>
  <c r="Z531" i="2"/>
  <c r="T531" i="2"/>
  <c r="S531" i="2"/>
  <c r="AB531" i="2"/>
  <c r="O531" i="2"/>
  <c r="AN531" i="2"/>
  <c r="Q531" i="2"/>
  <c r="B533" i="2" l="1"/>
  <c r="G532" i="2"/>
  <c r="D532" i="2"/>
  <c r="V532" i="2"/>
  <c r="C532" i="2"/>
  <c r="AA532" i="2"/>
  <c r="W532" i="2"/>
  <c r="AE532" i="2"/>
  <c r="X532" i="2"/>
  <c r="AC532" i="2"/>
  <c r="Q532" i="2"/>
  <c r="J532" i="2"/>
  <c r="Z532" i="2"/>
  <c r="AB532" i="2"/>
  <c r="K532" i="2"/>
  <c r="S532" i="2"/>
  <c r="AO532" i="2"/>
  <c r="H532" i="2"/>
  <c r="AI532" i="2"/>
  <c r="AG532" i="2"/>
  <c r="M532" i="2"/>
  <c r="AD532" i="2"/>
  <c r="AM532" i="2"/>
  <c r="E532" i="2"/>
  <c r="AF532" i="2"/>
  <c r="I532" i="2"/>
  <c r="N532" i="2"/>
  <c r="AH532" i="2"/>
  <c r="Y532" i="2"/>
  <c r="T532" i="2"/>
  <c r="L532" i="2"/>
  <c r="O532" i="2"/>
  <c r="AJ532" i="2"/>
  <c r="U532" i="2"/>
  <c r="F532" i="2"/>
  <c r="AK532" i="2"/>
  <c r="P532" i="2"/>
  <c r="R532" i="2"/>
  <c r="AL532" i="2"/>
  <c r="AN532" i="2"/>
  <c r="B534" i="2" l="1"/>
  <c r="D533" i="2"/>
  <c r="V533" i="2"/>
  <c r="AF533" i="2"/>
  <c r="AB533" i="2"/>
  <c r="AM533" i="2"/>
  <c r="AD533" i="2"/>
  <c r="E533" i="2"/>
  <c r="AG533" i="2"/>
  <c r="AO533" i="2"/>
  <c r="AK533" i="2"/>
  <c r="K533" i="2"/>
  <c r="P533" i="2"/>
  <c r="M533" i="2"/>
  <c r="C533" i="2"/>
  <c r="AH533" i="2"/>
  <c r="Q533" i="2"/>
  <c r="G533" i="2"/>
  <c r="W533" i="2"/>
  <c r="AI533" i="2"/>
  <c r="R533" i="2"/>
  <c r="AL533" i="2"/>
  <c r="AJ533" i="2"/>
  <c r="AN533" i="2"/>
  <c r="O533" i="2"/>
  <c r="X533" i="2"/>
  <c r="I533" i="2"/>
  <c r="AA533" i="2"/>
  <c r="T533" i="2"/>
  <c r="N533" i="2"/>
  <c r="AC533" i="2"/>
  <c r="F533" i="2"/>
  <c r="U533" i="2"/>
  <c r="Y533" i="2"/>
  <c r="J533" i="2"/>
  <c r="S533" i="2"/>
  <c r="H533" i="2"/>
  <c r="Z533" i="2"/>
  <c r="L533" i="2"/>
  <c r="AE533" i="2"/>
  <c r="B535" i="2" l="1"/>
  <c r="AL534" i="2"/>
  <c r="R534" i="2"/>
  <c r="AK534" i="2"/>
  <c r="S534" i="2"/>
  <c r="AO534" i="2"/>
  <c r="AG534" i="2"/>
  <c r="AN534" i="2"/>
  <c r="C534" i="2"/>
  <c r="M534" i="2"/>
  <c r="E534" i="2"/>
  <c r="X534" i="2"/>
  <c r="K534" i="2"/>
  <c r="N534" i="2"/>
  <c r="AB534" i="2"/>
  <c r="U534" i="2"/>
  <c r="W534" i="2"/>
  <c r="AC534" i="2"/>
  <c r="I534" i="2"/>
  <c r="Q534" i="2"/>
  <c r="AE534" i="2"/>
  <c r="P534" i="2"/>
  <c r="D534" i="2"/>
  <c r="G534" i="2"/>
  <c r="L534" i="2"/>
  <c r="AJ534" i="2"/>
  <c r="AD534" i="2"/>
  <c r="J534" i="2"/>
  <c r="Y534" i="2"/>
  <c r="Z534" i="2"/>
  <c r="V534" i="2"/>
  <c r="AI534" i="2"/>
  <c r="T534" i="2"/>
  <c r="AM534" i="2"/>
  <c r="F534" i="2"/>
  <c r="O534" i="2"/>
  <c r="AH534" i="2"/>
  <c r="AF534" i="2"/>
  <c r="AA534" i="2"/>
  <c r="H534" i="2"/>
  <c r="B536" i="2" l="1"/>
  <c r="U535" i="2"/>
  <c r="F535" i="2"/>
  <c r="AA535" i="2"/>
  <c r="T535" i="2"/>
  <c r="AC535" i="2"/>
  <c r="N535" i="2"/>
  <c r="Q535" i="2"/>
  <c r="AI535" i="2"/>
  <c r="AH535" i="2"/>
  <c r="W535" i="2"/>
  <c r="R535" i="2"/>
  <c r="AN535" i="2"/>
  <c r="D535" i="2"/>
  <c r="AD535" i="2"/>
  <c r="I535" i="2"/>
  <c r="AF535" i="2"/>
  <c r="G535" i="2"/>
  <c r="AJ535" i="2"/>
  <c r="AO535" i="2"/>
  <c r="AB535" i="2"/>
  <c r="O535" i="2"/>
  <c r="L535" i="2"/>
  <c r="V535" i="2"/>
  <c r="AK535" i="2"/>
  <c r="AM535" i="2"/>
  <c r="K535" i="2"/>
  <c r="J535" i="2"/>
  <c r="X535" i="2"/>
  <c r="Y535" i="2"/>
  <c r="S535" i="2"/>
  <c r="E535" i="2"/>
  <c r="AE535" i="2"/>
  <c r="AG535" i="2"/>
  <c r="Z535" i="2"/>
  <c r="P535" i="2"/>
  <c r="H535" i="2"/>
  <c r="M535" i="2"/>
  <c r="AL535" i="2"/>
  <c r="C535" i="2"/>
  <c r="B537" i="2" l="1"/>
  <c r="AK536" i="2"/>
  <c r="AL536" i="2"/>
  <c r="L536" i="2"/>
  <c r="M536" i="2"/>
  <c r="AE536" i="2"/>
  <c r="AA536" i="2"/>
  <c r="AB536" i="2"/>
  <c r="C536" i="2"/>
  <c r="U536" i="2"/>
  <c r="Q536" i="2"/>
  <c r="AN536" i="2"/>
  <c r="O536" i="2"/>
  <c r="H536" i="2"/>
  <c r="E536" i="2"/>
  <c r="Y536" i="2"/>
  <c r="N536" i="2"/>
  <c r="I536" i="2"/>
  <c r="F536" i="2"/>
  <c r="AD536" i="2"/>
  <c r="AM536" i="2"/>
  <c r="V536" i="2"/>
  <c r="S536" i="2"/>
  <c r="Z536" i="2"/>
  <c r="J536" i="2"/>
  <c r="K536" i="2"/>
  <c r="AH536" i="2"/>
  <c r="P536" i="2"/>
  <c r="G536" i="2"/>
  <c r="W536" i="2"/>
  <c r="AG536" i="2"/>
  <c r="R536" i="2"/>
  <c r="T536" i="2"/>
  <c r="AJ536" i="2"/>
  <c r="AC536" i="2"/>
  <c r="AI536" i="2"/>
  <c r="D536" i="2"/>
  <c r="AO536" i="2"/>
  <c r="X536" i="2"/>
  <c r="AF536" i="2"/>
  <c r="B538" i="2" l="1"/>
  <c r="S537" i="2"/>
  <c r="AH537" i="2"/>
  <c r="Y537" i="2"/>
  <c r="AC537" i="2"/>
  <c r="D537" i="2"/>
  <c r="O537" i="2"/>
  <c r="L537" i="2"/>
  <c r="AI537" i="2"/>
  <c r="I537" i="2"/>
  <c r="N537" i="2"/>
  <c r="AG537" i="2"/>
  <c r="C537" i="2"/>
  <c r="V537" i="2"/>
  <c r="T537" i="2"/>
  <c r="AE537" i="2"/>
  <c r="AK537" i="2"/>
  <c r="Q537" i="2"/>
  <c r="AJ537" i="2"/>
  <c r="U537" i="2"/>
  <c r="J537" i="2"/>
  <c r="AA537" i="2"/>
  <c r="F537" i="2"/>
  <c r="AL537" i="2"/>
  <c r="P537" i="2"/>
  <c r="W537" i="2"/>
  <c r="G537" i="2"/>
  <c r="X537" i="2"/>
  <c r="Z537" i="2"/>
  <c r="AM537" i="2"/>
  <c r="AF537" i="2"/>
  <c r="E537" i="2"/>
  <c r="AO537" i="2"/>
  <c r="R537" i="2"/>
  <c r="AD537" i="2"/>
  <c r="K537" i="2"/>
  <c r="M537" i="2"/>
  <c r="H537" i="2"/>
  <c r="AN537" i="2"/>
  <c r="AB537" i="2"/>
  <c r="B539" i="2" l="1"/>
  <c r="AE538" i="2"/>
  <c r="J538" i="2"/>
  <c r="F538" i="2"/>
  <c r="AJ538" i="2"/>
  <c r="T538" i="2"/>
  <c r="N538" i="2"/>
  <c r="AI538" i="2"/>
  <c r="X538" i="2"/>
  <c r="AF538" i="2"/>
  <c r="Q538" i="2"/>
  <c r="AN538" i="2"/>
  <c r="Y538" i="2"/>
  <c r="G538" i="2"/>
  <c r="AD538" i="2"/>
  <c r="AO538" i="2"/>
  <c r="M538" i="2"/>
  <c r="D538" i="2"/>
  <c r="AA538" i="2"/>
  <c r="AB538" i="2"/>
  <c r="AH538" i="2"/>
  <c r="AM538" i="2"/>
  <c r="R538" i="2"/>
  <c r="C538" i="2"/>
  <c r="H538" i="2"/>
  <c r="L538" i="2"/>
  <c r="V538" i="2"/>
  <c r="Z538" i="2"/>
  <c r="P538" i="2"/>
  <c r="AL538" i="2"/>
  <c r="AC538" i="2"/>
  <c r="U538" i="2"/>
  <c r="S538" i="2"/>
  <c r="K538" i="2"/>
  <c r="I538" i="2"/>
  <c r="E538" i="2"/>
  <c r="O538" i="2"/>
  <c r="W538" i="2"/>
  <c r="AG538" i="2"/>
  <c r="AK538" i="2"/>
  <c r="B540" i="2" l="1"/>
  <c r="N539" i="2"/>
  <c r="Q539" i="2"/>
  <c r="J539" i="2"/>
  <c r="F539" i="2"/>
  <c r="C539" i="2"/>
  <c r="AK539" i="2"/>
  <c r="AB539" i="2"/>
  <c r="AE539" i="2"/>
  <c r="R539" i="2"/>
  <c r="V539" i="2"/>
  <c r="Z539" i="2"/>
  <c r="O539" i="2"/>
  <c r="AO539" i="2"/>
  <c r="W539" i="2"/>
  <c r="G539" i="2"/>
  <c r="AC539" i="2"/>
  <c r="M539" i="2"/>
  <c r="AJ539" i="2"/>
  <c r="D539" i="2"/>
  <c r="AD539" i="2"/>
  <c r="AG539" i="2"/>
  <c r="H539" i="2"/>
  <c r="U539" i="2"/>
  <c r="AA539" i="2"/>
  <c r="AI539" i="2"/>
  <c r="S539" i="2"/>
  <c r="I539" i="2"/>
  <c r="L539" i="2"/>
  <c r="AL539" i="2"/>
  <c r="P539" i="2"/>
  <c r="Y539" i="2"/>
  <c r="T539" i="2"/>
  <c r="AH539" i="2"/>
  <c r="AN539" i="2"/>
  <c r="E539" i="2"/>
  <c r="AM539" i="2"/>
  <c r="K539" i="2"/>
  <c r="X539" i="2"/>
  <c r="AF539" i="2"/>
  <c r="B541" i="2" l="1"/>
  <c r="AL540" i="2"/>
  <c r="AJ540" i="2"/>
  <c r="AO540" i="2"/>
  <c r="K540" i="2"/>
  <c r="AE540" i="2"/>
  <c r="Y540" i="2"/>
  <c r="X540" i="2"/>
  <c r="AN540" i="2"/>
  <c r="S540" i="2"/>
  <c r="T540" i="2"/>
  <c r="L540" i="2"/>
  <c r="AG540" i="2"/>
  <c r="AH540" i="2"/>
  <c r="O540" i="2"/>
  <c r="M540" i="2"/>
  <c r="AM540" i="2"/>
  <c r="F540" i="2"/>
  <c r="I540" i="2"/>
  <c r="G540" i="2"/>
  <c r="U540" i="2"/>
  <c r="H540" i="2"/>
  <c r="P540" i="2"/>
  <c r="Q540" i="2"/>
  <c r="J540" i="2"/>
  <c r="V540" i="2"/>
  <c r="D540" i="2"/>
  <c r="AK540" i="2"/>
  <c r="E540" i="2"/>
  <c r="AA540" i="2"/>
  <c r="W540" i="2"/>
  <c r="C540" i="2"/>
  <c r="R540" i="2"/>
  <c r="Z540" i="2"/>
  <c r="N540" i="2"/>
  <c r="AI540" i="2"/>
  <c r="AC540" i="2"/>
  <c r="AD540" i="2"/>
  <c r="AB540" i="2"/>
  <c r="AF540" i="2"/>
  <c r="B542" i="2" l="1"/>
  <c r="AO541" i="2"/>
  <c r="AE541" i="2"/>
  <c r="M541" i="2"/>
  <c r="Z541" i="2"/>
  <c r="AM541" i="2"/>
  <c r="AI541" i="2"/>
  <c r="AJ541" i="2"/>
  <c r="Q541" i="2"/>
  <c r="S541" i="2"/>
  <c r="T541" i="2"/>
  <c r="E541" i="2"/>
  <c r="H541" i="2"/>
  <c r="AC541" i="2"/>
  <c r="AA541" i="2"/>
  <c r="AN541" i="2"/>
  <c r="N541" i="2"/>
  <c r="G541" i="2"/>
  <c r="C541" i="2"/>
  <c r="K541" i="2"/>
  <c r="W541" i="2"/>
  <c r="O541" i="2"/>
  <c r="D541" i="2"/>
  <c r="F541" i="2"/>
  <c r="R541" i="2"/>
  <c r="L541" i="2"/>
  <c r="AF541" i="2"/>
  <c r="AB541" i="2"/>
  <c r="I541" i="2"/>
  <c r="AK541" i="2"/>
  <c r="Y541" i="2"/>
  <c r="AD541" i="2"/>
  <c r="J541" i="2"/>
  <c r="AG541" i="2"/>
  <c r="U541" i="2"/>
  <c r="X541" i="2"/>
  <c r="AH541" i="2"/>
  <c r="V541" i="2"/>
  <c r="P541" i="2"/>
  <c r="AL541" i="2"/>
  <c r="B543" i="2" l="1"/>
  <c r="S542" i="2"/>
  <c r="AD542" i="2"/>
  <c r="AB542" i="2"/>
  <c r="I542" i="2"/>
  <c r="V542" i="2"/>
  <c r="AO542" i="2"/>
  <c r="AN542" i="2"/>
  <c r="N542" i="2"/>
  <c r="O542" i="2"/>
  <c r="C542" i="2"/>
  <c r="K542" i="2"/>
  <c r="AK542" i="2"/>
  <c r="D542" i="2"/>
  <c r="Q542" i="2"/>
  <c r="AG542" i="2"/>
  <c r="M542" i="2"/>
  <c r="AC542" i="2"/>
  <c r="H542" i="2"/>
  <c r="W542" i="2"/>
  <c r="E542" i="2"/>
  <c r="AA542" i="2"/>
  <c r="J542" i="2"/>
  <c r="U542" i="2"/>
  <c r="R542" i="2"/>
  <c r="Z542" i="2"/>
  <c r="G542" i="2"/>
  <c r="AI542" i="2"/>
  <c r="T542" i="2"/>
  <c r="AL542" i="2"/>
  <c r="P542" i="2"/>
  <c r="AM542" i="2"/>
  <c r="Y542" i="2"/>
  <c r="AH542" i="2"/>
  <c r="X542" i="2"/>
  <c r="AE542" i="2"/>
  <c r="AF542" i="2"/>
  <c r="L542" i="2"/>
  <c r="AJ542" i="2"/>
  <c r="F542" i="2"/>
  <c r="B544" i="2" l="1"/>
  <c r="E543" i="2"/>
  <c r="AC543" i="2"/>
  <c r="AH543" i="2"/>
  <c r="X543" i="2"/>
  <c r="AE543" i="2"/>
  <c r="R543" i="2"/>
  <c r="W543" i="2"/>
  <c r="D543" i="2"/>
  <c r="T543" i="2"/>
  <c r="U543" i="2"/>
  <c r="AN543" i="2"/>
  <c r="AO543" i="2"/>
  <c r="L543" i="2"/>
  <c r="C543" i="2"/>
  <c r="AA543" i="2"/>
  <c r="AK543" i="2"/>
  <c r="AI543" i="2"/>
  <c r="H543" i="2"/>
  <c r="AD543" i="2"/>
  <c r="Q543" i="2"/>
  <c r="AL543" i="2"/>
  <c r="G543" i="2"/>
  <c r="AM543" i="2"/>
  <c r="M543" i="2"/>
  <c r="Y543" i="2"/>
  <c r="F543" i="2"/>
  <c r="I543" i="2"/>
  <c r="P543" i="2"/>
  <c r="V543" i="2"/>
  <c r="Z543" i="2"/>
  <c r="AJ543" i="2"/>
  <c r="N543" i="2"/>
  <c r="AB543" i="2"/>
  <c r="O543" i="2"/>
  <c r="K543" i="2"/>
  <c r="AG543" i="2"/>
  <c r="AF543" i="2"/>
  <c r="J543" i="2"/>
  <c r="S543" i="2"/>
  <c r="B545" i="2" l="1"/>
  <c r="X544" i="2"/>
  <c r="AH544" i="2"/>
  <c r="AM544" i="2"/>
  <c r="AA544" i="2"/>
  <c r="AN544" i="2"/>
  <c r="C544" i="2"/>
  <c r="AE544" i="2"/>
  <c r="E544" i="2"/>
  <c r="AO544" i="2"/>
  <c r="AI544" i="2"/>
  <c r="R544" i="2"/>
  <c r="AJ544" i="2"/>
  <c r="S544" i="2"/>
  <c r="F544" i="2"/>
  <c r="AF544" i="2"/>
  <c r="U544" i="2"/>
  <c r="Q544" i="2"/>
  <c r="M544" i="2"/>
  <c r="AB544" i="2"/>
  <c r="AC544" i="2"/>
  <c r="H544" i="2"/>
  <c r="AK544" i="2"/>
  <c r="P544" i="2"/>
  <c r="I544" i="2"/>
  <c r="AL544" i="2"/>
  <c r="V544" i="2"/>
  <c r="AG544" i="2"/>
  <c r="D544" i="2"/>
  <c r="W544" i="2"/>
  <c r="N544" i="2"/>
  <c r="T544" i="2"/>
  <c r="L544" i="2"/>
  <c r="G544" i="2"/>
  <c r="Z544" i="2"/>
  <c r="Y544" i="2"/>
  <c r="O544" i="2"/>
  <c r="K544" i="2"/>
  <c r="J544" i="2"/>
  <c r="AD544" i="2"/>
  <c r="B546" i="2" l="1"/>
  <c r="J545" i="2"/>
  <c r="AE545" i="2"/>
  <c r="AN545" i="2"/>
  <c r="G545" i="2"/>
  <c r="W545" i="2"/>
  <c r="AJ545" i="2"/>
  <c r="AL545" i="2"/>
  <c r="AC545" i="2"/>
  <c r="R545" i="2"/>
  <c r="S545" i="2"/>
  <c r="P545" i="2"/>
  <c r="AM545" i="2"/>
  <c r="F545" i="2"/>
  <c r="Z545" i="2"/>
  <c r="V545" i="2"/>
  <c r="T545" i="2"/>
  <c r="N545" i="2"/>
  <c r="Q545" i="2"/>
  <c r="AA545" i="2"/>
  <c r="M545" i="2"/>
  <c r="Y545" i="2"/>
  <c r="D545" i="2"/>
  <c r="E545" i="2"/>
  <c r="X545" i="2"/>
  <c r="AI545" i="2"/>
  <c r="AB545" i="2"/>
  <c r="AD545" i="2"/>
  <c r="H545" i="2"/>
  <c r="I545" i="2"/>
  <c r="C545" i="2"/>
  <c r="AK545" i="2"/>
  <c r="K545" i="2"/>
  <c r="U545" i="2"/>
  <c r="AF545" i="2"/>
  <c r="AO545" i="2"/>
  <c r="L545" i="2"/>
  <c r="AG545" i="2"/>
  <c r="AH545" i="2"/>
  <c r="O545" i="2"/>
  <c r="B547" i="2" l="1"/>
  <c r="AF546" i="2"/>
  <c r="S546" i="2"/>
  <c r="G546" i="2"/>
  <c r="AB546" i="2"/>
  <c r="W546" i="2"/>
  <c r="AK546" i="2"/>
  <c r="J546" i="2"/>
  <c r="L546" i="2"/>
  <c r="I546" i="2"/>
  <c r="F546" i="2"/>
  <c r="AO546" i="2"/>
  <c r="E546" i="2"/>
  <c r="K546" i="2"/>
  <c r="AN546" i="2"/>
  <c r="N546" i="2"/>
  <c r="AI546" i="2"/>
  <c r="AE546" i="2"/>
  <c r="AM546" i="2"/>
  <c r="AJ546" i="2"/>
  <c r="U546" i="2"/>
  <c r="D546" i="2"/>
  <c r="R546" i="2"/>
  <c r="AG546" i="2"/>
  <c r="AL546" i="2"/>
  <c r="Y546" i="2"/>
  <c r="X546" i="2"/>
  <c r="M546" i="2"/>
  <c r="Z546" i="2"/>
  <c r="O546" i="2"/>
  <c r="AD546" i="2"/>
  <c r="V546" i="2"/>
  <c r="AA546" i="2"/>
  <c r="H546" i="2"/>
  <c r="AC546" i="2"/>
  <c r="C546" i="2"/>
  <c r="AH546" i="2"/>
  <c r="P546" i="2"/>
  <c r="Q546" i="2"/>
  <c r="T546" i="2"/>
  <c r="B548" i="2" l="1"/>
  <c r="G547" i="2"/>
  <c r="F547" i="2"/>
  <c r="AN547" i="2"/>
  <c r="AJ547" i="2"/>
  <c r="M547" i="2"/>
  <c r="AC547" i="2"/>
  <c r="AM547" i="2"/>
  <c r="Z547" i="2"/>
  <c r="AL547" i="2"/>
  <c r="I547" i="2"/>
  <c r="T547" i="2"/>
  <c r="AH547" i="2"/>
  <c r="R547" i="2"/>
  <c r="AD547" i="2"/>
  <c r="W547" i="2"/>
  <c r="AI547" i="2"/>
  <c r="P547" i="2"/>
  <c r="X547" i="2"/>
  <c r="C547" i="2"/>
  <c r="O547" i="2"/>
  <c r="V547" i="2"/>
  <c r="K547" i="2"/>
  <c r="AB547" i="2"/>
  <c r="AK547" i="2"/>
  <c r="AF547" i="2"/>
  <c r="J547" i="2"/>
  <c r="AG547" i="2"/>
  <c r="AO547" i="2"/>
  <c r="AA547" i="2"/>
  <c r="H547" i="2"/>
  <c r="L547" i="2"/>
  <c r="AE547" i="2"/>
  <c r="U547" i="2"/>
  <c r="S547" i="2"/>
  <c r="N547" i="2"/>
  <c r="Y547" i="2"/>
  <c r="D547" i="2"/>
  <c r="E547" i="2"/>
  <c r="Q547" i="2"/>
  <c r="B549" i="2" l="1"/>
  <c r="AK548" i="2"/>
  <c r="P548" i="2"/>
  <c r="M548" i="2"/>
  <c r="Z548" i="2"/>
  <c r="AH548" i="2"/>
  <c r="V548" i="2"/>
  <c r="Y548" i="2"/>
  <c r="AB548" i="2"/>
  <c r="G548" i="2"/>
  <c r="AM548" i="2"/>
  <c r="X548" i="2"/>
  <c r="AI548" i="2"/>
  <c r="E548" i="2"/>
  <c r="R548" i="2"/>
  <c r="D548" i="2"/>
  <c r="AF548" i="2"/>
  <c r="U548" i="2"/>
  <c r="AJ548" i="2"/>
  <c r="K548" i="2"/>
  <c r="N548" i="2"/>
  <c r="F548" i="2"/>
  <c r="I548" i="2"/>
  <c r="AL548" i="2"/>
  <c r="AD548" i="2"/>
  <c r="AC548" i="2"/>
  <c r="AN548" i="2"/>
  <c r="AG548" i="2"/>
  <c r="O548" i="2"/>
  <c r="T548" i="2"/>
  <c r="L548" i="2"/>
  <c r="AO548" i="2"/>
  <c r="W548" i="2"/>
  <c r="S548" i="2"/>
  <c r="AE548" i="2"/>
  <c r="AA548" i="2"/>
  <c r="H548" i="2"/>
  <c r="J548" i="2"/>
  <c r="Q548" i="2"/>
  <c r="C548" i="2"/>
  <c r="B550" i="2" l="1"/>
  <c r="V549" i="2"/>
  <c r="AM549" i="2"/>
  <c r="AI549" i="2"/>
  <c r="J549" i="2"/>
  <c r="W549" i="2"/>
  <c r="Y549" i="2"/>
  <c r="R549" i="2"/>
  <c r="N549" i="2"/>
  <c r="K549" i="2"/>
  <c r="E549" i="2"/>
  <c r="AD549" i="2"/>
  <c r="U549" i="2"/>
  <c r="AG549" i="2"/>
  <c r="AL549" i="2"/>
  <c r="S549" i="2"/>
  <c r="AF549" i="2"/>
  <c r="Z549" i="2"/>
  <c r="AO549" i="2"/>
  <c r="C549" i="2"/>
  <c r="AE549" i="2"/>
  <c r="Q549" i="2"/>
  <c r="F549" i="2"/>
  <c r="G549" i="2"/>
  <c r="D549" i="2"/>
  <c r="H549" i="2"/>
  <c r="AC549" i="2"/>
  <c r="T549" i="2"/>
  <c r="I549" i="2"/>
  <c r="AN549" i="2"/>
  <c r="P549" i="2"/>
  <c r="AK549" i="2"/>
  <c r="AH549" i="2"/>
  <c r="M549" i="2"/>
  <c r="AB549" i="2"/>
  <c r="L549" i="2"/>
  <c r="AJ549" i="2"/>
  <c r="O549" i="2"/>
  <c r="AA549" i="2"/>
  <c r="X549" i="2"/>
  <c r="B551" i="2" l="1"/>
  <c r="AJ550" i="2"/>
  <c r="E550" i="2"/>
  <c r="N550" i="2"/>
  <c r="K550" i="2"/>
  <c r="AB550" i="2"/>
  <c r="AA550" i="2"/>
  <c r="P550" i="2"/>
  <c r="F550" i="2"/>
  <c r="Y550" i="2"/>
  <c r="AN550" i="2"/>
  <c r="AG550" i="2"/>
  <c r="L550" i="2"/>
  <c r="Q550" i="2"/>
  <c r="AH550" i="2"/>
  <c r="R550" i="2"/>
  <c r="AE550" i="2"/>
  <c r="AK550" i="2"/>
  <c r="AC550" i="2"/>
  <c r="D550" i="2"/>
  <c r="AD550" i="2"/>
  <c r="M550" i="2"/>
  <c r="W550" i="2"/>
  <c r="I550" i="2"/>
  <c r="U550" i="2"/>
  <c r="AI550" i="2"/>
  <c r="T550" i="2"/>
  <c r="J550" i="2"/>
  <c r="AF550" i="2"/>
  <c r="C550" i="2"/>
  <c r="S550" i="2"/>
  <c r="AL550" i="2"/>
  <c r="O550" i="2"/>
  <c r="G550" i="2"/>
  <c r="AM550" i="2"/>
  <c r="Z550" i="2"/>
  <c r="X550" i="2"/>
  <c r="H550" i="2"/>
  <c r="AO550" i="2"/>
  <c r="V550" i="2"/>
  <c r="B552" i="2" l="1"/>
  <c r="E551" i="2"/>
  <c r="T551" i="2"/>
  <c r="V551" i="2"/>
  <c r="AM551" i="2"/>
  <c r="J551" i="2"/>
  <c r="AB551" i="2"/>
  <c r="Q551" i="2"/>
  <c r="AL551" i="2"/>
  <c r="AH551" i="2"/>
  <c r="AK551" i="2"/>
  <c r="D551" i="2"/>
  <c r="AD551" i="2"/>
  <c r="U551" i="2"/>
  <c r="Y551" i="2"/>
  <c r="R551" i="2"/>
  <c r="AJ551" i="2"/>
  <c r="AA551" i="2"/>
  <c r="Z551" i="2"/>
  <c r="AE551" i="2"/>
  <c r="W551" i="2"/>
  <c r="P551" i="2"/>
  <c r="AF551" i="2"/>
  <c r="C551" i="2"/>
  <c r="O551" i="2"/>
  <c r="X551" i="2"/>
  <c r="K551" i="2"/>
  <c r="F551" i="2"/>
  <c r="AG551" i="2"/>
  <c r="G551" i="2"/>
  <c r="AC551" i="2"/>
  <c r="N551" i="2"/>
  <c r="H551" i="2"/>
  <c r="L551" i="2"/>
  <c r="AI551" i="2"/>
  <c r="S551" i="2"/>
  <c r="M551" i="2"/>
  <c r="AO551" i="2"/>
  <c r="I551" i="2"/>
  <c r="AN551" i="2"/>
  <c r="B553" i="2" l="1"/>
  <c r="AN552" i="2"/>
  <c r="AK552" i="2"/>
  <c r="AC552" i="2"/>
  <c r="AJ552" i="2"/>
  <c r="K552" i="2"/>
  <c r="S552" i="2"/>
  <c r="X552" i="2"/>
  <c r="R552" i="2"/>
  <c r="U552" i="2"/>
  <c r="E552" i="2"/>
  <c r="Z552" i="2"/>
  <c r="J552" i="2"/>
  <c r="Q552" i="2"/>
  <c r="W552" i="2"/>
  <c r="AI552" i="2"/>
  <c r="AO552" i="2"/>
  <c r="I552" i="2"/>
  <c r="L552" i="2"/>
  <c r="AE552" i="2"/>
  <c r="AL552" i="2"/>
  <c r="Y552" i="2"/>
  <c r="P552" i="2"/>
  <c r="D552" i="2"/>
  <c r="O552" i="2"/>
  <c r="AD552" i="2"/>
  <c r="AM552" i="2"/>
  <c r="AG552" i="2"/>
  <c r="AH552" i="2"/>
  <c r="H552" i="2"/>
  <c r="AA552" i="2"/>
  <c r="V552" i="2"/>
  <c r="C552" i="2"/>
  <c r="T552" i="2"/>
  <c r="G552" i="2"/>
  <c r="AF552" i="2"/>
  <c r="F552" i="2"/>
  <c r="M552" i="2"/>
  <c r="AB552" i="2"/>
  <c r="N552" i="2"/>
  <c r="B554" i="2" l="1"/>
  <c r="AD553" i="2"/>
  <c r="AB553" i="2"/>
  <c r="AO553" i="2"/>
  <c r="AK553" i="2"/>
  <c r="P553" i="2"/>
  <c r="N553" i="2"/>
  <c r="X553" i="2"/>
  <c r="M553" i="2"/>
  <c r="J553" i="2"/>
  <c r="AF553" i="2"/>
  <c r="D553" i="2"/>
  <c r="C553" i="2"/>
  <c r="W553" i="2"/>
  <c r="AE553" i="2"/>
  <c r="H553" i="2"/>
  <c r="AG553" i="2"/>
  <c r="K553" i="2"/>
  <c r="Q553" i="2"/>
  <c r="E553" i="2"/>
  <c r="R553" i="2"/>
  <c r="AH553" i="2"/>
  <c r="AI553" i="2"/>
  <c r="G553" i="2"/>
  <c r="T553" i="2"/>
  <c r="F553" i="2"/>
  <c r="S553" i="2"/>
  <c r="Y553" i="2"/>
  <c r="AN553" i="2"/>
  <c r="O553" i="2"/>
  <c r="Z553" i="2"/>
  <c r="U553" i="2"/>
  <c r="I553" i="2"/>
  <c r="AJ553" i="2"/>
  <c r="AM553" i="2"/>
  <c r="AA553" i="2"/>
  <c r="AL553" i="2"/>
  <c r="AC553" i="2"/>
  <c r="V553" i="2"/>
  <c r="L553" i="2"/>
  <c r="B555" i="2" l="1"/>
  <c r="AK554" i="2"/>
  <c r="AI554" i="2"/>
  <c r="AC554" i="2"/>
  <c r="AN554" i="2"/>
  <c r="AB554" i="2"/>
  <c r="AJ554" i="2"/>
  <c r="I554" i="2"/>
  <c r="AE554" i="2"/>
  <c r="W554" i="2"/>
  <c r="U554" i="2"/>
  <c r="F554" i="2"/>
  <c r="Y554" i="2"/>
  <c r="L554" i="2"/>
  <c r="AG554" i="2"/>
  <c r="P554" i="2"/>
  <c r="AO554" i="2"/>
  <c r="K554" i="2"/>
  <c r="N554" i="2"/>
  <c r="R554" i="2"/>
  <c r="X554" i="2"/>
  <c r="Q554" i="2"/>
  <c r="AA554" i="2"/>
  <c r="H554" i="2"/>
  <c r="AL554" i="2"/>
  <c r="T554" i="2"/>
  <c r="O554" i="2"/>
  <c r="AM554" i="2"/>
  <c r="D554" i="2"/>
  <c r="G554" i="2"/>
  <c r="S554" i="2"/>
  <c r="AD554" i="2"/>
  <c r="C554" i="2"/>
  <c r="AF554" i="2"/>
  <c r="AH554" i="2"/>
  <c r="J554" i="2"/>
  <c r="E554" i="2"/>
  <c r="M554" i="2"/>
  <c r="Z554" i="2"/>
  <c r="V554" i="2"/>
  <c r="B556" i="2" l="1"/>
  <c r="AI555" i="2"/>
  <c r="AF555" i="2"/>
  <c r="Y555" i="2"/>
  <c r="R555" i="2"/>
  <c r="E555" i="2"/>
  <c r="AH555" i="2"/>
  <c r="Q555" i="2"/>
  <c r="G555" i="2"/>
  <c r="Z555" i="2"/>
  <c r="W555" i="2"/>
  <c r="I555" i="2"/>
  <c r="U555" i="2"/>
  <c r="P555" i="2"/>
  <c r="AN555" i="2"/>
  <c r="M555" i="2"/>
  <c r="S555" i="2"/>
  <c r="AC555" i="2"/>
  <c r="D555" i="2"/>
  <c r="V555" i="2"/>
  <c r="C555" i="2"/>
  <c r="F555" i="2"/>
  <c r="AK555" i="2"/>
  <c r="L555" i="2"/>
  <c r="N555" i="2"/>
  <c r="AG555" i="2"/>
  <c r="AO555" i="2"/>
  <c r="AE555" i="2"/>
  <c r="AA555" i="2"/>
  <c r="AJ555" i="2"/>
  <c r="T555" i="2"/>
  <c r="AM555" i="2"/>
  <c r="AL555" i="2"/>
  <c r="H555" i="2"/>
  <c r="J555" i="2"/>
  <c r="AD555" i="2"/>
  <c r="AB555" i="2"/>
  <c r="X555" i="2"/>
  <c r="K555" i="2"/>
  <c r="O555" i="2"/>
  <c r="B557" i="2" l="1"/>
  <c r="X556" i="2"/>
  <c r="G556" i="2"/>
  <c r="AD556" i="2"/>
  <c r="M556" i="2"/>
  <c r="N556" i="2"/>
  <c r="Z556" i="2"/>
  <c r="V556" i="2"/>
  <c r="AO556" i="2"/>
  <c r="AF556" i="2"/>
  <c r="W556" i="2"/>
  <c r="AG556" i="2"/>
  <c r="AK556" i="2"/>
  <c r="H556" i="2"/>
  <c r="AM556" i="2"/>
  <c r="AN556" i="2"/>
  <c r="K556" i="2"/>
  <c r="I556" i="2"/>
  <c r="AA556" i="2"/>
  <c r="U556" i="2"/>
  <c r="AJ556" i="2"/>
  <c r="AE556" i="2"/>
  <c r="AL556" i="2"/>
  <c r="L556" i="2"/>
  <c r="AB556" i="2"/>
  <c r="AI556" i="2"/>
  <c r="R556" i="2"/>
  <c r="Q556" i="2"/>
  <c r="E556" i="2"/>
  <c r="F556" i="2"/>
  <c r="D556" i="2"/>
  <c r="AH556" i="2"/>
  <c r="AC556" i="2"/>
  <c r="P556" i="2"/>
  <c r="O556" i="2"/>
  <c r="J556" i="2"/>
  <c r="C556" i="2"/>
  <c r="T556" i="2"/>
  <c r="Y556" i="2"/>
  <c r="S556" i="2"/>
  <c r="B558" i="2" l="1"/>
  <c r="AG557" i="2"/>
  <c r="AL557" i="2"/>
  <c r="Q557" i="2"/>
  <c r="AH557" i="2"/>
  <c r="AM557" i="2"/>
  <c r="AO557" i="2"/>
  <c r="AN557" i="2"/>
  <c r="F557" i="2"/>
  <c r="K557" i="2"/>
  <c r="N557" i="2"/>
  <c r="X557" i="2"/>
  <c r="Z557" i="2"/>
  <c r="U557" i="2"/>
  <c r="R557" i="2"/>
  <c r="C557" i="2"/>
  <c r="E557" i="2"/>
  <c r="P557" i="2"/>
  <c r="M557" i="2"/>
  <c r="W557" i="2"/>
  <c r="G557" i="2"/>
  <c r="S557" i="2"/>
  <c r="Y557" i="2"/>
  <c r="AA557" i="2"/>
  <c r="I557" i="2"/>
  <c r="AF557" i="2"/>
  <c r="AD557" i="2"/>
  <c r="O557" i="2"/>
  <c r="D557" i="2"/>
  <c r="V557" i="2"/>
  <c r="T557" i="2"/>
  <c r="J557" i="2"/>
  <c r="AE557" i="2"/>
  <c r="L557" i="2"/>
  <c r="AJ557" i="2"/>
  <c r="AK557" i="2"/>
  <c r="AC557" i="2"/>
  <c r="AI557" i="2"/>
  <c r="H557" i="2"/>
  <c r="AB557" i="2"/>
  <c r="B559" i="2" l="1"/>
  <c r="P558" i="2"/>
  <c r="L558" i="2"/>
  <c r="AN558" i="2"/>
  <c r="G558" i="2"/>
  <c r="AJ558" i="2"/>
  <c r="AI558" i="2"/>
  <c r="O558" i="2"/>
  <c r="H558" i="2"/>
  <c r="AA558" i="2"/>
  <c r="I558" i="2"/>
  <c r="V558" i="2"/>
  <c r="AM558" i="2"/>
  <c r="AK558" i="2"/>
  <c r="U558" i="2"/>
  <c r="W558" i="2"/>
  <c r="AB558" i="2"/>
  <c r="J558" i="2"/>
  <c r="AG558" i="2"/>
  <c r="AF558" i="2"/>
  <c r="Z558" i="2"/>
  <c r="F558" i="2"/>
  <c r="Q558" i="2"/>
  <c r="AH558" i="2"/>
  <c r="C558" i="2"/>
  <c r="K558" i="2"/>
  <c r="N558" i="2"/>
  <c r="AC558" i="2"/>
  <c r="T558" i="2"/>
  <c r="D558" i="2"/>
  <c r="M558" i="2"/>
  <c r="AD558" i="2"/>
  <c r="AE558" i="2"/>
  <c r="E558" i="2"/>
  <c r="X558" i="2"/>
  <c r="Y558" i="2"/>
  <c r="R558" i="2"/>
  <c r="AO558" i="2"/>
  <c r="AL558" i="2"/>
  <c r="S558" i="2"/>
  <c r="B560" i="2" l="1"/>
  <c r="AL559" i="2"/>
  <c r="C559" i="2"/>
  <c r="Y559" i="2"/>
  <c r="AG559" i="2"/>
  <c r="AO559" i="2"/>
  <c r="AH559" i="2"/>
  <c r="N559" i="2"/>
  <c r="M559" i="2"/>
  <c r="I559" i="2"/>
  <c r="H559" i="2"/>
  <c r="G559" i="2"/>
  <c r="P559" i="2"/>
  <c r="Q559" i="2"/>
  <c r="AI559" i="2"/>
  <c r="U559" i="2"/>
  <c r="S559" i="2"/>
  <c r="Z559" i="2"/>
  <c r="K559" i="2"/>
  <c r="X559" i="2"/>
  <c r="AF559" i="2"/>
  <c r="AK559" i="2"/>
  <c r="AC559" i="2"/>
  <c r="W559" i="2"/>
  <c r="AE559" i="2"/>
  <c r="L559" i="2"/>
  <c r="F559" i="2"/>
  <c r="O559" i="2"/>
  <c r="E559" i="2"/>
  <c r="AM559" i="2"/>
  <c r="J559" i="2"/>
  <c r="AA559" i="2"/>
  <c r="AD559" i="2"/>
  <c r="V559" i="2"/>
  <c r="R559" i="2"/>
  <c r="AB559" i="2"/>
  <c r="D559" i="2"/>
  <c r="AN559" i="2"/>
  <c r="AJ559" i="2"/>
  <c r="T559" i="2"/>
  <c r="B561" i="2" l="1"/>
  <c r="R560" i="2"/>
  <c r="AJ560" i="2"/>
  <c r="S560" i="2"/>
  <c r="AO560" i="2"/>
  <c r="AB560" i="2"/>
  <c r="P560" i="2"/>
  <c r="X560" i="2"/>
  <c r="Y560" i="2"/>
  <c r="AG560" i="2"/>
  <c r="L560" i="2"/>
  <c r="D560" i="2"/>
  <c r="G560" i="2"/>
  <c r="W560" i="2"/>
  <c r="M560" i="2"/>
  <c r="AK560" i="2"/>
  <c r="N560" i="2"/>
  <c r="K560" i="2"/>
  <c r="AN560" i="2"/>
  <c r="Z560" i="2"/>
  <c r="AH560" i="2"/>
  <c r="V560" i="2"/>
  <c r="Q560" i="2"/>
  <c r="AM560" i="2"/>
  <c r="AA560" i="2"/>
  <c r="I560" i="2"/>
  <c r="F560" i="2"/>
  <c r="AF560" i="2"/>
  <c r="AL560" i="2"/>
  <c r="H560" i="2"/>
  <c r="AE560" i="2"/>
  <c r="AD560" i="2"/>
  <c r="U560" i="2"/>
  <c r="AC560" i="2"/>
  <c r="E560" i="2"/>
  <c r="O560" i="2"/>
  <c r="J560" i="2"/>
  <c r="AI560" i="2"/>
  <c r="C560" i="2"/>
  <c r="T560" i="2"/>
  <c r="B562" i="2" l="1"/>
  <c r="I561" i="2"/>
  <c r="H561" i="2"/>
  <c r="X561" i="2"/>
  <c r="AE561" i="2"/>
  <c r="E561" i="2"/>
  <c r="K561" i="2"/>
  <c r="AO561" i="2"/>
  <c r="R561" i="2"/>
  <c r="AC561" i="2"/>
  <c r="L561" i="2"/>
  <c r="AM561" i="2"/>
  <c r="T561" i="2"/>
  <c r="G561" i="2"/>
  <c r="AB561" i="2"/>
  <c r="W561" i="2"/>
  <c r="AD561" i="2"/>
  <c r="S561" i="2"/>
  <c r="Z561" i="2"/>
  <c r="AL561" i="2"/>
  <c r="P561" i="2"/>
  <c r="Q561" i="2"/>
  <c r="M561" i="2"/>
  <c r="O561" i="2"/>
  <c r="AH561" i="2"/>
  <c r="D561" i="2"/>
  <c r="N561" i="2"/>
  <c r="AA561" i="2"/>
  <c r="U561" i="2"/>
  <c r="F561" i="2"/>
  <c r="AI561" i="2"/>
  <c r="Y561" i="2"/>
  <c r="C561" i="2"/>
  <c r="AN561" i="2"/>
  <c r="AG561" i="2"/>
  <c r="J561" i="2"/>
  <c r="AF561" i="2"/>
  <c r="AJ561" i="2"/>
  <c r="V561" i="2"/>
  <c r="AK561" i="2"/>
  <c r="B563" i="2" l="1"/>
  <c r="Z562" i="2"/>
  <c r="AO562" i="2"/>
  <c r="C562" i="2"/>
  <c r="D562" i="2"/>
  <c r="X562" i="2"/>
  <c r="E562" i="2"/>
  <c r="AM562" i="2"/>
  <c r="AD562" i="2"/>
  <c r="AA562" i="2"/>
  <c r="AF562" i="2"/>
  <c r="AG562" i="2"/>
  <c r="AH562" i="2"/>
  <c r="H562" i="2"/>
  <c r="AB562" i="2"/>
  <c r="G562" i="2"/>
  <c r="AK562" i="2"/>
  <c r="AE562" i="2"/>
  <c r="AI562" i="2"/>
  <c r="Y562" i="2"/>
  <c r="R562" i="2"/>
  <c r="AC562" i="2"/>
  <c r="L562" i="2"/>
  <c r="F562" i="2"/>
  <c r="AJ562" i="2"/>
  <c r="O562" i="2"/>
  <c r="AL562" i="2"/>
  <c r="Q562" i="2"/>
  <c r="N562" i="2"/>
  <c r="P562" i="2"/>
  <c r="S562" i="2"/>
  <c r="J562" i="2"/>
  <c r="U562" i="2"/>
  <c r="V562" i="2"/>
  <c r="K562" i="2"/>
  <c r="M562" i="2"/>
  <c r="W562" i="2"/>
  <c r="I562" i="2"/>
  <c r="AN562" i="2"/>
  <c r="T562" i="2"/>
  <c r="B564" i="2" l="1"/>
  <c r="C563" i="2"/>
  <c r="U563" i="2"/>
  <c r="N563" i="2"/>
  <c r="AK563" i="2"/>
  <c r="T563" i="2"/>
  <c r="AN563" i="2"/>
  <c r="F563" i="2"/>
  <c r="AM563" i="2"/>
  <c r="W563" i="2"/>
  <c r="AJ563" i="2"/>
  <c r="AA563" i="2"/>
  <c r="AF563" i="2"/>
  <c r="P563" i="2"/>
  <c r="E563" i="2"/>
  <c r="AC563" i="2"/>
  <c r="AO563" i="2"/>
  <c r="Y563" i="2"/>
  <c r="L563" i="2"/>
  <c r="K563" i="2"/>
  <c r="G563" i="2"/>
  <c r="O563" i="2"/>
  <c r="H563" i="2"/>
  <c r="AH563" i="2"/>
  <c r="M563" i="2"/>
  <c r="AB563" i="2"/>
  <c r="AG563" i="2"/>
  <c r="V563" i="2"/>
  <c r="J563" i="2"/>
  <c r="S563" i="2"/>
  <c r="I563" i="2"/>
  <c r="X563" i="2"/>
  <c r="AD563" i="2"/>
  <c r="Q563" i="2"/>
  <c r="D563" i="2"/>
  <c r="AL563" i="2"/>
  <c r="AE563" i="2"/>
  <c r="AI563" i="2"/>
  <c r="R563" i="2"/>
  <c r="Z563" i="2"/>
  <c r="B565" i="2" l="1"/>
  <c r="D564" i="2"/>
  <c r="AJ564" i="2"/>
  <c r="AK564" i="2"/>
  <c r="W564" i="2"/>
  <c r="AH564" i="2"/>
  <c r="Q564" i="2"/>
  <c r="C564" i="2"/>
  <c r="K564" i="2"/>
  <c r="AF564" i="2"/>
  <c r="AC564" i="2"/>
  <c r="F564" i="2"/>
  <c r="L564" i="2"/>
  <c r="AI564" i="2"/>
  <c r="Z564" i="2"/>
  <c r="AG564" i="2"/>
  <c r="T564" i="2"/>
  <c r="AD564" i="2"/>
  <c r="E564" i="2"/>
  <c r="I564" i="2"/>
  <c r="P564" i="2"/>
  <c r="AA564" i="2"/>
  <c r="N564" i="2"/>
  <c r="O564" i="2"/>
  <c r="AE564" i="2"/>
  <c r="G564" i="2"/>
  <c r="R564" i="2"/>
  <c r="X564" i="2"/>
  <c r="U564" i="2"/>
  <c r="AM564" i="2"/>
  <c r="S564" i="2"/>
  <c r="AB564" i="2"/>
  <c r="AO564" i="2"/>
  <c r="M564" i="2"/>
  <c r="V564" i="2"/>
  <c r="AL564" i="2"/>
  <c r="H564" i="2"/>
  <c r="AN564" i="2"/>
  <c r="J564" i="2"/>
  <c r="Y564" i="2"/>
  <c r="B566" i="2" l="1"/>
  <c r="Y565" i="2"/>
  <c r="P565" i="2"/>
  <c r="C565" i="2"/>
  <c r="U565" i="2"/>
  <c r="S565" i="2"/>
  <c r="H565" i="2"/>
  <c r="AA565" i="2"/>
  <c r="I565" i="2"/>
  <c r="O565" i="2"/>
  <c r="AJ565" i="2"/>
  <c r="AC565" i="2"/>
  <c r="AF565" i="2"/>
  <c r="AB565" i="2"/>
  <c r="X565" i="2"/>
  <c r="K565" i="2"/>
  <c r="V565" i="2"/>
  <c r="AK565" i="2"/>
  <c r="N565" i="2"/>
  <c r="E565" i="2"/>
  <c r="AO565" i="2"/>
  <c r="J565" i="2"/>
  <c r="M565" i="2"/>
  <c r="AE565" i="2"/>
  <c r="W565" i="2"/>
  <c r="F565" i="2"/>
  <c r="Z565" i="2"/>
  <c r="R565" i="2"/>
  <c r="AN565" i="2"/>
  <c r="T565" i="2"/>
  <c r="AH565" i="2"/>
  <c r="L565" i="2"/>
  <c r="G565" i="2"/>
  <c r="D565" i="2"/>
  <c r="AI565" i="2"/>
  <c r="AG565" i="2"/>
  <c r="AD565" i="2"/>
  <c r="Q565" i="2"/>
  <c r="AM565" i="2"/>
  <c r="AL565" i="2"/>
  <c r="B567" i="2" l="1"/>
  <c r="AH566" i="2"/>
  <c r="M566" i="2"/>
  <c r="H566" i="2"/>
  <c r="T566" i="2"/>
  <c r="O566" i="2"/>
  <c r="AN566" i="2"/>
  <c r="AG566" i="2"/>
  <c r="AK566" i="2"/>
  <c r="AE566" i="2"/>
  <c r="Q566" i="2"/>
  <c r="AL566" i="2"/>
  <c r="AI566" i="2"/>
  <c r="Z566" i="2"/>
  <c r="S566" i="2"/>
  <c r="AF566" i="2"/>
  <c r="Y566" i="2"/>
  <c r="I566" i="2"/>
  <c r="P566" i="2"/>
  <c r="R566" i="2"/>
  <c r="AO566" i="2"/>
  <c r="AA566" i="2"/>
  <c r="AC566" i="2"/>
  <c r="G566" i="2"/>
  <c r="AD566" i="2"/>
  <c r="AJ566" i="2"/>
  <c r="F566" i="2"/>
  <c r="K566" i="2"/>
  <c r="E566" i="2"/>
  <c r="U566" i="2"/>
  <c r="X566" i="2"/>
  <c r="D566" i="2"/>
  <c r="C566" i="2"/>
  <c r="L566" i="2"/>
  <c r="V566" i="2"/>
  <c r="N566" i="2"/>
  <c r="W566" i="2"/>
  <c r="J566" i="2"/>
  <c r="AM566" i="2"/>
  <c r="AB566" i="2"/>
  <c r="B568" i="2" l="1"/>
  <c r="I567" i="2"/>
  <c r="H567" i="2"/>
  <c r="AN567" i="2"/>
  <c r="M567" i="2"/>
  <c r="AG567" i="2"/>
  <c r="E567" i="2"/>
  <c r="C567" i="2"/>
  <c r="D567" i="2"/>
  <c r="Z567" i="2"/>
  <c r="R567" i="2"/>
  <c r="W567" i="2"/>
  <c r="U567" i="2"/>
  <c r="J567" i="2"/>
  <c r="AJ567" i="2"/>
  <c r="AH567" i="2"/>
  <c r="AL567" i="2"/>
  <c r="AO567" i="2"/>
  <c r="AM567" i="2"/>
  <c r="P567" i="2"/>
  <c r="Q567" i="2"/>
  <c r="X567" i="2"/>
  <c r="S567" i="2"/>
  <c r="T567" i="2"/>
  <c r="AA567" i="2"/>
  <c r="V567" i="2"/>
  <c r="AB567" i="2"/>
  <c r="N567" i="2"/>
  <c r="AE567" i="2"/>
  <c r="O567" i="2"/>
  <c r="AC567" i="2"/>
  <c r="AD567" i="2"/>
  <c r="AF567" i="2"/>
  <c r="K567" i="2"/>
  <c r="Y567" i="2"/>
  <c r="AI567" i="2"/>
  <c r="AK567" i="2"/>
  <c r="F567" i="2"/>
  <c r="L567" i="2"/>
  <c r="G567" i="2"/>
  <c r="B569" i="2" l="1"/>
  <c r="C568" i="2"/>
  <c r="N568" i="2"/>
  <c r="S568" i="2"/>
  <c r="G568" i="2"/>
  <c r="I568" i="2"/>
  <c r="M568" i="2"/>
  <c r="V568" i="2"/>
  <c r="O568" i="2"/>
  <c r="AK568" i="2"/>
  <c r="X568" i="2"/>
  <c r="AI568" i="2"/>
  <c r="AC568" i="2"/>
  <c r="J568" i="2"/>
  <c r="AB568" i="2"/>
  <c r="AM568" i="2"/>
  <c r="AJ568" i="2"/>
  <c r="U568" i="2"/>
  <c r="T568" i="2"/>
  <c r="W568" i="2"/>
  <c r="Z568" i="2"/>
  <c r="AA568" i="2"/>
  <c r="R568" i="2"/>
  <c r="AL568" i="2"/>
  <c r="F568" i="2"/>
  <c r="H568" i="2"/>
  <c r="Q568" i="2"/>
  <c r="AF568" i="2"/>
  <c r="Y568" i="2"/>
  <c r="AO568" i="2"/>
  <c r="AG568" i="2"/>
  <c r="L568" i="2"/>
  <c r="D568" i="2"/>
  <c r="K568" i="2"/>
  <c r="E568" i="2"/>
  <c r="AN568" i="2"/>
  <c r="P568" i="2"/>
  <c r="AE568" i="2"/>
  <c r="AH568" i="2"/>
  <c r="AD568" i="2"/>
  <c r="B570" i="2" l="1"/>
  <c r="AB569" i="2"/>
  <c r="K569" i="2"/>
  <c r="V569" i="2"/>
  <c r="F569" i="2"/>
  <c r="AH569" i="2"/>
  <c r="G569" i="2"/>
  <c r="AN569" i="2"/>
  <c r="M569" i="2"/>
  <c r="U569" i="2"/>
  <c r="I569" i="2"/>
  <c r="AD569" i="2"/>
  <c r="AC569" i="2"/>
  <c r="W569" i="2"/>
  <c r="AF569" i="2"/>
  <c r="R569" i="2"/>
  <c r="AM569" i="2"/>
  <c r="AO569" i="2"/>
  <c r="AK569" i="2"/>
  <c r="AI569" i="2"/>
  <c r="Q569" i="2"/>
  <c r="Z569" i="2"/>
  <c r="T569" i="2"/>
  <c r="X569" i="2"/>
  <c r="AA569" i="2"/>
  <c r="L569" i="2"/>
  <c r="N569" i="2"/>
  <c r="H569" i="2"/>
  <c r="AL569" i="2"/>
  <c r="Y569" i="2"/>
  <c r="S569" i="2"/>
  <c r="J569" i="2"/>
  <c r="P569" i="2"/>
  <c r="AG569" i="2"/>
  <c r="O569" i="2"/>
  <c r="AE569" i="2"/>
  <c r="E569" i="2"/>
  <c r="C569" i="2"/>
  <c r="AJ569" i="2"/>
  <c r="D569" i="2"/>
  <c r="B571" i="2" l="1"/>
  <c r="AF570" i="2"/>
  <c r="G570" i="2"/>
  <c r="E570" i="2"/>
  <c r="L570" i="2"/>
  <c r="AI570" i="2"/>
  <c r="AO570" i="2"/>
  <c r="Y570" i="2"/>
  <c r="H570" i="2"/>
  <c r="AM570" i="2"/>
  <c r="M570" i="2"/>
  <c r="D570" i="2"/>
  <c r="U570" i="2"/>
  <c r="AA570" i="2"/>
  <c r="S570" i="2"/>
  <c r="O570" i="2"/>
  <c r="Q570" i="2"/>
  <c r="K570" i="2"/>
  <c r="Z570" i="2"/>
  <c r="V570" i="2"/>
  <c r="AG570" i="2"/>
  <c r="X570" i="2"/>
  <c r="AH570" i="2"/>
  <c r="AK570" i="2"/>
  <c r="N570" i="2"/>
  <c r="J570" i="2"/>
  <c r="T570" i="2"/>
  <c r="AC570" i="2"/>
  <c r="AB570" i="2"/>
  <c r="AN570" i="2"/>
  <c r="W570" i="2"/>
  <c r="AD570" i="2"/>
  <c r="AJ570" i="2"/>
  <c r="C570" i="2"/>
  <c r="P570" i="2"/>
  <c r="I570" i="2"/>
  <c r="AE570" i="2"/>
  <c r="R570" i="2"/>
  <c r="AL570" i="2"/>
  <c r="F570" i="2"/>
  <c r="B572" i="2" l="1"/>
  <c r="AM571" i="2"/>
  <c r="X571" i="2"/>
  <c r="Q571" i="2"/>
  <c r="U571" i="2"/>
  <c r="G571" i="2"/>
  <c r="E571" i="2"/>
  <c r="H571" i="2"/>
  <c r="F571" i="2"/>
  <c r="AL571" i="2"/>
  <c r="I571" i="2"/>
  <c r="AE571" i="2"/>
  <c r="N571" i="2"/>
  <c r="AN571" i="2"/>
  <c r="P571" i="2"/>
  <c r="K571" i="2"/>
  <c r="AB571" i="2"/>
  <c r="J571" i="2"/>
  <c r="AH571" i="2"/>
  <c r="C571" i="2"/>
  <c r="L571" i="2"/>
  <c r="S571" i="2"/>
  <c r="R571" i="2"/>
  <c r="AA571" i="2"/>
  <c r="AF571" i="2"/>
  <c r="D571" i="2"/>
  <c r="AJ571" i="2"/>
  <c r="AO571" i="2"/>
  <c r="AK571" i="2"/>
  <c r="Z571" i="2"/>
  <c r="Y571" i="2"/>
  <c r="AI571" i="2"/>
  <c r="AD571" i="2"/>
  <c r="AC571" i="2"/>
  <c r="AG571" i="2"/>
  <c r="W571" i="2"/>
  <c r="M571" i="2"/>
  <c r="O571" i="2"/>
  <c r="V571" i="2"/>
  <c r="T571" i="2"/>
  <c r="B573" i="2" l="1"/>
  <c r="AK572" i="2"/>
  <c r="Z572" i="2"/>
  <c r="Y572" i="2"/>
  <c r="V572" i="2"/>
  <c r="R572" i="2"/>
  <c r="AI572" i="2"/>
  <c r="J572" i="2"/>
  <c r="D572" i="2"/>
  <c r="G572" i="2"/>
  <c r="K572" i="2"/>
  <c r="AO572" i="2"/>
  <c r="S572" i="2"/>
  <c r="AG572" i="2"/>
  <c r="O572" i="2"/>
  <c r="I572" i="2"/>
  <c r="H572" i="2"/>
  <c r="AD572" i="2"/>
  <c r="C572" i="2"/>
  <c r="AL572" i="2"/>
  <c r="L572" i="2"/>
  <c r="AM572" i="2"/>
  <c r="U572" i="2"/>
  <c r="E572" i="2"/>
  <c r="F572" i="2"/>
  <c r="AJ572" i="2"/>
  <c r="M572" i="2"/>
  <c r="Q572" i="2"/>
  <c r="AE572" i="2"/>
  <c r="P572" i="2"/>
  <c r="AN572" i="2"/>
  <c r="AH572" i="2"/>
  <c r="AB572" i="2"/>
  <c r="AA572" i="2"/>
  <c r="AC572" i="2"/>
  <c r="X572" i="2"/>
  <c r="T572" i="2"/>
  <c r="N572" i="2"/>
  <c r="W572" i="2"/>
  <c r="AF572" i="2"/>
  <c r="B574" i="2" l="1"/>
  <c r="AH573" i="2"/>
  <c r="AN573" i="2"/>
  <c r="AE573" i="2"/>
  <c r="T573" i="2"/>
  <c r="U573" i="2"/>
  <c r="K573" i="2"/>
  <c r="AM573" i="2"/>
  <c r="H573" i="2"/>
  <c r="W573" i="2"/>
  <c r="J573" i="2"/>
  <c r="S573" i="2"/>
  <c r="N573" i="2"/>
  <c r="AC573" i="2"/>
  <c r="AA573" i="2"/>
  <c r="AD573" i="2"/>
  <c r="O573" i="2"/>
  <c r="D573" i="2"/>
  <c r="E573" i="2"/>
  <c r="AK573" i="2"/>
  <c r="AL573" i="2"/>
  <c r="V573" i="2"/>
  <c r="G573" i="2"/>
  <c r="L573" i="2"/>
  <c r="C573" i="2"/>
  <c r="M573" i="2"/>
  <c r="R573" i="2"/>
  <c r="Q573" i="2"/>
  <c r="AF573" i="2"/>
  <c r="AG573" i="2"/>
  <c r="AJ573" i="2"/>
  <c r="AO573" i="2"/>
  <c r="F573" i="2"/>
  <c r="AB573" i="2"/>
  <c r="P573" i="2"/>
  <c r="Y573" i="2"/>
  <c r="X573" i="2"/>
  <c r="I573" i="2"/>
  <c r="AI573" i="2"/>
  <c r="Z573" i="2"/>
  <c r="B575" i="2" l="1"/>
  <c r="AH574" i="2"/>
  <c r="AD574" i="2"/>
  <c r="AC574" i="2"/>
  <c r="S574" i="2"/>
  <c r="P574" i="2"/>
  <c r="AB574" i="2"/>
  <c r="R574" i="2"/>
  <c r="C574" i="2"/>
  <c r="AK574" i="2"/>
  <c r="AJ574" i="2"/>
  <c r="E574" i="2"/>
  <c r="H574" i="2"/>
  <c r="AL574" i="2"/>
  <c r="N574" i="2"/>
  <c r="AN574" i="2"/>
  <c r="I574" i="2"/>
  <c r="V574" i="2"/>
  <c r="AI574" i="2"/>
  <c r="AG574" i="2"/>
  <c r="K574" i="2"/>
  <c r="M574" i="2"/>
  <c r="Q574" i="2"/>
  <c r="U574" i="2"/>
  <c r="G574" i="2"/>
  <c r="O574" i="2"/>
  <c r="W574" i="2"/>
  <c r="AM574" i="2"/>
  <c r="Y574" i="2"/>
  <c r="X574" i="2"/>
  <c r="J574" i="2"/>
  <c r="AE574" i="2"/>
  <c r="F574" i="2"/>
  <c r="T574" i="2"/>
  <c r="AA574" i="2"/>
  <c r="Z574" i="2"/>
  <c r="AO574" i="2"/>
  <c r="L574" i="2"/>
  <c r="D574" i="2"/>
  <c r="AF574" i="2"/>
  <c r="B576" i="2" l="1"/>
  <c r="V575" i="2"/>
  <c r="O575" i="2"/>
  <c r="J575" i="2"/>
  <c r="X575" i="2"/>
  <c r="W575" i="2"/>
  <c r="AA575" i="2"/>
  <c r="AH575" i="2"/>
  <c r="AJ575" i="2"/>
  <c r="Y575" i="2"/>
  <c r="AK575" i="2"/>
  <c r="AI575" i="2"/>
  <c r="L575" i="2"/>
  <c r="Z575" i="2"/>
  <c r="K575" i="2"/>
  <c r="G575" i="2"/>
  <c r="M575" i="2"/>
  <c r="Q575" i="2"/>
  <c r="AL575" i="2"/>
  <c r="D575" i="2"/>
  <c r="F575" i="2"/>
  <c r="P575" i="2"/>
  <c r="U575" i="2"/>
  <c r="R575" i="2"/>
  <c r="N575" i="2"/>
  <c r="AB575" i="2"/>
  <c r="S575" i="2"/>
  <c r="T575" i="2"/>
  <c r="AF575" i="2"/>
  <c r="I575" i="2"/>
  <c r="AG575" i="2"/>
  <c r="AD575" i="2"/>
  <c r="AM575" i="2"/>
  <c r="AO575" i="2"/>
  <c r="AC575" i="2"/>
  <c r="AE575" i="2"/>
  <c r="H575" i="2"/>
  <c r="AN575" i="2"/>
  <c r="C575" i="2"/>
  <c r="E575" i="2"/>
  <c r="B577" i="2" l="1"/>
  <c r="Z576" i="2"/>
  <c r="K576" i="2"/>
  <c r="R576" i="2"/>
  <c r="D576" i="2"/>
  <c r="AO576" i="2"/>
  <c r="M576" i="2"/>
  <c r="AH576" i="2"/>
  <c r="G576" i="2"/>
  <c r="E576" i="2"/>
  <c r="T576" i="2"/>
  <c r="AD576" i="2"/>
  <c r="U576" i="2"/>
  <c r="AG576" i="2"/>
  <c r="AK576" i="2"/>
  <c r="AL576" i="2"/>
  <c r="V576" i="2"/>
  <c r="X576" i="2"/>
  <c r="L576" i="2"/>
  <c r="AC576" i="2"/>
  <c r="AE576" i="2"/>
  <c r="AJ576" i="2"/>
  <c r="Q576" i="2"/>
  <c r="O576" i="2"/>
  <c r="C576" i="2"/>
  <c r="I576" i="2"/>
  <c r="AN576" i="2"/>
  <c r="Y576" i="2"/>
  <c r="S576" i="2"/>
  <c r="AB576" i="2"/>
  <c r="AF576" i="2"/>
  <c r="AM576" i="2"/>
  <c r="P576" i="2"/>
  <c r="J576" i="2"/>
  <c r="N576" i="2"/>
  <c r="W576" i="2"/>
  <c r="AI576" i="2"/>
  <c r="AA576" i="2"/>
  <c r="H576" i="2"/>
  <c r="F576" i="2"/>
  <c r="B578" i="2" l="1"/>
  <c r="T577" i="2"/>
  <c r="K577" i="2"/>
  <c r="P577" i="2"/>
  <c r="E577" i="2"/>
  <c r="AM577" i="2"/>
  <c r="M577" i="2"/>
  <c r="X577" i="2"/>
  <c r="AB577" i="2"/>
  <c r="AN577" i="2"/>
  <c r="AE577" i="2"/>
  <c r="H577" i="2"/>
  <c r="G577" i="2"/>
  <c r="N577" i="2"/>
  <c r="F577" i="2"/>
  <c r="AI577" i="2"/>
  <c r="W577" i="2"/>
  <c r="Q577" i="2"/>
  <c r="O577" i="2"/>
  <c r="AA577" i="2"/>
  <c r="AD577" i="2"/>
  <c r="V577" i="2"/>
  <c r="I577" i="2"/>
  <c r="AF577" i="2"/>
  <c r="R577" i="2"/>
  <c r="C577" i="2"/>
  <c r="J577" i="2"/>
  <c r="AL577" i="2"/>
  <c r="Y577" i="2"/>
  <c r="U577" i="2"/>
  <c r="S577" i="2"/>
  <c r="D577" i="2"/>
  <c r="AG577" i="2"/>
  <c r="AC577" i="2"/>
  <c r="Z577" i="2"/>
  <c r="AH577" i="2"/>
  <c r="AO577" i="2"/>
  <c r="AJ577" i="2"/>
  <c r="AK577" i="2"/>
  <c r="L577" i="2"/>
  <c r="B579" i="2" l="1"/>
  <c r="D578" i="2"/>
  <c r="AN578" i="2"/>
  <c r="E578" i="2"/>
  <c r="K578" i="2"/>
  <c r="H578" i="2"/>
  <c r="AJ578" i="2"/>
  <c r="Q578" i="2"/>
  <c r="AM578" i="2"/>
  <c r="AA578" i="2"/>
  <c r="AK578" i="2"/>
  <c r="S578" i="2"/>
  <c r="AD578" i="2"/>
  <c r="J578" i="2"/>
  <c r="M578" i="2"/>
  <c r="AI578" i="2"/>
  <c r="AB578" i="2"/>
  <c r="AF578" i="2"/>
  <c r="AH578" i="2"/>
  <c r="I578" i="2"/>
  <c r="O578" i="2"/>
  <c r="C578" i="2"/>
  <c r="P578" i="2"/>
  <c r="T578" i="2"/>
  <c r="N578" i="2"/>
  <c r="G578" i="2"/>
  <c r="R578" i="2"/>
  <c r="AE578" i="2"/>
  <c r="AG578" i="2"/>
  <c r="Y578" i="2"/>
  <c r="F578" i="2"/>
  <c r="AL578" i="2"/>
  <c r="V578" i="2"/>
  <c r="W578" i="2"/>
  <c r="X578" i="2"/>
  <c r="L578" i="2"/>
  <c r="U578" i="2"/>
  <c r="AC578" i="2"/>
  <c r="Z578" i="2"/>
  <c r="AO578" i="2"/>
  <c r="B580" i="2" l="1"/>
  <c r="AK579" i="2"/>
  <c r="V579" i="2"/>
  <c r="AG579" i="2"/>
  <c r="Z579" i="2"/>
  <c r="H579" i="2"/>
  <c r="X579" i="2"/>
  <c r="AN579" i="2"/>
  <c r="AA579" i="2"/>
  <c r="U579" i="2"/>
  <c r="AI579" i="2"/>
  <c r="C579" i="2"/>
  <c r="K579" i="2"/>
  <c r="D579" i="2"/>
  <c r="AF579" i="2"/>
  <c r="F579" i="2"/>
  <c r="AB579" i="2"/>
  <c r="Q579" i="2"/>
  <c r="R579" i="2"/>
  <c r="AO579" i="2"/>
  <c r="S579" i="2"/>
  <c r="P579" i="2"/>
  <c r="AM579" i="2"/>
  <c r="Y579" i="2"/>
  <c r="AC579" i="2"/>
  <c r="I579" i="2"/>
  <c r="E579" i="2"/>
  <c r="AH579" i="2"/>
  <c r="AL579" i="2"/>
  <c r="L579" i="2"/>
  <c r="G579" i="2"/>
  <c r="T579" i="2"/>
  <c r="AE579" i="2"/>
  <c r="W579" i="2"/>
  <c r="J579" i="2"/>
  <c r="AJ579" i="2"/>
  <c r="M579" i="2"/>
  <c r="N579" i="2"/>
  <c r="AD579" i="2"/>
  <c r="O579" i="2"/>
  <c r="B581" i="2" l="1"/>
  <c r="D580" i="2"/>
  <c r="L580" i="2"/>
  <c r="Q580" i="2"/>
  <c r="AB580" i="2"/>
  <c r="AC580" i="2"/>
  <c r="R580" i="2"/>
  <c r="V580" i="2"/>
  <c r="AO580" i="2"/>
  <c r="AJ580" i="2"/>
  <c r="J580" i="2"/>
  <c r="S580" i="2"/>
  <c r="P580" i="2"/>
  <c r="T580" i="2"/>
  <c r="Y580" i="2"/>
  <c r="H580" i="2"/>
  <c r="AK580" i="2"/>
  <c r="AH580" i="2"/>
  <c r="AD580" i="2"/>
  <c r="N580" i="2"/>
  <c r="AA580" i="2"/>
  <c r="E580" i="2"/>
  <c r="F580" i="2"/>
  <c r="AG580" i="2"/>
  <c r="W580" i="2"/>
  <c r="G580" i="2"/>
  <c r="K580" i="2"/>
  <c r="I580" i="2"/>
  <c r="AF580" i="2"/>
  <c r="AL580" i="2"/>
  <c r="M580" i="2"/>
  <c r="U580" i="2"/>
  <c r="AI580" i="2"/>
  <c r="AM580" i="2"/>
  <c r="O580" i="2"/>
  <c r="C580" i="2"/>
  <c r="AN580" i="2"/>
  <c r="X580" i="2"/>
  <c r="Z580" i="2"/>
  <c r="AE580" i="2"/>
  <c r="B582" i="2" l="1"/>
  <c r="T581" i="2"/>
  <c r="AM581" i="2"/>
  <c r="AO581" i="2"/>
  <c r="AN581" i="2"/>
  <c r="G581" i="2"/>
  <c r="I581" i="2"/>
  <c r="V581" i="2"/>
  <c r="U581" i="2"/>
  <c r="D581" i="2"/>
  <c r="H581" i="2"/>
  <c r="W581" i="2"/>
  <c r="AI581" i="2"/>
  <c r="AC581" i="2"/>
  <c r="P581" i="2"/>
  <c r="AA581" i="2"/>
  <c r="AJ581" i="2"/>
  <c r="AK581" i="2"/>
  <c r="AL581" i="2"/>
  <c r="AD581" i="2"/>
  <c r="AE581" i="2"/>
  <c r="X581" i="2"/>
  <c r="Z581" i="2"/>
  <c r="Y581" i="2"/>
  <c r="K581" i="2"/>
  <c r="J581" i="2"/>
  <c r="S581" i="2"/>
  <c r="AF581" i="2"/>
  <c r="C581" i="2"/>
  <c r="F581" i="2"/>
  <c r="E581" i="2"/>
  <c r="R581" i="2"/>
  <c r="AB581" i="2"/>
  <c r="AH581" i="2"/>
  <c r="AG581" i="2"/>
  <c r="M581" i="2"/>
  <c r="N581" i="2"/>
  <c r="L581" i="2"/>
  <c r="Q581" i="2"/>
  <c r="O581" i="2"/>
  <c r="B583" i="2" l="1"/>
  <c r="Q582" i="2"/>
  <c r="AJ582" i="2"/>
  <c r="I582" i="2"/>
  <c r="P582" i="2"/>
  <c r="C582" i="2"/>
  <c r="AK582" i="2"/>
  <c r="R582" i="2"/>
  <c r="J582" i="2"/>
  <c r="V582" i="2"/>
  <c r="S582" i="2"/>
  <c r="H582" i="2"/>
  <c r="AD582" i="2"/>
  <c r="AE582" i="2"/>
  <c r="Z582" i="2"/>
  <c r="X582" i="2"/>
  <c r="AF582" i="2"/>
  <c r="AL582" i="2"/>
  <c r="AM582" i="2"/>
  <c r="D582" i="2"/>
  <c r="AC582" i="2"/>
  <c r="AG582" i="2"/>
  <c r="K582" i="2"/>
  <c r="AI582" i="2"/>
  <c r="AB582" i="2"/>
  <c r="AO582" i="2"/>
  <c r="L582" i="2"/>
  <c r="Y582" i="2"/>
  <c r="U582" i="2"/>
  <c r="F582" i="2"/>
  <c r="M582" i="2"/>
  <c r="O582" i="2"/>
  <c r="G582" i="2"/>
  <c r="AH582" i="2"/>
  <c r="W582" i="2"/>
  <c r="AA582" i="2"/>
  <c r="E582" i="2"/>
  <c r="N582" i="2"/>
  <c r="T582" i="2"/>
  <c r="AN582" i="2"/>
  <c r="B584" i="2" l="1"/>
  <c r="AL583" i="2"/>
  <c r="AC583" i="2"/>
  <c r="O583" i="2"/>
  <c r="R583" i="2"/>
  <c r="AJ583" i="2"/>
  <c r="S583" i="2"/>
  <c r="G583" i="2"/>
  <c r="L583" i="2"/>
  <c r="AH583" i="2"/>
  <c r="AI583" i="2"/>
  <c r="AK583" i="2"/>
  <c r="Y583" i="2"/>
  <c r="P583" i="2"/>
  <c r="E583" i="2"/>
  <c r="AA583" i="2"/>
  <c r="M583" i="2"/>
  <c r="AG583" i="2"/>
  <c r="C583" i="2"/>
  <c r="AN583" i="2"/>
  <c r="K583" i="2"/>
  <c r="D583" i="2"/>
  <c r="H583" i="2"/>
  <c r="I583" i="2"/>
  <c r="J583" i="2"/>
  <c r="AB583" i="2"/>
  <c r="AD583" i="2"/>
  <c r="AM583" i="2"/>
  <c r="U583" i="2"/>
  <c r="W583" i="2"/>
  <c r="AE583" i="2"/>
  <c r="T583" i="2"/>
  <c r="Q583" i="2"/>
  <c r="AF583" i="2"/>
  <c r="V583" i="2"/>
  <c r="X583" i="2"/>
  <c r="F583" i="2"/>
  <c r="AO583" i="2"/>
  <c r="Z583" i="2"/>
  <c r="N583" i="2"/>
  <c r="B585" i="2" l="1"/>
  <c r="Q584" i="2"/>
  <c r="L584" i="2"/>
  <c r="R584" i="2"/>
  <c r="AI584" i="2"/>
  <c r="AO584" i="2"/>
  <c r="AE584" i="2"/>
  <c r="AM584" i="2"/>
  <c r="AN584" i="2"/>
  <c r="T584" i="2"/>
  <c r="AF584" i="2"/>
  <c r="AD584" i="2"/>
  <c r="P584" i="2"/>
  <c r="C584" i="2"/>
  <c r="X584" i="2"/>
  <c r="G584" i="2"/>
  <c r="AL584" i="2"/>
  <c r="E584" i="2"/>
  <c r="M584" i="2"/>
  <c r="O584" i="2"/>
  <c r="AA584" i="2"/>
  <c r="H584" i="2"/>
  <c r="K584" i="2"/>
  <c r="AH584" i="2"/>
  <c r="F584" i="2"/>
  <c r="AG584" i="2"/>
  <c r="U584" i="2"/>
  <c r="J584" i="2"/>
  <c r="S584" i="2"/>
  <c r="Y584" i="2"/>
  <c r="AB584" i="2"/>
  <c r="AC584" i="2"/>
  <c r="AK584" i="2"/>
  <c r="N584" i="2"/>
  <c r="W584" i="2"/>
  <c r="Z584" i="2"/>
  <c r="I584" i="2"/>
  <c r="V584" i="2"/>
  <c r="AJ584" i="2"/>
  <c r="D584" i="2"/>
  <c r="B586" i="2" l="1"/>
  <c r="AE585" i="2"/>
  <c r="M585" i="2"/>
  <c r="I585" i="2"/>
  <c r="AK585" i="2"/>
  <c r="AF585" i="2"/>
  <c r="AJ585" i="2"/>
  <c r="J585" i="2"/>
  <c r="AB585" i="2"/>
  <c r="AG585" i="2"/>
  <c r="C585" i="2"/>
  <c r="AI585" i="2"/>
  <c r="AO585" i="2"/>
  <c r="AN585" i="2"/>
  <c r="S585" i="2"/>
  <c r="N585" i="2"/>
  <c r="E585" i="2"/>
  <c r="AL585" i="2"/>
  <c r="R585" i="2"/>
  <c r="X585" i="2"/>
  <c r="K585" i="2"/>
  <c r="D585" i="2"/>
  <c r="F585" i="2"/>
  <c r="P585" i="2"/>
  <c r="V585" i="2"/>
  <c r="G585" i="2"/>
  <c r="AH585" i="2"/>
  <c r="AM585" i="2"/>
  <c r="Z585" i="2"/>
  <c r="W585" i="2"/>
  <c r="Q585" i="2"/>
  <c r="AD585" i="2"/>
  <c r="Y585" i="2"/>
  <c r="O585" i="2"/>
  <c r="T585" i="2"/>
  <c r="H585" i="2"/>
  <c r="AC585" i="2"/>
  <c r="L585" i="2"/>
  <c r="AA585" i="2"/>
  <c r="U585" i="2"/>
  <c r="B587" i="2" l="1"/>
  <c r="X586" i="2"/>
  <c r="O586" i="2"/>
  <c r="G586" i="2"/>
  <c r="Y586" i="2"/>
  <c r="J586" i="2"/>
  <c r="AM586" i="2"/>
  <c r="H586" i="2"/>
  <c r="AO586" i="2"/>
  <c r="AK586" i="2"/>
  <c r="D586" i="2"/>
  <c r="L586" i="2"/>
  <c r="N586" i="2"/>
  <c r="AN586" i="2"/>
  <c r="AA586" i="2"/>
  <c r="K586" i="2"/>
  <c r="E586" i="2"/>
  <c r="AE586" i="2"/>
  <c r="V586" i="2"/>
  <c r="AH586" i="2"/>
  <c r="AI586" i="2"/>
  <c r="AD586" i="2"/>
  <c r="W586" i="2"/>
  <c r="M586" i="2"/>
  <c r="AB586" i="2"/>
  <c r="I586" i="2"/>
  <c r="R586" i="2"/>
  <c r="AF586" i="2"/>
  <c r="AC586" i="2"/>
  <c r="C586" i="2"/>
  <c r="S586" i="2"/>
  <c r="AG586" i="2"/>
  <c r="AL586" i="2"/>
  <c r="U586" i="2"/>
  <c r="F586" i="2"/>
  <c r="T586" i="2"/>
  <c r="Z586" i="2"/>
  <c r="P586" i="2"/>
  <c r="AJ586" i="2"/>
  <c r="Q586" i="2"/>
  <c r="B588" i="2" l="1"/>
  <c r="K587" i="2"/>
  <c r="AH587" i="2"/>
  <c r="AI587" i="2"/>
  <c r="M587" i="2"/>
  <c r="D587" i="2"/>
  <c r="P587" i="2"/>
  <c r="G587" i="2"/>
  <c r="Q587" i="2"/>
  <c r="Y587" i="2"/>
  <c r="N587" i="2"/>
  <c r="S587" i="2"/>
  <c r="H587" i="2"/>
  <c r="AJ587" i="2"/>
  <c r="AE587" i="2"/>
  <c r="AN587" i="2"/>
  <c r="AA587" i="2"/>
  <c r="AF587" i="2"/>
  <c r="AK587" i="2"/>
  <c r="AO587" i="2"/>
  <c r="O587" i="2"/>
  <c r="E587" i="2"/>
  <c r="AC587" i="2"/>
  <c r="AM587" i="2"/>
  <c r="AB587" i="2"/>
  <c r="I587" i="2"/>
  <c r="Z587" i="2"/>
  <c r="C587" i="2"/>
  <c r="X587" i="2"/>
  <c r="L587" i="2"/>
  <c r="V587" i="2"/>
  <c r="T587" i="2"/>
  <c r="AD587" i="2"/>
  <c r="U587" i="2"/>
  <c r="R587" i="2"/>
  <c r="AG587" i="2"/>
  <c r="W587" i="2"/>
  <c r="F587" i="2"/>
  <c r="J587" i="2"/>
  <c r="AL587" i="2"/>
  <c r="B589" i="2" l="1"/>
  <c r="Y588" i="2"/>
  <c r="C588" i="2"/>
  <c r="J588" i="2"/>
  <c r="AE588" i="2"/>
  <c r="L588" i="2"/>
  <c r="O588" i="2"/>
  <c r="AH588" i="2"/>
  <c r="AC588" i="2"/>
  <c r="S588" i="2"/>
  <c r="AG588" i="2"/>
  <c r="K588" i="2"/>
  <c r="AF588" i="2"/>
  <c r="G588" i="2"/>
  <c r="AL588" i="2"/>
  <c r="Q588" i="2"/>
  <c r="N588" i="2"/>
  <c r="AD588" i="2"/>
  <c r="M588" i="2"/>
  <c r="AO588" i="2"/>
  <c r="AN588" i="2"/>
  <c r="AA588" i="2"/>
  <c r="T588" i="2"/>
  <c r="P588" i="2"/>
  <c r="E588" i="2"/>
  <c r="AM588" i="2"/>
  <c r="R588" i="2"/>
  <c r="AJ588" i="2"/>
  <c r="AB588" i="2"/>
  <c r="H588" i="2"/>
  <c r="AK588" i="2"/>
  <c r="AI588" i="2"/>
  <c r="W588" i="2"/>
  <c r="D588" i="2"/>
  <c r="X588" i="2"/>
  <c r="I588" i="2"/>
  <c r="Z588" i="2"/>
  <c r="V588" i="2"/>
  <c r="F588" i="2"/>
  <c r="U588" i="2"/>
  <c r="B590" i="2" l="1"/>
  <c r="U589" i="2"/>
  <c r="Z589" i="2"/>
  <c r="L589" i="2"/>
  <c r="AF589" i="2"/>
  <c r="AL589" i="2"/>
  <c r="AI589" i="2"/>
  <c r="J589" i="2"/>
  <c r="O589" i="2"/>
  <c r="E589" i="2"/>
  <c r="H589" i="2"/>
  <c r="P589" i="2"/>
  <c r="AO589" i="2"/>
  <c r="AB589" i="2"/>
  <c r="AD589" i="2"/>
  <c r="F589" i="2"/>
  <c r="AJ589" i="2"/>
  <c r="D589" i="2"/>
  <c r="R589" i="2"/>
  <c r="AG589" i="2"/>
  <c r="AH589" i="2"/>
  <c r="M589" i="2"/>
  <c r="AK589" i="2"/>
  <c r="X589" i="2"/>
  <c r="G589" i="2"/>
  <c r="AM589" i="2"/>
  <c r="S589" i="2"/>
  <c r="C589" i="2"/>
  <c r="Y589" i="2"/>
  <c r="V589" i="2"/>
  <c r="AE589" i="2"/>
  <c r="AN589" i="2"/>
  <c r="T589" i="2"/>
  <c r="I589" i="2"/>
  <c r="AC589" i="2"/>
  <c r="K589" i="2"/>
  <c r="N589" i="2"/>
  <c r="AA589" i="2"/>
  <c r="W589" i="2"/>
  <c r="Q589" i="2"/>
  <c r="B591" i="2" l="1"/>
  <c r="Y590" i="2"/>
  <c r="P590" i="2"/>
  <c r="R590" i="2"/>
  <c r="AO590" i="2"/>
  <c r="S590" i="2"/>
  <c r="C590" i="2"/>
  <c r="H590" i="2"/>
  <c r="AI590" i="2"/>
  <c r="AE590" i="2"/>
  <c r="N590" i="2"/>
  <c r="AA590" i="2"/>
  <c r="U590" i="2"/>
  <c r="L590" i="2"/>
  <c r="AL590" i="2"/>
  <c r="AB590" i="2"/>
  <c r="AJ590" i="2"/>
  <c r="F590" i="2"/>
  <c r="J590" i="2"/>
  <c r="X590" i="2"/>
  <c r="Q590" i="2"/>
  <c r="AC590" i="2"/>
  <c r="O590" i="2"/>
  <c r="M590" i="2"/>
  <c r="D590" i="2"/>
  <c r="AH590" i="2"/>
  <c r="AM590" i="2"/>
  <c r="AK590" i="2"/>
  <c r="T590" i="2"/>
  <c r="K590" i="2"/>
  <c r="W590" i="2"/>
  <c r="G590" i="2"/>
  <c r="AD590" i="2"/>
  <c r="I590" i="2"/>
  <c r="Z590" i="2"/>
  <c r="AF590" i="2"/>
  <c r="V590" i="2"/>
  <c r="E590" i="2"/>
  <c r="AG590" i="2"/>
  <c r="AN590" i="2"/>
  <c r="B592" i="2" l="1"/>
  <c r="V591" i="2"/>
  <c r="H591" i="2"/>
  <c r="AK591" i="2"/>
  <c r="D591" i="2"/>
  <c r="C591" i="2"/>
  <c r="AI591" i="2"/>
  <c r="R591" i="2"/>
  <c r="K591" i="2"/>
  <c r="X591" i="2"/>
  <c r="AM591" i="2"/>
  <c r="P591" i="2"/>
  <c r="O591" i="2"/>
  <c r="T591" i="2"/>
  <c r="G591" i="2"/>
  <c r="Q591" i="2"/>
  <c r="F591" i="2"/>
  <c r="J591" i="2"/>
  <c r="AG591" i="2"/>
  <c r="AD591" i="2"/>
  <c r="Y591" i="2"/>
  <c r="N591" i="2"/>
  <c r="E591" i="2"/>
  <c r="U591" i="2"/>
  <c r="Z591" i="2"/>
  <c r="M591" i="2"/>
  <c r="AE591" i="2"/>
  <c r="S591" i="2"/>
  <c r="AB591" i="2"/>
  <c r="AA591" i="2"/>
  <c r="AJ591" i="2"/>
  <c r="AO591" i="2"/>
  <c r="AH591" i="2"/>
  <c r="W591" i="2"/>
  <c r="AN591" i="2"/>
  <c r="AF591" i="2"/>
  <c r="AL591" i="2"/>
  <c r="AC591" i="2"/>
  <c r="I591" i="2"/>
  <c r="L591" i="2"/>
  <c r="B593" i="2" l="1"/>
  <c r="W592" i="2"/>
  <c r="AC592" i="2"/>
  <c r="G592" i="2"/>
  <c r="AA592" i="2"/>
  <c r="I592" i="2"/>
  <c r="H592" i="2"/>
  <c r="AI592" i="2"/>
  <c r="AJ592" i="2"/>
  <c r="C592" i="2"/>
  <c r="S592" i="2"/>
  <c r="X592" i="2"/>
  <c r="AG592" i="2"/>
  <c r="D592" i="2"/>
  <c r="O592" i="2"/>
  <c r="U592" i="2"/>
  <c r="Y592" i="2"/>
  <c r="AE592" i="2"/>
  <c r="AB592" i="2"/>
  <c r="Z592" i="2"/>
  <c r="Q592" i="2"/>
  <c r="R592" i="2"/>
  <c r="AL592" i="2"/>
  <c r="F592" i="2"/>
  <c r="AO592" i="2"/>
  <c r="J592" i="2"/>
  <c r="L592" i="2"/>
  <c r="AN592" i="2"/>
  <c r="E592" i="2"/>
  <c r="K592" i="2"/>
  <c r="AF592" i="2"/>
  <c r="N592" i="2"/>
  <c r="P592" i="2"/>
  <c r="M592" i="2"/>
  <c r="AH592" i="2"/>
  <c r="V592" i="2"/>
  <c r="AD592" i="2"/>
  <c r="AM592" i="2"/>
  <c r="AK592" i="2"/>
  <c r="T592" i="2"/>
  <c r="B594" i="2" l="1"/>
  <c r="Z593" i="2"/>
  <c r="AN593" i="2"/>
  <c r="AK593" i="2"/>
  <c r="Q593" i="2"/>
  <c r="AD593" i="2"/>
  <c r="X593" i="2"/>
  <c r="V593" i="2"/>
  <c r="U593" i="2"/>
  <c r="G593" i="2"/>
  <c r="N593" i="2"/>
  <c r="Y593" i="2"/>
  <c r="J593" i="2"/>
  <c r="R593" i="2"/>
  <c r="AC593" i="2"/>
  <c r="K593" i="2"/>
  <c r="O593" i="2"/>
  <c r="F593" i="2"/>
  <c r="AI593" i="2"/>
  <c r="E593" i="2"/>
  <c r="T593" i="2"/>
  <c r="AM593" i="2"/>
  <c r="AH593" i="2"/>
  <c r="D593" i="2"/>
  <c r="AA593" i="2"/>
  <c r="AO593" i="2"/>
  <c r="P593" i="2"/>
  <c r="W593" i="2"/>
  <c r="AB593" i="2"/>
  <c r="AF593" i="2"/>
  <c r="AE593" i="2"/>
  <c r="AG593" i="2"/>
  <c r="AJ593" i="2"/>
  <c r="AL593" i="2"/>
  <c r="H593" i="2"/>
  <c r="I593" i="2"/>
  <c r="C593" i="2"/>
  <c r="L593" i="2"/>
  <c r="M593" i="2"/>
  <c r="S593" i="2"/>
  <c r="B595" i="2" l="1"/>
  <c r="AF594" i="2"/>
  <c r="Z594" i="2"/>
  <c r="G594" i="2"/>
  <c r="N594" i="2"/>
  <c r="D594" i="2"/>
  <c r="S594" i="2"/>
  <c r="V594" i="2"/>
  <c r="AA594" i="2"/>
  <c r="AC594" i="2"/>
  <c r="E594" i="2"/>
  <c r="AM594" i="2"/>
  <c r="AB594" i="2"/>
  <c r="AO594" i="2"/>
  <c r="AK594" i="2"/>
  <c r="R594" i="2"/>
  <c r="T594" i="2"/>
  <c r="Y594" i="2"/>
  <c r="AJ594" i="2"/>
  <c r="AI594" i="2"/>
  <c r="C594" i="2"/>
  <c r="AH594" i="2"/>
  <c r="I594" i="2"/>
  <c r="Q594" i="2"/>
  <c r="AL594" i="2"/>
  <c r="AG594" i="2"/>
  <c r="J594" i="2"/>
  <c r="AD594" i="2"/>
  <c r="W594" i="2"/>
  <c r="AN594" i="2"/>
  <c r="P594" i="2"/>
  <c r="H594" i="2"/>
  <c r="M594" i="2"/>
  <c r="L594" i="2"/>
  <c r="F594" i="2"/>
  <c r="K594" i="2"/>
  <c r="O594" i="2"/>
  <c r="U594" i="2"/>
  <c r="X594" i="2"/>
  <c r="AE594" i="2"/>
  <c r="B596" i="2" l="1"/>
  <c r="W595" i="2"/>
  <c r="AF595" i="2"/>
  <c r="R595" i="2"/>
  <c r="H595" i="2"/>
  <c r="Y595" i="2"/>
  <c r="AE595" i="2"/>
  <c r="Z595" i="2"/>
  <c r="AB595" i="2"/>
  <c r="P595" i="2"/>
  <c r="M595" i="2"/>
  <c r="I595" i="2"/>
  <c r="AH595" i="2"/>
  <c r="AL595" i="2"/>
  <c r="AI595" i="2"/>
  <c r="AK595" i="2"/>
  <c r="AM595" i="2"/>
  <c r="AN595" i="2"/>
  <c r="G595" i="2"/>
  <c r="F595" i="2"/>
  <c r="N595" i="2"/>
  <c r="C595" i="2"/>
  <c r="U595" i="2"/>
  <c r="E595" i="2"/>
  <c r="AG595" i="2"/>
  <c r="T595" i="2"/>
  <c r="AD595" i="2"/>
  <c r="AO595" i="2"/>
  <c r="V595" i="2"/>
  <c r="S595" i="2"/>
  <c r="D595" i="2"/>
  <c r="L595" i="2"/>
  <c r="AJ595" i="2"/>
  <c r="Q595" i="2"/>
  <c r="K595" i="2"/>
  <c r="X595" i="2"/>
  <c r="AA595" i="2"/>
  <c r="J595" i="2"/>
  <c r="AC595" i="2"/>
  <c r="O595" i="2"/>
  <c r="B597" i="2" l="1"/>
  <c r="AC596" i="2"/>
  <c r="AJ596" i="2"/>
  <c r="AM596" i="2"/>
  <c r="K596" i="2"/>
  <c r="J596" i="2"/>
  <c r="H596" i="2"/>
  <c r="I596" i="2"/>
  <c r="AO596" i="2"/>
  <c r="F596" i="2"/>
  <c r="T596" i="2"/>
  <c r="Q596" i="2"/>
  <c r="U596" i="2"/>
  <c r="E596" i="2"/>
  <c r="AG596" i="2"/>
  <c r="AI596" i="2"/>
  <c r="AF596" i="2"/>
  <c r="P596" i="2"/>
  <c r="M596" i="2"/>
  <c r="R596" i="2"/>
  <c r="Z596" i="2"/>
  <c r="AN596" i="2"/>
  <c r="O596" i="2"/>
  <c r="W596" i="2"/>
  <c r="AL596" i="2"/>
  <c r="AA596" i="2"/>
  <c r="AH596" i="2"/>
  <c r="X596" i="2"/>
  <c r="V596" i="2"/>
  <c r="C596" i="2"/>
  <c r="G596" i="2"/>
  <c r="S596" i="2"/>
  <c r="D596" i="2"/>
  <c r="AK596" i="2"/>
  <c r="L596" i="2"/>
  <c r="AB596" i="2"/>
  <c r="AD596" i="2"/>
  <c r="N596" i="2"/>
  <c r="AE596" i="2"/>
  <c r="Y596" i="2"/>
  <c r="B598" i="2" l="1"/>
  <c r="AC597" i="2"/>
  <c r="K597" i="2"/>
  <c r="AB597" i="2"/>
  <c r="AE597" i="2"/>
  <c r="AK597" i="2"/>
  <c r="P597" i="2"/>
  <c r="D597" i="2"/>
  <c r="E597" i="2"/>
  <c r="F597" i="2"/>
  <c r="R597" i="2"/>
  <c r="Q597" i="2"/>
  <c r="J597" i="2"/>
  <c r="AO597" i="2"/>
  <c r="U597" i="2"/>
  <c r="L597" i="2"/>
  <c r="AF597" i="2"/>
  <c r="AH597" i="2"/>
  <c r="AG597" i="2"/>
  <c r="W597" i="2"/>
  <c r="G597" i="2"/>
  <c r="Z597" i="2"/>
  <c r="Y597" i="2"/>
  <c r="T597" i="2"/>
  <c r="AN597" i="2"/>
  <c r="N597" i="2"/>
  <c r="AL597" i="2"/>
  <c r="AM597" i="2"/>
  <c r="AD597" i="2"/>
  <c r="I597" i="2"/>
  <c r="O597" i="2"/>
  <c r="C597" i="2"/>
  <c r="X597" i="2"/>
  <c r="AI597" i="2"/>
  <c r="S597" i="2"/>
  <c r="AA597" i="2"/>
  <c r="V597" i="2"/>
  <c r="H597" i="2"/>
  <c r="AJ597" i="2"/>
  <c r="M597" i="2"/>
  <c r="B599" i="2" l="1"/>
  <c r="V598" i="2"/>
  <c r="P598" i="2"/>
  <c r="G598" i="2"/>
  <c r="AK598" i="2"/>
  <c r="R598" i="2"/>
  <c r="U598" i="2"/>
  <c r="AA598" i="2"/>
  <c r="L598" i="2"/>
  <c r="AG598" i="2"/>
  <c r="AE598" i="2"/>
  <c r="O598" i="2"/>
  <c r="S598" i="2"/>
  <c r="J598" i="2"/>
  <c r="W598" i="2"/>
  <c r="E598" i="2"/>
  <c r="AC598" i="2"/>
  <c r="T598" i="2"/>
  <c r="Z598" i="2"/>
  <c r="AO598" i="2"/>
  <c r="Y598" i="2"/>
  <c r="I598" i="2"/>
  <c r="AF598" i="2"/>
  <c r="AM598" i="2"/>
  <c r="K598" i="2"/>
  <c r="D598" i="2"/>
  <c r="X598" i="2"/>
  <c r="AB598" i="2"/>
  <c r="M598" i="2"/>
  <c r="Q598" i="2"/>
  <c r="AJ598" i="2"/>
  <c r="AN598" i="2"/>
  <c r="H598" i="2"/>
  <c r="AL598" i="2"/>
  <c r="F598" i="2"/>
  <c r="AD598" i="2"/>
  <c r="AH598" i="2"/>
  <c r="AI598" i="2"/>
  <c r="N598" i="2"/>
  <c r="C598" i="2"/>
  <c r="B600" i="2" l="1"/>
  <c r="AK599" i="2"/>
  <c r="G599" i="2"/>
  <c r="AC599" i="2"/>
  <c r="M599" i="2"/>
  <c r="U599" i="2"/>
  <c r="J599" i="2"/>
  <c r="AJ599" i="2"/>
  <c r="AN599" i="2"/>
  <c r="I599" i="2"/>
  <c r="AO599" i="2"/>
  <c r="AG599" i="2"/>
  <c r="S599" i="2"/>
  <c r="Z599" i="2"/>
  <c r="V599" i="2"/>
  <c r="W599" i="2"/>
  <c r="Q599" i="2"/>
  <c r="AM599" i="2"/>
  <c r="F599" i="2"/>
  <c r="D599" i="2"/>
  <c r="AF599" i="2"/>
  <c r="L599" i="2"/>
  <c r="AD599" i="2"/>
  <c r="H599" i="2"/>
  <c r="C599" i="2"/>
  <c r="AI599" i="2"/>
  <c r="AB599" i="2"/>
  <c r="T599" i="2"/>
  <c r="N599" i="2"/>
  <c r="AL599" i="2"/>
  <c r="R599" i="2"/>
  <c r="AE599" i="2"/>
  <c r="AH599" i="2"/>
  <c r="Y599" i="2"/>
  <c r="O599" i="2"/>
  <c r="AA599" i="2"/>
  <c r="P599" i="2"/>
  <c r="X599" i="2"/>
  <c r="K599" i="2"/>
  <c r="E599" i="2"/>
  <c r="B601" i="2" l="1"/>
  <c r="Z600" i="2"/>
  <c r="O600" i="2"/>
  <c r="P600" i="2"/>
  <c r="R600" i="2"/>
  <c r="AF600" i="2"/>
  <c r="K600" i="2"/>
  <c r="AH600" i="2"/>
  <c r="Y600" i="2"/>
  <c r="AO600" i="2"/>
  <c r="AM600" i="2"/>
  <c r="V600" i="2"/>
  <c r="AG600" i="2"/>
  <c r="L600" i="2"/>
  <c r="F600" i="2"/>
  <c r="AK600" i="2"/>
  <c r="N600" i="2"/>
  <c r="D600" i="2"/>
  <c r="AC600" i="2"/>
  <c r="H600" i="2"/>
  <c r="Q600" i="2"/>
  <c r="AJ600" i="2"/>
  <c r="AI600" i="2"/>
  <c r="AA600" i="2"/>
  <c r="AB600" i="2"/>
  <c r="U600" i="2"/>
  <c r="AL600" i="2"/>
  <c r="AN600" i="2"/>
  <c r="I600" i="2"/>
  <c r="J600" i="2"/>
  <c r="C600" i="2"/>
  <c r="S600" i="2"/>
  <c r="X600" i="2"/>
  <c r="M600" i="2"/>
  <c r="W600" i="2"/>
  <c r="AD600" i="2"/>
  <c r="G600" i="2"/>
  <c r="T600" i="2"/>
  <c r="AE600" i="2"/>
  <c r="E600" i="2"/>
  <c r="B602" i="2" l="1"/>
  <c r="D601" i="2"/>
  <c r="K601" i="2"/>
  <c r="AL601" i="2"/>
  <c r="G601" i="2"/>
  <c r="T601" i="2"/>
  <c r="V601" i="2"/>
  <c r="AN601" i="2"/>
  <c r="AH601" i="2"/>
  <c r="AA601" i="2"/>
  <c r="Q601" i="2"/>
  <c r="AG601" i="2"/>
  <c r="H601" i="2"/>
  <c r="AM601" i="2"/>
  <c r="I601" i="2"/>
  <c r="AE601" i="2"/>
  <c r="Z601" i="2"/>
  <c r="AI601" i="2"/>
  <c r="M601" i="2"/>
  <c r="P601" i="2"/>
  <c r="J601" i="2"/>
  <c r="AF601" i="2"/>
  <c r="N601" i="2"/>
  <c r="W601" i="2"/>
  <c r="F601" i="2"/>
  <c r="AD601" i="2"/>
  <c r="E601" i="2"/>
  <c r="AK601" i="2"/>
  <c r="X601" i="2"/>
  <c r="AJ601" i="2"/>
  <c r="AB601" i="2"/>
  <c r="AC601" i="2"/>
  <c r="Y601" i="2"/>
  <c r="AO601" i="2"/>
  <c r="L601" i="2"/>
  <c r="S601" i="2"/>
  <c r="R601" i="2"/>
  <c r="U601" i="2"/>
  <c r="O601" i="2"/>
  <c r="C601" i="2"/>
  <c r="B603" i="2" l="1"/>
  <c r="D602" i="2"/>
  <c r="U602" i="2"/>
  <c r="J602" i="2"/>
  <c r="K602" i="2"/>
  <c r="R602" i="2"/>
  <c r="M602" i="2"/>
  <c r="V602" i="2"/>
  <c r="S602" i="2"/>
  <c r="AC602" i="2"/>
  <c r="L602" i="2"/>
  <c r="AJ602" i="2"/>
  <c r="G602" i="2"/>
  <c r="I602" i="2"/>
  <c r="AK602" i="2"/>
  <c r="W602" i="2"/>
  <c r="N602" i="2"/>
  <c r="AA602" i="2"/>
  <c r="Q602" i="2"/>
  <c r="AF602" i="2"/>
  <c r="Z602" i="2"/>
  <c r="H602" i="2"/>
  <c r="F602" i="2"/>
  <c r="P602" i="2"/>
  <c r="AE602" i="2"/>
  <c r="AI602" i="2"/>
  <c r="X602" i="2"/>
  <c r="AN602" i="2"/>
  <c r="C602" i="2"/>
  <c r="AB602" i="2"/>
  <c r="AH602" i="2"/>
  <c r="AM602" i="2"/>
  <c r="AD602" i="2"/>
  <c r="AL602" i="2"/>
  <c r="T602" i="2"/>
  <c r="Y602" i="2"/>
  <c r="AO602" i="2"/>
  <c r="E602" i="2"/>
  <c r="O602" i="2"/>
  <c r="AG602" i="2"/>
  <c r="B604" i="2" l="1"/>
  <c r="AG603" i="2"/>
  <c r="M603" i="2"/>
  <c r="T603" i="2"/>
  <c r="J603" i="2"/>
  <c r="S603" i="2"/>
  <c r="F603" i="2"/>
  <c r="H603" i="2"/>
  <c r="AI603" i="2"/>
  <c r="I603" i="2"/>
  <c r="V603" i="2"/>
  <c r="Z603" i="2"/>
  <c r="AL603" i="2"/>
  <c r="AO603" i="2"/>
  <c r="O603" i="2"/>
  <c r="X603" i="2"/>
  <c r="E603" i="2"/>
  <c r="AA603" i="2"/>
  <c r="G603" i="2"/>
  <c r="Y603" i="2"/>
  <c r="AH603" i="2"/>
  <c r="Q603" i="2"/>
  <c r="AM603" i="2"/>
  <c r="N603" i="2"/>
  <c r="U603" i="2"/>
  <c r="AF603" i="2"/>
  <c r="AD603" i="2"/>
  <c r="AB603" i="2"/>
  <c r="AC603" i="2"/>
  <c r="P603" i="2"/>
  <c r="W603" i="2"/>
  <c r="D603" i="2"/>
  <c r="K603" i="2"/>
  <c r="AE603" i="2"/>
  <c r="AK603" i="2"/>
  <c r="L603" i="2"/>
  <c r="R603" i="2"/>
  <c r="AN603" i="2"/>
  <c r="AJ603" i="2"/>
  <c r="C603" i="2"/>
  <c r="B605" i="2" l="1"/>
  <c r="S604" i="2"/>
  <c r="AD604" i="2"/>
  <c r="J604" i="2"/>
  <c r="AG604" i="2"/>
  <c r="AI604" i="2"/>
  <c r="N604" i="2"/>
  <c r="P604" i="2"/>
  <c r="V604" i="2"/>
  <c r="AJ604" i="2"/>
  <c r="Z604" i="2"/>
  <c r="D604" i="2"/>
  <c r="G604" i="2"/>
  <c r="AA604" i="2"/>
  <c r="H604" i="2"/>
  <c r="AF604" i="2"/>
  <c r="I604" i="2"/>
  <c r="C604" i="2"/>
  <c r="U604" i="2"/>
  <c r="AH604" i="2"/>
  <c r="AL604" i="2"/>
  <c r="AO604" i="2"/>
  <c r="AK604" i="2"/>
  <c r="X604" i="2"/>
  <c r="M604" i="2"/>
  <c r="AE604" i="2"/>
  <c r="T604" i="2"/>
  <c r="AC604" i="2"/>
  <c r="E604" i="2"/>
  <c r="AM604" i="2"/>
  <c r="Q604" i="2"/>
  <c r="W604" i="2"/>
  <c r="Y604" i="2"/>
  <c r="K604" i="2"/>
  <c r="AB604" i="2"/>
  <c r="F604" i="2"/>
  <c r="AN604" i="2"/>
  <c r="O604" i="2"/>
  <c r="R604" i="2"/>
  <c r="L604" i="2"/>
  <c r="B606" i="2" l="1"/>
  <c r="AM605" i="2"/>
  <c r="AA605" i="2"/>
  <c r="U605" i="2"/>
  <c r="M605" i="2"/>
  <c r="D605" i="2"/>
  <c r="X605" i="2"/>
  <c r="E605" i="2"/>
  <c r="N605" i="2"/>
  <c r="AC605" i="2"/>
  <c r="AK605" i="2"/>
  <c r="T605" i="2"/>
  <c r="AH605" i="2"/>
  <c r="C605" i="2"/>
  <c r="W605" i="2"/>
  <c r="AF605" i="2"/>
  <c r="H605" i="2"/>
  <c r="AI605" i="2"/>
  <c r="AE605" i="2"/>
  <c r="AO605" i="2"/>
  <c r="P605" i="2"/>
  <c r="G605" i="2"/>
  <c r="AL605" i="2"/>
  <c r="AN605" i="2"/>
  <c r="V605" i="2"/>
  <c r="Y605" i="2"/>
  <c r="AD605" i="2"/>
  <c r="AB605" i="2"/>
  <c r="I605" i="2"/>
  <c r="O605" i="2"/>
  <c r="F605" i="2"/>
  <c r="R605" i="2"/>
  <c r="K605" i="2"/>
  <c r="AJ605" i="2"/>
  <c r="AG605" i="2"/>
  <c r="J605" i="2"/>
  <c r="Z605" i="2"/>
  <c r="L605" i="2"/>
  <c r="Q605" i="2"/>
  <c r="S605" i="2"/>
  <c r="B607" i="2" l="1"/>
  <c r="F606" i="2"/>
  <c r="W606" i="2"/>
  <c r="AI606" i="2"/>
  <c r="J606" i="2"/>
  <c r="Y606" i="2"/>
  <c r="E606" i="2"/>
  <c r="AB606" i="2"/>
  <c r="AM606" i="2"/>
  <c r="Q606" i="2"/>
  <c r="AC606" i="2"/>
  <c r="U606" i="2"/>
  <c r="G606" i="2"/>
  <c r="K606" i="2"/>
  <c r="Z606" i="2"/>
  <c r="AE606" i="2"/>
  <c r="D606" i="2"/>
  <c r="P606" i="2"/>
  <c r="AG606" i="2"/>
  <c r="AJ606" i="2"/>
  <c r="S606" i="2"/>
  <c r="N606" i="2"/>
  <c r="O606" i="2"/>
  <c r="AO606" i="2"/>
  <c r="AK606" i="2"/>
  <c r="X606" i="2"/>
  <c r="M606" i="2"/>
  <c r="AA606" i="2"/>
  <c r="AF606" i="2"/>
  <c r="AN606" i="2"/>
  <c r="H606" i="2"/>
  <c r="AH606" i="2"/>
  <c r="AL606" i="2"/>
  <c r="I606" i="2"/>
  <c r="T606" i="2"/>
  <c r="C606" i="2"/>
  <c r="R606" i="2"/>
  <c r="L606" i="2"/>
  <c r="V606" i="2"/>
  <c r="AD606" i="2"/>
  <c r="B608" i="2" l="1"/>
  <c r="H607" i="2"/>
  <c r="L607" i="2"/>
  <c r="V607" i="2"/>
  <c r="P607" i="2"/>
  <c r="AL607" i="2"/>
  <c r="S607" i="2"/>
  <c r="F607" i="2"/>
  <c r="AD607" i="2"/>
  <c r="Q607" i="2"/>
  <c r="AK607" i="2"/>
  <c r="AC607" i="2"/>
  <c r="AB607" i="2"/>
  <c r="AO607" i="2"/>
  <c r="N607" i="2"/>
  <c r="W607" i="2"/>
  <c r="R607" i="2"/>
  <c r="AF607" i="2"/>
  <c r="AG607" i="2"/>
  <c r="AN607" i="2"/>
  <c r="AE607" i="2"/>
  <c r="U607" i="2"/>
  <c r="D607" i="2"/>
  <c r="Z607" i="2"/>
  <c r="T607" i="2"/>
  <c r="O607" i="2"/>
  <c r="X607" i="2"/>
  <c r="AI607" i="2"/>
  <c r="J607" i="2"/>
  <c r="AJ607" i="2"/>
  <c r="K607" i="2"/>
  <c r="AA607" i="2"/>
  <c r="AH607" i="2"/>
  <c r="I607" i="2"/>
  <c r="G607" i="2"/>
  <c r="C607" i="2"/>
  <c r="M607" i="2"/>
  <c r="E607" i="2"/>
  <c r="AM607" i="2"/>
  <c r="Y607" i="2"/>
  <c r="B609" i="2" l="1"/>
  <c r="S608" i="2"/>
  <c r="Y608" i="2"/>
  <c r="G608" i="2"/>
  <c r="K608" i="2"/>
  <c r="AJ608" i="2"/>
  <c r="U608" i="2"/>
  <c r="AM608" i="2"/>
  <c r="O608" i="2"/>
  <c r="AO608" i="2"/>
  <c r="AA608" i="2"/>
  <c r="M608" i="2"/>
  <c r="AG608" i="2"/>
  <c r="Z608" i="2"/>
  <c r="Q608" i="2"/>
  <c r="C608" i="2"/>
  <c r="F608" i="2"/>
  <c r="X608" i="2"/>
  <c r="I608" i="2"/>
  <c r="AC608" i="2"/>
  <c r="J608" i="2"/>
  <c r="H608" i="2"/>
  <c r="AH608" i="2"/>
  <c r="AD608" i="2"/>
  <c r="AE608" i="2"/>
  <c r="AI608" i="2"/>
  <c r="V608" i="2"/>
  <c r="W608" i="2"/>
  <c r="R608" i="2"/>
  <c r="T608" i="2"/>
  <c r="N608" i="2"/>
  <c r="D608" i="2"/>
  <c r="AB608" i="2"/>
  <c r="E608" i="2"/>
  <c r="AN608" i="2"/>
  <c r="P608" i="2"/>
  <c r="L608" i="2"/>
  <c r="AF608" i="2"/>
  <c r="AK608" i="2"/>
  <c r="AL608" i="2"/>
  <c r="B610" i="2" l="1"/>
  <c r="F609" i="2"/>
  <c r="E609" i="2"/>
  <c r="L609" i="2"/>
  <c r="H609" i="2"/>
  <c r="AE609" i="2"/>
  <c r="I609" i="2"/>
  <c r="AG609" i="2"/>
  <c r="T609" i="2"/>
  <c r="X609" i="2"/>
  <c r="V609" i="2"/>
  <c r="Y609" i="2"/>
  <c r="N609" i="2"/>
  <c r="D609" i="2"/>
  <c r="M609" i="2"/>
  <c r="AL609" i="2"/>
  <c r="AO609" i="2"/>
  <c r="AF609" i="2"/>
  <c r="AI609" i="2"/>
  <c r="Z609" i="2"/>
  <c r="AA609" i="2"/>
  <c r="W609" i="2"/>
  <c r="AH609" i="2"/>
  <c r="C609" i="2"/>
  <c r="Q609" i="2"/>
  <c r="AJ609" i="2"/>
  <c r="AK609" i="2"/>
  <c r="R609" i="2"/>
  <c r="S609" i="2"/>
  <c r="AC609" i="2"/>
  <c r="K609" i="2"/>
  <c r="AN609" i="2"/>
  <c r="J609" i="2"/>
  <c r="G609" i="2"/>
  <c r="U609" i="2"/>
  <c r="O609" i="2"/>
  <c r="AM609" i="2"/>
  <c r="P609" i="2"/>
  <c r="AD609" i="2"/>
  <c r="AB609" i="2"/>
  <c r="B611" i="2" l="1"/>
  <c r="AF610" i="2"/>
  <c r="O610" i="2"/>
  <c r="AG610" i="2"/>
  <c r="AN610" i="2"/>
  <c r="AI610" i="2"/>
  <c r="R610" i="2"/>
  <c r="AD610" i="2"/>
  <c r="AE610" i="2"/>
  <c r="AA610" i="2"/>
  <c r="I610" i="2"/>
  <c r="L610" i="2"/>
  <c r="F610" i="2"/>
  <c r="P610" i="2"/>
  <c r="Y610" i="2"/>
  <c r="AO610" i="2"/>
  <c r="M610" i="2"/>
  <c r="C610" i="2"/>
  <c r="J610" i="2"/>
  <c r="Z610" i="2"/>
  <c r="AM610" i="2"/>
  <c r="T610" i="2"/>
  <c r="E610" i="2"/>
  <c r="AC610" i="2"/>
  <c r="AH610" i="2"/>
  <c r="AK610" i="2"/>
  <c r="Q610" i="2"/>
  <c r="W610" i="2"/>
  <c r="AL610" i="2"/>
  <c r="AB610" i="2"/>
  <c r="AJ610" i="2"/>
  <c r="K610" i="2"/>
  <c r="H610" i="2"/>
  <c r="N610" i="2"/>
  <c r="U610" i="2"/>
  <c r="D610" i="2"/>
  <c r="V610" i="2"/>
  <c r="S610" i="2"/>
  <c r="G610" i="2"/>
  <c r="X610" i="2"/>
  <c r="B612" i="2" l="1"/>
  <c r="AO611" i="2"/>
  <c r="O611" i="2"/>
  <c r="AJ611" i="2"/>
  <c r="W611" i="2"/>
  <c r="G611" i="2"/>
  <c r="R611" i="2"/>
  <c r="Z611" i="2"/>
  <c r="AL611" i="2"/>
  <c r="AB611" i="2"/>
  <c r="AC611" i="2"/>
  <c r="AM611" i="2"/>
  <c r="P611" i="2"/>
  <c r="L611" i="2"/>
  <c r="U611" i="2"/>
  <c r="AG611" i="2"/>
  <c r="V611" i="2"/>
  <c r="E611" i="2"/>
  <c r="AN611" i="2"/>
  <c r="AF611" i="2"/>
  <c r="AI611" i="2"/>
  <c r="AA611" i="2"/>
  <c r="S611" i="2"/>
  <c r="T611" i="2"/>
  <c r="D611" i="2"/>
  <c r="H611" i="2"/>
  <c r="AD611" i="2"/>
  <c r="Q611" i="2"/>
  <c r="AK611" i="2"/>
  <c r="X611" i="2"/>
  <c r="Y611" i="2"/>
  <c r="N611" i="2"/>
  <c r="AE611" i="2"/>
  <c r="M611" i="2"/>
  <c r="C611" i="2"/>
  <c r="I611" i="2"/>
  <c r="AH611" i="2"/>
  <c r="J611" i="2"/>
  <c r="K611" i="2"/>
  <c r="F611" i="2"/>
  <c r="B613" i="2" l="1"/>
  <c r="AH612" i="2"/>
  <c r="AI612" i="2"/>
  <c r="C612" i="2"/>
  <c r="G612" i="2"/>
  <c r="P612" i="2"/>
  <c r="U612" i="2"/>
  <c r="S612" i="2"/>
  <c r="AK612" i="2"/>
  <c r="AM612" i="2"/>
  <c r="I612" i="2"/>
  <c r="AG612" i="2"/>
  <c r="V612" i="2"/>
  <c r="D612" i="2"/>
  <c r="O612" i="2"/>
  <c r="Y612" i="2"/>
  <c r="AE612" i="2"/>
  <c r="AC612" i="2"/>
  <c r="AN612" i="2"/>
  <c r="X612" i="2"/>
  <c r="AJ612" i="2"/>
  <c r="Z612" i="2"/>
  <c r="R612" i="2"/>
  <c r="AL612" i="2"/>
  <c r="L612" i="2"/>
  <c r="J612" i="2"/>
  <c r="T612" i="2"/>
  <c r="AA612" i="2"/>
  <c r="AD612" i="2"/>
  <c r="H612" i="2"/>
  <c r="F612" i="2"/>
  <c r="E612" i="2"/>
  <c r="AF612" i="2"/>
  <c r="Q612" i="2"/>
  <c r="K612" i="2"/>
  <c r="M612" i="2"/>
  <c r="AB612" i="2"/>
  <c r="N612" i="2"/>
  <c r="W612" i="2"/>
  <c r="AO612" i="2"/>
  <c r="B614" i="2" l="1"/>
  <c r="I613" i="2"/>
  <c r="P613" i="2"/>
  <c r="W613" i="2"/>
  <c r="AH613" i="2"/>
  <c r="J613" i="2"/>
  <c r="D613" i="2"/>
  <c r="AN613" i="2"/>
  <c r="H613" i="2"/>
  <c r="AG613" i="2"/>
  <c r="O613" i="2"/>
  <c r="S613" i="2"/>
  <c r="N613" i="2"/>
  <c r="AC613" i="2"/>
  <c r="Q613" i="2"/>
  <c r="AD613" i="2"/>
  <c r="AI613" i="2"/>
  <c r="G613" i="2"/>
  <c r="T613" i="2"/>
  <c r="AA613" i="2"/>
  <c r="V613" i="2"/>
  <c r="AO613" i="2"/>
  <c r="AK613" i="2"/>
  <c r="X613" i="2"/>
  <c r="Y613" i="2"/>
  <c r="F613" i="2"/>
  <c r="K613" i="2"/>
  <c r="AL613" i="2"/>
  <c r="Z613" i="2"/>
  <c r="AF613" i="2"/>
  <c r="C613" i="2"/>
  <c r="AM613" i="2"/>
  <c r="E613" i="2"/>
  <c r="L613" i="2"/>
  <c r="M613" i="2"/>
  <c r="AE613" i="2"/>
  <c r="U613" i="2"/>
  <c r="AB613" i="2"/>
  <c r="AJ613" i="2"/>
  <c r="R613" i="2"/>
  <c r="B615" i="2" l="1"/>
  <c r="Z614" i="2"/>
  <c r="T614" i="2"/>
  <c r="AB614" i="2"/>
  <c r="L614" i="2"/>
  <c r="AH614" i="2"/>
  <c r="G614" i="2"/>
  <c r="N614" i="2"/>
  <c r="Y614" i="2"/>
  <c r="AK614" i="2"/>
  <c r="C614" i="2"/>
  <c r="AO614" i="2"/>
  <c r="D614" i="2"/>
  <c r="S614" i="2"/>
  <c r="J614" i="2"/>
  <c r="AJ614" i="2"/>
  <c r="V614" i="2"/>
  <c r="AI614" i="2"/>
  <c r="X614" i="2"/>
  <c r="AE614" i="2"/>
  <c r="H614" i="2"/>
  <c r="AA614" i="2"/>
  <c r="P614" i="2"/>
  <c r="Q614" i="2"/>
  <c r="K614" i="2"/>
  <c r="O614" i="2"/>
  <c r="AF614" i="2"/>
  <c r="W614" i="2"/>
  <c r="F614" i="2"/>
  <c r="R614" i="2"/>
  <c r="M614" i="2"/>
  <c r="AG614" i="2"/>
  <c r="AC614" i="2"/>
  <c r="U614" i="2"/>
  <c r="AM614" i="2"/>
  <c r="AD614" i="2"/>
  <c r="I614" i="2"/>
  <c r="AN614" i="2"/>
  <c r="AL614" i="2"/>
  <c r="E614" i="2"/>
  <c r="B616" i="2" l="1"/>
  <c r="T615" i="2"/>
  <c r="F615" i="2"/>
  <c r="AK615" i="2"/>
  <c r="L615" i="2"/>
  <c r="X615" i="2"/>
  <c r="AL615" i="2"/>
  <c r="AB615" i="2"/>
  <c r="Q615" i="2"/>
  <c r="Z615" i="2"/>
  <c r="H615" i="2"/>
  <c r="V615" i="2"/>
  <c r="AF615" i="2"/>
  <c r="W615" i="2"/>
  <c r="AI615" i="2"/>
  <c r="P615" i="2"/>
  <c r="R615" i="2"/>
  <c r="Y615" i="2"/>
  <c r="AA615" i="2"/>
  <c r="D615" i="2"/>
  <c r="I615" i="2"/>
  <c r="M615" i="2"/>
  <c r="C615" i="2"/>
  <c r="E615" i="2"/>
  <c r="AC615" i="2"/>
  <c r="AH615" i="2"/>
  <c r="AJ615" i="2"/>
  <c r="U615" i="2"/>
  <c r="AG615" i="2"/>
  <c r="O615" i="2"/>
  <c r="AD615" i="2"/>
  <c r="AE615" i="2"/>
  <c r="J615" i="2"/>
  <c r="K615" i="2"/>
  <c r="G615" i="2"/>
  <c r="S615" i="2"/>
  <c r="AN615" i="2"/>
  <c r="AM615" i="2"/>
  <c r="AO615" i="2"/>
  <c r="N615" i="2"/>
  <c r="B617" i="2" l="1"/>
  <c r="H616" i="2"/>
  <c r="L616" i="2"/>
  <c r="AE616" i="2"/>
  <c r="O616" i="2"/>
  <c r="P616" i="2"/>
  <c r="AN616" i="2"/>
  <c r="AB616" i="2"/>
  <c r="E616" i="2"/>
  <c r="AO616" i="2"/>
  <c r="AM616" i="2"/>
  <c r="I616" i="2"/>
  <c r="V616" i="2"/>
  <c r="J616" i="2"/>
  <c r="M616" i="2"/>
  <c r="G616" i="2"/>
  <c r="AC616" i="2"/>
  <c r="AG616" i="2"/>
  <c r="AA616" i="2"/>
  <c r="R616" i="2"/>
  <c r="T616" i="2"/>
  <c r="AI616" i="2"/>
  <c r="Y616" i="2"/>
  <c r="F616" i="2"/>
  <c r="U616" i="2"/>
  <c r="W616" i="2"/>
  <c r="S616" i="2"/>
  <c r="N616" i="2"/>
  <c r="AL616" i="2"/>
  <c r="AJ616" i="2"/>
  <c r="C616" i="2"/>
  <c r="K616" i="2"/>
  <c r="Z616" i="2"/>
  <c r="X616" i="2"/>
  <c r="D616" i="2"/>
  <c r="AH616" i="2"/>
  <c r="Q616" i="2"/>
  <c r="AD616" i="2"/>
  <c r="AF616" i="2"/>
  <c r="AK616" i="2"/>
  <c r="B618" i="2" l="1"/>
  <c r="G617" i="2"/>
  <c r="N617" i="2"/>
  <c r="AJ617" i="2"/>
  <c r="AC617" i="2"/>
  <c r="T617" i="2"/>
  <c r="Z617" i="2"/>
  <c r="W617" i="2"/>
  <c r="AA617" i="2"/>
  <c r="L617" i="2"/>
  <c r="AG617" i="2"/>
  <c r="O617" i="2"/>
  <c r="AL617" i="2"/>
  <c r="D617" i="2"/>
  <c r="R617" i="2"/>
  <c r="AH617" i="2"/>
  <c r="AD617" i="2"/>
  <c r="K617" i="2"/>
  <c r="S617" i="2"/>
  <c r="AI617" i="2"/>
  <c r="AO617" i="2"/>
  <c r="H617" i="2"/>
  <c r="Q617" i="2"/>
  <c r="AK617" i="2"/>
  <c r="V617" i="2"/>
  <c r="I617" i="2"/>
  <c r="AF617" i="2"/>
  <c r="AB617" i="2"/>
  <c r="AE617" i="2"/>
  <c r="J617" i="2"/>
  <c r="Y617" i="2"/>
  <c r="AM617" i="2"/>
  <c r="E617" i="2"/>
  <c r="F617" i="2"/>
  <c r="X617" i="2"/>
  <c r="AN617" i="2"/>
  <c r="U617" i="2"/>
  <c r="P617" i="2"/>
  <c r="M617" i="2"/>
  <c r="C617" i="2"/>
  <c r="B619" i="2" l="1"/>
  <c r="AI618" i="2"/>
  <c r="U618" i="2"/>
  <c r="V618" i="2"/>
  <c r="AB618" i="2"/>
  <c r="W618" i="2"/>
  <c r="O618" i="2"/>
  <c r="X618" i="2"/>
  <c r="N618" i="2"/>
  <c r="L618" i="2"/>
  <c r="AG618" i="2"/>
  <c r="AA618" i="2"/>
  <c r="G618" i="2"/>
  <c r="D618" i="2"/>
  <c r="AF618" i="2"/>
  <c r="E618" i="2"/>
  <c r="P618" i="2"/>
  <c r="AL618" i="2"/>
  <c r="AK618" i="2"/>
  <c r="AJ618" i="2"/>
  <c r="C618" i="2"/>
  <c r="AH618" i="2"/>
  <c r="AD618" i="2"/>
  <c r="H618" i="2"/>
  <c r="T618" i="2"/>
  <c r="AO618" i="2"/>
  <c r="Y618" i="2"/>
  <c r="AC618" i="2"/>
  <c r="AE618" i="2"/>
  <c r="AM618" i="2"/>
  <c r="Z618" i="2"/>
  <c r="I618" i="2"/>
  <c r="K618" i="2"/>
  <c r="S618" i="2"/>
  <c r="AN618" i="2"/>
  <c r="F618" i="2"/>
  <c r="R618" i="2"/>
  <c r="Q618" i="2"/>
  <c r="J618" i="2"/>
  <c r="M618" i="2"/>
  <c r="B620" i="2" l="1"/>
  <c r="AG619" i="2"/>
  <c r="AE619" i="2"/>
  <c r="Q619" i="2"/>
  <c r="L619" i="2"/>
  <c r="H619" i="2"/>
  <c r="U619" i="2"/>
  <c r="AI619" i="2"/>
  <c r="AD619" i="2"/>
  <c r="C619" i="2"/>
  <c r="O619" i="2"/>
  <c r="AB619" i="2"/>
  <c r="S619" i="2"/>
  <c r="T619" i="2"/>
  <c r="AF619" i="2"/>
  <c r="AH619" i="2"/>
  <c r="AK619" i="2"/>
  <c r="K619" i="2"/>
  <c r="F619" i="2"/>
  <c r="N619" i="2"/>
  <c r="AO619" i="2"/>
  <c r="Z619" i="2"/>
  <c r="AA619" i="2"/>
  <c r="E619" i="2"/>
  <c r="Y619" i="2"/>
  <c r="G619" i="2"/>
  <c r="D619" i="2"/>
  <c r="AJ619" i="2"/>
  <c r="AC619" i="2"/>
  <c r="V619" i="2"/>
  <c r="M619" i="2"/>
  <c r="I619" i="2"/>
  <c r="J619" i="2"/>
  <c r="AM619" i="2"/>
  <c r="W619" i="2"/>
  <c r="AN619" i="2"/>
  <c r="X619" i="2"/>
  <c r="AL619" i="2"/>
  <c r="P619" i="2"/>
  <c r="R619" i="2"/>
  <c r="B621" i="2" l="1"/>
  <c r="P620" i="2"/>
  <c r="AB620" i="2"/>
  <c r="G620" i="2"/>
  <c r="AJ620" i="2"/>
  <c r="AE620" i="2"/>
  <c r="D620" i="2"/>
  <c r="AF620" i="2"/>
  <c r="AO620" i="2"/>
  <c r="AM620" i="2"/>
  <c r="F620" i="2"/>
  <c r="AG620" i="2"/>
  <c r="R620" i="2"/>
  <c r="L620" i="2"/>
  <c r="O620" i="2"/>
  <c r="S620" i="2"/>
  <c r="H620" i="2"/>
  <c r="E620" i="2"/>
  <c r="AL620" i="2"/>
  <c r="N620" i="2"/>
  <c r="Z620" i="2"/>
  <c r="AI620" i="2"/>
  <c r="W620" i="2"/>
  <c r="V620" i="2"/>
  <c r="J620" i="2"/>
  <c r="AN620" i="2"/>
  <c r="M620" i="2"/>
  <c r="X620" i="2"/>
  <c r="AA620" i="2"/>
  <c r="AH620" i="2"/>
  <c r="C620" i="2"/>
  <c r="AD620" i="2"/>
  <c r="I620" i="2"/>
  <c r="K620" i="2"/>
  <c r="Q620" i="2"/>
  <c r="U620" i="2"/>
  <c r="AC620" i="2"/>
  <c r="T620" i="2"/>
  <c r="AK620" i="2"/>
  <c r="Y620" i="2"/>
  <c r="B622" i="2" l="1"/>
  <c r="G621" i="2"/>
  <c r="O621" i="2"/>
  <c r="H621" i="2"/>
  <c r="AH621" i="2"/>
  <c r="I621" i="2"/>
  <c r="AM621" i="2"/>
  <c r="AD621" i="2"/>
  <c r="P621" i="2"/>
  <c r="AF621" i="2"/>
  <c r="AO621" i="2"/>
  <c r="AG621" i="2"/>
  <c r="K621" i="2"/>
  <c r="AI621" i="2"/>
  <c r="E621" i="2"/>
  <c r="AE621" i="2"/>
  <c r="R621" i="2"/>
  <c r="AL621" i="2"/>
  <c r="L621" i="2"/>
  <c r="AB621" i="2"/>
  <c r="F621" i="2"/>
  <c r="U621" i="2"/>
  <c r="V621" i="2"/>
  <c r="D621" i="2"/>
  <c r="Q621" i="2"/>
  <c r="AK621" i="2"/>
  <c r="J621" i="2"/>
  <c r="C621" i="2"/>
  <c r="S621" i="2"/>
  <c r="Z621" i="2"/>
  <c r="W621" i="2"/>
  <c r="AJ621" i="2"/>
  <c r="AC621" i="2"/>
  <c r="X621" i="2"/>
  <c r="Y621" i="2"/>
  <c r="N621" i="2"/>
  <c r="AN621" i="2"/>
  <c r="AA621" i="2"/>
  <c r="T621" i="2"/>
  <c r="M621" i="2"/>
  <c r="B623" i="2" l="1"/>
  <c r="AE622" i="2"/>
  <c r="U622" i="2"/>
  <c r="AJ622" i="2"/>
  <c r="Q622" i="2"/>
  <c r="I622" i="2"/>
  <c r="V622" i="2"/>
  <c r="AD622" i="2"/>
  <c r="AA622" i="2"/>
  <c r="Y622" i="2"/>
  <c r="M622" i="2"/>
  <c r="E622" i="2"/>
  <c r="AB622" i="2"/>
  <c r="D622" i="2"/>
  <c r="X622" i="2"/>
  <c r="L622" i="2"/>
  <c r="P622" i="2"/>
  <c r="W622" i="2"/>
  <c r="H622" i="2"/>
  <c r="AG622" i="2"/>
  <c r="AF622" i="2"/>
  <c r="AH622" i="2"/>
  <c r="C622" i="2"/>
  <c r="AO622" i="2"/>
  <c r="G622" i="2"/>
  <c r="F622" i="2"/>
  <c r="AC622" i="2"/>
  <c r="N622" i="2"/>
  <c r="Z622" i="2"/>
  <c r="R622" i="2"/>
  <c r="AI622" i="2"/>
  <c r="AL622" i="2"/>
  <c r="O622" i="2"/>
  <c r="S622" i="2"/>
  <c r="AM622" i="2"/>
  <c r="AK622" i="2"/>
  <c r="T622" i="2"/>
  <c r="AN622" i="2"/>
  <c r="K622" i="2"/>
  <c r="J622" i="2"/>
  <c r="B624" i="2" l="1"/>
  <c r="AJ623" i="2"/>
  <c r="AL623" i="2"/>
  <c r="AD623" i="2"/>
  <c r="AI623" i="2"/>
  <c r="Q623" i="2"/>
  <c r="Y623" i="2"/>
  <c r="AC623" i="2"/>
  <c r="K623" i="2"/>
  <c r="AM623" i="2"/>
  <c r="AF623" i="2"/>
  <c r="W623" i="2"/>
  <c r="M623" i="2"/>
  <c r="P623" i="2"/>
  <c r="G623" i="2"/>
  <c r="V623" i="2"/>
  <c r="H623" i="2"/>
  <c r="AE623" i="2"/>
  <c r="AG623" i="2"/>
  <c r="AH623" i="2"/>
  <c r="D623" i="2"/>
  <c r="AK623" i="2"/>
  <c r="E623" i="2"/>
  <c r="R623" i="2"/>
  <c r="O623" i="2"/>
  <c r="AB623" i="2"/>
  <c r="T623" i="2"/>
  <c r="AO623" i="2"/>
  <c r="Z623" i="2"/>
  <c r="I623" i="2"/>
  <c r="S623" i="2"/>
  <c r="N623" i="2"/>
  <c r="C623" i="2"/>
  <c r="J623" i="2"/>
  <c r="AN623" i="2"/>
  <c r="X623" i="2"/>
  <c r="U623" i="2"/>
  <c r="AA623" i="2"/>
  <c r="L623" i="2"/>
  <c r="F623" i="2"/>
  <c r="B625" i="2" l="1"/>
  <c r="AD624" i="2"/>
  <c r="AC624" i="2"/>
  <c r="AA624" i="2"/>
  <c r="AL624" i="2"/>
  <c r="AI624" i="2"/>
  <c r="K624" i="2"/>
  <c r="R624" i="2"/>
  <c r="L624" i="2"/>
  <c r="AE624" i="2"/>
  <c r="P624" i="2"/>
  <c r="C624" i="2"/>
  <c r="M624" i="2"/>
  <c r="D624" i="2"/>
  <c r="U624" i="2"/>
  <c r="W624" i="2"/>
  <c r="E624" i="2"/>
  <c r="I624" i="2"/>
  <c r="AK624" i="2"/>
  <c r="AO624" i="2"/>
  <c r="V624" i="2"/>
  <c r="G624" i="2"/>
  <c r="O624" i="2"/>
  <c r="Q624" i="2"/>
  <c r="H624" i="2"/>
  <c r="Y624" i="2"/>
  <c r="AM624" i="2"/>
  <c r="AG624" i="2"/>
  <c r="X624" i="2"/>
  <c r="T624" i="2"/>
  <c r="S624" i="2"/>
  <c r="AF624" i="2"/>
  <c r="Z624" i="2"/>
  <c r="AN624" i="2"/>
  <c r="AB624" i="2"/>
  <c r="AH624" i="2"/>
  <c r="AJ624" i="2"/>
  <c r="J624" i="2"/>
  <c r="N624" i="2"/>
  <c r="F624" i="2"/>
  <c r="B626" i="2" l="1"/>
  <c r="AD625" i="2"/>
  <c r="AC625" i="2"/>
  <c r="R625" i="2"/>
  <c r="AE625" i="2"/>
  <c r="L625" i="2"/>
  <c r="AI625" i="2"/>
  <c r="D625" i="2"/>
  <c r="Q625" i="2"/>
  <c r="E625" i="2"/>
  <c r="T625" i="2"/>
  <c r="AN625" i="2"/>
  <c r="M625" i="2"/>
  <c r="AL625" i="2"/>
  <c r="N625" i="2"/>
  <c r="X625" i="2"/>
  <c r="P625" i="2"/>
  <c r="J625" i="2"/>
  <c r="V625" i="2"/>
  <c r="G625" i="2"/>
  <c r="O625" i="2"/>
  <c r="F625" i="2"/>
  <c r="W625" i="2"/>
  <c r="AH625" i="2"/>
  <c r="AF625" i="2"/>
  <c r="S625" i="2"/>
  <c r="K625" i="2"/>
  <c r="AJ625" i="2"/>
  <c r="Z625" i="2"/>
  <c r="AK625" i="2"/>
  <c r="AO625" i="2"/>
  <c r="H625" i="2"/>
  <c r="I625" i="2"/>
  <c r="AB625" i="2"/>
  <c r="AG625" i="2"/>
  <c r="Y625" i="2"/>
  <c r="U625" i="2"/>
  <c r="C625" i="2"/>
  <c r="AM625" i="2"/>
  <c r="AA625" i="2"/>
  <c r="B627" i="2" l="1"/>
  <c r="N626" i="2"/>
  <c r="J626" i="2"/>
  <c r="Y626" i="2"/>
  <c r="S626" i="2"/>
  <c r="X626" i="2"/>
  <c r="AE626" i="2"/>
  <c r="AC626" i="2"/>
  <c r="V626" i="2"/>
  <c r="W626" i="2"/>
  <c r="Z626" i="2"/>
  <c r="R626" i="2"/>
  <c r="AG626" i="2"/>
  <c r="T626" i="2"/>
  <c r="AI626" i="2"/>
  <c r="AB626" i="2"/>
  <c r="C626" i="2"/>
  <c r="AL626" i="2"/>
  <c r="P626" i="2"/>
  <c r="AA626" i="2"/>
  <c r="F626" i="2"/>
  <c r="L626" i="2"/>
  <c r="D626" i="2"/>
  <c r="AF626" i="2"/>
  <c r="AH626" i="2"/>
  <c r="AN626" i="2"/>
  <c r="AK626" i="2"/>
  <c r="M626" i="2"/>
  <c r="H626" i="2"/>
  <c r="U626" i="2"/>
  <c r="I626" i="2"/>
  <c r="O626" i="2"/>
  <c r="AO626" i="2"/>
  <c r="AM626" i="2"/>
  <c r="K626" i="2"/>
  <c r="E626" i="2"/>
  <c r="AD626" i="2"/>
  <c r="Q626" i="2"/>
  <c r="G626" i="2"/>
  <c r="AJ626" i="2"/>
  <c r="B628" i="2" l="1"/>
  <c r="E627" i="2"/>
  <c r="O627" i="2"/>
  <c r="T627" i="2"/>
  <c r="D627" i="2"/>
  <c r="AA627" i="2"/>
  <c r="W627" i="2"/>
  <c r="AO627" i="2"/>
  <c r="AG627" i="2"/>
  <c r="C627" i="2"/>
  <c r="F627" i="2"/>
  <c r="K627" i="2"/>
  <c r="AK627" i="2"/>
  <c r="N627" i="2"/>
  <c r="Q627" i="2"/>
  <c r="AJ627" i="2"/>
  <c r="G627" i="2"/>
  <c r="M627" i="2"/>
  <c r="U627" i="2"/>
  <c r="AC627" i="2"/>
  <c r="L627" i="2"/>
  <c r="V627" i="2"/>
  <c r="AH627" i="2"/>
  <c r="S627" i="2"/>
  <c r="AM627" i="2"/>
  <c r="I627" i="2"/>
  <c r="AD627" i="2"/>
  <c r="AE627" i="2"/>
  <c r="AF627" i="2"/>
  <c r="Z627" i="2"/>
  <c r="R627" i="2"/>
  <c r="P627" i="2"/>
  <c r="AI627" i="2"/>
  <c r="Y627" i="2"/>
  <c r="AN627" i="2"/>
  <c r="X627" i="2"/>
  <c r="AB627" i="2"/>
  <c r="H627" i="2"/>
  <c r="AL627" i="2"/>
  <c r="J627" i="2"/>
  <c r="B629" i="2" l="1"/>
  <c r="D628" i="2"/>
  <c r="G628" i="2"/>
  <c r="O628" i="2"/>
  <c r="T628" i="2"/>
  <c r="R628" i="2"/>
  <c r="AO628" i="2"/>
  <c r="AG628" i="2"/>
  <c r="M628" i="2"/>
  <c r="AH628" i="2"/>
  <c r="AI628" i="2"/>
  <c r="AD628" i="2"/>
  <c r="F628" i="2"/>
  <c r="P628" i="2"/>
  <c r="AB628" i="2"/>
  <c r="N628" i="2"/>
  <c r="AL628" i="2"/>
  <c r="AM628" i="2"/>
  <c r="L628" i="2"/>
  <c r="Z628" i="2"/>
  <c r="E628" i="2"/>
  <c r="U628" i="2"/>
  <c r="AE628" i="2"/>
  <c r="V628" i="2"/>
  <c r="AA628" i="2"/>
  <c r="AJ628" i="2"/>
  <c r="H628" i="2"/>
  <c r="AC628" i="2"/>
  <c r="S628" i="2"/>
  <c r="W628" i="2"/>
  <c r="AF628" i="2"/>
  <c r="X628" i="2"/>
  <c r="AK628" i="2"/>
  <c r="Q628" i="2"/>
  <c r="I628" i="2"/>
  <c r="Y628" i="2"/>
  <c r="K628" i="2"/>
  <c r="C628" i="2"/>
  <c r="J628" i="2"/>
  <c r="AN628" i="2"/>
  <c r="B630" i="2" l="1"/>
  <c r="S629" i="2"/>
  <c r="I629" i="2"/>
  <c r="AD629" i="2"/>
  <c r="AA629" i="2"/>
  <c r="O629" i="2"/>
  <c r="AG629" i="2"/>
  <c r="AK629" i="2"/>
  <c r="N629" i="2"/>
  <c r="AJ629" i="2"/>
  <c r="AH629" i="2"/>
  <c r="V629" i="2"/>
  <c r="C629" i="2"/>
  <c r="H629" i="2"/>
  <c r="U629" i="2"/>
  <c r="AC629" i="2"/>
  <c r="AE629" i="2"/>
  <c r="T629" i="2"/>
  <c r="AL629" i="2"/>
  <c r="K629" i="2"/>
  <c r="Q629" i="2"/>
  <c r="Y629" i="2"/>
  <c r="R629" i="2"/>
  <c r="L629" i="2"/>
  <c r="X629" i="2"/>
  <c r="D629" i="2"/>
  <c r="F629" i="2"/>
  <c r="P629" i="2"/>
  <c r="E629" i="2"/>
  <c r="AF629" i="2"/>
  <c r="AN629" i="2"/>
  <c r="J629" i="2"/>
  <c r="M629" i="2"/>
  <c r="AI629" i="2"/>
  <c r="AM629" i="2"/>
  <c r="G629" i="2"/>
  <c r="AB629" i="2"/>
  <c r="AO629" i="2"/>
  <c r="W629" i="2"/>
  <c r="Z629" i="2"/>
  <c r="B631" i="2" l="1"/>
  <c r="O630" i="2"/>
  <c r="AE630" i="2"/>
  <c r="AO630" i="2"/>
  <c r="U630" i="2"/>
  <c r="R630" i="2"/>
  <c r="L630" i="2"/>
  <c r="Z630" i="2"/>
  <c r="Q630" i="2"/>
  <c r="I630" i="2"/>
  <c r="S630" i="2"/>
  <c r="AD630" i="2"/>
  <c r="W630" i="2"/>
  <c r="C630" i="2"/>
  <c r="AB630" i="2"/>
  <c r="G630" i="2"/>
  <c r="D630" i="2"/>
  <c r="AI630" i="2"/>
  <c r="X630" i="2"/>
  <c r="V630" i="2"/>
  <c r="AA630" i="2"/>
  <c r="AN630" i="2"/>
  <c r="AM630" i="2"/>
  <c r="N630" i="2"/>
  <c r="AC630" i="2"/>
  <c r="J630" i="2"/>
  <c r="AG630" i="2"/>
  <c r="Y630" i="2"/>
  <c r="F630" i="2"/>
  <c r="M630" i="2"/>
  <c r="P630" i="2"/>
  <c r="AH630" i="2"/>
  <c r="AK630" i="2"/>
  <c r="AL630" i="2"/>
  <c r="E630" i="2"/>
  <c r="H630" i="2"/>
  <c r="AJ630" i="2"/>
  <c r="AF630" i="2"/>
  <c r="K630" i="2"/>
  <c r="T630" i="2"/>
  <c r="B632" i="2" l="1"/>
  <c r="E631" i="2"/>
  <c r="J631" i="2"/>
  <c r="F631" i="2"/>
  <c r="L631" i="2"/>
  <c r="W631" i="2"/>
  <c r="AE631" i="2"/>
  <c r="AD631" i="2"/>
  <c r="AM631" i="2"/>
  <c r="H631" i="2"/>
  <c r="AG631" i="2"/>
  <c r="D631" i="2"/>
  <c r="AC631" i="2"/>
  <c r="Y631" i="2"/>
  <c r="AI631" i="2"/>
  <c r="AH631" i="2"/>
  <c r="R631" i="2"/>
  <c r="C631" i="2"/>
  <c r="AO631" i="2"/>
  <c r="V631" i="2"/>
  <c r="N631" i="2"/>
  <c r="M631" i="2"/>
  <c r="T631" i="2"/>
  <c r="AB631" i="2"/>
  <c r="AJ631" i="2"/>
  <c r="Q631" i="2"/>
  <c r="AK631" i="2"/>
  <c r="Z631" i="2"/>
  <c r="AN631" i="2"/>
  <c r="AL631" i="2"/>
  <c r="P631" i="2"/>
  <c r="I631" i="2"/>
  <c r="K631" i="2"/>
  <c r="G631" i="2"/>
  <c r="AA631" i="2"/>
  <c r="X631" i="2"/>
  <c r="AF631" i="2"/>
  <c r="U631" i="2"/>
  <c r="S631" i="2"/>
  <c r="O631" i="2"/>
  <c r="B633" i="2" l="1"/>
  <c r="T632" i="2"/>
  <c r="O632" i="2"/>
  <c r="AF632" i="2"/>
  <c r="F632" i="2"/>
  <c r="AG632" i="2"/>
  <c r="D632" i="2"/>
  <c r="K632" i="2"/>
  <c r="P632" i="2"/>
  <c r="AC632" i="2"/>
  <c r="AL632" i="2"/>
  <c r="AE632" i="2"/>
  <c r="M632" i="2"/>
  <c r="W632" i="2"/>
  <c r="R632" i="2"/>
  <c r="AI632" i="2"/>
  <c r="Y632" i="2"/>
  <c r="H632" i="2"/>
  <c r="V632" i="2"/>
  <c r="AK632" i="2"/>
  <c r="N632" i="2"/>
  <c r="J632" i="2"/>
  <c r="Z632" i="2"/>
  <c r="AN632" i="2"/>
  <c r="AH632" i="2"/>
  <c r="AJ632" i="2"/>
  <c r="G632" i="2"/>
  <c r="E632" i="2"/>
  <c r="AO632" i="2"/>
  <c r="AA632" i="2"/>
  <c r="AM632" i="2"/>
  <c r="U632" i="2"/>
  <c r="C632" i="2"/>
  <c r="L632" i="2"/>
  <c r="Q632" i="2"/>
  <c r="AD632" i="2"/>
  <c r="I632" i="2"/>
  <c r="X632" i="2"/>
  <c r="AB632" i="2"/>
  <c r="S632" i="2"/>
  <c r="B634" i="2" l="1"/>
  <c r="R633" i="2"/>
  <c r="G633" i="2"/>
  <c r="J633" i="2"/>
  <c r="O633" i="2"/>
  <c r="T633" i="2"/>
  <c r="I633" i="2"/>
  <c r="Z633" i="2"/>
  <c r="AN633" i="2"/>
  <c r="AB633" i="2"/>
  <c r="AD633" i="2"/>
  <c r="AL633" i="2"/>
  <c r="AO633" i="2"/>
  <c r="L633" i="2"/>
  <c r="E633" i="2"/>
  <c r="AE633" i="2"/>
  <c r="Y633" i="2"/>
  <c r="N633" i="2"/>
  <c r="AF633" i="2"/>
  <c r="AG633" i="2"/>
  <c r="S633" i="2"/>
  <c r="F633" i="2"/>
  <c r="Q633" i="2"/>
  <c r="U633" i="2"/>
  <c r="W633" i="2"/>
  <c r="D633" i="2"/>
  <c r="H633" i="2"/>
  <c r="AH633" i="2"/>
  <c r="X633" i="2"/>
  <c r="P633" i="2"/>
  <c r="AI633" i="2"/>
  <c r="V633" i="2"/>
  <c r="AJ633" i="2"/>
  <c r="AM633" i="2"/>
  <c r="K633" i="2"/>
  <c r="AC633" i="2"/>
  <c r="C633" i="2"/>
  <c r="AA633" i="2"/>
  <c r="AK633" i="2"/>
  <c r="M633" i="2"/>
  <c r="B635" i="2" l="1"/>
  <c r="U634" i="2"/>
  <c r="H634" i="2"/>
  <c r="S634" i="2"/>
  <c r="I634" i="2"/>
  <c r="AM634" i="2"/>
  <c r="P634" i="2"/>
  <c r="C634" i="2"/>
  <c r="O634" i="2"/>
  <c r="AJ634" i="2"/>
  <c r="Y634" i="2"/>
  <c r="AL634" i="2"/>
  <c r="T634" i="2"/>
  <c r="AA634" i="2"/>
  <c r="X634" i="2"/>
  <c r="K634" i="2"/>
  <c r="AE634" i="2"/>
  <c r="F634" i="2"/>
  <c r="R634" i="2"/>
  <c r="AO634" i="2"/>
  <c r="V634" i="2"/>
  <c r="AB634" i="2"/>
  <c r="M634" i="2"/>
  <c r="AH634" i="2"/>
  <c r="AG634" i="2"/>
  <c r="Z634" i="2"/>
  <c r="E634" i="2"/>
  <c r="AN634" i="2"/>
  <c r="AD634" i="2"/>
  <c r="AK634" i="2"/>
  <c r="AC634" i="2"/>
  <c r="Q634" i="2"/>
  <c r="L634" i="2"/>
  <c r="J634" i="2"/>
  <c r="N634" i="2"/>
  <c r="AI634" i="2"/>
  <c r="G634" i="2"/>
  <c r="AF634" i="2"/>
  <c r="W634" i="2"/>
  <c r="D634" i="2"/>
  <c r="B636" i="2" l="1"/>
  <c r="AC635" i="2"/>
  <c r="AH635" i="2"/>
  <c r="D635" i="2"/>
  <c r="AO635" i="2"/>
  <c r="AF635" i="2"/>
  <c r="AG635" i="2"/>
  <c r="J635" i="2"/>
  <c r="AA635" i="2"/>
  <c r="L635" i="2"/>
  <c r="E635" i="2"/>
  <c r="M635" i="2"/>
  <c r="O635" i="2"/>
  <c r="AN635" i="2"/>
  <c r="C635" i="2"/>
  <c r="Q635" i="2"/>
  <c r="X635" i="2"/>
  <c r="AB635" i="2"/>
  <c r="Y635" i="2"/>
  <c r="G635" i="2"/>
  <c r="AD635" i="2"/>
  <c r="AE635" i="2"/>
  <c r="T635" i="2"/>
  <c r="F635" i="2"/>
  <c r="H635" i="2"/>
  <c r="Z635" i="2"/>
  <c r="I635" i="2"/>
  <c r="K635" i="2"/>
  <c r="V635" i="2"/>
  <c r="AI635" i="2"/>
  <c r="R635" i="2"/>
  <c r="AL635" i="2"/>
  <c r="N635" i="2"/>
  <c r="AM635" i="2"/>
  <c r="U635" i="2"/>
  <c r="P635" i="2"/>
  <c r="AK635" i="2"/>
  <c r="W635" i="2"/>
  <c r="S635" i="2"/>
  <c r="AJ635" i="2"/>
  <c r="B637" i="2" l="1"/>
  <c r="AD636" i="2"/>
  <c r="Q636" i="2"/>
  <c r="AK636" i="2"/>
  <c r="F636" i="2"/>
  <c r="AM636" i="2"/>
  <c r="N636" i="2"/>
  <c r="R636" i="2"/>
  <c r="D636" i="2"/>
  <c r="AH636" i="2"/>
  <c r="AA636" i="2"/>
  <c r="Z636" i="2"/>
  <c r="AL636" i="2"/>
  <c r="L636" i="2"/>
  <c r="G636" i="2"/>
  <c r="AN636" i="2"/>
  <c r="M636" i="2"/>
  <c r="X636" i="2"/>
  <c r="AC636" i="2"/>
  <c r="Y636" i="2"/>
  <c r="H636" i="2"/>
  <c r="C636" i="2"/>
  <c r="U636" i="2"/>
  <c r="AI636" i="2"/>
  <c r="AE636" i="2"/>
  <c r="AF636" i="2"/>
  <c r="T636" i="2"/>
  <c r="V636" i="2"/>
  <c r="AB636" i="2"/>
  <c r="O636" i="2"/>
  <c r="S636" i="2"/>
  <c r="P636" i="2"/>
  <c r="W636" i="2"/>
  <c r="AO636" i="2"/>
  <c r="AJ636" i="2"/>
  <c r="E636" i="2"/>
  <c r="K636" i="2"/>
  <c r="I636" i="2"/>
  <c r="J636" i="2"/>
  <c r="AG636" i="2"/>
  <c r="B638" i="2" l="1"/>
  <c r="F637" i="2"/>
  <c r="O637" i="2"/>
  <c r="X637" i="2"/>
  <c r="D637" i="2"/>
  <c r="Z637" i="2"/>
  <c r="AL637" i="2"/>
  <c r="AA637" i="2"/>
  <c r="AM637" i="2"/>
  <c r="AE637" i="2"/>
  <c r="Y637" i="2"/>
  <c r="AI637" i="2"/>
  <c r="AK637" i="2"/>
  <c r="T637" i="2"/>
  <c r="L637" i="2"/>
  <c r="AB637" i="2"/>
  <c r="V637" i="2"/>
  <c r="C637" i="2"/>
  <c r="AO637" i="2"/>
  <c r="U637" i="2"/>
  <c r="K637" i="2"/>
  <c r="AD637" i="2"/>
  <c r="Q637" i="2"/>
  <c r="W637" i="2"/>
  <c r="AH637" i="2"/>
  <c r="P637" i="2"/>
  <c r="G637" i="2"/>
  <c r="E637" i="2"/>
  <c r="AG637" i="2"/>
  <c r="R637" i="2"/>
  <c r="M637" i="2"/>
  <c r="AC637" i="2"/>
  <c r="AF637" i="2"/>
  <c r="AJ637" i="2"/>
  <c r="H637" i="2"/>
  <c r="J637" i="2"/>
  <c r="S637" i="2"/>
  <c r="N637" i="2"/>
  <c r="AN637" i="2"/>
  <c r="I637" i="2"/>
  <c r="B639" i="2" l="1"/>
  <c r="AL638" i="2"/>
  <c r="AG638" i="2"/>
  <c r="V638" i="2"/>
  <c r="C638" i="2"/>
  <c r="W638" i="2"/>
  <c r="E638" i="2"/>
  <c r="Y638" i="2"/>
  <c r="M638" i="2"/>
  <c r="F638" i="2"/>
  <c r="AA638" i="2"/>
  <c r="I638" i="2"/>
  <c r="H638" i="2"/>
  <c r="S638" i="2"/>
  <c r="AD638" i="2"/>
  <c r="AM638" i="2"/>
  <c r="AH638" i="2"/>
  <c r="K638" i="2"/>
  <c r="O638" i="2"/>
  <c r="AE638" i="2"/>
  <c r="AF638" i="2"/>
  <c r="Z638" i="2"/>
  <c r="AC638" i="2"/>
  <c r="X638" i="2"/>
  <c r="U638" i="2"/>
  <c r="AI638" i="2"/>
  <c r="AO638" i="2"/>
  <c r="AJ638" i="2"/>
  <c r="R638" i="2"/>
  <c r="Q638" i="2"/>
  <c r="AB638" i="2"/>
  <c r="AN638" i="2"/>
  <c r="P638" i="2"/>
  <c r="AK638" i="2"/>
  <c r="D638" i="2"/>
  <c r="T638" i="2"/>
  <c r="L638" i="2"/>
  <c r="N638" i="2"/>
  <c r="G638" i="2"/>
  <c r="J638" i="2"/>
  <c r="B640" i="2" l="1"/>
  <c r="AA639" i="2"/>
  <c r="R639" i="2"/>
  <c r="I639" i="2"/>
  <c r="AB639" i="2"/>
  <c r="AG639" i="2"/>
  <c r="H639" i="2"/>
  <c r="V639" i="2"/>
  <c r="K639" i="2"/>
  <c r="AI639" i="2"/>
  <c r="Q639" i="2"/>
  <c r="N639" i="2"/>
  <c r="Z639" i="2"/>
  <c r="J639" i="2"/>
  <c r="W639" i="2"/>
  <c r="AO639" i="2"/>
  <c r="P639" i="2"/>
  <c r="AH639" i="2"/>
  <c r="G639" i="2"/>
  <c r="AJ639" i="2"/>
  <c r="AC639" i="2"/>
  <c r="M639" i="2"/>
  <c r="D639" i="2"/>
  <c r="AD639" i="2"/>
  <c r="AK639" i="2"/>
  <c r="O639" i="2"/>
  <c r="AN639" i="2"/>
  <c r="C639" i="2"/>
  <c r="AF639" i="2"/>
  <c r="S639" i="2"/>
  <c r="E639" i="2"/>
  <c r="Y639" i="2"/>
  <c r="AM639" i="2"/>
  <c r="T639" i="2"/>
  <c r="U639" i="2"/>
  <c r="F639" i="2"/>
  <c r="AL639" i="2"/>
  <c r="AE639" i="2"/>
  <c r="L639" i="2"/>
  <c r="X639" i="2"/>
  <c r="B641" i="2" l="1"/>
  <c r="V640" i="2"/>
  <c r="AC640" i="2"/>
  <c r="AM640" i="2"/>
  <c r="W640" i="2"/>
  <c r="AF640" i="2"/>
  <c r="L640" i="2"/>
  <c r="E640" i="2"/>
  <c r="R640" i="2"/>
  <c r="AK640" i="2"/>
  <c r="H640" i="2"/>
  <c r="G640" i="2"/>
  <c r="J640" i="2"/>
  <c r="T640" i="2"/>
  <c r="Z640" i="2"/>
  <c r="AO640" i="2"/>
  <c r="M640" i="2"/>
  <c r="C640" i="2"/>
  <c r="X640" i="2"/>
  <c r="AG640" i="2"/>
  <c r="AI640" i="2"/>
  <c r="AL640" i="2"/>
  <c r="F640" i="2"/>
  <c r="O640" i="2"/>
  <c r="AB640" i="2"/>
  <c r="AA640" i="2"/>
  <c r="U640" i="2"/>
  <c r="Y640" i="2"/>
  <c r="I640" i="2"/>
  <c r="AH640" i="2"/>
  <c r="AE640" i="2"/>
  <c r="P640" i="2"/>
  <c r="K640" i="2"/>
  <c r="N640" i="2"/>
  <c r="S640" i="2"/>
  <c r="D640" i="2"/>
  <c r="AJ640" i="2"/>
  <c r="Q640" i="2"/>
  <c r="AD640" i="2"/>
  <c r="AN640" i="2"/>
  <c r="B642" i="2" l="1"/>
  <c r="V641" i="2"/>
  <c r="AG641" i="2"/>
  <c r="T641" i="2"/>
  <c r="L641" i="2"/>
  <c r="G641" i="2"/>
  <c r="H641" i="2"/>
  <c r="AB641" i="2"/>
  <c r="F641" i="2"/>
  <c r="D641" i="2"/>
  <c r="X641" i="2"/>
  <c r="AD641" i="2"/>
  <c r="Z641" i="2"/>
  <c r="AN641" i="2"/>
  <c r="AE641" i="2"/>
  <c r="U641" i="2"/>
  <c r="C641" i="2"/>
  <c r="P641" i="2"/>
  <c r="AI641" i="2"/>
  <c r="E641" i="2"/>
  <c r="O641" i="2"/>
  <c r="N641" i="2"/>
  <c r="J641" i="2"/>
  <c r="W641" i="2"/>
  <c r="AC641" i="2"/>
  <c r="AF641" i="2"/>
  <c r="AM641" i="2"/>
  <c r="K641" i="2"/>
  <c r="AA641" i="2"/>
  <c r="AH641" i="2"/>
  <c r="AK641" i="2"/>
  <c r="M641" i="2"/>
  <c r="R641" i="2"/>
  <c r="Y641" i="2"/>
  <c r="AJ641" i="2"/>
  <c r="Q641" i="2"/>
  <c r="AO641" i="2"/>
  <c r="I641" i="2"/>
  <c r="AL641" i="2"/>
  <c r="S641" i="2"/>
  <c r="B643" i="2" l="1"/>
  <c r="AB642" i="2"/>
  <c r="AI642" i="2"/>
  <c r="AN642" i="2"/>
  <c r="X642" i="2"/>
  <c r="C642" i="2"/>
  <c r="W642" i="2"/>
  <c r="E642" i="2"/>
  <c r="G642" i="2"/>
  <c r="K642" i="2"/>
  <c r="T642" i="2"/>
  <c r="Y642" i="2"/>
  <c r="AJ642" i="2"/>
  <c r="AE642" i="2"/>
  <c r="AL642" i="2"/>
  <c r="AM642" i="2"/>
  <c r="AH642" i="2"/>
  <c r="O642" i="2"/>
  <c r="Q642" i="2"/>
  <c r="AC642" i="2"/>
  <c r="AD642" i="2"/>
  <c r="AG642" i="2"/>
  <c r="D642" i="2"/>
  <c r="L642" i="2"/>
  <c r="N642" i="2"/>
  <c r="P642" i="2"/>
  <c r="AA642" i="2"/>
  <c r="J642" i="2"/>
  <c r="Z642" i="2"/>
  <c r="V642" i="2"/>
  <c r="U642" i="2"/>
  <c r="F642" i="2"/>
  <c r="M642" i="2"/>
  <c r="R642" i="2"/>
  <c r="AO642" i="2"/>
  <c r="AF642" i="2"/>
  <c r="I642" i="2"/>
  <c r="AK642" i="2"/>
  <c r="H642" i="2"/>
  <c r="S642" i="2"/>
  <c r="B644" i="2" l="1"/>
  <c r="AO643" i="2"/>
  <c r="F643" i="2"/>
  <c r="H643" i="2"/>
  <c r="M643" i="2"/>
  <c r="Z643" i="2"/>
  <c r="AK643" i="2"/>
  <c r="AL643" i="2"/>
  <c r="N643" i="2"/>
  <c r="AH643" i="2"/>
  <c r="J643" i="2"/>
  <c r="W643" i="2"/>
  <c r="G643" i="2"/>
  <c r="P643" i="2"/>
  <c r="AD643" i="2"/>
  <c r="T643" i="2"/>
  <c r="U643" i="2"/>
  <c r="AB643" i="2"/>
  <c r="D643" i="2"/>
  <c r="AE643" i="2"/>
  <c r="AI643" i="2"/>
  <c r="V643" i="2"/>
  <c r="L643" i="2"/>
  <c r="R643" i="2"/>
  <c r="K643" i="2"/>
  <c r="E643" i="2"/>
  <c r="AG643" i="2"/>
  <c r="Q643" i="2"/>
  <c r="AA643" i="2"/>
  <c r="AF643" i="2"/>
  <c r="AJ643" i="2"/>
  <c r="O643" i="2"/>
  <c r="I643" i="2"/>
  <c r="S643" i="2"/>
  <c r="X643" i="2"/>
  <c r="AN643" i="2"/>
  <c r="AM643" i="2"/>
  <c r="Y643" i="2"/>
  <c r="C643" i="2"/>
  <c r="AC643" i="2"/>
  <c r="B645" i="2" l="1"/>
  <c r="K644" i="2"/>
  <c r="AN644" i="2"/>
  <c r="AI644" i="2"/>
  <c r="AO644" i="2"/>
  <c r="AK644" i="2"/>
  <c r="I644" i="2"/>
  <c r="C644" i="2"/>
  <c r="O644" i="2"/>
  <c r="Z644" i="2"/>
  <c r="G644" i="2"/>
  <c r="D644" i="2"/>
  <c r="AE644" i="2"/>
  <c r="E644" i="2"/>
  <c r="AL644" i="2"/>
  <c r="AF644" i="2"/>
  <c r="AG644" i="2"/>
  <c r="M644" i="2"/>
  <c r="AD644" i="2"/>
  <c r="AB644" i="2"/>
  <c r="AH644" i="2"/>
  <c r="H644" i="2"/>
  <c r="R644" i="2"/>
  <c r="U644" i="2"/>
  <c r="AM644" i="2"/>
  <c r="AJ644" i="2"/>
  <c r="T644" i="2"/>
  <c r="AC644" i="2"/>
  <c r="F644" i="2"/>
  <c r="S644" i="2"/>
  <c r="Y644" i="2"/>
  <c r="N644" i="2"/>
  <c r="P644" i="2"/>
  <c r="V644" i="2"/>
  <c r="W644" i="2"/>
  <c r="L644" i="2"/>
  <c r="Q644" i="2"/>
  <c r="J644" i="2"/>
  <c r="X644" i="2"/>
  <c r="AA644" i="2"/>
  <c r="B646" i="2" l="1"/>
  <c r="D645" i="2"/>
  <c r="C645" i="2"/>
  <c r="T645" i="2"/>
  <c r="M645" i="2"/>
  <c r="G645" i="2"/>
  <c r="R645" i="2"/>
  <c r="AC645" i="2"/>
  <c r="AL645" i="2"/>
  <c r="J645" i="2"/>
  <c r="Y645" i="2"/>
  <c r="K645" i="2"/>
  <c r="O645" i="2"/>
  <c r="P645" i="2"/>
  <c r="AJ645" i="2"/>
  <c r="V645" i="2"/>
  <c r="AF645" i="2"/>
  <c r="AH645" i="2"/>
  <c r="L645" i="2"/>
  <c r="E645" i="2"/>
  <c r="AK645" i="2"/>
  <c r="H645" i="2"/>
  <c r="AE645" i="2"/>
  <c r="U645" i="2"/>
  <c r="AB645" i="2"/>
  <c r="AN645" i="2"/>
  <c r="I645" i="2"/>
  <c r="AO645" i="2"/>
  <c r="S645" i="2"/>
  <c r="AA645" i="2"/>
  <c r="AI645" i="2"/>
  <c r="AM645" i="2"/>
  <c r="W645" i="2"/>
  <c r="AD645" i="2"/>
  <c r="AG645" i="2"/>
  <c r="Q645" i="2"/>
  <c r="X645" i="2"/>
  <c r="F645" i="2"/>
  <c r="N645" i="2"/>
  <c r="Z645" i="2"/>
  <c r="B647" i="2" l="1"/>
  <c r="Y646" i="2"/>
  <c r="AA646" i="2"/>
  <c r="I646" i="2"/>
  <c r="P646" i="2"/>
  <c r="AJ646" i="2"/>
  <c r="W646" i="2"/>
  <c r="X646" i="2"/>
  <c r="H646" i="2"/>
  <c r="Q646" i="2"/>
  <c r="AG646" i="2"/>
  <c r="K646" i="2"/>
  <c r="AO646" i="2"/>
  <c r="AH646" i="2"/>
  <c r="O646" i="2"/>
  <c r="AD646" i="2"/>
  <c r="L646" i="2"/>
  <c r="Z646" i="2"/>
  <c r="AC646" i="2"/>
  <c r="C646" i="2"/>
  <c r="M646" i="2"/>
  <c r="N646" i="2"/>
  <c r="AF646" i="2"/>
  <c r="AB646" i="2"/>
  <c r="AN646" i="2"/>
  <c r="T646" i="2"/>
  <c r="U646" i="2"/>
  <c r="V646" i="2"/>
  <c r="R646" i="2"/>
  <c r="D646" i="2"/>
  <c r="J646" i="2"/>
  <c r="F646" i="2"/>
  <c r="G646" i="2"/>
  <c r="AE646" i="2"/>
  <c r="AM646" i="2"/>
  <c r="AI646" i="2"/>
  <c r="E646" i="2"/>
  <c r="AL646" i="2"/>
  <c r="AK646" i="2"/>
  <c r="S646" i="2"/>
  <c r="B648" i="2" l="1"/>
  <c r="Y647" i="2"/>
  <c r="AL647" i="2"/>
  <c r="Z647" i="2"/>
  <c r="AH647" i="2"/>
  <c r="AA647" i="2"/>
  <c r="AM647" i="2"/>
  <c r="T647" i="2"/>
  <c r="X647" i="2"/>
  <c r="AC647" i="2"/>
  <c r="L647" i="2"/>
  <c r="AJ647" i="2"/>
  <c r="AK647" i="2"/>
  <c r="S647" i="2"/>
  <c r="E647" i="2"/>
  <c r="AO647" i="2"/>
  <c r="V647" i="2"/>
  <c r="Q647" i="2"/>
  <c r="C647" i="2"/>
  <c r="M647" i="2"/>
  <c r="P647" i="2"/>
  <c r="F647" i="2"/>
  <c r="R647" i="2"/>
  <c r="D647" i="2"/>
  <c r="O647" i="2"/>
  <c r="AB647" i="2"/>
  <c r="J647" i="2"/>
  <c r="W647" i="2"/>
  <c r="AN647" i="2"/>
  <c r="U647" i="2"/>
  <c r="K647" i="2"/>
  <c r="N647" i="2"/>
  <c r="H647" i="2"/>
  <c r="AE647" i="2"/>
  <c r="I647" i="2"/>
  <c r="AF647" i="2"/>
  <c r="G647" i="2"/>
  <c r="AG647" i="2"/>
  <c r="AD647" i="2"/>
  <c r="AI647" i="2"/>
  <c r="B649" i="2" l="1"/>
  <c r="S648" i="2"/>
  <c r="U648" i="2"/>
  <c r="AG648" i="2"/>
  <c r="AA648" i="2"/>
  <c r="AC648" i="2"/>
  <c r="AB648" i="2"/>
  <c r="AH648" i="2"/>
  <c r="Y648" i="2"/>
  <c r="J648" i="2"/>
  <c r="M648" i="2"/>
  <c r="AI648" i="2"/>
  <c r="AE648" i="2"/>
  <c r="L648" i="2"/>
  <c r="AN648" i="2"/>
  <c r="F648" i="2"/>
  <c r="AO648" i="2"/>
  <c r="N648" i="2"/>
  <c r="H648" i="2"/>
  <c r="C648" i="2"/>
  <c r="D648" i="2"/>
  <c r="O648" i="2"/>
  <c r="AL648" i="2"/>
  <c r="AD648" i="2"/>
  <c r="AM648" i="2"/>
  <c r="P648" i="2"/>
  <c r="AJ648" i="2"/>
  <c r="I648" i="2"/>
  <c r="R648" i="2"/>
  <c r="X648" i="2"/>
  <c r="K648" i="2"/>
  <c r="Z648" i="2"/>
  <c r="E648" i="2"/>
  <c r="T648" i="2"/>
  <c r="G648" i="2"/>
  <c r="AF648" i="2"/>
  <c r="Q648" i="2"/>
  <c r="AK648" i="2"/>
  <c r="W648" i="2"/>
  <c r="V648" i="2"/>
  <c r="B650" i="2" l="1"/>
  <c r="S649" i="2"/>
  <c r="AH649" i="2"/>
  <c r="AE649" i="2"/>
  <c r="AN649" i="2"/>
  <c r="AF649" i="2"/>
  <c r="M649" i="2"/>
  <c r="AO649" i="2"/>
  <c r="Y649" i="2"/>
  <c r="W649" i="2"/>
  <c r="R649" i="2"/>
  <c r="AM649" i="2"/>
  <c r="AG649" i="2"/>
  <c r="Z649" i="2"/>
  <c r="E649" i="2"/>
  <c r="AA649" i="2"/>
  <c r="F649" i="2"/>
  <c r="T649" i="2"/>
  <c r="N649" i="2"/>
  <c r="P649" i="2"/>
  <c r="O649" i="2"/>
  <c r="J649" i="2"/>
  <c r="C649" i="2"/>
  <c r="X649" i="2"/>
  <c r="D649" i="2"/>
  <c r="K649" i="2"/>
  <c r="V649" i="2"/>
  <c r="AD649" i="2"/>
  <c r="AC649" i="2"/>
  <c r="G649" i="2"/>
  <c r="H649" i="2"/>
  <c r="AL649" i="2"/>
  <c r="L649" i="2"/>
  <c r="AB649" i="2"/>
  <c r="AJ649" i="2"/>
  <c r="I649" i="2"/>
  <c r="U649" i="2"/>
  <c r="Q649" i="2"/>
  <c r="AI649" i="2"/>
  <c r="AK649" i="2"/>
  <c r="B651" i="2" l="1"/>
  <c r="G650" i="2"/>
  <c r="AA650" i="2"/>
  <c r="AD650" i="2"/>
  <c r="J650" i="2"/>
  <c r="U650" i="2"/>
  <c r="AG650" i="2"/>
  <c r="AM650" i="2"/>
  <c r="AN650" i="2"/>
  <c r="L650" i="2"/>
  <c r="N650" i="2"/>
  <c r="AH650" i="2"/>
  <c r="Y650" i="2"/>
  <c r="Z650" i="2"/>
  <c r="S650" i="2"/>
  <c r="W650" i="2"/>
  <c r="AO650" i="2"/>
  <c r="AF650" i="2"/>
  <c r="X650" i="2"/>
  <c r="F650" i="2"/>
  <c r="AJ650" i="2"/>
  <c r="AI650" i="2"/>
  <c r="AL650" i="2"/>
  <c r="K650" i="2"/>
  <c r="AK650" i="2"/>
  <c r="H650" i="2"/>
  <c r="E650" i="2"/>
  <c r="R650" i="2"/>
  <c r="T650" i="2"/>
  <c r="D650" i="2"/>
  <c r="P650" i="2"/>
  <c r="Q650" i="2"/>
  <c r="AB650" i="2"/>
  <c r="AE650" i="2"/>
  <c r="I650" i="2"/>
  <c r="AC650" i="2"/>
  <c r="C650" i="2"/>
  <c r="M650" i="2"/>
  <c r="O650" i="2"/>
  <c r="V650" i="2"/>
  <c r="B652" i="2" l="1"/>
  <c r="E651" i="2"/>
  <c r="P651" i="2"/>
  <c r="AG651" i="2"/>
  <c r="J651" i="2"/>
  <c r="AH651" i="2"/>
  <c r="AK651" i="2"/>
  <c r="K651" i="2"/>
  <c r="AC651" i="2"/>
  <c r="AE651" i="2"/>
  <c r="AO651" i="2"/>
  <c r="AN651" i="2"/>
  <c r="G651" i="2"/>
  <c r="AB651" i="2"/>
  <c r="M651" i="2"/>
  <c r="Z651" i="2"/>
  <c r="V651" i="2"/>
  <c r="C651" i="2"/>
  <c r="AA651" i="2"/>
  <c r="AJ651" i="2"/>
  <c r="X651" i="2"/>
  <c r="Y651" i="2"/>
  <c r="Q651" i="2"/>
  <c r="S651" i="2"/>
  <c r="L651" i="2"/>
  <c r="D651" i="2"/>
  <c r="N651" i="2"/>
  <c r="O651" i="2"/>
  <c r="W651" i="2"/>
  <c r="AF651" i="2"/>
  <c r="R651" i="2"/>
  <c r="U651" i="2"/>
  <c r="I651" i="2"/>
  <c r="AM651" i="2"/>
  <c r="AL651" i="2"/>
  <c r="T651" i="2"/>
  <c r="H651" i="2"/>
  <c r="AD651" i="2"/>
  <c r="AI651" i="2"/>
  <c r="F651" i="2"/>
  <c r="B653" i="2" l="1"/>
  <c r="F652" i="2"/>
  <c r="AK652" i="2"/>
  <c r="S652" i="2"/>
  <c r="N652" i="2"/>
  <c r="T652" i="2"/>
  <c r="AH652" i="2"/>
  <c r="AN652" i="2"/>
  <c r="AE652" i="2"/>
  <c r="AC652" i="2"/>
  <c r="AM652" i="2"/>
  <c r="K652" i="2"/>
  <c r="W652" i="2"/>
  <c r="P652" i="2"/>
  <c r="AF652" i="2"/>
  <c r="AD652" i="2"/>
  <c r="D652" i="2"/>
  <c r="AI652" i="2"/>
  <c r="L652" i="2"/>
  <c r="H652" i="2"/>
  <c r="AO652" i="2"/>
  <c r="C652" i="2"/>
  <c r="X652" i="2"/>
  <c r="AG652" i="2"/>
  <c r="G652" i="2"/>
  <c r="R652" i="2"/>
  <c r="Q652" i="2"/>
  <c r="O652" i="2"/>
  <c r="M652" i="2"/>
  <c r="E652" i="2"/>
  <c r="AA652" i="2"/>
  <c r="U652" i="2"/>
  <c r="Z652" i="2"/>
  <c r="I652" i="2"/>
  <c r="AB652" i="2"/>
  <c r="J652" i="2"/>
  <c r="Y652" i="2"/>
  <c r="AJ652" i="2"/>
  <c r="AL652" i="2"/>
  <c r="V652" i="2"/>
  <c r="B654" i="2" l="1"/>
  <c r="E653" i="2"/>
  <c r="N653" i="2"/>
  <c r="AF653" i="2"/>
  <c r="AL653" i="2"/>
  <c r="K653" i="2"/>
  <c r="T653" i="2"/>
  <c r="O653" i="2"/>
  <c r="AB653" i="2"/>
  <c r="AE653" i="2"/>
  <c r="U653" i="2"/>
  <c r="Z653" i="2"/>
  <c r="S653" i="2"/>
  <c r="AI653" i="2"/>
  <c r="AH653" i="2"/>
  <c r="X653" i="2"/>
  <c r="AD653" i="2"/>
  <c r="AM653" i="2"/>
  <c r="F653" i="2"/>
  <c r="D653" i="2"/>
  <c r="R653" i="2"/>
  <c r="J653" i="2"/>
  <c r="AN653" i="2"/>
  <c r="P653" i="2"/>
  <c r="AO653" i="2"/>
  <c r="AC653" i="2"/>
  <c r="AJ653" i="2"/>
  <c r="G653" i="2"/>
  <c r="AA653" i="2"/>
  <c r="H653" i="2"/>
  <c r="Q653" i="2"/>
  <c r="W653" i="2"/>
  <c r="Y653" i="2"/>
  <c r="L653" i="2"/>
  <c r="AG653" i="2"/>
  <c r="AK653" i="2"/>
  <c r="M653" i="2"/>
  <c r="C653" i="2"/>
  <c r="V653" i="2"/>
  <c r="I653" i="2"/>
  <c r="B655" i="2" l="1"/>
  <c r="Y654" i="2"/>
  <c r="AH654" i="2"/>
  <c r="C654" i="2"/>
  <c r="T654" i="2"/>
  <c r="AB654" i="2"/>
  <c r="AC654" i="2"/>
  <c r="AI654" i="2"/>
  <c r="AO654" i="2"/>
  <c r="I654" i="2"/>
  <c r="N654" i="2"/>
  <c r="AM654" i="2"/>
  <c r="W654" i="2"/>
  <c r="AJ654" i="2"/>
  <c r="R654" i="2"/>
  <c r="AA654" i="2"/>
  <c r="Q654" i="2"/>
  <c r="S654" i="2"/>
  <c r="M654" i="2"/>
  <c r="F654" i="2"/>
  <c r="AD654" i="2"/>
  <c r="AN654" i="2"/>
  <c r="L654" i="2"/>
  <c r="AG654" i="2"/>
  <c r="AK654" i="2"/>
  <c r="AL654" i="2"/>
  <c r="AF654" i="2"/>
  <c r="O654" i="2"/>
  <c r="U654" i="2"/>
  <c r="G654" i="2"/>
  <c r="AE654" i="2"/>
  <c r="V654" i="2"/>
  <c r="K654" i="2"/>
  <c r="P654" i="2"/>
  <c r="Z654" i="2"/>
  <c r="E654" i="2"/>
  <c r="X654" i="2"/>
  <c r="H654" i="2"/>
  <c r="D654" i="2"/>
  <c r="J654" i="2"/>
  <c r="B656" i="2" l="1"/>
  <c r="AO655" i="2"/>
  <c r="P655" i="2"/>
  <c r="U655" i="2"/>
  <c r="AG655" i="2"/>
  <c r="X655" i="2"/>
  <c r="AL655" i="2"/>
  <c r="Y655" i="2"/>
  <c r="N655" i="2"/>
  <c r="J655" i="2"/>
  <c r="O655" i="2"/>
  <c r="AM655" i="2"/>
  <c r="S655" i="2"/>
  <c r="V655" i="2"/>
  <c r="AH655" i="2"/>
  <c r="G655" i="2"/>
  <c r="T655" i="2"/>
  <c r="E655" i="2"/>
  <c r="AC655" i="2"/>
  <c r="I655" i="2"/>
  <c r="Z655" i="2"/>
  <c r="H655" i="2"/>
  <c r="AE655" i="2"/>
  <c r="AN655" i="2"/>
  <c r="C655" i="2"/>
  <c r="M655" i="2"/>
  <c r="D655" i="2"/>
  <c r="W655" i="2"/>
  <c r="AA655" i="2"/>
  <c r="AB655" i="2"/>
  <c r="F655" i="2"/>
  <c r="Q655" i="2"/>
  <c r="AI655" i="2"/>
  <c r="AF655" i="2"/>
  <c r="K655" i="2"/>
  <c r="R655" i="2"/>
  <c r="AK655" i="2"/>
  <c r="AD655" i="2"/>
  <c r="L655" i="2"/>
  <c r="AJ655" i="2"/>
  <c r="B657" i="2" l="1"/>
  <c r="AD656" i="2"/>
  <c r="L656" i="2"/>
  <c r="J656" i="2"/>
  <c r="S656" i="2"/>
  <c r="Q656" i="2"/>
  <c r="I656" i="2"/>
  <c r="O656" i="2"/>
  <c r="AO656" i="2"/>
  <c r="E656" i="2"/>
  <c r="Z656" i="2"/>
  <c r="AI656" i="2"/>
  <c r="T656" i="2"/>
  <c r="P656" i="2"/>
  <c r="AF656" i="2"/>
  <c r="V656" i="2"/>
  <c r="AG656" i="2"/>
  <c r="C656" i="2"/>
  <c r="D656" i="2"/>
  <c r="X656" i="2"/>
  <c r="Y656" i="2"/>
  <c r="AL656" i="2"/>
  <c r="AC656" i="2"/>
  <c r="N656" i="2"/>
  <c r="R656" i="2"/>
  <c r="F656" i="2"/>
  <c r="AK656" i="2"/>
  <c r="AE656" i="2"/>
  <c r="AA656" i="2"/>
  <c r="AN656" i="2"/>
  <c r="K656" i="2"/>
  <c r="G656" i="2"/>
  <c r="AH656" i="2"/>
  <c r="U656" i="2"/>
  <c r="AJ656" i="2"/>
  <c r="W656" i="2"/>
  <c r="AB656" i="2"/>
  <c r="M656" i="2"/>
  <c r="AM656" i="2"/>
  <c r="H656" i="2"/>
  <c r="B658" i="2" l="1"/>
  <c r="Y657" i="2"/>
  <c r="AG657" i="2"/>
  <c r="AC657" i="2"/>
  <c r="H657" i="2"/>
  <c r="J657" i="2"/>
  <c r="X657" i="2"/>
  <c r="AB657" i="2"/>
  <c r="P657" i="2"/>
  <c r="AH657" i="2"/>
  <c r="Q657" i="2"/>
  <c r="C657" i="2"/>
  <c r="E657" i="2"/>
  <c r="D657" i="2"/>
  <c r="N657" i="2"/>
  <c r="G657" i="2"/>
  <c r="AF657" i="2"/>
  <c r="L657" i="2"/>
  <c r="T657" i="2"/>
  <c r="AK657" i="2"/>
  <c r="V657" i="2"/>
  <c r="AD657" i="2"/>
  <c r="O657" i="2"/>
  <c r="I657" i="2"/>
  <c r="W657" i="2"/>
  <c r="AE657" i="2"/>
  <c r="R657" i="2"/>
  <c r="AM657" i="2"/>
  <c r="U657" i="2"/>
  <c r="AI657" i="2"/>
  <c r="S657" i="2"/>
  <c r="Z657" i="2"/>
  <c r="AO657" i="2"/>
  <c r="AJ657" i="2"/>
  <c r="AA657" i="2"/>
  <c r="K657" i="2"/>
  <c r="M657" i="2"/>
  <c r="AL657" i="2"/>
  <c r="F657" i="2"/>
  <c r="AN657" i="2"/>
  <c r="B659" i="2" l="1"/>
  <c r="N658" i="2"/>
  <c r="AO658" i="2"/>
  <c r="T658" i="2"/>
  <c r="P658" i="2"/>
  <c r="I658" i="2"/>
  <c r="Q658" i="2"/>
  <c r="AM658" i="2"/>
  <c r="U658" i="2"/>
  <c r="V658" i="2"/>
  <c r="AI658" i="2"/>
  <c r="C658" i="2"/>
  <c r="X658" i="2"/>
  <c r="J658" i="2"/>
  <c r="K658" i="2"/>
  <c r="AN658" i="2"/>
  <c r="H658" i="2"/>
  <c r="D658" i="2"/>
  <c r="AD658" i="2"/>
  <c r="AJ658" i="2"/>
  <c r="M658" i="2"/>
  <c r="AA658" i="2"/>
  <c r="AL658" i="2"/>
  <c r="AF658" i="2"/>
  <c r="F658" i="2"/>
  <c r="Y658" i="2"/>
  <c r="R658" i="2"/>
  <c r="Z658" i="2"/>
  <c r="AC658" i="2"/>
  <c r="AG658" i="2"/>
  <c r="AB658" i="2"/>
  <c r="W658" i="2"/>
  <c r="G658" i="2"/>
  <c r="AE658" i="2"/>
  <c r="O658" i="2"/>
  <c r="AK658" i="2"/>
  <c r="S658" i="2"/>
  <c r="AH658" i="2"/>
  <c r="E658" i="2"/>
  <c r="L658" i="2"/>
  <c r="B660" i="2" l="1"/>
  <c r="E659" i="2"/>
  <c r="AL659" i="2"/>
  <c r="P659" i="2"/>
  <c r="C659" i="2"/>
  <c r="Z659" i="2"/>
  <c r="AK659" i="2"/>
  <c r="AH659" i="2"/>
  <c r="H659" i="2"/>
  <c r="K659" i="2"/>
  <c r="J659" i="2"/>
  <c r="D659" i="2"/>
  <c r="AN659" i="2"/>
  <c r="AC659" i="2"/>
  <c r="S659" i="2"/>
  <c r="AJ659" i="2"/>
  <c r="V659" i="2"/>
  <c r="AO659" i="2"/>
  <c r="N659" i="2"/>
  <c r="AM659" i="2"/>
  <c r="AF659" i="2"/>
  <c r="G659" i="2"/>
  <c r="AB659" i="2"/>
  <c r="I659" i="2"/>
  <c r="W659" i="2"/>
  <c r="T659" i="2"/>
  <c r="U659" i="2"/>
  <c r="AA659" i="2"/>
  <c r="F659" i="2"/>
  <c r="Y659" i="2"/>
  <c r="L659" i="2"/>
  <c r="AI659" i="2"/>
  <c r="AD659" i="2"/>
  <c r="O659" i="2"/>
  <c r="AG659" i="2"/>
  <c r="R659" i="2"/>
  <c r="X659" i="2"/>
  <c r="Q659" i="2"/>
  <c r="AE659" i="2"/>
  <c r="M659" i="2"/>
  <c r="B661" i="2" l="1"/>
  <c r="AE660" i="2"/>
  <c r="O660" i="2"/>
  <c r="I660" i="2"/>
  <c r="AO660" i="2"/>
  <c r="AK660" i="2"/>
  <c r="S660" i="2"/>
  <c r="L660" i="2"/>
  <c r="W660" i="2"/>
  <c r="AN660" i="2"/>
  <c r="AF660" i="2"/>
  <c r="E660" i="2"/>
  <c r="AC660" i="2"/>
  <c r="AA660" i="2"/>
  <c r="C660" i="2"/>
  <c r="P660" i="2"/>
  <c r="D660" i="2"/>
  <c r="AL660" i="2"/>
  <c r="N660" i="2"/>
  <c r="AB660" i="2"/>
  <c r="G660" i="2"/>
  <c r="AJ660" i="2"/>
  <c r="H660" i="2"/>
  <c r="K660" i="2"/>
  <c r="AD660" i="2"/>
  <c r="U660" i="2"/>
  <c r="AI660" i="2"/>
  <c r="F660" i="2"/>
  <c r="AH660" i="2"/>
  <c r="Z660" i="2"/>
  <c r="Q660" i="2"/>
  <c r="X660" i="2"/>
  <c r="V660" i="2"/>
  <c r="M660" i="2"/>
  <c r="AG660" i="2"/>
  <c r="R660" i="2"/>
  <c r="T660" i="2"/>
  <c r="J660" i="2"/>
  <c r="Y660" i="2"/>
  <c r="AM660" i="2"/>
  <c r="B662" i="2" l="1"/>
  <c r="AD661" i="2"/>
  <c r="AG661" i="2"/>
  <c r="K661" i="2"/>
  <c r="M661" i="2"/>
  <c r="AM661" i="2"/>
  <c r="G661" i="2"/>
  <c r="R661" i="2"/>
  <c r="AL661" i="2"/>
  <c r="W661" i="2"/>
  <c r="E661" i="2"/>
  <c r="I661" i="2"/>
  <c r="V661" i="2"/>
  <c r="AB661" i="2"/>
  <c r="X661" i="2"/>
  <c r="L661" i="2"/>
  <c r="H661" i="2"/>
  <c r="Q661" i="2"/>
  <c r="AK661" i="2"/>
  <c r="U661" i="2"/>
  <c r="Y661" i="2"/>
  <c r="P661" i="2"/>
  <c r="AC661" i="2"/>
  <c r="AN661" i="2"/>
  <c r="S661" i="2"/>
  <c r="AE661" i="2"/>
  <c r="O661" i="2"/>
  <c r="AO661" i="2"/>
  <c r="AI661" i="2"/>
  <c r="T661" i="2"/>
  <c r="AA661" i="2"/>
  <c r="C661" i="2"/>
  <c r="Z661" i="2"/>
  <c r="AJ661" i="2"/>
  <c r="AH661" i="2"/>
  <c r="AF661" i="2"/>
  <c r="N661" i="2"/>
  <c r="D661" i="2"/>
  <c r="F661" i="2"/>
  <c r="J661" i="2"/>
  <c r="B663" i="2" l="1"/>
  <c r="AL662" i="2"/>
  <c r="AH662" i="2"/>
  <c r="S662" i="2"/>
  <c r="F662" i="2"/>
  <c r="U662" i="2"/>
  <c r="N662" i="2"/>
  <c r="K662" i="2"/>
  <c r="O662" i="2"/>
  <c r="AO662" i="2"/>
  <c r="AE662" i="2"/>
  <c r="L662" i="2"/>
  <c r="AK662" i="2"/>
  <c r="AJ662" i="2"/>
  <c r="H662" i="2"/>
  <c r="D662" i="2"/>
  <c r="Z662" i="2"/>
  <c r="AM662" i="2"/>
  <c r="AB662" i="2"/>
  <c r="AC662" i="2"/>
  <c r="R662" i="2"/>
  <c r="E662" i="2"/>
  <c r="P662" i="2"/>
  <c r="V662" i="2"/>
  <c r="AD662" i="2"/>
  <c r="AA662" i="2"/>
  <c r="J662" i="2"/>
  <c r="T662" i="2"/>
  <c r="X662" i="2"/>
  <c r="G662" i="2"/>
  <c r="AF662" i="2"/>
  <c r="M662" i="2"/>
  <c r="I662" i="2"/>
  <c r="AN662" i="2"/>
  <c r="AG662" i="2"/>
  <c r="AI662" i="2"/>
  <c r="C662" i="2"/>
  <c r="Q662" i="2"/>
  <c r="W662" i="2"/>
  <c r="Y662" i="2"/>
  <c r="B664" i="2" l="1"/>
  <c r="AI663" i="2"/>
  <c r="H663" i="2"/>
  <c r="AM663" i="2"/>
  <c r="I663" i="2"/>
  <c r="F663" i="2"/>
  <c r="Z663" i="2"/>
  <c r="K663" i="2"/>
  <c r="N663" i="2"/>
  <c r="AA663" i="2"/>
  <c r="AK663" i="2"/>
  <c r="P663" i="2"/>
  <c r="AF663" i="2"/>
  <c r="X663" i="2"/>
  <c r="AJ663" i="2"/>
  <c r="Y663" i="2"/>
  <c r="W663" i="2"/>
  <c r="G663" i="2"/>
  <c r="AC663" i="2"/>
  <c r="L663" i="2"/>
  <c r="M663" i="2"/>
  <c r="R663" i="2"/>
  <c r="J663" i="2"/>
  <c r="O663" i="2"/>
  <c r="E663" i="2"/>
  <c r="C663" i="2"/>
  <c r="U663" i="2"/>
  <c r="V663" i="2"/>
  <c r="AL663" i="2"/>
  <c r="AH663" i="2"/>
  <c r="AN663" i="2"/>
  <c r="AO663" i="2"/>
  <c r="AG663" i="2"/>
  <c r="AB663" i="2"/>
  <c r="D663" i="2"/>
  <c r="S663" i="2"/>
  <c r="Q663" i="2"/>
  <c r="AD663" i="2"/>
  <c r="T663" i="2"/>
  <c r="AE663" i="2"/>
  <c r="B665" i="2" l="1"/>
  <c r="H664" i="2"/>
  <c r="AO664" i="2"/>
  <c r="I664" i="2"/>
  <c r="D664" i="2"/>
  <c r="AA664" i="2"/>
  <c r="AG664" i="2"/>
  <c r="L664" i="2"/>
  <c r="AK664" i="2"/>
  <c r="AM664" i="2"/>
  <c r="O664" i="2"/>
  <c r="Z664" i="2"/>
  <c r="R664" i="2"/>
  <c r="AN664" i="2"/>
  <c r="P664" i="2"/>
  <c r="AB664" i="2"/>
  <c r="C664" i="2"/>
  <c r="K664" i="2"/>
  <c r="Y664" i="2"/>
  <c r="AH664" i="2"/>
  <c r="G664" i="2"/>
  <c r="U664" i="2"/>
  <c r="W664" i="2"/>
  <c r="AC664" i="2"/>
  <c r="AJ664" i="2"/>
  <c r="N664" i="2"/>
  <c r="T664" i="2"/>
  <c r="AI664" i="2"/>
  <c r="F664" i="2"/>
  <c r="M664" i="2"/>
  <c r="AD664" i="2"/>
  <c r="AE664" i="2"/>
  <c r="J664" i="2"/>
  <c r="Q664" i="2"/>
  <c r="AF664" i="2"/>
  <c r="S664" i="2"/>
  <c r="X664" i="2"/>
  <c r="AL664" i="2"/>
  <c r="E664" i="2"/>
  <c r="V664" i="2"/>
  <c r="B666" i="2" l="1"/>
  <c r="AA665" i="2"/>
  <c r="AN665" i="2"/>
  <c r="AG665" i="2"/>
  <c r="O665" i="2"/>
  <c r="U665" i="2"/>
  <c r="F665" i="2"/>
  <c r="R665" i="2"/>
  <c r="L665" i="2"/>
  <c r="W665" i="2"/>
  <c r="Y665" i="2"/>
  <c r="G665" i="2"/>
  <c r="M665" i="2"/>
  <c r="AB665" i="2"/>
  <c r="D665" i="2"/>
  <c r="AH665" i="2"/>
  <c r="N665" i="2"/>
  <c r="AO665" i="2"/>
  <c r="AC665" i="2"/>
  <c r="AI665" i="2"/>
  <c r="K665" i="2"/>
  <c r="AL665" i="2"/>
  <c r="AE665" i="2"/>
  <c r="I665" i="2"/>
  <c r="AK665" i="2"/>
  <c r="AF665" i="2"/>
  <c r="T665" i="2"/>
  <c r="AJ665" i="2"/>
  <c r="P665" i="2"/>
  <c r="X665" i="2"/>
  <c r="E665" i="2"/>
  <c r="C665" i="2"/>
  <c r="S665" i="2"/>
  <c r="V665" i="2"/>
  <c r="Z665" i="2"/>
  <c r="AM665" i="2"/>
  <c r="J665" i="2"/>
  <c r="Q665" i="2"/>
  <c r="AD665" i="2"/>
  <c r="H665" i="2"/>
  <c r="B667" i="2" l="1"/>
  <c r="AM666" i="2"/>
  <c r="AI666" i="2"/>
  <c r="F666" i="2"/>
  <c r="AK666" i="2"/>
  <c r="Y666" i="2"/>
  <c r="L666" i="2"/>
  <c r="V666" i="2"/>
  <c r="AO666" i="2"/>
  <c r="AC666" i="2"/>
  <c r="W666" i="2"/>
  <c r="H666" i="2"/>
  <c r="AF666" i="2"/>
  <c r="AA666" i="2"/>
  <c r="M666" i="2"/>
  <c r="AH666" i="2"/>
  <c r="I666" i="2"/>
  <c r="K666" i="2"/>
  <c r="AN666" i="2"/>
  <c r="X666" i="2"/>
  <c r="O666" i="2"/>
  <c r="AG666" i="2"/>
  <c r="C666" i="2"/>
  <c r="E666" i="2"/>
  <c r="AL666" i="2"/>
  <c r="T666" i="2"/>
  <c r="Z666" i="2"/>
  <c r="R666" i="2"/>
  <c r="AJ666" i="2"/>
  <c r="G666" i="2"/>
  <c r="N666" i="2"/>
  <c r="Q666" i="2"/>
  <c r="AB666" i="2"/>
  <c r="D666" i="2"/>
  <c r="AE666" i="2"/>
  <c r="P666" i="2"/>
  <c r="AD666" i="2"/>
  <c r="U666" i="2"/>
  <c r="J666" i="2"/>
  <c r="S666" i="2"/>
  <c r="B668" i="2" l="1"/>
  <c r="AM667" i="2"/>
  <c r="AE667" i="2"/>
  <c r="L667" i="2"/>
  <c r="AL667" i="2"/>
  <c r="AG667" i="2"/>
  <c r="T667" i="2"/>
  <c r="Y667" i="2"/>
  <c r="E667" i="2"/>
  <c r="R667" i="2"/>
  <c r="U667" i="2"/>
  <c r="AJ667" i="2"/>
  <c r="AO667" i="2"/>
  <c r="AN667" i="2"/>
  <c r="AH667" i="2"/>
  <c r="F667" i="2"/>
  <c r="M667" i="2"/>
  <c r="H667" i="2"/>
  <c r="AK667" i="2"/>
  <c r="O667" i="2"/>
  <c r="X667" i="2"/>
  <c r="V667" i="2"/>
  <c r="N667" i="2"/>
  <c r="AA667" i="2"/>
  <c r="AI667" i="2"/>
  <c r="I667" i="2"/>
  <c r="D667" i="2"/>
  <c r="AB667" i="2"/>
  <c r="J667" i="2"/>
  <c r="S667" i="2"/>
  <c r="G667" i="2"/>
  <c r="AD667" i="2"/>
  <c r="K667" i="2"/>
  <c r="W667" i="2"/>
  <c r="C667" i="2"/>
  <c r="Z667" i="2"/>
  <c r="AF667" i="2"/>
  <c r="Q667" i="2"/>
  <c r="AC667" i="2"/>
  <c r="P667" i="2"/>
  <c r="B669" i="2" l="1"/>
  <c r="V668" i="2"/>
  <c r="I668" i="2"/>
  <c r="AF668" i="2"/>
  <c r="G668" i="2"/>
  <c r="L668" i="2"/>
  <c r="AK668" i="2"/>
  <c r="AA668" i="2"/>
  <c r="AI668" i="2"/>
  <c r="C668" i="2"/>
  <c r="W668" i="2"/>
  <c r="F668" i="2"/>
  <c r="Q668" i="2"/>
  <c r="J668" i="2"/>
  <c r="Y668" i="2"/>
  <c r="AB668" i="2"/>
  <c r="AE668" i="2"/>
  <c r="AJ668" i="2"/>
  <c r="AL668" i="2"/>
  <c r="T668" i="2"/>
  <c r="D668" i="2"/>
  <c r="AH668" i="2"/>
  <c r="M668" i="2"/>
  <c r="Z668" i="2"/>
  <c r="AG668" i="2"/>
  <c r="X668" i="2"/>
  <c r="E668" i="2"/>
  <c r="H668" i="2"/>
  <c r="P668" i="2"/>
  <c r="AM668" i="2"/>
  <c r="AO668" i="2"/>
  <c r="AN668" i="2"/>
  <c r="S668" i="2"/>
  <c r="AD668" i="2"/>
  <c r="O668" i="2"/>
  <c r="N668" i="2"/>
  <c r="R668" i="2"/>
  <c r="AC668" i="2"/>
  <c r="U668" i="2"/>
  <c r="K668" i="2"/>
  <c r="B670" i="2" l="1"/>
  <c r="AK669" i="2"/>
  <c r="W669" i="2"/>
  <c r="Q669" i="2"/>
  <c r="AM669" i="2"/>
  <c r="P669" i="2"/>
  <c r="C669" i="2"/>
  <c r="G669" i="2"/>
  <c r="J669" i="2"/>
  <c r="AA669" i="2"/>
  <c r="I669" i="2"/>
  <c r="E669" i="2"/>
  <c r="T669" i="2"/>
  <c r="AE669" i="2"/>
  <c r="AF669" i="2"/>
  <c r="F669" i="2"/>
  <c r="AC669" i="2"/>
  <c r="AJ669" i="2"/>
  <c r="AL669" i="2"/>
  <c r="AI669" i="2"/>
  <c r="R669" i="2"/>
  <c r="M669" i="2"/>
  <c r="V669" i="2"/>
  <c r="AO669" i="2"/>
  <c r="X669" i="2"/>
  <c r="S669" i="2"/>
  <c r="D669" i="2"/>
  <c r="Y669" i="2"/>
  <c r="AN669" i="2"/>
  <c r="AG669" i="2"/>
  <c r="L669" i="2"/>
  <c r="H669" i="2"/>
  <c r="AH669" i="2"/>
  <c r="O669" i="2"/>
  <c r="N669" i="2"/>
  <c r="Z669" i="2"/>
  <c r="K669" i="2"/>
  <c r="AD669" i="2"/>
  <c r="AB669" i="2"/>
  <c r="U669" i="2"/>
  <c r="B671" i="2" l="1"/>
  <c r="AH670" i="2"/>
  <c r="M670" i="2"/>
  <c r="AK670" i="2"/>
  <c r="P670" i="2"/>
  <c r="T670" i="2"/>
  <c r="E670" i="2"/>
  <c r="H670" i="2"/>
  <c r="R670" i="2"/>
  <c r="Y670" i="2"/>
  <c r="G670" i="2"/>
  <c r="I670" i="2"/>
  <c r="AE670" i="2"/>
  <c r="AL670" i="2"/>
  <c r="U670" i="2"/>
  <c r="AJ670" i="2"/>
  <c r="J670" i="2"/>
  <c r="C670" i="2"/>
  <c r="AO670" i="2"/>
  <c r="O670" i="2"/>
  <c r="D670" i="2"/>
  <c r="AF670" i="2"/>
  <c r="N670" i="2"/>
  <c r="S670" i="2"/>
  <c r="W670" i="2"/>
  <c r="AM670" i="2"/>
  <c r="V670" i="2"/>
  <c r="AB670" i="2"/>
  <c r="AA670" i="2"/>
  <c r="AD670" i="2"/>
  <c r="L670" i="2"/>
  <c r="AG670" i="2"/>
  <c r="K670" i="2"/>
  <c r="X670" i="2"/>
  <c r="Q670" i="2"/>
  <c r="F670" i="2"/>
  <c r="Z670" i="2"/>
  <c r="AI670" i="2"/>
  <c r="AC670" i="2"/>
  <c r="AN670" i="2"/>
  <c r="B672" i="2" l="1"/>
  <c r="J671" i="2"/>
  <c r="AI671" i="2"/>
  <c r="W671" i="2"/>
  <c r="Q671" i="2"/>
  <c r="T671" i="2"/>
  <c r="V671" i="2"/>
  <c r="I671" i="2"/>
  <c r="AB671" i="2"/>
  <c r="AJ671" i="2"/>
  <c r="AD671" i="2"/>
  <c r="H671" i="2"/>
  <c r="O671" i="2"/>
  <c r="L671" i="2"/>
  <c r="U671" i="2"/>
  <c r="S671" i="2"/>
  <c r="F671" i="2"/>
  <c r="AN671" i="2"/>
  <c r="M671" i="2"/>
  <c r="N671" i="2"/>
  <c r="X671" i="2"/>
  <c r="G671" i="2"/>
  <c r="AE671" i="2"/>
  <c r="AL671" i="2"/>
  <c r="R671" i="2"/>
  <c r="D671" i="2"/>
  <c r="AC671" i="2"/>
  <c r="AF671" i="2"/>
  <c r="P671" i="2"/>
  <c r="AK671" i="2"/>
  <c r="AM671" i="2"/>
  <c r="Z671" i="2"/>
  <c r="C671" i="2"/>
  <c r="E671" i="2"/>
  <c r="Y671" i="2"/>
  <c r="AA671" i="2"/>
  <c r="AH671" i="2"/>
  <c r="AG671" i="2"/>
  <c r="AO671" i="2"/>
  <c r="K671" i="2"/>
  <c r="B673" i="2" l="1"/>
  <c r="W672" i="2"/>
  <c r="AK672" i="2"/>
  <c r="AN672" i="2"/>
  <c r="T672" i="2"/>
  <c r="F672" i="2"/>
  <c r="G672" i="2"/>
  <c r="C672" i="2"/>
  <c r="U672" i="2"/>
  <c r="AB672" i="2"/>
  <c r="AO672" i="2"/>
  <c r="AC672" i="2"/>
  <c r="AF672" i="2"/>
  <c r="R672" i="2"/>
  <c r="O672" i="2"/>
  <c r="I672" i="2"/>
  <c r="Y672" i="2"/>
  <c r="AA672" i="2"/>
  <c r="AG672" i="2"/>
  <c r="H672" i="2"/>
  <c r="S672" i="2"/>
  <c r="D672" i="2"/>
  <c r="L672" i="2"/>
  <c r="X672" i="2"/>
  <c r="Z672" i="2"/>
  <c r="AE672" i="2"/>
  <c r="AD672" i="2"/>
  <c r="AI672" i="2"/>
  <c r="AH672" i="2"/>
  <c r="N672" i="2"/>
  <c r="AL672" i="2"/>
  <c r="K672" i="2"/>
  <c r="J672" i="2"/>
  <c r="Q672" i="2"/>
  <c r="AJ672" i="2"/>
  <c r="AM672" i="2"/>
  <c r="E672" i="2"/>
  <c r="P672" i="2"/>
  <c r="V672" i="2"/>
  <c r="M672" i="2"/>
  <c r="B674" i="2" l="1"/>
  <c r="T673" i="2"/>
  <c r="S673" i="2"/>
  <c r="AF673" i="2"/>
  <c r="AO673" i="2"/>
  <c r="D673" i="2"/>
  <c r="AL673" i="2"/>
  <c r="AD673" i="2"/>
  <c r="X673" i="2"/>
  <c r="AN673" i="2"/>
  <c r="AB673" i="2"/>
  <c r="P673" i="2"/>
  <c r="U673" i="2"/>
  <c r="W673" i="2"/>
  <c r="N673" i="2"/>
  <c r="Z673" i="2"/>
  <c r="AG673" i="2"/>
  <c r="J673" i="2"/>
  <c r="AA673" i="2"/>
  <c r="AM673" i="2"/>
  <c r="L673" i="2"/>
  <c r="E673" i="2"/>
  <c r="AE673" i="2"/>
  <c r="I673" i="2"/>
  <c r="AK673" i="2"/>
  <c r="Y673" i="2"/>
  <c r="K673" i="2"/>
  <c r="R673" i="2"/>
  <c r="C673" i="2"/>
  <c r="AH673" i="2"/>
  <c r="AJ673" i="2"/>
  <c r="F673" i="2"/>
  <c r="H673" i="2"/>
  <c r="M673" i="2"/>
  <c r="G673" i="2"/>
  <c r="V673" i="2"/>
  <c r="AC673" i="2"/>
  <c r="O673" i="2"/>
  <c r="Q673" i="2"/>
  <c r="AI673" i="2"/>
  <c r="B675" i="2" l="1"/>
  <c r="G674" i="2"/>
  <c r="AD674" i="2"/>
  <c r="S674" i="2"/>
  <c r="L674" i="2"/>
  <c r="AB674" i="2"/>
  <c r="W674" i="2"/>
  <c r="C674" i="2"/>
  <c r="AK674" i="2"/>
  <c r="P674" i="2"/>
  <c r="AN674" i="2"/>
  <c r="Z674" i="2"/>
  <c r="F674" i="2"/>
  <c r="O674" i="2"/>
  <c r="T674" i="2"/>
  <c r="AH674" i="2"/>
  <c r="AE674" i="2"/>
  <c r="Q674" i="2"/>
  <c r="AA674" i="2"/>
  <c r="V674" i="2"/>
  <c r="X674" i="2"/>
  <c r="AO674" i="2"/>
  <c r="Y674" i="2"/>
  <c r="K674" i="2"/>
  <c r="I674" i="2"/>
  <c r="H674" i="2"/>
  <c r="AL674" i="2"/>
  <c r="J674" i="2"/>
  <c r="D674" i="2"/>
  <c r="AC674" i="2"/>
  <c r="N674" i="2"/>
  <c r="AI674" i="2"/>
  <c r="E674" i="2"/>
  <c r="AJ674" i="2"/>
  <c r="M674" i="2"/>
  <c r="U674" i="2"/>
  <c r="AG674" i="2"/>
  <c r="R674" i="2"/>
  <c r="AF674" i="2"/>
  <c r="AM674" i="2"/>
  <c r="B676" i="2" l="1"/>
  <c r="U675" i="2"/>
  <c r="L675" i="2"/>
  <c r="Y675" i="2"/>
  <c r="AM675" i="2"/>
  <c r="AF675" i="2"/>
  <c r="Q675" i="2"/>
  <c r="F675" i="2"/>
  <c r="X675" i="2"/>
  <c r="W675" i="2"/>
  <c r="R675" i="2"/>
  <c r="AJ675" i="2"/>
  <c r="T675" i="2"/>
  <c r="AI675" i="2"/>
  <c r="G675" i="2"/>
  <c r="E675" i="2"/>
  <c r="AE675" i="2"/>
  <c r="AN675" i="2"/>
  <c r="D675" i="2"/>
  <c r="V675" i="2"/>
  <c r="AL675" i="2"/>
  <c r="Z675" i="2"/>
  <c r="J675" i="2"/>
  <c r="K675" i="2"/>
  <c r="AD675" i="2"/>
  <c r="H675" i="2"/>
  <c r="C675" i="2"/>
  <c r="S675" i="2"/>
  <c r="P675" i="2"/>
  <c r="O675" i="2"/>
  <c r="I675" i="2"/>
  <c r="AK675" i="2"/>
  <c r="AO675" i="2"/>
  <c r="AH675" i="2"/>
  <c r="AA675" i="2"/>
  <c r="AG675" i="2"/>
  <c r="N675" i="2"/>
  <c r="AB675" i="2"/>
  <c r="AC675" i="2"/>
  <c r="M675" i="2"/>
  <c r="B677" i="2" l="1"/>
  <c r="G676" i="2"/>
  <c r="Y676" i="2"/>
  <c r="W676" i="2"/>
  <c r="AJ676" i="2"/>
  <c r="R676" i="2"/>
  <c r="Q676" i="2"/>
  <c r="S676" i="2"/>
  <c r="T676" i="2"/>
  <c r="AL676" i="2"/>
  <c r="N676" i="2"/>
  <c r="C676" i="2"/>
  <c r="AM676" i="2"/>
  <c r="AF676" i="2"/>
  <c r="AN676" i="2"/>
  <c r="P676" i="2"/>
  <c r="AO676" i="2"/>
  <c r="V676" i="2"/>
  <c r="F676" i="2"/>
  <c r="AI676" i="2"/>
  <c r="AK676" i="2"/>
  <c r="L676" i="2"/>
  <c r="AC676" i="2"/>
  <c r="H676" i="2"/>
  <c r="U676" i="2"/>
  <c r="J676" i="2"/>
  <c r="E676" i="2"/>
  <c r="AB676" i="2"/>
  <c r="Z676" i="2"/>
  <c r="AD676" i="2"/>
  <c r="M676" i="2"/>
  <c r="AE676" i="2"/>
  <c r="I676" i="2"/>
  <c r="O676" i="2"/>
  <c r="X676" i="2"/>
  <c r="AG676" i="2"/>
  <c r="D676" i="2"/>
  <c r="AA676" i="2"/>
  <c r="K676" i="2"/>
  <c r="AH676" i="2"/>
  <c r="B678" i="2" l="1"/>
  <c r="I677" i="2"/>
  <c r="AL677" i="2"/>
  <c r="AC677" i="2"/>
  <c r="Z677" i="2"/>
  <c r="AG677" i="2"/>
  <c r="AB677" i="2"/>
  <c r="F677" i="2"/>
  <c r="K677" i="2"/>
  <c r="Q677" i="2"/>
  <c r="AD677" i="2"/>
  <c r="O677" i="2"/>
  <c r="E677" i="2"/>
  <c r="AF677" i="2"/>
  <c r="AJ677" i="2"/>
  <c r="AK677" i="2"/>
  <c r="P677" i="2"/>
  <c r="T677" i="2"/>
  <c r="N677" i="2"/>
  <c r="AI677" i="2"/>
  <c r="AA677" i="2"/>
  <c r="J677" i="2"/>
  <c r="H677" i="2"/>
  <c r="AN677" i="2"/>
  <c r="AO677" i="2"/>
  <c r="AH677" i="2"/>
  <c r="S677" i="2"/>
  <c r="V677" i="2"/>
  <c r="R677" i="2"/>
  <c r="W677" i="2"/>
  <c r="X677" i="2"/>
  <c r="G677" i="2"/>
  <c r="D677" i="2"/>
  <c r="AM677" i="2"/>
  <c r="Y677" i="2"/>
  <c r="AE677" i="2"/>
  <c r="C677" i="2"/>
  <c r="U677" i="2"/>
  <c r="L677" i="2"/>
  <c r="M677" i="2"/>
  <c r="B679" i="2" l="1"/>
  <c r="AD678" i="2"/>
  <c r="H678" i="2"/>
  <c r="S678" i="2"/>
  <c r="V678" i="2"/>
  <c r="N678" i="2"/>
  <c r="AH678" i="2"/>
  <c r="U678" i="2"/>
  <c r="AJ678" i="2"/>
  <c r="AC678" i="2"/>
  <c r="AM678" i="2"/>
  <c r="G678" i="2"/>
  <c r="M678" i="2"/>
  <c r="Q678" i="2"/>
  <c r="C678" i="2"/>
  <c r="AI678" i="2"/>
  <c r="AO678" i="2"/>
  <c r="W678" i="2"/>
  <c r="E678" i="2"/>
  <c r="K678" i="2"/>
  <c r="AG678" i="2"/>
  <c r="D678" i="2"/>
  <c r="I678" i="2"/>
  <c r="J678" i="2"/>
  <c r="P678" i="2"/>
  <c r="R678" i="2"/>
  <c r="X678" i="2"/>
  <c r="AK678" i="2"/>
  <c r="O678" i="2"/>
  <c r="L678" i="2"/>
  <c r="Z678" i="2"/>
  <c r="AE678" i="2"/>
  <c r="AF678" i="2"/>
  <c r="T678" i="2"/>
  <c r="AL678" i="2"/>
  <c r="F678" i="2"/>
  <c r="Y678" i="2"/>
  <c r="AN678" i="2"/>
  <c r="AB678" i="2"/>
  <c r="AA678" i="2"/>
  <c r="B680" i="2" l="1"/>
  <c r="AM679" i="2"/>
  <c r="G679" i="2"/>
  <c r="U679" i="2"/>
  <c r="I679" i="2"/>
  <c r="L679" i="2"/>
  <c r="N679" i="2"/>
  <c r="AA679" i="2"/>
  <c r="H679" i="2"/>
  <c r="T679" i="2"/>
  <c r="AK679" i="2"/>
  <c r="X679" i="2"/>
  <c r="R679" i="2"/>
  <c r="AE679" i="2"/>
  <c r="W679" i="2"/>
  <c r="K679" i="2"/>
  <c r="S679" i="2"/>
  <c r="M679" i="2"/>
  <c r="P679" i="2"/>
  <c r="D679" i="2"/>
  <c r="AF679" i="2"/>
  <c r="Q679" i="2"/>
  <c r="AO679" i="2"/>
  <c r="AJ679" i="2"/>
  <c r="E679" i="2"/>
  <c r="Y679" i="2"/>
  <c r="AN679" i="2"/>
  <c r="AI679" i="2"/>
  <c r="AB679" i="2"/>
  <c r="AC679" i="2"/>
  <c r="J679" i="2"/>
  <c r="AL679" i="2"/>
  <c r="AG679" i="2"/>
  <c r="AD679" i="2"/>
  <c r="O679" i="2"/>
  <c r="C679" i="2"/>
  <c r="F679" i="2"/>
  <c r="AH679" i="2"/>
  <c r="V679" i="2"/>
  <c r="Z679" i="2"/>
  <c r="B681" i="2" l="1"/>
  <c r="N680" i="2"/>
  <c r="F680" i="2"/>
  <c r="AH680" i="2"/>
  <c r="Y680" i="2"/>
  <c r="C680" i="2"/>
  <c r="O680" i="2"/>
  <c r="U680" i="2"/>
  <c r="I680" i="2"/>
  <c r="J680" i="2"/>
  <c r="S680" i="2"/>
  <c r="L680" i="2"/>
  <c r="AL680" i="2"/>
  <c r="AB680" i="2"/>
  <c r="G680" i="2"/>
  <c r="AC680" i="2"/>
  <c r="V680" i="2"/>
  <c r="E680" i="2"/>
  <c r="AF680" i="2"/>
  <c r="AG680" i="2"/>
  <c r="M680" i="2"/>
  <c r="AI680" i="2"/>
  <c r="W680" i="2"/>
  <c r="Q680" i="2"/>
  <c r="K680" i="2"/>
  <c r="H680" i="2"/>
  <c r="X680" i="2"/>
  <c r="AK680" i="2"/>
  <c r="AA680" i="2"/>
  <c r="AE680" i="2"/>
  <c r="AO680" i="2"/>
  <c r="AN680" i="2"/>
  <c r="AJ680" i="2"/>
  <c r="AM680" i="2"/>
  <c r="P680" i="2"/>
  <c r="Z680" i="2"/>
  <c r="D680" i="2"/>
  <c r="AD680" i="2"/>
  <c r="R680" i="2"/>
  <c r="T680" i="2"/>
  <c r="B682" i="2" l="1"/>
  <c r="O681" i="2"/>
  <c r="R681" i="2"/>
  <c r="P681" i="2"/>
  <c r="AJ681" i="2"/>
  <c r="K681" i="2"/>
  <c r="Q681" i="2"/>
  <c r="AF681" i="2"/>
  <c r="AK681" i="2"/>
  <c r="AG681" i="2"/>
  <c r="AB681" i="2"/>
  <c r="V681" i="2"/>
  <c r="N681" i="2"/>
  <c r="AN681" i="2"/>
  <c r="Y681" i="2"/>
  <c r="L681" i="2"/>
  <c r="T681" i="2"/>
  <c r="S681" i="2"/>
  <c r="AE681" i="2"/>
  <c r="Z681" i="2"/>
  <c r="M681" i="2"/>
  <c r="AL681" i="2"/>
  <c r="U681" i="2"/>
  <c r="E681" i="2"/>
  <c r="I681" i="2"/>
  <c r="W681" i="2"/>
  <c r="AA681" i="2"/>
  <c r="G681" i="2"/>
  <c r="J681" i="2"/>
  <c r="F681" i="2"/>
  <c r="D681" i="2"/>
  <c r="X681" i="2"/>
  <c r="AD681" i="2"/>
  <c r="AM681" i="2"/>
  <c r="H681" i="2"/>
  <c r="AH681" i="2"/>
  <c r="AO681" i="2"/>
  <c r="C681" i="2"/>
  <c r="AI681" i="2"/>
  <c r="AC681" i="2"/>
  <c r="B683" i="2" l="1"/>
  <c r="R682" i="2"/>
  <c r="AL682" i="2"/>
  <c r="M682" i="2"/>
  <c r="AN682" i="2"/>
  <c r="O682" i="2"/>
  <c r="AO682" i="2"/>
  <c r="AF682" i="2"/>
  <c r="J682" i="2"/>
  <c r="U682" i="2"/>
  <c r="C682" i="2"/>
  <c r="Z682" i="2"/>
  <c r="D682" i="2"/>
  <c r="AC682" i="2"/>
  <c r="S682" i="2"/>
  <c r="F682" i="2"/>
  <c r="L682" i="2"/>
  <c r="N682" i="2"/>
  <c r="I682" i="2"/>
  <c r="Q682" i="2"/>
  <c r="AD682" i="2"/>
  <c r="AM682" i="2"/>
  <c r="T682" i="2"/>
  <c r="AB682" i="2"/>
  <c r="AA682" i="2"/>
  <c r="E682" i="2"/>
  <c r="P682" i="2"/>
  <c r="AE682" i="2"/>
  <c r="W682" i="2"/>
  <c r="AJ682" i="2"/>
  <c r="AI682" i="2"/>
  <c r="G682" i="2"/>
  <c r="AK682" i="2"/>
  <c r="V682" i="2"/>
  <c r="H682" i="2"/>
  <c r="AG682" i="2"/>
  <c r="X682" i="2"/>
  <c r="K682" i="2"/>
  <c r="AH682" i="2"/>
  <c r="Y682" i="2"/>
  <c r="B684" i="2" l="1"/>
  <c r="Q683" i="2"/>
  <c r="O683" i="2"/>
  <c r="Y683" i="2"/>
  <c r="AJ683" i="2"/>
  <c r="U683" i="2"/>
  <c r="AE683" i="2"/>
  <c r="Z683" i="2"/>
  <c r="X683" i="2"/>
  <c r="C683" i="2"/>
  <c r="D683" i="2"/>
  <c r="AK683" i="2"/>
  <c r="N683" i="2"/>
  <c r="V683" i="2"/>
  <c r="M683" i="2"/>
  <c r="W683" i="2"/>
  <c r="F683" i="2"/>
  <c r="AN683" i="2"/>
  <c r="I683" i="2"/>
  <c r="AL683" i="2"/>
  <c r="L683" i="2"/>
  <c r="AB683" i="2"/>
  <c r="AC683" i="2"/>
  <c r="AI683" i="2"/>
  <c r="E683" i="2"/>
  <c r="AF683" i="2"/>
  <c r="AA683" i="2"/>
  <c r="J683" i="2"/>
  <c r="AD683" i="2"/>
  <c r="AO683" i="2"/>
  <c r="G683" i="2"/>
  <c r="R683" i="2"/>
  <c r="K683" i="2"/>
  <c r="P683" i="2"/>
  <c r="S683" i="2"/>
  <c r="AM683" i="2"/>
  <c r="T683" i="2"/>
  <c r="AH683" i="2"/>
  <c r="AG683" i="2"/>
  <c r="H683" i="2"/>
  <c r="B685" i="2" l="1"/>
  <c r="Y684" i="2"/>
  <c r="AE684" i="2"/>
  <c r="AF684" i="2"/>
  <c r="F684" i="2"/>
  <c r="Z684" i="2"/>
  <c r="AC684" i="2"/>
  <c r="AL684" i="2"/>
  <c r="AD684" i="2"/>
  <c r="AH684" i="2"/>
  <c r="O684" i="2"/>
  <c r="R684" i="2"/>
  <c r="G684" i="2"/>
  <c r="K684" i="2"/>
  <c r="Q684" i="2"/>
  <c r="AK684" i="2"/>
  <c r="U684" i="2"/>
  <c r="T684" i="2"/>
  <c r="AM684" i="2"/>
  <c r="P684" i="2"/>
  <c r="J684" i="2"/>
  <c r="I684" i="2"/>
  <c r="AN684" i="2"/>
  <c r="AO684" i="2"/>
  <c r="H684" i="2"/>
  <c r="M684" i="2"/>
  <c r="AJ684" i="2"/>
  <c r="S684" i="2"/>
  <c r="V684" i="2"/>
  <c r="W684" i="2"/>
  <c r="AG684" i="2"/>
  <c r="D684" i="2"/>
  <c r="X684" i="2"/>
  <c r="L684" i="2"/>
  <c r="N684" i="2"/>
  <c r="AI684" i="2"/>
  <c r="AA684" i="2"/>
  <c r="C684" i="2"/>
  <c r="E684" i="2"/>
  <c r="AB684" i="2"/>
  <c r="B686" i="2" l="1"/>
  <c r="AD685" i="2"/>
  <c r="AG685" i="2"/>
  <c r="E685" i="2"/>
  <c r="K685" i="2"/>
  <c r="AN685" i="2"/>
  <c r="H685" i="2"/>
  <c r="AF685" i="2"/>
  <c r="AE685" i="2"/>
  <c r="D685" i="2"/>
  <c r="U685" i="2"/>
  <c r="Q685" i="2"/>
  <c r="Z685" i="2"/>
  <c r="N685" i="2"/>
  <c r="L685" i="2"/>
  <c r="C685" i="2"/>
  <c r="AC685" i="2"/>
  <c r="AM685" i="2"/>
  <c r="X685" i="2"/>
  <c r="AK685" i="2"/>
  <c r="AL685" i="2"/>
  <c r="O685" i="2"/>
  <c r="F685" i="2"/>
  <c r="W685" i="2"/>
  <c r="J685" i="2"/>
  <c r="Y685" i="2"/>
  <c r="M685" i="2"/>
  <c r="G685" i="2"/>
  <c r="AO685" i="2"/>
  <c r="AH685" i="2"/>
  <c r="AJ685" i="2"/>
  <c r="V685" i="2"/>
  <c r="S685" i="2"/>
  <c r="AA685" i="2"/>
  <c r="P685" i="2"/>
  <c r="AI685" i="2"/>
  <c r="T685" i="2"/>
  <c r="I685" i="2"/>
  <c r="AB685" i="2"/>
  <c r="R685" i="2"/>
  <c r="B687" i="2" l="1"/>
  <c r="H686" i="2"/>
  <c r="AN686" i="2"/>
  <c r="I686" i="2"/>
  <c r="S686" i="2"/>
  <c r="N686" i="2"/>
  <c r="T686" i="2"/>
  <c r="E686" i="2"/>
  <c r="C686" i="2"/>
  <c r="D686" i="2"/>
  <c r="AH686" i="2"/>
  <c r="AJ686" i="2"/>
  <c r="AI686" i="2"/>
  <c r="X686" i="2"/>
  <c r="AF686" i="2"/>
  <c r="AD686" i="2"/>
  <c r="AK686" i="2"/>
  <c r="P686" i="2"/>
  <c r="O686" i="2"/>
  <c r="AO686" i="2"/>
  <c r="AB686" i="2"/>
  <c r="F686" i="2"/>
  <c r="Q686" i="2"/>
  <c r="J686" i="2"/>
  <c r="V686" i="2"/>
  <c r="AE686" i="2"/>
  <c r="M686" i="2"/>
  <c r="AC686" i="2"/>
  <c r="R686" i="2"/>
  <c r="Y686" i="2"/>
  <c r="AA686" i="2"/>
  <c r="AG686" i="2"/>
  <c r="L686" i="2"/>
  <c r="W686" i="2"/>
  <c r="K686" i="2"/>
  <c r="U686" i="2"/>
  <c r="AM686" i="2"/>
  <c r="Z686" i="2"/>
  <c r="AL686" i="2"/>
  <c r="G686" i="2"/>
  <c r="B688" i="2" l="1"/>
  <c r="J687" i="2"/>
  <c r="E687" i="2"/>
  <c r="R687" i="2"/>
  <c r="F687" i="2"/>
  <c r="S687" i="2"/>
  <c r="AB687" i="2"/>
  <c r="AN687" i="2"/>
  <c r="O687" i="2"/>
  <c r="AJ687" i="2"/>
  <c r="AO687" i="2"/>
  <c r="AD687" i="2"/>
  <c r="W687" i="2"/>
  <c r="Z687" i="2"/>
  <c r="M687" i="2"/>
  <c r="K687" i="2"/>
  <c r="I687" i="2"/>
  <c r="AF687" i="2"/>
  <c r="U687" i="2"/>
  <c r="AL687" i="2"/>
  <c r="AA687" i="2"/>
  <c r="N687" i="2"/>
  <c r="AE687" i="2"/>
  <c r="AM687" i="2"/>
  <c r="T687" i="2"/>
  <c r="L687" i="2"/>
  <c r="G687" i="2"/>
  <c r="V687" i="2"/>
  <c r="Q687" i="2"/>
  <c r="C687" i="2"/>
  <c r="Y687" i="2"/>
  <c r="AI687" i="2"/>
  <c r="AH687" i="2"/>
  <c r="X687" i="2"/>
  <c r="AK687" i="2"/>
  <c r="H687" i="2"/>
  <c r="AC687" i="2"/>
  <c r="D687" i="2"/>
  <c r="P687" i="2"/>
  <c r="AG687" i="2"/>
  <c r="B689" i="2" l="1"/>
  <c r="W688" i="2"/>
  <c r="E688" i="2"/>
  <c r="AL688" i="2"/>
  <c r="AC688" i="2"/>
  <c r="AM688" i="2"/>
  <c r="G688" i="2"/>
  <c r="AO688" i="2"/>
  <c r="AD688" i="2"/>
  <c r="V688" i="2"/>
  <c r="AE688" i="2"/>
  <c r="D688" i="2"/>
  <c r="N688" i="2"/>
  <c r="AA688" i="2"/>
  <c r="U688" i="2"/>
  <c r="AJ688" i="2"/>
  <c r="AK688" i="2"/>
  <c r="AF688" i="2"/>
  <c r="H688" i="2"/>
  <c r="C688" i="2"/>
  <c r="F688" i="2"/>
  <c r="K688" i="2"/>
  <c r="X688" i="2"/>
  <c r="L688" i="2"/>
  <c r="AG688" i="2"/>
  <c r="O688" i="2"/>
  <c r="M688" i="2"/>
  <c r="P688" i="2"/>
  <c r="I688" i="2"/>
  <c r="R688" i="2"/>
  <c r="AN688" i="2"/>
  <c r="Y688" i="2"/>
  <c r="AB688" i="2"/>
  <c r="Q688" i="2"/>
  <c r="Z688" i="2"/>
  <c r="AI688" i="2"/>
  <c r="AH688" i="2"/>
  <c r="S688" i="2"/>
  <c r="J688" i="2"/>
  <c r="T688" i="2"/>
  <c r="B690" i="2" l="1"/>
  <c r="AL689" i="2"/>
  <c r="AM689" i="2"/>
  <c r="G689" i="2"/>
  <c r="AJ689" i="2"/>
  <c r="Z689" i="2"/>
  <c r="P689" i="2"/>
  <c r="U689" i="2"/>
  <c r="AE689" i="2"/>
  <c r="C689" i="2"/>
  <c r="AB689" i="2"/>
  <c r="S689" i="2"/>
  <c r="AN689" i="2"/>
  <c r="E689" i="2"/>
  <c r="M689" i="2"/>
  <c r="AA689" i="2"/>
  <c r="AF689" i="2"/>
  <c r="Y689" i="2"/>
  <c r="AH689" i="2"/>
  <c r="O689" i="2"/>
  <c r="F689" i="2"/>
  <c r="I689" i="2"/>
  <c r="AK689" i="2"/>
  <c r="V689" i="2"/>
  <c r="D689" i="2"/>
  <c r="N689" i="2"/>
  <c r="AD689" i="2"/>
  <c r="J689" i="2"/>
  <c r="W689" i="2"/>
  <c r="AG689" i="2"/>
  <c r="AI689" i="2"/>
  <c r="T689" i="2"/>
  <c r="X689" i="2"/>
  <c r="H689" i="2"/>
  <c r="Q689" i="2"/>
  <c r="AC689" i="2"/>
  <c r="K689" i="2"/>
  <c r="R689" i="2"/>
  <c r="AO689" i="2"/>
  <c r="L689" i="2"/>
  <c r="B691" i="2" l="1"/>
  <c r="AH690" i="2"/>
  <c r="U690" i="2"/>
  <c r="AI690" i="2"/>
  <c r="C690" i="2"/>
  <c r="O690" i="2"/>
  <c r="R690" i="2"/>
  <c r="AA690" i="2"/>
  <c r="Y690" i="2"/>
  <c r="P690" i="2"/>
  <c r="M690" i="2"/>
  <c r="AE690" i="2"/>
  <c r="AF690" i="2"/>
  <c r="T690" i="2"/>
  <c r="AC690" i="2"/>
  <c r="H690" i="2"/>
  <c r="AD690" i="2"/>
  <c r="Q690" i="2"/>
  <c r="AL690" i="2"/>
  <c r="W690" i="2"/>
  <c r="X690" i="2"/>
  <c r="S690" i="2"/>
  <c r="AG690" i="2"/>
  <c r="Z690" i="2"/>
  <c r="N690" i="2"/>
  <c r="AK690" i="2"/>
  <c r="AB690" i="2"/>
  <c r="AM690" i="2"/>
  <c r="D690" i="2"/>
  <c r="L690" i="2"/>
  <c r="AN690" i="2"/>
  <c r="AJ690" i="2"/>
  <c r="J690" i="2"/>
  <c r="K690" i="2"/>
  <c r="I690" i="2"/>
  <c r="V690" i="2"/>
  <c r="E690" i="2"/>
  <c r="F690" i="2"/>
  <c r="G690" i="2"/>
  <c r="AO690" i="2"/>
  <c r="B692" i="2" l="1"/>
  <c r="D691" i="2"/>
  <c r="AE691" i="2"/>
  <c r="E691" i="2"/>
  <c r="J691" i="2"/>
  <c r="T691" i="2"/>
  <c r="AB691" i="2"/>
  <c r="W691" i="2"/>
  <c r="AM691" i="2"/>
  <c r="P691" i="2"/>
  <c r="AK691" i="2"/>
  <c r="AI691" i="2"/>
  <c r="AN691" i="2"/>
  <c r="AD691" i="2"/>
  <c r="M691" i="2"/>
  <c r="U691" i="2"/>
  <c r="AH691" i="2"/>
  <c r="AF691" i="2"/>
  <c r="V691" i="2"/>
  <c r="K691" i="2"/>
  <c r="H691" i="2"/>
  <c r="AL691" i="2"/>
  <c r="R691" i="2"/>
  <c r="N691" i="2"/>
  <c r="O691" i="2"/>
  <c r="X691" i="2"/>
  <c r="AG691" i="2"/>
  <c r="C691" i="2"/>
  <c r="AO691" i="2"/>
  <c r="G691" i="2"/>
  <c r="S691" i="2"/>
  <c r="I691" i="2"/>
  <c r="L691" i="2"/>
  <c r="Q691" i="2"/>
  <c r="Y691" i="2"/>
  <c r="AC691" i="2"/>
  <c r="Z691" i="2"/>
  <c r="AA691" i="2"/>
  <c r="F691" i="2"/>
  <c r="AJ691" i="2"/>
  <c r="B693" i="2" l="1"/>
  <c r="H692" i="2"/>
  <c r="L692" i="2"/>
  <c r="X692" i="2"/>
  <c r="AH692" i="2"/>
  <c r="N692" i="2"/>
  <c r="AD692" i="2"/>
  <c r="U692" i="2"/>
  <c r="AL692" i="2"/>
  <c r="R692" i="2"/>
  <c r="G692" i="2"/>
  <c r="AF692" i="2"/>
  <c r="AM692" i="2"/>
  <c r="I692" i="2"/>
  <c r="D692" i="2"/>
  <c r="T692" i="2"/>
  <c r="Y692" i="2"/>
  <c r="P692" i="2"/>
  <c r="F692" i="2"/>
  <c r="AE692" i="2"/>
  <c r="AO692" i="2"/>
  <c r="AG692" i="2"/>
  <c r="O692" i="2"/>
  <c r="AC692" i="2"/>
  <c r="Q692" i="2"/>
  <c r="AN692" i="2"/>
  <c r="AK692" i="2"/>
  <c r="V692" i="2"/>
  <c r="AI692" i="2"/>
  <c r="S692" i="2"/>
  <c r="M692" i="2"/>
  <c r="E692" i="2"/>
  <c r="AA692" i="2"/>
  <c r="AB692" i="2"/>
  <c r="W692" i="2"/>
  <c r="C692" i="2"/>
  <c r="Z692" i="2"/>
  <c r="AJ692" i="2"/>
  <c r="K692" i="2"/>
  <c r="J692" i="2"/>
  <c r="B694" i="2" l="1"/>
  <c r="W693" i="2"/>
  <c r="AH693" i="2"/>
  <c r="AJ693" i="2"/>
  <c r="E693" i="2"/>
  <c r="U693" i="2"/>
  <c r="K693" i="2"/>
  <c r="P693" i="2"/>
  <c r="AF693" i="2"/>
  <c r="X693" i="2"/>
  <c r="AC693" i="2"/>
  <c r="AL693" i="2"/>
  <c r="AE693" i="2"/>
  <c r="H693" i="2"/>
  <c r="AB693" i="2"/>
  <c r="AM693" i="2"/>
  <c r="AK693" i="2"/>
  <c r="AO693" i="2"/>
  <c r="D693" i="2"/>
  <c r="F693" i="2"/>
  <c r="AN693" i="2"/>
  <c r="M693" i="2"/>
  <c r="AG693" i="2"/>
  <c r="N693" i="2"/>
  <c r="S693" i="2"/>
  <c r="T693" i="2"/>
  <c r="L693" i="2"/>
  <c r="I693" i="2"/>
  <c r="AI693" i="2"/>
  <c r="V693" i="2"/>
  <c r="AD693" i="2"/>
  <c r="O693" i="2"/>
  <c r="Y693" i="2"/>
  <c r="Z693" i="2"/>
  <c r="AA693" i="2"/>
  <c r="G693" i="2"/>
  <c r="J693" i="2"/>
  <c r="Q693" i="2"/>
  <c r="C693" i="2"/>
  <c r="R693" i="2"/>
  <c r="B695" i="2" l="1"/>
  <c r="AE694" i="2"/>
  <c r="K694" i="2"/>
  <c r="AI694" i="2"/>
  <c r="AN694" i="2"/>
  <c r="D694" i="2"/>
  <c r="Z694" i="2"/>
  <c r="Y694" i="2"/>
  <c r="H694" i="2"/>
  <c r="AB694" i="2"/>
  <c r="J694" i="2"/>
  <c r="AA694" i="2"/>
  <c r="C694" i="2"/>
  <c r="X694" i="2"/>
  <c r="AL694" i="2"/>
  <c r="AO694" i="2"/>
  <c r="V694" i="2"/>
  <c r="G694" i="2"/>
  <c r="T694" i="2"/>
  <c r="I694" i="2"/>
  <c r="M694" i="2"/>
  <c r="AG694" i="2"/>
  <c r="S694" i="2"/>
  <c r="U694" i="2"/>
  <c r="P694" i="2"/>
  <c r="AF694" i="2"/>
  <c r="AC694" i="2"/>
  <c r="AK694" i="2"/>
  <c r="O694" i="2"/>
  <c r="F694" i="2"/>
  <c r="AH694" i="2"/>
  <c r="R694" i="2"/>
  <c r="Q694" i="2"/>
  <c r="N694" i="2"/>
  <c r="W694" i="2"/>
  <c r="AM694" i="2"/>
  <c r="AJ694" i="2"/>
  <c r="L694" i="2"/>
  <c r="AD694" i="2"/>
  <c r="E694" i="2"/>
  <c r="B696" i="2" l="1"/>
  <c r="P695" i="2"/>
  <c r="F695" i="2"/>
  <c r="AD695" i="2"/>
  <c r="AL695" i="2"/>
  <c r="AE695" i="2"/>
  <c r="G695" i="2"/>
  <c r="AJ695" i="2"/>
  <c r="H695" i="2"/>
  <c r="AA695" i="2"/>
  <c r="AM695" i="2"/>
  <c r="AB695" i="2"/>
  <c r="M695" i="2"/>
  <c r="K695" i="2"/>
  <c r="AK695" i="2"/>
  <c r="D695" i="2"/>
  <c r="AN695" i="2"/>
  <c r="L695" i="2"/>
  <c r="X695" i="2"/>
  <c r="AO695" i="2"/>
  <c r="T695" i="2"/>
  <c r="V695" i="2"/>
  <c r="Q695" i="2"/>
  <c r="W695" i="2"/>
  <c r="AI695" i="2"/>
  <c r="Y695" i="2"/>
  <c r="R695" i="2"/>
  <c r="O695" i="2"/>
  <c r="AC695" i="2"/>
  <c r="C695" i="2"/>
  <c r="AG695" i="2"/>
  <c r="AH695" i="2"/>
  <c r="I695" i="2"/>
  <c r="N695" i="2"/>
  <c r="S695" i="2"/>
  <c r="E695" i="2"/>
  <c r="J695" i="2"/>
  <c r="Z695" i="2"/>
  <c r="U695" i="2"/>
  <c r="AF695" i="2"/>
  <c r="B697" i="2" l="1"/>
  <c r="AD696" i="2"/>
  <c r="N696" i="2"/>
  <c r="F696" i="2"/>
  <c r="Y696" i="2"/>
  <c r="S696" i="2"/>
  <c r="AM696" i="2"/>
  <c r="K696" i="2"/>
  <c r="W696" i="2"/>
  <c r="AA696" i="2"/>
  <c r="J696" i="2"/>
  <c r="G696" i="2"/>
  <c r="X696" i="2"/>
  <c r="AG696" i="2"/>
  <c r="AE696" i="2"/>
  <c r="AI696" i="2"/>
  <c r="AF696" i="2"/>
  <c r="O696" i="2"/>
  <c r="H696" i="2"/>
  <c r="AH696" i="2"/>
  <c r="AK696" i="2"/>
  <c r="D696" i="2"/>
  <c r="AB696" i="2"/>
  <c r="R696" i="2"/>
  <c r="L696" i="2"/>
  <c r="AN696" i="2"/>
  <c r="I696" i="2"/>
  <c r="M696" i="2"/>
  <c r="AL696" i="2"/>
  <c r="P696" i="2"/>
  <c r="Q696" i="2"/>
  <c r="T696" i="2"/>
  <c r="U696" i="2"/>
  <c r="AJ696" i="2"/>
  <c r="Z696" i="2"/>
  <c r="E696" i="2"/>
  <c r="AO696" i="2"/>
  <c r="C696" i="2"/>
  <c r="AC696" i="2"/>
  <c r="V696" i="2"/>
  <c r="B698" i="2" l="1"/>
  <c r="AE697" i="2"/>
  <c r="AL697" i="2"/>
  <c r="H697" i="2"/>
  <c r="N697" i="2"/>
  <c r="AD697" i="2"/>
  <c r="AK697" i="2"/>
  <c r="L697" i="2"/>
  <c r="R697" i="2"/>
  <c r="S697" i="2"/>
  <c r="AM697" i="2"/>
  <c r="W697" i="2"/>
  <c r="AJ697" i="2"/>
  <c r="AO697" i="2"/>
  <c r="U697" i="2"/>
  <c r="E697" i="2"/>
  <c r="AI697" i="2"/>
  <c r="M697" i="2"/>
  <c r="X697" i="2"/>
  <c r="Y697" i="2"/>
  <c r="AC697" i="2"/>
  <c r="O697" i="2"/>
  <c r="V697" i="2"/>
  <c r="AH697" i="2"/>
  <c r="AA697" i="2"/>
  <c r="C697" i="2"/>
  <c r="F697" i="2"/>
  <c r="AF697" i="2"/>
  <c r="G697" i="2"/>
  <c r="AB697" i="2"/>
  <c r="P697" i="2"/>
  <c r="I697" i="2"/>
  <c r="Q697" i="2"/>
  <c r="Z697" i="2"/>
  <c r="AG697" i="2"/>
  <c r="T697" i="2"/>
  <c r="AN697" i="2"/>
  <c r="D697" i="2"/>
  <c r="J697" i="2"/>
  <c r="K697" i="2"/>
  <c r="B699" i="2" l="1"/>
  <c r="AB698" i="2"/>
  <c r="Q698" i="2"/>
  <c r="L698" i="2"/>
  <c r="T698" i="2"/>
  <c r="C698" i="2"/>
  <c r="O698" i="2"/>
  <c r="Z698" i="2"/>
  <c r="G698" i="2"/>
  <c r="P698" i="2"/>
  <c r="D698" i="2"/>
  <c r="AK698" i="2"/>
  <c r="AA698" i="2"/>
  <c r="S698" i="2"/>
  <c r="F698" i="2"/>
  <c r="AM698" i="2"/>
  <c r="AF698" i="2"/>
  <c r="U698" i="2"/>
  <c r="I698" i="2"/>
  <c r="AI698" i="2"/>
  <c r="H698" i="2"/>
  <c r="AH698" i="2"/>
  <c r="K698" i="2"/>
  <c r="V698" i="2"/>
  <c r="W698" i="2"/>
  <c r="R698" i="2"/>
  <c r="E698" i="2"/>
  <c r="AD698" i="2"/>
  <c r="AO698" i="2"/>
  <c r="N698" i="2"/>
  <c r="M698" i="2"/>
  <c r="X698" i="2"/>
  <c r="AE698" i="2"/>
  <c r="AG698" i="2"/>
  <c r="AL698" i="2"/>
  <c r="Y698" i="2"/>
  <c r="AC698" i="2"/>
  <c r="J698" i="2"/>
  <c r="AN698" i="2"/>
  <c r="AJ698" i="2"/>
  <c r="B700" i="2" l="1"/>
  <c r="X699" i="2"/>
  <c r="C699" i="2"/>
  <c r="AM699" i="2"/>
  <c r="L699" i="2"/>
  <c r="P699" i="2"/>
  <c r="AO699" i="2"/>
  <c r="AE699" i="2"/>
  <c r="O699" i="2"/>
  <c r="AJ699" i="2"/>
  <c r="AF699" i="2"/>
  <c r="AH699" i="2"/>
  <c r="U699" i="2"/>
  <c r="AI699" i="2"/>
  <c r="G699" i="2"/>
  <c r="D699" i="2"/>
  <c r="E699" i="2"/>
  <c r="T699" i="2"/>
  <c r="J699" i="2"/>
  <c r="AK699" i="2"/>
  <c r="K699" i="2"/>
  <c r="S699" i="2"/>
  <c r="AC699" i="2"/>
  <c r="AL699" i="2"/>
  <c r="AN699" i="2"/>
  <c r="M699" i="2"/>
  <c r="N699" i="2"/>
  <c r="AB699" i="2"/>
  <c r="I699" i="2"/>
  <c r="AG699" i="2"/>
  <c r="Z699" i="2"/>
  <c r="R699" i="2"/>
  <c r="F699" i="2"/>
  <c r="H699" i="2"/>
  <c r="Y699" i="2"/>
  <c r="W699" i="2"/>
  <c r="V699" i="2"/>
  <c r="AA699" i="2"/>
  <c r="AD699" i="2"/>
  <c r="Q699" i="2"/>
  <c r="B701" i="2" l="1"/>
  <c r="R700" i="2"/>
  <c r="AE700" i="2"/>
  <c r="U700" i="2"/>
  <c r="AM700" i="2"/>
  <c r="V700" i="2"/>
  <c r="P700" i="2"/>
  <c r="AJ700" i="2"/>
  <c r="AO700" i="2"/>
  <c r="T700" i="2"/>
  <c r="O700" i="2"/>
  <c r="K700" i="2"/>
  <c r="E700" i="2"/>
  <c r="AC700" i="2"/>
  <c r="F700" i="2"/>
  <c r="L700" i="2"/>
  <c r="AK700" i="2"/>
  <c r="D700" i="2"/>
  <c r="H700" i="2"/>
  <c r="AN700" i="2"/>
  <c r="G700" i="2"/>
  <c r="W700" i="2"/>
  <c r="C700" i="2"/>
  <c r="M700" i="2"/>
  <c r="AF700" i="2"/>
  <c r="J700" i="2"/>
  <c r="N700" i="2"/>
  <c r="Z700" i="2"/>
  <c r="AG700" i="2"/>
  <c r="AB700" i="2"/>
  <c r="AA700" i="2"/>
  <c r="Q700" i="2"/>
  <c r="S700" i="2"/>
  <c r="AD700" i="2"/>
  <c r="I700" i="2"/>
  <c r="X700" i="2"/>
  <c r="AI700" i="2"/>
  <c r="AH700" i="2"/>
  <c r="Y700" i="2"/>
  <c r="AL700" i="2"/>
  <c r="B702" i="2" l="1"/>
  <c r="J701" i="2"/>
  <c r="M701" i="2"/>
  <c r="AG701" i="2"/>
  <c r="AO701" i="2"/>
  <c r="AJ701" i="2"/>
  <c r="U701" i="2"/>
  <c r="AK701" i="2"/>
  <c r="Y701" i="2"/>
  <c r="AB701" i="2"/>
  <c r="AM701" i="2"/>
  <c r="K701" i="2"/>
  <c r="N701" i="2"/>
  <c r="X701" i="2"/>
  <c r="O701" i="2"/>
  <c r="T701" i="2"/>
  <c r="AE701" i="2"/>
  <c r="C701" i="2"/>
  <c r="S701" i="2"/>
  <c r="AL701" i="2"/>
  <c r="L701" i="2"/>
  <c r="E701" i="2"/>
  <c r="I701" i="2"/>
  <c r="AD701" i="2"/>
  <c r="AA701" i="2"/>
  <c r="Z701" i="2"/>
  <c r="AN701" i="2"/>
  <c r="D701" i="2"/>
  <c r="AC701" i="2"/>
  <c r="P701" i="2"/>
  <c r="G701" i="2"/>
  <c r="F701" i="2"/>
  <c r="R701" i="2"/>
  <c r="AF701" i="2"/>
  <c r="H701" i="2"/>
  <c r="W701" i="2"/>
  <c r="AH701" i="2"/>
  <c r="Q701" i="2"/>
  <c r="V701" i="2"/>
  <c r="AI701" i="2"/>
  <c r="B703" i="2" l="1"/>
  <c r="AD702" i="2"/>
  <c r="C702" i="2"/>
  <c r="O702" i="2"/>
  <c r="AF702" i="2"/>
  <c r="AN702" i="2"/>
  <c r="S702" i="2"/>
  <c r="Z702" i="2"/>
  <c r="H702" i="2"/>
  <c r="Q702" i="2"/>
  <c r="U702" i="2"/>
  <c r="AC702" i="2"/>
  <c r="AH702" i="2"/>
  <c r="P702" i="2"/>
  <c r="M702" i="2"/>
  <c r="V702" i="2"/>
  <c r="AM702" i="2"/>
  <c r="AJ702" i="2"/>
  <c r="G702" i="2"/>
  <c r="Y702" i="2"/>
  <c r="K702" i="2"/>
  <c r="X702" i="2"/>
  <c r="T702" i="2"/>
  <c r="AG702" i="2"/>
  <c r="F702" i="2"/>
  <c r="N702" i="2"/>
  <c r="J702" i="2"/>
  <c r="AO702" i="2"/>
  <c r="AK702" i="2"/>
  <c r="AI702" i="2"/>
  <c r="AA702" i="2"/>
  <c r="AE702" i="2"/>
  <c r="AB702" i="2"/>
  <c r="I702" i="2"/>
  <c r="AL702" i="2"/>
  <c r="W702" i="2"/>
  <c r="L702" i="2"/>
  <c r="R702" i="2"/>
  <c r="D702" i="2"/>
  <c r="E702" i="2"/>
  <c r="B704" i="2" l="1"/>
  <c r="G703" i="2"/>
  <c r="V703" i="2"/>
  <c r="H703" i="2"/>
  <c r="AM703" i="2"/>
  <c r="AK703" i="2"/>
  <c r="O703" i="2"/>
  <c r="J703" i="2"/>
  <c r="AE703" i="2"/>
  <c r="AF703" i="2"/>
  <c r="P703" i="2"/>
  <c r="W703" i="2"/>
  <c r="AH703" i="2"/>
  <c r="Z703" i="2"/>
  <c r="AN703" i="2"/>
  <c r="AA703" i="2"/>
  <c r="N703" i="2"/>
  <c r="E703" i="2"/>
  <c r="R703" i="2"/>
  <c r="K703" i="2"/>
  <c r="Y703" i="2"/>
  <c r="X703" i="2"/>
  <c r="M703" i="2"/>
  <c r="AC703" i="2"/>
  <c r="AO703" i="2"/>
  <c r="T703" i="2"/>
  <c r="AG703" i="2"/>
  <c r="U703" i="2"/>
  <c r="I703" i="2"/>
  <c r="Q703" i="2"/>
  <c r="D703" i="2"/>
  <c r="AJ703" i="2"/>
  <c r="L703" i="2"/>
  <c r="C703" i="2"/>
  <c r="AD703" i="2"/>
  <c r="AB703" i="2"/>
  <c r="F703" i="2"/>
  <c r="AI703" i="2"/>
  <c r="S703" i="2"/>
  <c r="AL703" i="2"/>
  <c r="B705" i="2" l="1"/>
  <c r="AD704" i="2"/>
  <c r="F704" i="2"/>
  <c r="E704" i="2"/>
  <c r="S704" i="2"/>
  <c r="AL704" i="2"/>
  <c r="Z704" i="2"/>
  <c r="AK704" i="2"/>
  <c r="AN704" i="2"/>
  <c r="C704" i="2"/>
  <c r="O704" i="2"/>
  <c r="P704" i="2"/>
  <c r="Q704" i="2"/>
  <c r="T704" i="2"/>
  <c r="I704" i="2"/>
  <c r="AG704" i="2"/>
  <c r="AO704" i="2"/>
  <c r="Y704" i="2"/>
  <c r="K704" i="2"/>
  <c r="AI704" i="2"/>
  <c r="AE704" i="2"/>
  <c r="V704" i="2"/>
  <c r="N704" i="2"/>
  <c r="W704" i="2"/>
  <c r="U704" i="2"/>
  <c r="M704" i="2"/>
  <c r="X704" i="2"/>
  <c r="AA704" i="2"/>
  <c r="J704" i="2"/>
  <c r="G704" i="2"/>
  <c r="AF704" i="2"/>
  <c r="AB704" i="2"/>
  <c r="AJ704" i="2"/>
  <c r="D704" i="2"/>
  <c r="AM704" i="2"/>
  <c r="L704" i="2"/>
  <c r="AC704" i="2"/>
  <c r="H704" i="2"/>
  <c r="AH704" i="2"/>
  <c r="R704" i="2"/>
  <c r="B706" i="2" l="1"/>
  <c r="D705" i="2"/>
  <c r="AN705" i="2"/>
  <c r="Z705" i="2"/>
  <c r="AJ705" i="2"/>
  <c r="AL705" i="2"/>
  <c r="N705" i="2"/>
  <c r="AC705" i="2"/>
  <c r="I705" i="2"/>
  <c r="AM705" i="2"/>
  <c r="AB705" i="2"/>
  <c r="S705" i="2"/>
  <c r="AD705" i="2"/>
  <c r="V705" i="2"/>
  <c r="G705" i="2"/>
  <c r="AF705" i="2"/>
  <c r="H705" i="2"/>
  <c r="X705" i="2"/>
  <c r="W705" i="2"/>
  <c r="AO705" i="2"/>
  <c r="O705" i="2"/>
  <c r="M705" i="2"/>
  <c r="AE705" i="2"/>
  <c r="Y705" i="2"/>
  <c r="E705" i="2"/>
  <c r="T705" i="2"/>
  <c r="AH705" i="2"/>
  <c r="C705" i="2"/>
  <c r="Q705" i="2"/>
  <c r="R705" i="2"/>
  <c r="U705" i="2"/>
  <c r="AA705" i="2"/>
  <c r="K705" i="2"/>
  <c r="AI705" i="2"/>
  <c r="AK705" i="2"/>
  <c r="J705" i="2"/>
  <c r="P705" i="2"/>
  <c r="L705" i="2"/>
  <c r="F705" i="2"/>
  <c r="AG705" i="2"/>
  <c r="B707" i="2" l="1"/>
  <c r="AM706" i="2"/>
  <c r="V706" i="2"/>
  <c r="P706" i="2"/>
  <c r="U706" i="2"/>
  <c r="AH706" i="2"/>
  <c r="Z706" i="2"/>
  <c r="W706" i="2"/>
  <c r="I706" i="2"/>
  <c r="AE706" i="2"/>
  <c r="N706" i="2"/>
  <c r="L706" i="2"/>
  <c r="E706" i="2"/>
  <c r="J706" i="2"/>
  <c r="AB706" i="2"/>
  <c r="H706" i="2"/>
  <c r="C706" i="2"/>
  <c r="AC706" i="2"/>
  <c r="AI706" i="2"/>
  <c r="M706" i="2"/>
  <c r="T706" i="2"/>
  <c r="AJ706" i="2"/>
  <c r="Y706" i="2"/>
  <c r="F706" i="2"/>
  <c r="G706" i="2"/>
  <c r="S706" i="2"/>
  <c r="AK706" i="2"/>
  <c r="K706" i="2"/>
  <c r="O706" i="2"/>
  <c r="X706" i="2"/>
  <c r="AD706" i="2"/>
  <c r="D706" i="2"/>
  <c r="AL706" i="2"/>
  <c r="R706" i="2"/>
  <c r="AG706" i="2"/>
  <c r="Q706" i="2"/>
  <c r="AN706" i="2"/>
  <c r="AO706" i="2"/>
  <c r="AF706" i="2"/>
  <c r="AA706" i="2"/>
  <c r="B708" i="2" l="1"/>
  <c r="AC707" i="2"/>
  <c r="N707" i="2"/>
  <c r="W707" i="2"/>
  <c r="AJ707" i="2"/>
  <c r="AL707" i="2"/>
  <c r="E707" i="2"/>
  <c r="AM707" i="2"/>
  <c r="T707" i="2"/>
  <c r="Q707" i="2"/>
  <c r="U707" i="2"/>
  <c r="Y707" i="2"/>
  <c r="AE707" i="2"/>
  <c r="Z707" i="2"/>
  <c r="G707" i="2"/>
  <c r="AG707" i="2"/>
  <c r="AH707" i="2"/>
  <c r="AF707" i="2"/>
  <c r="M707" i="2"/>
  <c r="AK707" i="2"/>
  <c r="AN707" i="2"/>
  <c r="X707" i="2"/>
  <c r="D707" i="2"/>
  <c r="S707" i="2"/>
  <c r="R707" i="2"/>
  <c r="F707" i="2"/>
  <c r="H707" i="2"/>
  <c r="K707" i="2"/>
  <c r="L707" i="2"/>
  <c r="C707" i="2"/>
  <c r="J707" i="2"/>
  <c r="AI707" i="2"/>
  <c r="AB707" i="2"/>
  <c r="AA707" i="2"/>
  <c r="P707" i="2"/>
  <c r="AD707" i="2"/>
  <c r="I707" i="2"/>
  <c r="O707" i="2"/>
  <c r="AO707" i="2"/>
  <c r="V707" i="2"/>
  <c r="B709" i="2" l="1"/>
  <c r="V708" i="2"/>
  <c r="C708" i="2"/>
  <c r="AF708" i="2"/>
  <c r="K708" i="2"/>
  <c r="J708" i="2"/>
  <c r="AD708" i="2"/>
  <c r="AO708" i="2"/>
  <c r="AL708" i="2"/>
  <c r="R708" i="2"/>
  <c r="AH708" i="2"/>
  <c r="AE708" i="2"/>
  <c r="E708" i="2"/>
  <c r="P708" i="2"/>
  <c r="N708" i="2"/>
  <c r="U708" i="2"/>
  <c r="O708" i="2"/>
  <c r="Y708" i="2"/>
  <c r="G708" i="2"/>
  <c r="D708" i="2"/>
  <c r="W708" i="2"/>
  <c r="Q708" i="2"/>
  <c r="S708" i="2"/>
  <c r="AI708" i="2"/>
  <c r="AJ708" i="2"/>
  <c r="AK708" i="2"/>
  <c r="AC708" i="2"/>
  <c r="AA708" i="2"/>
  <c r="F708" i="2"/>
  <c r="AG708" i="2"/>
  <c r="AM708" i="2"/>
  <c r="T708" i="2"/>
  <c r="X708" i="2"/>
  <c r="AB708" i="2"/>
  <c r="Z708" i="2"/>
  <c r="H708" i="2"/>
  <c r="I708" i="2"/>
  <c r="AN708" i="2"/>
  <c r="L708" i="2"/>
  <c r="M708" i="2"/>
  <c r="B710" i="2" l="1"/>
  <c r="AK709" i="2"/>
  <c r="AG709" i="2"/>
  <c r="AJ709" i="2"/>
  <c r="AI709" i="2"/>
  <c r="AH709" i="2"/>
  <c r="T709" i="2"/>
  <c r="I709" i="2"/>
  <c r="Z709" i="2"/>
  <c r="AA709" i="2"/>
  <c r="AE709" i="2"/>
  <c r="AC709" i="2"/>
  <c r="E709" i="2"/>
  <c r="G709" i="2"/>
  <c r="N709" i="2"/>
  <c r="C709" i="2"/>
  <c r="AD709" i="2"/>
  <c r="V709" i="2"/>
  <c r="D709" i="2"/>
  <c r="X709" i="2"/>
  <c r="P709" i="2"/>
  <c r="Q709" i="2"/>
  <c r="U709" i="2"/>
  <c r="W709" i="2"/>
  <c r="Y709" i="2"/>
  <c r="L709" i="2"/>
  <c r="H709" i="2"/>
  <c r="AF709" i="2"/>
  <c r="O709" i="2"/>
  <c r="AB709" i="2"/>
  <c r="AN709" i="2"/>
  <c r="AM709" i="2"/>
  <c r="J709" i="2"/>
  <c r="S709" i="2"/>
  <c r="K709" i="2"/>
  <c r="F709" i="2"/>
  <c r="AL709" i="2"/>
  <c r="M709" i="2"/>
  <c r="AO709" i="2"/>
  <c r="R709" i="2"/>
  <c r="B711" i="2" l="1"/>
  <c r="U710" i="2"/>
  <c r="AD710" i="2"/>
  <c r="Q710" i="2"/>
  <c r="AL710" i="2"/>
  <c r="AI710" i="2"/>
  <c r="K710" i="2"/>
  <c r="X710" i="2"/>
  <c r="Y710" i="2"/>
  <c r="Z710" i="2"/>
  <c r="H710" i="2"/>
  <c r="C710" i="2"/>
  <c r="R710" i="2"/>
  <c r="AN710" i="2"/>
  <c r="AJ710" i="2"/>
  <c r="AO710" i="2"/>
  <c r="O710" i="2"/>
  <c r="AM710" i="2"/>
  <c r="AB710" i="2"/>
  <c r="V710" i="2"/>
  <c r="M710" i="2"/>
  <c r="F710" i="2"/>
  <c r="T710" i="2"/>
  <c r="AK710" i="2"/>
  <c r="L710" i="2"/>
  <c r="S710" i="2"/>
  <c r="P710" i="2"/>
  <c r="AH710" i="2"/>
  <c r="AA710" i="2"/>
  <c r="E710" i="2"/>
  <c r="AG710" i="2"/>
  <c r="D710" i="2"/>
  <c r="AC710" i="2"/>
  <c r="I710" i="2"/>
  <c r="N710" i="2"/>
  <c r="J710" i="2"/>
  <c r="W710" i="2"/>
  <c r="AE710" i="2"/>
  <c r="G710" i="2"/>
  <c r="AF710" i="2"/>
  <c r="B712" i="2" l="1"/>
  <c r="T711" i="2"/>
  <c r="Y711" i="2"/>
  <c r="AA711" i="2"/>
  <c r="AB711" i="2"/>
  <c r="AC711" i="2"/>
  <c r="I711" i="2"/>
  <c r="AF711" i="2"/>
  <c r="AG711" i="2"/>
  <c r="AM711" i="2"/>
  <c r="AK711" i="2"/>
  <c r="R711" i="2"/>
  <c r="F711" i="2"/>
  <c r="AI711" i="2"/>
  <c r="P711" i="2"/>
  <c r="Z711" i="2"/>
  <c r="O711" i="2"/>
  <c r="D711" i="2"/>
  <c r="C711" i="2"/>
  <c r="H711" i="2"/>
  <c r="AH711" i="2"/>
  <c r="AJ711" i="2"/>
  <c r="K711" i="2"/>
  <c r="J711" i="2"/>
  <c r="S711" i="2"/>
  <c r="V711" i="2"/>
  <c r="W711" i="2"/>
  <c r="G711" i="2"/>
  <c r="M711" i="2"/>
  <c r="U711" i="2"/>
  <c r="X711" i="2"/>
  <c r="AO711" i="2"/>
  <c r="AD711" i="2"/>
  <c r="E711" i="2"/>
  <c r="AE711" i="2"/>
  <c r="AL711" i="2"/>
  <c r="AN711" i="2"/>
  <c r="L711" i="2"/>
  <c r="Q711" i="2"/>
  <c r="N711" i="2"/>
  <c r="B713" i="2" l="1"/>
  <c r="J712" i="2"/>
  <c r="X712" i="2"/>
  <c r="AE712" i="2"/>
  <c r="S712" i="2"/>
  <c r="AK712" i="2"/>
  <c r="D712" i="2"/>
  <c r="Z712" i="2"/>
  <c r="AD712" i="2"/>
  <c r="AC712" i="2"/>
  <c r="F712" i="2"/>
  <c r="AM712" i="2"/>
  <c r="H712" i="2"/>
  <c r="G712" i="2"/>
  <c r="O712" i="2"/>
  <c r="C712" i="2"/>
  <c r="V712" i="2"/>
  <c r="AO712" i="2"/>
  <c r="AF712" i="2"/>
  <c r="AI712" i="2"/>
  <c r="AH712" i="2"/>
  <c r="AL712" i="2"/>
  <c r="T712" i="2"/>
  <c r="K712" i="2"/>
  <c r="AG712" i="2"/>
  <c r="AA712" i="2"/>
  <c r="U712" i="2"/>
  <c r="AJ712" i="2"/>
  <c r="W712" i="2"/>
  <c r="I712" i="2"/>
  <c r="N712" i="2"/>
  <c r="M712" i="2"/>
  <c r="AB712" i="2"/>
  <c r="P712" i="2"/>
  <c r="Y712" i="2"/>
  <c r="R712" i="2"/>
  <c r="AN712" i="2"/>
  <c r="E712" i="2"/>
  <c r="Q712" i="2"/>
  <c r="L712" i="2"/>
  <c r="B714" i="2" l="1"/>
  <c r="AK713" i="2"/>
  <c r="K713" i="2"/>
  <c r="J713" i="2"/>
  <c r="N713" i="2"/>
  <c r="Z713" i="2"/>
  <c r="V713" i="2"/>
  <c r="U713" i="2"/>
  <c r="X713" i="2"/>
  <c r="P713" i="2"/>
  <c r="AB713" i="2"/>
  <c r="AO713" i="2"/>
  <c r="G713" i="2"/>
  <c r="Y713" i="2"/>
  <c r="Q713" i="2"/>
  <c r="E713" i="2"/>
  <c r="AH713" i="2"/>
  <c r="W713" i="2"/>
  <c r="AF713" i="2"/>
  <c r="AN713" i="2"/>
  <c r="AI713" i="2"/>
  <c r="AE713" i="2"/>
  <c r="T713" i="2"/>
  <c r="AC713" i="2"/>
  <c r="O713" i="2"/>
  <c r="AL713" i="2"/>
  <c r="AG713" i="2"/>
  <c r="F713" i="2"/>
  <c r="D713" i="2"/>
  <c r="AA713" i="2"/>
  <c r="C713" i="2"/>
  <c r="I713" i="2"/>
  <c r="AJ713" i="2"/>
  <c r="L713" i="2"/>
  <c r="H713" i="2"/>
  <c r="R713" i="2"/>
  <c r="AM713" i="2"/>
  <c r="AD713" i="2"/>
  <c r="S713" i="2"/>
  <c r="M713" i="2"/>
  <c r="B715" i="2" l="1"/>
  <c r="AD714" i="2"/>
  <c r="K714" i="2"/>
  <c r="Y714" i="2"/>
  <c r="Z714" i="2"/>
  <c r="H714" i="2"/>
  <c r="P714" i="2"/>
  <c r="J714" i="2"/>
  <c r="Q714" i="2"/>
  <c r="AJ714" i="2"/>
  <c r="S714" i="2"/>
  <c r="AF714" i="2"/>
  <c r="F714" i="2"/>
  <c r="AC714" i="2"/>
  <c r="G714" i="2"/>
  <c r="AG714" i="2"/>
  <c r="AA714" i="2"/>
  <c r="AB714" i="2"/>
  <c r="X714" i="2"/>
  <c r="AO714" i="2"/>
  <c r="W714" i="2"/>
  <c r="AK714" i="2"/>
  <c r="T714" i="2"/>
  <c r="U714" i="2"/>
  <c r="O714" i="2"/>
  <c r="AM714" i="2"/>
  <c r="I714" i="2"/>
  <c r="AI714" i="2"/>
  <c r="N714" i="2"/>
  <c r="AE714" i="2"/>
  <c r="R714" i="2"/>
  <c r="D714" i="2"/>
  <c r="L714" i="2"/>
  <c r="M714" i="2"/>
  <c r="E714" i="2"/>
  <c r="AN714" i="2"/>
  <c r="C714" i="2"/>
  <c r="AL714" i="2"/>
  <c r="V714" i="2"/>
  <c r="AH714" i="2"/>
  <c r="B716" i="2" l="1"/>
  <c r="AA715" i="2"/>
  <c r="N715" i="2"/>
  <c r="W715" i="2"/>
  <c r="AI715" i="2"/>
  <c r="Z715" i="2"/>
  <c r="Y715" i="2"/>
  <c r="X715" i="2"/>
  <c r="AK715" i="2"/>
  <c r="L715" i="2"/>
  <c r="AN715" i="2"/>
  <c r="I715" i="2"/>
  <c r="AD715" i="2"/>
  <c r="D715" i="2"/>
  <c r="P715" i="2"/>
  <c r="V715" i="2"/>
  <c r="AJ715" i="2"/>
  <c r="AC715" i="2"/>
  <c r="G715" i="2"/>
  <c r="H715" i="2"/>
  <c r="F715" i="2"/>
  <c r="O715" i="2"/>
  <c r="AE715" i="2"/>
  <c r="AF715" i="2"/>
  <c r="R715" i="2"/>
  <c r="K715" i="2"/>
  <c r="C715" i="2"/>
  <c r="E715" i="2"/>
  <c r="S715" i="2"/>
  <c r="J715" i="2"/>
  <c r="AG715" i="2"/>
  <c r="AO715" i="2"/>
  <c r="AB715" i="2"/>
  <c r="AH715" i="2"/>
  <c r="Q715" i="2"/>
  <c r="AL715" i="2"/>
  <c r="T715" i="2"/>
  <c r="AM715" i="2"/>
  <c r="U715" i="2"/>
  <c r="M715" i="2"/>
  <c r="B717" i="2" l="1"/>
  <c r="U716" i="2"/>
  <c r="M716" i="2"/>
  <c r="C716" i="2"/>
  <c r="J716" i="2"/>
  <c r="I716" i="2"/>
  <c r="AC716" i="2"/>
  <c r="F716" i="2"/>
  <c r="H716" i="2"/>
  <c r="Y716" i="2"/>
  <c r="AJ716" i="2"/>
  <c r="G716" i="2"/>
  <c r="AO716" i="2"/>
  <c r="AE716" i="2"/>
  <c r="AD716" i="2"/>
  <c r="AA716" i="2"/>
  <c r="AI716" i="2"/>
  <c r="AL716" i="2"/>
  <c r="S716" i="2"/>
  <c r="AB716" i="2"/>
  <c r="AG716" i="2"/>
  <c r="O716" i="2"/>
  <c r="AN716" i="2"/>
  <c r="E716" i="2"/>
  <c r="R716" i="2"/>
  <c r="N716" i="2"/>
  <c r="Z716" i="2"/>
  <c r="AF716" i="2"/>
  <c r="P716" i="2"/>
  <c r="D716" i="2"/>
  <c r="W716" i="2"/>
  <c r="Q716" i="2"/>
  <c r="T716" i="2"/>
  <c r="V716" i="2"/>
  <c r="AM716" i="2"/>
  <c r="K716" i="2"/>
  <c r="L716" i="2"/>
  <c r="X716" i="2"/>
  <c r="AH716" i="2"/>
  <c r="AK716" i="2"/>
  <c r="B718" i="2" l="1"/>
  <c r="AH717" i="2"/>
  <c r="Z717" i="2"/>
  <c r="T717" i="2"/>
  <c r="M717" i="2"/>
  <c r="AJ717" i="2"/>
  <c r="AD717" i="2"/>
  <c r="G717" i="2"/>
  <c r="H717" i="2"/>
  <c r="S717" i="2"/>
  <c r="AE717" i="2"/>
  <c r="AA717" i="2"/>
  <c r="AM717" i="2"/>
  <c r="AC717" i="2"/>
  <c r="V717" i="2"/>
  <c r="L717" i="2"/>
  <c r="AK717" i="2"/>
  <c r="AL717" i="2"/>
  <c r="AF717" i="2"/>
  <c r="AN717" i="2"/>
  <c r="O717" i="2"/>
  <c r="C717" i="2"/>
  <c r="W717" i="2"/>
  <c r="N717" i="2"/>
  <c r="Q717" i="2"/>
  <c r="F717" i="2"/>
  <c r="AB717" i="2"/>
  <c r="AI717" i="2"/>
  <c r="U717" i="2"/>
  <c r="D717" i="2"/>
  <c r="E717" i="2"/>
  <c r="I717" i="2"/>
  <c r="Y717" i="2"/>
  <c r="P717" i="2"/>
  <c r="K717" i="2"/>
  <c r="X717" i="2"/>
  <c r="R717" i="2"/>
  <c r="AO717" i="2"/>
  <c r="J717" i="2"/>
  <c r="AG717" i="2"/>
  <c r="B719" i="2" l="1"/>
  <c r="E718" i="2"/>
  <c r="Q718" i="2"/>
  <c r="Y718" i="2"/>
  <c r="AF718" i="2"/>
  <c r="T718" i="2"/>
  <c r="O718" i="2"/>
  <c r="G718" i="2"/>
  <c r="AG718" i="2"/>
  <c r="AM718" i="2"/>
  <c r="Z718" i="2"/>
  <c r="K718" i="2"/>
  <c r="AA718" i="2"/>
  <c r="N718" i="2"/>
  <c r="AC718" i="2"/>
  <c r="F718" i="2"/>
  <c r="C718" i="2"/>
  <c r="S718" i="2"/>
  <c r="U718" i="2"/>
  <c r="AE718" i="2"/>
  <c r="W718" i="2"/>
  <c r="V718" i="2"/>
  <c r="I718" i="2"/>
  <c r="AH718" i="2"/>
  <c r="J718" i="2"/>
  <c r="AI718" i="2"/>
  <c r="AB718" i="2"/>
  <c r="AN718" i="2"/>
  <c r="AO718" i="2"/>
  <c r="AL718" i="2"/>
  <c r="AJ718" i="2"/>
  <c r="X718" i="2"/>
  <c r="P718" i="2"/>
  <c r="L718" i="2"/>
  <c r="H718" i="2"/>
  <c r="AD718" i="2"/>
  <c r="D718" i="2"/>
  <c r="AK718" i="2"/>
  <c r="M718" i="2"/>
  <c r="R718" i="2"/>
  <c r="B720" i="2" l="1"/>
  <c r="Y719" i="2"/>
  <c r="AN719" i="2"/>
  <c r="H719" i="2"/>
  <c r="AH719" i="2"/>
  <c r="AB719" i="2"/>
  <c r="AJ719" i="2"/>
  <c r="U719" i="2"/>
  <c r="O719" i="2"/>
  <c r="K719" i="2"/>
  <c r="N719" i="2"/>
  <c r="R719" i="2"/>
  <c r="AL719" i="2"/>
  <c r="V719" i="2"/>
  <c r="Q719" i="2"/>
  <c r="Z719" i="2"/>
  <c r="AM719" i="2"/>
  <c r="M719" i="2"/>
  <c r="E719" i="2"/>
  <c r="AF719" i="2"/>
  <c r="AC719" i="2"/>
  <c r="P719" i="2"/>
  <c r="AK719" i="2"/>
  <c r="AO719" i="2"/>
  <c r="D719" i="2"/>
  <c r="AD719" i="2"/>
  <c r="S719" i="2"/>
  <c r="X719" i="2"/>
  <c r="W719" i="2"/>
  <c r="C719" i="2"/>
  <c r="T719" i="2"/>
  <c r="L719" i="2"/>
  <c r="AE719" i="2"/>
  <c r="AG719" i="2"/>
  <c r="AI719" i="2"/>
  <c r="I719" i="2"/>
  <c r="J719" i="2"/>
  <c r="F719" i="2"/>
  <c r="G719" i="2"/>
  <c r="AA719" i="2"/>
  <c r="B721" i="2" l="1"/>
  <c r="K720" i="2"/>
  <c r="T720" i="2"/>
  <c r="F720" i="2"/>
  <c r="AH720" i="2"/>
  <c r="V720" i="2"/>
  <c r="X720" i="2"/>
  <c r="Y720" i="2"/>
  <c r="E720" i="2"/>
  <c r="AK720" i="2"/>
  <c r="O720" i="2"/>
  <c r="L720" i="2"/>
  <c r="AL720" i="2"/>
  <c r="AM720" i="2"/>
  <c r="Q720" i="2"/>
  <c r="S720" i="2"/>
  <c r="G720" i="2"/>
  <c r="W720" i="2"/>
  <c r="N720" i="2"/>
  <c r="P720" i="2"/>
  <c r="R720" i="2"/>
  <c r="AN720" i="2"/>
  <c r="AB720" i="2"/>
  <c r="AO720" i="2"/>
  <c r="I720" i="2"/>
  <c r="AG720" i="2"/>
  <c r="Z720" i="2"/>
  <c r="AF720" i="2"/>
  <c r="AJ720" i="2"/>
  <c r="H720" i="2"/>
  <c r="J720" i="2"/>
  <c r="U720" i="2"/>
  <c r="AE720" i="2"/>
  <c r="AD720" i="2"/>
  <c r="M720" i="2"/>
  <c r="AC720" i="2"/>
  <c r="D720" i="2"/>
  <c r="AI720" i="2"/>
  <c r="AA720" i="2"/>
  <c r="C720" i="2"/>
  <c r="B722" i="2" l="1"/>
  <c r="J721" i="2"/>
  <c r="M721" i="2"/>
  <c r="Z721" i="2"/>
  <c r="D721" i="2"/>
  <c r="P721" i="2"/>
  <c r="AI721" i="2"/>
  <c r="S721" i="2"/>
  <c r="AB721" i="2"/>
  <c r="K721" i="2"/>
  <c r="X721" i="2"/>
  <c r="AF721" i="2"/>
  <c r="N721" i="2"/>
  <c r="W721" i="2"/>
  <c r="AA721" i="2"/>
  <c r="AL721" i="2"/>
  <c r="Y721" i="2"/>
  <c r="AD721" i="2"/>
  <c r="H721" i="2"/>
  <c r="F721" i="2"/>
  <c r="Q721" i="2"/>
  <c r="I721" i="2"/>
  <c r="AC721" i="2"/>
  <c r="AN721" i="2"/>
  <c r="G721" i="2"/>
  <c r="AO721" i="2"/>
  <c r="AE721" i="2"/>
  <c r="O721" i="2"/>
  <c r="AH721" i="2"/>
  <c r="AG721" i="2"/>
  <c r="R721" i="2"/>
  <c r="U721" i="2"/>
  <c r="AK721" i="2"/>
  <c r="E721" i="2"/>
  <c r="L721" i="2"/>
  <c r="AM721" i="2"/>
  <c r="T721" i="2"/>
  <c r="V721" i="2"/>
  <c r="AJ721" i="2"/>
  <c r="C721" i="2"/>
  <c r="B723" i="2" l="1"/>
  <c r="Z722" i="2"/>
  <c r="V722" i="2"/>
  <c r="R722" i="2"/>
  <c r="P722" i="2"/>
  <c r="K722" i="2"/>
  <c r="I722" i="2"/>
  <c r="U722" i="2"/>
  <c r="AF722" i="2"/>
  <c r="H722" i="2"/>
  <c r="AB722" i="2"/>
  <c r="S722" i="2"/>
  <c r="AK722" i="2"/>
  <c r="J722" i="2"/>
  <c r="O722" i="2"/>
  <c r="E722" i="2"/>
  <c r="C722" i="2"/>
  <c r="AO722" i="2"/>
  <c r="AH722" i="2"/>
  <c r="AA722" i="2"/>
  <c r="X722" i="2"/>
  <c r="AM722" i="2"/>
  <c r="G722" i="2"/>
  <c r="Y722" i="2"/>
  <c r="L722" i="2"/>
  <c r="AL722" i="2"/>
  <c r="AE722" i="2"/>
  <c r="AC722" i="2"/>
  <c r="AD722" i="2"/>
  <c r="AJ722" i="2"/>
  <c r="M722" i="2"/>
  <c r="T722" i="2"/>
  <c r="Q722" i="2"/>
  <c r="F722" i="2"/>
  <c r="N722" i="2"/>
  <c r="D722" i="2"/>
  <c r="AN722" i="2"/>
  <c r="W722" i="2"/>
  <c r="AI722" i="2"/>
  <c r="AG722" i="2"/>
  <c r="B724" i="2" l="1"/>
  <c r="W723" i="2"/>
  <c r="AC723" i="2"/>
  <c r="AE723" i="2"/>
  <c r="V723" i="2"/>
  <c r="T723" i="2"/>
  <c r="H723" i="2"/>
  <c r="K723" i="2"/>
  <c r="AG723" i="2"/>
  <c r="AB723" i="2"/>
  <c r="AI723" i="2"/>
  <c r="J723" i="2"/>
  <c r="X723" i="2"/>
  <c r="Y723" i="2"/>
  <c r="AN723" i="2"/>
  <c r="F723" i="2"/>
  <c r="O723" i="2"/>
  <c r="AO723" i="2"/>
  <c r="I723" i="2"/>
  <c r="M723" i="2"/>
  <c r="G723" i="2"/>
  <c r="AH723" i="2"/>
  <c r="AD723" i="2"/>
  <c r="AF723" i="2"/>
  <c r="AL723" i="2"/>
  <c r="L723" i="2"/>
  <c r="E723" i="2"/>
  <c r="N723" i="2"/>
  <c r="AK723" i="2"/>
  <c r="U723" i="2"/>
  <c r="D723" i="2"/>
  <c r="C723" i="2"/>
  <c r="Z723" i="2"/>
  <c r="AA723" i="2"/>
  <c r="P723" i="2"/>
  <c r="AM723" i="2"/>
  <c r="S723" i="2"/>
  <c r="Q723" i="2"/>
  <c r="AJ723" i="2"/>
  <c r="R723" i="2"/>
  <c r="B725" i="2" l="1"/>
  <c r="X724" i="2"/>
  <c r="M724" i="2"/>
  <c r="AC724" i="2"/>
  <c r="AM724" i="2"/>
  <c r="H724" i="2"/>
  <c r="AE724" i="2"/>
  <c r="O724" i="2"/>
  <c r="P724" i="2"/>
  <c r="W724" i="2"/>
  <c r="U724" i="2"/>
  <c r="I724" i="2"/>
  <c r="K724" i="2"/>
  <c r="AI724" i="2"/>
  <c r="F724" i="2"/>
  <c r="Y724" i="2"/>
  <c r="AF724" i="2"/>
  <c r="J724" i="2"/>
  <c r="L724" i="2"/>
  <c r="AB724" i="2"/>
  <c r="AH724" i="2"/>
  <c r="AJ724" i="2"/>
  <c r="S724" i="2"/>
  <c r="AN724" i="2"/>
  <c r="AG724" i="2"/>
  <c r="D724" i="2"/>
  <c r="R724" i="2"/>
  <c r="T724" i="2"/>
  <c r="Z724" i="2"/>
  <c r="G724" i="2"/>
  <c r="AO724" i="2"/>
  <c r="E724" i="2"/>
  <c r="AD724" i="2"/>
  <c r="Q724" i="2"/>
  <c r="V724" i="2"/>
  <c r="C724" i="2"/>
  <c r="AK724" i="2"/>
  <c r="AL724" i="2"/>
  <c r="AA724" i="2"/>
  <c r="N724" i="2"/>
  <c r="B726" i="2" l="1"/>
  <c r="F725" i="2"/>
  <c r="AM725" i="2"/>
  <c r="G725" i="2"/>
  <c r="M725" i="2"/>
  <c r="AF725" i="2"/>
  <c r="H725" i="2"/>
  <c r="J725" i="2"/>
  <c r="AG725" i="2"/>
  <c r="AC725" i="2"/>
  <c r="Z725" i="2"/>
  <c r="S725" i="2"/>
  <c r="U725" i="2"/>
  <c r="AK725" i="2"/>
  <c r="AE725" i="2"/>
  <c r="AI725" i="2"/>
  <c r="D725" i="2"/>
  <c r="AN725" i="2"/>
  <c r="C725" i="2"/>
  <c r="X725" i="2"/>
  <c r="L725" i="2"/>
  <c r="AH725" i="2"/>
  <c r="AA725" i="2"/>
  <c r="I725" i="2"/>
  <c r="Y725" i="2"/>
  <c r="T725" i="2"/>
  <c r="V725" i="2"/>
  <c r="E725" i="2"/>
  <c r="AO725" i="2"/>
  <c r="AJ725" i="2"/>
  <c r="AL725" i="2"/>
  <c r="O725" i="2"/>
  <c r="W725" i="2"/>
  <c r="Q725" i="2"/>
  <c r="K725" i="2"/>
  <c r="P725" i="2"/>
  <c r="R725" i="2"/>
  <c r="AB725" i="2"/>
  <c r="AD725" i="2"/>
  <c r="N725" i="2"/>
  <c r="B727" i="2" l="1"/>
  <c r="X726" i="2"/>
  <c r="E726" i="2"/>
  <c r="P726" i="2"/>
  <c r="AN726" i="2"/>
  <c r="C726" i="2"/>
  <c r="G726" i="2"/>
  <c r="AG726" i="2"/>
  <c r="M726" i="2"/>
  <c r="AD726" i="2"/>
  <c r="N726" i="2"/>
  <c r="AB726" i="2"/>
  <c r="Q726" i="2"/>
  <c r="S726" i="2"/>
  <c r="AJ726" i="2"/>
  <c r="U726" i="2"/>
  <c r="D726" i="2"/>
  <c r="AH726" i="2"/>
  <c r="AC726" i="2"/>
  <c r="K726" i="2"/>
  <c r="AK726" i="2"/>
  <c r="AL726" i="2"/>
  <c r="I726" i="2"/>
  <c r="AF726" i="2"/>
  <c r="AO726" i="2"/>
  <c r="Z726" i="2"/>
  <c r="AI726" i="2"/>
  <c r="O726" i="2"/>
  <c r="J726" i="2"/>
  <c r="AE726" i="2"/>
  <c r="R726" i="2"/>
  <c r="W726" i="2"/>
  <c r="V726" i="2"/>
  <c r="Y726" i="2"/>
  <c r="L726" i="2"/>
  <c r="H726" i="2"/>
  <c r="AA726" i="2"/>
  <c r="F726" i="2"/>
  <c r="T726" i="2"/>
  <c r="AM726" i="2"/>
  <c r="B728" i="2" l="1"/>
  <c r="R727" i="2"/>
  <c r="AJ727" i="2"/>
  <c r="S727" i="2"/>
  <c r="I727" i="2"/>
  <c r="H727" i="2"/>
  <c r="M727" i="2"/>
  <c r="AG727" i="2"/>
  <c r="V727" i="2"/>
  <c r="AE727" i="2"/>
  <c r="AC727" i="2"/>
  <c r="AF727" i="2"/>
  <c r="AH727" i="2"/>
  <c r="N727" i="2"/>
  <c r="AI727" i="2"/>
  <c r="Z727" i="2"/>
  <c r="AA727" i="2"/>
  <c r="AL727" i="2"/>
  <c r="O727" i="2"/>
  <c r="K727" i="2"/>
  <c r="F727" i="2"/>
  <c r="AK727" i="2"/>
  <c r="L727" i="2"/>
  <c r="AN727" i="2"/>
  <c r="AB727" i="2"/>
  <c r="T727" i="2"/>
  <c r="Q727" i="2"/>
  <c r="U727" i="2"/>
  <c r="W727" i="2"/>
  <c r="C727" i="2"/>
  <c r="AD727" i="2"/>
  <c r="E727" i="2"/>
  <c r="D727" i="2"/>
  <c r="Y727" i="2"/>
  <c r="AM727" i="2"/>
  <c r="AO727" i="2"/>
  <c r="P727" i="2"/>
  <c r="X727" i="2"/>
  <c r="G727" i="2"/>
  <c r="J727" i="2"/>
  <c r="B729" i="2" l="1"/>
  <c r="AE728" i="2"/>
  <c r="D728" i="2"/>
  <c r="AH728" i="2"/>
  <c r="F728" i="2"/>
  <c r="AM728" i="2"/>
  <c r="G728" i="2"/>
  <c r="AO728" i="2"/>
  <c r="I728" i="2"/>
  <c r="W728" i="2"/>
  <c r="M728" i="2"/>
  <c r="J728" i="2"/>
  <c r="AB728" i="2"/>
  <c r="AI728" i="2"/>
  <c r="AA728" i="2"/>
  <c r="R728" i="2"/>
  <c r="U728" i="2"/>
  <c r="C728" i="2"/>
  <c r="Y728" i="2"/>
  <c r="E728" i="2"/>
  <c r="L728" i="2"/>
  <c r="V728" i="2"/>
  <c r="Z728" i="2"/>
  <c r="AN728" i="2"/>
  <c r="AG728" i="2"/>
  <c r="AJ728" i="2"/>
  <c r="H728" i="2"/>
  <c r="Q728" i="2"/>
  <c r="AC728" i="2"/>
  <c r="X728" i="2"/>
  <c r="AK728" i="2"/>
  <c r="P728" i="2"/>
  <c r="O728" i="2"/>
  <c r="AL728" i="2"/>
  <c r="K728" i="2"/>
  <c r="AF728" i="2"/>
  <c r="N728" i="2"/>
  <c r="AD728" i="2"/>
  <c r="S728" i="2"/>
  <c r="T728" i="2"/>
  <c r="B730" i="2" l="1"/>
  <c r="AK729" i="2"/>
  <c r="Z729" i="2"/>
  <c r="W729" i="2"/>
  <c r="C729" i="2"/>
  <c r="P729" i="2"/>
  <c r="AA729" i="2"/>
  <c r="AL729" i="2"/>
  <c r="AH729" i="2"/>
  <c r="AG729" i="2"/>
  <c r="M729" i="2"/>
  <c r="R729" i="2"/>
  <c r="J729" i="2"/>
  <c r="D729" i="2"/>
  <c r="E729" i="2"/>
  <c r="S729" i="2"/>
  <c r="AI729" i="2"/>
  <c r="V729" i="2"/>
  <c r="AD729" i="2"/>
  <c r="AB729" i="2"/>
  <c r="AO729" i="2"/>
  <c r="Y729" i="2"/>
  <c r="AJ729" i="2"/>
  <c r="AN729" i="2"/>
  <c r="AC729" i="2"/>
  <c r="G729" i="2"/>
  <c r="I729" i="2"/>
  <c r="N729" i="2"/>
  <c r="H729" i="2"/>
  <c r="X729" i="2"/>
  <c r="O729" i="2"/>
  <c r="AM729" i="2"/>
  <c r="U729" i="2"/>
  <c r="F729" i="2"/>
  <c r="AF729" i="2"/>
  <c r="T729" i="2"/>
  <c r="Q729" i="2"/>
  <c r="K729" i="2"/>
  <c r="AE729" i="2"/>
  <c r="L729" i="2"/>
  <c r="B731" i="2" l="1"/>
  <c r="AO730" i="2"/>
  <c r="AF730" i="2"/>
  <c r="AM730" i="2"/>
  <c r="AH730" i="2"/>
  <c r="AE730" i="2"/>
  <c r="AG730" i="2"/>
  <c r="T730" i="2"/>
  <c r="AI730" i="2"/>
  <c r="AC730" i="2"/>
  <c r="J730" i="2"/>
  <c r="AL730" i="2"/>
  <c r="M730" i="2"/>
  <c r="C730" i="2"/>
  <c r="O730" i="2"/>
  <c r="AA730" i="2"/>
  <c r="AK730" i="2"/>
  <c r="AN730" i="2"/>
  <c r="AJ730" i="2"/>
  <c r="W730" i="2"/>
  <c r="V730" i="2"/>
  <c r="G730" i="2"/>
  <c r="H730" i="2"/>
  <c r="X730" i="2"/>
  <c r="S730" i="2"/>
  <c r="D730" i="2"/>
  <c r="N730" i="2"/>
  <c r="P730" i="2"/>
  <c r="F730" i="2"/>
  <c r="AB730" i="2"/>
  <c r="AD730" i="2"/>
  <c r="L730" i="2"/>
  <c r="Q730" i="2"/>
  <c r="R730" i="2"/>
  <c r="U730" i="2"/>
  <c r="E730" i="2"/>
  <c r="Z730" i="2"/>
  <c r="K730" i="2"/>
  <c r="I730" i="2"/>
  <c r="Y730" i="2"/>
  <c r="B732" i="2" l="1"/>
  <c r="AM731" i="2"/>
  <c r="K731" i="2"/>
  <c r="V731" i="2"/>
  <c r="O731" i="2"/>
  <c r="W731" i="2"/>
  <c r="H731" i="2"/>
  <c r="AJ731" i="2"/>
  <c r="AK731" i="2"/>
  <c r="Q731" i="2"/>
  <c r="AG731" i="2"/>
  <c r="AD731" i="2"/>
  <c r="M731" i="2"/>
  <c r="D731" i="2"/>
  <c r="AE731" i="2"/>
  <c r="F731" i="2"/>
  <c r="G731" i="2"/>
  <c r="Z731" i="2"/>
  <c r="AO731" i="2"/>
  <c r="P731" i="2"/>
  <c r="R731" i="2"/>
  <c r="E731" i="2"/>
  <c r="S731" i="2"/>
  <c r="C731" i="2"/>
  <c r="AH731" i="2"/>
  <c r="N731" i="2"/>
  <c r="AN731" i="2"/>
  <c r="U731" i="2"/>
  <c r="T731" i="2"/>
  <c r="Y731" i="2"/>
  <c r="AI731" i="2"/>
  <c r="X731" i="2"/>
  <c r="AL731" i="2"/>
  <c r="L731" i="2"/>
  <c r="I731" i="2"/>
  <c r="AC731" i="2"/>
  <c r="J731" i="2"/>
  <c r="AB731" i="2"/>
  <c r="AA731" i="2"/>
  <c r="AF731" i="2"/>
  <c r="B733" i="2" l="1"/>
  <c r="S732" i="2"/>
  <c r="W732" i="2"/>
  <c r="O732" i="2"/>
  <c r="G732" i="2"/>
  <c r="AH732" i="2"/>
  <c r="K732" i="2"/>
  <c r="AA732" i="2"/>
  <c r="P732" i="2"/>
  <c r="X732" i="2"/>
  <c r="AC732" i="2"/>
  <c r="AI732" i="2"/>
  <c r="E732" i="2"/>
  <c r="AM732" i="2"/>
  <c r="AF732" i="2"/>
  <c r="AK732" i="2"/>
  <c r="H732" i="2"/>
  <c r="Y732" i="2"/>
  <c r="T732" i="2"/>
  <c r="I732" i="2"/>
  <c r="AN732" i="2"/>
  <c r="F732" i="2"/>
  <c r="R732" i="2"/>
  <c r="J732" i="2"/>
  <c r="M732" i="2"/>
  <c r="AD732" i="2"/>
  <c r="AE732" i="2"/>
  <c r="AB732" i="2"/>
  <c r="C732" i="2"/>
  <c r="V732" i="2"/>
  <c r="L732" i="2"/>
  <c r="AG732" i="2"/>
  <c r="AL732" i="2"/>
  <c r="N732" i="2"/>
  <c r="AJ732" i="2"/>
  <c r="U732" i="2"/>
  <c r="D732" i="2"/>
  <c r="Q732" i="2"/>
  <c r="Z732" i="2"/>
  <c r="AO732" i="2"/>
  <c r="B734" i="2" l="1"/>
  <c r="O733" i="2"/>
  <c r="AN733" i="2"/>
  <c r="AK733" i="2"/>
  <c r="S733" i="2"/>
  <c r="W733" i="2"/>
  <c r="T733" i="2"/>
  <c r="R733" i="2"/>
  <c r="AJ733" i="2"/>
  <c r="H733" i="2"/>
  <c r="L733" i="2"/>
  <c r="AH733" i="2"/>
  <c r="G733" i="2"/>
  <c r="AB733" i="2"/>
  <c r="AO733" i="2"/>
  <c r="P733" i="2"/>
  <c r="D733" i="2"/>
  <c r="AD733" i="2"/>
  <c r="U733" i="2"/>
  <c r="K733" i="2"/>
  <c r="Q733" i="2"/>
  <c r="J733" i="2"/>
  <c r="C733" i="2"/>
  <c r="M733" i="2"/>
  <c r="X733" i="2"/>
  <c r="Y733" i="2"/>
  <c r="Z733" i="2"/>
  <c r="AG733" i="2"/>
  <c r="AC733" i="2"/>
  <c r="AM733" i="2"/>
  <c r="AA733" i="2"/>
  <c r="F733" i="2"/>
  <c r="AF733" i="2"/>
  <c r="AL733" i="2"/>
  <c r="N733" i="2"/>
  <c r="AI733" i="2"/>
  <c r="I733" i="2"/>
  <c r="AE733" i="2"/>
  <c r="E733" i="2"/>
  <c r="V733" i="2"/>
  <c r="B735" i="2" l="1"/>
  <c r="H734" i="2"/>
  <c r="AG734" i="2"/>
  <c r="D734" i="2"/>
  <c r="AC734" i="2"/>
  <c r="AA734" i="2"/>
  <c r="AJ734" i="2"/>
  <c r="AL734" i="2"/>
  <c r="S734" i="2"/>
  <c r="O734" i="2"/>
  <c r="L734" i="2"/>
  <c r="F734" i="2"/>
  <c r="T734" i="2"/>
  <c r="AB734" i="2"/>
  <c r="AN734" i="2"/>
  <c r="P734" i="2"/>
  <c r="W734" i="2"/>
  <c r="Y734" i="2"/>
  <c r="J734" i="2"/>
  <c r="V734" i="2"/>
  <c r="AE734" i="2"/>
  <c r="I734" i="2"/>
  <c r="M734" i="2"/>
  <c r="AK734" i="2"/>
  <c r="E734" i="2"/>
  <c r="AI734" i="2"/>
  <c r="AM734" i="2"/>
  <c r="G734" i="2"/>
  <c r="C734" i="2"/>
  <c r="R734" i="2"/>
  <c r="AD734" i="2"/>
  <c r="X734" i="2"/>
  <c r="U734" i="2"/>
  <c r="K734" i="2"/>
  <c r="AO734" i="2"/>
  <c r="Z734" i="2"/>
  <c r="AH734" i="2"/>
  <c r="AF734" i="2"/>
  <c r="N734" i="2"/>
  <c r="Q734" i="2"/>
  <c r="B736" i="2" l="1"/>
  <c r="E735" i="2"/>
  <c r="P735" i="2"/>
  <c r="Y735" i="2"/>
  <c r="W735" i="2"/>
  <c r="H735" i="2"/>
  <c r="D735" i="2"/>
  <c r="J735" i="2"/>
  <c r="N735" i="2"/>
  <c r="AJ735" i="2"/>
  <c r="F735" i="2"/>
  <c r="AK735" i="2"/>
  <c r="X735" i="2"/>
  <c r="AB735" i="2"/>
  <c r="M735" i="2"/>
  <c r="AG735" i="2"/>
  <c r="AM735" i="2"/>
  <c r="AA735" i="2"/>
  <c r="T735" i="2"/>
  <c r="S735" i="2"/>
  <c r="I735" i="2"/>
  <c r="U735" i="2"/>
  <c r="V735" i="2"/>
  <c r="AD735" i="2"/>
  <c r="AF735" i="2"/>
  <c r="AI735" i="2"/>
  <c r="G735" i="2"/>
  <c r="O735" i="2"/>
  <c r="K735" i="2"/>
  <c r="AE735" i="2"/>
  <c r="AH735" i="2"/>
  <c r="AC735" i="2"/>
  <c r="Z735" i="2"/>
  <c r="AL735" i="2"/>
  <c r="Q735" i="2"/>
  <c r="AO735" i="2"/>
  <c r="L735" i="2"/>
  <c r="R735" i="2"/>
  <c r="C735" i="2"/>
  <c r="AN735" i="2"/>
  <c r="B737" i="2" l="1"/>
  <c r="AB736" i="2"/>
  <c r="G736" i="2"/>
  <c r="Z736" i="2"/>
  <c r="F736" i="2"/>
  <c r="M736" i="2"/>
  <c r="S736" i="2"/>
  <c r="H736" i="2"/>
  <c r="W736" i="2"/>
  <c r="Y736" i="2"/>
  <c r="AC736" i="2"/>
  <c r="AF736" i="2"/>
  <c r="C736" i="2"/>
  <c r="AG736" i="2"/>
  <c r="Q736" i="2"/>
  <c r="T736" i="2"/>
  <c r="N736" i="2"/>
  <c r="AJ736" i="2"/>
  <c r="X736" i="2"/>
  <c r="AI736" i="2"/>
  <c r="AK736" i="2"/>
  <c r="AO736" i="2"/>
  <c r="E736" i="2"/>
  <c r="L736" i="2"/>
  <c r="AE736" i="2"/>
  <c r="R736" i="2"/>
  <c r="O736" i="2"/>
  <c r="AD736" i="2"/>
  <c r="AL736" i="2"/>
  <c r="P736" i="2"/>
  <c r="U736" i="2"/>
  <c r="V736" i="2"/>
  <c r="D736" i="2"/>
  <c r="I736" i="2"/>
  <c r="AH736" i="2"/>
  <c r="AA736" i="2"/>
  <c r="AM736" i="2"/>
  <c r="J736" i="2"/>
  <c r="AN736" i="2"/>
  <c r="K736" i="2"/>
  <c r="B738" i="2" l="1"/>
  <c r="F737" i="2"/>
  <c r="V737" i="2"/>
  <c r="AH737" i="2"/>
  <c r="I737" i="2"/>
  <c r="AI737" i="2"/>
  <c r="AF737" i="2"/>
  <c r="K737" i="2"/>
  <c r="AC737" i="2"/>
  <c r="L737" i="2"/>
  <c r="R737" i="2"/>
  <c r="U737" i="2"/>
  <c r="D737" i="2"/>
  <c r="AE737" i="2"/>
  <c r="AB737" i="2"/>
  <c r="P737" i="2"/>
  <c r="AK737" i="2"/>
  <c r="Y737" i="2"/>
  <c r="Q737" i="2"/>
  <c r="N737" i="2"/>
  <c r="E737" i="2"/>
  <c r="H737" i="2"/>
  <c r="AL737" i="2"/>
  <c r="AM737" i="2"/>
  <c r="AA737" i="2"/>
  <c r="AN737" i="2"/>
  <c r="O737" i="2"/>
  <c r="M737" i="2"/>
  <c r="C737" i="2"/>
  <c r="AG737" i="2"/>
  <c r="S737" i="2"/>
  <c r="J737" i="2"/>
  <c r="W737" i="2"/>
  <c r="AD737" i="2"/>
  <c r="AO737" i="2"/>
  <c r="T737" i="2"/>
  <c r="Z737" i="2"/>
  <c r="AJ737" i="2"/>
  <c r="X737" i="2"/>
  <c r="G737" i="2"/>
  <c r="B739" i="2" l="1"/>
  <c r="Y738" i="2"/>
  <c r="AG738" i="2"/>
  <c r="W738" i="2"/>
  <c r="U738" i="2"/>
  <c r="X738" i="2"/>
  <c r="AL738" i="2"/>
  <c r="AO738" i="2"/>
  <c r="S738" i="2"/>
  <c r="H738" i="2"/>
  <c r="R738" i="2"/>
  <c r="J738" i="2"/>
  <c r="AE738" i="2"/>
  <c r="N738" i="2"/>
  <c r="AF738" i="2"/>
  <c r="AD738" i="2"/>
  <c r="E738" i="2"/>
  <c r="D738" i="2"/>
  <c r="O738" i="2"/>
  <c r="AC738" i="2"/>
  <c r="V738" i="2"/>
  <c r="AK738" i="2"/>
  <c r="AM738" i="2"/>
  <c r="I738" i="2"/>
  <c r="G738" i="2"/>
  <c r="F738" i="2"/>
  <c r="M738" i="2"/>
  <c r="AJ738" i="2"/>
  <c r="AH738" i="2"/>
  <c r="AI738" i="2"/>
  <c r="K738" i="2"/>
  <c r="T738" i="2"/>
  <c r="C738" i="2"/>
  <c r="AA738" i="2"/>
  <c r="Q738" i="2"/>
  <c r="AB738" i="2"/>
  <c r="AN738" i="2"/>
  <c r="Z738" i="2"/>
  <c r="L738" i="2"/>
  <c r="P738" i="2"/>
  <c r="B740" i="2" l="1"/>
  <c r="AF739" i="2"/>
  <c r="AM739" i="2"/>
  <c r="AC739" i="2"/>
  <c r="U739" i="2"/>
  <c r="X739" i="2"/>
  <c r="AB739" i="2"/>
  <c r="AA739" i="2"/>
  <c r="Z739" i="2"/>
  <c r="AD739" i="2"/>
  <c r="L739" i="2"/>
  <c r="Y739" i="2"/>
  <c r="K739" i="2"/>
  <c r="N739" i="2"/>
  <c r="H739" i="2"/>
  <c r="AK739" i="2"/>
  <c r="AH739" i="2"/>
  <c r="Q739" i="2"/>
  <c r="AO739" i="2"/>
  <c r="M739" i="2"/>
  <c r="J739" i="2"/>
  <c r="V739" i="2"/>
  <c r="AG739" i="2"/>
  <c r="C739" i="2"/>
  <c r="R739" i="2"/>
  <c r="W739" i="2"/>
  <c r="E739" i="2"/>
  <c r="F739" i="2"/>
  <c r="AJ739" i="2"/>
  <c r="P739" i="2"/>
  <c r="I739" i="2"/>
  <c r="AE739" i="2"/>
  <c r="T739" i="2"/>
  <c r="AI739" i="2"/>
  <c r="G739" i="2"/>
  <c r="O739" i="2"/>
  <c r="AL739" i="2"/>
  <c r="D739" i="2"/>
  <c r="S739" i="2"/>
  <c r="AN739" i="2"/>
  <c r="B741" i="2" l="1"/>
  <c r="P740" i="2"/>
  <c r="V740" i="2"/>
  <c r="AN740" i="2"/>
  <c r="AL740" i="2"/>
  <c r="S740" i="2"/>
  <c r="M740" i="2"/>
  <c r="C740" i="2"/>
  <c r="J740" i="2"/>
  <c r="AC740" i="2"/>
  <c r="O740" i="2"/>
  <c r="N740" i="2"/>
  <c r="G740" i="2"/>
  <c r="E740" i="2"/>
  <c r="L740" i="2"/>
  <c r="AE740" i="2"/>
  <c r="AB740" i="2"/>
  <c r="W740" i="2"/>
  <c r="Q740" i="2"/>
  <c r="T740" i="2"/>
  <c r="F740" i="2"/>
  <c r="Y740" i="2"/>
  <c r="U740" i="2"/>
  <c r="AG740" i="2"/>
  <c r="AM740" i="2"/>
  <c r="X740" i="2"/>
  <c r="AA740" i="2"/>
  <c r="AO740" i="2"/>
  <c r="I740" i="2"/>
  <c r="AF740" i="2"/>
  <c r="Z740" i="2"/>
  <c r="K740" i="2"/>
  <c r="AD740" i="2"/>
  <c r="R740" i="2"/>
  <c r="AJ740" i="2"/>
  <c r="AK740" i="2"/>
  <c r="D740" i="2"/>
  <c r="AI740" i="2"/>
  <c r="H740" i="2"/>
  <c r="AH740" i="2"/>
  <c r="B742" i="2" l="1"/>
  <c r="AK741" i="2"/>
  <c r="Q741" i="2"/>
  <c r="L741" i="2"/>
  <c r="O741" i="2"/>
  <c r="AN741" i="2"/>
  <c r="AF741" i="2"/>
  <c r="S741" i="2"/>
  <c r="AM741" i="2"/>
  <c r="W741" i="2"/>
  <c r="U741" i="2"/>
  <c r="AA741" i="2"/>
  <c r="E741" i="2"/>
  <c r="V741" i="2"/>
  <c r="D741" i="2"/>
  <c r="G741" i="2"/>
  <c r="T741" i="2"/>
  <c r="AC741" i="2"/>
  <c r="Z741" i="2"/>
  <c r="P741" i="2"/>
  <c r="I741" i="2"/>
  <c r="AB741" i="2"/>
  <c r="J741" i="2"/>
  <c r="AG741" i="2"/>
  <c r="AD741" i="2"/>
  <c r="R741" i="2"/>
  <c r="AI741" i="2"/>
  <c r="AH741" i="2"/>
  <c r="F741" i="2"/>
  <c r="K741" i="2"/>
  <c r="C741" i="2"/>
  <c r="N741" i="2"/>
  <c r="AJ741" i="2"/>
  <c r="M741" i="2"/>
  <c r="H741" i="2"/>
  <c r="AL741" i="2"/>
  <c r="X741" i="2"/>
  <c r="AO741" i="2"/>
  <c r="AE741" i="2"/>
  <c r="Y741" i="2"/>
  <c r="B743" i="2" l="1"/>
  <c r="AB742" i="2"/>
  <c r="D742" i="2"/>
  <c r="K742" i="2"/>
  <c r="E742" i="2"/>
  <c r="AO742" i="2"/>
  <c r="R742" i="2"/>
  <c r="X742" i="2"/>
  <c r="O742" i="2"/>
  <c r="AH742" i="2"/>
  <c r="N742" i="2"/>
  <c r="AC742" i="2"/>
  <c r="I742" i="2"/>
  <c r="S742" i="2"/>
  <c r="G742" i="2"/>
  <c r="AL742" i="2"/>
  <c r="AE742" i="2"/>
  <c r="AM742" i="2"/>
  <c r="F742" i="2"/>
  <c r="V742" i="2"/>
  <c r="T742" i="2"/>
  <c r="W742" i="2"/>
  <c r="AJ742" i="2"/>
  <c r="AI742" i="2"/>
  <c r="P742" i="2"/>
  <c r="Z742" i="2"/>
  <c r="J742" i="2"/>
  <c r="H742" i="2"/>
  <c r="U742" i="2"/>
  <c r="AA742" i="2"/>
  <c r="AK742" i="2"/>
  <c r="AF742" i="2"/>
  <c r="Q742" i="2"/>
  <c r="C742" i="2"/>
  <c r="L742" i="2"/>
  <c r="AG742" i="2"/>
  <c r="AN742" i="2"/>
  <c r="AD742" i="2"/>
  <c r="M742" i="2"/>
  <c r="Y742" i="2"/>
  <c r="B744" i="2" l="1"/>
  <c r="AM743" i="2"/>
  <c r="AD743" i="2"/>
  <c r="L743" i="2"/>
  <c r="AL743" i="2"/>
  <c r="AE743" i="2"/>
  <c r="Z743" i="2"/>
  <c r="AF743" i="2"/>
  <c r="AA743" i="2"/>
  <c r="D743" i="2"/>
  <c r="M743" i="2"/>
  <c r="I743" i="2"/>
  <c r="X743" i="2"/>
  <c r="AG743" i="2"/>
  <c r="E743" i="2"/>
  <c r="S743" i="2"/>
  <c r="AO743" i="2"/>
  <c r="R743" i="2"/>
  <c r="V743" i="2"/>
  <c r="AI743" i="2"/>
  <c r="Y743" i="2"/>
  <c r="C743" i="2"/>
  <c r="AC743" i="2"/>
  <c r="AB743" i="2"/>
  <c r="F743" i="2"/>
  <c r="T743" i="2"/>
  <c r="U743" i="2"/>
  <c r="W743" i="2"/>
  <c r="J743" i="2"/>
  <c r="O743" i="2"/>
  <c r="AH743" i="2"/>
  <c r="AJ743" i="2"/>
  <c r="N743" i="2"/>
  <c r="AK743" i="2"/>
  <c r="AN743" i="2"/>
  <c r="G743" i="2"/>
  <c r="P743" i="2"/>
  <c r="Q743" i="2"/>
  <c r="H743" i="2"/>
  <c r="K743" i="2"/>
  <c r="B745" i="2" l="1"/>
  <c r="S744" i="2"/>
  <c r="J744" i="2"/>
  <c r="AB744" i="2"/>
  <c r="Z744" i="2"/>
  <c r="AO744" i="2"/>
  <c r="C744" i="2"/>
  <c r="AC744" i="2"/>
  <c r="H744" i="2"/>
  <c r="L744" i="2"/>
  <c r="I744" i="2"/>
  <c r="AH744" i="2"/>
  <c r="O744" i="2"/>
  <c r="U744" i="2"/>
  <c r="AF744" i="2"/>
  <c r="AI744" i="2"/>
  <c r="AE744" i="2"/>
  <c r="M744" i="2"/>
  <c r="F744" i="2"/>
  <c r="AG744" i="2"/>
  <c r="AM744" i="2"/>
  <c r="AL744" i="2"/>
  <c r="W744" i="2"/>
  <c r="AA744" i="2"/>
  <c r="P744" i="2"/>
  <c r="K744" i="2"/>
  <c r="T744" i="2"/>
  <c r="AJ744" i="2"/>
  <c r="E744" i="2"/>
  <c r="AK744" i="2"/>
  <c r="G744" i="2"/>
  <c r="R744" i="2"/>
  <c r="Y744" i="2"/>
  <c r="X744" i="2"/>
  <c r="D744" i="2"/>
  <c r="Q744" i="2"/>
  <c r="N744" i="2"/>
  <c r="V744" i="2"/>
  <c r="AD744" i="2"/>
  <c r="AN744" i="2"/>
  <c r="B746" i="2" l="1"/>
  <c r="W745" i="2"/>
  <c r="D745" i="2"/>
  <c r="I745" i="2"/>
  <c r="Z745" i="2"/>
  <c r="AA745" i="2"/>
  <c r="AB745" i="2"/>
  <c r="AO745" i="2"/>
  <c r="L745" i="2"/>
  <c r="M745" i="2"/>
  <c r="F745" i="2"/>
  <c r="AM745" i="2"/>
  <c r="U745" i="2"/>
  <c r="AC745" i="2"/>
  <c r="N745" i="2"/>
  <c r="S745" i="2"/>
  <c r="E745" i="2"/>
  <c r="AG745" i="2"/>
  <c r="Q745" i="2"/>
  <c r="V745" i="2"/>
  <c r="T745" i="2"/>
  <c r="H745" i="2"/>
  <c r="AF745" i="2"/>
  <c r="G745" i="2"/>
  <c r="AK745" i="2"/>
  <c r="AL745" i="2"/>
  <c r="AN745" i="2"/>
  <c r="AE745" i="2"/>
  <c r="K745" i="2"/>
  <c r="C745" i="2"/>
  <c r="J745" i="2"/>
  <c r="AH745" i="2"/>
  <c r="AD745" i="2"/>
  <c r="P745" i="2"/>
  <c r="O745" i="2"/>
  <c r="X745" i="2"/>
  <c r="R745" i="2"/>
  <c r="AI745" i="2"/>
  <c r="AJ745" i="2"/>
  <c r="Y745" i="2"/>
  <c r="B747" i="2" l="1"/>
  <c r="S746" i="2"/>
  <c r="AG746" i="2"/>
  <c r="AN746" i="2"/>
  <c r="AC746" i="2"/>
  <c r="AI746" i="2"/>
  <c r="D746" i="2"/>
  <c r="I746" i="2"/>
  <c r="N746" i="2"/>
  <c r="Y746" i="2"/>
  <c r="U746" i="2"/>
  <c r="AO746" i="2"/>
  <c r="V746" i="2"/>
  <c r="K746" i="2"/>
  <c r="AH746" i="2"/>
  <c r="AJ746" i="2"/>
  <c r="M746" i="2"/>
  <c r="H746" i="2"/>
  <c r="T746" i="2"/>
  <c r="C746" i="2"/>
  <c r="Z746" i="2"/>
  <c r="R746" i="2"/>
  <c r="G746" i="2"/>
  <c r="AF746" i="2"/>
  <c r="E746" i="2"/>
  <c r="O746" i="2"/>
  <c r="AK746" i="2"/>
  <c r="X746" i="2"/>
  <c r="AL746" i="2"/>
  <c r="AB746" i="2"/>
  <c r="AE746" i="2"/>
  <c r="J746" i="2"/>
  <c r="F746" i="2"/>
  <c r="W746" i="2"/>
  <c r="L746" i="2"/>
  <c r="AA746" i="2"/>
  <c r="P746" i="2"/>
  <c r="AD746" i="2"/>
  <c r="Q746" i="2"/>
  <c r="AM746" i="2"/>
  <c r="B748" i="2" l="1"/>
  <c r="R747" i="2"/>
  <c r="F747" i="2"/>
  <c r="AA747" i="2"/>
  <c r="D747" i="2"/>
  <c r="AB747" i="2"/>
  <c r="E747" i="2"/>
  <c r="W747" i="2"/>
  <c r="M747" i="2"/>
  <c r="X747" i="2"/>
  <c r="T747" i="2"/>
  <c r="Y747" i="2"/>
  <c r="AJ747" i="2"/>
  <c r="H747" i="2"/>
  <c r="AH747" i="2"/>
  <c r="AM747" i="2"/>
  <c r="G747" i="2"/>
  <c r="U747" i="2"/>
  <c r="AO747" i="2"/>
  <c r="C747" i="2"/>
  <c r="AC747" i="2"/>
  <c r="AL747" i="2"/>
  <c r="AI747" i="2"/>
  <c r="J747" i="2"/>
  <c r="N747" i="2"/>
  <c r="P747" i="2"/>
  <c r="O747" i="2"/>
  <c r="I747" i="2"/>
  <c r="AE747" i="2"/>
  <c r="AN747" i="2"/>
  <c r="K747" i="2"/>
  <c r="S747" i="2"/>
  <c r="L747" i="2"/>
  <c r="V747" i="2"/>
  <c r="AF747" i="2"/>
  <c r="AG747" i="2"/>
  <c r="AK747" i="2"/>
  <c r="Z747" i="2"/>
  <c r="Q747" i="2"/>
  <c r="AD747" i="2"/>
  <c r="B749" i="2" l="1"/>
  <c r="S748" i="2"/>
  <c r="C748" i="2"/>
  <c r="AK748" i="2"/>
  <c r="T748" i="2"/>
  <c r="I748" i="2"/>
  <c r="X748" i="2"/>
  <c r="W748" i="2"/>
  <c r="AC748" i="2"/>
  <c r="Y748" i="2"/>
  <c r="F748" i="2"/>
  <c r="AH748" i="2"/>
  <c r="AI748" i="2"/>
  <c r="AD748" i="2"/>
  <c r="Z748" i="2"/>
  <c r="G748" i="2"/>
  <c r="K748" i="2"/>
  <c r="O748" i="2"/>
  <c r="P748" i="2"/>
  <c r="AM748" i="2"/>
  <c r="AE748" i="2"/>
  <c r="V748" i="2"/>
  <c r="AA748" i="2"/>
  <c r="AF748" i="2"/>
  <c r="J748" i="2"/>
  <c r="D748" i="2"/>
  <c r="AG748" i="2"/>
  <c r="H748" i="2"/>
  <c r="Q748" i="2"/>
  <c r="M748" i="2"/>
  <c r="R748" i="2"/>
  <c r="N748" i="2"/>
  <c r="E748" i="2"/>
  <c r="AL748" i="2"/>
  <c r="U748" i="2"/>
  <c r="AN748" i="2"/>
  <c r="AB748" i="2"/>
  <c r="AJ748" i="2"/>
  <c r="L748" i="2"/>
  <c r="AO748" i="2"/>
  <c r="B750" i="2" l="1"/>
  <c r="AN749" i="2"/>
  <c r="AH749" i="2"/>
  <c r="AK749" i="2"/>
  <c r="AC749" i="2"/>
  <c r="AE749" i="2"/>
  <c r="F749" i="2"/>
  <c r="AA749" i="2"/>
  <c r="U749" i="2"/>
  <c r="C749" i="2"/>
  <c r="W749" i="2"/>
  <c r="AI749" i="2"/>
  <c r="O749" i="2"/>
  <c r="Q749" i="2"/>
  <c r="H749" i="2"/>
  <c r="AL749" i="2"/>
  <c r="AO749" i="2"/>
  <c r="Y749" i="2"/>
  <c r="AG749" i="2"/>
  <c r="T749" i="2"/>
  <c r="Z749" i="2"/>
  <c r="D749" i="2"/>
  <c r="L749" i="2"/>
  <c r="N749" i="2"/>
  <c r="J749" i="2"/>
  <c r="G749" i="2"/>
  <c r="V749" i="2"/>
  <c r="AB749" i="2"/>
  <c r="R749" i="2"/>
  <c r="AJ749" i="2"/>
  <c r="P749" i="2"/>
  <c r="E749" i="2"/>
  <c r="S749" i="2"/>
  <c r="AF749" i="2"/>
  <c r="K749" i="2"/>
  <c r="M749" i="2"/>
  <c r="I749" i="2"/>
  <c r="AM749" i="2"/>
  <c r="AD749" i="2"/>
  <c r="X749" i="2"/>
  <c r="B751" i="2" l="1"/>
  <c r="D750" i="2"/>
  <c r="X750" i="2"/>
  <c r="G750" i="2"/>
  <c r="K750" i="2"/>
  <c r="I750" i="2"/>
  <c r="W750" i="2"/>
  <c r="AM750" i="2"/>
  <c r="AN750" i="2"/>
  <c r="T750" i="2"/>
  <c r="R750" i="2"/>
  <c r="AO750" i="2"/>
  <c r="Y750" i="2"/>
  <c r="AB750" i="2"/>
  <c r="O750" i="2"/>
  <c r="Z750" i="2"/>
  <c r="AI750" i="2"/>
  <c r="E750" i="2"/>
  <c r="M750" i="2"/>
  <c r="AG750" i="2"/>
  <c r="AE750" i="2"/>
  <c r="AD750" i="2"/>
  <c r="AL750" i="2"/>
  <c r="AJ750" i="2"/>
  <c r="H750" i="2"/>
  <c r="S750" i="2"/>
  <c r="J750" i="2"/>
  <c r="Q750" i="2"/>
  <c r="F750" i="2"/>
  <c r="AK750" i="2"/>
  <c r="AH750" i="2"/>
  <c r="P750" i="2"/>
  <c r="U750" i="2"/>
  <c r="V750" i="2"/>
  <c r="AA750" i="2"/>
  <c r="AC750" i="2"/>
  <c r="AF750" i="2"/>
  <c r="N750" i="2"/>
  <c r="C750" i="2"/>
  <c r="L750" i="2"/>
  <c r="B752" i="2" l="1"/>
  <c r="AD751" i="2"/>
  <c r="U751" i="2"/>
  <c r="G751" i="2"/>
  <c r="O751" i="2"/>
  <c r="AI751" i="2"/>
  <c r="AO751" i="2"/>
  <c r="W751" i="2"/>
  <c r="Y751" i="2"/>
  <c r="AM751" i="2"/>
  <c r="P751" i="2"/>
  <c r="AK751" i="2"/>
  <c r="S751" i="2"/>
  <c r="AF751" i="2"/>
  <c r="Q751" i="2"/>
  <c r="C751" i="2"/>
  <c r="AJ751" i="2"/>
  <c r="R751" i="2"/>
  <c r="V751" i="2"/>
  <c r="AG751" i="2"/>
  <c r="AC751" i="2"/>
  <c r="I751" i="2"/>
  <c r="AH751" i="2"/>
  <c r="K751" i="2"/>
  <c r="D751" i="2"/>
  <c r="AL751" i="2"/>
  <c r="H751" i="2"/>
  <c r="J751" i="2"/>
  <c r="X751" i="2"/>
  <c r="AA751" i="2"/>
  <c r="F751" i="2"/>
  <c r="L751" i="2"/>
  <c r="AB751" i="2"/>
  <c r="T751" i="2"/>
  <c r="M751" i="2"/>
  <c r="AE751" i="2"/>
  <c r="N751" i="2"/>
  <c r="Z751" i="2"/>
  <c r="AN751" i="2"/>
  <c r="E751" i="2"/>
  <c r="B753" i="2" l="1"/>
  <c r="W752" i="2"/>
  <c r="AH752" i="2"/>
  <c r="AE752" i="2"/>
  <c r="V752" i="2"/>
  <c r="AK752" i="2"/>
  <c r="AC752" i="2"/>
  <c r="AL752" i="2"/>
  <c r="X752" i="2"/>
  <c r="AF752" i="2"/>
  <c r="AA752" i="2"/>
  <c r="AM752" i="2"/>
  <c r="M752" i="2"/>
  <c r="Y752" i="2"/>
  <c r="C752" i="2"/>
  <c r="D752" i="2"/>
  <c r="AJ752" i="2"/>
  <c r="S752" i="2"/>
  <c r="AI752" i="2"/>
  <c r="L752" i="2"/>
  <c r="F752" i="2"/>
  <c r="T752" i="2"/>
  <c r="J752" i="2"/>
  <c r="Z752" i="2"/>
  <c r="K752" i="2"/>
  <c r="Q752" i="2"/>
  <c r="E752" i="2"/>
  <c r="AB752" i="2"/>
  <c r="N752" i="2"/>
  <c r="AO752" i="2"/>
  <c r="R752" i="2"/>
  <c r="AN752" i="2"/>
  <c r="H752" i="2"/>
  <c r="U752" i="2"/>
  <c r="I752" i="2"/>
  <c r="AG752" i="2"/>
  <c r="AD752" i="2"/>
  <c r="G752" i="2"/>
  <c r="P752" i="2"/>
  <c r="O752" i="2"/>
  <c r="B754" i="2" l="1"/>
  <c r="R753" i="2"/>
  <c r="T753" i="2"/>
  <c r="V753" i="2"/>
  <c r="AO753" i="2"/>
  <c r="J753" i="2"/>
  <c r="W753" i="2"/>
  <c r="Z753" i="2"/>
  <c r="AD753" i="2"/>
  <c r="N753" i="2"/>
  <c r="E753" i="2"/>
  <c r="AL753" i="2"/>
  <c r="O753" i="2"/>
  <c r="X753" i="2"/>
  <c r="AE753" i="2"/>
  <c r="AC753" i="2"/>
  <c r="AF753" i="2"/>
  <c r="AN753" i="2"/>
  <c r="AA753" i="2"/>
  <c r="C753" i="2"/>
  <c r="P753" i="2"/>
  <c r="Y753" i="2"/>
  <c r="K753" i="2"/>
  <c r="I753" i="2"/>
  <c r="Q753" i="2"/>
  <c r="U753" i="2"/>
  <c r="AH753" i="2"/>
  <c r="F753" i="2"/>
  <c r="M753" i="2"/>
  <c r="AM753" i="2"/>
  <c r="AB753" i="2"/>
  <c r="AI753" i="2"/>
  <c r="AG753" i="2"/>
  <c r="S753" i="2"/>
  <c r="L753" i="2"/>
  <c r="H753" i="2"/>
  <c r="AK753" i="2"/>
  <c r="D753" i="2"/>
  <c r="AJ753" i="2"/>
  <c r="G753" i="2"/>
  <c r="B755" i="2" l="1"/>
  <c r="AM754" i="2"/>
  <c r="D754" i="2"/>
  <c r="G754" i="2"/>
  <c r="Q754" i="2"/>
  <c r="AO754" i="2"/>
  <c r="K754" i="2"/>
  <c r="AG754" i="2"/>
  <c r="AH754" i="2"/>
  <c r="H754" i="2"/>
  <c r="P754" i="2"/>
  <c r="J754" i="2"/>
  <c r="W754" i="2"/>
  <c r="E754" i="2"/>
  <c r="F754" i="2"/>
  <c r="N754" i="2"/>
  <c r="V754" i="2"/>
  <c r="T754" i="2"/>
  <c r="AF754" i="2"/>
  <c r="S754" i="2"/>
  <c r="X754" i="2"/>
  <c r="Y754" i="2"/>
  <c r="Z754" i="2"/>
  <c r="M754" i="2"/>
  <c r="AC754" i="2"/>
  <c r="U754" i="2"/>
  <c r="AA754" i="2"/>
  <c r="AJ754" i="2"/>
  <c r="C754" i="2"/>
  <c r="AK754" i="2"/>
  <c r="AL754" i="2"/>
  <c r="AD754" i="2"/>
  <c r="AE754" i="2"/>
  <c r="AN754" i="2"/>
  <c r="R754" i="2"/>
  <c r="I754" i="2"/>
  <c r="O754" i="2"/>
  <c r="L754" i="2"/>
  <c r="AI754" i="2"/>
  <c r="AB754" i="2"/>
  <c r="B756" i="2" l="1"/>
  <c r="F755" i="2"/>
  <c r="AF755" i="2"/>
  <c r="W755" i="2"/>
  <c r="AO755" i="2"/>
  <c r="E755" i="2"/>
  <c r="AA755" i="2"/>
  <c r="AD755" i="2"/>
  <c r="AB755" i="2"/>
  <c r="G755" i="2"/>
  <c r="AH755" i="2"/>
  <c r="I755" i="2"/>
  <c r="M755" i="2"/>
  <c r="D755" i="2"/>
  <c r="Y755" i="2"/>
  <c r="N755" i="2"/>
  <c r="Z755" i="2"/>
  <c r="P755" i="2"/>
  <c r="AN755" i="2"/>
  <c r="U755" i="2"/>
  <c r="AM755" i="2"/>
  <c r="C755" i="2"/>
  <c r="AJ755" i="2"/>
  <c r="AL755" i="2"/>
  <c r="H755" i="2"/>
  <c r="R755" i="2"/>
  <c r="AI755" i="2"/>
  <c r="S755" i="2"/>
  <c r="Q755" i="2"/>
  <c r="X755" i="2"/>
  <c r="V755" i="2"/>
  <c r="AC755" i="2"/>
  <c r="T755" i="2"/>
  <c r="AK755" i="2"/>
  <c r="AG755" i="2"/>
  <c r="L755" i="2"/>
  <c r="O755" i="2"/>
  <c r="AE755" i="2"/>
  <c r="K755" i="2"/>
  <c r="J755" i="2"/>
  <c r="B757" i="2" l="1"/>
  <c r="AJ756" i="2"/>
  <c r="S756" i="2"/>
  <c r="R756" i="2"/>
  <c r="E756" i="2"/>
  <c r="U756" i="2"/>
  <c r="AK756" i="2"/>
  <c r="AH756" i="2"/>
  <c r="AI756" i="2"/>
  <c r="AM756" i="2"/>
  <c r="AC756" i="2"/>
  <c r="AB756" i="2"/>
  <c r="K756" i="2"/>
  <c r="P756" i="2"/>
  <c r="C756" i="2"/>
  <c r="M756" i="2"/>
  <c r="F756" i="2"/>
  <c r="V756" i="2"/>
  <c r="O756" i="2"/>
  <c r="Y756" i="2"/>
  <c r="AA756" i="2"/>
  <c r="AD756" i="2"/>
  <c r="J756" i="2"/>
  <c r="X756" i="2"/>
  <c r="Z756" i="2"/>
  <c r="W756" i="2"/>
  <c r="D756" i="2"/>
  <c r="N756" i="2"/>
  <c r="I756" i="2"/>
  <c r="Q756" i="2"/>
  <c r="AL756" i="2"/>
  <c r="AF756" i="2"/>
  <c r="L756" i="2"/>
  <c r="H756" i="2"/>
  <c r="T756" i="2"/>
  <c r="AO756" i="2"/>
  <c r="AE756" i="2"/>
  <c r="G756" i="2"/>
  <c r="AN756" i="2"/>
  <c r="AG756" i="2"/>
  <c r="B758" i="2" l="1"/>
  <c r="AJ757" i="2"/>
  <c r="W757" i="2"/>
  <c r="O757" i="2"/>
  <c r="AO757" i="2"/>
  <c r="Q757" i="2"/>
  <c r="T757" i="2"/>
  <c r="F757" i="2"/>
  <c r="AE757" i="2"/>
  <c r="X757" i="2"/>
  <c r="K757" i="2"/>
  <c r="AF757" i="2"/>
  <c r="P757" i="2"/>
  <c r="AG757" i="2"/>
  <c r="G757" i="2"/>
  <c r="Y757" i="2"/>
  <c r="E757" i="2"/>
  <c r="AC757" i="2"/>
  <c r="N757" i="2"/>
  <c r="AK757" i="2"/>
  <c r="H757" i="2"/>
  <c r="AI757" i="2"/>
  <c r="AA757" i="2"/>
  <c r="AM757" i="2"/>
  <c r="AD757" i="2"/>
  <c r="AB757" i="2"/>
  <c r="AH757" i="2"/>
  <c r="Z757" i="2"/>
  <c r="R757" i="2"/>
  <c r="U757" i="2"/>
  <c r="C757" i="2"/>
  <c r="L757" i="2"/>
  <c r="I757" i="2"/>
  <c r="AL757" i="2"/>
  <c r="V757" i="2"/>
  <c r="AN757" i="2"/>
  <c r="M757" i="2"/>
  <c r="J757" i="2"/>
  <c r="D757" i="2"/>
  <c r="S757" i="2"/>
  <c r="B759" i="2" l="1"/>
  <c r="Z758" i="2"/>
  <c r="AC758" i="2"/>
  <c r="V758" i="2"/>
  <c r="P758" i="2"/>
  <c r="AF758" i="2"/>
  <c r="F758" i="2"/>
  <c r="C758" i="2"/>
  <c r="R758" i="2"/>
  <c r="AA758" i="2"/>
  <c r="T758" i="2"/>
  <c r="AO758" i="2"/>
  <c r="S758" i="2"/>
  <c r="H758" i="2"/>
  <c r="Q758" i="2"/>
  <c r="AD758" i="2"/>
  <c r="W758" i="2"/>
  <c r="AE758" i="2"/>
  <c r="AG758" i="2"/>
  <c r="AM758" i="2"/>
  <c r="D758" i="2"/>
  <c r="L758" i="2"/>
  <c r="AI758" i="2"/>
  <c r="J758" i="2"/>
  <c r="AK758" i="2"/>
  <c r="E758" i="2"/>
  <c r="M758" i="2"/>
  <c r="X758" i="2"/>
  <c r="AL758" i="2"/>
  <c r="K758" i="2"/>
  <c r="AJ758" i="2"/>
  <c r="O758" i="2"/>
  <c r="N758" i="2"/>
  <c r="AN758" i="2"/>
  <c r="G758" i="2"/>
  <c r="Y758" i="2"/>
  <c r="AB758" i="2"/>
  <c r="I758" i="2"/>
  <c r="AH758" i="2"/>
  <c r="U758" i="2"/>
  <c r="B760" i="2" l="1"/>
  <c r="F759" i="2"/>
  <c r="O759" i="2"/>
  <c r="X759" i="2"/>
  <c r="P759" i="2"/>
  <c r="AB759" i="2"/>
  <c r="T759" i="2"/>
  <c r="C759" i="2"/>
  <c r="Q759" i="2"/>
  <c r="AM759" i="2"/>
  <c r="AL759" i="2"/>
  <c r="AI759" i="2"/>
  <c r="U759" i="2"/>
  <c r="AE759" i="2"/>
  <c r="D759" i="2"/>
  <c r="K759" i="2"/>
  <c r="J759" i="2"/>
  <c r="W759" i="2"/>
  <c r="G759" i="2"/>
  <c r="AC759" i="2"/>
  <c r="AD759" i="2"/>
  <c r="AN759" i="2"/>
  <c r="AO759" i="2"/>
  <c r="E759" i="2"/>
  <c r="AK759" i="2"/>
  <c r="AG759" i="2"/>
  <c r="AJ759" i="2"/>
  <c r="H759" i="2"/>
  <c r="V759" i="2"/>
  <c r="AA759" i="2"/>
  <c r="Y759" i="2"/>
  <c r="I759" i="2"/>
  <c r="L759" i="2"/>
  <c r="N759" i="2"/>
  <c r="Z759" i="2"/>
  <c r="R759" i="2"/>
  <c r="S759" i="2"/>
  <c r="AH759" i="2"/>
  <c r="AF759" i="2"/>
  <c r="M759" i="2"/>
  <c r="B761" i="2" l="1"/>
  <c r="AB760" i="2"/>
  <c r="AJ760" i="2"/>
  <c r="AO760" i="2"/>
  <c r="O760" i="2"/>
  <c r="AH760" i="2"/>
  <c r="I760" i="2"/>
  <c r="L760" i="2"/>
  <c r="P760" i="2"/>
  <c r="J760" i="2"/>
  <c r="W760" i="2"/>
  <c r="AF760" i="2"/>
  <c r="R760" i="2"/>
  <c r="AM760" i="2"/>
  <c r="U760" i="2"/>
  <c r="Y760" i="2"/>
  <c r="N760" i="2"/>
  <c r="G760" i="2"/>
  <c r="AE760" i="2"/>
  <c r="F760" i="2"/>
  <c r="AI760" i="2"/>
  <c r="X760" i="2"/>
  <c r="AD760" i="2"/>
  <c r="H760" i="2"/>
  <c r="AL760" i="2"/>
  <c r="Z760" i="2"/>
  <c r="AK760" i="2"/>
  <c r="C760" i="2"/>
  <c r="AN760" i="2"/>
  <c r="T760" i="2"/>
  <c r="AC760" i="2"/>
  <c r="AG760" i="2"/>
  <c r="D760" i="2"/>
  <c r="S760" i="2"/>
  <c r="V760" i="2"/>
  <c r="AA760" i="2"/>
  <c r="Q760" i="2"/>
  <c r="K760" i="2"/>
  <c r="E760" i="2"/>
  <c r="M760" i="2"/>
  <c r="B762" i="2" l="1"/>
  <c r="AI761" i="2"/>
  <c r="X761" i="2"/>
  <c r="K761" i="2"/>
  <c r="AH761" i="2"/>
  <c r="H761" i="2"/>
  <c r="M761" i="2"/>
  <c r="J761" i="2"/>
  <c r="AM761" i="2"/>
  <c r="AB761" i="2"/>
  <c r="I761" i="2"/>
  <c r="Y761" i="2"/>
  <c r="C761" i="2"/>
  <c r="R761" i="2"/>
  <c r="AA761" i="2"/>
  <c r="AL761" i="2"/>
  <c r="T761" i="2"/>
  <c r="G761" i="2"/>
  <c r="W761" i="2"/>
  <c r="AF761" i="2"/>
  <c r="S761" i="2"/>
  <c r="F761" i="2"/>
  <c r="D761" i="2"/>
  <c r="V761" i="2"/>
  <c r="AJ761" i="2"/>
  <c r="Q761" i="2"/>
  <c r="P761" i="2"/>
  <c r="AN761" i="2"/>
  <c r="AO761" i="2"/>
  <c r="AK761" i="2"/>
  <c r="AD761" i="2"/>
  <c r="L761" i="2"/>
  <c r="Z761" i="2"/>
  <c r="U761" i="2"/>
  <c r="AE761" i="2"/>
  <c r="E761" i="2"/>
  <c r="AC761" i="2"/>
  <c r="O761" i="2"/>
  <c r="AG761" i="2"/>
  <c r="N761" i="2"/>
  <c r="B763" i="2" l="1"/>
  <c r="D762" i="2"/>
  <c r="AE762" i="2"/>
  <c r="U762" i="2"/>
  <c r="L762" i="2"/>
  <c r="AO762" i="2"/>
  <c r="AI762" i="2"/>
  <c r="R762" i="2"/>
  <c r="M762" i="2"/>
  <c r="W762" i="2"/>
  <c r="AJ762" i="2"/>
  <c r="G762" i="2"/>
  <c r="AB762" i="2"/>
  <c r="V762" i="2"/>
  <c r="AD762" i="2"/>
  <c r="O762" i="2"/>
  <c r="AK762" i="2"/>
  <c r="Z762" i="2"/>
  <c r="AF762" i="2"/>
  <c r="AN762" i="2"/>
  <c r="F762" i="2"/>
  <c r="P762" i="2"/>
  <c r="Q762" i="2"/>
  <c r="X762" i="2"/>
  <c r="Y762" i="2"/>
  <c r="I762" i="2"/>
  <c r="AA762" i="2"/>
  <c r="C762" i="2"/>
  <c r="S762" i="2"/>
  <c r="T762" i="2"/>
  <c r="AM762" i="2"/>
  <c r="AG762" i="2"/>
  <c r="N762" i="2"/>
  <c r="E762" i="2"/>
  <c r="AC762" i="2"/>
  <c r="AL762" i="2"/>
  <c r="H762" i="2"/>
  <c r="K762" i="2"/>
  <c r="AH762" i="2"/>
  <c r="J762" i="2"/>
  <c r="B764" i="2" l="1"/>
  <c r="Y763" i="2"/>
  <c r="C763" i="2"/>
  <c r="T763" i="2"/>
  <c r="Z763" i="2"/>
  <c r="M763" i="2"/>
  <c r="K763" i="2"/>
  <c r="AI763" i="2"/>
  <c r="AM763" i="2"/>
  <c r="AO763" i="2"/>
  <c r="O763" i="2"/>
  <c r="E763" i="2"/>
  <c r="H763" i="2"/>
  <c r="R763" i="2"/>
  <c r="D763" i="2"/>
  <c r="AF763" i="2"/>
  <c r="P763" i="2"/>
  <c r="I763" i="2"/>
  <c r="J763" i="2"/>
  <c r="AC763" i="2"/>
  <c r="U763" i="2"/>
  <c r="AJ763" i="2"/>
  <c r="W763" i="2"/>
  <c r="X763" i="2"/>
  <c r="L763" i="2"/>
  <c r="G763" i="2"/>
  <c r="AE763" i="2"/>
  <c r="AL763" i="2"/>
  <c r="V763" i="2"/>
  <c r="AG763" i="2"/>
  <c r="N763" i="2"/>
  <c r="AD763" i="2"/>
  <c r="AK763" i="2"/>
  <c r="Q763" i="2"/>
  <c r="S763" i="2"/>
  <c r="AA763" i="2"/>
  <c r="AN763" i="2"/>
  <c r="F763" i="2"/>
  <c r="AH763" i="2"/>
  <c r="AB763" i="2"/>
  <c r="B765" i="2" l="1"/>
  <c r="V764" i="2"/>
  <c r="C764" i="2"/>
  <c r="Z764" i="2"/>
  <c r="AB764" i="2"/>
  <c r="AE764" i="2"/>
  <c r="AD764" i="2"/>
  <c r="T764" i="2"/>
  <c r="AH764" i="2"/>
  <c r="H764" i="2"/>
  <c r="AJ764" i="2"/>
  <c r="F764" i="2"/>
  <c r="O764" i="2"/>
  <c r="L764" i="2"/>
  <c r="N764" i="2"/>
  <c r="X764" i="2"/>
  <c r="AF764" i="2"/>
  <c r="W764" i="2"/>
  <c r="U764" i="2"/>
  <c r="AN764" i="2"/>
  <c r="AA764" i="2"/>
  <c r="J764" i="2"/>
  <c r="Y764" i="2"/>
  <c r="D764" i="2"/>
  <c r="E764" i="2"/>
  <c r="AL764" i="2"/>
  <c r="M764" i="2"/>
  <c r="AK764" i="2"/>
  <c r="R764" i="2"/>
  <c r="I764" i="2"/>
  <c r="AG764" i="2"/>
  <c r="Q764" i="2"/>
  <c r="AC764" i="2"/>
  <c r="S764" i="2"/>
  <c r="P764" i="2"/>
  <c r="G764" i="2"/>
  <c r="AO764" i="2"/>
  <c r="K764" i="2"/>
  <c r="AI764" i="2"/>
  <c r="AM764" i="2"/>
  <c r="B766" i="2" l="1"/>
  <c r="J765" i="2"/>
  <c r="T765" i="2"/>
  <c r="N765" i="2"/>
  <c r="H765" i="2"/>
  <c r="C765" i="2"/>
  <c r="AE765" i="2"/>
  <c r="AI765" i="2"/>
  <c r="AG765" i="2"/>
  <c r="R765" i="2"/>
  <c r="AO765" i="2"/>
  <c r="D765" i="2"/>
  <c r="AD765" i="2"/>
  <c r="AB765" i="2"/>
  <c r="O765" i="2"/>
  <c r="AL765" i="2"/>
  <c r="AF765" i="2"/>
  <c r="G765" i="2"/>
  <c r="S765" i="2"/>
  <c r="X765" i="2"/>
  <c r="AM765" i="2"/>
  <c r="K765" i="2"/>
  <c r="Q765" i="2"/>
  <c r="AN765" i="2"/>
  <c r="Y765" i="2"/>
  <c r="I765" i="2"/>
  <c r="U765" i="2"/>
  <c r="AC765" i="2"/>
  <c r="M765" i="2"/>
  <c r="AK765" i="2"/>
  <c r="P765" i="2"/>
  <c r="AJ765" i="2"/>
  <c r="Z765" i="2"/>
  <c r="F765" i="2"/>
  <c r="L765" i="2"/>
  <c r="AA765" i="2"/>
  <c r="AH765" i="2"/>
  <c r="W765" i="2"/>
  <c r="E765" i="2"/>
  <c r="V765" i="2"/>
  <c r="B767" i="2" l="1"/>
  <c r="AK766" i="2"/>
  <c r="AH766" i="2"/>
  <c r="R766" i="2"/>
  <c r="U766" i="2"/>
  <c r="AE766" i="2"/>
  <c r="AB766" i="2"/>
  <c r="K766" i="2"/>
  <c r="Y766" i="2"/>
  <c r="S766" i="2"/>
  <c r="AJ766" i="2"/>
  <c r="Z766" i="2"/>
  <c r="AD766" i="2"/>
  <c r="AM766" i="2"/>
  <c r="C766" i="2"/>
  <c r="Q766" i="2"/>
  <c r="M766" i="2"/>
  <c r="F766" i="2"/>
  <c r="E766" i="2"/>
  <c r="W766" i="2"/>
  <c r="AF766" i="2"/>
  <c r="T766" i="2"/>
  <c r="J766" i="2"/>
  <c r="I766" i="2"/>
  <c r="AC766" i="2"/>
  <c r="AL766" i="2"/>
  <c r="L766" i="2"/>
  <c r="D766" i="2"/>
  <c r="AO766" i="2"/>
  <c r="AG766" i="2"/>
  <c r="AA766" i="2"/>
  <c r="V766" i="2"/>
  <c r="P766" i="2"/>
  <c r="H766" i="2"/>
  <c r="AN766" i="2"/>
  <c r="X766" i="2"/>
  <c r="N766" i="2"/>
  <c r="G766" i="2"/>
  <c r="AI766" i="2"/>
  <c r="O766" i="2"/>
  <c r="B768" i="2" l="1"/>
  <c r="T767" i="2"/>
  <c r="AA767" i="2"/>
  <c r="X767" i="2"/>
  <c r="AC767" i="2"/>
  <c r="AD767" i="2"/>
  <c r="E767" i="2"/>
  <c r="AJ767" i="2"/>
  <c r="J767" i="2"/>
  <c r="P767" i="2"/>
  <c r="W767" i="2"/>
  <c r="M767" i="2"/>
  <c r="N767" i="2"/>
  <c r="F767" i="2"/>
  <c r="AB767" i="2"/>
  <c r="G767" i="2"/>
  <c r="AE767" i="2"/>
  <c r="I767" i="2"/>
  <c r="C767" i="2"/>
  <c r="AL767" i="2"/>
  <c r="AK767" i="2"/>
  <c r="AO767" i="2"/>
  <c r="V767" i="2"/>
  <c r="K767" i="2"/>
  <c r="Q767" i="2"/>
  <c r="L767" i="2"/>
  <c r="AI767" i="2"/>
  <c r="S767" i="2"/>
  <c r="R767" i="2"/>
  <c r="AF767" i="2"/>
  <c r="U767" i="2"/>
  <c r="AH767" i="2"/>
  <c r="Y767" i="2"/>
  <c r="AM767" i="2"/>
  <c r="AN767" i="2"/>
  <c r="AG767" i="2"/>
  <c r="D767" i="2"/>
  <c r="H767" i="2"/>
  <c r="Z767" i="2"/>
  <c r="O767" i="2"/>
  <c r="B769" i="2" l="1"/>
  <c r="Q768" i="2"/>
  <c r="H768" i="2"/>
  <c r="R768" i="2"/>
  <c r="D768" i="2"/>
  <c r="AK768" i="2"/>
  <c r="AN768" i="2"/>
  <c r="X768" i="2"/>
  <c r="F768" i="2"/>
  <c r="J768" i="2"/>
  <c r="T768" i="2"/>
  <c r="C768" i="2"/>
  <c r="U768" i="2"/>
  <c r="Z768" i="2"/>
  <c r="W768" i="2"/>
  <c r="AC768" i="2"/>
  <c r="Y768" i="2"/>
  <c r="AO768" i="2"/>
  <c r="L768" i="2"/>
  <c r="E768" i="2"/>
  <c r="AJ768" i="2"/>
  <c r="AA768" i="2"/>
  <c r="AB768" i="2"/>
  <c r="V768" i="2"/>
  <c r="M768" i="2"/>
  <c r="AG768" i="2"/>
  <c r="AE768" i="2"/>
  <c r="N768" i="2"/>
  <c r="AL768" i="2"/>
  <c r="K768" i="2"/>
  <c r="AF768" i="2"/>
  <c r="AI768" i="2"/>
  <c r="I768" i="2"/>
  <c r="AD768" i="2"/>
  <c r="S768" i="2"/>
  <c r="P768" i="2"/>
  <c r="AM768" i="2"/>
  <c r="O768" i="2"/>
  <c r="G768" i="2"/>
  <c r="AH768" i="2"/>
  <c r="B770" i="2" l="1"/>
  <c r="AN769" i="2"/>
  <c r="M769" i="2"/>
  <c r="P769" i="2"/>
  <c r="O769" i="2"/>
  <c r="Q769" i="2"/>
  <c r="C769" i="2"/>
  <c r="G769" i="2"/>
  <c r="W769" i="2"/>
  <c r="Z769" i="2"/>
  <c r="AJ769" i="2"/>
  <c r="AE769" i="2"/>
  <c r="Y769" i="2"/>
  <c r="K769" i="2"/>
  <c r="AB769" i="2"/>
  <c r="AH769" i="2"/>
  <c r="X769" i="2"/>
  <c r="S769" i="2"/>
  <c r="L769" i="2"/>
  <c r="AL769" i="2"/>
  <c r="AA769" i="2"/>
  <c r="AC769" i="2"/>
  <c r="AK769" i="2"/>
  <c r="AO769" i="2"/>
  <c r="AG769" i="2"/>
  <c r="V769" i="2"/>
  <c r="AM769" i="2"/>
  <c r="D769" i="2"/>
  <c r="I769" i="2"/>
  <c r="E769" i="2"/>
  <c r="T769" i="2"/>
  <c r="F769" i="2"/>
  <c r="J769" i="2"/>
  <c r="AI769" i="2"/>
  <c r="AD769" i="2"/>
  <c r="H769" i="2"/>
  <c r="R769" i="2"/>
  <c r="U769" i="2"/>
  <c r="AF769" i="2"/>
  <c r="N769" i="2"/>
  <c r="B771" i="2" l="1"/>
  <c r="AD770" i="2"/>
  <c r="AG770" i="2"/>
  <c r="V770" i="2"/>
  <c r="AH770" i="2"/>
  <c r="AK770" i="2"/>
  <c r="T770" i="2"/>
  <c r="AM770" i="2"/>
  <c r="M770" i="2"/>
  <c r="S770" i="2"/>
  <c r="O770" i="2"/>
  <c r="AO770" i="2"/>
  <c r="F770" i="2"/>
  <c r="D770" i="2"/>
  <c r="U770" i="2"/>
  <c r="K770" i="2"/>
  <c r="G770" i="2"/>
  <c r="AB770" i="2"/>
  <c r="N770" i="2"/>
  <c r="W770" i="2"/>
  <c r="H770" i="2"/>
  <c r="J770" i="2"/>
  <c r="AE770" i="2"/>
  <c r="C770" i="2"/>
  <c r="P770" i="2"/>
  <c r="AC770" i="2"/>
  <c r="R770" i="2"/>
  <c r="X770" i="2"/>
  <c r="AL770" i="2"/>
  <c r="L770" i="2"/>
  <c r="Q770" i="2"/>
  <c r="Y770" i="2"/>
  <c r="AI770" i="2"/>
  <c r="Z770" i="2"/>
  <c r="I770" i="2"/>
  <c r="AA770" i="2"/>
  <c r="AF770" i="2"/>
  <c r="E770" i="2"/>
  <c r="AJ770" i="2"/>
  <c r="AN770" i="2"/>
  <c r="B772" i="2" l="1"/>
  <c r="F771" i="2"/>
  <c r="AN771" i="2"/>
  <c r="P771" i="2"/>
  <c r="AB771" i="2"/>
  <c r="AD771" i="2"/>
  <c r="C771" i="2"/>
  <c r="AG771" i="2"/>
  <c r="G771" i="2"/>
  <c r="X771" i="2"/>
  <c r="R771" i="2"/>
  <c r="V771" i="2"/>
  <c r="AL771" i="2"/>
  <c r="AK771" i="2"/>
  <c r="AA771" i="2"/>
  <c r="H771" i="2"/>
  <c r="M771" i="2"/>
  <c r="S771" i="2"/>
  <c r="AC771" i="2"/>
  <c r="J771" i="2"/>
  <c r="AF771" i="2"/>
  <c r="Y771" i="2"/>
  <c r="T771" i="2"/>
  <c r="AE771" i="2"/>
  <c r="N771" i="2"/>
  <c r="O771" i="2"/>
  <c r="I771" i="2"/>
  <c r="AO771" i="2"/>
  <c r="K771" i="2"/>
  <c r="Z771" i="2"/>
  <c r="AI771" i="2"/>
  <c r="U771" i="2"/>
  <c r="AM771" i="2"/>
  <c r="E771" i="2"/>
  <c r="D771" i="2"/>
  <c r="AJ771" i="2"/>
  <c r="Q771" i="2"/>
  <c r="W771" i="2"/>
  <c r="L771" i="2"/>
  <c r="AH771" i="2"/>
  <c r="B773" i="2" l="1"/>
  <c r="P772" i="2"/>
  <c r="T772" i="2"/>
  <c r="AM772" i="2"/>
  <c r="AO772" i="2"/>
  <c r="Z772" i="2"/>
  <c r="V772" i="2"/>
  <c r="AB772" i="2"/>
  <c r="AI772" i="2"/>
  <c r="K772" i="2"/>
  <c r="M772" i="2"/>
  <c r="J772" i="2"/>
  <c r="AE772" i="2"/>
  <c r="E772" i="2"/>
  <c r="D772" i="2"/>
  <c r="AH772" i="2"/>
  <c r="AG772" i="2"/>
  <c r="X772" i="2"/>
  <c r="AJ772" i="2"/>
  <c r="AK772" i="2"/>
  <c r="AN772" i="2"/>
  <c r="W772" i="2"/>
  <c r="O772" i="2"/>
  <c r="N772" i="2"/>
  <c r="I772" i="2"/>
  <c r="F772" i="2"/>
  <c r="C772" i="2"/>
  <c r="G772" i="2"/>
  <c r="U772" i="2"/>
  <c r="H772" i="2"/>
  <c r="Q772" i="2"/>
  <c r="S772" i="2"/>
  <c r="AL772" i="2"/>
  <c r="Y772" i="2"/>
  <c r="AF772" i="2"/>
  <c r="R772" i="2"/>
  <c r="AA772" i="2"/>
  <c r="AC772" i="2"/>
  <c r="L772" i="2"/>
  <c r="AD772" i="2"/>
  <c r="B774" i="2" l="1"/>
  <c r="E773" i="2"/>
  <c r="P773" i="2"/>
  <c r="J773" i="2"/>
  <c r="AJ773" i="2"/>
  <c r="AH773" i="2"/>
  <c r="X773" i="2"/>
  <c r="U773" i="2"/>
  <c r="R773" i="2"/>
  <c r="S773" i="2"/>
  <c r="M773" i="2"/>
  <c r="AE773" i="2"/>
  <c r="AC773" i="2"/>
  <c r="AF773" i="2"/>
  <c r="AL773" i="2"/>
  <c r="AN773" i="2"/>
  <c r="D773" i="2"/>
  <c r="W773" i="2"/>
  <c r="C773" i="2"/>
  <c r="AM773" i="2"/>
  <c r="AD773" i="2"/>
  <c r="AG773" i="2"/>
  <c r="O773" i="2"/>
  <c r="V773" i="2"/>
  <c r="AB773" i="2"/>
  <c r="H773" i="2"/>
  <c r="K773" i="2"/>
  <c r="AA773" i="2"/>
  <c r="AO773" i="2"/>
  <c r="Z773" i="2"/>
  <c r="L773" i="2"/>
  <c r="N773" i="2"/>
  <c r="I773" i="2"/>
  <c r="AI773" i="2"/>
  <c r="Q773" i="2"/>
  <c r="F773" i="2"/>
  <c r="G773" i="2"/>
  <c r="AK773" i="2"/>
  <c r="T773" i="2"/>
  <c r="Y773" i="2"/>
  <c r="B775" i="2" l="1"/>
  <c r="H774" i="2"/>
  <c r="S774" i="2"/>
  <c r="T774" i="2"/>
  <c r="AO774" i="2"/>
  <c r="AL774" i="2"/>
  <c r="AC774" i="2"/>
  <c r="I774" i="2"/>
  <c r="Z774" i="2"/>
  <c r="Q774" i="2"/>
  <c r="K774" i="2"/>
  <c r="C774" i="2"/>
  <c r="V774" i="2"/>
  <c r="E774" i="2"/>
  <c r="R774" i="2"/>
  <c r="X774" i="2"/>
  <c r="AI774" i="2"/>
  <c r="P774" i="2"/>
  <c r="AM774" i="2"/>
  <c r="AG774" i="2"/>
  <c r="J774" i="2"/>
  <c r="N774" i="2"/>
  <c r="AN774" i="2"/>
  <c r="M774" i="2"/>
  <c r="F774" i="2"/>
  <c r="U774" i="2"/>
  <c r="AD774" i="2"/>
  <c r="AA774" i="2"/>
  <c r="G774" i="2"/>
  <c r="D774" i="2"/>
  <c r="L774" i="2"/>
  <c r="W774" i="2"/>
  <c r="AH774" i="2"/>
  <c r="Y774" i="2"/>
  <c r="AE774" i="2"/>
  <c r="AK774" i="2"/>
  <c r="AF774" i="2"/>
  <c r="O774" i="2"/>
  <c r="AB774" i="2"/>
  <c r="AJ774" i="2"/>
  <c r="B776" i="2" l="1"/>
  <c r="AN775" i="2"/>
  <c r="S775" i="2"/>
  <c r="AD775" i="2"/>
  <c r="K775" i="2"/>
  <c r="X775" i="2"/>
  <c r="AJ775" i="2"/>
  <c r="H775" i="2"/>
  <c r="E775" i="2"/>
  <c r="V775" i="2"/>
  <c r="AC775" i="2"/>
  <c r="AE775" i="2"/>
  <c r="J775" i="2"/>
  <c r="AH775" i="2"/>
  <c r="G775" i="2"/>
  <c r="F775" i="2"/>
  <c r="Y775" i="2"/>
  <c r="L775" i="2"/>
  <c r="AM775" i="2"/>
  <c r="M775" i="2"/>
  <c r="N775" i="2"/>
  <c r="C775" i="2"/>
  <c r="AI775" i="2"/>
  <c r="I775" i="2"/>
  <c r="Q775" i="2"/>
  <c r="T775" i="2"/>
  <c r="AB775" i="2"/>
  <c r="R775" i="2"/>
  <c r="AK775" i="2"/>
  <c r="O775" i="2"/>
  <c r="AA775" i="2"/>
  <c r="W775" i="2"/>
  <c r="AF775" i="2"/>
  <c r="AL775" i="2"/>
  <c r="AG775" i="2"/>
  <c r="Z775" i="2"/>
  <c r="P775" i="2"/>
  <c r="D775" i="2"/>
  <c r="U775" i="2"/>
  <c r="AO775" i="2"/>
  <c r="B777" i="2" l="1"/>
  <c r="AM776" i="2"/>
  <c r="AJ776" i="2"/>
  <c r="AH776" i="2"/>
  <c r="D776" i="2"/>
  <c r="V776" i="2"/>
  <c r="R776" i="2"/>
  <c r="W776" i="2"/>
  <c r="L776" i="2"/>
  <c r="C776" i="2"/>
  <c r="K776" i="2"/>
  <c r="F776" i="2"/>
  <c r="AC776" i="2"/>
  <c r="AB776" i="2"/>
  <c r="O776" i="2"/>
  <c r="P776" i="2"/>
  <c r="N776" i="2"/>
  <c r="AK776" i="2"/>
  <c r="Z776" i="2"/>
  <c r="T776" i="2"/>
  <c r="Q776" i="2"/>
  <c r="AI776" i="2"/>
  <c r="X776" i="2"/>
  <c r="E776" i="2"/>
  <c r="J776" i="2"/>
  <c r="H776" i="2"/>
  <c r="AN776" i="2"/>
  <c r="AO776" i="2"/>
  <c r="AE776" i="2"/>
  <c r="G776" i="2"/>
  <c r="I776" i="2"/>
  <c r="AG776" i="2"/>
  <c r="AL776" i="2"/>
  <c r="Y776" i="2"/>
  <c r="S776" i="2"/>
  <c r="AA776" i="2"/>
  <c r="AD776" i="2"/>
  <c r="M776" i="2"/>
  <c r="U776" i="2"/>
  <c r="AF776" i="2"/>
  <c r="B778" i="2" l="1"/>
  <c r="AB777" i="2"/>
  <c r="Z777" i="2"/>
  <c r="AK777" i="2"/>
  <c r="L777" i="2"/>
  <c r="AE777" i="2"/>
  <c r="P777" i="2"/>
  <c r="C777" i="2"/>
  <c r="AG777" i="2"/>
  <c r="I777" i="2"/>
  <c r="Q777" i="2"/>
  <c r="F777" i="2"/>
  <c r="AN777" i="2"/>
  <c r="E777" i="2"/>
  <c r="AA777" i="2"/>
  <c r="T777" i="2"/>
  <c r="H777" i="2"/>
  <c r="AF777" i="2"/>
  <c r="D777" i="2"/>
  <c r="J777" i="2"/>
  <c r="M777" i="2"/>
  <c r="W777" i="2"/>
  <c r="Y777" i="2"/>
  <c r="AL777" i="2"/>
  <c r="S777" i="2"/>
  <c r="AM777" i="2"/>
  <c r="V777" i="2"/>
  <c r="G777" i="2"/>
  <c r="K777" i="2"/>
  <c r="AC777" i="2"/>
  <c r="AD777" i="2"/>
  <c r="N777" i="2"/>
  <c r="U777" i="2"/>
  <c r="AJ777" i="2"/>
  <c r="X777" i="2"/>
  <c r="AH777" i="2"/>
  <c r="O777" i="2"/>
  <c r="AI777" i="2"/>
  <c r="AO777" i="2"/>
  <c r="R777" i="2"/>
  <c r="B779" i="2" l="1"/>
  <c r="L778" i="2"/>
  <c r="AC778" i="2"/>
  <c r="AA778" i="2"/>
  <c r="AB778" i="2"/>
  <c r="AH778" i="2"/>
  <c r="AG778" i="2"/>
  <c r="D778" i="2"/>
  <c r="R778" i="2"/>
  <c r="K778" i="2"/>
  <c r="AN778" i="2"/>
  <c r="AO778" i="2"/>
  <c r="H778" i="2"/>
  <c r="I778" i="2"/>
  <c r="S778" i="2"/>
  <c r="Q778" i="2"/>
  <c r="AE778" i="2"/>
  <c r="AJ778" i="2"/>
  <c r="P778" i="2"/>
  <c r="G778" i="2"/>
  <c r="AL778" i="2"/>
  <c r="Z778" i="2"/>
  <c r="AD778" i="2"/>
  <c r="U778" i="2"/>
  <c r="E778" i="2"/>
  <c r="AM778" i="2"/>
  <c r="X778" i="2"/>
  <c r="N778" i="2"/>
  <c r="AK778" i="2"/>
  <c r="AF778" i="2"/>
  <c r="AI778" i="2"/>
  <c r="T778" i="2"/>
  <c r="W778" i="2"/>
  <c r="J778" i="2"/>
  <c r="C778" i="2"/>
  <c r="M778" i="2"/>
  <c r="O778" i="2"/>
  <c r="V778" i="2"/>
  <c r="Y778" i="2"/>
  <c r="F778" i="2"/>
  <c r="B780" i="2" l="1"/>
  <c r="V779" i="2"/>
  <c r="O779" i="2"/>
  <c r="I779" i="2"/>
  <c r="T779" i="2"/>
  <c r="Y779" i="2"/>
  <c r="N779" i="2"/>
  <c r="Z779" i="2"/>
  <c r="Q779" i="2"/>
  <c r="K779" i="2"/>
  <c r="AI779" i="2"/>
  <c r="R779" i="2"/>
  <c r="AN779" i="2"/>
  <c r="U779" i="2"/>
  <c r="D779" i="2"/>
  <c r="P779" i="2"/>
  <c r="G779" i="2"/>
  <c r="AG779" i="2"/>
  <c r="AK779" i="2"/>
  <c r="AL779" i="2"/>
  <c r="AM779" i="2"/>
  <c r="F779" i="2"/>
  <c r="S779" i="2"/>
  <c r="AE779" i="2"/>
  <c r="M779" i="2"/>
  <c r="AH779" i="2"/>
  <c r="AO779" i="2"/>
  <c r="E779" i="2"/>
  <c r="AC779" i="2"/>
  <c r="AJ779" i="2"/>
  <c r="X779" i="2"/>
  <c r="J779" i="2"/>
  <c r="H779" i="2"/>
  <c r="W779" i="2"/>
  <c r="C779" i="2"/>
  <c r="L779" i="2"/>
  <c r="AD779" i="2"/>
  <c r="AA779" i="2"/>
  <c r="AB779" i="2"/>
  <c r="AF779" i="2"/>
  <c r="B781" i="2" l="1"/>
  <c r="U780" i="2"/>
  <c r="AB780" i="2"/>
  <c r="S780" i="2"/>
  <c r="O780" i="2"/>
  <c r="L780" i="2"/>
  <c r="N780" i="2"/>
  <c r="P780" i="2"/>
  <c r="AK780" i="2"/>
  <c r="AN780" i="2"/>
  <c r="C780" i="2"/>
  <c r="AD780" i="2"/>
  <c r="AL780" i="2"/>
  <c r="AI780" i="2"/>
  <c r="G780" i="2"/>
  <c r="AF780" i="2"/>
  <c r="J780" i="2"/>
  <c r="AA780" i="2"/>
  <c r="R780" i="2"/>
  <c r="I780" i="2"/>
  <c r="AG780" i="2"/>
  <c r="W780" i="2"/>
  <c r="K780" i="2"/>
  <c r="Y780" i="2"/>
  <c r="M780" i="2"/>
  <c r="E780" i="2"/>
  <c r="H780" i="2"/>
  <c r="AJ780" i="2"/>
  <c r="Z780" i="2"/>
  <c r="F780" i="2"/>
  <c r="Q780" i="2"/>
  <c r="D780" i="2"/>
  <c r="AH780" i="2"/>
  <c r="AM780" i="2"/>
  <c r="X780" i="2"/>
  <c r="V780" i="2"/>
  <c r="AO780" i="2"/>
  <c r="AE780" i="2"/>
  <c r="AC780" i="2"/>
  <c r="T780" i="2"/>
  <c r="B782" i="2" l="1"/>
  <c r="I781" i="2"/>
  <c r="AO781" i="2"/>
  <c r="AM781" i="2"/>
  <c r="X781" i="2"/>
  <c r="K781" i="2"/>
  <c r="N781" i="2"/>
  <c r="V781" i="2"/>
  <c r="AE781" i="2"/>
  <c r="L781" i="2"/>
  <c r="T781" i="2"/>
  <c r="Y781" i="2"/>
  <c r="AD781" i="2"/>
  <c r="E781" i="2"/>
  <c r="J781" i="2"/>
  <c r="AF781" i="2"/>
  <c r="AJ781" i="2"/>
  <c r="S781" i="2"/>
  <c r="F781" i="2"/>
  <c r="AG781" i="2"/>
  <c r="W781" i="2"/>
  <c r="M781" i="2"/>
  <c r="Z781" i="2"/>
  <c r="AA781" i="2"/>
  <c r="H781" i="2"/>
  <c r="AH781" i="2"/>
  <c r="AB781" i="2"/>
  <c r="AN781" i="2"/>
  <c r="AC781" i="2"/>
  <c r="AI781" i="2"/>
  <c r="Q781" i="2"/>
  <c r="U781" i="2"/>
  <c r="AK781" i="2"/>
  <c r="O781" i="2"/>
  <c r="C781" i="2"/>
  <c r="R781" i="2"/>
  <c r="AL781" i="2"/>
  <c r="G781" i="2"/>
  <c r="P781" i="2"/>
  <c r="D781" i="2"/>
  <c r="B783" i="2" l="1"/>
  <c r="R782" i="2"/>
  <c r="AG782" i="2"/>
  <c r="AD782" i="2"/>
  <c r="V782" i="2"/>
  <c r="AO782" i="2"/>
  <c r="AB782" i="2"/>
  <c r="Z782" i="2"/>
  <c r="M782" i="2"/>
  <c r="L782" i="2"/>
  <c r="N782" i="2"/>
  <c r="AH782" i="2"/>
  <c r="H782" i="2"/>
  <c r="P782" i="2"/>
  <c r="AC782" i="2"/>
  <c r="Q782" i="2"/>
  <c r="I782" i="2"/>
  <c r="AA782" i="2"/>
  <c r="S782" i="2"/>
  <c r="AE782" i="2"/>
  <c r="O782" i="2"/>
  <c r="AL782" i="2"/>
  <c r="F782" i="2"/>
  <c r="J782" i="2"/>
  <c r="G782" i="2"/>
  <c r="E782" i="2"/>
  <c r="AM782" i="2"/>
  <c r="AN782" i="2"/>
  <c r="T782" i="2"/>
  <c r="AJ782" i="2"/>
  <c r="AK782" i="2"/>
  <c r="Y782" i="2"/>
  <c r="X782" i="2"/>
  <c r="AF782" i="2"/>
  <c r="W782" i="2"/>
  <c r="U782" i="2"/>
  <c r="D782" i="2"/>
  <c r="C782" i="2"/>
  <c r="AI782" i="2"/>
  <c r="K782" i="2"/>
  <c r="B784" i="2" l="1"/>
  <c r="AG783" i="2"/>
  <c r="P783" i="2"/>
  <c r="S783" i="2"/>
  <c r="V783" i="2"/>
  <c r="AD783" i="2"/>
  <c r="L783" i="2"/>
  <c r="Q783" i="2"/>
  <c r="AC783" i="2"/>
  <c r="U783" i="2"/>
  <c r="O783" i="2"/>
  <c r="K783" i="2"/>
  <c r="AA783" i="2"/>
  <c r="M783" i="2"/>
  <c r="F783" i="2"/>
  <c r="AF783" i="2"/>
  <c r="X783" i="2"/>
  <c r="D783" i="2"/>
  <c r="C783" i="2"/>
  <c r="AB783" i="2"/>
  <c r="N783" i="2"/>
  <c r="AM783" i="2"/>
  <c r="AH783" i="2"/>
  <c r="G783" i="2"/>
  <c r="R783" i="2"/>
  <c r="AI783" i="2"/>
  <c r="W783" i="2"/>
  <c r="I783" i="2"/>
  <c r="T783" i="2"/>
  <c r="AO783" i="2"/>
  <c r="AJ783" i="2"/>
  <c r="Z783" i="2"/>
  <c r="H783" i="2"/>
  <c r="AE783" i="2"/>
  <c r="J783" i="2"/>
  <c r="AN783" i="2"/>
  <c r="AK783" i="2"/>
  <c r="E783" i="2"/>
  <c r="Y783" i="2"/>
  <c r="AL783" i="2"/>
  <c r="B785" i="2" l="1"/>
  <c r="F784" i="2"/>
  <c r="M784" i="2"/>
  <c r="R784" i="2"/>
  <c r="AK784" i="2"/>
  <c r="U784" i="2"/>
  <c r="AN784" i="2"/>
  <c r="K784" i="2"/>
  <c r="AH784" i="2"/>
  <c r="N784" i="2"/>
  <c r="AG784" i="2"/>
  <c r="AL784" i="2"/>
  <c r="O784" i="2"/>
  <c r="Z784" i="2"/>
  <c r="AJ784" i="2"/>
  <c r="I784" i="2"/>
  <c r="H784" i="2"/>
  <c r="Y784" i="2"/>
  <c r="AB784" i="2"/>
  <c r="E784" i="2"/>
  <c r="AC784" i="2"/>
  <c r="AE784" i="2"/>
  <c r="AF784" i="2"/>
  <c r="V784" i="2"/>
  <c r="AO784" i="2"/>
  <c r="W784" i="2"/>
  <c r="X784" i="2"/>
  <c r="AM784" i="2"/>
  <c r="AA784" i="2"/>
  <c r="Q784" i="2"/>
  <c r="AD784" i="2"/>
  <c r="D784" i="2"/>
  <c r="L784" i="2"/>
  <c r="J784" i="2"/>
  <c r="C784" i="2"/>
  <c r="T784" i="2"/>
  <c r="AI784" i="2"/>
  <c r="S784" i="2"/>
  <c r="G784" i="2"/>
  <c r="P784" i="2"/>
  <c r="B786" i="2" l="1"/>
  <c r="AM785" i="2"/>
  <c r="G785" i="2"/>
  <c r="K785" i="2"/>
  <c r="AJ785" i="2"/>
  <c r="AF785" i="2"/>
  <c r="AG785" i="2"/>
  <c r="R785" i="2"/>
  <c r="AO785" i="2"/>
  <c r="AH785" i="2"/>
  <c r="Q785" i="2"/>
  <c r="H785" i="2"/>
  <c r="AB785" i="2"/>
  <c r="L785" i="2"/>
  <c r="O785" i="2"/>
  <c r="AL785" i="2"/>
  <c r="W785" i="2"/>
  <c r="I785" i="2"/>
  <c r="M785" i="2"/>
  <c r="AD785" i="2"/>
  <c r="AC785" i="2"/>
  <c r="X785" i="2"/>
  <c r="U785" i="2"/>
  <c r="F785" i="2"/>
  <c r="E785" i="2"/>
  <c r="D785" i="2"/>
  <c r="V785" i="2"/>
  <c r="AI785" i="2"/>
  <c r="N785" i="2"/>
  <c r="T785" i="2"/>
  <c r="Z785" i="2"/>
  <c r="P785" i="2"/>
  <c r="AN785" i="2"/>
  <c r="Y785" i="2"/>
  <c r="AA785" i="2"/>
  <c r="AK785" i="2"/>
  <c r="J785" i="2"/>
  <c r="AE785" i="2"/>
  <c r="S785" i="2"/>
  <c r="C785" i="2"/>
  <c r="B787" i="2" l="1"/>
  <c r="AA786" i="2"/>
  <c r="AM786" i="2"/>
  <c r="K786" i="2"/>
  <c r="P786" i="2"/>
  <c r="J786" i="2"/>
  <c r="AF786" i="2"/>
  <c r="AE786" i="2"/>
  <c r="S786" i="2"/>
  <c r="AJ786" i="2"/>
  <c r="T786" i="2"/>
  <c r="AC786" i="2"/>
  <c r="Q786" i="2"/>
  <c r="L786" i="2"/>
  <c r="AB786" i="2"/>
  <c r="AH786" i="2"/>
  <c r="N786" i="2"/>
  <c r="AK786" i="2"/>
  <c r="Y786" i="2"/>
  <c r="AL786" i="2"/>
  <c r="F786" i="2"/>
  <c r="I786" i="2"/>
  <c r="D786" i="2"/>
  <c r="H786" i="2"/>
  <c r="R786" i="2"/>
  <c r="V786" i="2"/>
  <c r="W786" i="2"/>
  <c r="U786" i="2"/>
  <c r="E786" i="2"/>
  <c r="AO786" i="2"/>
  <c r="Z786" i="2"/>
  <c r="AI786" i="2"/>
  <c r="AG786" i="2"/>
  <c r="AD786" i="2"/>
  <c r="C786" i="2"/>
  <c r="AN786" i="2"/>
  <c r="X786" i="2"/>
  <c r="M786" i="2"/>
  <c r="O786" i="2"/>
  <c r="G786" i="2"/>
  <c r="B788" i="2" l="1"/>
  <c r="AM787" i="2"/>
  <c r="AE787" i="2"/>
  <c r="T787" i="2"/>
  <c r="AF787" i="2"/>
  <c r="AK787" i="2"/>
  <c r="W787" i="2"/>
  <c r="AA787" i="2"/>
  <c r="AN787" i="2"/>
  <c r="AB787" i="2"/>
  <c r="Z787" i="2"/>
  <c r="X787" i="2"/>
  <c r="G787" i="2"/>
  <c r="K787" i="2"/>
  <c r="R787" i="2"/>
  <c r="AJ787" i="2"/>
  <c r="AI787" i="2"/>
  <c r="V787" i="2"/>
  <c r="AG787" i="2"/>
  <c r="U787" i="2"/>
  <c r="O787" i="2"/>
  <c r="E787" i="2"/>
  <c r="Y787" i="2"/>
  <c r="N787" i="2"/>
  <c r="P787" i="2"/>
  <c r="I787" i="2"/>
  <c r="J787" i="2"/>
  <c r="C787" i="2"/>
  <c r="L787" i="2"/>
  <c r="D787" i="2"/>
  <c r="S787" i="2"/>
  <c r="AD787" i="2"/>
  <c r="M787" i="2"/>
  <c r="AO787" i="2"/>
  <c r="AH787" i="2"/>
  <c r="F787" i="2"/>
  <c r="H787" i="2"/>
  <c r="Q787" i="2"/>
  <c r="AL787" i="2"/>
  <c r="AC787" i="2"/>
  <c r="B789" i="2" l="1"/>
  <c r="H788" i="2"/>
  <c r="AJ788" i="2"/>
  <c r="AO788" i="2"/>
  <c r="AN788" i="2"/>
  <c r="AB788" i="2"/>
  <c r="AM788" i="2"/>
  <c r="AH788" i="2"/>
  <c r="AF788" i="2"/>
  <c r="Q788" i="2"/>
  <c r="AD788" i="2"/>
  <c r="I788" i="2"/>
  <c r="M788" i="2"/>
  <c r="AG788" i="2"/>
  <c r="C788" i="2"/>
  <c r="AK788" i="2"/>
  <c r="D788" i="2"/>
  <c r="N788" i="2"/>
  <c r="T788" i="2"/>
  <c r="AL788" i="2"/>
  <c r="Y788" i="2"/>
  <c r="F788" i="2"/>
  <c r="X788" i="2"/>
  <c r="R788" i="2"/>
  <c r="P788" i="2"/>
  <c r="G788" i="2"/>
  <c r="V788" i="2"/>
  <c r="S788" i="2"/>
  <c r="U788" i="2"/>
  <c r="W788" i="2"/>
  <c r="Z788" i="2"/>
  <c r="AA788" i="2"/>
  <c r="L788" i="2"/>
  <c r="AE788" i="2"/>
  <c r="E788" i="2"/>
  <c r="AI788" i="2"/>
  <c r="O788" i="2"/>
  <c r="AC788" i="2"/>
  <c r="K788" i="2"/>
  <c r="J788" i="2"/>
  <c r="B790" i="2" l="1"/>
  <c r="D789" i="2"/>
  <c r="W789" i="2"/>
  <c r="P789" i="2"/>
  <c r="AJ789" i="2"/>
  <c r="AO789" i="2"/>
  <c r="C789" i="2"/>
  <c r="AA789" i="2"/>
  <c r="AN789" i="2"/>
  <c r="AB789" i="2"/>
  <c r="AE789" i="2"/>
  <c r="Q789" i="2"/>
  <c r="M789" i="2"/>
  <c r="R789" i="2"/>
  <c r="I789" i="2"/>
  <c r="E789" i="2"/>
  <c r="AD789" i="2"/>
  <c r="N789" i="2"/>
  <c r="AF789" i="2"/>
  <c r="U789" i="2"/>
  <c r="AK789" i="2"/>
  <c r="S789" i="2"/>
  <c r="Z789" i="2"/>
  <c r="G789" i="2"/>
  <c r="X789" i="2"/>
  <c r="J789" i="2"/>
  <c r="AC789" i="2"/>
  <c r="O789" i="2"/>
  <c r="L789" i="2"/>
  <c r="F789" i="2"/>
  <c r="Y789" i="2"/>
  <c r="H789" i="2"/>
  <c r="AI789" i="2"/>
  <c r="AM789" i="2"/>
  <c r="K789" i="2"/>
  <c r="AL789" i="2"/>
  <c r="V789" i="2"/>
  <c r="T789" i="2"/>
  <c r="AH789" i="2"/>
  <c r="AG789" i="2"/>
  <c r="B791" i="2" l="1"/>
  <c r="C790" i="2"/>
  <c r="Y790" i="2"/>
  <c r="AN790" i="2"/>
  <c r="U790" i="2"/>
  <c r="AO790" i="2"/>
  <c r="AG790" i="2"/>
  <c r="AE790" i="2"/>
  <c r="N790" i="2"/>
  <c r="Z790" i="2"/>
  <c r="E790" i="2"/>
  <c r="AH790" i="2"/>
  <c r="AI790" i="2"/>
  <c r="V790" i="2"/>
  <c r="R790" i="2"/>
  <c r="X790" i="2"/>
  <c r="I790" i="2"/>
  <c r="AB790" i="2"/>
  <c r="M790" i="2"/>
  <c r="AA790" i="2"/>
  <c r="AK790" i="2"/>
  <c r="AJ790" i="2"/>
  <c r="J790" i="2"/>
  <c r="L790" i="2"/>
  <c r="Q790" i="2"/>
  <c r="AC790" i="2"/>
  <c r="K790" i="2"/>
  <c r="G790" i="2"/>
  <c r="AF790" i="2"/>
  <c r="F790" i="2"/>
  <c r="P790" i="2"/>
  <c r="AL790" i="2"/>
  <c r="W790" i="2"/>
  <c r="H790" i="2"/>
  <c r="AD790" i="2"/>
  <c r="AM790" i="2"/>
  <c r="S790" i="2"/>
  <c r="T790" i="2"/>
  <c r="D790" i="2"/>
  <c r="O790" i="2"/>
  <c r="B792" i="2" l="1"/>
  <c r="P791" i="2"/>
  <c r="AK791" i="2"/>
  <c r="S791" i="2"/>
  <c r="O791" i="2"/>
  <c r="AO791" i="2"/>
  <c r="AM791" i="2"/>
  <c r="R791" i="2"/>
  <c r="Q791" i="2"/>
  <c r="AG791" i="2"/>
  <c r="Y791" i="2"/>
  <c r="G791" i="2"/>
  <c r="Z791" i="2"/>
  <c r="W791" i="2"/>
  <c r="AF791" i="2"/>
  <c r="AA791" i="2"/>
  <c r="X791" i="2"/>
  <c r="AH791" i="2"/>
  <c r="AL791" i="2"/>
  <c r="H791" i="2"/>
  <c r="U791" i="2"/>
  <c r="F791" i="2"/>
  <c r="K791" i="2"/>
  <c r="V791" i="2"/>
  <c r="I791" i="2"/>
  <c r="J791" i="2"/>
  <c r="AD791" i="2"/>
  <c r="AJ791" i="2"/>
  <c r="N791" i="2"/>
  <c r="AB791" i="2"/>
  <c r="AN791" i="2"/>
  <c r="C791" i="2"/>
  <c r="T791" i="2"/>
  <c r="D791" i="2"/>
  <c r="E791" i="2"/>
  <c r="AE791" i="2"/>
  <c r="AC791" i="2"/>
  <c r="L791" i="2"/>
  <c r="AI791" i="2"/>
  <c r="M791" i="2"/>
  <c r="B793" i="2" l="1"/>
  <c r="AI792" i="2"/>
  <c r="S792" i="2"/>
  <c r="AL792" i="2"/>
  <c r="AG792" i="2"/>
  <c r="G792" i="2"/>
  <c r="AN792" i="2"/>
  <c r="W792" i="2"/>
  <c r="M792" i="2"/>
  <c r="AH792" i="2"/>
  <c r="U792" i="2"/>
  <c r="Z792" i="2"/>
  <c r="F792" i="2"/>
  <c r="AD792" i="2"/>
  <c r="I792" i="2"/>
  <c r="AM792" i="2"/>
  <c r="AA792" i="2"/>
  <c r="AE792" i="2"/>
  <c r="AF792" i="2"/>
  <c r="T792" i="2"/>
  <c r="K792" i="2"/>
  <c r="L792" i="2"/>
  <c r="E792" i="2"/>
  <c r="Q792" i="2"/>
  <c r="Y792" i="2"/>
  <c r="R792" i="2"/>
  <c r="AC792" i="2"/>
  <c r="P792" i="2"/>
  <c r="J792" i="2"/>
  <c r="AB792" i="2"/>
  <c r="AO792" i="2"/>
  <c r="N792" i="2"/>
  <c r="H792" i="2"/>
  <c r="D792" i="2"/>
  <c r="V792" i="2"/>
  <c r="C792" i="2"/>
  <c r="X792" i="2"/>
  <c r="O792" i="2"/>
  <c r="AJ792" i="2"/>
  <c r="AK792" i="2"/>
  <c r="B794" i="2" l="1"/>
  <c r="J793" i="2"/>
  <c r="C793" i="2"/>
  <c r="I793" i="2"/>
  <c r="AB793" i="2"/>
  <c r="H793" i="2"/>
  <c r="AI793" i="2"/>
  <c r="Y793" i="2"/>
  <c r="M793" i="2"/>
  <c r="D793" i="2"/>
  <c r="O793" i="2"/>
  <c r="Z793" i="2"/>
  <c r="Q793" i="2"/>
  <c r="R793" i="2"/>
  <c r="AG793" i="2"/>
  <c r="AA793" i="2"/>
  <c r="S793" i="2"/>
  <c r="AM793" i="2"/>
  <c r="V793" i="2"/>
  <c r="X793" i="2"/>
  <c r="AF793" i="2"/>
  <c r="AO793" i="2"/>
  <c r="AH793" i="2"/>
  <c r="L793" i="2"/>
  <c r="AK793" i="2"/>
  <c r="P793" i="2"/>
  <c r="AN793" i="2"/>
  <c r="W793" i="2"/>
  <c r="AC793" i="2"/>
  <c r="G793" i="2"/>
  <c r="AD793" i="2"/>
  <c r="AL793" i="2"/>
  <c r="AE793" i="2"/>
  <c r="K793" i="2"/>
  <c r="F793" i="2"/>
  <c r="E793" i="2"/>
  <c r="N793" i="2"/>
  <c r="T793" i="2"/>
  <c r="U793" i="2"/>
  <c r="AJ793" i="2"/>
  <c r="B795" i="2" l="1"/>
  <c r="H794" i="2"/>
  <c r="U794" i="2"/>
  <c r="I794" i="2"/>
  <c r="C794" i="2"/>
  <c r="W794" i="2"/>
  <c r="J794" i="2"/>
  <c r="E794" i="2"/>
  <c r="AO794" i="2"/>
  <c r="D794" i="2"/>
  <c r="M794" i="2"/>
  <c r="AI794" i="2"/>
  <c r="AE794" i="2"/>
  <c r="AD794" i="2"/>
  <c r="AH794" i="2"/>
  <c r="AA794" i="2"/>
  <c r="Q794" i="2"/>
  <c r="AC794" i="2"/>
  <c r="V794" i="2"/>
  <c r="F794" i="2"/>
  <c r="Y794" i="2"/>
  <c r="AN794" i="2"/>
  <c r="L794" i="2"/>
  <c r="R794" i="2"/>
  <c r="AM794" i="2"/>
  <c r="S794" i="2"/>
  <c r="Z794" i="2"/>
  <c r="G794" i="2"/>
  <c r="T794" i="2"/>
  <c r="AG794" i="2"/>
  <c r="N794" i="2"/>
  <c r="O794" i="2"/>
  <c r="X794" i="2"/>
  <c r="AL794" i="2"/>
  <c r="K794" i="2"/>
  <c r="AK794" i="2"/>
  <c r="AB794" i="2"/>
  <c r="P794" i="2"/>
  <c r="AF794" i="2"/>
  <c r="AJ794" i="2"/>
  <c r="B796" i="2" l="1"/>
  <c r="Y795" i="2"/>
  <c r="AD795" i="2"/>
  <c r="Q795" i="2"/>
  <c r="K795" i="2"/>
  <c r="AC795" i="2"/>
  <c r="AK795" i="2"/>
  <c r="P795" i="2"/>
  <c r="AL795" i="2"/>
  <c r="U795" i="2"/>
  <c r="Z795" i="2"/>
  <c r="G795" i="2"/>
  <c r="R795" i="2"/>
  <c r="AF795" i="2"/>
  <c r="I795" i="2"/>
  <c r="AG795" i="2"/>
  <c r="AI795" i="2"/>
  <c r="AE795" i="2"/>
  <c r="W795" i="2"/>
  <c r="H795" i="2"/>
  <c r="L795" i="2"/>
  <c r="D795" i="2"/>
  <c r="F795" i="2"/>
  <c r="AA795" i="2"/>
  <c r="AM795" i="2"/>
  <c r="N795" i="2"/>
  <c r="E795" i="2"/>
  <c r="C795" i="2"/>
  <c r="O795" i="2"/>
  <c r="T795" i="2"/>
  <c r="M795" i="2"/>
  <c r="V795" i="2"/>
  <c r="S795" i="2"/>
  <c r="AJ795" i="2"/>
  <c r="X795" i="2"/>
  <c r="AB795" i="2"/>
  <c r="AN795" i="2"/>
  <c r="AO795" i="2"/>
  <c r="J795" i="2"/>
  <c r="AH795" i="2"/>
  <c r="B797" i="2" l="1"/>
  <c r="E796" i="2"/>
  <c r="L796" i="2"/>
  <c r="AC796" i="2"/>
  <c r="V796" i="2"/>
  <c r="G796" i="2"/>
  <c r="AH796" i="2"/>
  <c r="U796" i="2"/>
  <c r="AE796" i="2"/>
  <c r="F796" i="2"/>
  <c r="K796" i="2"/>
  <c r="AD796" i="2"/>
  <c r="J796" i="2"/>
  <c r="P796" i="2"/>
  <c r="Y796" i="2"/>
  <c r="AA796" i="2"/>
  <c r="AM796" i="2"/>
  <c r="Q796" i="2"/>
  <c r="M796" i="2"/>
  <c r="I796" i="2"/>
  <c r="AJ796" i="2"/>
  <c r="W796" i="2"/>
  <c r="X796" i="2"/>
  <c r="AK796" i="2"/>
  <c r="D796" i="2"/>
  <c r="S796" i="2"/>
  <c r="AG796" i="2"/>
  <c r="R796" i="2"/>
  <c r="O796" i="2"/>
  <c r="Z796" i="2"/>
  <c r="AO796" i="2"/>
  <c r="AF796" i="2"/>
  <c r="AI796" i="2"/>
  <c r="H796" i="2"/>
  <c r="AB796" i="2"/>
  <c r="AN796" i="2"/>
  <c r="C796" i="2"/>
  <c r="N796" i="2"/>
  <c r="AL796" i="2"/>
  <c r="T796" i="2"/>
  <c r="B798" i="2" l="1"/>
  <c r="AA797" i="2"/>
  <c r="AE797" i="2"/>
  <c r="F797" i="2"/>
  <c r="AI797" i="2"/>
  <c r="G797" i="2"/>
  <c r="Q797" i="2"/>
  <c r="AD797" i="2"/>
  <c r="AL797" i="2"/>
  <c r="R797" i="2"/>
  <c r="AJ797" i="2"/>
  <c r="W797" i="2"/>
  <c r="AB797" i="2"/>
  <c r="U797" i="2"/>
  <c r="X797" i="2"/>
  <c r="E797" i="2"/>
  <c r="Z797" i="2"/>
  <c r="H797" i="2"/>
  <c r="K797" i="2"/>
  <c r="AN797" i="2"/>
  <c r="J797" i="2"/>
  <c r="AF797" i="2"/>
  <c r="D797" i="2"/>
  <c r="M797" i="2"/>
  <c r="AC797" i="2"/>
  <c r="T797" i="2"/>
  <c r="I797" i="2"/>
  <c r="AK797" i="2"/>
  <c r="AO797" i="2"/>
  <c r="S797" i="2"/>
  <c r="C797" i="2"/>
  <c r="AM797" i="2"/>
  <c r="N797" i="2"/>
  <c r="AG797" i="2"/>
  <c r="Y797" i="2"/>
  <c r="L797" i="2"/>
  <c r="O797" i="2"/>
  <c r="AH797" i="2"/>
  <c r="P797" i="2"/>
  <c r="V797" i="2"/>
  <c r="B799" i="2" l="1"/>
  <c r="I798" i="2"/>
  <c r="V798" i="2"/>
  <c r="AD798" i="2"/>
  <c r="P798" i="2"/>
  <c r="AN798" i="2"/>
  <c r="AB798" i="2"/>
  <c r="AL798" i="2"/>
  <c r="G798" i="2"/>
  <c r="AM798" i="2"/>
  <c r="T798" i="2"/>
  <c r="W798" i="2"/>
  <c r="C798" i="2"/>
  <c r="J798" i="2"/>
  <c r="AC798" i="2"/>
  <c r="AE798" i="2"/>
  <c r="S798" i="2"/>
  <c r="AG798" i="2"/>
  <c r="E798" i="2"/>
  <c r="AH798" i="2"/>
  <c r="AJ798" i="2"/>
  <c r="Y798" i="2"/>
  <c r="Z798" i="2"/>
  <c r="Q798" i="2"/>
  <c r="K798" i="2"/>
  <c r="AO798" i="2"/>
  <c r="M798" i="2"/>
  <c r="AK798" i="2"/>
  <c r="F798" i="2"/>
  <c r="R798" i="2"/>
  <c r="X798" i="2"/>
  <c r="AI798" i="2"/>
  <c r="U798" i="2"/>
  <c r="D798" i="2"/>
  <c r="L798" i="2"/>
  <c r="N798" i="2"/>
  <c r="AA798" i="2"/>
  <c r="O798" i="2"/>
  <c r="AF798" i="2"/>
  <c r="H798" i="2"/>
  <c r="B800" i="2" l="1"/>
  <c r="AK799" i="2"/>
  <c r="O799" i="2"/>
  <c r="U799" i="2"/>
  <c r="AI799" i="2"/>
  <c r="AF799" i="2"/>
  <c r="AJ799" i="2"/>
  <c r="P799" i="2"/>
  <c r="V799" i="2"/>
  <c r="R799" i="2"/>
  <c r="T799" i="2"/>
  <c r="M799" i="2"/>
  <c r="AL799" i="2"/>
  <c r="I799" i="2"/>
  <c r="D799" i="2"/>
  <c r="J799" i="2"/>
  <c r="AA799" i="2"/>
  <c r="W799" i="2"/>
  <c r="AO799" i="2"/>
  <c r="C799" i="2"/>
  <c r="G799" i="2"/>
  <c r="S799" i="2"/>
  <c r="K799" i="2"/>
  <c r="F799" i="2"/>
  <c r="AG799" i="2"/>
  <c r="AD799" i="2"/>
  <c r="AH799" i="2"/>
  <c r="L799" i="2"/>
  <c r="X799" i="2"/>
  <c r="AB799" i="2"/>
  <c r="N799" i="2"/>
  <c r="AM799" i="2"/>
  <c r="E799" i="2"/>
  <c r="AC799" i="2"/>
  <c r="Q799" i="2"/>
  <c r="AE799" i="2"/>
  <c r="Y799" i="2"/>
  <c r="Z799" i="2"/>
  <c r="H799" i="2"/>
  <c r="AN799" i="2"/>
  <c r="B801" i="2" l="1"/>
  <c r="N800" i="2"/>
  <c r="AI800" i="2"/>
  <c r="AN800" i="2"/>
  <c r="O800" i="2"/>
  <c r="AA800" i="2"/>
  <c r="AD800" i="2"/>
  <c r="F800" i="2"/>
  <c r="G800" i="2"/>
  <c r="AB800" i="2"/>
  <c r="P800" i="2"/>
  <c r="L800" i="2"/>
  <c r="U800" i="2"/>
  <c r="V800" i="2"/>
  <c r="R800" i="2"/>
  <c r="H800" i="2"/>
  <c r="E800" i="2"/>
  <c r="AC800" i="2"/>
  <c r="Q800" i="2"/>
  <c r="C800" i="2"/>
  <c r="I800" i="2"/>
  <c r="W800" i="2"/>
  <c r="AF800" i="2"/>
  <c r="D800" i="2"/>
  <c r="Y800" i="2"/>
  <c r="AL800" i="2"/>
  <c r="Z800" i="2"/>
  <c r="S800" i="2"/>
  <c r="AK800" i="2"/>
  <c r="AM800" i="2"/>
  <c r="X800" i="2"/>
  <c r="T800" i="2"/>
  <c r="K800" i="2"/>
  <c r="AE800" i="2"/>
  <c r="J800" i="2"/>
  <c r="AG800" i="2"/>
  <c r="M800" i="2"/>
  <c r="AO800" i="2"/>
  <c r="AH800" i="2"/>
  <c r="AJ800" i="2"/>
  <c r="B802" i="2" l="1"/>
  <c r="AB801" i="2"/>
  <c r="AM801" i="2"/>
  <c r="H801" i="2"/>
  <c r="W801" i="2"/>
  <c r="AK801" i="2"/>
  <c r="M801" i="2"/>
  <c r="L801" i="2"/>
  <c r="O801" i="2"/>
  <c r="I801" i="2"/>
  <c r="AF801" i="2"/>
  <c r="T801" i="2"/>
  <c r="U801" i="2"/>
  <c r="Q801" i="2"/>
  <c r="E801" i="2"/>
  <c r="Y801" i="2"/>
  <c r="AH801" i="2"/>
  <c r="C801" i="2"/>
  <c r="AL801" i="2"/>
  <c r="AE801" i="2"/>
  <c r="K801" i="2"/>
  <c r="D801" i="2"/>
  <c r="AC801" i="2"/>
  <c r="V801" i="2"/>
  <c r="P801" i="2"/>
  <c r="AN801" i="2"/>
  <c r="AO801" i="2"/>
  <c r="G801" i="2"/>
  <c r="R801" i="2"/>
  <c r="S801" i="2"/>
  <c r="AD801" i="2"/>
  <c r="X801" i="2"/>
  <c r="F801" i="2"/>
  <c r="AG801" i="2"/>
  <c r="AA801" i="2"/>
  <c r="AI801" i="2"/>
  <c r="N801" i="2"/>
  <c r="J801" i="2"/>
  <c r="Z801" i="2"/>
  <c r="AJ801" i="2"/>
  <c r="B803" i="2" l="1"/>
  <c r="Y802" i="2"/>
  <c r="D802" i="2"/>
  <c r="AI802" i="2"/>
  <c r="L802" i="2"/>
  <c r="S802" i="2"/>
  <c r="AE802" i="2"/>
  <c r="AK802" i="2"/>
  <c r="M802" i="2"/>
  <c r="C802" i="2"/>
  <c r="AF802" i="2"/>
  <c r="V802" i="2"/>
  <c r="O802" i="2"/>
  <c r="E802" i="2"/>
  <c r="I802" i="2"/>
  <c r="K802" i="2"/>
  <c r="AJ802" i="2"/>
  <c r="AB802" i="2"/>
  <c r="Z802" i="2"/>
  <c r="AO802" i="2"/>
  <c r="AM802" i="2"/>
  <c r="G802" i="2"/>
  <c r="AG802" i="2"/>
  <c r="P802" i="2"/>
  <c r="AL802" i="2"/>
  <c r="R802" i="2"/>
  <c r="U802" i="2"/>
  <c r="AD802" i="2"/>
  <c r="N802" i="2"/>
  <c r="J802" i="2"/>
  <c r="Q802" i="2"/>
  <c r="AA802" i="2"/>
  <c r="H802" i="2"/>
  <c r="AC802" i="2"/>
  <c r="T802" i="2"/>
  <c r="AN802" i="2"/>
  <c r="W802" i="2"/>
  <c r="AH802" i="2"/>
  <c r="X802" i="2"/>
  <c r="F802" i="2"/>
  <c r="B804" i="2" l="1"/>
  <c r="D803" i="2"/>
  <c r="K803" i="2"/>
  <c r="F803" i="2"/>
  <c r="T803" i="2"/>
  <c r="C803" i="2"/>
  <c r="Q803" i="2"/>
  <c r="I803" i="2"/>
  <c r="AC803" i="2"/>
  <c r="R803" i="2"/>
  <c r="O803" i="2"/>
  <c r="L803" i="2"/>
  <c r="G803" i="2"/>
  <c r="U803" i="2"/>
  <c r="AE803" i="2"/>
  <c r="V803" i="2"/>
  <c r="AD803" i="2"/>
  <c r="Y803" i="2"/>
  <c r="E803" i="2"/>
  <c r="AL803" i="2"/>
  <c r="AO803" i="2"/>
  <c r="AA803" i="2"/>
  <c r="AH803" i="2"/>
  <c r="AF803" i="2"/>
  <c r="AB803" i="2"/>
  <c r="S803" i="2"/>
  <c r="N803" i="2"/>
  <c r="J803" i="2"/>
  <c r="AN803" i="2"/>
  <c r="P803" i="2"/>
  <c r="W803" i="2"/>
  <c r="AM803" i="2"/>
  <c r="AJ803" i="2"/>
  <c r="Z803" i="2"/>
  <c r="AI803" i="2"/>
  <c r="M803" i="2"/>
  <c r="AG803" i="2"/>
  <c r="AK803" i="2"/>
  <c r="X803" i="2"/>
  <c r="H803" i="2"/>
  <c r="B805" i="2" l="1"/>
  <c r="AK804" i="2"/>
  <c r="AG804" i="2"/>
  <c r="J804" i="2"/>
  <c r="AB804" i="2"/>
  <c r="V804" i="2"/>
  <c r="P804" i="2"/>
  <c r="AN804" i="2"/>
  <c r="T804" i="2"/>
  <c r="R804" i="2"/>
  <c r="I804" i="2"/>
  <c r="Q804" i="2"/>
  <c r="C804" i="2"/>
  <c r="U804" i="2"/>
  <c r="AI804" i="2"/>
  <c r="AF804" i="2"/>
  <c r="AD804" i="2"/>
  <c r="D804" i="2"/>
  <c r="Y804" i="2"/>
  <c r="AL804" i="2"/>
  <c r="AE804" i="2"/>
  <c r="E804" i="2"/>
  <c r="M804" i="2"/>
  <c r="F804" i="2"/>
  <c r="W804" i="2"/>
  <c r="AC804" i="2"/>
  <c r="AH804" i="2"/>
  <c r="AJ804" i="2"/>
  <c r="H804" i="2"/>
  <c r="AA804" i="2"/>
  <c r="AO804" i="2"/>
  <c r="K804" i="2"/>
  <c r="N804" i="2"/>
  <c r="O804" i="2"/>
  <c r="AM804" i="2"/>
  <c r="G804" i="2"/>
  <c r="L804" i="2"/>
  <c r="Z804" i="2"/>
  <c r="S804" i="2"/>
  <c r="X804" i="2"/>
  <c r="B806" i="2" l="1"/>
  <c r="W805" i="2"/>
  <c r="AN805" i="2"/>
  <c r="D805" i="2"/>
  <c r="AC805" i="2"/>
  <c r="T805" i="2"/>
  <c r="M805" i="2"/>
  <c r="AF805" i="2"/>
  <c r="AJ805" i="2"/>
  <c r="L805" i="2"/>
  <c r="C805" i="2"/>
  <c r="AM805" i="2"/>
  <c r="Q805" i="2"/>
  <c r="X805" i="2"/>
  <c r="AE805" i="2"/>
  <c r="H805" i="2"/>
  <c r="Y805" i="2"/>
  <c r="P805" i="2"/>
  <c r="AD805" i="2"/>
  <c r="N805" i="2"/>
  <c r="Z805" i="2"/>
  <c r="AA805" i="2"/>
  <c r="AG805" i="2"/>
  <c r="AO805" i="2"/>
  <c r="AB805" i="2"/>
  <c r="K805" i="2"/>
  <c r="G805" i="2"/>
  <c r="R805" i="2"/>
  <c r="AL805" i="2"/>
  <c r="AH805" i="2"/>
  <c r="O805" i="2"/>
  <c r="AI805" i="2"/>
  <c r="U805" i="2"/>
  <c r="E805" i="2"/>
  <c r="V805" i="2"/>
  <c r="S805" i="2"/>
  <c r="AK805" i="2"/>
  <c r="F805" i="2"/>
  <c r="J805" i="2"/>
  <c r="I805" i="2"/>
  <c r="B807" i="2" l="1"/>
  <c r="U806" i="2"/>
  <c r="L806" i="2"/>
  <c r="W806" i="2"/>
  <c r="AA806" i="2"/>
  <c r="E806" i="2"/>
  <c r="M806" i="2"/>
  <c r="AE806" i="2"/>
  <c r="AB806" i="2"/>
  <c r="AI806" i="2"/>
  <c r="AG806" i="2"/>
  <c r="AF806" i="2"/>
  <c r="P806" i="2"/>
  <c r="AN806" i="2"/>
  <c r="AJ806" i="2"/>
  <c r="H806" i="2"/>
  <c r="R806" i="2"/>
  <c r="AH806" i="2"/>
  <c r="Z806" i="2"/>
  <c r="S806" i="2"/>
  <c r="N806" i="2"/>
  <c r="T806" i="2"/>
  <c r="AO806" i="2"/>
  <c r="J806" i="2"/>
  <c r="V806" i="2"/>
  <c r="X806" i="2"/>
  <c r="Q806" i="2"/>
  <c r="AK806" i="2"/>
  <c r="G806" i="2"/>
  <c r="I806" i="2"/>
  <c r="F806" i="2"/>
  <c r="D806" i="2"/>
  <c r="Y806" i="2"/>
  <c r="AM806" i="2"/>
  <c r="C806" i="2"/>
  <c r="K806" i="2"/>
  <c r="AD806" i="2"/>
  <c r="AL806" i="2"/>
  <c r="AC806" i="2"/>
  <c r="O806" i="2"/>
  <c r="B808" i="2" l="1"/>
  <c r="Y807" i="2"/>
  <c r="G807" i="2"/>
  <c r="AJ807" i="2"/>
  <c r="T807" i="2"/>
  <c r="U807" i="2"/>
  <c r="AN807" i="2"/>
  <c r="X807" i="2"/>
  <c r="H807" i="2"/>
  <c r="AE807" i="2"/>
  <c r="AO807" i="2"/>
  <c r="Q807" i="2"/>
  <c r="V807" i="2"/>
  <c r="AK807" i="2"/>
  <c r="AA807" i="2"/>
  <c r="L807" i="2"/>
  <c r="AG807" i="2"/>
  <c r="P807" i="2"/>
  <c r="AL807" i="2"/>
  <c r="I807" i="2"/>
  <c r="J807" i="2"/>
  <c r="Z807" i="2"/>
  <c r="K807" i="2"/>
  <c r="D807" i="2"/>
  <c r="AF807" i="2"/>
  <c r="AI807" i="2"/>
  <c r="S807" i="2"/>
  <c r="AC807" i="2"/>
  <c r="C807" i="2"/>
  <c r="AM807" i="2"/>
  <c r="E807" i="2"/>
  <c r="AB807" i="2"/>
  <c r="O807" i="2"/>
  <c r="F807" i="2"/>
  <c r="M807" i="2"/>
  <c r="R807" i="2"/>
  <c r="W807" i="2"/>
  <c r="AH807" i="2"/>
  <c r="AD807" i="2"/>
  <c r="N807" i="2"/>
  <c r="B809" i="2" l="1"/>
  <c r="V808" i="2"/>
  <c r="E808" i="2"/>
  <c r="AF808" i="2"/>
  <c r="AJ808" i="2"/>
  <c r="AI808" i="2"/>
  <c r="U808" i="2"/>
  <c r="AH808" i="2"/>
  <c r="AK808" i="2"/>
  <c r="H808" i="2"/>
  <c r="AL808" i="2"/>
  <c r="R808" i="2"/>
  <c r="X808" i="2"/>
  <c r="I808" i="2"/>
  <c r="J808" i="2"/>
  <c r="AE808" i="2"/>
  <c r="N808" i="2"/>
  <c r="S808" i="2"/>
  <c r="Y808" i="2"/>
  <c r="Q808" i="2"/>
  <c r="AA808" i="2"/>
  <c r="Z808" i="2"/>
  <c r="AB808" i="2"/>
  <c r="AG808" i="2"/>
  <c r="K808" i="2"/>
  <c r="D808" i="2"/>
  <c r="O808" i="2"/>
  <c r="L808" i="2"/>
  <c r="P808" i="2"/>
  <c r="W808" i="2"/>
  <c r="AN808" i="2"/>
  <c r="AO808" i="2"/>
  <c r="C808" i="2"/>
  <c r="AC808" i="2"/>
  <c r="M808" i="2"/>
  <c r="AD808" i="2"/>
  <c r="T808" i="2"/>
  <c r="F808" i="2"/>
  <c r="AM808" i="2"/>
  <c r="G808" i="2"/>
  <c r="B810" i="2" l="1"/>
  <c r="W809" i="2"/>
  <c r="R809" i="2"/>
  <c r="AG809" i="2"/>
  <c r="S809" i="2"/>
  <c r="AO809" i="2"/>
  <c r="T809" i="2"/>
  <c r="Q809" i="2"/>
  <c r="AB809" i="2"/>
  <c r="AL809" i="2"/>
  <c r="AI809" i="2"/>
  <c r="AH809" i="2"/>
  <c r="AC809" i="2"/>
  <c r="C809" i="2"/>
  <c r="G809" i="2"/>
  <c r="U809" i="2"/>
  <c r="AE809" i="2"/>
  <c r="Z809" i="2"/>
  <c r="AM809" i="2"/>
  <c r="F809" i="2"/>
  <c r="AD809" i="2"/>
  <c r="Y809" i="2"/>
  <c r="L809" i="2"/>
  <c r="M809" i="2"/>
  <c r="P809" i="2"/>
  <c r="O809" i="2"/>
  <c r="J809" i="2"/>
  <c r="AF809" i="2"/>
  <c r="AK809" i="2"/>
  <c r="D809" i="2"/>
  <c r="E809" i="2"/>
  <c r="X809" i="2"/>
  <c r="I809" i="2"/>
  <c r="V809" i="2"/>
  <c r="K809" i="2"/>
  <c r="H809" i="2"/>
  <c r="AN809" i="2"/>
  <c r="AA809" i="2"/>
  <c r="AJ809" i="2"/>
  <c r="N809" i="2"/>
  <c r="B811" i="2" l="1"/>
  <c r="D810" i="2"/>
  <c r="Z810" i="2"/>
  <c r="AI810" i="2"/>
  <c r="R810" i="2"/>
  <c r="AB810" i="2"/>
  <c r="T810" i="2"/>
  <c r="AL810" i="2"/>
  <c r="AO810" i="2"/>
  <c r="Q810" i="2"/>
  <c r="G810" i="2"/>
  <c r="E810" i="2"/>
  <c r="P810" i="2"/>
  <c r="I810" i="2"/>
  <c r="U810" i="2"/>
  <c r="S810" i="2"/>
  <c r="AJ810" i="2"/>
  <c r="AA810" i="2"/>
  <c r="F810" i="2"/>
  <c r="AK810" i="2"/>
  <c r="AM810" i="2"/>
  <c r="K810" i="2"/>
  <c r="J810" i="2"/>
  <c r="C810" i="2"/>
  <c r="L810" i="2"/>
  <c r="AH810" i="2"/>
  <c r="W810" i="2"/>
  <c r="Y810" i="2"/>
  <c r="M810" i="2"/>
  <c r="O810" i="2"/>
  <c r="AC810" i="2"/>
  <c r="X810" i="2"/>
  <c r="V810" i="2"/>
  <c r="AG810" i="2"/>
  <c r="N810" i="2"/>
  <c r="AN810" i="2"/>
  <c r="AF810" i="2"/>
  <c r="AD810" i="2"/>
  <c r="AE810" i="2"/>
  <c r="H810" i="2"/>
  <c r="B812" i="2" l="1"/>
  <c r="AC811" i="2"/>
  <c r="AO811" i="2"/>
  <c r="E811" i="2"/>
  <c r="AJ811" i="2"/>
  <c r="U811" i="2"/>
  <c r="F811" i="2"/>
  <c r="C811" i="2"/>
  <c r="I811" i="2"/>
  <c r="N811" i="2"/>
  <c r="AL811" i="2"/>
  <c r="X811" i="2"/>
  <c r="Z811" i="2"/>
  <c r="Y811" i="2"/>
  <c r="K811" i="2"/>
  <c r="P811" i="2"/>
  <c r="D811" i="2"/>
  <c r="AM811" i="2"/>
  <c r="O811" i="2"/>
  <c r="S811" i="2"/>
  <c r="V811" i="2"/>
  <c r="AK811" i="2"/>
  <c r="AA811" i="2"/>
  <c r="W811" i="2"/>
  <c r="H811" i="2"/>
  <c r="AI811" i="2"/>
  <c r="AN811" i="2"/>
  <c r="AH811" i="2"/>
  <c r="AG811" i="2"/>
  <c r="AD811" i="2"/>
  <c r="R811" i="2"/>
  <c r="J811" i="2"/>
  <c r="G811" i="2"/>
  <c r="L811" i="2"/>
  <c r="AF811" i="2"/>
  <c r="AE811" i="2"/>
  <c r="M811" i="2"/>
  <c r="T811" i="2"/>
  <c r="Q811" i="2"/>
  <c r="AB811" i="2"/>
  <c r="B813" i="2" l="1"/>
  <c r="J812" i="2"/>
  <c r="H812" i="2"/>
  <c r="AB812" i="2"/>
  <c r="E812" i="2"/>
  <c r="K812" i="2"/>
  <c r="G812" i="2"/>
  <c r="N812" i="2"/>
  <c r="AK812" i="2"/>
  <c r="R812" i="2"/>
  <c r="AM812" i="2"/>
  <c r="W812" i="2"/>
  <c r="F812" i="2"/>
  <c r="AO812" i="2"/>
  <c r="Q812" i="2"/>
  <c r="AC812" i="2"/>
  <c r="Z812" i="2"/>
  <c r="AJ812" i="2"/>
  <c r="M812" i="2"/>
  <c r="AG812" i="2"/>
  <c r="I812" i="2"/>
  <c r="AE812" i="2"/>
  <c r="S812" i="2"/>
  <c r="T812" i="2"/>
  <c r="X812" i="2"/>
  <c r="V812" i="2"/>
  <c r="L812" i="2"/>
  <c r="AN812" i="2"/>
  <c r="D812" i="2"/>
  <c r="AH812" i="2"/>
  <c r="U812" i="2"/>
  <c r="C812" i="2"/>
  <c r="AF812" i="2"/>
  <c r="P812" i="2"/>
  <c r="AL812" i="2"/>
  <c r="AI812" i="2"/>
  <c r="AD812" i="2"/>
  <c r="Y812" i="2"/>
  <c r="AA812" i="2"/>
  <c r="O812" i="2"/>
  <c r="B814" i="2" l="1"/>
  <c r="Y813" i="2"/>
  <c r="M813" i="2"/>
  <c r="R813" i="2"/>
  <c r="AB813" i="2"/>
  <c r="Z813" i="2"/>
  <c r="AC813" i="2"/>
  <c r="AJ813" i="2"/>
  <c r="E813" i="2"/>
  <c r="K813" i="2"/>
  <c r="U813" i="2"/>
  <c r="AO813" i="2"/>
  <c r="V813" i="2"/>
  <c r="G813" i="2"/>
  <c r="P813" i="2"/>
  <c r="N813" i="2"/>
  <c r="S813" i="2"/>
  <c r="D813" i="2"/>
  <c r="J813" i="2"/>
  <c r="F813" i="2"/>
  <c r="W813" i="2"/>
  <c r="X813" i="2"/>
  <c r="AG813" i="2"/>
  <c r="AK813" i="2"/>
  <c r="AF813" i="2"/>
  <c r="AL813" i="2"/>
  <c r="AD813" i="2"/>
  <c r="I813" i="2"/>
  <c r="AI813" i="2"/>
  <c r="O813" i="2"/>
  <c r="AA813" i="2"/>
  <c r="AN813" i="2"/>
  <c r="Q813" i="2"/>
  <c r="H813" i="2"/>
  <c r="T813" i="2"/>
  <c r="AH813" i="2"/>
  <c r="L813" i="2"/>
  <c r="AE813" i="2"/>
  <c r="AM813" i="2"/>
  <c r="C813" i="2"/>
  <c r="B815" i="2" l="1"/>
  <c r="AN814" i="2"/>
  <c r="Z814" i="2"/>
  <c r="I814" i="2"/>
  <c r="M814" i="2"/>
  <c r="L814" i="2"/>
  <c r="P814" i="2"/>
  <c r="S814" i="2"/>
  <c r="AE814" i="2"/>
  <c r="V814" i="2"/>
  <c r="AI814" i="2"/>
  <c r="D814" i="2"/>
  <c r="U814" i="2"/>
  <c r="H814" i="2"/>
  <c r="AM814" i="2"/>
  <c r="G814" i="2"/>
  <c r="T814" i="2"/>
  <c r="AK814" i="2"/>
  <c r="AG814" i="2"/>
  <c r="AJ814" i="2"/>
  <c r="AD814" i="2"/>
  <c r="K814" i="2"/>
  <c r="AL814" i="2"/>
  <c r="X814" i="2"/>
  <c r="O814" i="2"/>
  <c r="N814" i="2"/>
  <c r="R814" i="2"/>
  <c r="E814" i="2"/>
  <c r="Q814" i="2"/>
  <c r="AC814" i="2"/>
  <c r="AO814" i="2"/>
  <c r="AA814" i="2"/>
  <c r="J814" i="2"/>
  <c r="AB814" i="2"/>
  <c r="F814" i="2"/>
  <c r="C814" i="2"/>
  <c r="W814" i="2"/>
  <c r="AF814" i="2"/>
  <c r="AH814" i="2"/>
  <c r="Y814" i="2"/>
  <c r="B816" i="2" l="1"/>
  <c r="K815" i="2"/>
  <c r="Z815" i="2"/>
  <c r="E815" i="2"/>
  <c r="C815" i="2"/>
  <c r="AB815" i="2"/>
  <c r="M815" i="2"/>
  <c r="U815" i="2"/>
  <c r="O815" i="2"/>
  <c r="P815" i="2"/>
  <c r="R815" i="2"/>
  <c r="Q815" i="2"/>
  <c r="G815" i="2"/>
  <c r="V815" i="2"/>
  <c r="I815" i="2"/>
  <c r="AJ815" i="2"/>
  <c r="AL815" i="2"/>
  <c r="AD815" i="2"/>
  <c r="AH815" i="2"/>
  <c r="Y815" i="2"/>
  <c r="AE815" i="2"/>
  <c r="X815" i="2"/>
  <c r="AF815" i="2"/>
  <c r="N815" i="2"/>
  <c r="S815" i="2"/>
  <c r="D815" i="2"/>
  <c r="AA815" i="2"/>
  <c r="W815" i="2"/>
  <c r="AI815" i="2"/>
  <c r="AC815" i="2"/>
  <c r="H815" i="2"/>
  <c r="AO815" i="2"/>
  <c r="J815" i="2"/>
  <c r="AG815" i="2"/>
  <c r="AK815" i="2"/>
  <c r="F815" i="2"/>
  <c r="AM815" i="2"/>
  <c r="AN815" i="2"/>
  <c r="L815" i="2"/>
  <c r="T815" i="2"/>
  <c r="B817" i="2" l="1"/>
  <c r="AC816" i="2"/>
  <c r="K816" i="2"/>
  <c r="Z816" i="2"/>
  <c r="L816" i="2"/>
  <c r="AH816" i="2"/>
  <c r="V816" i="2"/>
  <c r="G816" i="2"/>
  <c r="M816" i="2"/>
  <c r="I816" i="2"/>
  <c r="AE816" i="2"/>
  <c r="D816" i="2"/>
  <c r="AN816" i="2"/>
  <c r="AI816" i="2"/>
  <c r="AO816" i="2"/>
  <c r="AD816" i="2"/>
  <c r="Q816" i="2"/>
  <c r="Y816" i="2"/>
  <c r="P816" i="2"/>
  <c r="T816" i="2"/>
  <c r="AJ816" i="2"/>
  <c r="U816" i="2"/>
  <c r="C816" i="2"/>
  <c r="E816" i="2"/>
  <c r="AK816" i="2"/>
  <c r="O816" i="2"/>
  <c r="J816" i="2"/>
  <c r="AF816" i="2"/>
  <c r="AL816" i="2"/>
  <c r="S816" i="2"/>
  <c r="W816" i="2"/>
  <c r="X816" i="2"/>
  <c r="F816" i="2"/>
  <c r="AG816" i="2"/>
  <c r="H816" i="2"/>
  <c r="AB816" i="2"/>
  <c r="AM816" i="2"/>
  <c r="R816" i="2"/>
  <c r="N816" i="2"/>
  <c r="AA816" i="2"/>
  <c r="B818" i="2" l="1"/>
  <c r="AM817" i="2"/>
  <c r="X817" i="2"/>
  <c r="AD817" i="2"/>
  <c r="V817" i="2"/>
  <c r="AK817" i="2"/>
  <c r="K817" i="2"/>
  <c r="U817" i="2"/>
  <c r="Y817" i="2"/>
  <c r="L817" i="2"/>
  <c r="M817" i="2"/>
  <c r="AB817" i="2"/>
  <c r="J817" i="2"/>
  <c r="H817" i="2"/>
  <c r="R817" i="2"/>
  <c r="T817" i="2"/>
  <c r="O817" i="2"/>
  <c r="AJ817" i="2"/>
  <c r="AG817" i="2"/>
  <c r="AF817" i="2"/>
  <c r="Q817" i="2"/>
  <c r="G817" i="2"/>
  <c r="S817" i="2"/>
  <c r="W817" i="2"/>
  <c r="AE817" i="2"/>
  <c r="AH817" i="2"/>
  <c r="AO817" i="2"/>
  <c r="I817" i="2"/>
  <c r="P817" i="2"/>
  <c r="AI817" i="2"/>
  <c r="AC817" i="2"/>
  <c r="C817" i="2"/>
  <c r="E817" i="2"/>
  <c r="AL817" i="2"/>
  <c r="AN817" i="2"/>
  <c r="F817" i="2"/>
  <c r="N817" i="2"/>
  <c r="Z817" i="2"/>
  <c r="AA817" i="2"/>
  <c r="D817" i="2"/>
  <c r="B819" i="2" l="1"/>
  <c r="R818" i="2"/>
  <c r="T818" i="2"/>
  <c r="H818" i="2"/>
  <c r="K818" i="2"/>
  <c r="AK818" i="2"/>
  <c r="AA818" i="2"/>
  <c r="AM818" i="2"/>
  <c r="M818" i="2"/>
  <c r="AN818" i="2"/>
  <c r="AB818" i="2"/>
  <c r="X818" i="2"/>
  <c r="O818" i="2"/>
  <c r="L818" i="2"/>
  <c r="Q818" i="2"/>
  <c r="J818" i="2"/>
  <c r="AL818" i="2"/>
  <c r="AD818" i="2"/>
  <c r="AO818" i="2"/>
  <c r="V818" i="2"/>
  <c r="E818" i="2"/>
  <c r="F818" i="2"/>
  <c r="C818" i="2"/>
  <c r="I818" i="2"/>
  <c r="Z818" i="2"/>
  <c r="N818" i="2"/>
  <c r="S818" i="2"/>
  <c r="Y818" i="2"/>
  <c r="AC818" i="2"/>
  <c r="D818" i="2"/>
  <c r="AJ818" i="2"/>
  <c r="P818" i="2"/>
  <c r="AF818" i="2"/>
  <c r="U818" i="2"/>
  <c r="AI818" i="2"/>
  <c r="AG818" i="2"/>
  <c r="G818" i="2"/>
  <c r="W818" i="2"/>
  <c r="AH818" i="2"/>
  <c r="AE818" i="2"/>
  <c r="B820" i="2" l="1"/>
  <c r="P819" i="2"/>
  <c r="E819" i="2"/>
  <c r="AF819" i="2"/>
  <c r="AG819" i="2"/>
  <c r="I819" i="2"/>
  <c r="AO819" i="2"/>
  <c r="AD819" i="2"/>
  <c r="H819" i="2"/>
  <c r="N819" i="2"/>
  <c r="M819" i="2"/>
  <c r="AL819" i="2"/>
  <c r="T819" i="2"/>
  <c r="AI819" i="2"/>
  <c r="O819" i="2"/>
  <c r="AE819" i="2"/>
  <c r="J819" i="2"/>
  <c r="V819" i="2"/>
  <c r="AA819" i="2"/>
  <c r="Q819" i="2"/>
  <c r="R819" i="2"/>
  <c r="C819" i="2"/>
  <c r="G819" i="2"/>
  <c r="AJ819" i="2"/>
  <c r="F819" i="2"/>
  <c r="L819" i="2"/>
  <c r="U819" i="2"/>
  <c r="Z819" i="2"/>
  <c r="X819" i="2"/>
  <c r="AN819" i="2"/>
  <c r="W819" i="2"/>
  <c r="AC819" i="2"/>
  <c r="S819" i="2"/>
  <c r="AK819" i="2"/>
  <c r="Y819" i="2"/>
  <c r="AH819" i="2"/>
  <c r="D819" i="2"/>
  <c r="AM819" i="2"/>
  <c r="AB819" i="2"/>
  <c r="K819" i="2"/>
  <c r="B821" i="2" l="1"/>
  <c r="D820" i="2"/>
  <c r="X820" i="2"/>
  <c r="AL820" i="2"/>
  <c r="M820" i="2"/>
  <c r="T820" i="2"/>
  <c r="AC820" i="2"/>
  <c r="AB820" i="2"/>
  <c r="AN820" i="2"/>
  <c r="AI820" i="2"/>
  <c r="AH820" i="2"/>
  <c r="E820" i="2"/>
  <c r="V820" i="2"/>
  <c r="AM820" i="2"/>
  <c r="Y820" i="2"/>
  <c r="AD820" i="2"/>
  <c r="Z820" i="2"/>
  <c r="K820" i="2"/>
  <c r="AF820" i="2"/>
  <c r="AG820" i="2"/>
  <c r="AJ820" i="2"/>
  <c r="H820" i="2"/>
  <c r="AK820" i="2"/>
  <c r="C820" i="2"/>
  <c r="P820" i="2"/>
  <c r="W820" i="2"/>
  <c r="L820" i="2"/>
  <c r="J820" i="2"/>
  <c r="U820" i="2"/>
  <c r="S820" i="2"/>
  <c r="AO820" i="2"/>
  <c r="O820" i="2"/>
  <c r="G820" i="2"/>
  <c r="R820" i="2"/>
  <c r="N820" i="2"/>
  <c r="Q820" i="2"/>
  <c r="F820" i="2"/>
  <c r="AE820" i="2"/>
  <c r="AA820" i="2"/>
  <c r="I820" i="2"/>
  <c r="B822" i="2" l="1"/>
  <c r="Z821" i="2"/>
  <c r="AG821" i="2"/>
  <c r="AL821" i="2"/>
  <c r="N821" i="2"/>
  <c r="E821" i="2"/>
  <c r="AH821" i="2"/>
  <c r="AC821" i="2"/>
  <c r="V821" i="2"/>
  <c r="H821" i="2"/>
  <c r="AO821" i="2"/>
  <c r="AE821" i="2"/>
  <c r="U821" i="2"/>
  <c r="P821" i="2"/>
  <c r="X821" i="2"/>
  <c r="AA821" i="2"/>
  <c r="M821" i="2"/>
  <c r="AM821" i="2"/>
  <c r="G821" i="2"/>
  <c r="AK821" i="2"/>
  <c r="AJ821" i="2"/>
  <c r="AN821" i="2"/>
  <c r="T821" i="2"/>
  <c r="W821" i="2"/>
  <c r="R821" i="2"/>
  <c r="Y821" i="2"/>
  <c r="K821" i="2"/>
  <c r="AF821" i="2"/>
  <c r="O821" i="2"/>
  <c r="S821" i="2"/>
  <c r="I821" i="2"/>
  <c r="AI821" i="2"/>
  <c r="F821" i="2"/>
  <c r="AB821" i="2"/>
  <c r="J821" i="2"/>
  <c r="C821" i="2"/>
  <c r="D821" i="2"/>
  <c r="Q821" i="2"/>
  <c r="L821" i="2"/>
  <c r="AD821" i="2"/>
  <c r="B823" i="2" l="1"/>
  <c r="P822" i="2"/>
  <c r="AM822" i="2"/>
  <c r="G822" i="2"/>
  <c r="N822" i="2"/>
  <c r="AJ822" i="2"/>
  <c r="T822" i="2"/>
  <c r="H822" i="2"/>
  <c r="Y822" i="2"/>
  <c r="D822" i="2"/>
  <c r="AA822" i="2"/>
  <c r="R822" i="2"/>
  <c r="W822" i="2"/>
  <c r="AG822" i="2"/>
  <c r="AC822" i="2"/>
  <c r="AE822" i="2"/>
  <c r="AN822" i="2"/>
  <c r="Q822" i="2"/>
  <c r="AK822" i="2"/>
  <c r="V822" i="2"/>
  <c r="U822" i="2"/>
  <c r="L822" i="2"/>
  <c r="Z822" i="2"/>
  <c r="X822" i="2"/>
  <c r="C822" i="2"/>
  <c r="AD822" i="2"/>
  <c r="AL822" i="2"/>
  <c r="O822" i="2"/>
  <c r="M822" i="2"/>
  <c r="S822" i="2"/>
  <c r="F822" i="2"/>
  <c r="I822" i="2"/>
  <c r="K822" i="2"/>
  <c r="AH822" i="2"/>
  <c r="AI822" i="2"/>
  <c r="E822" i="2"/>
  <c r="AO822" i="2"/>
  <c r="AF822" i="2"/>
  <c r="J822" i="2"/>
  <c r="AB822" i="2"/>
  <c r="B824" i="2" l="1"/>
  <c r="D823" i="2"/>
  <c r="AG823" i="2"/>
  <c r="AD823" i="2"/>
  <c r="AH823" i="2"/>
  <c r="AI823" i="2"/>
  <c r="O823" i="2"/>
  <c r="AJ823" i="2"/>
  <c r="M823" i="2"/>
  <c r="AB823" i="2"/>
  <c r="T823" i="2"/>
  <c r="C823" i="2"/>
  <c r="V823" i="2"/>
  <c r="K823" i="2"/>
  <c r="E823" i="2"/>
  <c r="AO823" i="2"/>
  <c r="AE823" i="2"/>
  <c r="G823" i="2"/>
  <c r="X823" i="2"/>
  <c r="F823" i="2"/>
  <c r="Y823" i="2"/>
  <c r="P823" i="2"/>
  <c r="AF823" i="2"/>
  <c r="Z823" i="2"/>
  <c r="L823" i="2"/>
  <c r="Q823" i="2"/>
  <c r="I823" i="2"/>
  <c r="AC823" i="2"/>
  <c r="AA823" i="2"/>
  <c r="AK823" i="2"/>
  <c r="AN823" i="2"/>
  <c r="H823" i="2"/>
  <c r="W823" i="2"/>
  <c r="AM823" i="2"/>
  <c r="S823" i="2"/>
  <c r="U823" i="2"/>
  <c r="J823" i="2"/>
  <c r="N823" i="2"/>
  <c r="R823" i="2"/>
  <c r="AL823" i="2"/>
  <c r="B825" i="2" l="1"/>
  <c r="AL824" i="2"/>
  <c r="AG824" i="2"/>
  <c r="S824" i="2"/>
  <c r="K824" i="2"/>
  <c r="G824" i="2"/>
  <c r="AB824" i="2"/>
  <c r="AH824" i="2"/>
  <c r="L824" i="2"/>
  <c r="AE824" i="2"/>
  <c r="F824" i="2"/>
  <c r="AJ824" i="2"/>
  <c r="AI824" i="2"/>
  <c r="T824" i="2"/>
  <c r="J824" i="2"/>
  <c r="AO824" i="2"/>
  <c r="R824" i="2"/>
  <c r="AC824" i="2"/>
  <c r="AD824" i="2"/>
  <c r="Q824" i="2"/>
  <c r="AK824" i="2"/>
  <c r="AN824" i="2"/>
  <c r="AA824" i="2"/>
  <c r="AF824" i="2"/>
  <c r="H824" i="2"/>
  <c r="O824" i="2"/>
  <c r="AM824" i="2"/>
  <c r="N824" i="2"/>
  <c r="V824" i="2"/>
  <c r="W824" i="2"/>
  <c r="X824" i="2"/>
  <c r="I824" i="2"/>
  <c r="Z824" i="2"/>
  <c r="C824" i="2"/>
  <c r="P824" i="2"/>
  <c r="Y824" i="2"/>
  <c r="M824" i="2"/>
  <c r="U824" i="2"/>
  <c r="D824" i="2"/>
  <c r="E824" i="2"/>
  <c r="B826" i="2" l="1"/>
  <c r="R825" i="2"/>
  <c r="T825" i="2"/>
  <c r="Z825" i="2"/>
  <c r="I825" i="2"/>
  <c r="Y825" i="2"/>
  <c r="O825" i="2"/>
  <c r="AJ825" i="2"/>
  <c r="AM825" i="2"/>
  <c r="AO825" i="2"/>
  <c r="AA825" i="2"/>
  <c r="D825" i="2"/>
  <c r="AI825" i="2"/>
  <c r="L825" i="2"/>
  <c r="AH825" i="2"/>
  <c r="S825" i="2"/>
  <c r="C825" i="2"/>
  <c r="K825" i="2"/>
  <c r="E825" i="2"/>
  <c r="Q825" i="2"/>
  <c r="J825" i="2"/>
  <c r="AG825" i="2"/>
  <c r="G825" i="2"/>
  <c r="AD825" i="2"/>
  <c r="U825" i="2"/>
  <c r="M825" i="2"/>
  <c r="V825" i="2"/>
  <c r="AC825" i="2"/>
  <c r="F825" i="2"/>
  <c r="AN825" i="2"/>
  <c r="AL825" i="2"/>
  <c r="AB825" i="2"/>
  <c r="X825" i="2"/>
  <c r="AF825" i="2"/>
  <c r="N825" i="2"/>
  <c r="AE825" i="2"/>
  <c r="W825" i="2"/>
  <c r="H825" i="2"/>
  <c r="AK825" i="2"/>
  <c r="P825" i="2"/>
  <c r="G826" i="2" l="1"/>
  <c r="AI826" i="2"/>
  <c r="I826" i="2"/>
  <c r="D826" i="2"/>
  <c r="L826" i="2"/>
  <c r="AL826" i="2"/>
  <c r="E826" i="2"/>
  <c r="O826" i="2"/>
  <c r="AM826" i="2"/>
  <c r="AO826" i="2"/>
  <c r="H826" i="2"/>
  <c r="Q826" i="2"/>
  <c r="AJ826" i="2"/>
  <c r="AN826" i="2"/>
  <c r="AF826" i="2"/>
  <c r="R826" i="2"/>
  <c r="AG826" i="2"/>
  <c r="AK826" i="2"/>
  <c r="U826" i="2"/>
  <c r="Y826" i="2"/>
  <c r="B827" i="2"/>
  <c r="K826" i="2"/>
  <c r="J826" i="2"/>
  <c r="M826" i="2"/>
  <c r="AD826" i="2"/>
  <c r="F826" i="2"/>
  <c r="AE826" i="2"/>
  <c r="P826" i="2"/>
  <c r="T826" i="2"/>
  <c r="Z826" i="2"/>
  <c r="AA826" i="2"/>
  <c r="AH826" i="2"/>
  <c r="S826" i="2"/>
  <c r="V826" i="2"/>
  <c r="X826" i="2"/>
  <c r="C826" i="2"/>
  <c r="W826" i="2"/>
  <c r="AB826" i="2"/>
  <c r="AC826" i="2"/>
  <c r="N826" i="2"/>
  <c r="B828" i="2" l="1"/>
  <c r="X827" i="2"/>
  <c r="K827" i="2"/>
  <c r="AF827" i="2"/>
  <c r="AO827" i="2"/>
  <c r="Q827" i="2"/>
  <c r="M827" i="2"/>
  <c r="AE827" i="2"/>
  <c r="Z827" i="2"/>
  <c r="Y827" i="2"/>
  <c r="N827" i="2"/>
  <c r="F827" i="2"/>
  <c r="C827" i="2"/>
  <c r="L827" i="2"/>
  <c r="AN827" i="2"/>
  <c r="AH827" i="2"/>
  <c r="W827" i="2"/>
  <c r="AB827" i="2"/>
  <c r="AI827" i="2"/>
  <c r="AL827" i="2"/>
  <c r="D827" i="2"/>
  <c r="I827" i="2"/>
  <c r="E827" i="2"/>
  <c r="AC827" i="2"/>
  <c r="G827" i="2"/>
  <c r="V827" i="2"/>
  <c r="R827" i="2"/>
  <c r="J827" i="2"/>
  <c r="AG827" i="2"/>
  <c r="U827" i="2"/>
  <c r="AA827" i="2"/>
  <c r="T827" i="2"/>
  <c r="AD827" i="2"/>
  <c r="P827" i="2"/>
  <c r="S827" i="2"/>
  <c r="AM827" i="2"/>
  <c r="O827" i="2"/>
  <c r="AJ827" i="2"/>
  <c r="AK827" i="2"/>
  <c r="H827" i="2"/>
  <c r="AF828" i="2" l="1"/>
  <c r="D828" i="2"/>
  <c r="AG828" i="2"/>
  <c r="AJ828" i="2"/>
  <c r="V828" i="2"/>
  <c r="Q828" i="2"/>
  <c r="AB828" i="2"/>
  <c r="R828" i="2"/>
  <c r="AN828" i="2"/>
  <c r="U828" i="2"/>
  <c r="P828" i="2"/>
  <c r="N828" i="2"/>
  <c r="Y828" i="2"/>
  <c r="X828" i="2"/>
  <c r="AC828" i="2"/>
  <c r="C828" i="2"/>
  <c r="AI828" i="2"/>
  <c r="L828" i="2"/>
  <c r="T828" i="2"/>
  <c r="M828" i="2"/>
  <c r="AM828" i="2"/>
  <c r="B829" i="2"/>
  <c r="AA828" i="2"/>
  <c r="AO828" i="2"/>
  <c r="AK828" i="2"/>
  <c r="G828" i="2"/>
  <c r="I828" i="2"/>
  <c r="S828" i="2"/>
  <c r="AL828" i="2"/>
  <c r="AE828" i="2"/>
  <c r="K828" i="2"/>
  <c r="W828" i="2"/>
  <c r="F828" i="2"/>
  <c r="Z828" i="2"/>
  <c r="O828" i="2"/>
  <c r="J828" i="2"/>
  <c r="E828" i="2"/>
  <c r="AH828" i="2"/>
  <c r="H828" i="2"/>
  <c r="AD828" i="2"/>
  <c r="B830" i="2" l="1"/>
  <c r="F829" i="2"/>
  <c r="AD829" i="2"/>
  <c r="AK829" i="2"/>
  <c r="AG829" i="2"/>
  <c r="AN829" i="2"/>
  <c r="AL829" i="2"/>
  <c r="AI829" i="2"/>
  <c r="K829" i="2"/>
  <c r="AJ829" i="2"/>
  <c r="L829" i="2"/>
  <c r="R829" i="2"/>
  <c r="Z829" i="2"/>
  <c r="W829" i="2"/>
  <c r="M829" i="2"/>
  <c r="AH829" i="2"/>
  <c r="V829" i="2"/>
  <c r="X829" i="2"/>
  <c r="AC829" i="2"/>
  <c r="AA829" i="2"/>
  <c r="C829" i="2"/>
  <c r="O829" i="2"/>
  <c r="Y829" i="2"/>
  <c r="G829" i="2"/>
  <c r="N829" i="2"/>
  <c r="T829" i="2"/>
  <c r="H829" i="2"/>
  <c r="P829" i="2"/>
  <c r="AE829" i="2"/>
  <c r="I829" i="2"/>
  <c r="E829" i="2"/>
  <c r="J829" i="2"/>
  <c r="AF829" i="2"/>
  <c r="Q829" i="2"/>
  <c r="U829" i="2"/>
  <c r="S829" i="2"/>
  <c r="AM829" i="2"/>
  <c r="AO829" i="2"/>
  <c r="D829" i="2"/>
  <c r="AB829" i="2"/>
  <c r="B831" i="2" l="1"/>
  <c r="H830" i="2"/>
  <c r="T830" i="2"/>
  <c r="U830" i="2"/>
  <c r="AN830" i="2"/>
  <c r="L830" i="2"/>
  <c r="AO830" i="2"/>
  <c r="S830" i="2"/>
  <c r="V830" i="2"/>
  <c r="AL830" i="2"/>
  <c r="Y830" i="2"/>
  <c r="G830" i="2"/>
  <c r="Z830" i="2"/>
  <c r="J830" i="2"/>
  <c r="AA830" i="2"/>
  <c r="I830" i="2"/>
  <c r="N830" i="2"/>
  <c r="AI830" i="2"/>
  <c r="AG830" i="2"/>
  <c r="AM830" i="2"/>
  <c r="M830" i="2"/>
  <c r="C830" i="2"/>
  <c r="AC830" i="2"/>
  <c r="AE830" i="2"/>
  <c r="AH830" i="2"/>
  <c r="Q830" i="2"/>
  <c r="D830" i="2"/>
  <c r="R830" i="2"/>
  <c r="P830" i="2"/>
  <c r="AF830" i="2"/>
  <c r="X830" i="2"/>
  <c r="AB830" i="2"/>
  <c r="AD830" i="2"/>
  <c r="O830" i="2"/>
  <c r="W830" i="2"/>
  <c r="K830" i="2"/>
  <c r="AJ830" i="2"/>
  <c r="E830" i="2"/>
  <c r="AK830" i="2"/>
  <c r="F830" i="2"/>
  <c r="B832" i="2" l="1"/>
  <c r="Z831" i="2"/>
  <c r="AJ831" i="2"/>
  <c r="AK831" i="2"/>
  <c r="AI831" i="2"/>
  <c r="E831" i="2"/>
  <c r="D831" i="2"/>
  <c r="V831" i="2"/>
  <c r="AA831" i="2"/>
  <c r="X831" i="2"/>
  <c r="L831" i="2"/>
  <c r="Y831" i="2"/>
  <c r="AE831" i="2"/>
  <c r="AC831" i="2"/>
  <c r="K831" i="2"/>
  <c r="AH831" i="2"/>
  <c r="AG831" i="2"/>
  <c r="P831" i="2"/>
  <c r="U831" i="2"/>
  <c r="I831" i="2"/>
  <c r="N831" i="2"/>
  <c r="O831" i="2"/>
  <c r="AM831" i="2"/>
  <c r="G831" i="2"/>
  <c r="W831" i="2"/>
  <c r="T831" i="2"/>
  <c r="AB831" i="2"/>
  <c r="R831" i="2"/>
  <c r="AL831" i="2"/>
  <c r="J831" i="2"/>
  <c r="AO831" i="2"/>
  <c r="H831" i="2"/>
  <c r="Q831" i="2"/>
  <c r="F831" i="2"/>
  <c r="S831" i="2"/>
  <c r="AD831" i="2"/>
  <c r="AF831" i="2"/>
  <c r="M831" i="2"/>
  <c r="AN831" i="2"/>
  <c r="C831" i="2"/>
  <c r="B833" i="2" l="1"/>
  <c r="T832" i="2"/>
  <c r="AM832" i="2"/>
  <c r="E832" i="2"/>
  <c r="AO832" i="2"/>
  <c r="F832" i="2"/>
  <c r="Q832" i="2"/>
  <c r="AC832" i="2"/>
  <c r="D832" i="2"/>
  <c r="S832" i="2"/>
  <c r="G832" i="2"/>
  <c r="W832" i="2"/>
  <c r="AD832" i="2"/>
  <c r="AB832" i="2"/>
  <c r="AG832" i="2"/>
  <c r="AF832" i="2"/>
  <c r="AJ832" i="2"/>
  <c r="N832" i="2"/>
  <c r="P832" i="2"/>
  <c r="V832" i="2"/>
  <c r="O832" i="2"/>
  <c r="Z832" i="2"/>
  <c r="I832" i="2"/>
  <c r="AI832" i="2"/>
  <c r="C832" i="2"/>
  <c r="AA832" i="2"/>
  <c r="X832" i="2"/>
  <c r="AE832" i="2"/>
  <c r="J832" i="2"/>
  <c r="AN832" i="2"/>
  <c r="U832" i="2"/>
  <c r="K832" i="2"/>
  <c r="Y832" i="2"/>
  <c r="R832" i="2"/>
  <c r="H832" i="2"/>
  <c r="AH832" i="2"/>
  <c r="L832" i="2"/>
  <c r="AK832" i="2"/>
  <c r="AL832" i="2"/>
  <c r="M832" i="2"/>
  <c r="B834" i="2" l="1"/>
  <c r="X833" i="2"/>
  <c r="F833" i="2"/>
  <c r="C833" i="2"/>
  <c r="AM833" i="2"/>
  <c r="J833" i="2"/>
  <c r="M833" i="2"/>
  <c r="AC833" i="2"/>
  <c r="G833" i="2"/>
  <c r="E833" i="2"/>
  <c r="Z833" i="2"/>
  <c r="P833" i="2"/>
  <c r="AA833" i="2"/>
  <c r="R833" i="2"/>
  <c r="AK833" i="2"/>
  <c r="AO833" i="2"/>
  <c r="AI833" i="2"/>
  <c r="AH833" i="2"/>
  <c r="T833" i="2"/>
  <c r="Q833" i="2"/>
  <c r="D833" i="2"/>
  <c r="H833" i="2"/>
  <c r="W833" i="2"/>
  <c r="AB833" i="2"/>
  <c r="AE833" i="2"/>
  <c r="AG833" i="2"/>
  <c r="U833" i="2"/>
  <c r="AJ833" i="2"/>
  <c r="I833" i="2"/>
  <c r="S833" i="2"/>
  <c r="Y833" i="2"/>
  <c r="K833" i="2"/>
  <c r="AN833" i="2"/>
  <c r="O833" i="2"/>
  <c r="AD833" i="2"/>
  <c r="N833" i="2"/>
  <c r="AL833" i="2"/>
  <c r="AF833" i="2"/>
  <c r="V833" i="2"/>
  <c r="L833" i="2"/>
  <c r="B835" i="2" l="1"/>
  <c r="E834" i="2"/>
  <c r="S834" i="2"/>
  <c r="U834" i="2"/>
  <c r="J834" i="2"/>
  <c r="Q834" i="2"/>
  <c r="M834" i="2"/>
  <c r="AG834" i="2"/>
  <c r="AO834" i="2"/>
  <c r="AM834" i="2"/>
  <c r="V834" i="2"/>
  <c r="AA834" i="2"/>
  <c r="X834" i="2"/>
  <c r="AD834" i="2"/>
  <c r="R834" i="2"/>
  <c r="Y834" i="2"/>
  <c r="Z834" i="2"/>
  <c r="AJ834" i="2"/>
  <c r="O834" i="2"/>
  <c r="AB834" i="2"/>
  <c r="AL834" i="2"/>
  <c r="N834" i="2"/>
  <c r="AC834" i="2"/>
  <c r="I834" i="2"/>
  <c r="T834" i="2"/>
  <c r="P834" i="2"/>
  <c r="AK834" i="2"/>
  <c r="H834" i="2"/>
  <c r="C834" i="2"/>
  <c r="D834" i="2"/>
  <c r="W834" i="2"/>
  <c r="AE834" i="2"/>
  <c r="F834" i="2"/>
  <c r="G834" i="2"/>
  <c r="L834" i="2"/>
  <c r="AF834" i="2"/>
  <c r="AH834" i="2"/>
  <c r="AN834" i="2"/>
  <c r="K834" i="2"/>
  <c r="AI834" i="2"/>
  <c r="B836" i="2" l="1"/>
  <c r="AF835" i="2"/>
  <c r="AA835" i="2"/>
  <c r="D835" i="2"/>
  <c r="AG835" i="2"/>
  <c r="AK835" i="2"/>
  <c r="K835" i="2"/>
  <c r="AC835" i="2"/>
  <c r="G835" i="2"/>
  <c r="AE835" i="2"/>
  <c r="S835" i="2"/>
  <c r="AJ835" i="2"/>
  <c r="AH835" i="2"/>
  <c r="X835" i="2"/>
  <c r="M835" i="2"/>
  <c r="Z835" i="2"/>
  <c r="N835" i="2"/>
  <c r="AB835" i="2"/>
  <c r="AI835" i="2"/>
  <c r="R835" i="2"/>
  <c r="I835" i="2"/>
  <c r="W835" i="2"/>
  <c r="Y835" i="2"/>
  <c r="L835" i="2"/>
  <c r="Q835" i="2"/>
  <c r="J835" i="2"/>
  <c r="E835" i="2"/>
  <c r="AO835" i="2"/>
  <c r="AN835" i="2"/>
  <c r="O835" i="2"/>
  <c r="P835" i="2"/>
  <c r="H835" i="2"/>
  <c r="C835" i="2"/>
  <c r="AL835" i="2"/>
  <c r="AM835" i="2"/>
  <c r="F835" i="2"/>
  <c r="U835" i="2"/>
  <c r="V835" i="2"/>
  <c r="T835" i="2"/>
  <c r="AD835" i="2"/>
  <c r="B837" i="2" l="1"/>
  <c r="T836" i="2"/>
  <c r="D836" i="2"/>
  <c r="AM836" i="2"/>
  <c r="AK836" i="2"/>
  <c r="U836" i="2"/>
  <c r="M836" i="2"/>
  <c r="AI836" i="2"/>
  <c r="Q836" i="2"/>
  <c r="P836" i="2"/>
  <c r="AD836" i="2"/>
  <c r="AF836" i="2"/>
  <c r="R836" i="2"/>
  <c r="AO836" i="2"/>
  <c r="G836" i="2"/>
  <c r="J836" i="2"/>
  <c r="AG836" i="2"/>
  <c r="AC836" i="2"/>
  <c r="K836" i="2"/>
  <c r="H836" i="2"/>
  <c r="AN836" i="2"/>
  <c r="W836" i="2"/>
  <c r="AH836" i="2"/>
  <c r="S836" i="2"/>
  <c r="AJ836" i="2"/>
  <c r="L836" i="2"/>
  <c r="X836" i="2"/>
  <c r="AB836" i="2"/>
  <c r="AE836" i="2"/>
  <c r="N836" i="2"/>
  <c r="I836" i="2"/>
  <c r="E836" i="2"/>
  <c r="Y836" i="2"/>
  <c r="Z836" i="2"/>
  <c r="C836" i="2"/>
  <c r="AA836" i="2"/>
  <c r="F836" i="2"/>
  <c r="V836" i="2"/>
  <c r="AL836" i="2"/>
  <c r="O836" i="2"/>
  <c r="B838" i="2" l="1"/>
  <c r="AH837" i="2"/>
  <c r="H837" i="2"/>
  <c r="T837" i="2"/>
  <c r="C837" i="2"/>
  <c r="AN837" i="2"/>
  <c r="AE837" i="2"/>
  <c r="X837" i="2"/>
  <c r="Z837" i="2"/>
  <c r="AA837" i="2"/>
  <c r="AI837" i="2"/>
  <c r="AM837" i="2"/>
  <c r="M837" i="2"/>
  <c r="P837" i="2"/>
  <c r="I837" i="2"/>
  <c r="F837" i="2"/>
  <c r="J837" i="2"/>
  <c r="U837" i="2"/>
  <c r="AD837" i="2"/>
  <c r="S837" i="2"/>
  <c r="V837" i="2"/>
  <c r="G837" i="2"/>
  <c r="AO837" i="2"/>
  <c r="W837" i="2"/>
  <c r="L837" i="2"/>
  <c r="N837" i="2"/>
  <c r="R837" i="2"/>
  <c r="Q837" i="2"/>
  <c r="AK837" i="2"/>
  <c r="AG837" i="2"/>
  <c r="D837" i="2"/>
  <c r="AL837" i="2"/>
  <c r="Y837" i="2"/>
  <c r="K837" i="2"/>
  <c r="AB837" i="2"/>
  <c r="E837" i="2"/>
  <c r="AF837" i="2"/>
  <c r="AJ837" i="2"/>
  <c r="O837" i="2"/>
  <c r="AC837" i="2"/>
  <c r="B839" i="2" l="1"/>
  <c r="P838" i="2"/>
  <c r="AJ838" i="2"/>
  <c r="G838" i="2"/>
  <c r="K838" i="2"/>
  <c r="S838" i="2"/>
  <c r="W838" i="2"/>
  <c r="Z838" i="2"/>
  <c r="Q838" i="2"/>
  <c r="N838" i="2"/>
  <c r="R838" i="2"/>
  <c r="AM838" i="2"/>
  <c r="V838" i="2"/>
  <c r="AF838" i="2"/>
  <c r="L838" i="2"/>
  <c r="E838" i="2"/>
  <c r="AK838" i="2"/>
  <c r="J838" i="2"/>
  <c r="X838" i="2"/>
  <c r="AC838" i="2"/>
  <c r="U838" i="2"/>
  <c r="AB838" i="2"/>
  <c r="Y838" i="2"/>
  <c r="AH838" i="2"/>
  <c r="AI838" i="2"/>
  <c r="AE838" i="2"/>
  <c r="AN838" i="2"/>
  <c r="AG838" i="2"/>
  <c r="AL838" i="2"/>
  <c r="M838" i="2"/>
  <c r="AO838" i="2"/>
  <c r="D838" i="2"/>
  <c r="AD838" i="2"/>
  <c r="O838" i="2"/>
  <c r="F838" i="2"/>
  <c r="AA838" i="2"/>
  <c r="H838" i="2"/>
  <c r="C838" i="2"/>
  <c r="T838" i="2"/>
  <c r="I838" i="2"/>
  <c r="B840" i="2" l="1"/>
  <c r="AC839" i="2"/>
  <c r="U839" i="2"/>
  <c r="AG839" i="2"/>
  <c r="AM839" i="2"/>
  <c r="AA839" i="2"/>
  <c r="K839" i="2"/>
  <c r="AD839" i="2"/>
  <c r="J839" i="2"/>
  <c r="AF839" i="2"/>
  <c r="AE839" i="2"/>
  <c r="N839" i="2"/>
  <c r="P839" i="2"/>
  <c r="F839" i="2"/>
  <c r="AJ839" i="2"/>
  <c r="G839" i="2"/>
  <c r="Y839" i="2"/>
  <c r="T839" i="2"/>
  <c r="R839" i="2"/>
  <c r="L839" i="2"/>
  <c r="H839" i="2"/>
  <c r="Z839" i="2"/>
  <c r="X839" i="2"/>
  <c r="S839" i="2"/>
  <c r="AH839" i="2"/>
  <c r="M839" i="2"/>
  <c r="AL839" i="2"/>
  <c r="C839" i="2"/>
  <c r="AO839" i="2"/>
  <c r="W839" i="2"/>
  <c r="AB839" i="2"/>
  <c r="I839" i="2"/>
  <c r="AK839" i="2"/>
  <c r="V839" i="2"/>
  <c r="AI839" i="2"/>
  <c r="O839" i="2"/>
  <c r="D839" i="2"/>
  <c r="Q839" i="2"/>
  <c r="E839" i="2"/>
  <c r="AN839" i="2"/>
  <c r="B841" i="2" l="1"/>
  <c r="E840" i="2"/>
  <c r="X840" i="2"/>
  <c r="S840" i="2"/>
  <c r="H840" i="2"/>
  <c r="U840" i="2"/>
  <c r="AC840" i="2"/>
  <c r="AB840" i="2"/>
  <c r="Y840" i="2"/>
  <c r="N840" i="2"/>
  <c r="L840" i="2"/>
  <c r="C840" i="2"/>
  <c r="AL840" i="2"/>
  <c r="Z840" i="2"/>
  <c r="D840" i="2"/>
  <c r="AD840" i="2"/>
  <c r="V840" i="2"/>
  <c r="G840" i="2"/>
  <c r="M840" i="2"/>
  <c r="AO840" i="2"/>
  <c r="R840" i="2"/>
  <c r="AA840" i="2"/>
  <c r="AE840" i="2"/>
  <c r="K840" i="2"/>
  <c r="AF840" i="2"/>
  <c r="Q840" i="2"/>
  <c r="AN840" i="2"/>
  <c r="AH840" i="2"/>
  <c r="O840" i="2"/>
  <c r="AK840" i="2"/>
  <c r="AG840" i="2"/>
  <c r="I840" i="2"/>
  <c r="AM840" i="2"/>
  <c r="AI840" i="2"/>
  <c r="P840" i="2"/>
  <c r="F840" i="2"/>
  <c r="W840" i="2"/>
  <c r="AJ840" i="2"/>
  <c r="J840" i="2"/>
  <c r="T840" i="2"/>
  <c r="B842" i="2" l="1"/>
  <c r="R841" i="2"/>
  <c r="J841" i="2"/>
  <c r="E841" i="2"/>
  <c r="T841" i="2"/>
  <c r="AC841" i="2"/>
  <c r="AN841" i="2"/>
  <c r="Q841" i="2"/>
  <c r="P841" i="2"/>
  <c r="O841" i="2"/>
  <c r="S841" i="2"/>
  <c r="I841" i="2"/>
  <c r="AF841" i="2"/>
  <c r="Z841" i="2"/>
  <c r="AH841" i="2"/>
  <c r="AA841" i="2"/>
  <c r="L841" i="2"/>
  <c r="AL841" i="2"/>
  <c r="AM841" i="2"/>
  <c r="U841" i="2"/>
  <c r="AK841" i="2"/>
  <c r="F841" i="2"/>
  <c r="D841" i="2"/>
  <c r="N841" i="2"/>
  <c r="W841" i="2"/>
  <c r="X841" i="2"/>
  <c r="AO841" i="2"/>
  <c r="H841" i="2"/>
  <c r="AB841" i="2"/>
  <c r="Y841" i="2"/>
  <c r="C841" i="2"/>
  <c r="V841" i="2"/>
  <c r="AG841" i="2"/>
  <c r="K841" i="2"/>
  <c r="G841" i="2"/>
  <c r="AJ841" i="2"/>
  <c r="AI841" i="2"/>
  <c r="AD841" i="2"/>
  <c r="AE841" i="2"/>
  <c r="M841" i="2"/>
  <c r="B843" i="2" l="1"/>
  <c r="E842" i="2"/>
  <c r="O842" i="2"/>
  <c r="AD842" i="2"/>
  <c r="AK842" i="2"/>
  <c r="L842" i="2"/>
  <c r="X842" i="2"/>
  <c r="P842" i="2"/>
  <c r="AN842" i="2"/>
  <c r="Q842" i="2"/>
  <c r="V842" i="2"/>
  <c r="F842" i="2"/>
  <c r="AA842" i="2"/>
  <c r="AC842" i="2"/>
  <c r="AB842" i="2"/>
  <c r="G842" i="2"/>
  <c r="T842" i="2"/>
  <c r="U842" i="2"/>
  <c r="Y842" i="2"/>
  <c r="W842" i="2"/>
  <c r="AH842" i="2"/>
  <c r="H842" i="2"/>
  <c r="I842" i="2"/>
  <c r="J842" i="2"/>
  <c r="R842" i="2"/>
  <c r="AF842" i="2"/>
  <c r="AJ842" i="2"/>
  <c r="AG842" i="2"/>
  <c r="AE842" i="2"/>
  <c r="C842" i="2"/>
  <c r="Z842" i="2"/>
  <c r="N842" i="2"/>
  <c r="AI842" i="2"/>
  <c r="M842" i="2"/>
  <c r="AL842" i="2"/>
  <c r="S842" i="2"/>
  <c r="AO842" i="2"/>
  <c r="AM842" i="2"/>
  <c r="D842" i="2"/>
  <c r="K842" i="2"/>
  <c r="B844" i="2" l="1"/>
  <c r="X843" i="2"/>
  <c r="AC843" i="2"/>
  <c r="C843" i="2"/>
  <c r="L843" i="2"/>
  <c r="M843" i="2"/>
  <c r="G843" i="2"/>
  <c r="Y843" i="2"/>
  <c r="AO843" i="2"/>
  <c r="I843" i="2"/>
  <c r="R843" i="2"/>
  <c r="AF843" i="2"/>
  <c r="AK843" i="2"/>
  <c r="J843" i="2"/>
  <c r="H843" i="2"/>
  <c r="P843" i="2"/>
  <c r="O843" i="2"/>
  <c r="T843" i="2"/>
  <c r="U843" i="2"/>
  <c r="E843" i="2"/>
  <c r="AA843" i="2"/>
  <c r="AH843" i="2"/>
  <c r="W843" i="2"/>
  <c r="K843" i="2"/>
  <c r="S843" i="2"/>
  <c r="V843" i="2"/>
  <c r="Q843" i="2"/>
  <c r="AB843" i="2"/>
  <c r="AJ843" i="2"/>
  <c r="F843" i="2"/>
  <c r="AG843" i="2"/>
  <c r="AD843" i="2"/>
  <c r="N843" i="2"/>
  <c r="Z843" i="2"/>
  <c r="AE843" i="2"/>
  <c r="D843" i="2"/>
  <c r="AN843" i="2"/>
  <c r="AI843" i="2"/>
  <c r="AL843" i="2"/>
  <c r="AM843" i="2"/>
  <c r="B845" i="2" l="1"/>
  <c r="AL844" i="2"/>
  <c r="AN844" i="2"/>
  <c r="E844" i="2"/>
  <c r="C844" i="2"/>
  <c r="AH844" i="2"/>
  <c r="Q844" i="2"/>
  <c r="W844" i="2"/>
  <c r="AA844" i="2"/>
  <c r="J844" i="2"/>
  <c r="AE844" i="2"/>
  <c r="Y844" i="2"/>
  <c r="AO844" i="2"/>
  <c r="R844" i="2"/>
  <c r="AB844" i="2"/>
  <c r="L844" i="2"/>
  <c r="AG844" i="2"/>
  <c r="AF844" i="2"/>
  <c r="K844" i="2"/>
  <c r="N844" i="2"/>
  <c r="M844" i="2"/>
  <c r="H844" i="2"/>
  <c r="AI844" i="2"/>
  <c r="T844" i="2"/>
  <c r="O844" i="2"/>
  <c r="F844" i="2"/>
  <c r="V844" i="2"/>
  <c r="I844" i="2"/>
  <c r="G844" i="2"/>
  <c r="Z844" i="2"/>
  <c r="U844" i="2"/>
  <c r="AJ844" i="2"/>
  <c r="S844" i="2"/>
  <c r="AM844" i="2"/>
  <c r="D844" i="2"/>
  <c r="AC844" i="2"/>
  <c r="P844" i="2"/>
  <c r="AD844" i="2"/>
  <c r="X844" i="2"/>
  <c r="AK844" i="2"/>
  <c r="B846" i="2" l="1"/>
  <c r="P845" i="2"/>
  <c r="AM845" i="2"/>
  <c r="AD845" i="2"/>
  <c r="C845" i="2"/>
  <c r="U845" i="2"/>
  <c r="N845" i="2"/>
  <c r="AH845" i="2"/>
  <c r="E845" i="2"/>
  <c r="T845" i="2"/>
  <c r="AA845" i="2"/>
  <c r="AO845" i="2"/>
  <c r="I845" i="2"/>
  <c r="L845" i="2"/>
  <c r="J845" i="2"/>
  <c r="AG845" i="2"/>
  <c r="V845" i="2"/>
  <c r="AI845" i="2"/>
  <c r="AJ845" i="2"/>
  <c r="W845" i="2"/>
  <c r="S845" i="2"/>
  <c r="AF845" i="2"/>
  <c r="F845" i="2"/>
  <c r="M845" i="2"/>
  <c r="D845" i="2"/>
  <c r="O845" i="2"/>
  <c r="R845" i="2"/>
  <c r="G845" i="2"/>
  <c r="Z845" i="2"/>
  <c r="AL845" i="2"/>
  <c r="AE845" i="2"/>
  <c r="AC845" i="2"/>
  <c r="H845" i="2"/>
  <c r="X845" i="2"/>
  <c r="AB845" i="2"/>
  <c r="AN845" i="2"/>
  <c r="Q845" i="2"/>
  <c r="Y845" i="2"/>
  <c r="K845" i="2"/>
  <c r="AK845" i="2"/>
  <c r="B847" i="2" l="1"/>
  <c r="X846" i="2"/>
  <c r="Y846" i="2"/>
  <c r="C846" i="2"/>
  <c r="AA846" i="2"/>
  <c r="AM846" i="2"/>
  <c r="AE846" i="2"/>
  <c r="P846" i="2"/>
  <c r="N846" i="2"/>
  <c r="W846" i="2"/>
  <c r="V846" i="2"/>
  <c r="Z846" i="2"/>
  <c r="AL846" i="2"/>
  <c r="L846" i="2"/>
  <c r="D846" i="2"/>
  <c r="AH846" i="2"/>
  <c r="F846" i="2"/>
  <c r="S846" i="2"/>
  <c r="G846" i="2"/>
  <c r="AI846" i="2"/>
  <c r="AF846" i="2"/>
  <c r="AG846" i="2"/>
  <c r="M846" i="2"/>
  <c r="U846" i="2"/>
  <c r="AO846" i="2"/>
  <c r="E846" i="2"/>
  <c r="O846" i="2"/>
  <c r="H846" i="2"/>
  <c r="AN846" i="2"/>
  <c r="R846" i="2"/>
  <c r="T846" i="2"/>
  <c r="AC846" i="2"/>
  <c r="AD846" i="2"/>
  <c r="K846" i="2"/>
  <c r="AJ846" i="2"/>
  <c r="AK846" i="2"/>
  <c r="I846" i="2"/>
  <c r="Q846" i="2"/>
  <c r="J846" i="2"/>
  <c r="AB846" i="2"/>
  <c r="B848" i="2" l="1"/>
  <c r="D847" i="2"/>
  <c r="G847" i="2"/>
  <c r="C847" i="2"/>
  <c r="T847" i="2"/>
  <c r="AK847" i="2"/>
  <c r="R847" i="2"/>
  <c r="Q847" i="2"/>
  <c r="AA847" i="2"/>
  <c r="AE847" i="2"/>
  <c r="AL847" i="2"/>
  <c r="X847" i="2"/>
  <c r="N847" i="2"/>
  <c r="E847" i="2"/>
  <c r="AI847" i="2"/>
  <c r="AB847" i="2"/>
  <c r="Y847" i="2"/>
  <c r="AD847" i="2"/>
  <c r="M847" i="2"/>
  <c r="V847" i="2"/>
  <c r="Z847" i="2"/>
  <c r="O847" i="2"/>
  <c r="AM847" i="2"/>
  <c r="S847" i="2"/>
  <c r="W847" i="2"/>
  <c r="I847" i="2"/>
  <c r="AH847" i="2"/>
  <c r="L847" i="2"/>
  <c r="AG847" i="2"/>
  <c r="AN847" i="2"/>
  <c r="AO847" i="2"/>
  <c r="H847" i="2"/>
  <c r="K847" i="2"/>
  <c r="AJ847" i="2"/>
  <c r="U847" i="2"/>
  <c r="F847" i="2"/>
  <c r="AF847" i="2"/>
  <c r="P847" i="2"/>
  <c r="AC847" i="2"/>
  <c r="J847" i="2"/>
  <c r="B849" i="2" l="1"/>
  <c r="W848" i="2"/>
  <c r="AC848" i="2"/>
  <c r="P848" i="2"/>
  <c r="Q848" i="2"/>
  <c r="AH848" i="2"/>
  <c r="M848" i="2"/>
  <c r="H848" i="2"/>
  <c r="AM848" i="2"/>
  <c r="AA848" i="2"/>
  <c r="Y848" i="2"/>
  <c r="AO848" i="2"/>
  <c r="Z848" i="2"/>
  <c r="F848" i="2"/>
  <c r="E848" i="2"/>
  <c r="K848" i="2"/>
  <c r="U848" i="2"/>
  <c r="AG848" i="2"/>
  <c r="AD848" i="2"/>
  <c r="O848" i="2"/>
  <c r="AK848" i="2"/>
  <c r="G848" i="2"/>
  <c r="AB848" i="2"/>
  <c r="S848" i="2"/>
  <c r="AJ848" i="2"/>
  <c r="D848" i="2"/>
  <c r="X848" i="2"/>
  <c r="R848" i="2"/>
  <c r="AI848" i="2"/>
  <c r="N848" i="2"/>
  <c r="AL848" i="2"/>
  <c r="C848" i="2"/>
  <c r="L848" i="2"/>
  <c r="AE848" i="2"/>
  <c r="T848" i="2"/>
  <c r="AN848" i="2"/>
  <c r="J848" i="2"/>
  <c r="I848" i="2"/>
  <c r="AF848" i="2"/>
  <c r="V848" i="2"/>
  <c r="B850" i="2" l="1"/>
  <c r="G849" i="2"/>
  <c r="AN849" i="2"/>
  <c r="H849" i="2"/>
  <c r="U849" i="2"/>
  <c r="J849" i="2"/>
  <c r="L849" i="2"/>
  <c r="Z849" i="2"/>
  <c r="R849" i="2"/>
  <c r="AL849" i="2"/>
  <c r="F849" i="2"/>
  <c r="AD849" i="2"/>
  <c r="K849" i="2"/>
  <c r="V849" i="2"/>
  <c r="AB849" i="2"/>
  <c r="Y849" i="2"/>
  <c r="N849" i="2"/>
  <c r="AK849" i="2"/>
  <c r="AM849" i="2"/>
  <c r="AH849" i="2"/>
  <c r="D849" i="2"/>
  <c r="AE849" i="2"/>
  <c r="I849" i="2"/>
  <c r="AG849" i="2"/>
  <c r="Q849" i="2"/>
  <c r="AO849" i="2"/>
  <c r="T849" i="2"/>
  <c r="AI849" i="2"/>
  <c r="AA849" i="2"/>
  <c r="P849" i="2"/>
  <c r="AJ849" i="2"/>
  <c r="C849" i="2"/>
  <c r="W849" i="2"/>
  <c r="O849" i="2"/>
  <c r="X849" i="2"/>
  <c r="AC849" i="2"/>
  <c r="E849" i="2"/>
  <c r="AF849" i="2"/>
  <c r="S849" i="2"/>
  <c r="M849" i="2"/>
  <c r="B851" i="2" l="1"/>
  <c r="F850" i="2"/>
  <c r="Z850" i="2"/>
  <c r="Y850" i="2"/>
  <c r="AL850" i="2"/>
  <c r="T850" i="2"/>
  <c r="AK850" i="2"/>
  <c r="C850" i="2"/>
  <c r="AC850" i="2"/>
  <c r="AE850" i="2"/>
  <c r="AI850" i="2"/>
  <c r="R850" i="2"/>
  <c r="M850" i="2"/>
  <c r="X850" i="2"/>
  <c r="S850" i="2"/>
  <c r="AG850" i="2"/>
  <c r="AF850" i="2"/>
  <c r="N850" i="2"/>
  <c r="AB850" i="2"/>
  <c r="Q850" i="2"/>
  <c r="I850" i="2"/>
  <c r="AN850" i="2"/>
  <c r="U850" i="2"/>
  <c r="AJ850" i="2"/>
  <c r="AM850" i="2"/>
  <c r="V850" i="2"/>
  <c r="W850" i="2"/>
  <c r="P850" i="2"/>
  <c r="D850" i="2"/>
  <c r="G850" i="2"/>
  <c r="J850" i="2"/>
  <c r="E850" i="2"/>
  <c r="AD850" i="2"/>
  <c r="L850" i="2"/>
  <c r="AH850" i="2"/>
  <c r="H850" i="2"/>
  <c r="O850" i="2"/>
  <c r="AO850" i="2"/>
  <c r="K850" i="2"/>
  <c r="AA850" i="2"/>
  <c r="B852" i="2" l="1"/>
  <c r="AD851" i="2"/>
  <c r="AO851" i="2"/>
  <c r="T851" i="2"/>
  <c r="J851" i="2"/>
  <c r="H851" i="2"/>
  <c r="L851" i="2"/>
  <c r="E851" i="2"/>
  <c r="S851" i="2"/>
  <c r="AM851" i="2"/>
  <c r="W851" i="2"/>
  <c r="AA851" i="2"/>
  <c r="AL851" i="2"/>
  <c r="AG851" i="2"/>
  <c r="AI851" i="2"/>
  <c r="AH851" i="2"/>
  <c r="D851" i="2"/>
  <c r="AN851" i="2"/>
  <c r="V851" i="2"/>
  <c r="U851" i="2"/>
  <c r="AC851" i="2"/>
  <c r="G851" i="2"/>
  <c r="K851" i="2"/>
  <c r="AK851" i="2"/>
  <c r="X851" i="2"/>
  <c r="Y851" i="2"/>
  <c r="C851" i="2"/>
  <c r="Q851" i="2"/>
  <c r="I851" i="2"/>
  <c r="O851" i="2"/>
  <c r="AB851" i="2"/>
  <c r="R851" i="2"/>
  <c r="AE851" i="2"/>
  <c r="M851" i="2"/>
  <c r="N851" i="2"/>
  <c r="AF851" i="2"/>
  <c r="F851" i="2"/>
  <c r="P851" i="2"/>
  <c r="Z851" i="2"/>
  <c r="AJ851" i="2"/>
  <c r="B853" i="2" l="1"/>
  <c r="J852" i="2"/>
  <c r="L852" i="2"/>
  <c r="AO852" i="2"/>
  <c r="AL852" i="2"/>
  <c r="C852" i="2"/>
  <c r="I852" i="2"/>
  <c r="P852" i="2"/>
  <c r="AC852" i="2"/>
  <c r="AI852" i="2"/>
  <c r="AE852" i="2"/>
  <c r="AN852" i="2"/>
  <c r="AF852" i="2"/>
  <c r="AJ852" i="2"/>
  <c r="O852" i="2"/>
  <c r="W852" i="2"/>
  <c r="N852" i="2"/>
  <c r="S852" i="2"/>
  <c r="Y852" i="2"/>
  <c r="E852" i="2"/>
  <c r="U852" i="2"/>
  <c r="F852" i="2"/>
  <c r="V852" i="2"/>
  <c r="K852" i="2"/>
  <c r="AB852" i="2"/>
  <c r="H852" i="2"/>
  <c r="AA852" i="2"/>
  <c r="AH852" i="2"/>
  <c r="D852" i="2"/>
  <c r="X852" i="2"/>
  <c r="AD852" i="2"/>
  <c r="AM852" i="2"/>
  <c r="AK852" i="2"/>
  <c r="T852" i="2"/>
  <c r="Z852" i="2"/>
  <c r="Q852" i="2"/>
  <c r="G852" i="2"/>
  <c r="R852" i="2"/>
  <c r="AG852" i="2"/>
  <c r="M852" i="2"/>
  <c r="B854" i="2" l="1"/>
  <c r="AK853" i="2"/>
  <c r="AO853" i="2"/>
  <c r="AA853" i="2"/>
  <c r="Y853" i="2"/>
  <c r="AJ853" i="2"/>
  <c r="O853" i="2"/>
  <c r="X853" i="2"/>
  <c r="AC853" i="2"/>
  <c r="V853" i="2"/>
  <c r="W853" i="2"/>
  <c r="AD853" i="2"/>
  <c r="AL853" i="2"/>
  <c r="AE853" i="2"/>
  <c r="AM853" i="2"/>
  <c r="C853" i="2"/>
  <c r="D853" i="2"/>
  <c r="AH853" i="2"/>
  <c r="AF853" i="2"/>
  <c r="T853" i="2"/>
  <c r="R853" i="2"/>
  <c r="F853" i="2"/>
  <c r="I853" i="2"/>
  <c r="H853" i="2"/>
  <c r="P853" i="2"/>
  <c r="E853" i="2"/>
  <c r="AB853" i="2"/>
  <c r="S853" i="2"/>
  <c r="Z853" i="2"/>
  <c r="M853" i="2"/>
  <c r="AN853" i="2"/>
  <c r="N853" i="2"/>
  <c r="Q853" i="2"/>
  <c r="AG853" i="2"/>
  <c r="L853" i="2"/>
  <c r="K853" i="2"/>
  <c r="G853" i="2"/>
  <c r="J853" i="2"/>
  <c r="U853" i="2"/>
  <c r="AI853" i="2"/>
  <c r="B855" i="2" l="1"/>
  <c r="AD854" i="2"/>
  <c r="AL854" i="2"/>
  <c r="I854" i="2"/>
  <c r="AG854" i="2"/>
  <c r="V854" i="2"/>
  <c r="L854" i="2"/>
  <c r="X854" i="2"/>
  <c r="N854" i="2"/>
  <c r="T854" i="2"/>
  <c r="U854" i="2"/>
  <c r="S854" i="2"/>
  <c r="F854" i="2"/>
  <c r="W854" i="2"/>
  <c r="E854" i="2"/>
  <c r="Y854" i="2"/>
  <c r="AJ854" i="2"/>
  <c r="C854" i="2"/>
  <c r="AF854" i="2"/>
  <c r="Z854" i="2"/>
  <c r="AO854" i="2"/>
  <c r="P854" i="2"/>
  <c r="J854" i="2"/>
  <c r="AM854" i="2"/>
  <c r="AB854" i="2"/>
  <c r="M854" i="2"/>
  <c r="AH854" i="2"/>
  <c r="H854" i="2"/>
  <c r="Q854" i="2"/>
  <c r="G854" i="2"/>
  <c r="R854" i="2"/>
  <c r="K854" i="2"/>
  <c r="AE854" i="2"/>
  <c r="AN854" i="2"/>
  <c r="AK854" i="2"/>
  <c r="AC854" i="2"/>
  <c r="AA854" i="2"/>
  <c r="D854" i="2"/>
  <c r="O854" i="2"/>
  <c r="AI854" i="2"/>
  <c r="B856" i="2" l="1"/>
  <c r="AH855" i="2"/>
  <c r="D855" i="2"/>
  <c r="U855" i="2"/>
  <c r="I855" i="2"/>
  <c r="AO855" i="2"/>
  <c r="J855" i="2"/>
  <c r="V855" i="2"/>
  <c r="P855" i="2"/>
  <c r="AA855" i="2"/>
  <c r="Q855" i="2"/>
  <c r="AB855" i="2"/>
  <c r="Y855" i="2"/>
  <c r="L855" i="2"/>
  <c r="AL855" i="2"/>
  <c r="H855" i="2"/>
  <c r="Z855" i="2"/>
  <c r="O855" i="2"/>
  <c r="AK855" i="2"/>
  <c r="AG855" i="2"/>
  <c r="E855" i="2"/>
  <c r="T855" i="2"/>
  <c r="AC855" i="2"/>
  <c r="N855" i="2"/>
  <c r="AM855" i="2"/>
  <c r="S855" i="2"/>
  <c r="X855" i="2"/>
  <c r="AD855" i="2"/>
  <c r="F855" i="2"/>
  <c r="C855" i="2"/>
  <c r="K855" i="2"/>
  <c r="AI855" i="2"/>
  <c r="AF855" i="2"/>
  <c r="AE855" i="2"/>
  <c r="AN855" i="2"/>
  <c r="G855" i="2"/>
  <c r="R855" i="2"/>
  <c r="M855" i="2"/>
  <c r="W855" i="2"/>
  <c r="AJ855" i="2"/>
  <c r="B857" i="2" l="1"/>
  <c r="D856" i="2"/>
  <c r="O856" i="2"/>
  <c r="AI856" i="2"/>
  <c r="AH856" i="2"/>
  <c r="L856" i="2"/>
  <c r="AE856" i="2"/>
  <c r="AD856" i="2"/>
  <c r="E856" i="2"/>
  <c r="AG856" i="2"/>
  <c r="N856" i="2"/>
  <c r="AM856" i="2"/>
  <c r="AF856" i="2"/>
  <c r="AN856" i="2"/>
  <c r="P856" i="2"/>
  <c r="X856" i="2"/>
  <c r="T856" i="2"/>
  <c r="M856" i="2"/>
  <c r="H856" i="2"/>
  <c r="S856" i="2"/>
  <c r="W856" i="2"/>
  <c r="V856" i="2"/>
  <c r="AJ856" i="2"/>
  <c r="AK856" i="2"/>
  <c r="AL856" i="2"/>
  <c r="I856" i="2"/>
  <c r="Q856" i="2"/>
  <c r="U856" i="2"/>
  <c r="K856" i="2"/>
  <c r="C856" i="2"/>
  <c r="G856" i="2"/>
  <c r="R856" i="2"/>
  <c r="AB856" i="2"/>
  <c r="J856" i="2"/>
  <c r="AC856" i="2"/>
  <c r="AO856" i="2"/>
  <c r="F856" i="2"/>
  <c r="Z856" i="2"/>
  <c r="AA856" i="2"/>
  <c r="Y856" i="2"/>
  <c r="B858" i="2" l="1"/>
  <c r="AB857" i="2"/>
  <c r="AA857" i="2"/>
  <c r="H857" i="2"/>
  <c r="M857" i="2"/>
  <c r="AL857" i="2"/>
  <c r="W857" i="2"/>
  <c r="K857" i="2"/>
  <c r="U857" i="2"/>
  <c r="AF857" i="2"/>
  <c r="N857" i="2"/>
  <c r="AN857" i="2"/>
  <c r="Q857" i="2"/>
  <c r="S857" i="2"/>
  <c r="D857" i="2"/>
  <c r="C857" i="2"/>
  <c r="AG857" i="2"/>
  <c r="AO857" i="2"/>
  <c r="AI857" i="2"/>
  <c r="AJ857" i="2"/>
  <c r="AE857" i="2"/>
  <c r="L857" i="2"/>
  <c r="Z857" i="2"/>
  <c r="O857" i="2"/>
  <c r="G857" i="2"/>
  <c r="I857" i="2"/>
  <c r="AM857" i="2"/>
  <c r="V857" i="2"/>
  <c r="F857" i="2"/>
  <c r="P857" i="2"/>
  <c r="R857" i="2"/>
  <c r="X857" i="2"/>
  <c r="Y857" i="2"/>
  <c r="AC857" i="2"/>
  <c r="AK857" i="2"/>
  <c r="AH857" i="2"/>
  <c r="AD857" i="2"/>
  <c r="E857" i="2"/>
  <c r="J857" i="2"/>
  <c r="T857" i="2"/>
  <c r="B859" i="2" l="1"/>
  <c r="I858" i="2"/>
  <c r="K858" i="2"/>
  <c r="L858" i="2"/>
  <c r="AD858" i="2"/>
  <c r="AL858" i="2"/>
  <c r="M858" i="2"/>
  <c r="AB858" i="2"/>
  <c r="G858" i="2"/>
  <c r="Q858" i="2"/>
  <c r="J858" i="2"/>
  <c r="Z858" i="2"/>
  <c r="N858" i="2"/>
  <c r="AO858" i="2"/>
  <c r="AM858" i="2"/>
  <c r="AF858" i="2"/>
  <c r="F858" i="2"/>
  <c r="D858" i="2"/>
  <c r="P858" i="2"/>
  <c r="E858" i="2"/>
  <c r="T858" i="2"/>
  <c r="AK858" i="2"/>
  <c r="AE858" i="2"/>
  <c r="AG858" i="2"/>
  <c r="X858" i="2"/>
  <c r="R858" i="2"/>
  <c r="Y858" i="2"/>
  <c r="AH858" i="2"/>
  <c r="AC858" i="2"/>
  <c r="AN858" i="2"/>
  <c r="S858" i="2"/>
  <c r="AI858" i="2"/>
  <c r="H858" i="2"/>
  <c r="U858" i="2"/>
  <c r="V858" i="2"/>
  <c r="AJ858" i="2"/>
  <c r="AA858" i="2"/>
  <c r="O858" i="2"/>
  <c r="C858" i="2"/>
  <c r="W858" i="2"/>
  <c r="B860" i="2" l="1"/>
  <c r="AA859" i="2"/>
  <c r="X859" i="2"/>
  <c r="AB859" i="2"/>
  <c r="Y859" i="2"/>
  <c r="D859" i="2"/>
  <c r="Z859" i="2"/>
  <c r="I859" i="2"/>
  <c r="O859" i="2"/>
  <c r="AF859" i="2"/>
  <c r="AN859" i="2"/>
  <c r="U859" i="2"/>
  <c r="W859" i="2"/>
  <c r="S859" i="2"/>
  <c r="AC859" i="2"/>
  <c r="AM859" i="2"/>
  <c r="E859" i="2"/>
  <c r="AO859" i="2"/>
  <c r="V859" i="2"/>
  <c r="AG859" i="2"/>
  <c r="F859" i="2"/>
  <c r="AJ859" i="2"/>
  <c r="J859" i="2"/>
  <c r="AI859" i="2"/>
  <c r="L859" i="2"/>
  <c r="G859" i="2"/>
  <c r="Q859" i="2"/>
  <c r="R859" i="2"/>
  <c r="C859" i="2"/>
  <c r="N859" i="2"/>
  <c r="AH859" i="2"/>
  <c r="AK859" i="2"/>
  <c r="K859" i="2"/>
  <c r="H859" i="2"/>
  <c r="M859" i="2"/>
  <c r="AE859" i="2"/>
  <c r="T859" i="2"/>
  <c r="P859" i="2"/>
  <c r="AL859" i="2"/>
  <c r="AD859" i="2"/>
  <c r="B861" i="2" l="1"/>
  <c r="AJ860" i="2"/>
  <c r="Z860" i="2"/>
  <c r="AK860" i="2"/>
  <c r="K860" i="2"/>
  <c r="AN860" i="2"/>
  <c r="G860" i="2"/>
  <c r="Y860" i="2"/>
  <c r="AB860" i="2"/>
  <c r="AE860" i="2"/>
  <c r="O860" i="2"/>
  <c r="AG860" i="2"/>
  <c r="S860" i="2"/>
  <c r="AF860" i="2"/>
  <c r="N860" i="2"/>
  <c r="L860" i="2"/>
  <c r="Q860" i="2"/>
  <c r="AH860" i="2"/>
  <c r="AI860" i="2"/>
  <c r="C860" i="2"/>
  <c r="U860" i="2"/>
  <c r="V860" i="2"/>
  <c r="AO860" i="2"/>
  <c r="AL860" i="2"/>
  <c r="T860" i="2"/>
  <c r="AM860" i="2"/>
  <c r="W860" i="2"/>
  <c r="I860" i="2"/>
  <c r="P860" i="2"/>
  <c r="F860" i="2"/>
  <c r="AC860" i="2"/>
  <c r="H860" i="2"/>
  <c r="D860" i="2"/>
  <c r="M860" i="2"/>
  <c r="J860" i="2"/>
  <c r="AD860" i="2"/>
  <c r="X860" i="2"/>
  <c r="AA860" i="2"/>
  <c r="R860" i="2"/>
  <c r="E860" i="2"/>
  <c r="B862" i="2" l="1"/>
  <c r="F861" i="2"/>
  <c r="Y861" i="2"/>
  <c r="P861" i="2"/>
  <c r="C861" i="2"/>
  <c r="AM861" i="2"/>
  <c r="D861" i="2"/>
  <c r="AO861" i="2"/>
  <c r="AA861" i="2"/>
  <c r="K861" i="2"/>
  <c r="AE861" i="2"/>
  <c r="AF861" i="2"/>
  <c r="N861" i="2"/>
  <c r="Z861" i="2"/>
  <c r="I861" i="2"/>
  <c r="V861" i="2"/>
  <c r="AJ861" i="2"/>
  <c r="AD861" i="2"/>
  <c r="G861" i="2"/>
  <c r="AK861" i="2"/>
  <c r="E861" i="2"/>
  <c r="AL861" i="2"/>
  <c r="T861" i="2"/>
  <c r="AN861" i="2"/>
  <c r="AG861" i="2"/>
  <c r="AH861" i="2"/>
  <c r="H861" i="2"/>
  <c r="L861" i="2"/>
  <c r="O861" i="2"/>
  <c r="Q861" i="2"/>
  <c r="R861" i="2"/>
  <c r="W861" i="2"/>
  <c r="AC861" i="2"/>
  <c r="M861" i="2"/>
  <c r="AI861" i="2"/>
  <c r="X861" i="2"/>
  <c r="U861" i="2"/>
  <c r="J861" i="2"/>
  <c r="AB861" i="2"/>
  <c r="S861" i="2"/>
  <c r="B863" i="2" l="1"/>
  <c r="AM862" i="2"/>
  <c r="N862" i="2"/>
  <c r="AE862" i="2"/>
  <c r="X862" i="2"/>
  <c r="Y862" i="2"/>
  <c r="C862" i="2"/>
  <c r="AK862" i="2"/>
  <c r="D862" i="2"/>
  <c r="G862" i="2"/>
  <c r="AH862" i="2"/>
  <c r="AO862" i="2"/>
  <c r="V862" i="2"/>
  <c r="L862" i="2"/>
  <c r="O862" i="2"/>
  <c r="M862" i="2"/>
  <c r="AF862" i="2"/>
  <c r="E862" i="2"/>
  <c r="T862" i="2"/>
  <c r="AA862" i="2"/>
  <c r="R862" i="2"/>
  <c r="S862" i="2"/>
  <c r="AB862" i="2"/>
  <c r="F862" i="2"/>
  <c r="AC862" i="2"/>
  <c r="AL862" i="2"/>
  <c r="AD862" i="2"/>
  <c r="P862" i="2"/>
  <c r="W862" i="2"/>
  <c r="Z862" i="2"/>
  <c r="I862" i="2"/>
  <c r="Q862" i="2"/>
  <c r="K862" i="2"/>
  <c r="U862" i="2"/>
  <c r="AJ862" i="2"/>
  <c r="AN862" i="2"/>
  <c r="J862" i="2"/>
  <c r="AG862" i="2"/>
  <c r="AI862" i="2"/>
  <c r="H862" i="2"/>
  <c r="B864" i="2" l="1"/>
  <c r="M863" i="2"/>
  <c r="AF863" i="2"/>
  <c r="AA863" i="2"/>
  <c r="S863" i="2"/>
  <c r="Q863" i="2"/>
  <c r="O863" i="2"/>
  <c r="W863" i="2"/>
  <c r="C863" i="2"/>
  <c r="L863" i="2"/>
  <c r="Z863" i="2"/>
  <c r="U863" i="2"/>
  <c r="AC863" i="2"/>
  <c r="R863" i="2"/>
  <c r="AK863" i="2"/>
  <c r="AD863" i="2"/>
  <c r="AN863" i="2"/>
  <c r="T863" i="2"/>
  <c r="AO863" i="2"/>
  <c r="AJ863" i="2"/>
  <c r="H863" i="2"/>
  <c r="AB863" i="2"/>
  <c r="D863" i="2"/>
  <c r="I863" i="2"/>
  <c r="Y863" i="2"/>
  <c r="J863" i="2"/>
  <c r="N863" i="2"/>
  <c r="K863" i="2"/>
  <c r="G863" i="2"/>
  <c r="AG863" i="2"/>
  <c r="AH863" i="2"/>
  <c r="E863" i="2"/>
  <c r="AI863" i="2"/>
  <c r="X863" i="2"/>
  <c r="V863" i="2"/>
  <c r="AE863" i="2"/>
  <c r="P863" i="2"/>
  <c r="AL863" i="2"/>
  <c r="F863" i="2"/>
  <c r="AM863" i="2"/>
  <c r="B865" i="2" l="1"/>
  <c r="G864" i="2"/>
  <c r="AM864" i="2"/>
  <c r="AE864" i="2"/>
  <c r="L864" i="2"/>
  <c r="S864" i="2"/>
  <c r="AD864" i="2"/>
  <c r="AH864" i="2"/>
  <c r="J864" i="2"/>
  <c r="F864" i="2"/>
  <c r="P864" i="2"/>
  <c r="C864" i="2"/>
  <c r="AJ864" i="2"/>
  <c r="AN864" i="2"/>
  <c r="Q864" i="2"/>
  <c r="AF864" i="2"/>
  <c r="D864" i="2"/>
  <c r="AK864" i="2"/>
  <c r="N864" i="2"/>
  <c r="AL864" i="2"/>
  <c r="E864" i="2"/>
  <c r="R864" i="2"/>
  <c r="W864" i="2"/>
  <c r="Y864" i="2"/>
  <c r="O864" i="2"/>
  <c r="U864" i="2"/>
  <c r="V864" i="2"/>
  <c r="T864" i="2"/>
  <c r="AA864" i="2"/>
  <c r="K864" i="2"/>
  <c r="AB864" i="2"/>
  <c r="AG864" i="2"/>
  <c r="M864" i="2"/>
  <c r="AC864" i="2"/>
  <c r="AI864" i="2"/>
  <c r="H864" i="2"/>
  <c r="Z864" i="2"/>
  <c r="AO864" i="2"/>
  <c r="X864" i="2"/>
  <c r="I864" i="2"/>
  <c r="B866" i="2" l="1"/>
  <c r="X865" i="2"/>
  <c r="L865" i="2"/>
  <c r="E865" i="2"/>
  <c r="O865" i="2"/>
  <c r="H865" i="2"/>
  <c r="AD865" i="2"/>
  <c r="AO865" i="2"/>
  <c r="AE865" i="2"/>
  <c r="F865" i="2"/>
  <c r="AC865" i="2"/>
  <c r="AG865" i="2"/>
  <c r="U865" i="2"/>
  <c r="Z865" i="2"/>
  <c r="AI865" i="2"/>
  <c r="P865" i="2"/>
  <c r="G865" i="2"/>
  <c r="AH865" i="2"/>
  <c r="N865" i="2"/>
  <c r="AF865" i="2"/>
  <c r="AL865" i="2"/>
  <c r="K865" i="2"/>
  <c r="AM865" i="2"/>
  <c r="AA865" i="2"/>
  <c r="AB865" i="2"/>
  <c r="Q865" i="2"/>
  <c r="AN865" i="2"/>
  <c r="Y865" i="2"/>
  <c r="J865" i="2"/>
  <c r="R865" i="2"/>
  <c r="T865" i="2"/>
  <c r="D865" i="2"/>
  <c r="I865" i="2"/>
  <c r="AK865" i="2"/>
  <c r="AJ865" i="2"/>
  <c r="S865" i="2"/>
  <c r="C865" i="2"/>
  <c r="V865" i="2"/>
  <c r="W865" i="2"/>
  <c r="M865" i="2"/>
  <c r="E866" i="2" l="1"/>
  <c r="AO866" i="2"/>
  <c r="X866" i="2"/>
  <c r="G866" i="2"/>
  <c r="U866" i="2"/>
  <c r="I866" i="2"/>
  <c r="AJ866" i="2"/>
  <c r="AE866" i="2"/>
  <c r="AK866" i="2"/>
  <c r="Z866" i="2"/>
  <c r="P866" i="2"/>
  <c r="AM866" i="2"/>
  <c r="S866" i="2"/>
  <c r="V866" i="2"/>
  <c r="Y866" i="2"/>
  <c r="M866" i="2"/>
  <c r="AF866" i="2"/>
  <c r="AH866" i="2"/>
  <c r="H866" i="2"/>
  <c r="D866" i="2"/>
  <c r="K866" i="2"/>
  <c r="AI866" i="2"/>
  <c r="J866" i="2"/>
  <c r="AN866" i="2"/>
  <c r="F866" i="2"/>
  <c r="L866" i="2"/>
  <c r="B867" i="2"/>
  <c r="AG866" i="2"/>
  <c r="N866" i="2"/>
  <c r="AL866" i="2"/>
  <c r="C866" i="2"/>
  <c r="AD866" i="2"/>
  <c r="AA866" i="2"/>
  <c r="W866" i="2"/>
  <c r="AC866" i="2"/>
  <c r="R866" i="2"/>
  <c r="T866" i="2"/>
  <c r="AB866" i="2"/>
  <c r="O866" i="2"/>
  <c r="Q866" i="2"/>
  <c r="B868" i="2" l="1"/>
  <c r="AL867" i="2"/>
  <c r="K867" i="2"/>
  <c r="AJ867" i="2"/>
  <c r="AI867" i="2"/>
  <c r="C867" i="2"/>
  <c r="AK867" i="2"/>
  <c r="AD867" i="2"/>
  <c r="AA867" i="2"/>
  <c r="AH867" i="2"/>
  <c r="V867" i="2"/>
  <c r="S867" i="2"/>
  <c r="L867" i="2"/>
  <c r="H867" i="2"/>
  <c r="N867" i="2"/>
  <c r="AN867" i="2"/>
  <c r="D867" i="2"/>
  <c r="P867" i="2"/>
  <c r="AG867" i="2"/>
  <c r="AO867" i="2"/>
  <c r="G867" i="2"/>
  <c r="Y867" i="2"/>
  <c r="E867" i="2"/>
  <c r="F867" i="2"/>
  <c r="AC867" i="2"/>
  <c r="T867" i="2"/>
  <c r="AM867" i="2"/>
  <c r="M867" i="2"/>
  <c r="AB867" i="2"/>
  <c r="AF867" i="2"/>
  <c r="J867" i="2"/>
  <c r="AE867" i="2"/>
  <c r="W867" i="2"/>
  <c r="Q867" i="2"/>
  <c r="U867" i="2"/>
  <c r="Z867" i="2"/>
  <c r="I867" i="2"/>
  <c r="X867" i="2"/>
  <c r="R867" i="2"/>
  <c r="O867" i="2"/>
  <c r="B869" i="2" l="1"/>
  <c r="S868" i="2"/>
  <c r="AH868" i="2"/>
  <c r="Z868" i="2"/>
  <c r="AI868" i="2"/>
  <c r="V868" i="2"/>
  <c r="L868" i="2"/>
  <c r="W868" i="2"/>
  <c r="M868" i="2"/>
  <c r="AA868" i="2"/>
  <c r="AJ868" i="2"/>
  <c r="AF868" i="2"/>
  <c r="AL868" i="2"/>
  <c r="U868" i="2"/>
  <c r="I868" i="2"/>
  <c r="F868" i="2"/>
  <c r="H868" i="2"/>
  <c r="AK868" i="2"/>
  <c r="Q868" i="2"/>
  <c r="X868" i="2"/>
  <c r="Y868" i="2"/>
  <c r="E868" i="2"/>
  <c r="AB868" i="2"/>
  <c r="AD868" i="2"/>
  <c r="K868" i="2"/>
  <c r="D868" i="2"/>
  <c r="O868" i="2"/>
  <c r="R868" i="2"/>
  <c r="AM868" i="2"/>
  <c r="G868" i="2"/>
  <c r="J868" i="2"/>
  <c r="C868" i="2"/>
  <c r="AG868" i="2"/>
  <c r="P868" i="2"/>
  <c r="AE868" i="2"/>
  <c r="AO868" i="2"/>
  <c r="AN868" i="2"/>
  <c r="T868" i="2"/>
  <c r="N868" i="2"/>
  <c r="AC868" i="2"/>
  <c r="AO869" i="2" l="1"/>
  <c r="AH869" i="2"/>
  <c r="R869" i="2"/>
  <c r="D869" i="2"/>
  <c r="C869" i="2"/>
  <c r="P869" i="2"/>
  <c r="L869" i="2"/>
  <c r="AL869" i="2"/>
  <c r="Z869" i="2"/>
  <c r="AI869" i="2"/>
  <c r="E869" i="2"/>
  <c r="I869" i="2"/>
  <c r="G869" i="2"/>
  <c r="T869" i="2"/>
  <c r="J869" i="2"/>
  <c r="AF869" i="2"/>
  <c r="U869" i="2"/>
  <c r="AG869" i="2"/>
  <c r="K869" i="2"/>
  <c r="H869" i="2"/>
  <c r="F869" i="2"/>
  <c r="S869" i="2"/>
  <c r="AM869" i="2"/>
  <c r="W869" i="2"/>
  <c r="N869" i="2"/>
  <c r="AJ869" i="2"/>
  <c r="Y869" i="2"/>
  <c r="V869" i="2"/>
  <c r="AA869" i="2"/>
  <c r="X869" i="2"/>
  <c r="M869" i="2"/>
  <c r="AK869" i="2"/>
  <c r="AD869" i="2"/>
  <c r="B870" i="2"/>
  <c r="AC869" i="2"/>
  <c r="AE869" i="2"/>
  <c r="Q869" i="2"/>
  <c r="O869" i="2"/>
  <c r="AB869" i="2"/>
  <c r="AN869" i="2"/>
  <c r="B871" i="2" l="1"/>
  <c r="AI870" i="2"/>
  <c r="M870" i="2"/>
  <c r="Q870" i="2"/>
  <c r="AL870" i="2"/>
  <c r="AC870" i="2"/>
  <c r="AH870" i="2"/>
  <c r="J870" i="2"/>
  <c r="Z870" i="2"/>
  <c r="X870" i="2"/>
  <c r="AD870" i="2"/>
  <c r="L870" i="2"/>
  <c r="AO870" i="2"/>
  <c r="AE870" i="2"/>
  <c r="E870" i="2"/>
  <c r="D870" i="2"/>
  <c r="AB870" i="2"/>
  <c r="AF870" i="2"/>
  <c r="O870" i="2"/>
  <c r="P870" i="2"/>
  <c r="AJ870" i="2"/>
  <c r="U870" i="2"/>
  <c r="Y870" i="2"/>
  <c r="N870" i="2"/>
  <c r="AK870" i="2"/>
  <c r="G870" i="2"/>
  <c r="AG870" i="2"/>
  <c r="AA870" i="2"/>
  <c r="V870" i="2"/>
  <c r="F870" i="2"/>
  <c r="H870" i="2"/>
  <c r="T870" i="2"/>
  <c r="AN870" i="2"/>
  <c r="AM870" i="2"/>
  <c r="W870" i="2"/>
  <c r="C870" i="2"/>
  <c r="K870" i="2"/>
  <c r="I870" i="2"/>
  <c r="R870" i="2"/>
  <c r="S870" i="2"/>
  <c r="E871" i="2" l="1"/>
  <c r="Q871" i="2"/>
  <c r="B872" i="2"/>
  <c r="K871" i="2"/>
  <c r="M871" i="2"/>
  <c r="AD871" i="2"/>
  <c r="T871" i="2"/>
  <c r="AB871" i="2"/>
  <c r="AE871" i="2"/>
  <c r="AK871" i="2"/>
  <c r="V871" i="2"/>
  <c r="G871" i="2"/>
  <c r="AG871" i="2"/>
  <c r="F871" i="2"/>
  <c r="U871" i="2"/>
  <c r="L871" i="2"/>
  <c r="AO871" i="2"/>
  <c r="S871" i="2"/>
  <c r="AH871" i="2"/>
  <c r="Y871" i="2"/>
  <c r="C871" i="2"/>
  <c r="H871" i="2"/>
  <c r="AM871" i="2"/>
  <c r="N871" i="2"/>
  <c r="AL871" i="2"/>
  <c r="AN871" i="2"/>
  <c r="P871" i="2"/>
  <c r="D871" i="2"/>
  <c r="I871" i="2"/>
  <c r="R871" i="2"/>
  <c r="AC871" i="2"/>
  <c r="J871" i="2"/>
  <c r="X871" i="2"/>
  <c r="Z871" i="2"/>
  <c r="O871" i="2"/>
  <c r="AF871" i="2"/>
  <c r="W871" i="2"/>
  <c r="AJ871" i="2"/>
  <c r="AI871" i="2"/>
  <c r="AA871" i="2"/>
  <c r="AH872" i="2" l="1"/>
  <c r="R872" i="2"/>
  <c r="AC872" i="2"/>
  <c r="W872" i="2"/>
  <c r="B873" i="2"/>
  <c r="T872" i="2"/>
  <c r="M872" i="2"/>
  <c r="Z872" i="2"/>
  <c r="C872" i="2"/>
  <c r="J872" i="2"/>
  <c r="AB872" i="2"/>
  <c r="AD872" i="2"/>
  <c r="F872" i="2"/>
  <c r="H872" i="2"/>
  <c r="AI872" i="2"/>
  <c r="Y872" i="2"/>
  <c r="Q872" i="2"/>
  <c r="U872" i="2"/>
  <c r="AA872" i="2"/>
  <c r="D872" i="2"/>
  <c r="AL872" i="2"/>
  <c r="G872" i="2"/>
  <c r="K872" i="2"/>
  <c r="V872" i="2"/>
  <c r="S872" i="2"/>
  <c r="N872" i="2"/>
  <c r="O872" i="2"/>
  <c r="AJ872" i="2"/>
  <c r="AK872" i="2"/>
  <c r="AF872" i="2"/>
  <c r="AG872" i="2"/>
  <c r="X872" i="2"/>
  <c r="E872" i="2"/>
  <c r="L872" i="2"/>
  <c r="AM872" i="2"/>
  <c r="AN872" i="2"/>
  <c r="AE872" i="2"/>
  <c r="I872" i="2"/>
  <c r="P872" i="2"/>
  <c r="AO872" i="2"/>
  <c r="B874" i="2" l="1"/>
  <c r="Q873" i="2"/>
  <c r="AK873" i="2"/>
  <c r="AJ873" i="2"/>
  <c r="D873" i="2"/>
  <c r="E873" i="2"/>
  <c r="T873" i="2"/>
  <c r="Z873" i="2"/>
  <c r="N873" i="2"/>
  <c r="AA873" i="2"/>
  <c r="H873" i="2"/>
  <c r="AL873" i="2"/>
  <c r="U873" i="2"/>
  <c r="L873" i="2"/>
  <c r="F873" i="2"/>
  <c r="V873" i="2"/>
  <c r="O873" i="2"/>
  <c r="AD873" i="2"/>
  <c r="AN873" i="2"/>
  <c r="AH873" i="2"/>
  <c r="S873" i="2"/>
  <c r="M873" i="2"/>
  <c r="W873" i="2"/>
  <c r="Y873" i="2"/>
  <c r="X873" i="2"/>
  <c r="AM873" i="2"/>
  <c r="C873" i="2"/>
  <c r="R873" i="2"/>
  <c r="AG873" i="2"/>
  <c r="AB873" i="2"/>
  <c r="AF873" i="2"/>
  <c r="J873" i="2"/>
  <c r="AE873" i="2"/>
  <c r="P873" i="2"/>
  <c r="AI873" i="2"/>
  <c r="G873" i="2"/>
  <c r="K873" i="2"/>
  <c r="AC873" i="2"/>
  <c r="AO873" i="2"/>
  <c r="I873" i="2"/>
  <c r="B875" i="2" l="1"/>
  <c r="AB874" i="2"/>
  <c r="V874" i="2"/>
  <c r="Q874" i="2"/>
  <c r="AE874" i="2"/>
  <c r="S874" i="2"/>
  <c r="R874" i="2"/>
  <c r="AI874" i="2"/>
  <c r="T874" i="2"/>
  <c r="C874" i="2"/>
  <c r="M874" i="2"/>
  <c r="L874" i="2"/>
  <c r="Y874" i="2"/>
  <c r="O874" i="2"/>
  <c r="U874" i="2"/>
  <c r="AH874" i="2"/>
  <c r="I874" i="2"/>
  <c r="G874" i="2"/>
  <c r="AM874" i="2"/>
  <c r="AO874" i="2"/>
  <c r="AG874" i="2"/>
  <c r="N874" i="2"/>
  <c r="W874" i="2"/>
  <c r="Z874" i="2"/>
  <c r="AL874" i="2"/>
  <c r="AK874" i="2"/>
  <c r="X874" i="2"/>
  <c r="E874" i="2"/>
  <c r="AF874" i="2"/>
  <c r="D874" i="2"/>
  <c r="F874" i="2"/>
  <c r="AJ874" i="2"/>
  <c r="AD874" i="2"/>
  <c r="AA874" i="2"/>
  <c r="AC874" i="2"/>
  <c r="AN874" i="2"/>
  <c r="K874" i="2"/>
  <c r="P874" i="2"/>
  <c r="J874" i="2"/>
  <c r="H874" i="2"/>
  <c r="B876" i="2" l="1"/>
  <c r="Z875" i="2"/>
  <c r="P875" i="2"/>
  <c r="K875" i="2"/>
  <c r="AJ875" i="2"/>
  <c r="AM875" i="2"/>
  <c r="Q875" i="2"/>
  <c r="AH875" i="2"/>
  <c r="R875" i="2"/>
  <c r="AA875" i="2"/>
  <c r="Y875" i="2"/>
  <c r="S875" i="2"/>
  <c r="M875" i="2"/>
  <c r="L875" i="2"/>
  <c r="AC875" i="2"/>
  <c r="D875" i="2"/>
  <c r="F875" i="2"/>
  <c r="G875" i="2"/>
  <c r="AE875" i="2"/>
  <c r="J875" i="2"/>
  <c r="O875" i="2"/>
  <c r="AG875" i="2"/>
  <c r="H875" i="2"/>
  <c r="V875" i="2"/>
  <c r="AF875" i="2"/>
  <c r="AB875" i="2"/>
  <c r="I875" i="2"/>
  <c r="AO875" i="2"/>
  <c r="AN875" i="2"/>
  <c r="AD875" i="2"/>
  <c r="AI875" i="2"/>
  <c r="T875" i="2"/>
  <c r="U875" i="2"/>
  <c r="C875" i="2"/>
  <c r="N875" i="2"/>
  <c r="X875" i="2"/>
  <c r="AK875" i="2"/>
  <c r="AL875" i="2"/>
  <c r="E875" i="2"/>
  <c r="W875" i="2"/>
  <c r="B877" i="2" l="1"/>
  <c r="AO876" i="2"/>
  <c r="O876" i="2"/>
  <c r="U876" i="2"/>
  <c r="AH876" i="2"/>
  <c r="I876" i="2"/>
  <c r="D876" i="2"/>
  <c r="L876" i="2"/>
  <c r="AA876" i="2"/>
  <c r="E876" i="2"/>
  <c r="AM876" i="2"/>
  <c r="X876" i="2"/>
  <c r="Q876" i="2"/>
  <c r="W876" i="2"/>
  <c r="M876" i="2"/>
  <c r="AL876" i="2"/>
  <c r="V876" i="2"/>
  <c r="Z876" i="2"/>
  <c r="AJ876" i="2"/>
  <c r="R876" i="2"/>
  <c r="AC876" i="2"/>
  <c r="AI876" i="2"/>
  <c r="AG876" i="2"/>
  <c r="T876" i="2"/>
  <c r="AK876" i="2"/>
  <c r="Y876" i="2"/>
  <c r="S876" i="2"/>
  <c r="F876" i="2"/>
  <c r="P876" i="2"/>
  <c r="N876" i="2"/>
  <c r="AD876" i="2"/>
  <c r="J876" i="2"/>
  <c r="AN876" i="2"/>
  <c r="C876" i="2"/>
  <c r="K876" i="2"/>
  <c r="AE876" i="2"/>
  <c r="AF876" i="2"/>
  <c r="G876" i="2"/>
  <c r="AB876" i="2"/>
  <c r="H876" i="2"/>
  <c r="B878" i="2" l="1"/>
  <c r="K877" i="2"/>
  <c r="E877" i="2"/>
  <c r="R877" i="2"/>
  <c r="AO877" i="2"/>
  <c r="J877" i="2"/>
  <c r="D877" i="2"/>
  <c r="U877" i="2"/>
  <c r="AC877" i="2"/>
  <c r="AB877" i="2"/>
  <c r="H877" i="2"/>
  <c r="G877" i="2"/>
  <c r="AE877" i="2"/>
  <c r="AL877" i="2"/>
  <c r="Q877" i="2"/>
  <c r="L877" i="2"/>
  <c r="M877" i="2"/>
  <c r="W877" i="2"/>
  <c r="AG877" i="2"/>
  <c r="AN877" i="2"/>
  <c r="T877" i="2"/>
  <c r="AJ877" i="2"/>
  <c r="AK877" i="2"/>
  <c r="C877" i="2"/>
  <c r="AD877" i="2"/>
  <c r="Y877" i="2"/>
  <c r="F877" i="2"/>
  <c r="AA877" i="2"/>
  <c r="AI877" i="2"/>
  <c r="V877" i="2"/>
  <c r="X877" i="2"/>
  <c r="I877" i="2"/>
  <c r="AH877" i="2"/>
  <c r="P877" i="2"/>
  <c r="N877" i="2"/>
  <c r="AF877" i="2"/>
  <c r="O877" i="2"/>
  <c r="Z877" i="2"/>
  <c r="AM877" i="2"/>
  <c r="S877" i="2"/>
  <c r="B879" i="2" l="1"/>
  <c r="P878" i="2"/>
  <c r="V878" i="2"/>
  <c r="Q878" i="2"/>
  <c r="M878" i="2"/>
  <c r="AA878" i="2"/>
  <c r="X878" i="2"/>
  <c r="AC878" i="2"/>
  <c r="E878" i="2"/>
  <c r="AG878" i="2"/>
  <c r="AB878" i="2"/>
  <c r="AI878" i="2"/>
  <c r="AE878" i="2"/>
  <c r="F878" i="2"/>
  <c r="W878" i="2"/>
  <c r="AM878" i="2"/>
  <c r="AD878" i="2"/>
  <c r="I878" i="2"/>
  <c r="O878" i="2"/>
  <c r="D878" i="2"/>
  <c r="C878" i="2"/>
  <c r="AK878" i="2"/>
  <c r="N878" i="2"/>
  <c r="AL878" i="2"/>
  <c r="AJ878" i="2"/>
  <c r="T878" i="2"/>
  <c r="L878" i="2"/>
  <c r="AF878" i="2"/>
  <c r="AO878" i="2"/>
  <c r="J878" i="2"/>
  <c r="G878" i="2"/>
  <c r="H878" i="2"/>
  <c r="U878" i="2"/>
  <c r="K878" i="2"/>
  <c r="AH878" i="2"/>
  <c r="S878" i="2"/>
  <c r="Y878" i="2"/>
  <c r="AN878" i="2"/>
  <c r="Z878" i="2"/>
  <c r="R878" i="2"/>
  <c r="B880" i="2" l="1"/>
  <c r="AI879" i="2"/>
  <c r="M879" i="2"/>
  <c r="AL879" i="2"/>
  <c r="W879" i="2"/>
  <c r="X879" i="2"/>
  <c r="G879" i="2"/>
  <c r="AK879" i="2"/>
  <c r="AC879" i="2"/>
  <c r="S879" i="2"/>
  <c r="J879" i="2"/>
  <c r="AB879" i="2"/>
  <c r="Y879" i="2"/>
  <c r="AF879" i="2"/>
  <c r="L879" i="2"/>
  <c r="F879" i="2"/>
  <c r="K879" i="2"/>
  <c r="D879" i="2"/>
  <c r="T879" i="2"/>
  <c r="AJ879" i="2"/>
  <c r="Q879" i="2"/>
  <c r="AH879" i="2"/>
  <c r="C879" i="2"/>
  <c r="U879" i="2"/>
  <c r="AD879" i="2"/>
  <c r="Z879" i="2"/>
  <c r="V879" i="2"/>
  <c r="AM879" i="2"/>
  <c r="R879" i="2"/>
  <c r="AG879" i="2"/>
  <c r="E879" i="2"/>
  <c r="AO879" i="2"/>
  <c r="O879" i="2"/>
  <c r="AA879" i="2"/>
  <c r="P879" i="2"/>
  <c r="N879" i="2"/>
  <c r="I879" i="2"/>
  <c r="H879" i="2"/>
  <c r="AN879" i="2"/>
  <c r="AE879" i="2"/>
  <c r="B881" i="2" l="1"/>
  <c r="I880" i="2"/>
  <c r="F880" i="2"/>
  <c r="D880" i="2"/>
  <c r="K880" i="2"/>
  <c r="AL880" i="2"/>
  <c r="AM880" i="2"/>
  <c r="S880" i="2"/>
  <c r="M880" i="2"/>
  <c r="E880" i="2"/>
  <c r="R880" i="2"/>
  <c r="AE880" i="2"/>
  <c r="AK880" i="2"/>
  <c r="AI880" i="2"/>
  <c r="V880" i="2"/>
  <c r="AJ880" i="2"/>
  <c r="W880" i="2"/>
  <c r="AA880" i="2"/>
  <c r="X880" i="2"/>
  <c r="U880" i="2"/>
  <c r="AF880" i="2"/>
  <c r="AG880" i="2"/>
  <c r="H880" i="2"/>
  <c r="N880" i="2"/>
  <c r="Z880" i="2"/>
  <c r="G880" i="2"/>
  <c r="AD880" i="2"/>
  <c r="Y880" i="2"/>
  <c r="P880" i="2"/>
  <c r="AH880" i="2"/>
  <c r="Q880" i="2"/>
  <c r="AB880" i="2"/>
  <c r="AC880" i="2"/>
  <c r="T880" i="2"/>
  <c r="AN880" i="2"/>
  <c r="J880" i="2"/>
  <c r="L880" i="2"/>
  <c r="AO880" i="2"/>
  <c r="O880" i="2"/>
  <c r="C880" i="2"/>
  <c r="W881" i="2" l="1"/>
  <c r="AK881" i="2"/>
  <c r="G881" i="2"/>
  <c r="AG881" i="2"/>
  <c r="Y881" i="2"/>
  <c r="AE881" i="2"/>
  <c r="H881" i="2"/>
  <c r="B882" i="2"/>
  <c r="AJ881" i="2"/>
  <c r="S881" i="2"/>
  <c r="E881" i="2"/>
  <c r="N881" i="2"/>
  <c r="F881" i="2"/>
  <c r="U881" i="2"/>
  <c r="AC881" i="2"/>
  <c r="AH881" i="2"/>
  <c r="Z881" i="2"/>
  <c r="AB881" i="2"/>
  <c r="K881" i="2"/>
  <c r="AN881" i="2"/>
  <c r="D881" i="2"/>
  <c r="AI881" i="2"/>
  <c r="AA881" i="2"/>
  <c r="R881" i="2"/>
  <c r="L881" i="2"/>
  <c r="J881" i="2"/>
  <c r="Q881" i="2"/>
  <c r="V881" i="2"/>
  <c r="T881" i="2"/>
  <c r="M881" i="2"/>
  <c r="AL881" i="2"/>
  <c r="I881" i="2"/>
  <c r="O881" i="2"/>
  <c r="AM881" i="2"/>
  <c r="AO881" i="2"/>
  <c r="C881" i="2"/>
  <c r="P881" i="2"/>
  <c r="X881" i="2"/>
  <c r="AF881" i="2"/>
  <c r="AD881" i="2"/>
  <c r="K882" i="2" l="1"/>
  <c r="I882" i="2"/>
  <c r="F882" i="2"/>
  <c r="AF882" i="2"/>
  <c r="AC882" i="2"/>
  <c r="D882" i="2"/>
  <c r="AH882" i="2"/>
  <c r="AN882" i="2"/>
  <c r="AE882" i="2"/>
  <c r="N882" i="2"/>
  <c r="AK882" i="2"/>
  <c r="Y882" i="2"/>
  <c r="L882" i="2"/>
  <c r="B883" i="2"/>
  <c r="AB882" i="2"/>
  <c r="Q882" i="2"/>
  <c r="R882" i="2"/>
  <c r="G882" i="2"/>
  <c r="X882" i="2"/>
  <c r="U882" i="2"/>
  <c r="AM882" i="2"/>
  <c r="E882" i="2"/>
  <c r="AI882" i="2"/>
  <c r="AJ882" i="2"/>
  <c r="Z882" i="2"/>
  <c r="AA882" i="2"/>
  <c r="AG882" i="2"/>
  <c r="S882" i="2"/>
  <c r="AD882" i="2"/>
  <c r="AO882" i="2"/>
  <c r="J882" i="2"/>
  <c r="C882" i="2"/>
  <c r="P882" i="2"/>
  <c r="T882" i="2"/>
  <c r="V882" i="2"/>
  <c r="W882" i="2"/>
  <c r="AL882" i="2"/>
  <c r="O882" i="2"/>
  <c r="H882" i="2"/>
  <c r="M882" i="2"/>
  <c r="AC883" i="2" l="1"/>
  <c r="AM883" i="2"/>
  <c r="P883" i="2"/>
  <c r="L883" i="2"/>
  <c r="AK883" i="2"/>
  <c r="AN883" i="2"/>
  <c r="J883" i="2"/>
  <c r="N883" i="2"/>
  <c r="W883" i="2"/>
  <c r="M883" i="2"/>
  <c r="X883" i="2"/>
  <c r="Q883" i="2"/>
  <c r="B884" i="2"/>
  <c r="K883" i="2"/>
  <c r="AH883" i="2"/>
  <c r="F883" i="2"/>
  <c r="I883" i="2"/>
  <c r="AE883" i="2"/>
  <c r="AF883" i="2"/>
  <c r="C883" i="2"/>
  <c r="Y883" i="2"/>
  <c r="Z883" i="2"/>
  <c r="U883" i="2"/>
  <c r="E883" i="2"/>
  <c r="AJ883" i="2"/>
  <c r="AB883" i="2"/>
  <c r="G883" i="2"/>
  <c r="AG883" i="2"/>
  <c r="S883" i="2"/>
  <c r="H883" i="2"/>
  <c r="AI883" i="2"/>
  <c r="R883" i="2"/>
  <c r="AL883" i="2"/>
  <c r="T883" i="2"/>
  <c r="AO883" i="2"/>
  <c r="O883" i="2"/>
  <c r="D883" i="2"/>
  <c r="V883" i="2"/>
  <c r="AD883" i="2"/>
  <c r="AA883" i="2"/>
  <c r="B885" i="2" l="1"/>
  <c r="AH884" i="2"/>
  <c r="G884" i="2"/>
  <c r="AD884" i="2"/>
  <c r="K884" i="2"/>
  <c r="N884" i="2"/>
  <c r="I884" i="2"/>
  <c r="C884" i="2"/>
  <c r="F884" i="2"/>
  <c r="AE884" i="2"/>
  <c r="AI884" i="2"/>
  <c r="AJ884" i="2"/>
  <c r="J884" i="2"/>
  <c r="S884" i="2"/>
  <c r="T884" i="2"/>
  <c r="AL884" i="2"/>
  <c r="AB884" i="2"/>
  <c r="AK884" i="2"/>
  <c r="L884" i="2"/>
  <c r="R884" i="2"/>
  <c r="AA884" i="2"/>
  <c r="Y884" i="2"/>
  <c r="M884" i="2"/>
  <c r="Z884" i="2"/>
  <c r="AC884" i="2"/>
  <c r="AG884" i="2"/>
  <c r="D884" i="2"/>
  <c r="H884" i="2"/>
  <c r="X884" i="2"/>
  <c r="V884" i="2"/>
  <c r="Q884" i="2"/>
  <c r="AN884" i="2"/>
  <c r="AM884" i="2"/>
  <c r="AF884" i="2"/>
  <c r="U884" i="2"/>
  <c r="AO884" i="2"/>
  <c r="W884" i="2"/>
  <c r="P884" i="2"/>
  <c r="O884" i="2"/>
  <c r="E884" i="2"/>
  <c r="B886" i="2" l="1"/>
  <c r="H885" i="2"/>
  <c r="I885" i="2"/>
  <c r="J885" i="2"/>
  <c r="AO885" i="2"/>
  <c r="AF885" i="2"/>
  <c r="U885" i="2"/>
  <c r="D885" i="2"/>
  <c r="L885" i="2"/>
  <c r="AM885" i="2"/>
  <c r="P885" i="2"/>
  <c r="O885" i="2"/>
  <c r="Z885" i="2"/>
  <c r="V885" i="2"/>
  <c r="G885" i="2"/>
  <c r="AC885" i="2"/>
  <c r="K885" i="2"/>
  <c r="M885" i="2"/>
  <c r="AJ885" i="2"/>
  <c r="E885" i="2"/>
  <c r="X885" i="2"/>
  <c r="Y885" i="2"/>
  <c r="C885" i="2"/>
  <c r="AN885" i="2"/>
  <c r="AB885" i="2"/>
  <c r="W885" i="2"/>
  <c r="AE885" i="2"/>
  <c r="AI885" i="2"/>
  <c r="AG885" i="2"/>
  <c r="R885" i="2"/>
  <c r="AK885" i="2"/>
  <c r="T885" i="2"/>
  <c r="AL885" i="2"/>
  <c r="S885" i="2"/>
  <c r="AD885" i="2"/>
  <c r="N885" i="2"/>
  <c r="AA885" i="2"/>
  <c r="Q885" i="2"/>
  <c r="F885" i="2"/>
  <c r="AH885" i="2"/>
  <c r="B887" i="2" l="1"/>
  <c r="AC886" i="2"/>
  <c r="AH886" i="2"/>
  <c r="G886" i="2"/>
  <c r="H886" i="2"/>
  <c r="AI886" i="2"/>
  <c r="AE886" i="2"/>
  <c r="W886" i="2"/>
  <c r="L886" i="2"/>
  <c r="U886" i="2"/>
  <c r="I886" i="2"/>
  <c r="S886" i="2"/>
  <c r="K886" i="2"/>
  <c r="AF886" i="2"/>
  <c r="R886" i="2"/>
  <c r="AM886" i="2"/>
  <c r="D886" i="2"/>
  <c r="J886" i="2"/>
  <c r="O886" i="2"/>
  <c r="AL886" i="2"/>
  <c r="AJ886" i="2"/>
  <c r="Y886" i="2"/>
  <c r="Z886" i="2"/>
  <c r="M886" i="2"/>
  <c r="X886" i="2"/>
  <c r="AO886" i="2"/>
  <c r="AB886" i="2"/>
  <c r="F886" i="2"/>
  <c r="N886" i="2"/>
  <c r="AA886" i="2"/>
  <c r="AK886" i="2"/>
  <c r="T886" i="2"/>
  <c r="V886" i="2"/>
  <c r="AG886" i="2"/>
  <c r="C886" i="2"/>
  <c r="AD886" i="2"/>
  <c r="E886" i="2"/>
  <c r="AN886" i="2"/>
  <c r="Q886" i="2"/>
  <c r="P886" i="2"/>
  <c r="B888" i="2" l="1"/>
  <c r="AB887" i="2"/>
  <c r="G887" i="2"/>
  <c r="E887" i="2"/>
  <c r="M887" i="2"/>
  <c r="P887" i="2"/>
  <c r="C887" i="2"/>
  <c r="Q887" i="2"/>
  <c r="V887" i="2"/>
  <c r="X887" i="2"/>
  <c r="AI887" i="2"/>
  <c r="AC887" i="2"/>
  <c r="AO887" i="2"/>
  <c r="D887" i="2"/>
  <c r="AN887" i="2"/>
  <c r="Z887" i="2"/>
  <c r="T887" i="2"/>
  <c r="AG887" i="2"/>
  <c r="K887" i="2"/>
  <c r="AH887" i="2"/>
  <c r="U887" i="2"/>
  <c r="W887" i="2"/>
  <c r="J887" i="2"/>
  <c r="H887" i="2"/>
  <c r="AK887" i="2"/>
  <c r="N887" i="2"/>
  <c r="AM887" i="2"/>
  <c r="AA887" i="2"/>
  <c r="AE887" i="2"/>
  <c r="I887" i="2"/>
  <c r="AJ887" i="2"/>
  <c r="Y887" i="2"/>
  <c r="R887" i="2"/>
  <c r="S887" i="2"/>
  <c r="L887" i="2"/>
  <c r="O887" i="2"/>
  <c r="AD887" i="2"/>
  <c r="AL887" i="2"/>
  <c r="AF887" i="2"/>
  <c r="F887" i="2"/>
  <c r="B889" i="2" l="1"/>
  <c r="AD888" i="2"/>
  <c r="AM888" i="2"/>
  <c r="AJ888" i="2"/>
  <c r="E888" i="2"/>
  <c r="Q888" i="2"/>
  <c r="M888" i="2"/>
  <c r="AK888" i="2"/>
  <c r="T888" i="2"/>
  <c r="R888" i="2"/>
  <c r="AB888" i="2"/>
  <c r="L888" i="2"/>
  <c r="AH888" i="2"/>
  <c r="H888" i="2"/>
  <c r="D888" i="2"/>
  <c r="F888" i="2"/>
  <c r="AN888" i="2"/>
  <c r="O888" i="2"/>
  <c r="J888" i="2"/>
  <c r="AG888" i="2"/>
  <c r="G888" i="2"/>
  <c r="S888" i="2"/>
  <c r="N888" i="2"/>
  <c r="I888" i="2"/>
  <c r="Z888" i="2"/>
  <c r="X888" i="2"/>
  <c r="Y888" i="2"/>
  <c r="U888" i="2"/>
  <c r="V888" i="2"/>
  <c r="AF888" i="2"/>
  <c r="AL888" i="2"/>
  <c r="C888" i="2"/>
  <c r="AO888" i="2"/>
  <c r="AE888" i="2"/>
  <c r="AI888" i="2"/>
  <c r="W888" i="2"/>
  <c r="P888" i="2"/>
  <c r="K888" i="2"/>
  <c r="AA888" i="2"/>
  <c r="AC888" i="2"/>
  <c r="B890" i="2" l="1"/>
  <c r="AG889" i="2"/>
  <c r="L889" i="2"/>
  <c r="V889" i="2"/>
  <c r="AH889" i="2"/>
  <c r="D889" i="2"/>
  <c r="AI889" i="2"/>
  <c r="AF889" i="2"/>
  <c r="F889" i="2"/>
  <c r="Q889" i="2"/>
  <c r="M889" i="2"/>
  <c r="AK889" i="2"/>
  <c r="AD889" i="2"/>
  <c r="J889" i="2"/>
  <c r="AN889" i="2"/>
  <c r="K889" i="2"/>
  <c r="P889" i="2"/>
  <c r="H889" i="2"/>
  <c r="AA889" i="2"/>
  <c r="AC889" i="2"/>
  <c r="W889" i="2"/>
  <c r="AB889" i="2"/>
  <c r="T889" i="2"/>
  <c r="AO889" i="2"/>
  <c r="R889" i="2"/>
  <c r="AE889" i="2"/>
  <c r="AJ889" i="2"/>
  <c r="U889" i="2"/>
  <c r="X889" i="2"/>
  <c r="E889" i="2"/>
  <c r="Y889" i="2"/>
  <c r="Z889" i="2"/>
  <c r="G889" i="2"/>
  <c r="AL889" i="2"/>
  <c r="O889" i="2"/>
  <c r="S889" i="2"/>
  <c r="N889" i="2"/>
  <c r="C889" i="2"/>
  <c r="I889" i="2"/>
  <c r="AM889" i="2"/>
  <c r="B891" i="2" l="1"/>
  <c r="AK890" i="2"/>
  <c r="D890" i="2"/>
  <c r="AM890" i="2"/>
  <c r="AL890" i="2"/>
  <c r="AN890" i="2"/>
  <c r="M890" i="2"/>
  <c r="AO890" i="2"/>
  <c r="J890" i="2"/>
  <c r="E890" i="2"/>
  <c r="R890" i="2"/>
  <c r="F890" i="2"/>
  <c r="Q890" i="2"/>
  <c r="C890" i="2"/>
  <c r="T890" i="2"/>
  <c r="L890" i="2"/>
  <c r="O890" i="2"/>
  <c r="AA890" i="2"/>
  <c r="AG890" i="2"/>
  <c r="U890" i="2"/>
  <c r="AC890" i="2"/>
  <c r="V890" i="2"/>
  <c r="X890" i="2"/>
  <c r="Y890" i="2"/>
  <c r="W890" i="2"/>
  <c r="AI890" i="2"/>
  <c r="AE890" i="2"/>
  <c r="G890" i="2"/>
  <c r="AF890" i="2"/>
  <c r="N890" i="2"/>
  <c r="AD890" i="2"/>
  <c r="S890" i="2"/>
  <c r="P890" i="2"/>
  <c r="K890" i="2"/>
  <c r="AB890" i="2"/>
  <c r="I890" i="2"/>
  <c r="Z890" i="2"/>
  <c r="AJ890" i="2"/>
  <c r="AH890" i="2"/>
  <c r="H890" i="2"/>
  <c r="B892" i="2" l="1"/>
  <c r="AH891" i="2"/>
  <c r="AE891" i="2"/>
  <c r="E891" i="2"/>
  <c r="K891" i="2"/>
  <c r="AL891" i="2"/>
  <c r="U891" i="2"/>
  <c r="T891" i="2"/>
  <c r="AA891" i="2"/>
  <c r="AI891" i="2"/>
  <c r="AJ891" i="2"/>
  <c r="AC891" i="2"/>
  <c r="M891" i="2"/>
  <c r="G891" i="2"/>
  <c r="H891" i="2"/>
  <c r="Z891" i="2"/>
  <c r="I891" i="2"/>
  <c r="AO891" i="2"/>
  <c r="Y891" i="2"/>
  <c r="N891" i="2"/>
  <c r="P891" i="2"/>
  <c r="AG891" i="2"/>
  <c r="Q891" i="2"/>
  <c r="F891" i="2"/>
  <c r="AD891" i="2"/>
  <c r="AM891" i="2"/>
  <c r="S891" i="2"/>
  <c r="V891" i="2"/>
  <c r="AN891" i="2"/>
  <c r="W891" i="2"/>
  <c r="O891" i="2"/>
  <c r="AB891" i="2"/>
  <c r="J891" i="2"/>
  <c r="AF891" i="2"/>
  <c r="X891" i="2"/>
  <c r="L891" i="2"/>
  <c r="C891" i="2"/>
  <c r="D891" i="2"/>
  <c r="R891" i="2"/>
  <c r="AK891" i="2"/>
  <c r="B893" i="2" l="1"/>
  <c r="C892" i="2"/>
  <c r="AO892" i="2"/>
  <c r="AL892" i="2"/>
  <c r="V892" i="2"/>
  <c r="T892" i="2"/>
  <c r="E892" i="2"/>
  <c r="AN892" i="2"/>
  <c r="AG892" i="2"/>
  <c r="U892" i="2"/>
  <c r="M892" i="2"/>
  <c r="H892" i="2"/>
  <c r="AD892" i="2"/>
  <c r="J892" i="2"/>
  <c r="I892" i="2"/>
  <c r="AA892" i="2"/>
  <c r="AF892" i="2"/>
  <c r="L892" i="2"/>
  <c r="N892" i="2"/>
  <c r="P892" i="2"/>
  <c r="AB892" i="2"/>
  <c r="AH892" i="2"/>
  <c r="S892" i="2"/>
  <c r="Y892" i="2"/>
  <c r="R892" i="2"/>
  <c r="D892" i="2"/>
  <c r="W892" i="2"/>
  <c r="F892" i="2"/>
  <c r="Z892" i="2"/>
  <c r="AE892" i="2"/>
  <c r="AM892" i="2"/>
  <c r="Q892" i="2"/>
  <c r="K892" i="2"/>
  <c r="O892" i="2"/>
  <c r="AK892" i="2"/>
  <c r="G892" i="2"/>
  <c r="X892" i="2"/>
  <c r="AJ892" i="2"/>
  <c r="AC892" i="2"/>
  <c r="AI892" i="2"/>
  <c r="B894" i="2" l="1"/>
  <c r="AA893" i="2"/>
  <c r="L893" i="2"/>
  <c r="AD893" i="2"/>
  <c r="AF893" i="2"/>
  <c r="AB893" i="2"/>
  <c r="E893" i="2"/>
  <c r="R893" i="2"/>
  <c r="Y893" i="2"/>
  <c r="S893" i="2"/>
  <c r="C893" i="2"/>
  <c r="AH893" i="2"/>
  <c r="T893" i="2"/>
  <c r="AI893" i="2"/>
  <c r="O893" i="2"/>
  <c r="AN893" i="2"/>
  <c r="U893" i="2"/>
  <c r="AK893" i="2"/>
  <c r="AJ893" i="2"/>
  <c r="P893" i="2"/>
  <c r="Z893" i="2"/>
  <c r="H893" i="2"/>
  <c r="V893" i="2"/>
  <c r="D893" i="2"/>
  <c r="G893" i="2"/>
  <c r="AO893" i="2"/>
  <c r="I893" i="2"/>
  <c r="M893" i="2"/>
  <c r="J893" i="2"/>
  <c r="AL893" i="2"/>
  <c r="N893" i="2"/>
  <c r="Q893" i="2"/>
  <c r="AC893" i="2"/>
  <c r="F893" i="2"/>
  <c r="K893" i="2"/>
  <c r="X893" i="2"/>
  <c r="AE893" i="2"/>
  <c r="AG893" i="2"/>
  <c r="AM893" i="2"/>
  <c r="W893" i="2"/>
  <c r="B895" i="2" l="1"/>
  <c r="J894" i="2"/>
  <c r="C894" i="2"/>
  <c r="AE894" i="2"/>
  <c r="L894" i="2"/>
  <c r="X894" i="2"/>
  <c r="W894" i="2"/>
  <c r="AJ894" i="2"/>
  <c r="D894" i="2"/>
  <c r="T894" i="2"/>
  <c r="AG894" i="2"/>
  <c r="AL894" i="2"/>
  <c r="AD894" i="2"/>
  <c r="R894" i="2"/>
  <c r="AO894" i="2"/>
  <c r="AF894" i="2"/>
  <c r="Q894" i="2"/>
  <c r="AA894" i="2"/>
  <c r="G894" i="2"/>
  <c r="O894" i="2"/>
  <c r="M894" i="2"/>
  <c r="Y894" i="2"/>
  <c r="AI894" i="2"/>
  <c r="AN894" i="2"/>
  <c r="I894" i="2"/>
  <c r="H894" i="2"/>
  <c r="N894" i="2"/>
  <c r="P894" i="2"/>
  <c r="AH894" i="2"/>
  <c r="V894" i="2"/>
  <c r="Z894" i="2"/>
  <c r="F894" i="2"/>
  <c r="U894" i="2"/>
  <c r="S894" i="2"/>
  <c r="AK894" i="2"/>
  <c r="E894" i="2"/>
  <c r="AB894" i="2"/>
  <c r="AC894" i="2"/>
  <c r="K894" i="2"/>
  <c r="AM894" i="2"/>
  <c r="B896" i="2" l="1"/>
  <c r="E895" i="2"/>
  <c r="AD895" i="2"/>
  <c r="J895" i="2"/>
  <c r="AL895" i="2"/>
  <c r="AA895" i="2"/>
  <c r="R895" i="2"/>
  <c r="AG895" i="2"/>
  <c r="AE895" i="2"/>
  <c r="AM895" i="2"/>
  <c r="I895" i="2"/>
  <c r="S895" i="2"/>
  <c r="O895" i="2"/>
  <c r="D895" i="2"/>
  <c r="N895" i="2"/>
  <c r="Q895" i="2"/>
  <c r="AJ895" i="2"/>
  <c r="AB895" i="2"/>
  <c r="AH895" i="2"/>
  <c r="Z895" i="2"/>
  <c r="AI895" i="2"/>
  <c r="C895" i="2"/>
  <c r="P895" i="2"/>
  <c r="Y895" i="2"/>
  <c r="AN895" i="2"/>
  <c r="M895" i="2"/>
  <c r="G895" i="2"/>
  <c r="H895" i="2"/>
  <c r="AO895" i="2"/>
  <c r="AK895" i="2"/>
  <c r="T895" i="2"/>
  <c r="U895" i="2"/>
  <c r="W895" i="2"/>
  <c r="K895" i="2"/>
  <c r="F895" i="2"/>
  <c r="AC895" i="2"/>
  <c r="AF895" i="2"/>
  <c r="V895" i="2"/>
  <c r="X895" i="2"/>
  <c r="L895" i="2"/>
  <c r="B897" i="2" l="1"/>
  <c r="S896" i="2"/>
  <c r="L896" i="2"/>
  <c r="Q896" i="2"/>
  <c r="G896" i="2"/>
  <c r="AD896" i="2"/>
  <c r="J896" i="2"/>
  <c r="V896" i="2"/>
  <c r="AA896" i="2"/>
  <c r="AC896" i="2"/>
  <c r="AB896" i="2"/>
  <c r="AM896" i="2"/>
  <c r="Y896" i="2"/>
  <c r="AG896" i="2"/>
  <c r="AF896" i="2"/>
  <c r="AJ896" i="2"/>
  <c r="N896" i="2"/>
  <c r="W896" i="2"/>
  <c r="Z896" i="2"/>
  <c r="AE896" i="2"/>
  <c r="AI896" i="2"/>
  <c r="K896" i="2"/>
  <c r="E896" i="2"/>
  <c r="O896" i="2"/>
  <c r="M896" i="2"/>
  <c r="AL896" i="2"/>
  <c r="H896" i="2"/>
  <c r="P896" i="2"/>
  <c r="AO896" i="2"/>
  <c r="X896" i="2"/>
  <c r="F896" i="2"/>
  <c r="T896" i="2"/>
  <c r="AK896" i="2"/>
  <c r="AN896" i="2"/>
  <c r="AH896" i="2"/>
  <c r="C896" i="2"/>
  <c r="I896" i="2"/>
  <c r="D896" i="2"/>
  <c r="R896" i="2"/>
  <c r="U896" i="2"/>
  <c r="B898" i="2" l="1"/>
  <c r="AK897" i="2"/>
  <c r="AI897" i="2"/>
  <c r="AG897" i="2"/>
  <c r="AM897" i="2"/>
  <c r="AA897" i="2"/>
  <c r="T897" i="2"/>
  <c r="U897" i="2"/>
  <c r="AN897" i="2"/>
  <c r="F897" i="2"/>
  <c r="J897" i="2"/>
  <c r="AO897" i="2"/>
  <c r="C897" i="2"/>
  <c r="G897" i="2"/>
  <c r="L897" i="2"/>
  <c r="Y897" i="2"/>
  <c r="AL897" i="2"/>
  <c r="AE897" i="2"/>
  <c r="N897" i="2"/>
  <c r="V897" i="2"/>
  <c r="AF897" i="2"/>
  <c r="D897" i="2"/>
  <c r="E897" i="2"/>
  <c r="M897" i="2"/>
  <c r="AJ897" i="2"/>
  <c r="AH897" i="2"/>
  <c r="P897" i="2"/>
  <c r="Q897" i="2"/>
  <c r="AD897" i="2"/>
  <c r="S897" i="2"/>
  <c r="H897" i="2"/>
  <c r="K897" i="2"/>
  <c r="R897" i="2"/>
  <c r="O897" i="2"/>
  <c r="I897" i="2"/>
  <c r="Z897" i="2"/>
  <c r="AC897" i="2"/>
  <c r="X897" i="2"/>
  <c r="AB897" i="2"/>
  <c r="W897" i="2"/>
  <c r="B899" i="2" l="1"/>
  <c r="L898" i="2"/>
  <c r="N898" i="2"/>
  <c r="F898" i="2"/>
  <c r="AG898" i="2"/>
  <c r="R898" i="2"/>
  <c r="AI898" i="2"/>
  <c r="AO898" i="2"/>
  <c r="AE898" i="2"/>
  <c r="D898" i="2"/>
  <c r="T898" i="2"/>
  <c r="K898" i="2"/>
  <c r="I898" i="2"/>
  <c r="P898" i="2"/>
  <c r="C898" i="2"/>
  <c r="Z898" i="2"/>
  <c r="H898" i="2"/>
  <c r="E898" i="2"/>
  <c r="AF898" i="2"/>
  <c r="Y898" i="2"/>
  <c r="J898" i="2"/>
  <c r="U898" i="2"/>
  <c r="O898" i="2"/>
  <c r="AN898" i="2"/>
  <c r="AJ898" i="2"/>
  <c r="AL898" i="2"/>
  <c r="V898" i="2"/>
  <c r="X898" i="2"/>
  <c r="AC898" i="2"/>
  <c r="W898" i="2"/>
  <c r="AH898" i="2"/>
  <c r="G898" i="2"/>
  <c r="Q898" i="2"/>
  <c r="AA898" i="2"/>
  <c r="AB898" i="2"/>
  <c r="AK898" i="2"/>
  <c r="AD898" i="2"/>
  <c r="M898" i="2"/>
  <c r="S898" i="2"/>
  <c r="AM898" i="2"/>
  <c r="B900" i="2" l="1"/>
  <c r="E899" i="2"/>
  <c r="O899" i="2"/>
  <c r="L899" i="2"/>
  <c r="P899" i="2"/>
  <c r="AF899" i="2"/>
  <c r="R899" i="2"/>
  <c r="AB899" i="2"/>
  <c r="Q899" i="2"/>
  <c r="AD899" i="2"/>
  <c r="AH899" i="2"/>
  <c r="K899" i="2"/>
  <c r="AK899" i="2"/>
  <c r="I899" i="2"/>
  <c r="AO899" i="2"/>
  <c r="AM899" i="2"/>
  <c r="AG899" i="2"/>
  <c r="AN899" i="2"/>
  <c r="Y899" i="2"/>
  <c r="H899" i="2"/>
  <c r="AL899" i="2"/>
  <c r="J899" i="2"/>
  <c r="F899" i="2"/>
  <c r="AC899" i="2"/>
  <c r="Z899" i="2"/>
  <c r="AE899" i="2"/>
  <c r="W899" i="2"/>
  <c r="D899" i="2"/>
  <c r="AJ899" i="2"/>
  <c r="M899" i="2"/>
  <c r="X899" i="2"/>
  <c r="T899" i="2"/>
  <c r="U899" i="2"/>
  <c r="G899" i="2"/>
  <c r="AI899" i="2"/>
  <c r="C899" i="2"/>
  <c r="N899" i="2"/>
  <c r="AA899" i="2"/>
  <c r="S899" i="2"/>
  <c r="V899" i="2"/>
  <c r="B901" i="2" l="1"/>
  <c r="AF900" i="2"/>
  <c r="C900" i="2"/>
  <c r="J900" i="2"/>
  <c r="O900" i="2"/>
  <c r="S900" i="2"/>
  <c r="E900" i="2"/>
  <c r="AA900" i="2"/>
  <c r="U900" i="2"/>
  <c r="Y900" i="2"/>
  <c r="N900" i="2"/>
  <c r="AM900" i="2"/>
  <c r="D900" i="2"/>
  <c r="L900" i="2"/>
  <c r="AC900" i="2"/>
  <c r="AH900" i="2"/>
  <c r="AK900" i="2"/>
  <c r="K900" i="2"/>
  <c r="AO900" i="2"/>
  <c r="W900" i="2"/>
  <c r="H900" i="2"/>
  <c r="AE900" i="2"/>
  <c r="I900" i="2"/>
  <c r="AB900" i="2"/>
  <c r="X900" i="2"/>
  <c r="Z900" i="2"/>
  <c r="AI900" i="2"/>
  <c r="V900" i="2"/>
  <c r="R900" i="2"/>
  <c r="AL900" i="2"/>
  <c r="P900" i="2"/>
  <c r="AG900" i="2"/>
  <c r="T900" i="2"/>
  <c r="AD900" i="2"/>
  <c r="AN900" i="2"/>
  <c r="M900" i="2"/>
  <c r="Q900" i="2"/>
  <c r="AJ900" i="2"/>
  <c r="G900" i="2"/>
  <c r="F900" i="2"/>
  <c r="B902" i="2" l="1"/>
  <c r="AK901" i="2"/>
  <c r="H901" i="2"/>
  <c r="Z901" i="2"/>
  <c r="AN901" i="2"/>
  <c r="K901" i="2"/>
  <c r="AF901" i="2"/>
  <c r="AG901" i="2"/>
  <c r="J901" i="2"/>
  <c r="AI901" i="2"/>
  <c r="G901" i="2"/>
  <c r="F901" i="2"/>
  <c r="AC901" i="2"/>
  <c r="AM901" i="2"/>
  <c r="C901" i="2"/>
  <c r="AO901" i="2"/>
  <c r="N901" i="2"/>
  <c r="P901" i="2"/>
  <c r="AJ901" i="2"/>
  <c r="AB901" i="2"/>
  <c r="S901" i="2"/>
  <c r="AA901" i="2"/>
  <c r="AL901" i="2"/>
  <c r="AH901" i="2"/>
  <c r="Y901" i="2"/>
  <c r="I901" i="2"/>
  <c r="T901" i="2"/>
  <c r="D901" i="2"/>
  <c r="E901" i="2"/>
  <c r="L901" i="2"/>
  <c r="V901" i="2"/>
  <c r="AE901" i="2"/>
  <c r="Q901" i="2"/>
  <c r="R901" i="2"/>
  <c r="U901" i="2"/>
  <c r="O901" i="2"/>
  <c r="W901" i="2"/>
  <c r="AD901" i="2"/>
  <c r="X901" i="2"/>
  <c r="M901" i="2"/>
  <c r="B903" i="2" l="1"/>
  <c r="Q902" i="2"/>
  <c r="AM902" i="2"/>
  <c r="T902" i="2"/>
  <c r="AE902" i="2"/>
  <c r="AN902" i="2"/>
  <c r="AK902" i="2"/>
  <c r="X902" i="2"/>
  <c r="M902" i="2"/>
  <c r="AO902" i="2"/>
  <c r="R902" i="2"/>
  <c r="AG902" i="2"/>
  <c r="AC902" i="2"/>
  <c r="L902" i="2"/>
  <c r="AD902" i="2"/>
  <c r="F902" i="2"/>
  <c r="D902" i="2"/>
  <c r="AL902" i="2"/>
  <c r="G902" i="2"/>
  <c r="J902" i="2"/>
  <c r="AI902" i="2"/>
  <c r="AJ902" i="2"/>
  <c r="H902" i="2"/>
  <c r="I902" i="2"/>
  <c r="P902" i="2"/>
  <c r="U902" i="2"/>
  <c r="K902" i="2"/>
  <c r="Y902" i="2"/>
  <c r="AA902" i="2"/>
  <c r="Z902" i="2"/>
  <c r="W902" i="2"/>
  <c r="O902" i="2"/>
  <c r="AH902" i="2"/>
  <c r="AF902" i="2"/>
  <c r="S902" i="2"/>
  <c r="E902" i="2"/>
  <c r="V902" i="2"/>
  <c r="C902" i="2"/>
  <c r="AB902" i="2"/>
  <c r="N902" i="2"/>
  <c r="X903" i="2" l="1"/>
  <c r="J903" i="2"/>
  <c r="B904" i="2"/>
  <c r="D903" i="2"/>
  <c r="AO903" i="2"/>
  <c r="AD903" i="2"/>
  <c r="N903" i="2"/>
  <c r="V903" i="2"/>
  <c r="AF903" i="2"/>
  <c r="Y903" i="2"/>
  <c r="AB903" i="2"/>
  <c r="M903" i="2"/>
  <c r="AC903" i="2"/>
  <c r="E903" i="2"/>
  <c r="AM903" i="2"/>
  <c r="T903" i="2"/>
  <c r="AI903" i="2"/>
  <c r="S903" i="2"/>
  <c r="L903" i="2"/>
  <c r="AH903" i="2"/>
  <c r="AK903" i="2"/>
  <c r="AL903" i="2"/>
  <c r="G903" i="2"/>
  <c r="Z903" i="2"/>
  <c r="P903" i="2"/>
  <c r="H903" i="2"/>
  <c r="K903" i="2"/>
  <c r="F903" i="2"/>
  <c r="U903" i="2"/>
  <c r="C903" i="2"/>
  <c r="Q903" i="2"/>
  <c r="AG903" i="2"/>
  <c r="W903" i="2"/>
  <c r="AE903" i="2"/>
  <c r="AN903" i="2"/>
  <c r="O903" i="2"/>
  <c r="I903" i="2"/>
  <c r="AA903" i="2"/>
  <c r="AJ903" i="2"/>
  <c r="R903" i="2"/>
  <c r="B905" i="2" l="1"/>
  <c r="F904" i="2"/>
  <c r="G904" i="2"/>
  <c r="AN904" i="2"/>
  <c r="AG904" i="2"/>
  <c r="C904" i="2"/>
  <c r="AL904" i="2"/>
  <c r="Y904" i="2"/>
  <c r="X904" i="2"/>
  <c r="Z904" i="2"/>
  <c r="H904" i="2"/>
  <c r="E904" i="2"/>
  <c r="O904" i="2"/>
  <c r="T904" i="2"/>
  <c r="P904" i="2"/>
  <c r="AC904" i="2"/>
  <c r="W904" i="2"/>
  <c r="AD904" i="2"/>
  <c r="AK904" i="2"/>
  <c r="L904" i="2"/>
  <c r="J904" i="2"/>
  <c r="AM904" i="2"/>
  <c r="AB904" i="2"/>
  <c r="AO904" i="2"/>
  <c r="S904" i="2"/>
  <c r="M904" i="2"/>
  <c r="I904" i="2"/>
  <c r="AJ904" i="2"/>
  <c r="N904" i="2"/>
  <c r="V904" i="2"/>
  <c r="AA904" i="2"/>
  <c r="R904" i="2"/>
  <c r="AI904" i="2"/>
  <c r="AE904" i="2"/>
  <c r="K904" i="2"/>
  <c r="D904" i="2"/>
  <c r="AF904" i="2"/>
  <c r="Q904" i="2"/>
  <c r="AH904" i="2"/>
  <c r="U904" i="2"/>
  <c r="X905" i="2" l="1"/>
  <c r="O905" i="2"/>
  <c r="S905" i="2"/>
  <c r="AM905" i="2"/>
  <c r="B906" i="2"/>
  <c r="F905" i="2"/>
  <c r="AO905" i="2"/>
  <c r="H905" i="2"/>
  <c r="T905" i="2"/>
  <c r="Z905" i="2"/>
  <c r="AC905" i="2"/>
  <c r="AA905" i="2"/>
  <c r="AE905" i="2"/>
  <c r="G905" i="2"/>
  <c r="AH905" i="2"/>
  <c r="AB905" i="2"/>
  <c r="I905" i="2"/>
  <c r="V905" i="2"/>
  <c r="M905" i="2"/>
  <c r="W905" i="2"/>
  <c r="AD905" i="2"/>
  <c r="P905" i="2"/>
  <c r="Q905" i="2"/>
  <c r="R905" i="2"/>
  <c r="AG905" i="2"/>
  <c r="AL905" i="2"/>
  <c r="AI905" i="2"/>
  <c r="N905" i="2"/>
  <c r="L905" i="2"/>
  <c r="AK905" i="2"/>
  <c r="AF905" i="2"/>
  <c r="K905" i="2"/>
  <c r="E905" i="2"/>
  <c r="U905" i="2"/>
  <c r="AJ905" i="2"/>
  <c r="Y905" i="2"/>
  <c r="C905" i="2"/>
  <c r="AN905" i="2"/>
  <c r="J905" i="2"/>
  <c r="D905" i="2"/>
  <c r="B907" i="2" l="1"/>
  <c r="AO906" i="2"/>
  <c r="Q906" i="2"/>
  <c r="F906" i="2"/>
  <c r="AK906" i="2"/>
  <c r="AL906" i="2"/>
  <c r="AE906" i="2"/>
  <c r="AN906" i="2"/>
  <c r="O906" i="2"/>
  <c r="D906" i="2"/>
  <c r="C906" i="2"/>
  <c r="AI906" i="2"/>
  <c r="AM906" i="2"/>
  <c r="I906" i="2"/>
  <c r="AH906" i="2"/>
  <c r="AJ906" i="2"/>
  <c r="P906" i="2"/>
  <c r="Z906" i="2"/>
  <c r="AF906" i="2"/>
  <c r="N906" i="2"/>
  <c r="AB906" i="2"/>
  <c r="AD906" i="2"/>
  <c r="J906" i="2"/>
  <c r="V906" i="2"/>
  <c r="X906" i="2"/>
  <c r="K906" i="2"/>
  <c r="U906" i="2"/>
  <c r="H906" i="2"/>
  <c r="AG906" i="2"/>
  <c r="R906" i="2"/>
  <c r="E906" i="2"/>
  <c r="AC906" i="2"/>
  <c r="Y906" i="2"/>
  <c r="S906" i="2"/>
  <c r="T906" i="2"/>
  <c r="AA906" i="2"/>
  <c r="G906" i="2"/>
  <c r="L906" i="2"/>
  <c r="W906" i="2"/>
  <c r="M906" i="2"/>
  <c r="X907" i="2" l="1"/>
  <c r="AN907" i="2"/>
  <c r="Z907" i="2"/>
  <c r="G907" i="2"/>
  <c r="C907" i="2"/>
  <c r="AO907" i="2"/>
  <c r="B908" i="2"/>
  <c r="P907" i="2"/>
  <c r="AB907" i="2"/>
  <c r="AJ907" i="2"/>
  <c r="O907" i="2"/>
  <c r="F907" i="2"/>
  <c r="AD907" i="2"/>
  <c r="AM907" i="2"/>
  <c r="AF907" i="2"/>
  <c r="Y907" i="2"/>
  <c r="AG907" i="2"/>
  <c r="Q907" i="2"/>
  <c r="I907" i="2"/>
  <c r="S907" i="2"/>
  <c r="J907" i="2"/>
  <c r="AL907" i="2"/>
  <c r="T907" i="2"/>
  <c r="U907" i="2"/>
  <c r="H907" i="2"/>
  <c r="AC907" i="2"/>
  <c r="AA907" i="2"/>
  <c r="V907" i="2"/>
  <c r="M907" i="2"/>
  <c r="L907" i="2"/>
  <c r="AK907" i="2"/>
  <c r="N907" i="2"/>
  <c r="AH907" i="2"/>
  <c r="AI907" i="2"/>
  <c r="R907" i="2"/>
  <c r="K907" i="2"/>
  <c r="W907" i="2"/>
  <c r="AE907" i="2"/>
  <c r="E907" i="2"/>
  <c r="D907" i="2"/>
  <c r="AD908" i="2" l="1"/>
  <c r="AG908" i="2"/>
  <c r="R908" i="2"/>
  <c r="AL908" i="2"/>
  <c r="AO908" i="2"/>
  <c r="M908" i="2"/>
  <c r="W908" i="2"/>
  <c r="Z908" i="2"/>
  <c r="B909" i="2"/>
  <c r="I908" i="2"/>
  <c r="C908" i="2"/>
  <c r="AI908" i="2"/>
  <c r="D908" i="2"/>
  <c r="J908" i="2"/>
  <c r="G908" i="2"/>
  <c r="AJ908" i="2"/>
  <c r="U908" i="2"/>
  <c r="P908" i="2"/>
  <c r="T908" i="2"/>
  <c r="S908" i="2"/>
  <c r="AC908" i="2"/>
  <c r="AE908" i="2"/>
  <c r="X908" i="2"/>
  <c r="AF908" i="2"/>
  <c r="AM908" i="2"/>
  <c r="O908" i="2"/>
  <c r="N908" i="2"/>
  <c r="Y908" i="2"/>
  <c r="AA908" i="2"/>
  <c r="AK908" i="2"/>
  <c r="AB908" i="2"/>
  <c r="V908" i="2"/>
  <c r="L908" i="2"/>
  <c r="Q908" i="2"/>
  <c r="AH908" i="2"/>
  <c r="AN908" i="2"/>
  <c r="K908" i="2"/>
  <c r="F908" i="2"/>
  <c r="E908" i="2"/>
  <c r="H908" i="2"/>
  <c r="AI909" i="2" l="1"/>
  <c r="Y909" i="2"/>
  <c r="P909" i="2"/>
  <c r="V909" i="2"/>
  <c r="AF909" i="2"/>
  <c r="AD909" i="2"/>
  <c r="T909" i="2"/>
  <c r="AE909" i="2"/>
  <c r="AJ909" i="2"/>
  <c r="F909" i="2"/>
  <c r="B910" i="2"/>
  <c r="R909" i="2"/>
  <c r="AK909" i="2"/>
  <c r="Q909" i="2"/>
  <c r="L909" i="2"/>
  <c r="D909" i="2"/>
  <c r="G909" i="2"/>
  <c r="AA909" i="2"/>
  <c r="AH909" i="2"/>
  <c r="H909" i="2"/>
  <c r="AN909" i="2"/>
  <c r="AM909" i="2"/>
  <c r="AO909" i="2"/>
  <c r="AL909" i="2"/>
  <c r="O909" i="2"/>
  <c r="M909" i="2"/>
  <c r="S909" i="2"/>
  <c r="U909" i="2"/>
  <c r="X909" i="2"/>
  <c r="I909" i="2"/>
  <c r="AG909" i="2"/>
  <c r="AB909" i="2"/>
  <c r="J909" i="2"/>
  <c r="W909" i="2"/>
  <c r="C909" i="2"/>
  <c r="Z909" i="2"/>
  <c r="E909" i="2"/>
  <c r="AC909" i="2"/>
  <c r="K909" i="2"/>
  <c r="N909" i="2"/>
  <c r="AC910" i="2" l="1"/>
  <c r="L910" i="2"/>
  <c r="W910" i="2"/>
  <c r="C910" i="2"/>
  <c r="X910" i="2"/>
  <c r="F910" i="2"/>
  <c r="AO910" i="2"/>
  <c r="AN910" i="2"/>
  <c r="P910" i="2"/>
  <c r="AK910" i="2"/>
  <c r="AM910" i="2"/>
  <c r="Z910" i="2"/>
  <c r="B911" i="2"/>
  <c r="S910" i="2"/>
  <c r="V910" i="2"/>
  <c r="AA910" i="2"/>
  <c r="AL910" i="2"/>
  <c r="Y910" i="2"/>
  <c r="Q910" i="2"/>
  <c r="M910" i="2"/>
  <c r="J910" i="2"/>
  <c r="AG910" i="2"/>
  <c r="R910" i="2"/>
  <c r="AI910" i="2"/>
  <c r="N910" i="2"/>
  <c r="T910" i="2"/>
  <c r="E910" i="2"/>
  <c r="AD910" i="2"/>
  <c r="O910" i="2"/>
  <c r="AB910" i="2"/>
  <c r="I910" i="2"/>
  <c r="AF910" i="2"/>
  <c r="U910" i="2"/>
  <c r="K910" i="2"/>
  <c r="H910" i="2"/>
  <c r="AE910" i="2"/>
  <c r="D910" i="2"/>
  <c r="AH910" i="2"/>
  <c r="AJ910" i="2"/>
  <c r="G910" i="2"/>
  <c r="H911" i="2" l="1"/>
  <c r="L911" i="2"/>
  <c r="R911" i="2"/>
  <c r="AA911" i="2"/>
  <c r="Z911" i="2"/>
  <c r="AB911" i="2"/>
  <c r="I911" i="2"/>
  <c r="V911" i="2"/>
  <c r="U911" i="2"/>
  <c r="P911" i="2"/>
  <c r="W911" i="2"/>
  <c r="E911" i="2"/>
  <c r="O911" i="2"/>
  <c r="M911" i="2"/>
  <c r="B912" i="2"/>
  <c r="AM911" i="2"/>
  <c r="AN911" i="2"/>
  <c r="AF911" i="2"/>
  <c r="AJ911" i="2"/>
  <c r="C911" i="2"/>
  <c r="D911" i="2"/>
  <c r="J911" i="2"/>
  <c r="S911" i="2"/>
  <c r="N911" i="2"/>
  <c r="AI911" i="2"/>
  <c r="Y911" i="2"/>
  <c r="AC911" i="2"/>
  <c r="AE911" i="2"/>
  <c r="K911" i="2"/>
  <c r="F911" i="2"/>
  <c r="AO911" i="2"/>
  <c r="G911" i="2"/>
  <c r="AD911" i="2"/>
  <c r="T911" i="2"/>
  <c r="Q911" i="2"/>
  <c r="AH911" i="2"/>
  <c r="AG911" i="2"/>
  <c r="AK911" i="2"/>
  <c r="AL911" i="2"/>
  <c r="X911" i="2"/>
  <c r="O912" i="2" l="1"/>
  <c r="AG912" i="2"/>
  <c r="Z912" i="2"/>
  <c r="AH912" i="2"/>
  <c r="F912" i="2"/>
  <c r="T912" i="2"/>
  <c r="V912" i="2"/>
  <c r="Q912" i="2"/>
  <c r="H912" i="2"/>
  <c r="AK912" i="2"/>
  <c r="AN912" i="2"/>
  <c r="C912" i="2"/>
  <c r="E912" i="2"/>
  <c r="L912" i="2"/>
  <c r="U912" i="2"/>
  <c r="AB912" i="2"/>
  <c r="AF912" i="2"/>
  <c r="M912" i="2"/>
  <c r="AO912" i="2"/>
  <c r="B913" i="2"/>
  <c r="D912" i="2"/>
  <c r="AA912" i="2"/>
  <c r="N912" i="2"/>
  <c r="J912" i="2"/>
  <c r="AE912" i="2"/>
  <c r="AC912" i="2"/>
  <c r="AD912" i="2"/>
  <c r="R912" i="2"/>
  <c r="P912" i="2"/>
  <c r="AM912" i="2"/>
  <c r="I912" i="2"/>
  <c r="X912" i="2"/>
  <c r="G912" i="2"/>
  <c r="S912" i="2"/>
  <c r="AJ912" i="2"/>
  <c r="Y912" i="2"/>
  <c r="W912" i="2"/>
  <c r="AI912" i="2"/>
  <c r="AL912" i="2"/>
  <c r="K912" i="2"/>
  <c r="B914" i="2" l="1"/>
  <c r="X913" i="2"/>
  <c r="AG913" i="2"/>
  <c r="Q913" i="2"/>
  <c r="R913" i="2"/>
  <c r="K913" i="2"/>
  <c r="AJ913" i="2"/>
  <c r="W913" i="2"/>
  <c r="D913" i="2"/>
  <c r="AF913" i="2"/>
  <c r="O913" i="2"/>
  <c r="AK913" i="2"/>
  <c r="AL913" i="2"/>
  <c r="F913" i="2"/>
  <c r="AH913" i="2"/>
  <c r="AO913" i="2"/>
  <c r="V913" i="2"/>
  <c r="Z913" i="2"/>
  <c r="AI913" i="2"/>
  <c r="AA913" i="2"/>
  <c r="E913" i="2"/>
  <c r="N913" i="2"/>
  <c r="AC913" i="2"/>
  <c r="Y913" i="2"/>
  <c r="C913" i="2"/>
  <c r="G913" i="2"/>
  <c r="AM913" i="2"/>
  <c r="I913" i="2"/>
  <c r="S913" i="2"/>
  <c r="U913" i="2"/>
  <c r="P913" i="2"/>
  <c r="L913" i="2"/>
  <c r="T913" i="2"/>
  <c r="H913" i="2"/>
  <c r="M913" i="2"/>
  <c r="AN913" i="2"/>
  <c r="J913" i="2"/>
  <c r="AB913" i="2"/>
  <c r="AD913" i="2"/>
  <c r="AE913" i="2"/>
  <c r="B915" i="2" l="1"/>
  <c r="R914" i="2"/>
  <c r="N914" i="2"/>
  <c r="AM914" i="2"/>
  <c r="G914" i="2"/>
  <c r="AN914" i="2"/>
  <c r="D914" i="2"/>
  <c r="C914" i="2"/>
  <c r="U914" i="2"/>
  <c r="F914" i="2"/>
  <c r="AI914" i="2"/>
  <c r="AL914" i="2"/>
  <c r="AF914" i="2"/>
  <c r="L914" i="2"/>
  <c r="I914" i="2"/>
  <c r="Z914" i="2"/>
  <c r="AA914" i="2"/>
  <c r="T914" i="2"/>
  <c r="AO914" i="2"/>
  <c r="E914" i="2"/>
  <c r="AB914" i="2"/>
  <c r="AH914" i="2"/>
  <c r="AJ914" i="2"/>
  <c r="S914" i="2"/>
  <c r="V914" i="2"/>
  <c r="M914" i="2"/>
  <c r="J914" i="2"/>
  <c r="Y914" i="2"/>
  <c r="AD914" i="2"/>
  <c r="AK914" i="2"/>
  <c r="O914" i="2"/>
  <c r="X914" i="2"/>
  <c r="K914" i="2"/>
  <c r="AE914" i="2"/>
  <c r="H914" i="2"/>
  <c r="P914" i="2"/>
  <c r="W914" i="2"/>
  <c r="AC914" i="2"/>
  <c r="Q914" i="2"/>
  <c r="AG914" i="2"/>
  <c r="B916" i="2" l="1"/>
  <c r="AF915" i="2"/>
  <c r="Z915" i="2"/>
  <c r="D915" i="2"/>
  <c r="O915" i="2"/>
  <c r="T915" i="2"/>
  <c r="H915" i="2"/>
  <c r="L915" i="2"/>
  <c r="AD915" i="2"/>
  <c r="AI915" i="2"/>
  <c r="G915" i="2"/>
  <c r="AG915" i="2"/>
  <c r="AO915" i="2"/>
  <c r="AN915" i="2"/>
  <c r="U915" i="2"/>
  <c r="K915" i="2"/>
  <c r="AA915" i="2"/>
  <c r="R915" i="2"/>
  <c r="E915" i="2"/>
  <c r="AH915" i="2"/>
  <c r="AC915" i="2"/>
  <c r="I915" i="2"/>
  <c r="W915" i="2"/>
  <c r="J915" i="2"/>
  <c r="S915" i="2"/>
  <c r="AL915" i="2"/>
  <c r="V915" i="2"/>
  <c r="F915" i="2"/>
  <c r="AB915" i="2"/>
  <c r="C915" i="2"/>
  <c r="AK915" i="2"/>
  <c r="M915" i="2"/>
  <c r="N915" i="2"/>
  <c r="P915" i="2"/>
  <c r="AJ915" i="2"/>
  <c r="Q915" i="2"/>
  <c r="X915" i="2"/>
  <c r="Y915" i="2"/>
  <c r="AE915" i="2"/>
  <c r="AM915" i="2"/>
  <c r="B917" i="2" l="1"/>
  <c r="E916" i="2"/>
  <c r="P916" i="2"/>
  <c r="AL916" i="2"/>
  <c r="Z916" i="2"/>
  <c r="H916" i="2"/>
  <c r="O916" i="2"/>
  <c r="U916" i="2"/>
  <c r="AK916" i="2"/>
  <c r="J916" i="2"/>
  <c r="AD916" i="2"/>
  <c r="AB916" i="2"/>
  <c r="AH916" i="2"/>
  <c r="X916" i="2"/>
  <c r="AN916" i="2"/>
  <c r="K916" i="2"/>
  <c r="AA916" i="2"/>
  <c r="D916" i="2"/>
  <c r="AI916" i="2"/>
  <c r="R916" i="2"/>
  <c r="AM916" i="2"/>
  <c r="L916" i="2"/>
  <c r="AF916" i="2"/>
  <c r="N916" i="2"/>
  <c r="F916" i="2"/>
  <c r="AC916" i="2"/>
  <c r="T916" i="2"/>
  <c r="C916" i="2"/>
  <c r="AJ916" i="2"/>
  <c r="I916" i="2"/>
  <c r="AE916" i="2"/>
  <c r="Q916" i="2"/>
  <c r="AO916" i="2"/>
  <c r="Y916" i="2"/>
  <c r="M916" i="2"/>
  <c r="V916" i="2"/>
  <c r="G916" i="2"/>
  <c r="W916" i="2"/>
  <c r="AG916" i="2"/>
  <c r="S916" i="2"/>
  <c r="B918" i="2" l="1"/>
  <c r="AC917" i="2"/>
  <c r="E917" i="2"/>
  <c r="D917" i="2"/>
  <c r="F917" i="2"/>
  <c r="P917" i="2"/>
  <c r="H917" i="2"/>
  <c r="W917" i="2"/>
  <c r="M917" i="2"/>
  <c r="X917" i="2"/>
  <c r="J917" i="2"/>
  <c r="AJ917" i="2"/>
  <c r="AN917" i="2"/>
  <c r="C917" i="2"/>
  <c r="R917" i="2"/>
  <c r="Z917" i="2"/>
  <c r="AF917" i="2"/>
  <c r="AA917" i="2"/>
  <c r="AB917" i="2"/>
  <c r="AL917" i="2"/>
  <c r="L917" i="2"/>
  <c r="K917" i="2"/>
  <c r="AE917" i="2"/>
  <c r="U917" i="2"/>
  <c r="Y917" i="2"/>
  <c r="O917" i="2"/>
  <c r="Q917" i="2"/>
  <c r="AI917" i="2"/>
  <c r="G917" i="2"/>
  <c r="AM917" i="2"/>
  <c r="AH917" i="2"/>
  <c r="S917" i="2"/>
  <c r="AO917" i="2"/>
  <c r="V917" i="2"/>
  <c r="T917" i="2"/>
  <c r="N917" i="2"/>
  <c r="I917" i="2"/>
  <c r="AD917" i="2"/>
  <c r="AG917" i="2"/>
  <c r="AK917" i="2"/>
  <c r="B919" i="2" l="1"/>
  <c r="AO918" i="2"/>
  <c r="AK918" i="2"/>
  <c r="G918" i="2"/>
  <c r="E918" i="2"/>
  <c r="L918" i="2"/>
  <c r="AB918" i="2"/>
  <c r="Z918" i="2"/>
  <c r="V918" i="2"/>
  <c r="T918" i="2"/>
  <c r="M918" i="2"/>
  <c r="K918" i="2"/>
  <c r="N918" i="2"/>
  <c r="Y918" i="2"/>
  <c r="AM918" i="2"/>
  <c r="D918" i="2"/>
  <c r="AN918" i="2"/>
  <c r="F918" i="2"/>
  <c r="P918" i="2"/>
  <c r="AA918" i="2"/>
  <c r="AG918" i="2"/>
  <c r="I918" i="2"/>
  <c r="AC918" i="2"/>
  <c r="H918" i="2"/>
  <c r="S918" i="2"/>
  <c r="Q918" i="2"/>
  <c r="AF918" i="2"/>
  <c r="AH918" i="2"/>
  <c r="AJ918" i="2"/>
  <c r="C918" i="2"/>
  <c r="R918" i="2"/>
  <c r="AL918" i="2"/>
  <c r="AI918" i="2"/>
  <c r="X918" i="2"/>
  <c r="J918" i="2"/>
  <c r="W918" i="2"/>
  <c r="AD918" i="2"/>
  <c r="U918" i="2"/>
  <c r="O918" i="2"/>
  <c r="AE918" i="2"/>
  <c r="B920" i="2" l="1"/>
  <c r="AO919" i="2"/>
  <c r="T919" i="2"/>
  <c r="H919" i="2"/>
  <c r="AE919" i="2"/>
  <c r="X919" i="2"/>
  <c r="AK919" i="2"/>
  <c r="AL919" i="2"/>
  <c r="G919" i="2"/>
  <c r="AF919" i="2"/>
  <c r="S919" i="2"/>
  <c r="Y919" i="2"/>
  <c r="O919" i="2"/>
  <c r="AG919" i="2"/>
  <c r="N919" i="2"/>
  <c r="L919" i="2"/>
  <c r="AC919" i="2"/>
  <c r="W919" i="2"/>
  <c r="D919" i="2"/>
  <c r="K919" i="2"/>
  <c r="AB919" i="2"/>
  <c r="AD919" i="2"/>
  <c r="Q919" i="2"/>
  <c r="I919" i="2"/>
  <c r="Z919" i="2"/>
  <c r="AI919" i="2"/>
  <c r="C919" i="2"/>
  <c r="AN919" i="2"/>
  <c r="F919" i="2"/>
  <c r="AH919" i="2"/>
  <c r="P919" i="2"/>
  <c r="AJ919" i="2"/>
  <c r="R919" i="2"/>
  <c r="M919" i="2"/>
  <c r="U919" i="2"/>
  <c r="AM919" i="2"/>
  <c r="AA919" i="2"/>
  <c r="V919" i="2"/>
  <c r="E919" i="2"/>
  <c r="J919" i="2"/>
  <c r="B921" i="2" l="1"/>
  <c r="AG920" i="2"/>
  <c r="O920" i="2"/>
  <c r="C920" i="2"/>
  <c r="AA920" i="2"/>
  <c r="AB920" i="2"/>
  <c r="AH920" i="2"/>
  <c r="Q920" i="2"/>
  <c r="AL920" i="2"/>
  <c r="Z920" i="2"/>
  <c r="K920" i="2"/>
  <c r="V920" i="2"/>
  <c r="L920" i="2"/>
  <c r="P920" i="2"/>
  <c r="E920" i="2"/>
  <c r="AN920" i="2"/>
  <c r="S920" i="2"/>
  <c r="N920" i="2"/>
  <c r="F920" i="2"/>
  <c r="AD920" i="2"/>
  <c r="AO920" i="2"/>
  <c r="Y920" i="2"/>
  <c r="G920" i="2"/>
  <c r="D920" i="2"/>
  <c r="AJ920" i="2"/>
  <c r="AF920" i="2"/>
  <c r="AM920" i="2"/>
  <c r="J920" i="2"/>
  <c r="W920" i="2"/>
  <c r="R920" i="2"/>
  <c r="U920" i="2"/>
  <c r="X920" i="2"/>
  <c r="I920" i="2"/>
  <c r="AI920" i="2"/>
  <c r="AC920" i="2"/>
  <c r="M920" i="2"/>
  <c r="T920" i="2"/>
  <c r="AK920" i="2"/>
  <c r="AE920" i="2"/>
  <c r="H920" i="2"/>
  <c r="AJ921" i="2" l="1"/>
  <c r="C921" i="2"/>
  <c r="AA921" i="2"/>
  <c r="H921" i="2"/>
  <c r="U921" i="2"/>
  <c r="AI921" i="2"/>
  <c r="AO921" i="2"/>
  <c r="E921" i="2"/>
  <c r="V921" i="2"/>
  <c r="G921" i="2"/>
  <c r="X921" i="2"/>
  <c r="AH921" i="2"/>
  <c r="M921" i="2"/>
  <c r="AM921" i="2"/>
  <c r="O921" i="2"/>
  <c r="T921" i="2"/>
  <c r="D921" i="2"/>
  <c r="AN921" i="2"/>
  <c r="AC921" i="2"/>
  <c r="Y921" i="2"/>
  <c r="W921" i="2"/>
  <c r="L921" i="2"/>
  <c r="B922" i="2"/>
  <c r="AB921" i="2"/>
  <c r="I921" i="2"/>
  <c r="AL921" i="2"/>
  <c r="P921" i="2"/>
  <c r="Q921" i="2"/>
  <c r="S921" i="2"/>
  <c r="AE921" i="2"/>
  <c r="J921" i="2"/>
  <c r="AK921" i="2"/>
  <c r="AF921" i="2"/>
  <c r="AD921" i="2"/>
  <c r="F921" i="2"/>
  <c r="K921" i="2"/>
  <c r="AG921" i="2"/>
  <c r="Z921" i="2"/>
  <c r="R921" i="2"/>
  <c r="N921" i="2"/>
  <c r="AK922" i="2" l="1"/>
  <c r="J922" i="2"/>
  <c r="AL922" i="2"/>
  <c r="C922" i="2"/>
  <c r="L922" i="2"/>
  <c r="M922" i="2"/>
  <c r="AH922" i="2"/>
  <c r="S922" i="2"/>
  <c r="K922" i="2"/>
  <c r="AI922" i="2"/>
  <c r="R922" i="2"/>
  <c r="AD922" i="2"/>
  <c r="Z922" i="2"/>
  <c r="T922" i="2"/>
  <c r="N922" i="2"/>
  <c r="P922" i="2"/>
  <c r="AJ922" i="2"/>
  <c r="AF922" i="2"/>
  <c r="F922" i="2"/>
  <c r="V922" i="2"/>
  <c r="AG922" i="2"/>
  <c r="D922" i="2"/>
  <c r="I922" i="2"/>
  <c r="E922" i="2"/>
  <c r="AE922" i="2"/>
  <c r="W922" i="2"/>
  <c r="B923" i="2"/>
  <c r="G922" i="2"/>
  <c r="X922" i="2"/>
  <c r="AO922" i="2"/>
  <c r="AN922" i="2"/>
  <c r="AB922" i="2"/>
  <c r="Q922" i="2"/>
  <c r="U922" i="2"/>
  <c r="AC922" i="2"/>
  <c r="H922" i="2"/>
  <c r="O922" i="2"/>
  <c r="Y922" i="2"/>
  <c r="AA922" i="2"/>
  <c r="AM922" i="2"/>
  <c r="B924" i="2" l="1"/>
  <c r="D923" i="2"/>
  <c r="AF923" i="2"/>
  <c r="AB923" i="2"/>
  <c r="AG923" i="2"/>
  <c r="F923" i="2"/>
  <c r="P923" i="2"/>
  <c r="G923" i="2"/>
  <c r="N923" i="2"/>
  <c r="C923" i="2"/>
  <c r="AA923" i="2"/>
  <c r="K923" i="2"/>
  <c r="Z923" i="2"/>
  <c r="AJ923" i="2"/>
  <c r="Q923" i="2"/>
  <c r="M923" i="2"/>
  <c r="J923" i="2"/>
  <c r="S923" i="2"/>
  <c r="T923" i="2"/>
  <c r="U923" i="2"/>
  <c r="W923" i="2"/>
  <c r="X923" i="2"/>
  <c r="E923" i="2"/>
  <c r="AK923" i="2"/>
  <c r="AN923" i="2"/>
  <c r="AL923" i="2"/>
  <c r="H923" i="2"/>
  <c r="V923" i="2"/>
  <c r="AI923" i="2"/>
  <c r="AM923" i="2"/>
  <c r="R923" i="2"/>
  <c r="AH923" i="2"/>
  <c r="AC923" i="2"/>
  <c r="AE923" i="2"/>
  <c r="AO923" i="2"/>
  <c r="O923" i="2"/>
  <c r="I923" i="2"/>
  <c r="Y923" i="2"/>
  <c r="AD923" i="2"/>
  <c r="L923" i="2"/>
  <c r="B925" i="2" l="1"/>
  <c r="V924" i="2"/>
  <c r="AO924" i="2"/>
  <c r="C924" i="2"/>
  <c r="AH924" i="2"/>
  <c r="Q924" i="2"/>
  <c r="S924" i="2"/>
  <c r="K924" i="2"/>
  <c r="AC924" i="2"/>
  <c r="D924" i="2"/>
  <c r="M924" i="2"/>
  <c r="AE924" i="2"/>
  <c r="G924" i="2"/>
  <c r="I924" i="2"/>
  <c r="N924" i="2"/>
  <c r="J924" i="2"/>
  <c r="F924" i="2"/>
  <c r="AK924" i="2"/>
  <c r="AI924" i="2"/>
  <c r="H924" i="2"/>
  <c r="AM924" i="2"/>
  <c r="AJ924" i="2"/>
  <c r="Y924" i="2"/>
  <c r="AB924" i="2"/>
  <c r="X924" i="2"/>
  <c r="AL924" i="2"/>
  <c r="W924" i="2"/>
  <c r="AF924" i="2"/>
  <c r="U924" i="2"/>
  <c r="O924" i="2"/>
  <c r="Z924" i="2"/>
  <c r="P924" i="2"/>
  <c r="AN924" i="2"/>
  <c r="AA924" i="2"/>
  <c r="L924" i="2"/>
  <c r="E924" i="2"/>
  <c r="R924" i="2"/>
  <c r="AG924" i="2"/>
  <c r="AD924" i="2"/>
  <c r="T924" i="2"/>
  <c r="L925" i="2" l="1"/>
  <c r="AC925" i="2"/>
  <c r="B926" i="2"/>
  <c r="S925" i="2"/>
  <c r="AK925" i="2"/>
  <c r="H925" i="2"/>
  <c r="AF925" i="2"/>
  <c r="I925" i="2"/>
  <c r="C925" i="2"/>
  <c r="P925" i="2"/>
  <c r="J925" i="2"/>
  <c r="AO925" i="2"/>
  <c r="O925" i="2"/>
  <c r="D925" i="2"/>
  <c r="AB925" i="2"/>
  <c r="U925" i="2"/>
  <c r="AI925" i="2"/>
  <c r="AJ925" i="2"/>
  <c r="M925" i="2"/>
  <c r="W925" i="2"/>
  <c r="X925" i="2"/>
  <c r="AE925" i="2"/>
  <c r="Q925" i="2"/>
  <c r="K925" i="2"/>
  <c r="AH925" i="2"/>
  <c r="V925" i="2"/>
  <c r="G925" i="2"/>
  <c r="AM925" i="2"/>
  <c r="Y925" i="2"/>
  <c r="AG925" i="2"/>
  <c r="R925" i="2"/>
  <c r="AL925" i="2"/>
  <c r="AA925" i="2"/>
  <c r="F925" i="2"/>
  <c r="E925" i="2"/>
  <c r="N925" i="2"/>
  <c r="AN925" i="2"/>
  <c r="Z925" i="2"/>
  <c r="T925" i="2"/>
  <c r="AD925" i="2"/>
  <c r="T926" i="2" l="1"/>
  <c r="AH926" i="2"/>
  <c r="F926" i="2"/>
  <c r="Z926" i="2"/>
  <c r="B927" i="2"/>
  <c r="V926" i="2"/>
  <c r="AB926" i="2"/>
  <c r="AA926" i="2"/>
  <c r="AM926" i="2"/>
  <c r="AC926" i="2"/>
  <c r="AO926" i="2"/>
  <c r="AE926" i="2"/>
  <c r="I926" i="2"/>
  <c r="G926" i="2"/>
  <c r="M926" i="2"/>
  <c r="X926" i="2"/>
  <c r="AD926" i="2"/>
  <c r="O926" i="2"/>
  <c r="AL926" i="2"/>
  <c r="W926" i="2"/>
  <c r="K926" i="2"/>
  <c r="P926" i="2"/>
  <c r="R926" i="2"/>
  <c r="AI926" i="2"/>
  <c r="AN926" i="2"/>
  <c r="S926" i="2"/>
  <c r="J926" i="2"/>
  <c r="H926" i="2"/>
  <c r="C926" i="2"/>
  <c r="AK926" i="2"/>
  <c r="Q926" i="2"/>
  <c r="AF926" i="2"/>
  <c r="Y926" i="2"/>
  <c r="L926" i="2"/>
  <c r="AJ926" i="2"/>
  <c r="E926" i="2"/>
  <c r="U926" i="2"/>
  <c r="D926" i="2"/>
  <c r="N926" i="2"/>
  <c r="AG926" i="2"/>
  <c r="H927" i="2" l="1"/>
  <c r="AJ927" i="2"/>
  <c r="AG927" i="2"/>
  <c r="AN927" i="2"/>
  <c r="S927" i="2"/>
  <c r="AK927" i="2"/>
  <c r="B928" i="2"/>
  <c r="AM927" i="2"/>
  <c r="W927" i="2"/>
  <c r="K927" i="2"/>
  <c r="D927" i="2"/>
  <c r="AL927" i="2"/>
  <c r="P927" i="2"/>
  <c r="X927" i="2"/>
  <c r="R927" i="2"/>
  <c r="J927" i="2"/>
  <c r="AF927" i="2"/>
  <c r="AB927" i="2"/>
  <c r="L927" i="2"/>
  <c r="G927" i="2"/>
  <c r="AO927" i="2"/>
  <c r="V927" i="2"/>
  <c r="Y927" i="2"/>
  <c r="C927" i="2"/>
  <c r="AC927" i="2"/>
  <c r="AI927" i="2"/>
  <c r="O927" i="2"/>
  <c r="M927" i="2"/>
  <c r="AD927" i="2"/>
  <c r="F927" i="2"/>
  <c r="AH927" i="2"/>
  <c r="I927" i="2"/>
  <c r="T927" i="2"/>
  <c r="U927" i="2"/>
  <c r="E927" i="2"/>
  <c r="Z927" i="2"/>
  <c r="AE927" i="2"/>
  <c r="AA927" i="2"/>
  <c r="Q927" i="2"/>
  <c r="N927" i="2"/>
  <c r="AO928" i="2" l="1"/>
  <c r="V928" i="2"/>
  <c r="AB928" i="2"/>
  <c r="X928" i="2"/>
  <c r="F928" i="2"/>
  <c r="AH928" i="2"/>
  <c r="AC928" i="2"/>
  <c r="AM928" i="2"/>
  <c r="B929" i="2"/>
  <c r="AI928" i="2"/>
  <c r="E928" i="2"/>
  <c r="K928" i="2"/>
  <c r="T928" i="2"/>
  <c r="P928" i="2"/>
  <c r="AJ928" i="2"/>
  <c r="AD928" i="2"/>
  <c r="M928" i="2"/>
  <c r="AG928" i="2"/>
  <c r="Z928" i="2"/>
  <c r="AE928" i="2"/>
  <c r="D928" i="2"/>
  <c r="AA928" i="2"/>
  <c r="J928" i="2"/>
  <c r="U928" i="2"/>
  <c r="AK928" i="2"/>
  <c r="C928" i="2"/>
  <c r="O928" i="2"/>
  <c r="AF928" i="2"/>
  <c r="S928" i="2"/>
  <c r="I928" i="2"/>
  <c r="N928" i="2"/>
  <c r="Y928" i="2"/>
  <c r="Q928" i="2"/>
  <c r="AL928" i="2"/>
  <c r="L928" i="2"/>
  <c r="AN928" i="2"/>
  <c r="G928" i="2"/>
  <c r="H928" i="2"/>
  <c r="W928" i="2"/>
  <c r="R928" i="2"/>
  <c r="AG929" i="2" l="1"/>
  <c r="AH929" i="2"/>
  <c r="AA929" i="2"/>
  <c r="G929" i="2"/>
  <c r="H929" i="2"/>
  <c r="M929" i="2"/>
  <c r="AI929" i="2"/>
  <c r="U929" i="2"/>
  <c r="W929" i="2"/>
  <c r="C929" i="2"/>
  <c r="B930" i="2"/>
  <c r="X929" i="2"/>
  <c r="I929" i="2"/>
  <c r="S929" i="2"/>
  <c r="AB929" i="2"/>
  <c r="L929" i="2"/>
  <c r="P929" i="2"/>
  <c r="N929" i="2"/>
  <c r="AE929" i="2"/>
  <c r="K929" i="2"/>
  <c r="V929" i="2"/>
  <c r="AC929" i="2"/>
  <c r="AF929" i="2"/>
  <c r="J929" i="2"/>
  <c r="AM929" i="2"/>
  <c r="AO929" i="2"/>
  <c r="E929" i="2"/>
  <c r="O929" i="2"/>
  <c r="AJ929" i="2"/>
  <c r="F929" i="2"/>
  <c r="R929" i="2"/>
  <c r="Q929" i="2"/>
  <c r="AD929" i="2"/>
  <c r="Y929" i="2"/>
  <c r="D929" i="2"/>
  <c r="Z929" i="2"/>
  <c r="AN929" i="2"/>
  <c r="AK929" i="2"/>
  <c r="T929" i="2"/>
  <c r="AL929" i="2"/>
  <c r="AH930" i="2" l="1"/>
  <c r="M930" i="2"/>
  <c r="F930" i="2"/>
  <c r="AG930" i="2"/>
  <c r="W930" i="2"/>
  <c r="AD930" i="2"/>
  <c r="X930" i="2"/>
  <c r="AC930" i="2"/>
  <c r="AE930" i="2"/>
  <c r="V930" i="2"/>
  <c r="AI930" i="2"/>
  <c r="AK930" i="2"/>
  <c r="B931" i="2"/>
  <c r="AJ930" i="2"/>
  <c r="R930" i="2"/>
  <c r="AO930" i="2"/>
  <c r="K930" i="2"/>
  <c r="H930" i="2"/>
  <c r="P930" i="2"/>
  <c r="J930" i="2"/>
  <c r="S930" i="2"/>
  <c r="AA930" i="2"/>
  <c r="AL930" i="2"/>
  <c r="D930" i="2"/>
  <c r="C930" i="2"/>
  <c r="AM930" i="2"/>
  <c r="O930" i="2"/>
  <c r="AF930" i="2"/>
  <c r="N930" i="2"/>
  <c r="Y930" i="2"/>
  <c r="G930" i="2"/>
  <c r="T930" i="2"/>
  <c r="Z930" i="2"/>
  <c r="AN930" i="2"/>
  <c r="E930" i="2"/>
  <c r="I930" i="2"/>
  <c r="U930" i="2"/>
  <c r="AB930" i="2"/>
  <c r="Q930" i="2"/>
  <c r="L930" i="2"/>
  <c r="AM931" i="2" l="1"/>
  <c r="AO931" i="2"/>
  <c r="P931" i="2"/>
  <c r="X931" i="2"/>
  <c r="AJ931" i="2"/>
  <c r="AC931" i="2"/>
  <c r="AA931" i="2"/>
  <c r="D931" i="2"/>
  <c r="E931" i="2"/>
  <c r="M931" i="2"/>
  <c r="AI931" i="2"/>
  <c r="I931" i="2"/>
  <c r="T931" i="2"/>
  <c r="C931" i="2"/>
  <c r="W931" i="2"/>
  <c r="V931" i="2"/>
  <c r="G931" i="2"/>
  <c r="O931" i="2"/>
  <c r="S931" i="2"/>
  <c r="AG931" i="2"/>
  <c r="AH931" i="2"/>
  <c r="AD931" i="2"/>
  <c r="AF931" i="2"/>
  <c r="AL931" i="2"/>
  <c r="AB931" i="2"/>
  <c r="AN931" i="2"/>
  <c r="AE931" i="2"/>
  <c r="B932" i="2"/>
  <c r="U931" i="2"/>
  <c r="AK931" i="2"/>
  <c r="N931" i="2"/>
  <c r="Q931" i="2"/>
  <c r="L931" i="2"/>
  <c r="H931" i="2"/>
  <c r="J931" i="2"/>
  <c r="K931" i="2"/>
  <c r="Y931" i="2"/>
  <c r="F931" i="2"/>
  <c r="R931" i="2"/>
  <c r="Z931" i="2"/>
  <c r="V932" i="2" l="1"/>
  <c r="AI932" i="2"/>
  <c r="J932" i="2"/>
  <c r="D932" i="2"/>
  <c r="G932" i="2"/>
  <c r="AM932" i="2"/>
  <c r="AF932" i="2"/>
  <c r="C932" i="2"/>
  <c r="AN932" i="2"/>
  <c r="Z932" i="2"/>
  <c r="S932" i="2"/>
  <c r="AH932" i="2"/>
  <c r="AJ932" i="2"/>
  <c r="AK932" i="2"/>
  <c r="B933" i="2"/>
  <c r="Y932" i="2"/>
  <c r="T932" i="2"/>
  <c r="AA932" i="2"/>
  <c r="H932" i="2"/>
  <c r="N932" i="2"/>
  <c r="AE932" i="2"/>
  <c r="L932" i="2"/>
  <c r="F932" i="2"/>
  <c r="M932" i="2"/>
  <c r="AB932" i="2"/>
  <c r="X932" i="2"/>
  <c r="I932" i="2"/>
  <c r="AC932" i="2"/>
  <c r="R932" i="2"/>
  <c r="AD932" i="2"/>
  <c r="AG932" i="2"/>
  <c r="K932" i="2"/>
  <c r="Q932" i="2"/>
  <c r="W932" i="2"/>
  <c r="O932" i="2"/>
  <c r="AO932" i="2"/>
  <c r="P932" i="2"/>
  <c r="U932" i="2"/>
  <c r="E932" i="2"/>
  <c r="AL932" i="2"/>
  <c r="B934" i="2" l="1"/>
  <c r="E933" i="2"/>
  <c r="AH933" i="2"/>
  <c r="AI933" i="2"/>
  <c r="I933" i="2"/>
  <c r="AK933" i="2"/>
  <c r="H933" i="2"/>
  <c r="R933" i="2"/>
  <c r="K933" i="2"/>
  <c r="AF933" i="2"/>
  <c r="P933" i="2"/>
  <c r="F933" i="2"/>
  <c r="N933" i="2"/>
  <c r="AC933" i="2"/>
  <c r="AG933" i="2"/>
  <c r="AJ933" i="2"/>
  <c r="U933" i="2"/>
  <c r="AA933" i="2"/>
  <c r="AN933" i="2"/>
  <c r="X933" i="2"/>
  <c r="Q933" i="2"/>
  <c r="Y933" i="2"/>
  <c r="M933" i="2"/>
  <c r="W933" i="2"/>
  <c r="T933" i="2"/>
  <c r="C933" i="2"/>
  <c r="O933" i="2"/>
  <c r="AD933" i="2"/>
  <c r="AB933" i="2"/>
  <c r="S933" i="2"/>
  <c r="D933" i="2"/>
  <c r="J933" i="2"/>
  <c r="V933" i="2"/>
  <c r="Z933" i="2"/>
  <c r="AO933" i="2"/>
  <c r="AM933" i="2"/>
  <c r="AE933" i="2"/>
  <c r="AL933" i="2"/>
  <c r="G933" i="2"/>
  <c r="L933" i="2"/>
  <c r="B935" i="2" l="1"/>
  <c r="D934" i="2"/>
  <c r="AA934" i="2"/>
  <c r="AJ934" i="2"/>
  <c r="U934" i="2"/>
  <c r="AK934" i="2"/>
  <c r="AG934" i="2"/>
  <c r="AE934" i="2"/>
  <c r="C934" i="2"/>
  <c r="AF934" i="2"/>
  <c r="L934" i="2"/>
  <c r="J934" i="2"/>
  <c r="Z934" i="2"/>
  <c r="G934" i="2"/>
  <c r="AH934" i="2"/>
  <c r="AO934" i="2"/>
  <c r="N934" i="2"/>
  <c r="T934" i="2"/>
  <c r="K934" i="2"/>
  <c r="F934" i="2"/>
  <c r="AL934" i="2"/>
  <c r="M934" i="2"/>
  <c r="O934" i="2"/>
  <c r="W934" i="2"/>
  <c r="X934" i="2"/>
  <c r="P934" i="2"/>
  <c r="AB934" i="2"/>
  <c r="S934" i="2"/>
  <c r="R934" i="2"/>
  <c r="Q934" i="2"/>
  <c r="H934" i="2"/>
  <c r="AI934" i="2"/>
  <c r="V934" i="2"/>
  <c r="AC934" i="2"/>
  <c r="AD934" i="2"/>
  <c r="Y934" i="2"/>
  <c r="AM934" i="2"/>
  <c r="I934" i="2"/>
  <c r="AN934" i="2"/>
  <c r="E934" i="2"/>
  <c r="B936" i="2" l="1"/>
  <c r="AG935" i="2"/>
  <c r="C935" i="2"/>
  <c r="AC935" i="2"/>
  <c r="Z935" i="2"/>
  <c r="AE935" i="2"/>
  <c r="AM935" i="2"/>
  <c r="Y935" i="2"/>
  <c r="F935" i="2"/>
  <c r="AB935" i="2"/>
  <c r="M935" i="2"/>
  <c r="J935" i="2"/>
  <c r="D935" i="2"/>
  <c r="S935" i="2"/>
  <c r="H935" i="2"/>
  <c r="AA935" i="2"/>
  <c r="P935" i="2"/>
  <c r="AH935" i="2"/>
  <c r="AK935" i="2"/>
  <c r="T935" i="2"/>
  <c r="N935" i="2"/>
  <c r="AO935" i="2"/>
  <c r="AD935" i="2"/>
  <c r="V935" i="2"/>
  <c r="Q935" i="2"/>
  <c r="I935" i="2"/>
  <c r="AN935" i="2"/>
  <c r="AI935" i="2"/>
  <c r="E935" i="2"/>
  <c r="K935" i="2"/>
  <c r="O935" i="2"/>
  <c r="L935" i="2"/>
  <c r="AF935" i="2"/>
  <c r="U935" i="2"/>
  <c r="AJ935" i="2"/>
  <c r="W935" i="2"/>
  <c r="AL935" i="2"/>
  <c r="X935" i="2"/>
  <c r="R935" i="2"/>
  <c r="G935" i="2"/>
  <c r="B937" i="2" l="1"/>
  <c r="C936" i="2"/>
  <c r="F936" i="2"/>
  <c r="X936" i="2"/>
  <c r="E936" i="2"/>
  <c r="AK936" i="2"/>
  <c r="P936" i="2"/>
  <c r="D936" i="2"/>
  <c r="AC936" i="2"/>
  <c r="Q936" i="2"/>
  <c r="AH936" i="2"/>
  <c r="Y936" i="2"/>
  <c r="AJ936" i="2"/>
  <c r="AD936" i="2"/>
  <c r="H936" i="2"/>
  <c r="AF936" i="2"/>
  <c r="M936" i="2"/>
  <c r="S936" i="2"/>
  <c r="AB936" i="2"/>
  <c r="O936" i="2"/>
  <c r="G936" i="2"/>
  <c r="AG936" i="2"/>
  <c r="W936" i="2"/>
  <c r="T936" i="2"/>
  <c r="AA936" i="2"/>
  <c r="R936" i="2"/>
  <c r="L936" i="2"/>
  <c r="K936" i="2"/>
  <c r="U936" i="2"/>
  <c r="I936" i="2"/>
  <c r="AE936" i="2"/>
  <c r="Z936" i="2"/>
  <c r="AN936" i="2"/>
  <c r="AI936" i="2"/>
  <c r="AL936" i="2"/>
  <c r="AM936" i="2"/>
  <c r="AO936" i="2"/>
  <c r="V936" i="2"/>
  <c r="J936" i="2"/>
  <c r="N936" i="2"/>
  <c r="B938" i="2" l="1"/>
  <c r="Q937" i="2"/>
  <c r="X937" i="2"/>
  <c r="U937" i="2"/>
  <c r="Y937" i="2"/>
  <c r="C937" i="2"/>
  <c r="P937" i="2"/>
  <c r="R937" i="2"/>
  <c r="K937" i="2"/>
  <c r="AI937" i="2"/>
  <c r="O937" i="2"/>
  <c r="E937" i="2"/>
  <c r="D937" i="2"/>
  <c r="F937" i="2"/>
  <c r="V937" i="2"/>
  <c r="G937" i="2"/>
  <c r="AM937" i="2"/>
  <c r="AF937" i="2"/>
  <c r="AN937" i="2"/>
  <c r="AB937" i="2"/>
  <c r="AE937" i="2"/>
  <c r="AA937" i="2"/>
  <c r="L937" i="2"/>
  <c r="I937" i="2"/>
  <c r="AO937" i="2"/>
  <c r="T937" i="2"/>
  <c r="AG937" i="2"/>
  <c r="W937" i="2"/>
  <c r="AL937" i="2"/>
  <c r="N937" i="2"/>
  <c r="H937" i="2"/>
  <c r="AC937" i="2"/>
  <c r="AK937" i="2"/>
  <c r="AJ937" i="2"/>
  <c r="M937" i="2"/>
  <c r="J937" i="2"/>
  <c r="Z937" i="2"/>
  <c r="S937" i="2"/>
  <c r="AH937" i="2"/>
  <c r="AD937" i="2"/>
  <c r="B939" i="2" l="1"/>
  <c r="AH938" i="2"/>
  <c r="C938" i="2"/>
  <c r="N938" i="2"/>
  <c r="AM938" i="2"/>
  <c r="X938" i="2"/>
  <c r="AO938" i="2"/>
  <c r="AK938" i="2"/>
  <c r="AA938" i="2"/>
  <c r="Z938" i="2"/>
  <c r="AF938" i="2"/>
  <c r="P938" i="2"/>
  <c r="H938" i="2"/>
  <c r="V938" i="2"/>
  <c r="AB938" i="2"/>
  <c r="G938" i="2"/>
  <c r="I938" i="2"/>
  <c r="E938" i="2"/>
  <c r="U938" i="2"/>
  <c r="AI938" i="2"/>
  <c r="F938" i="2"/>
  <c r="J938" i="2"/>
  <c r="AL938" i="2"/>
  <c r="Y938" i="2"/>
  <c r="AE938" i="2"/>
  <c r="AC938" i="2"/>
  <c r="R938" i="2"/>
  <c r="S938" i="2"/>
  <c r="AG938" i="2"/>
  <c r="T938" i="2"/>
  <c r="D938" i="2"/>
  <c r="AD938" i="2"/>
  <c r="AJ938" i="2"/>
  <c r="L938" i="2"/>
  <c r="M938" i="2"/>
  <c r="AN938" i="2"/>
  <c r="W938" i="2"/>
  <c r="K938" i="2"/>
  <c r="Q938" i="2"/>
  <c r="O938" i="2"/>
  <c r="AK939" i="2" l="1"/>
  <c r="S939" i="2"/>
  <c r="U939" i="2"/>
  <c r="AB939" i="2"/>
  <c r="AL939" i="2"/>
  <c r="E939" i="2"/>
  <c r="B940" i="2"/>
  <c r="W939" i="2"/>
  <c r="C939" i="2"/>
  <c r="Q939" i="2"/>
  <c r="AA939" i="2"/>
  <c r="R939" i="2"/>
  <c r="AE939" i="2"/>
  <c r="P939" i="2"/>
  <c r="AJ939" i="2"/>
  <c r="AO939" i="2"/>
  <c r="AF939" i="2"/>
  <c r="G939" i="2"/>
  <c r="AI939" i="2"/>
  <c r="H939" i="2"/>
  <c r="AG939" i="2"/>
  <c r="N939" i="2"/>
  <c r="AN939" i="2"/>
  <c r="AD939" i="2"/>
  <c r="Y939" i="2"/>
  <c r="Z939" i="2"/>
  <c r="J939" i="2"/>
  <c r="AH939" i="2"/>
  <c r="I939" i="2"/>
  <c r="V939" i="2"/>
  <c r="T939" i="2"/>
  <c r="AM939" i="2"/>
  <c r="F939" i="2"/>
  <c r="O939" i="2"/>
  <c r="AC939" i="2"/>
  <c r="L939" i="2"/>
  <c r="K939" i="2"/>
  <c r="M939" i="2"/>
  <c r="D939" i="2"/>
  <c r="X939" i="2"/>
  <c r="H940" i="2" l="1"/>
  <c r="U940" i="2"/>
  <c r="Y940" i="2"/>
  <c r="V940" i="2"/>
  <c r="I940" i="2"/>
  <c r="AL940" i="2"/>
  <c r="AC940" i="2"/>
  <c r="AF940" i="2"/>
  <c r="K940" i="2"/>
  <c r="E940" i="2"/>
  <c r="W940" i="2"/>
  <c r="O940" i="2"/>
  <c r="C940" i="2"/>
  <c r="B941" i="2"/>
  <c r="X940" i="2"/>
  <c r="P940" i="2"/>
  <c r="N940" i="2"/>
  <c r="AO940" i="2"/>
  <c r="J940" i="2"/>
  <c r="AM940" i="2"/>
  <c r="AJ940" i="2"/>
  <c r="Q940" i="2"/>
  <c r="L940" i="2"/>
  <c r="T940" i="2"/>
  <c r="AE940" i="2"/>
  <c r="AK940" i="2"/>
  <c r="AI940" i="2"/>
  <c r="D940" i="2"/>
  <c r="AN940" i="2"/>
  <c r="AB940" i="2"/>
  <c r="S940" i="2"/>
  <c r="Z940" i="2"/>
  <c r="AG940" i="2"/>
  <c r="AA940" i="2"/>
  <c r="R940" i="2"/>
  <c r="AD940" i="2"/>
  <c r="F940" i="2"/>
  <c r="G940" i="2"/>
  <c r="AH940" i="2"/>
  <c r="M940" i="2"/>
  <c r="Z941" i="2" l="1"/>
  <c r="Y941" i="2"/>
  <c r="AM941" i="2"/>
  <c r="AG941" i="2"/>
  <c r="AO941" i="2"/>
  <c r="D941" i="2"/>
  <c r="K941" i="2"/>
  <c r="E941" i="2"/>
  <c r="X941" i="2"/>
  <c r="F941" i="2"/>
  <c r="AA941" i="2"/>
  <c r="C941" i="2"/>
  <c r="T941" i="2"/>
  <c r="M941" i="2"/>
  <c r="AN941" i="2"/>
  <c r="AC941" i="2"/>
  <c r="G941" i="2"/>
  <c r="U941" i="2"/>
  <c r="AH941" i="2"/>
  <c r="L941" i="2"/>
  <c r="AF941" i="2"/>
  <c r="AK941" i="2"/>
  <c r="AL941" i="2"/>
  <c r="AI941" i="2"/>
  <c r="N941" i="2"/>
  <c r="AB941" i="2"/>
  <c r="R941" i="2"/>
  <c r="W941" i="2"/>
  <c r="AD941" i="2"/>
  <c r="AE941" i="2"/>
  <c r="V941" i="2"/>
  <c r="P941" i="2"/>
  <c r="S941" i="2"/>
  <c r="AJ941" i="2"/>
  <c r="I941" i="2"/>
  <c r="J941" i="2"/>
  <c r="Q941" i="2"/>
  <c r="B942" i="2"/>
  <c r="O941" i="2"/>
  <c r="H941" i="2"/>
  <c r="X942" i="2" l="1"/>
  <c r="AK942" i="2"/>
  <c r="K942" i="2"/>
  <c r="Q942" i="2"/>
  <c r="H942" i="2"/>
  <c r="W942" i="2"/>
  <c r="J942" i="2"/>
  <c r="Y942" i="2"/>
  <c r="U942" i="2"/>
  <c r="AH942" i="2"/>
  <c r="AB942" i="2"/>
  <c r="AJ942" i="2"/>
  <c r="AD942" i="2"/>
  <c r="AO942" i="2"/>
  <c r="AE942" i="2"/>
  <c r="M942" i="2"/>
  <c r="AI942" i="2"/>
  <c r="L942" i="2"/>
  <c r="T942" i="2"/>
  <c r="AM942" i="2"/>
  <c r="V942" i="2"/>
  <c r="C942" i="2"/>
  <c r="Z942" i="2"/>
  <c r="F942" i="2"/>
  <c r="G942" i="2"/>
  <c r="O942" i="2"/>
  <c r="AN942" i="2"/>
  <c r="AC942" i="2"/>
  <c r="P942" i="2"/>
  <c r="AA942" i="2"/>
  <c r="AG942" i="2"/>
  <c r="D942" i="2"/>
  <c r="AL942" i="2"/>
  <c r="AF942" i="2"/>
  <c r="B943" i="2"/>
  <c r="N942" i="2"/>
  <c r="R942" i="2"/>
  <c r="I942" i="2"/>
  <c r="S942" i="2"/>
  <c r="E942" i="2"/>
  <c r="AM943" i="2" l="1"/>
  <c r="S943" i="2"/>
  <c r="AE943" i="2"/>
  <c r="W943" i="2"/>
  <c r="U943" i="2"/>
  <c r="D943" i="2"/>
  <c r="AJ943" i="2"/>
  <c r="AF943" i="2"/>
  <c r="AL943" i="2"/>
  <c r="AK943" i="2"/>
  <c r="Q943" i="2"/>
  <c r="AI943" i="2"/>
  <c r="E943" i="2"/>
  <c r="AN943" i="2"/>
  <c r="AB943" i="2"/>
  <c r="AO943" i="2"/>
  <c r="AH943" i="2"/>
  <c r="J943" i="2"/>
  <c r="V943" i="2"/>
  <c r="AD943" i="2"/>
  <c r="K943" i="2"/>
  <c r="AA943" i="2"/>
  <c r="X943" i="2"/>
  <c r="C943" i="2"/>
  <c r="N943" i="2"/>
  <c r="Z943" i="2"/>
  <c r="B944" i="2"/>
  <c r="M943" i="2"/>
  <c r="AG943" i="2"/>
  <c r="P943" i="2"/>
  <c r="O943" i="2"/>
  <c r="H943" i="2"/>
  <c r="Y943" i="2"/>
  <c r="T943" i="2"/>
  <c r="G943" i="2"/>
  <c r="F943" i="2"/>
  <c r="R943" i="2"/>
  <c r="AC943" i="2"/>
  <c r="I943" i="2"/>
  <c r="L943" i="2"/>
  <c r="I944" i="2" l="1"/>
  <c r="R944" i="2"/>
  <c r="AF944" i="2"/>
  <c r="S944" i="2"/>
  <c r="AB944" i="2"/>
  <c r="X944" i="2"/>
  <c r="AH944" i="2"/>
  <c r="Y944" i="2"/>
  <c r="F944" i="2"/>
  <c r="P944" i="2"/>
  <c r="G944" i="2"/>
  <c r="O944" i="2"/>
  <c r="H944" i="2"/>
  <c r="AL944" i="2"/>
  <c r="Q944" i="2"/>
  <c r="J944" i="2"/>
  <c r="B945" i="2"/>
  <c r="AK944" i="2"/>
  <c r="C944" i="2"/>
  <c r="AJ944" i="2"/>
  <c r="T944" i="2"/>
  <c r="AD944" i="2"/>
  <c r="U944" i="2"/>
  <c r="W944" i="2"/>
  <c r="AC944" i="2"/>
  <c r="N944" i="2"/>
  <c r="M944" i="2"/>
  <c r="D944" i="2"/>
  <c r="AM944" i="2"/>
  <c r="V944" i="2"/>
  <c r="AE944" i="2"/>
  <c r="Z944" i="2"/>
  <c r="AN944" i="2"/>
  <c r="AA944" i="2"/>
  <c r="AG944" i="2"/>
  <c r="AI944" i="2"/>
  <c r="L944" i="2"/>
  <c r="K944" i="2"/>
  <c r="E944" i="2"/>
  <c r="AO944" i="2"/>
  <c r="N945" i="2" l="1"/>
  <c r="V945" i="2"/>
  <c r="AI945" i="2"/>
  <c r="Z945" i="2"/>
  <c r="AG945" i="2"/>
  <c r="X945" i="2"/>
  <c r="P945" i="2"/>
  <c r="I945" i="2"/>
  <c r="AM945" i="2"/>
  <c r="T945" i="2"/>
  <c r="AN945" i="2"/>
  <c r="AD945" i="2"/>
  <c r="S945" i="2"/>
  <c r="AL945" i="2"/>
  <c r="K945" i="2"/>
  <c r="AO945" i="2"/>
  <c r="C945" i="2"/>
  <c r="L945" i="2"/>
  <c r="D945" i="2"/>
  <c r="O945" i="2"/>
  <c r="AH945" i="2"/>
  <c r="G945" i="2"/>
  <c r="E945" i="2"/>
  <c r="AB945" i="2"/>
  <c r="M945" i="2"/>
  <c r="AC945" i="2"/>
  <c r="U945" i="2"/>
  <c r="J945" i="2"/>
  <c r="W945" i="2"/>
  <c r="Q945" i="2"/>
  <c r="R945" i="2"/>
  <c r="B946" i="2"/>
  <c r="AF945" i="2"/>
  <c r="AK945" i="2"/>
  <c r="F945" i="2"/>
  <c r="AA945" i="2"/>
  <c r="Y945" i="2"/>
  <c r="H945" i="2"/>
  <c r="AE945" i="2"/>
  <c r="AJ945" i="2"/>
  <c r="AK946" i="2" l="1"/>
  <c r="H946" i="2"/>
  <c r="R946" i="2"/>
  <c r="AA946" i="2"/>
  <c r="AE946" i="2"/>
  <c r="X946" i="2"/>
  <c r="AF946" i="2"/>
  <c r="AN946" i="2"/>
  <c r="L946" i="2"/>
  <c r="I946" i="2"/>
  <c r="F946" i="2"/>
  <c r="U946" i="2"/>
  <c r="Q946" i="2"/>
  <c r="AD946" i="2"/>
  <c r="W946" i="2"/>
  <c r="AO946" i="2"/>
  <c r="AJ946" i="2"/>
  <c r="N946" i="2"/>
  <c r="AG946" i="2"/>
  <c r="G946" i="2"/>
  <c r="K946" i="2"/>
  <c r="AC946" i="2"/>
  <c r="D946" i="2"/>
  <c r="P946" i="2"/>
  <c r="Z946" i="2"/>
  <c r="Y946" i="2"/>
  <c r="T946" i="2"/>
  <c r="C946" i="2"/>
  <c r="J946" i="2"/>
  <c r="AB946" i="2"/>
  <c r="AI946" i="2"/>
  <c r="AH946" i="2"/>
  <c r="AM946" i="2"/>
  <c r="V946" i="2"/>
  <c r="AL946" i="2"/>
  <c r="O946" i="2"/>
  <c r="M946" i="2"/>
  <c r="E946" i="2"/>
  <c r="S946" i="2"/>
  <c r="B947" i="2"/>
  <c r="V947" i="2" l="1"/>
  <c r="D947" i="2"/>
  <c r="AI947" i="2"/>
  <c r="K947" i="2"/>
  <c r="AJ947" i="2"/>
  <c r="AD947" i="2"/>
  <c r="AK947" i="2"/>
  <c r="H947" i="2"/>
  <c r="AM947" i="2"/>
  <c r="AG947" i="2"/>
  <c r="Q947" i="2"/>
  <c r="I947" i="2"/>
  <c r="F947" i="2"/>
  <c r="AC947" i="2"/>
  <c r="AN947" i="2"/>
  <c r="AE947" i="2"/>
  <c r="L947" i="2"/>
  <c r="J947" i="2"/>
  <c r="E947" i="2"/>
  <c r="O947" i="2"/>
  <c r="N947" i="2"/>
  <c r="M947" i="2"/>
  <c r="AA947" i="2"/>
  <c r="S947" i="2"/>
  <c r="U947" i="2"/>
  <c r="R947" i="2"/>
  <c r="C947" i="2"/>
  <c r="AH947" i="2"/>
  <c r="G947" i="2"/>
  <c r="AB947" i="2"/>
  <c r="Z947" i="2"/>
  <c r="AO947" i="2"/>
  <c r="AL947" i="2"/>
  <c r="W947" i="2"/>
  <c r="X947" i="2"/>
  <c r="Y947" i="2"/>
  <c r="T947" i="2"/>
  <c r="AF947" i="2"/>
  <c r="P947" i="2"/>
  <c r="B948" i="2"/>
  <c r="AK948" i="2" l="1"/>
  <c r="F948" i="2"/>
  <c r="AE948" i="2"/>
  <c r="C948" i="2"/>
  <c r="AL948" i="2"/>
  <c r="L948" i="2"/>
  <c r="P948" i="2"/>
  <c r="R948" i="2"/>
  <c r="Z948" i="2"/>
  <c r="T948" i="2"/>
  <c r="AJ948" i="2"/>
  <c r="AH948" i="2"/>
  <c r="E948" i="2"/>
  <c r="W948" i="2"/>
  <c r="AB948" i="2"/>
  <c r="AC948" i="2"/>
  <c r="AI948" i="2"/>
  <c r="N948" i="2"/>
  <c r="H948" i="2"/>
  <c r="M948" i="2"/>
  <c r="O948" i="2"/>
  <c r="Q948" i="2"/>
  <c r="I948" i="2"/>
  <c r="Y948" i="2"/>
  <c r="AA948" i="2"/>
  <c r="V948" i="2"/>
  <c r="AG948" i="2"/>
  <c r="AO948" i="2"/>
  <c r="X948" i="2"/>
  <c r="D948" i="2"/>
  <c r="J948" i="2"/>
  <c r="U948" i="2"/>
  <c r="G948" i="2"/>
  <c r="AD948" i="2"/>
  <c r="AN948" i="2"/>
  <c r="S948" i="2"/>
  <c r="B949" i="2"/>
  <c r="AF948" i="2"/>
  <c r="AM948" i="2"/>
  <c r="K948" i="2"/>
  <c r="S949" i="2" l="1"/>
  <c r="R949" i="2"/>
  <c r="AG949" i="2"/>
  <c r="T949" i="2"/>
  <c r="E949" i="2"/>
  <c r="AA949" i="2"/>
  <c r="AF949" i="2"/>
  <c r="H949" i="2"/>
  <c r="Y949" i="2"/>
  <c r="W949" i="2"/>
  <c r="AB949" i="2"/>
  <c r="I949" i="2"/>
  <c r="AC949" i="2"/>
  <c r="AH949" i="2"/>
  <c r="AI949" i="2"/>
  <c r="AN949" i="2"/>
  <c r="K949" i="2"/>
  <c r="X949" i="2"/>
  <c r="F949" i="2"/>
  <c r="O949" i="2"/>
  <c r="G949" i="2"/>
  <c r="D949" i="2"/>
  <c r="C949" i="2"/>
  <c r="AJ949" i="2"/>
  <c r="AK949" i="2"/>
  <c r="AD949" i="2"/>
  <c r="Q949" i="2"/>
  <c r="J949" i="2"/>
  <c r="M949" i="2"/>
  <c r="P949" i="2"/>
  <c r="AE949" i="2"/>
  <c r="N949" i="2"/>
  <c r="B950" i="2"/>
  <c r="L949" i="2"/>
  <c r="Z949" i="2"/>
  <c r="U949" i="2"/>
  <c r="V949" i="2"/>
  <c r="AO949" i="2"/>
  <c r="AM949" i="2"/>
  <c r="AL949" i="2"/>
  <c r="AE950" i="2" l="1"/>
  <c r="X950" i="2"/>
  <c r="O950" i="2"/>
  <c r="Q950" i="2"/>
  <c r="AG950" i="2"/>
  <c r="AO950" i="2"/>
  <c r="F950" i="2"/>
  <c r="G950" i="2"/>
  <c r="D950" i="2"/>
  <c r="L950" i="2"/>
  <c r="E950" i="2"/>
  <c r="AC950" i="2"/>
  <c r="AM950" i="2"/>
  <c r="AA950" i="2"/>
  <c r="AJ950" i="2"/>
  <c r="N950" i="2"/>
  <c r="H950" i="2"/>
  <c r="AK950" i="2"/>
  <c r="AH950" i="2"/>
  <c r="S950" i="2"/>
  <c r="I950" i="2"/>
  <c r="AF950" i="2"/>
  <c r="AB950" i="2"/>
  <c r="U950" i="2"/>
  <c r="AD950" i="2"/>
  <c r="Z950" i="2"/>
  <c r="W950" i="2"/>
  <c r="J950" i="2"/>
  <c r="R950" i="2"/>
  <c r="AL950" i="2"/>
  <c r="C950" i="2"/>
  <c r="M950" i="2"/>
  <c r="AN950" i="2"/>
  <c r="Y950" i="2"/>
  <c r="K950" i="2"/>
  <c r="V950" i="2"/>
  <c r="T950" i="2"/>
  <c r="B951" i="2"/>
  <c r="AI950" i="2"/>
  <c r="P950" i="2"/>
  <c r="AC951" i="2" l="1"/>
  <c r="G951" i="2"/>
  <c r="AE951" i="2"/>
  <c r="J951" i="2"/>
  <c r="AH951" i="2"/>
  <c r="C951" i="2"/>
  <c r="AL951" i="2"/>
  <c r="L951" i="2"/>
  <c r="AA951" i="2"/>
  <c r="Q951" i="2"/>
  <c r="N951" i="2"/>
  <c r="Y951" i="2"/>
  <c r="X951" i="2"/>
  <c r="AN951" i="2"/>
  <c r="AM951" i="2"/>
  <c r="U951" i="2"/>
  <c r="AG951" i="2"/>
  <c r="AO951" i="2"/>
  <c r="T951" i="2"/>
  <c r="R951" i="2"/>
  <c r="V951" i="2"/>
  <c r="AB951" i="2"/>
  <c r="AI951" i="2"/>
  <c r="S951" i="2"/>
  <c r="H951" i="2"/>
  <c r="K951" i="2"/>
  <c r="M951" i="2"/>
  <c r="B952" i="2"/>
  <c r="E951" i="2"/>
  <c r="F951" i="2"/>
  <c r="I951" i="2"/>
  <c r="AD951" i="2"/>
  <c r="AJ951" i="2"/>
  <c r="W951" i="2"/>
  <c r="Z951" i="2"/>
  <c r="D951" i="2"/>
  <c r="AK951" i="2"/>
  <c r="O951" i="2"/>
  <c r="P951" i="2"/>
  <c r="AF951" i="2"/>
  <c r="E952" i="2" l="1"/>
  <c r="L952" i="2"/>
  <c r="I952" i="2"/>
  <c r="S952" i="2"/>
  <c r="U952" i="2"/>
  <c r="AE952" i="2"/>
  <c r="N952" i="2"/>
  <c r="K952" i="2"/>
  <c r="G952" i="2"/>
  <c r="AD952" i="2"/>
  <c r="AN952" i="2"/>
  <c r="H952" i="2"/>
  <c r="P952" i="2"/>
  <c r="J952" i="2"/>
  <c r="AL952" i="2"/>
  <c r="AH952" i="2"/>
  <c r="V952" i="2"/>
  <c r="AF952" i="2"/>
  <c r="W952" i="2"/>
  <c r="AB952" i="2"/>
  <c r="AI952" i="2"/>
  <c r="AO952" i="2"/>
  <c r="Q952" i="2"/>
  <c r="X952" i="2"/>
  <c r="Y952" i="2"/>
  <c r="AC952" i="2"/>
  <c r="M952" i="2"/>
  <c r="O952" i="2"/>
  <c r="B953" i="2"/>
  <c r="AG952" i="2"/>
  <c r="AA952" i="2"/>
  <c r="F952" i="2"/>
  <c r="D952" i="2"/>
  <c r="T952" i="2"/>
  <c r="AJ952" i="2"/>
  <c r="R952" i="2"/>
  <c r="AM952" i="2"/>
  <c r="C952" i="2"/>
  <c r="Z952" i="2"/>
  <c r="AK952" i="2"/>
  <c r="B954" i="2" l="1"/>
  <c r="X953" i="2"/>
  <c r="AN953" i="2"/>
  <c r="AG953" i="2"/>
  <c r="K953" i="2"/>
  <c r="C953" i="2"/>
  <c r="AI953" i="2"/>
  <c r="S953" i="2"/>
  <c r="P953" i="2"/>
  <c r="Y953" i="2"/>
  <c r="Q953" i="2"/>
  <c r="W953" i="2"/>
  <c r="V953" i="2"/>
  <c r="AA953" i="2"/>
  <c r="Z953" i="2"/>
  <c r="H953" i="2"/>
  <c r="E953" i="2"/>
  <c r="AH953" i="2"/>
  <c r="M953" i="2"/>
  <c r="L953" i="2"/>
  <c r="T953" i="2"/>
  <c r="AB953" i="2"/>
  <c r="F953" i="2"/>
  <c r="AC953" i="2"/>
  <c r="AL953" i="2"/>
  <c r="AD953" i="2"/>
  <c r="AE953" i="2"/>
  <c r="U953" i="2"/>
  <c r="AM953" i="2"/>
  <c r="G953" i="2"/>
  <c r="AO953" i="2"/>
  <c r="N953" i="2"/>
  <c r="J953" i="2"/>
  <c r="R953" i="2"/>
  <c r="AF953" i="2"/>
  <c r="I953" i="2"/>
  <c r="AJ953" i="2"/>
  <c r="D953" i="2"/>
  <c r="AK953" i="2"/>
  <c r="O953" i="2"/>
  <c r="AL954" i="2" l="1"/>
  <c r="B955" i="2"/>
  <c r="G954" i="2"/>
  <c r="K954" i="2"/>
  <c r="AI954" i="2"/>
  <c r="C954" i="2"/>
  <c r="V954" i="2"/>
  <c r="Q954" i="2"/>
  <c r="H954" i="2"/>
  <c r="S954" i="2"/>
  <c r="AG954" i="2"/>
  <c r="AA954" i="2"/>
  <c r="O954" i="2"/>
  <c r="P954" i="2"/>
  <c r="R954" i="2"/>
  <c r="Z954" i="2"/>
  <c r="AJ954" i="2"/>
  <c r="L954" i="2"/>
  <c r="W954" i="2"/>
  <c r="X954" i="2"/>
  <c r="T954" i="2"/>
  <c r="U954" i="2"/>
  <c r="AC954" i="2"/>
  <c r="AF954" i="2"/>
  <c r="J954" i="2"/>
  <c r="AM954" i="2"/>
  <c r="AK954" i="2"/>
  <c r="I954" i="2"/>
  <c r="AH954" i="2"/>
  <c r="D954" i="2"/>
  <c r="AE954" i="2"/>
  <c r="N954" i="2"/>
  <c r="Y954" i="2"/>
  <c r="AD954" i="2"/>
  <c r="AN954" i="2"/>
  <c r="M954" i="2"/>
  <c r="F954" i="2"/>
  <c r="AB954" i="2"/>
  <c r="E954" i="2"/>
  <c r="AO954" i="2"/>
  <c r="W955" i="2" l="1"/>
  <c r="M955" i="2"/>
  <c r="X955" i="2"/>
  <c r="B956" i="2"/>
  <c r="AA955" i="2"/>
  <c r="AB955" i="2"/>
  <c r="J955" i="2"/>
  <c r="L955" i="2"/>
  <c r="AK955" i="2"/>
  <c r="AC955" i="2"/>
  <c r="H955" i="2"/>
  <c r="I955" i="2"/>
  <c r="AI955" i="2"/>
  <c r="AO955" i="2"/>
  <c r="O955" i="2"/>
  <c r="AE955" i="2"/>
  <c r="AN955" i="2"/>
  <c r="N955" i="2"/>
  <c r="K955" i="2"/>
  <c r="D955" i="2"/>
  <c r="Y955" i="2"/>
  <c r="T955" i="2"/>
  <c r="U955" i="2"/>
  <c r="AH955" i="2"/>
  <c r="AG955" i="2"/>
  <c r="P955" i="2"/>
  <c r="G955" i="2"/>
  <c r="Q955" i="2"/>
  <c r="F955" i="2"/>
  <c r="AL955" i="2"/>
  <c r="AM955" i="2"/>
  <c r="Z955" i="2"/>
  <c r="AD955" i="2"/>
  <c r="S955" i="2"/>
  <c r="AJ955" i="2"/>
  <c r="AF955" i="2"/>
  <c r="E955" i="2"/>
  <c r="V955" i="2"/>
  <c r="R955" i="2"/>
  <c r="C955" i="2"/>
  <c r="S956" i="2" l="1"/>
  <c r="F956" i="2"/>
  <c r="AM956" i="2"/>
  <c r="N956" i="2"/>
  <c r="T956" i="2"/>
  <c r="B957" i="2"/>
  <c r="AH956" i="2"/>
  <c r="AN956" i="2"/>
  <c r="W956" i="2"/>
  <c r="AO956" i="2"/>
  <c r="O956" i="2"/>
  <c r="Y956" i="2"/>
  <c r="H956" i="2"/>
  <c r="AK956" i="2"/>
  <c r="AI956" i="2"/>
  <c r="L956" i="2"/>
  <c r="AA956" i="2"/>
  <c r="AL956" i="2"/>
  <c r="AC956" i="2"/>
  <c r="Z956" i="2"/>
  <c r="P956" i="2"/>
  <c r="Q956" i="2"/>
  <c r="M956" i="2"/>
  <c r="D956" i="2"/>
  <c r="AF956" i="2"/>
  <c r="U956" i="2"/>
  <c r="I956" i="2"/>
  <c r="AB956" i="2"/>
  <c r="AJ956" i="2"/>
  <c r="G956" i="2"/>
  <c r="R956" i="2"/>
  <c r="AE956" i="2"/>
  <c r="AG956" i="2"/>
  <c r="K956" i="2"/>
  <c r="AD956" i="2"/>
  <c r="J956" i="2"/>
  <c r="C956" i="2"/>
  <c r="E956" i="2"/>
  <c r="X956" i="2"/>
  <c r="V956" i="2"/>
  <c r="K957" i="2" l="1"/>
  <c r="AE957" i="2"/>
  <c r="AB957" i="2"/>
  <c r="AJ957" i="2"/>
  <c r="V957" i="2"/>
  <c r="N957" i="2"/>
  <c r="X957" i="2"/>
  <c r="B958" i="2"/>
  <c r="R957" i="2"/>
  <c r="Z957" i="2"/>
  <c r="AO957" i="2"/>
  <c r="L957" i="2"/>
  <c r="AD957" i="2"/>
  <c r="O957" i="2"/>
  <c r="J957" i="2"/>
  <c r="U957" i="2"/>
  <c r="AK957" i="2"/>
  <c r="H957" i="2"/>
  <c r="S957" i="2"/>
  <c r="G957" i="2"/>
  <c r="AI957" i="2"/>
  <c r="M957" i="2"/>
  <c r="T957" i="2"/>
  <c r="AM957" i="2"/>
  <c r="W957" i="2"/>
  <c r="AF957" i="2"/>
  <c r="AH957" i="2"/>
  <c r="Q957" i="2"/>
  <c r="AL957" i="2"/>
  <c r="P957" i="2"/>
  <c r="AG957" i="2"/>
  <c r="I957" i="2"/>
  <c r="C957" i="2"/>
  <c r="AN957" i="2"/>
  <c r="D957" i="2"/>
  <c r="Y957" i="2"/>
  <c r="E957" i="2"/>
  <c r="AA957" i="2"/>
  <c r="F957" i="2"/>
  <c r="AC957" i="2"/>
  <c r="J958" i="2" l="1"/>
  <c r="X958" i="2"/>
  <c r="AG958" i="2"/>
  <c r="AI958" i="2"/>
  <c r="V958" i="2"/>
  <c r="AK958" i="2"/>
  <c r="AC958" i="2"/>
  <c r="O958" i="2"/>
  <c r="S958" i="2"/>
  <c r="B959" i="2"/>
  <c r="AH958" i="2"/>
  <c r="AD958" i="2"/>
  <c r="AL958" i="2"/>
  <c r="K958" i="2"/>
  <c r="W958" i="2"/>
  <c r="AF958" i="2"/>
  <c r="AE958" i="2"/>
  <c r="I958" i="2"/>
  <c r="Q958" i="2"/>
  <c r="Z958" i="2"/>
  <c r="AJ958" i="2"/>
  <c r="M958" i="2"/>
  <c r="N958" i="2"/>
  <c r="C958" i="2"/>
  <c r="R958" i="2"/>
  <c r="F958" i="2"/>
  <c r="AA958" i="2"/>
  <c r="P958" i="2"/>
  <c r="Y958" i="2"/>
  <c r="AB958" i="2"/>
  <c r="L958" i="2"/>
  <c r="AN958" i="2"/>
  <c r="AO958" i="2"/>
  <c r="D958" i="2"/>
  <c r="G958" i="2"/>
  <c r="E958" i="2"/>
  <c r="AM958" i="2"/>
  <c r="T958" i="2"/>
  <c r="U958" i="2"/>
  <c r="H958" i="2"/>
  <c r="F959" i="2" l="1"/>
  <c r="AG959" i="2"/>
  <c r="R959" i="2"/>
  <c r="AH959" i="2"/>
  <c r="Y959" i="2"/>
  <c r="AL959" i="2"/>
  <c r="AO959" i="2"/>
  <c r="AN959" i="2"/>
  <c r="AE959" i="2"/>
  <c r="O959" i="2"/>
  <c r="AJ959" i="2"/>
  <c r="B960" i="2"/>
  <c r="N959" i="2"/>
  <c r="K959" i="2"/>
  <c r="AC959" i="2"/>
  <c r="C959" i="2"/>
  <c r="P959" i="2"/>
  <c r="H959" i="2"/>
  <c r="J959" i="2"/>
  <c r="Q959" i="2"/>
  <c r="L959" i="2"/>
  <c r="AM959" i="2"/>
  <c r="G959" i="2"/>
  <c r="M959" i="2"/>
  <c r="X959" i="2"/>
  <c r="AF959" i="2"/>
  <c r="AD959" i="2"/>
  <c r="AA959" i="2"/>
  <c r="W959" i="2"/>
  <c r="Z959" i="2"/>
  <c r="S959" i="2"/>
  <c r="U959" i="2"/>
  <c r="AB959" i="2"/>
  <c r="E959" i="2"/>
  <c r="V959" i="2"/>
  <c r="AI959" i="2"/>
  <c r="T959" i="2"/>
  <c r="D959" i="2"/>
  <c r="I959" i="2"/>
  <c r="AK959" i="2"/>
  <c r="AL960" i="2" l="1"/>
  <c r="AG960" i="2"/>
  <c r="F960" i="2"/>
  <c r="M960" i="2"/>
  <c r="U960" i="2"/>
  <c r="H960" i="2"/>
  <c r="AA960" i="2"/>
  <c r="AO960" i="2"/>
  <c r="AC960" i="2"/>
  <c r="AH960" i="2"/>
  <c r="X960" i="2"/>
  <c r="O960" i="2"/>
  <c r="AF960" i="2"/>
  <c r="B961" i="2"/>
  <c r="AM960" i="2"/>
  <c r="AE960" i="2"/>
  <c r="N960" i="2"/>
  <c r="Z960" i="2"/>
  <c r="P960" i="2"/>
  <c r="AK960" i="2"/>
  <c r="J960" i="2"/>
  <c r="R960" i="2"/>
  <c r="W960" i="2"/>
  <c r="Y960" i="2"/>
  <c r="S960" i="2"/>
  <c r="I960" i="2"/>
  <c r="E960" i="2"/>
  <c r="V960" i="2"/>
  <c r="AJ960" i="2"/>
  <c r="AB960" i="2"/>
  <c r="L960" i="2"/>
  <c r="G960" i="2"/>
  <c r="AI960" i="2"/>
  <c r="C960" i="2"/>
  <c r="T960" i="2"/>
  <c r="K960" i="2"/>
  <c r="Q960" i="2"/>
  <c r="AD960" i="2"/>
  <c r="D960" i="2"/>
  <c r="AN960" i="2"/>
  <c r="K961" i="2" l="1"/>
  <c r="M961" i="2"/>
  <c r="AK961" i="2"/>
  <c r="R961" i="2"/>
  <c r="AM961" i="2"/>
  <c r="AO961" i="2"/>
  <c r="AN961" i="2"/>
  <c r="AA961" i="2"/>
  <c r="U961" i="2"/>
  <c r="AF961" i="2"/>
  <c r="AG961" i="2"/>
  <c r="AE961" i="2"/>
  <c r="L961" i="2"/>
  <c r="O961" i="2"/>
  <c r="Y961" i="2"/>
  <c r="G961" i="2"/>
  <c r="AC961" i="2"/>
  <c r="Q961" i="2"/>
  <c r="V961" i="2"/>
  <c r="H961" i="2"/>
  <c r="C961" i="2"/>
  <c r="AI961" i="2"/>
  <c r="E961" i="2"/>
  <c r="AL961" i="2"/>
  <c r="S961" i="2"/>
  <c r="D961" i="2"/>
  <c r="AJ961" i="2"/>
  <c r="Z961" i="2"/>
  <c r="I961" i="2"/>
  <c r="F961" i="2"/>
  <c r="J961" i="2"/>
  <c r="T961" i="2"/>
  <c r="AB961" i="2"/>
  <c r="AH961" i="2"/>
  <c r="P961" i="2"/>
  <c r="N961" i="2"/>
  <c r="X961" i="2"/>
  <c r="W961" i="2"/>
  <c r="AD961" i="2"/>
</calcChain>
</file>

<file path=xl/sharedStrings.xml><?xml version="1.0" encoding="utf-8"?>
<sst xmlns="http://schemas.openxmlformats.org/spreadsheetml/2006/main" count="2135" uniqueCount="1032">
  <si>
    <t>x</t>
  </si>
  <si>
    <t>Item Index</t>
  </si>
  <si>
    <t>00</t>
  </si>
  <si>
    <t>Sort Index</t>
  </si>
  <si>
    <t>0xC</t>
  </si>
  <si>
    <t>Pocket Field</t>
  </si>
  <si>
    <t>Effect Battle</t>
  </si>
  <si>
    <t>Flags (cure status, pokeball, Z-crystal Type)</t>
  </si>
  <si>
    <t>Fling Power</t>
  </si>
  <si>
    <t xml:space="preserve">0 00 00 00 00 00 00 00 00 00 00 00 00 00 00 00 00 00 00 00 00 1F 00 00 00 01 03 00 FF 00 00 06 00 00 00 00 00 00 00 00 00 00 00 00 00 00 00 00 00 00 00 00 00 00 00 00 00 1F 00 00 00 01 03 00 FF 00 60 00 00 00 00 00 00 00 00 00 00 00 00 00 00 00 00 00 00 00 00 00 00 00 00 00 00 1F 00 00 00 01 03 00 FF 00 00 00 00 06 00 00 00 00 00 00 00 00 00 00 00 00 00 00 00 00 00 00 00 00 00 00 00 1F 00 00 00 01 03 00 FF 00 00 00 00 00 00 00 00 00 00 00 00 00 00 00 00 00 00 00 00 00 00 00 00 00 00 00 00 1F 00 00 00 01 03 00 FF 00 00 00 00 00 00 00 00 00 00 00 00 00 00 00 00 00 00 00 00 00 00 00 00 00 00 00 00 1F 00 00 00 01 03 00 FF 00 00 00 00 00 00 00 00 00 00 00 00 00 00 00 00 00 00 00 00 00 00 00 00 00 00 00 00 1F 00 00 00 01 03 00 FF 00 00 00 00 00 00 00 00 00 00 00 00 00 00 00 00 00 00 00 00 00 00 00 00 00 00 00 00 1F 00 00 00 01 03 00 FF 00 00 00 00 30 00 00 00 00 00 00 00 00 00 00 00 00 00 00 00 00 00 00 00 00 00 00 00 1F 02 00 00 00 08 00 FF 00 00 00 00 00 00 00 00 00 00 00 00 00 00 00 00 00 00 00 00 00 00 00 00 00 00 00 00 1F 02 00 00 00 08 00 FF 00 00 00 00 00 00 00 00 00 00 00 00 00 00 00 00 00 00 00 00 88 13 00 00 00 00 00 00 3F 01 02 00 00 06 00 5C 00 00 00 00 00 00 00 00 00 00 00 00 00 00 00 00 00 00 00 00 B8 0B 00 00 00 00 00 00 3F 01 02 00 00 06 00 5D 00 00 00 00 00 00 00 00 00 00 00 00 00 00 00 00 00 00 00 00 C4 09 00 00 00 00 00 00 3F 01 02 00 00 06 00 5E 00 00 00 00 00 00 00 00 00 00 00 00 00 00 00 00 00 00 00 00 00 00 00 00 00 00 00 00 1F 02 00 00 00 08 00 FF 00 00 00 00 00 00 00 00 00 00 00 00 00 00 00 00 00 00 00 00 00 00 00 00 00 00 1E 00 1F 00 06 00 01 03 00 C8 00 08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11 00 00 08 00 28 00 00 00 00 00 00 00 00 00 00 00 00 00 00 00 00 00 00 00 00 00 00 00 00 00 00 00 00 3F 02 11 00 00 08 00 29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0F 00 00 08 00 2B 00 00 00 00 00 00 00 00 00 00 00 00 00 00 00 00 00 00 00 00 64 00 AD 00 00 00 50 00 1F 00 00 00 00 01 01 2A 00 00 00 00 00 00 00 00 00 00 00 00 00 00 00 00 00 00 00 00 2A 12 AE 00 00 00 50 00 1F 00 00 00 00 01 00 35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64 00 AF 14 00 00 5A 00 1F 00 00 00 00 01 00 A4 00 00 00 00 00 00 00 00 00 00 00 00 00 00 00 00 00 00 00 00 E8 03 00 00 00 00 00 00 9F 00 01 00 00 00 00 34 00 00 00 00 00 00 00 00 00 00 00 00 00 00 00 00 00 00 00 00 C8 00 00 00 00 00 50 00 1F 00 06 00 00 01 00 4E 00 08 00 00 00 00 00 00 00 00 00 00 00 00 00 00 00 00 00 00 C8 00 00 00 00 00 50 00 1F 00 06 00 00 01 00 4F 00 08 00 00 00 00 00 00 00 00 00 00 00 00 00 00 00 00 00 00 3C 00 B0 00 00 00 1E 00 1F 00 00 00 00 01 01 1F 00 00 00 00 00 00 00 00 00 00 00 00 00 00 00 00 00 00 00 00 3C 00 B1 00 00 00 1E 00 1F 00 00 00 00 01 01 38 00 00 00 00 00 00 00 00 00 00 00 00 00 00 00 00 00 00 00 00 F4 01 B2 00 00 00 50 00 1F 00 00 00 00 01 00 37 00 00 00 00 00 00 00 00 00 00 00 00 00 00 00 00 00 00 00 00 00 00 00 00 00 00 00 00 3F 02 00 00 00 08 00 FF 00 00 00 00 00 00 00 00 00 00 00 00 00 00 00 00 00 00 00 00 14 00 00 00 00 00 1E 00 1F 00 00 00 01 02 00 FF 00 00 00 00 00 00 00 00 00 00 00 00 00 00 00 00 00 00 00 00 14 00 00 00 00 00 1E 00 1F 00 00 00 01 02 00 FF 00 00 00 00 00 00 00 00 00 00 00 00 00 00 00 00 00 00 00 00 14 00 00 00 00 00 1E 00 1F 00 00 00 01 02 00 FF 00 00 00 00 00 00 00 00 00 00 00 00 00 00 00 00 00 00 00 00 14 00 00 00 00 00 1E 00 1F 00 00 00 01 02 00 FF 00 00 00 00 00 00 00 00 00 00 00 00 00 00 00 00 00 00 00 00 00 00 00 00 00 00 50 00 1F 00 00 00 00 01 00 C7 00 00 00 00 00 00 00 00 00 00 00 00 00 00 00 00 00 00 00 00 00 00 00 00 00 00 50 00 1F 00 00 00 00 01 00 C8 00 00 00 00 00 00 00 00 00 00 00 00 00 00 00 00 00 00 00 00 00 00 00 00 00 00 50 00 1F 00 00 00 00 01 00 D1 00 00 00 00 00 00 00 00 00 00 00 00 00 00 00 00 00 00 00 00 00 00 00 00 00 00 50 00 1F 00 00 00 00 01 00 D9 00 00 00 00 00 00 00 00 00 00 00 00 00 00 00 00 00 00 00 00 00 00 00 00 00 00 50 00 1F 00 00 00 00 01 00 EA 00 00 00 00 00 00 00 00 00 00 00 00 00 00 00 00 00 00 00 00 00 00 00 00 00 00 50 00 1F 00 00 00 00 01 00 C3 00 00 00 00 00 00 00 00 00 00 00 00 00 00 00 00 00 00 00 00 98 3A 00 00 00 00 50 00 1F 00 00 00 00 01 00 E0 00 00 00 00 00 00 00 00 00 00 00 00 00 00 00 00 00 00 00 00 98 3A 00 00 00 00 50 00 1F 00 00 00 00 01 00 E1 00 00 00 00 00 00 00 00 00 00 00 00 00 00 00 00 00 00 00 00 00 00 00 00 00 00 50 00 1F 00 00 00 00 01 00 D4 00 00 00 00 00 00 00 00 00 00 00 00 00 00 00 00 00 00 00 00 00 00 00 00 00 00 50 00 1F 00 00 00 00 01 00 CE 00 00 00 00 00 00 00 00 00 00 00 00 00 00 00 00 00 00 00 00 00 00 00 00 00 00 50 00 1F 00 00 00 00 01 00 DC 00 00 00 00 00 00 00 00 00 00 00 00 00 00 00 00 00 00 00 00 00 00 00 00 00 00 50 00 1F 00 00 00 00 01 00 DE 00 00 00 00 00 00 00 00 00 00 00 00 00 00 00 00 00 00 00 00 00 00 00 00 00 00 50 00 1F 00 00 00 00 01 00 CB 00 00 00 00 00 00 00 00 00 00 00 00 00 00 00 00 00 00 00 00 00 00 00 00 00 00 50 00 1F 00 00 00 00 01 00 D6 00 00 00 00 00 00 00 00 00 00 00 00 00 00 00 00 00 00 00 00 00 00 00 00 00 00 50 00 1F 00 00 00 00 01 00 D5 00 00 00 00 00 00 00 00 00 00 00 00 00 00 00 00 00 00 00 00 00 00 00 00 00 00 50 00 1F 00 00 00 00 01 00 C1 00 00 00 00 00 00 00 00 00 00 00 00 00 00 00 00 00 00 00 00 00 00 00 00 00 00 50 00 1F 00 00 00 00 01 00 DA 00 00 00 00 00 00 00 00 00 00 00 00 00 00 00 00 00 00 00 00 00 00 00 00 00 00 50 00 1F 00 00 00 00 01 00 EC 00 00 00 00 00 00 00 00 00 00 00 00 00 00 00 00 00 00 00 00 00 00 00 00 00 00 50 00 1F 00 00 00 00 01 00 E5 00 00 00 00 00 00 00 00 00 00 00 00 00 00 00 00 00 00 00 00 00 00 00 00 00 00 50 00 1F 00 00 00 00 01 00 C4 00 00 00 00 00 00 00 00 00 00 00 00 00 00 00 00 00 00 00 00 00 00 00 00 00 00 50 00 1F 00 00 00 00 01 00 C5 00 00 00 00 00 00 00 00 00 00 00 00 00 00 00 00 00 00 00 00 00 00 00 00 00 00 50 00 1F 00 00 00 00 01 00 BE 00 00 00 00 00 00 00 00 00 00 00 00 00 00 00 00 00 00 00 00 00 00 00 00 00 00 50 00 1F 00 00 00 00 01 00 EB 00 00 00 00 00 00 00 00 00 00 00 00 00 00 00 00 00 00 00 00 00 00 00 00 00 00 50 00 1F 00 00 00 00 01 00 D8 00 00 00 00 00 00 00 00 00 00 00 00 00 00 00 00 00 00 00 00 00 00 00 00 00 00 50 00 1F 00 00 00 00 01 00 DB 00 00 00 00 00 00 00 00 00 00 00 00 00 00 00 00 00 00 00 00 00 00 00 00 00 00 50 00 1F 00 00 00 00 01 00 C6 00 00 00 00 00 00 00 00 00 00 00 00 00 00 00 00 00 00 00 00 00 00 00 00 00 00 50 00 1F 00 00 00 00 01 00 E6 00 00 00 00 00 00 00 00 00 00 00 00 00 00 00 00 00 00 00 00 00 00 00 00 00 00 50 00 1F 00 00 00 00 01 00 C2 00 00 00 00 00 00 00 00 00 00 00 00 00 00 00 00 00 00 00 00 00 00 00 00 00 00 50 00 1F 00 00 00 00 01 00 E8 00 00 00 00 00 00 00 00 00 00 00 00 00 00 00 00 00 00 00 00 00 00 00 00 00 00 50 00 1F 00 00 00 00 01 00 E9 00 00 00 00 00 00 00 00 00 00 00 00 00 00 00 00 00 00 00 00 02 00 B3 00 00 00 0A 50 91 01 0C 00 01 07 01 40 00 00 00 00 00 00 00 00 00 00 00 00 00 00 00 00 00 00 00 00 02 00 B4 00 00 11 0A 64 91 01 0C 00 01 07 01 41 00 00 00 00 00 00 00 00 00 00 00 00 00 00 00 00 00 00 00 00 02 00 B5 00 00 14 0A 64 90 01 0C 00 01 07 01 42 00 00 00 00 00 00 00 00 00 00 00 00 00 00 00 00 00 00 00 00 00 00 00 00 00 00 00 00 3F 02 00 00 00 08 00 FF 00 00 00 00 00 00 00 00 00 00 00 00 00 00 00 00 00 00 00 00 C4 09 00 00 00 00 00 00 3F 01 02 00 00 06 00 5F 00 00 00 00 00 00 00 00 00 00 00 00 00 00 00 00 00 00 00 00 E8 03 00 00 00 00 00 00 3F 01 02 00 00 06 00 60 00 00 00 00 00 00 00 00 00 00 00 00 00 00 00 00 00 00 00 00 B8 0B 00 00 00 00 00 00 3F 01 02 00 00 06 00 61 00 00 00 00 00 00 00 00 00 00 00 00 00 00 00 00 00 00 00 00 E8 03 00 00 00 00 00 00 3F 01 02 00 00 06 00 62 00 00 00 00 00 00 00 00 00 00 00 00 00 00 00 00 00 00 00 00 C4 09 00 00 00 00 00 00 3F 01 02 00 00 06 00 63 00 00 00 00 00 00 00 00 00 00 00 00 00 00 00 00 00 00 00 00 00 00 00 00 00 00 00 00 3F 02 00 00 00 08 00 FF 00 00 00 00 00 00 00 00 00 00 00 00 00 00 00 00 00 00 00 00 00 00 00 00 00 00 00 00 3F 02 00 00 00 08 00 05 00 00 00 00 00 00 00 00 00 00 00 00 00 00 00 00 00 00 00 00 00 00 00 00 00 00 00 00 3F 02 00 00 00 08 00 FF 00 00 00 00 00 00 00 00 00 00 00 00 00 00 00 00 00 00 00 00 00 00 00 00 00 00 00 00 3F 02 00 00 00 08 00 FF 00 00 00 00 00 00 00 00 00 00 00 00 00 00 00 00 00 00 00 00 02 00 00 00 00 00 0A 00 1F 00 00 00 00 02 00 08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2C 01 00 00 00 00 1E 00 1F 00 00 00 01 02 00 B4 00 00 00 00 00 00 00 00 00 00 00 00 00 00 00 00 00 00 00 00 00 00 00 00 00 00 00 00 3F 02 00 00 00 08 00 14 00 00 00 00 00 00 00 00 00 00 00 00 00 00 00 00 00 00 00 00 00 00 00 00 00 00 00 00 3F 02 00 00 00 08 00 15 00 00 00 00 00 00 00 00 00 00 00 00 00 00 00 00 00 00 00 00 00 00 00 00 00 00 00 00 3F 02 00 00 00 08 00 FF 00 00 00 00 00 00 00 00 00 00 00 00 00 00 00 00 00 00 00 00 23 00 00 00 00 00 1E 00 9F 40 01 02 01 00 00 1F 3F 00 00 00 00 00 00 00 00 00 00 00 00 00 00 00 00 00 00 00 23 00 00 00 00 00 1E 00 9F 40 01 02 01 00 00 20 3F 00 00 00 00 00 00 00 00 00 00 00 00 00 00 00 00 00 00 00 BC 02 00 00 00 00 64 00 1F 00 00 00 00 02 00 9F 00 00 00 00 00 00 00 00 00 00 00 00 00 00 00 00 00 00 00 00 BC 02 00 00 00 00 64 00 1F 00 00 00 00 02 00 A0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14 00 B6 00 00 00 00 00 1F 00 00 00 00 01 01 93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7F 02 03 00 00 08 00 FF 00 00 00 00 00 00 00 00 00 00 00 00 00 00 00 00 00 00 00 00 00 00 00 00 00 00 00 00 7F 02 03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7F 02 08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01 02 00 00 06 00 6A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50 00 1F 00 00 00 00 01 00 E7 00 00 00 00 00 00 00 00 00 00 00 00 00 00 00 00 00 00 00 00 00 00 00 00 00 00 50 00 1F 00 00 00 00 01 00 CA 00 00 00 00 00 00 00 00 00 00 00 00 00 00 00 00 00 00 00 00 00 00 00 00 00 00 50 00 1F 00 00 00 00 01 00 E4 00 00 00 00 00 00 00 00 00 00 00 00 00 00 00 00 00 00 00 00 00 00 00 00 00 00 50 00 1F 00 00 00 00 01 00 CF 00 00 00 00 00 00 00 00 00 00 00 00 00 00 00 00 00 00 00 00 00 00 00 00 00 00 50 00 1F 00 00 00 00 01 00 BF 00 00 00 00 00 00 00 00 00 00 00 00 00 00 00 00 00 00 00 00 00 00 00 00 00 00 50 00 1F 00 00 00 00 01 00 CD 00 00 00 00 00 00 00 00 00 00 00 00 00 00 00 00 00 00 00 00 00 00 00 00 00 00 50 00 1F 00 00 00 00 01 00 E2 00 00 00 00 00 00 00 00 00 00 00 00 00 00 00 00 00 00 00 00 00 00 00 00 00 00 50 00 1F 00 00 00 00 01 00 C9 00 00 00 00 00 00 00 00 00 00 00 00 00 00 00 00 00 00 00 00 00 00 00 00 00 00 50 00 1F 00 00 00 00 01 00 E3 00 00 00 00 00 00 00 00 00 00 00 00 00 00 00 00 00 00 00 00 00 00 00 00 00 00 50 00 1F 00 00 00 00 01 00 D2 00 00 00 00 00 00 00 00 00 00 00 00 00 00 00 00 00 00 00 00 00 00 00 00 00 00 50 00 1F 00 00 00 00 01 00 D7 00 00 00 00 00 00 00 00 00 00 00 00 00 00 00 00 00 00 00 00 00 00 00 00 00 00 50 00 1F 00 00 00 00 01 00 C0 00 00 00 00 00 00 00 00 00 00 00 00 00 00 00 00 00 00 00 00 00 00 00 00 00 00 50 00 1F 00 00 00 00 01 00 D0 00 00 00 00 00 00 00 00 00 00 00 00 00 00 00 00 00 00 00 00 00 00 00 00 00 00 00 00 3F 02 0F 00 00 08 00 2C 00 00 00 00 00 00 00 00 00 00 00 00 00 00 00 00 00 00 00 00 00 00 00 00 00 00 00 00 3F 02 00 00 00 08 00 FF 00 00 00 00 00 00 00 00 00 00 00 00 00 00 00 00 00 00 00 00 00 00 00 00 00 00 50 00 1F 00 00 00 00 01 00 D3 00 00 00 00 00 00 00 00 00 00 00 00 00 00 00 00 00 00 00 00 00 00 00 00 00 00 50 00 1F 00 00 00 00 01 00 DF 00 00 00 00 00 00 00 00 00 00 00 00 00 00 00 00 00 00 00 00 00 00 00 00 00 00 50 00 1F 00 00 00 00 01 00 DD 00 00 00 00 00 00 00 00 00 00 00 00 00 00 00 00 00 00 00 00 00 00 00 00 00 00 50 00 1F 00 00 00 00 01 00 CC 00 00 00 00 00 00 00 00 00 00 00 00 00 00 00 00 00 00 00 00 00 00 00 00 00 00 00 00 3F 02 00 00 00 08 00 FF 00 00 00 00 00 00 00 00 00 00 00 00 00 00 00 00 00 00 00 00 00 00 00 00 00 00 1E 00 1F 00 06 00 01 03 00 77 00 08 00 00 00 00 00 00 00 00 00 00 00 00 00 00 00 00 00 00 00 00 00 00 00 00 00 00 3F 02 00 00 00 08 00 06 00 00 00 00 00 00 00 00 00 00 00 00 00 00 00 00 00 00 00 00 00 00 00 00 00 00 00 00 3F 02 00 00 00 08 00 FF 00 00 00 00 00 00 00 00 00 00 00 00 00 00 00 00 00 00 00 00 00 00 00 00 00 00 00 00 7F 02 09 00 00 08 00 FF 00 00 00 00 00 00 00 00 00 00 00 00 00 00 00 00 00 00 00 00 00 00 00 00 00 00 00 00 9F 03 00 00 00 01 00 01 01 00 00 00 00 00 00 00 00 00 00 00 00 00 00 00 00 00 00 00 00 00 00 00 00 00 00 00 9F 03 00 00 00 01 00 02 02 00 00 00 00 00 00 00 00 00 00 00 00 00 00 00 00 00 00 00 00 00 00 00 00 00 00 00 9F 03 00 00 00 01 00 03 03 00 00 00 00 00 00 00 00 00 00 00 00 00 00 00 00 00 00 00 00 00 00 00 00 00 00 00 9F 03 00 00 00 01 00 04 04 00 00 00 00 00 00 00 00 00 00 00 00 00 00 00 00 00 00 00 00 00 00 00 00 00 00 00 9F 03 00 00 00 01 00 05 05 00 00 00 00 00 00 00 00 00 00 00 00 00 00 00 00 00 00 00 00 00 00 00 00 00 00 00 9F 03 00 00 00 01 00 06 06 00 00 00 00 00 00 00 00 00 00 00 00 00 00 00 00 00 00 00 00 00 00 00 00 00 00 00 9F 03 00 00 00 01 00 07 07 00 00 00 00 00 00 00 00 00 00 00 00 00 00 00 00 00 00 00 00 00 00 00 00 00 00 00 9F 03 00 00 00 01 00 08 08 00 00 00 00 00 00 00 00 00 00 00 00 00 00 00 00 00 00 00 00 00 00 00 00 00 00 00 9F 03 00 00 00 01 00 09 09 00 00 00 00 00 00 00 00 00 00 00 00 00 00 00 00 00 00 00 00 00 00 00 00 00 00 00 9F 03 00 00 00 01 00 0A 0A 00 00 00 00 00 00 00 00 00 00 00 00 00 00 00 00 00 00 00 00 00 00 00 00 00 00 00 9F 03 00 00 00 01 00 0B 0B 00 00 00 00 00 00 00 00 00 00 00 00 00 00 00 00 00 00 00 00 00 00 00 00 00 00 00 9F 03 00 00 00 01 00 0C 0C 00 00 00 00 00 00 00 00 00 00 00 00 00 00 00 00 00 00 00 00 00 00 00 00 00 00 00 9F 03 00 00 00 01 00 0D 0D 00 00 00 00 00 00 00 00 00 00 00 00 00 00 00 00 00 00 00 00 00 00 00 00 00 00 00 9F 03 00 00 00 01 00 0E 0E 00 00 00 00 00 00 00 00 00 00 00 00 00 00 00 00 00 00 00 00 00 00 00 00 00 00 00 9F 03 00 00 00 01 00 0F 0F 00 00 00 00 00 00 00 00 00 00 00 00 00 00 00 00 00 00 00 00 00 00 00 00 00 00 00 9F 03 00 00 00 01 00 10 10 00 00 00 00 00 00 00 00 00 00 00 00 00 00 00 00 00 00 00 00 00 00 00 00 00 00 00 9F 03 00 00 00 01 00 11 11 00 00 00 00 00 00 00 00 00 00 00 00 00 00 00 00 00 00 00 00 00 00 00 00 00 00 00 9F 03 00 00 00 01 00 12 12 00 00 00 00 00 00 00 00 00 00 00 00 00 00 00 00 00 00 00 00 00 00 00 00 00 00 00 9F 03 00 00 00 01 00 13 13 00 00 00 00 00 00 00 00 00 00 00 00 00 00 00 00 00 00 00 88 13 00 00 00 00 1E 00 1F 00 00 00 00 02 00 05 00 00 00 00 00 00 00 00 00 00 00 00 00 00 00 00 00 00 00 00 10 27 00 00 00 00 1E 00 1F 00 00 00 00 02 00 06 00 00 00 00 00 00 00 00 00 00 00 00 00 00 00 00 00 00 00 00 00 00 00 00 00 00 00 00 3F 02 00 00 00 08 00 04 00 00 00 00 00 00 00 00 00 00 00 00 00 00 00 00 00 00 00 00 00 00 00 00 00 00 00 00 9F 03 00 00 00 01 00 14 14 00 00 00 00 00 00 00 00 00 00 00 00 00 00 00 00 00 00 00 00 00 00 00 00 00 00 00 9F 03 00 00 00 01 00 15 15 00 00 00 00 00 00 00 00 00 00 00 00 00 00 00 00 00 00 00 00 00 00 00 00 00 00 00 9F 03 00 00 00 01 00 16 16 00 00 00 00 00 00 00 00 00 00 00 00 00 00 00 00 00 00 00 00 00 00 00 00 00 00 00 9F 03 00 00 00 01 00 17 17 00 00 00 00 00 00 00 00 00 00 00 00 00 00 00 00 00 00 00 00 00 00 00 00 00 00 00 9F 03 00 00 00 01 00 18 18 00 00 00 00 00 00 00 00 00 00 00 00 00 00 00 00 00 00 00 00 00 00 00 00 00 00 00 9F 03 00 00 00 01 00 19 19 00 00 00 00 00 00 00 00 00 00 00 00 00 00 00 00 00 00 00 00 00 00 00 00 00 00 00 9F 03 00 00 00 01 00 1A 1A 00 00 00 00 00 00 00 00 00 00 00 00 00 00 00 00 00 00 00 00 00 00 00 00 00 00 00 9F 03 00 00 00 01 00 1B 1B 00 00 00 00 00 00 00 00 00 00 00 00 00 00 00 00 00 00 00 00 00 00 00 00 00 00 00 9F 03 00 00 00 01 00 1C 1C 00 00 00 00 00 00 00 00 00 00 00 00 00 00 00 00 00 00 00 00 00 00 00 00 00 00 00 9F 02 01 00 00 01 00 01 01 00 00 00 00 00 00 00 00 00 00 00 00 00 00 00 00 00 00 00 00 00 00 00 00 00 00 00 9F 02 01 00 00 01 00 02 02 00 00 00 00 00 00 00 00 00 00 00 00 00 00 00 00 00 00 00 00 00 00 00 00 00 00 00 9F 02 01 00 00 01 00 03 03 00 00 00 00 00 00 00 00 00 00 00 00 00 00 00 00 00 00 00 00 00 00 00 00 00 00 00 9F 02 01 00 00 01 00 04 04 00 00 00 00 00 00 00 00 00 00 00 00 00 00 00 00 00 00 00 00 00 00 00 00 00 00 00 9F 02 01 00 00 01 00 05 05 00 00 00 00 00 00 00 00 00 00 00 00 00 00 00 00 00 00 00 00 00 00 00 00 00 00 00 9F 02 01 00 00 01 00 06 06 00 00 00 00 00 00 00 00 00 00 00 00 00 00 00 00 00 00 00 00 00 00 00 00 00 00 00 9F 02 01 00 00 01 00 07 07 00 00 00 00 00 00 00 00 00 00 00 00 00 00 00 00 00 00 00 00 00 00 00 00 00 00 00 9F 02 01 00 00 01 00 08 08 00 00 00 00 00 00 00 00 00 00 00 00 00 00 00 00 00 00 00 00 00 00 00 00 00 00 00 9F 02 01 00 00 01 00 09 09 00 00 00 00 00 00 00 00 00 00 00 00 00 00 00 00 00 00 00 00 00 00 00 00 00 00 00 9F 02 01 00 00 01 00 0A 0A 00 00 00 00 00 00 00 00 00 00 00 00 00 00 00 00 00 00 00 00 00 00 00 00 00 00 00 9F 02 01 00 00 01 00 0B 0B 00 00 00 00 00 00 00 00 00 00 00 00 00 00 00 00 00 00 00 00 00 00 00 00 00 00 00 9F 02 01 00 00 01 00 0C 0C 00 00 00 00 00 00 00 00 00 00 00 00 00 00 00 00 00 00 00 00 00 00 00 00 00 00 00 9F 02 01 00 00 01 00 0D 0D 00 00 00 00 00 00 00 00 00 00 00 00 00 00 00 00 00 00 00 00 00 00 00 00 00 00 00 9F 02 01 00 00 01 00 0E 0E 00 00 00 00 00 00 00 00 00 00 00 00 00 00 00 00 00 00 00 00 00 00 00 00 00 00 00 9F 02 01 00 00 01 00 0F 0F 00 00 00 00 00 00 00 00 00 00 00 00 00 00 00 00 00 00 00 00 00 00 00 00 00 00 00 9F 02 01 00 00 01 00 10 10 00 00 00 00 00 00 00 00 00 00 00 00 00 00 00 00 00 00 00 00 00 00 00 00 00 00 00 9F 02 01 00 00 01 00 11 11 00 00 00 00 00 00 00 00 00 00 00 00 00 00 00 00 00 00 00 00 00 00 00 00 00 00 00 9F 02 01 00 00 01 00 12 12 00 00 00 00 00 00 00 00 00 00 00 00 00 00 00 00 00 00 00 00 00 00 00 00 00 00 00 9F 02 01 00 00 01 00 13 13 00 00 00 00 00 00 00 00 00 00 00 00 00 00 00 00 00 00 00 00 00 00 00 00 00 00 00 9F 02 01 00 00 01 00 14 14 00 00 00 00 00 00 00 00 00 00 00 00 00 00 00 00 00 00 00 00 00 00 00 00 00 00 00 9F 02 01 00 00 01 00 15 15 00 00 00 00 00 00 00 00 00 00 00 00 00 00 00 00 00 00 00 00 00 00 00 00 00 00 00 9F 02 01 00 00 01 00 16 16 00 00 00 00 00 00 00 00 00 00 00 00 00 00 00 00 00 00 00 00 00 00 00 00 00 00 00 9F 02 01 00 00 01 00 17 17 00 00 00 00 00 00 00 00 00 00 00 00 00 00 00 00 00 00 00 00 00 00 00 00 00 00 00 9F 02 01 00 00 01 00 18 18 00 00 00 00 00 00 00 00 00 00 00 00 00 00 00 00 00 00 00 00 00 00 00 00 00 00 00 9F 02 01 00 00 01 00 19 19 00 00 00 00 00 00 00 00 00 00 00 00 00 00 00 00 00 00 00 00 00 00 00 00 00 00 00 9F 02 01 00 00 01 00 1A 1A 00 00 00 00 00 00 00 00 00 00 00 00 00 00 00 00 00 00 00 00 00 00 00 00 00 00 00 9F 02 01 00 00 01 00 1B 1B 00 00 00 00 00 00 00 00 00 00 00 00 00 00 00 00 00 00 00 00 00 00 00 00 00 00 00 9F 02 01 00 00 01 00 1C 1C 00 00 00 00 00 00 00 00 00 00 00 00 00 00 00 00 00 00 00 00 00 00 00 00 00 00 00 9F 02 01 00 00 01 00 1D 1D 00 00 00 00 00 00 00 00 00 00 00 00 00 00 00 00 00 00 00 00 00 00 00 00 00 00 00 9F 03 00 00 00 01 00 1D 1D 00 00 00 00 00 00 00 00 00 00 00 00 00 00 00 00 00 00 00 00 00 00 00 00 00 00 00 9F 02 01 00 00 01 00 1D 03 00 00 00 00 00 00 00 00 00 00 00 00 00 00 00 00 00 00 00 00 00 00 00 00 00 00 00 1F 00 00 00 00 01 00 FF 03 00 00 00 00 00 00 00 00 00 00 00 00 00 00 00 00 00 00 00 00 00 00 00 00 00 00 00 3F 02 00 00 00 08 00 FF 00 00 00 00 00 00 00 00 00 00 00 00 00 00 00 00 00 00 00 00 00 00 00 00 00 00 00 00 3F 02 00 00 00 08 00 FF 00 00 00 00 00 00 00 00 00 00 00 00 00 00 00 00 00 00 00 00 00 00 00 00 00 00 00 00 3F 02 00 00 00 08 00 1F 00 00 00 00 00 00 00 00 00 00 00 00 00 00 00 00 00 00 00 00 00 00 00 00 00 00 00 00 3F 02 00 00 00 08 00 20 00 00 00 00 00 00 00 00 00 00 00 00 00 00 00 00 00 00 00 00 00 00 00 00 00 00 00 00 3F 02 00 00 00 08 00 21 00 00 00 00 00 00 00 00 00 00 00 00 00 00 00 00 00 00 00 00 01 00 00 00 00 00 00 00 1F 00 00 00 00 02 00 07 00 00 00 00 00 00 00 00 00 00 00 00 00 00 00 00 00 00 00 00 00 00 00 00 00 00 00 00 3F 02 00 00 00 08 00 09 00 00 00 00 00 00 00 00 00 00 00 00 00 00 00 00 00 00 00 00 1E 00 B7 00 00 00 1E 00 1F 10 00 00 01 03 01 0B 00 00 00 00 00 00 00 00 00 00 00 00 00 00 00 00 00 00 00 00 00 00 00 00 00 00 00 00 3F 02 08 00 00 08 00 0A 00 00 00 00 00 00 00 00 00 00 00 00 00 00 00 00 00 00 00 00 00 00 00 00 00 00 00 00 3F 02 00 00 00 08 00 FF 00 00 00 00 00 00 00 00 00 00 00 00 00 00 00 00 00 00 00 00 2C 01 00 00 00 00 1E 00 1F 00 06 00 01 02 00 4B 00 08 00 00 00 00 00 00 00 00 00 00 00 00 00 00 00 00 00 00 00 00 00 00 00 00 00 00 3F 02 00 00 00 08 00 02 00 00 00 00 00 00 00 00 00 00 00 00 00 00 00 00 00 00 00 00 2C 01 00 00 00 00 00 00 1F 08 00 01 02 04 00 19 19 00 00 00 00 00 00 00 00 00 00 00 00 00 00 00 00 00 00 00 8C 00 00 00 00 00 1E 00 9F 40 01 02 01 00 00 21 3F 00 00 00 00 00 00 00 00 00 00 00 00 00 00 00 00 00 00 00 1E 00 00 00 00 00 0A 00 1F 00 0F 00 00 02 00 AB 00 00 00 00 00 00 00 00 00 00 00 00 00 00 00 00 00 00 00 00 1E 00 00 00 00 00 0A 00 1F 00 0F 00 00 02 00 AC 00 00 00 00 00 00 00 00 00 00 00 00 00 00 00 00 00 00 00 00 1E 00 00 00 00 00 0A 00 1F 00 0F 00 00 02 00 AD 00 00 00 00 00 00 00 00 00 00 00 00 00 00 00 00 00 00 00 00 1E 00 00 00 00 00 0A 00 1F 00 0F 00 00 02 00 AE 00 00 00 00 00 00 00 00 00 00 00 00 00 00 00 00 00 00 00 00 00 00 00 00 00 00 00 00 3F 02 00 00 00 08 00 07 00 00 00 00 00 00 00 00 00 00 00 00 00 00 00 00 00 00 00 00 00 00 00 00 00 00 00 00 3F 02 00 00 00 08 00 08 00 00 00 00 00 00 00 00 00 00 00 00 00 00 00 00 00 00 00 00 00 00 00 00 00 00 00 00 3F 02 00 00 00 08 00 1E 00 00 00 00 00 00 00 00 00 00 00 00 00 00 00 00 00 00 00 00 00 00 00 00 00 00 00 00 3F 02 00 00 00 08 00 22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F4 01 B8 00 00 00 3C 00 1F 00 00 00 00 01 00 70 00 00 00 00 00 00 00 00 00 00 00 00 00 00 00 00 00 00 00 00 C4 09 B9 00 00 00 1E 00 1F 00 00 00 00 01 00 71 00 00 00 00 00 00 00 00 00 00 00 00 00 00 00 00 00 00 00 00 50 00 BA 00 00 00 0A 00 1F 00 00 00 00 01 01 72 00 00 00 00 00 00 00 00 00 00 00 00 00 00 00 00 00 00 00 00 50 00 BB 00 00 00 0A 00 1F 00 00 00 00 01 01 73 00 00 00 00 00 00 00 00 00 00 00 00 00 00 00 00 00 00 00 00 50 00 BC 00 00 00 0A 00 1F 00 00 00 00 01 01 74 00 00 00 00 00 00 00 00 00 00 00 00 00 00 00 00 00 00 00 00 50 00 BD 00 00 00 0A 00 1F 00 00 00 00 01 01 75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9F 40 01 02 01 00 00 FF 00 00 00 00 00 00 00 00 00 00 00 00 00 00 00 00 00 00 00 00 00 00 00 00 00 00 00 00 9F 40 01 02 01 00 00 FF 00 00 00 00 00 00 00 00 00 00 00 00 00 00 00 00 00 00 00 00 00 00 00 00 00 00 00 00 9F 40 01 02 01 00 00 FF 00 00 00 00 00 00 00 00 00 00 00 00 00 00 00 00 00 00 00 00 00 00 00 00 00 00 00 00 9F 40 01 02 01 00 00 FF 00 00 00 00 00 00 00 00 00 00 00 00 00 00 00 00 00 00 00 00 00 00 00 00 00 00 00 00 9F 40 01 02 01 00 00 FF 00 00 00 00 00 00 00 00 00 00 00 00 00 00 00 00 00 00 00 00 64 00 82 00 00 00 32 00 1F 00 06 00 01 01 00 AA 00 08 00 00 00 00 00 00 00 00 00 00 00 00 00 00 00 00 00 00 64 00 85 00 00 00 32 00 1F 00 06 00 01 01 00 AD 00 08 00 00 00 00 00 00 00 00 00 00 00 00 00 00 00 00 00 00 64 00 83 00 00 00 32 00 1F 00 06 00 01 01 00 AB 00 08 00 00 00 00 00 00 00 00 00 00 00 00 00 00 00 00 00 00 64 00 84 00 00 00 32 00 1F 00 06 00 01 01 00 AC 00 08 00 00 00 00 00 00 00 00 00 00 00 00 00 00 00 00 00 00 64 00 88 00 00 00 32 00 1F 00 06 00 01 01 00 B0 00 08 00 00 00 00 00 00 00 00 00 00 00 00 00 00 00 00 00 00 64 00 87 00 00 00 32 00 1F 00 06 00 01 01 00 AF 00 08 00 00 00 00 00 00 00 00 00 00 00 00 00 00 00 00 00 00 64 00 89 00 00 00 32 00 1F 00 06 00 01 01 00 B1 00 08 00 00 00 00 00 00 00 00 00 00 00 00 00 00 00 00 00 </t>
  </si>
  <si>
    <t>00 64 00 8C 00 00 00 32 00 1F 00 06 00 01 01 00 B4 00 08 00 00 00 00 00 00 00 00 00 00 00 00 00 00 00 00 00 00 64 00 7D 00 00 00 32 00 1F 00 06 00 01 01 00 A5 00 08 00 00 00 00 00 00 00 00 00 00 00 00 00 00 00 00 00 00 64 00 7E 00 00 00 32 00 1F 00 06 00 01 01 00 A6 00 08 00 00 00 00 00 00 00 00 00 00 00 00 00 00 00 00 00 00 64 00 80 00 00 00 32 00 1F 00 06 00 01 01 00 A8 00 08 00 00 00 00 00 00 00 00 00 00 00 00 00 00 00 00 00 00 64 00 7F 00 00 00 32 00 1F 00 06 00 01 01 00 A7 00 08 00 00 00 00 00 00 00 00 00 00 00 00 00 00 00 00 00 00 64 00 86 00 00 00 32 00 1F 00 06 00 01 01 00 AE 00 08 00 00 00 00 00 00 00 00 00 00 00 00 00 00 00 00 00 00 64 00 81 14 00 00 32 00 1F 00 06 00 01 01 00 A9 00 08 00 00 00 00 00 00 00 00 00 00 00 00 00 00 00 00 00 00 64 00 8A 14 00 00 32 00 1F 00 06 00 01 01 00 B2 00 08 00 00 00 00 00 00 00 00 00 00 00 00 00 00 00 00 00 00 64 00 8B 14 00 00 32 00 1F 00 06 00 01 01 00 B3 00 08 00 00 00 00 00 00 00 00 00 00 00 00 00 00 00 00 00 00 64 00 AF 14 00 00 32 00 1F 00 06 00 01 01 00 B5 00 08 00 00 00 00 00 00 00 00 00 00 00 00 00 00 00 00 00 00 00 00 00 00 00 00 00 00 9F 03 00 00 00 01 00 1E 1E 00 00 00 00 00 00 00 00 00 00 00 00 00 00 00 00 00 00 00 00 00 00 00 00 00 00 00 9F 03 00 00 00 01 00 1F 1F 00 00 00 00 00 00 00 00 00 00 00 00 00 00 00 00 00 00 00 00 00 00 00 00 00 00 00 9F 03 00 00 00 01 00 20 20 00 00 00 00 00 00 00 00 00 00 00 00 00 00 00 00 00 00 00 00 00 00 00 00 00 00 00 9F 03 00 00 00 01 00 21 21 00 00 00 00 00 00 00 00 00 00 00 00 00 00 00 00 00 00 00 00 00 00 00 00 00 00 00 9F 03 00 00 00 01 00 22 22 00 00 00 00 00 00 00 00 00 00 00 00 00 00 00 00 00 00 00 00 00 00 00 00 00 00 00 9F 03 00 00 00 01 00 23 23 00 00 00 00 00 00 00 00 00 00 00 00 00 00 00 00 00 00 00 00 00 00 00 00 00 00 00 9F 02 01 00 00 01 00 1E 1E 00 00 00 00 00 00 00 00 00 00 00 00 00 00 00 00 00 00 00 00 00 00 00 00 00 00 00 9F 02 01 00 00 01 00 1F 1F 00 00 00 00 00 00 00 00 00 00 00 00 00 00 00 00 00 00 00 00 00 00 00 00 00 00 00 9F 02 01 00 00 01 00 20 20 00 00 00 00 00 00 00 00 00 00 00 00 00 00 00 00 00 00 00 00 00 00 00 00 00 00 00 9F 02 01 00 00 01 00 21 21 00 00 00 00 00 00 00 00 00 00 00 00 00 00 00 00 00 00 00 00 00 00 00 00 00 00 00 9F 02 01 00 00 01 00 22 22 00 00 00 00 00 00 00 00 00 00 00 00 00 00 00 00 00 00 00 00 00 00 00 00 00 00 00 9F 02 01 00 00 01 00 23 23 00 00 00 00 00 00 00 00 00 00 00 00 00 00 00 00 00 00 00 00 00 00 00 00 00 00 00 3F 02 00 00 00 08 00 05 00 00 00 00 00 00 00 00 00 00 00 00 00 00 00 00 00 00 00 00 00 00 00 00 00 00 00 00 3F 02 00 00 00 08 00 0B 00 00 00 00 00 00 00 00 00 00 00 00 00 00 00 00 00 00 00 00 00 00 00 00 00 00 00 00 3F 02 00 00 00 08 00 0C 00 00 00 00 00 00 00 00 00 00 00 00 00 00 00 00 00 00 00 00 00 00 00 00 00 00 00 00 3F 02 00 00 00 08 00 0D 00 00 00 00 00 00 00 00 00 00 00 00 00 00 00 00 00 00 00 00 00 00 00 00 00 00 00 00 3F 02 00 00 00 08 00 0E 00 00 00 00 00 00 00 00 00 00 00 00 00 00 00 00 00 00 00 00 00 00 00 00 00 00 00 00 3F 02 00 00 00 08 00 0F 00 00 00 00 00 00 00 00 00 00 00 00 00 00 00 00 00 00 00 00 00 00 00 00 00 00 00 00 3F 02 00 00 00 08 00 10 00 00 00 00 00 00 00 00 00 00 00 00 00 00 00 00 00 00 00 00 00 00 00 00 00 00 00 00 3F 02 00 00 00 08 00 11 00 00 00 00 00 00 00 00 00 00 00 00 00 00 00 00 00 00 00 00 00 00 00 00 00 00 00 00 3F 02 00 00 00 08 00 12 00 00 00 00 00 00 00 00 00 00 00 00 00 00 00 00 00 00 00 00 00 00 00 00 00 00 00 00 3F 02 00 00 00 08 00 16 00 00 00 00 00 00 00 00 00 00 00 00 00 00 00 00 00 00 00 00 00 00 00 00 00 00 00 00 3F 02 11 00 00 08 00 23 00 00 00 00 00 00 00 00 00 00 00 00 00 00 00 00 00 00 00 00 00 00 00 00 00 00 00 00 3F 02 11 00 00 08 00 25 00 00 00 00 00 00 00 00 00 00 00 00 00 00 00 00 00 00 00 00 00 00 00 00 00 00 00 00 3F 02 11 00 00 08 00 24 00 00 00 00 00 00 00 00 00 00 00 00 00 00 00 00 00 00 00 00 00 00 00 00 00 00 00 00 3F 02 11 00 00 08 00 26 00 00 00 00 00 00 00 00 00 00 00 00 00 00 00 00 00 00 00 00 00 00 00 00 00 00 00 00 3F 02 00 00 00 08 00 17 00 00 00 00 00 00 00 00 00 00 00 00 00 00 00 00 00 00 00 00 00 00 00 00 00 00 00 00 3F 02 00 00 00 08 00 18 00 00 00 00 00 00 00 00 00 00 00 00 00 00 00 00 00 00 00 00 C8 00 00 00 00 00 00 00 1F 03 12 00 00 02 00 BE 00 00 00 00 00 00 00 00 00 00 00 00 00 00 00 00 00 00 00 00 C8 00 00 00 00 00 00 00 1F 03 12 00 00 02 00 BF 00 00 00 00 00 00 00 00 00 00 00 00 00 00 00 00 00 00 00 00 C8 00 00 00 00 00 00 00 1F 03 12 00 00 02 00 C0 00 00 00 00 00 00 00 00 00 00 00 00 00 00 00 00 00 00 00 00 C8 00 00 00 00 00 00 00 1F 03 12 00 00 02 00 C1 00 00 00 00 00 00 00 00 00 00 00 00 00 00 00 00 00 00 00 00 C8 00 00 00 00 00 00 00 1F 03 12 00 00 02 00 C2 00 00 00 00 00 00 00 00 00 00 00 00 00 00 00 00 00 00 00 00 C8 00 00 00 00 00 00 00 1F 03 12 00 00 02 00 C3 00 00 00 00 00 00 00 00 00 00 00 00 00 00 00 00 00 00 00 00 C8 00 00 00 00 00 00 00 1F 03 12 00 00 02 00 C4 00 00 00 00 00 00 00 00 00 00 00 00 00 00 00 00 00 00 00 00 C8 00 00 00 00 00 00 00 1F A3 00 00 01 02 00 C5 00 00 00 00 00 04 00 00 00 00 00 00 00 FE 00 00 00 00 00 00 C8 00 00 05 00 00 00 00 1F A3 00 00 01 02 00 C6 00 00 00 00 00 01 00 00 00 00 00 00 00 00 7F 00 00 00 00 00 C8 00 00 00 00 00 00 00 1F 93 00 00 01 02 00 C7 00 00 01 01 10 00 00 00 00 00 00 00 00 00 00 00 00 00 00 00 64 00 00 00 00 00 00 00 1F 93 00 00 00 02 00 C8 00 00 00 00 00 00 00 00 00 00 00 00 00 00 00 00 00 00 00 00</t>
  </si>
  <si>
    <t>Held Argument</t>
  </si>
  <si>
    <t>Cost Low</t>
  </si>
  <si>
    <t>Cost High</t>
  </si>
  <si>
    <t>None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</si>
  <si>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</si>
  <si>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</si>
  <si>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</si>
  <si>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</si>
  <si>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</si>
  <si>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</si>
  <si>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</si>
  <si>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</si>
  <si>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</si>
  <si>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</si>
  <si>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</si>
  <si>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</si>
  <si>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</si>
  <si>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</si>
  <si>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</si>
  <si>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</si>
  <si>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</si>
  <si>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</si>
  <si>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</si>
  <si>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</si>
  <si>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</si>
  <si>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</si>
  <si>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</si>
  <si>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</si>
  <si>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</si>
  <si>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</si>
  <si>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</si>
  <si>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</si>
  <si>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</si>
  <si>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</si>
  <si>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</si>
  <si>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</si>
  <si>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</si>
  <si>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</si>
  <si>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</si>
  <si>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</si>
  <si>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</si>
  <si>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</si>
  <si>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</si>
  <si>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</si>
  <si>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</si>
  <si>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</si>
  <si>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</si>
  <si>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</si>
  <si>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</si>
  <si>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</si>
  <si>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</si>
  <si>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</si>
  <si>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</si>
  <si>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</si>
  <si>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</si>
  <si>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</si>
  <si>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</si>
  <si>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</si>
  <si>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</si>
  <si>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</si>
  <si>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</si>
  <si>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</si>
  <si>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</si>
  <si>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</si>
  <si>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</si>
  <si>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</si>
  <si>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</si>
  <si>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</si>
  <si>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</si>
  <si>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</si>
  <si>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</si>
  <si>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</si>
  <si>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</si>
  <si>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</si>
  <si>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</si>
  <si>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</si>
  <si>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</si>
  <si>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</si>
  <si>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</si>
  <si>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</si>
  <si>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</si>
  <si>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</si>
  <si>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</si>
  <si>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</si>
  <si>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</si>
  <si>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</si>
  <si>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</si>
  <si>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</si>
  <si>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</si>
  <si>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</si>
  <si>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</si>
  <si>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</si>
  <si>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</si>
  <si>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</si>
  <si>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</si>
  <si>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</si>
  <si>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</si>
  <si>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</si>
  <si>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</si>
  <si>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</si>
  <si>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</si>
  <si>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</si>
  <si>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</si>
  <si>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</si>
  <si>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</si>
  <si>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</si>
  <si>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</si>
  <si>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</si>
  <si>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</si>
  <si>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</si>
  <si>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</si>
  <si>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</si>
  <si>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</si>
  <si>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</si>
  <si>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</si>
  <si>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</si>
  <si>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Covert Cloak</t>
  </si>
  <si>
    <t>Loaded Die</t>
  </si>
  <si>
    <t>Umbrella Tree</t>
  </si>
  <si>
    <t>Douse Drive</t>
  </si>
  <si>
    <t>Shock Drive</t>
  </si>
  <si>
    <t>Burn Drive</t>
  </si>
  <si>
    <t>Chill Drive</t>
  </si>
  <si>
    <t>Frost Orb</t>
  </si>
  <si>
    <t>Spark Orb</t>
  </si>
  <si>
    <t>Clear Amulet</t>
  </si>
  <si>
    <t>Squirtilium Z</t>
  </si>
  <si>
    <t>???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</si>
  <si>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</si>
  <si>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</si>
  <si>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</si>
  <si>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</si>
  <si>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</si>
  <si>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</si>
  <si>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</si>
  <si>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</si>
  <si>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</si>
  <si>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</si>
  <si>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</si>
  <si>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</si>
  <si>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</si>
  <si>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</si>
  <si>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</si>
  <si>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</si>
  <si>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</si>
  <si>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</si>
  <si>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</si>
  <si>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</si>
  <si>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</si>
  <si>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</si>
  <si>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</si>
  <si>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</si>
  <si>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</si>
  <si>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</si>
  <si>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</si>
  <si>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</si>
  <si>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</si>
  <si>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</si>
  <si>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</si>
  <si>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</si>
  <si>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</si>
  <si>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</si>
  <si>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</si>
  <si>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</si>
  <si>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</si>
  <si>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</si>
  <si>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</si>
  <si>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</si>
  <si>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</si>
  <si>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</si>
  <si>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</si>
  <si>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</si>
  <si>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</si>
  <si>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</si>
  <si>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</si>
  <si>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</si>
  <si>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</si>
  <si>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</si>
  <si>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</si>
  <si>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</si>
  <si>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</si>
  <si>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</si>
  <si>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</si>
  <si>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</si>
  <si>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</si>
  <si>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</si>
  <si>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</si>
  <si>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</si>
  <si>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</si>
  <si>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</si>
  <si>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</si>
  <si>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</si>
  <si>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</si>
  <si>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</si>
  <si>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</si>
  <si>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</si>
  <si>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</si>
  <si>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</si>
  <si>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</si>
  <si>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</si>
  <si>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</si>
  <si>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</si>
  <si>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</si>
  <si>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</si>
  <si>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</si>
  <si>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</si>
  <si>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</si>
  <si>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</si>
  <si>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</si>
  <si>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</si>
  <si>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</si>
  <si>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</si>
  <si>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</si>
  <si>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</si>
  <si>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</si>
  <si>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</si>
  <si>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</si>
  <si>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</si>
  <si>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</si>
  <si>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</si>
  <si>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</si>
  <si>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</si>
  <si>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</si>
  <si>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</si>
  <si>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</si>
  <si>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</si>
  <si>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</si>
  <si>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</si>
  <si>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</si>
  <si>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</si>
  <si>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</si>
  <si>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</si>
  <si>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</si>
  <si>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</si>
  <si>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</si>
  <si>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</si>
  <si>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</si>
  <si>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</si>
  <si>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</si>
  <si>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</si>
  <si>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</si>
  <si>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</si>
  <si>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</si>
  <si>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</si>
  <si>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</si>
  <si>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</si>
  <si>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</si>
  <si>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</si>
  <si>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</si>
  <si>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</si>
  <si>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</si>
  <si>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</si>
  <si>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</si>
  <si>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</si>
  <si>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</si>
  <si>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</si>
  <si>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</si>
  <si>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</si>
  <si>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</si>
  <si>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</si>
  <si>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</si>
  <si>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</si>
  <si>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</si>
  <si>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</si>
  <si>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Life Orb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</si>
  <si>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</si>
  <si>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</si>
  <si>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</si>
  <si>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</si>
  <si>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</si>
  <si>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</si>
  <si>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</si>
  <si>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</si>
  <si>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</si>
  <si>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</si>
  <si>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</si>
  <si>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</si>
  <si>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</si>
  <si>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</si>
  <si>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</si>
  <si>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</si>
  <si>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</si>
  <si>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</si>
  <si>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</si>
  <si>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</si>
  <si>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</si>
  <si>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</si>
  <si>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</si>
  <si>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</si>
  <si>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</si>
  <si>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</si>
  <si>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</si>
  <si>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</si>
  <si>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</si>
  <si>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</si>
  <si>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</si>
  <si>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</si>
  <si>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</si>
  <si>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</si>
  <si>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</si>
  <si>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</si>
  <si>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</si>
  <si>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</si>
  <si>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</si>
  <si>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</si>
  <si>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</si>
  <si>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</si>
  <si>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</si>
  <si>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</si>
  <si>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</si>
  <si>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</si>
  <si>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</si>
  <si>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</si>
  <si>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</si>
  <si>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</si>
  <si>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</si>
  <si>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</si>
  <si>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</si>
  <si>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</si>
  <si>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</si>
  <si>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</si>
  <si>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</si>
  <si>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</si>
  <si>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</si>
  <si>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</si>
  <si>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</si>
  <si>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</si>
  <si>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</si>
  <si>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</si>
  <si>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</si>
  <si>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</si>
  <si>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</si>
  <si>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</si>
  <si>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</si>
  <si>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</si>
  <si>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</si>
  <si>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</si>
  <si>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</si>
  <si>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</si>
  <si>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</si>
  <si>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</si>
  <si>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</si>
  <si>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</si>
  <si>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</si>
  <si>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</si>
  <si>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</si>
  <si>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</si>
  <si>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</si>
  <si>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</si>
  <si>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</si>
  <si>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</si>
  <si>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</si>
  <si>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</si>
  <si>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</si>
  <si>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</si>
  <si>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</si>
  <si>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</si>
  <si>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</si>
  <si>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</si>
  <si>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</si>
  <si>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</si>
  <si>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</si>
  <si>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</si>
  <si>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</si>
  <si>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</si>
  <si>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</si>
  <si>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</si>
  <si>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</si>
  <si>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</si>
  <si>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</si>
  <si>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</si>
  <si>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</si>
  <si>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</si>
  <si>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</si>
  <si>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</si>
  <si>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</si>
  <si>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</si>
  <si>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</si>
  <si>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</si>
  <si>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</si>
  <si>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</si>
  <si>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</si>
  <si>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</si>
  <si>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</si>
  <si>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</si>
  <si>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</si>
  <si>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</si>
  <si>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</si>
  <si>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</si>
  <si>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</si>
  <si>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</si>
  <si>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</si>
  <si>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</si>
  <si>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</si>
  <si>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</si>
  <si>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</si>
  <si>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</si>
  <si>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</si>
  <si>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</si>
  <si>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</si>
  <si>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</si>
  <si>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</si>
  <si>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</si>
  <si>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</si>
  <si>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</si>
  <si>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</si>
  <si>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</si>
  <si>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</si>
  <si>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</si>
  <si>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</si>
  <si>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</si>
  <si>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</si>
  <si>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</si>
  <si>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</si>
  <si>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</si>
  <si>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</si>
  <si>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</si>
  <si>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</si>
  <si>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</si>
  <si>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</si>
  <si>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Throat Spray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</si>
  <si>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</si>
  <si>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</si>
  <si>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</si>
  <si>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</si>
  <si>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</si>
  <si>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</si>
  <si>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</si>
  <si>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</si>
  <si>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</si>
  <si>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</si>
  <si>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</si>
  <si>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</si>
  <si>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</si>
  <si>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</si>
  <si>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</si>
  <si>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</si>
  <si>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</si>
  <si>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</si>
  <si>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</si>
  <si>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</si>
  <si>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</si>
  <si>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</si>
  <si>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</si>
  <si>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</si>
  <si>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</si>
  <si>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</si>
  <si>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</si>
  <si>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</si>
  <si>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</si>
  <si>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</si>
  <si>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</si>
  <si>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</si>
  <si>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</si>
  <si>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</si>
  <si>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</si>
  <si>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</si>
  <si>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</si>
  <si>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</si>
  <si>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</si>
  <si>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</si>
  <si>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</si>
  <si>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</si>
  <si>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</si>
  <si>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</si>
  <si>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</si>
  <si>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</si>
  <si>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</si>
  <si>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</si>
  <si>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</si>
  <si>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</si>
  <si>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</si>
  <si>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</si>
  <si>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</si>
  <si>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</si>
  <si>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</si>
  <si>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</si>
  <si>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</si>
  <si>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</si>
  <si>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</si>
  <si>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</si>
  <si>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</si>
  <si>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</si>
  <si>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</si>
  <si>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</si>
  <si>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</si>
  <si>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</si>
  <si>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</si>
  <si>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</si>
  <si>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</si>
  <si>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</si>
  <si>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</si>
  <si>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</si>
  <si>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</si>
  <si>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</si>
  <si>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</si>
  <si>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</si>
  <si>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</si>
  <si>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</si>
  <si>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</si>
  <si>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</si>
  <si>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</si>
  <si>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</si>
  <si>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</si>
  <si>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</si>
  <si>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</si>
  <si>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</si>
  <si>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</si>
  <si>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</si>
  <si>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</si>
  <si>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</si>
  <si>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</si>
  <si>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</si>
  <si>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</si>
  <si>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</si>
  <si>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</si>
  <si>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</si>
  <si>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</si>
  <si>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</si>
  <si>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</si>
  <si>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</si>
  <si>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</si>
  <si>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</si>
  <si>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</si>
  <si>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</si>
  <si>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</si>
  <si>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</si>
  <si>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</si>
  <si>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</si>
  <si>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</si>
  <si>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</si>
  <si>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</si>
  <si>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</si>
  <si>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</si>
  <si>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</si>
  <si>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</si>
  <si>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</si>
  <si>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</si>
  <si>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</si>
  <si>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</si>
  <si>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</si>
  <si>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</si>
  <si>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</si>
  <si>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</si>
  <si>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</si>
  <si>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</si>
  <si>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</si>
  <si>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</si>
  <si>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</si>
  <si>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</si>
  <si>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</si>
  <si>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</si>
  <si>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</si>
  <si>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</si>
  <si>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</si>
  <si>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</si>
  <si>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</si>
  <si>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</si>
  <si>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</si>
  <si>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</si>
  <si>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</si>
  <si>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</si>
  <si>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</si>
  <si>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</si>
  <si>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</si>
  <si>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</si>
  <si>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</si>
  <si>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</si>
  <si>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</si>
  <si>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</si>
  <si>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</si>
  <si>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</si>
  <si>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</si>
  <si>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</si>
  <si>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</si>
  <si>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</si>
  <si>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</si>
  <si>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</si>
  <si>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</si>
  <si>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</si>
  <si>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</si>
  <si>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</si>
  <si>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</si>
  <si>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</si>
  <si>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</si>
  <si>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</si>
  <si>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</si>
  <si>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</si>
  <si>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</si>
  <si>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</si>
  <si>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</si>
  <si>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</si>
  <si>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</si>
  <si>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</si>
  <si>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</si>
  <si>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</si>
  <si>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</si>
  <si>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</si>
  <si>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</si>
  <si>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</si>
  <si>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</si>
  <si>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</si>
  <si>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</si>
  <si>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</si>
  <si>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</si>
  <si>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</si>
  <si>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</si>
  <si>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</si>
  <si>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</si>
  <si>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</si>
  <si>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</si>
  <si>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TM93</t>
  </si>
  <si>
    <t>TM94</t>
  </si>
  <si>
    <t>TM95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</si>
  <si>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</si>
  <si>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</si>
  <si>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</si>
  <si>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</si>
  <si>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</si>
  <si>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</si>
  <si>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</si>
  <si>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</si>
  <si>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</si>
  <si>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</si>
  <si>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</si>
  <si>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</si>
  <si>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</si>
  <si>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</si>
  <si>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</si>
  <si>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</si>
  <si>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</si>
  <si>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</si>
  <si>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</si>
  <si>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</si>
  <si>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</si>
  <si>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</si>
  <si>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</si>
  <si>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</si>
  <si>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</si>
  <si>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</si>
  <si>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</si>
  <si>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</si>
  <si>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</si>
  <si>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</si>
  <si>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</si>
  <si>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</si>
  <si>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</si>
  <si>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</si>
  <si>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</si>
  <si>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</si>
  <si>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</si>
  <si>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</si>
  <si>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</si>
  <si>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</si>
  <si>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</si>
  <si>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</si>
  <si>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</si>
  <si>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</si>
  <si>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</si>
  <si>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</si>
  <si>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</si>
  <si>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</si>
  <si>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</si>
  <si>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</si>
  <si>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</si>
  <si>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</si>
  <si>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</si>
  <si>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</si>
  <si>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</si>
  <si>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</si>
  <si>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</si>
  <si>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</si>
  <si>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</si>
  <si>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</si>
  <si>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</si>
  <si>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</si>
  <si>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</si>
  <si>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</si>
  <si>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</si>
  <si>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</si>
  <si>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TM96</t>
  </si>
  <si>
    <t>TM97</t>
  </si>
  <si>
    <t>TM98</t>
  </si>
  <si>
    <t>TM99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</si>
  <si>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</si>
  <si>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</si>
  <si>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</si>
  <si>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</si>
  <si>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</si>
  <si>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</si>
  <si>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</si>
  <si>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</si>
  <si>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</si>
  <si>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</si>
  <si>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</si>
  <si>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</si>
  <si>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</si>
  <si>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</si>
  <si>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</si>
  <si>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</si>
  <si>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</si>
  <si>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</si>
  <si>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</si>
  <si>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</si>
  <si>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</si>
  <si>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</si>
  <si>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</si>
  <si>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</si>
  <si>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</si>
  <si>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</si>
  <si>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</si>
  <si>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</si>
  <si>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</si>
  <si>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</si>
  <si>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</si>
  <si>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</si>
  <si>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</si>
  <si>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</si>
  <si>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</si>
  <si>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</si>
  <si>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</si>
  <si>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</si>
  <si>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HM07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</si>
  <si>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</si>
  <si>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</si>
  <si>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</si>
  <si>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</si>
  <si>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</si>
  <si>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</si>
  <si>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</si>
  <si>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</si>
  <si>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</si>
  <si>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</si>
  <si>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</si>
  <si>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</si>
  <si>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</si>
  <si>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</si>
  <si>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</si>
  <si>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</si>
  <si>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</si>
  <si>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</si>
  <si>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</si>
  <si>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</si>
  <si>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</si>
  <si>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</si>
  <si>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</si>
  <si>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</si>
  <si>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</si>
  <si>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</si>
  <si>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</si>
  <si>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</si>
  <si>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</si>
  <si>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</si>
  <si>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</si>
  <si>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</si>
  <si>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</si>
  <si>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</si>
  <si>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</si>
  <si>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Normalium Z</t>
  </si>
  <si>
    <t>Firium Z</t>
  </si>
  <si>
    <t>Waterium Z</t>
  </si>
  <si>
    <t>Electrium Z</t>
  </si>
  <si>
    <t>Grassium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</si>
  <si>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</si>
  <si>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</si>
  <si>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</si>
  <si>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</si>
  <si>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</si>
  <si>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</si>
  <si>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</si>
  <si>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</si>
  <si>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</si>
  <si>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</si>
  <si>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</si>
  <si>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</si>
  <si>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</si>
  <si>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</si>
  <si>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Bottle Cap</t>
  </si>
  <si>
    <t>Gold Bottle Cap</t>
  </si>
  <si>
    <t>Z-Ring</t>
  </si>
  <si>
    <t>Decidium Z</t>
  </si>
  <si>
    <t>Incinium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</si>
  <si>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</si>
  <si>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</si>
  <si>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</si>
  <si>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</si>
  <si>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</si>
  <si>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</si>
  <si>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</si>
  <si>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</si>
  <si>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</si>
  <si>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</si>
  <si>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</si>
  <si>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</si>
  <si>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</si>
  <si>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</si>
  <si>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</si>
  <si>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</si>
  <si>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</si>
  <si>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</si>
  <si>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</si>
  <si>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</si>
  <si>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</si>
  <si>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</si>
  <si>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</si>
  <si>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</si>
  <si>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</si>
  <si>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Pikanium U</t>
  </si>
  <si>
    <t>Decidium U</t>
  </si>
  <si>
    <t>Incinium U</t>
  </si>
  <si>
    <t>Primarium U</t>
  </si>
  <si>
    <t>Tapunium U</t>
  </si>
  <si>
    <t>Marshadium U</t>
  </si>
  <si>
    <t>Aloraichium U</t>
  </si>
  <si>
    <t>Snorlium U</t>
  </si>
  <si>
    <t>Eevium U</t>
  </si>
  <si>
    <t>Mewnium U</t>
  </si>
  <si>
    <t>Pikashunium U</t>
  </si>
  <si>
    <t>Pikashunium Z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</si>
  <si>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</si>
  <si>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</si>
  <si>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</si>
  <si>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</si>
  <si>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</si>
  <si>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</si>
  <si>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</si>
  <si>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</si>
  <si>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</si>
  <si>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</si>
  <si>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</si>
  <si>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</si>
  <si>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</si>
  <si>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</si>
  <si>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</si>
  <si>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</si>
  <si>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</si>
  <si>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</si>
  <si>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</si>
  <si>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</si>
  <si>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</si>
  <si>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</si>
  <si>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</si>
  <si>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</si>
  <si>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</si>
  <si>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</si>
  <si>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</si>
  <si>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</si>
  <si>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</si>
  <si>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</si>
  <si>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</si>
  <si>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</si>
  <si>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Fire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</si>
  <si>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</si>
  <si>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</si>
  <si>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</si>
  <si>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</si>
  <si>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</si>
  <si>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</si>
  <si>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</si>
  <si>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</si>
  <si>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Solganium Z</t>
  </si>
  <si>
    <t>Lunalium Z</t>
  </si>
  <si>
    <t>Ultraburstium Z</t>
  </si>
  <si>
    <t>Mimikium Z</t>
  </si>
  <si>
    <t>Lycanium Z</t>
  </si>
  <si>
    <t>Kommonium Z</t>
  </si>
  <si>
    <t>Ultranecrozium U</t>
  </si>
  <si>
    <t>Mimikium U</t>
  </si>
  <si>
    <t>Lycanium U</t>
  </si>
  <si>
    <t>Kommonium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</si>
  <si>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</si>
  <si>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</si>
  <si>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</si>
  <si>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</si>
  <si>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</si>
  <si>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</si>
  <si>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</si>
  <si>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</si>
  <si>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</si>
  <si>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</si>
  <si>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</si>
  <si>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</si>
  <si>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</si>
  <si>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</si>
  <si>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</si>
  <si>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</si>
  <si>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</si>
  <si>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</si>
  <si>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</si>
  <si>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</si>
  <si>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</si>
  <si>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</si>
  <si>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</si>
  <si>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</si>
  <si>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</si>
  <si>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Name</t>
  </si>
  <si>
    <t>Held Effect</t>
  </si>
  <si>
    <t>Natural Gift Power</t>
  </si>
  <si>
    <t>Fling Effect</t>
  </si>
  <si>
    <t>Natural Gift Effect</t>
  </si>
  <si>
    <t>Reuse (0x10)/Consume (0x01)</t>
  </si>
  <si>
    <t>HP EV</t>
  </si>
  <si>
    <t>Atk EV</t>
  </si>
  <si>
    <t>Def EV</t>
  </si>
  <si>
    <t>Spe EV</t>
  </si>
  <si>
    <t>SpA EV</t>
  </si>
  <si>
    <t>SpD EV</t>
  </si>
  <si>
    <t>Friend 1</t>
  </si>
  <si>
    <t>Friend 2</t>
  </si>
  <si>
    <t>Friend 3</t>
  </si>
  <si>
    <t>Case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</si>
  <si>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</si>
  <si>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</si>
  <si>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</si>
  <si>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</si>
  <si>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</si>
  <si>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</si>
  <si>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</si>
  <si>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</si>
  <si>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</si>
  <si>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</si>
  <si>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</si>
  <si>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</si>
  <si>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</si>
  <si>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</si>
  <si>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</si>
  <si>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</si>
  <si>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</si>
  <si>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</si>
  <si>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</si>
  <si>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</si>
  <si>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cost of item</t>
  </si>
  <si>
    <t>byte 0x24</t>
  </si>
  <si>
    <t>Item return</t>
  </si>
  <si>
    <t>Return is Consumable</t>
  </si>
  <si>
    <t>Return is Reusable</t>
  </si>
  <si>
    <t>This and below require 0xC = 1</t>
  </si>
  <si>
    <t>if parameter is greater than 0x13: 0 or 2 -&gt; return byte 0x10 (the flags that control the status cured, pokeball effect, and Z-Crystal effect) 1 -&gt; subtract 0x14 from the parameter and do a second jump table anything else -&gt; return 0</t>
  </si>
  <si>
    <t>0x10, bit 6</t>
  </si>
  <si>
    <t>0x10, bit 1</t>
  </si>
  <si>
    <t>0x10, bit 0</t>
  </si>
  <si>
    <t>0x10, bit 2</t>
  </si>
  <si>
    <t>0x10, bit 3</t>
  </si>
  <si>
    <t>0x10, bit 4</t>
  </si>
  <si>
    <t>0x10, bit 5</t>
  </si>
  <si>
    <t>0x10, bit 7</t>
  </si>
  <si>
    <t>HP EV (signed)</t>
  </si>
  <si>
    <t>Atk EV (signed)</t>
  </si>
  <si>
    <t>Def EV (signed)</t>
  </si>
  <si>
    <t>Spe EV (signed)</t>
  </si>
  <si>
    <t>SpA EV (signed)</t>
  </si>
  <si>
    <t>SpD EV (signed)</t>
  </si>
  <si>
    <t>Friend 1 (signed)</t>
  </si>
  <si>
    <t>Friend 2 (signed)</t>
  </si>
  <si>
    <t>Friend 3 (signed)</t>
  </si>
  <si>
    <t>PP Heal Value</t>
  </si>
  <si>
    <t>HP Heal Value</t>
  </si>
  <si>
    <t>Revives</t>
  </si>
  <si>
    <t>Applies to full party</t>
  </si>
  <si>
    <t>Increases Level</t>
  </si>
  <si>
    <t>Evolution Stone</t>
  </si>
  <si>
    <t>Defense Stat Stage (Battle)</t>
  </si>
  <si>
    <t>Attack Stat Stage (Battle)</t>
  </si>
  <si>
    <t>Special Attack Stat Stage (Battle)</t>
  </si>
  <si>
    <t>Flags (0x1 = revives, 0x2 = applies to full party, 0x4 = level up, 0x8 = Evolution stone), highest 4 Attack Stat Change from Battle Item</t>
  </si>
  <si>
    <t>Low 4 Defense Stat Stage, high 4 Special Attack</t>
  </si>
  <si>
    <t>Accuracy Stat Stage (Battle)</t>
  </si>
  <si>
    <t>Critical Stat Stage (Battle)</t>
  </si>
  <si>
    <t>Speed Stat Stage (Battle)</t>
  </si>
  <si>
    <t>Special Defense Stat Stage (Battle)</t>
  </si>
  <si>
    <t>Special Defense and Speed</t>
  </si>
  <si>
    <t>Accuracy and Crit (bits 4 and 5), PP up and PP Max (6 and 7)</t>
  </si>
  <si>
    <t>Restores PP of single Move</t>
  </si>
  <si>
    <t>Restores PP of All Moves</t>
  </si>
  <si>
    <t>Heals HP (Field)</t>
  </si>
  <si>
    <t>Alters HP EV</t>
  </si>
  <si>
    <t>Alters Attack EV</t>
  </si>
  <si>
    <t>Alters Defense EV</t>
  </si>
  <si>
    <t>Alters Speed EV</t>
  </si>
  <si>
    <t>Alters Special Attack EV</t>
  </si>
  <si>
    <t>0x1 - Restores PP of single Move, 0x2 - Restores PP of All Moves, 0x4 - Heals HP (Field), 0x8 - Alters HP EV, 0x10 - Alters Attack EV, 0x20 - Alters Defense EV, 0x40 - Alters Speed EV, 0x80 - Alters Special Attack EV</t>
  </si>
  <si>
    <t>Alters Special Defense EV</t>
  </si>
  <si>
    <t>Alter Friendship 1</t>
  </si>
  <si>
    <t>Alter Friendship 2</t>
  </si>
  <si>
    <t>Alter Friendship 3</t>
  </si>
  <si>
    <t>Wing</t>
  </si>
  <si>
    <t>0x1 - Alters Special Defense EV, 0x2 - Wing, 0x4 - Alter Friendship 1, 0x8 - Alter Friendship 2, 0x10 - Alter Friendship 3</t>
  </si>
  <si>
    <t>1F</t>
  </si>
  <si>
    <t>Packed Low, bit 5</t>
  </si>
  <si>
    <t>Packed Low, bit 0-4</t>
  </si>
  <si>
    <t>Packed Low, bit 6</t>
  </si>
  <si>
    <t>Packed, bit 7-10</t>
  </si>
  <si>
    <t>Packed, bit 11-15</t>
  </si>
  <si>
    <t>Item Class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</si>
  <si>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</si>
  <si>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</si>
  <si>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</si>
  <si>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</si>
  <si>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</si>
  <si>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</si>
  <si>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</si>
  <si>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</si>
  <si>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</si>
  <si>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</si>
  <si>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20</t>
  </si>
  <si>
    <t>21</t>
  </si>
  <si>
    <t>22</t>
  </si>
  <si>
    <t>23</t>
  </si>
  <si>
    <t>8-9</t>
  </si>
  <si>
    <t>(Pocket Battle) 11-15</t>
  </si>
  <si>
    <t>00 00 00 00 00 00 00 00 1F 08 00 01 02 04 00 03 00 00 00 00 00 00 00 00 00 00 00 00 00 00 00 00 00 00 00 00 28 00 00 00 00 00 00 00 1F 08 00 01 02 04 00 02 01 00 00 00 00 00 00 00 00 00 00 00 00 00 00 00 00 00 00 00 1E 00 00 00 00 00 00 00 1F 08 00 01 02 04 00 01 02 00 00 00 00 00 00 00 00 00 00 00 00 00 00 00 00 00 00 00 0A 00 00 00 00 00 00 00 1F 08 00 01 02 04 00 00 03 00 00 00 00 00 00 00 00 00 00 00 00 00 00 00 00 00 00 00 00 00 00 00 00 00 00 00 1F 08 00 01 02 04 00 0F 04 00 00 00 00 00 00 00 00 00 00 00 00 00 00 00 00 00 00 00 32 00 00 00 00 00 00 00 1F 08 00 01 02 04 00 07 05 00 00 00 00 00 00 00 00 00 00 00 00 00 00 00 00 00 00 00 32 00 00 00 00 00 00 00 1F 08 00 01 02 04 00 0D 06 00 00 00 00 00 00 00 00 00 00 00 00 00 00 00 00 00 00 00 32 00 00 00 00 00 00 00 1F 08 00 01 02 04 00 08 07 00 00 00 00 00 00 00 00 00 00 00 00 00 00 00 00 00 00 00 32 00 00 00 00 00 00 00 1F 08 00 01 02 04 00 0C 08 00 00 00 00 00 00 00 00 00 00 00 00 00 00 00 00 00 00 00 32 00 00 00 00 00 00 00 1F 08 00 01 02 04 00 0B 09 00 00 00 00 00 00 00 00 00 00 00 00 00 00 00 00 00 00 00 32 00 00 00 00 00 00 00 1F 08 00 01 02 04 00 0E 0A 00 00 00 00 00 00 00 00 00 00 00 00 00 00 00 00 00 00 00 0F 00 00 00 00 00 00 00 1F 08 00 01 02 04 00 04 0B 00 00 00 00 00 00 00 00 00 00 00 00 00 00 00 00 00 00 00 32 00 00 00 00 00 00 00 1F 08 00 01 02 04 00 0A 0C 00 00 00 00 00 00 00 00 00 00 00 00 00 00 00 00 00 00 00 0F 00 00 00 00 00 00 00 1F 08 00 01 02 04 00 06 0D 00 00 00 00 00 00 00 00 00 00 00 00 00 00 00 00 00 00 00 32 00 00 00 00 00 00 00 1F 08 00 01 02 04 00 09 0E 00 00 00 00 00 00 00 00 00 00 00 00 00 00 00 00 00 00 00 00 00 00 00 00 00 00 00 1F 08 00 01 02 04 00 05 0F 00 00 00 00 00 00 00 00 00 00 00 00 00 00 00 00 00 00 00 14 00 00 14 00 00 1E 00 9F 20 01 02 01 00 00 02 00 00 00 00 00 04 00 00 00 00 00 00 00 14 00 00 00 00 00 00 14 00 00 00 00 00 1E 00 9F 40 01 02 01 00 00 11 02 00 00 00 00 00 00 00 00 00 00 00 00 00 00 00 00 00 00 00 1E 00 00 00 00 00 1E 00 9F 40 01 02 01 00 00 13 04 00 00 00 00 00 00 00 00 00 00 00 00 00 00 00 00 00 00 00 0A 00 00 00 00 00 1E 00 9F 40 01 02 01 00 00 14 08 00 00 00 00 00 00 00 00 00 00 00 00 00 00 00 00 00 00 00 0A 00 00 00 00 00 1E 00 9F 40 01 02 01 00 00 15 01 00 00 00 00 00 00 00 00 00 00 00 00 00 00 00 00 00 00 00 1E 00 00 00 00 00 1E 00 9F 40 01 02 01 00 00 12 10 00 00 00 00 00 00 00 00 00 00 00 00 00 00 00 00 00 00 00 F0 0A 00 FF 00 00 1E 00 9F 60 01 02 01 00 00 04 3F 00 00 00 00 04 00 00 00 00 00 00 00 FF 00 00 00 00 00 00 A8 07 00 FF 00 00 1E 00 9F 20 01 02 01 00 00 03 00 00 00 00 00 04 00 00 00 00 00 00 00 FF 00 00 00 00 00 00 F4 01 00 C8 00 00 1E 00 9F 20 01 02 01 00 00 02 00 00 00 00 00 04 00 00 00 00 00 00 00 C8 00 00 00 00 00 00 46 00 00 3C 00 00 1E 00 9F 20 01 02 01 00 00 02 00 00 00 00 00 04 00 00 00 00 00 00 00 3C 00 00 00 00 00 00 18 01 00 00 00 00 1E 00 9F 40 01 02 01 00 00 19 3F 00 00 00 00 00 00 00 00 00 00 00 00 00 00 00 00 00 00 00 C4 09 00 00 00 00 1E 00 9F 40 01 00 01 00 00 05 00 01 00 00 00 04 00 00 00 00 00 00 00 01 00 00 00 00 00 00 88 13 00 00 00 00 1E 00 9F 40 01 02 01 00 00 06 00 01 00 00 00 00 00 00 00 00 00 00 00 FD 00 00 00 00 00 00 14 00 00 1E 00 00 1E 00 9F 20 01 02 01 00 00 09 00 00 00 00 00 04 00 00 00 00 00 00 00 32 00 00 00 00 00 00 1E 00 00 32 00 00 1E 00 9F 20 01 02 01 00 00 0A 00 00 00 00 00 04 00 00 00 00 00 00 00 3C 00 00 00 00 00 00 28 00 00 46 00 00 1E 00 9F 20 01 02 01 00 00 0B 00 00 00 00 00 04 00 00 00 00 00 00 00 50 00 00 00 00 00 00 78 00 00 64 00 00 1E 00 9F 20 01 02 01 00 00 0C 00 00 00 00 00 04 00 00 00 00 00 00 00 64 00 00 00 00 00 00 32 00 00 00 00 00 1E 00 9F 20 01 02 01 00 00 0D 00 00 00 00 00 04 1C 00 00 00 00 00 00 3C 00 FB FB F6 00 00 78 00 00 00 00 00 1E 00 9F 20 01 02 01 00 00 0E 00 00 00 00 00 04 1C 00 00 00 00 00 00 78 00 F6 F6 F1 00 00 1E 00 00 00 00 00 1E 00 9F 40 01 02 01 00 00 1A 3F 00 00 00 00 00 1C 00 00 00 00 00 00 00 00 FB FB F6 00 00 A6 0E 00 00 00 00 1E 00 9F 40 01 02 01 00 00 0F 00 01 00 00 00 00 1C 00 00 00 00 00 00 FD 00 F1 F1 EC 00 00 78 00 00 0A 00 00 1E 00 9F 20 01 02 01 00 00 22 00 00 00 00 00 01 00 00 00 00 00 00 00 00 0A 00 00 00 00 00 C8 00 00 FF 00 00 1E 00 9F 20 01 02 01 00 00 23 00 00 00 00 00 01 00 00 00 00 00 00 00 00 7F 00 00 00 00 00 B4 00 00 0A 00 00 1E 00 9F 20 01 02 01 00 00 24 00 00 00 00 00 02 00 00 00 00 00 00 00 00 0A 00 00 00 00 00 FA 00 00 FF 00 00 1E 00 9F 20 01 02 01 00 00 25 00 00 00 00 00 02 00 00 00 00 00 00 00 00 7F 00 00 00 00 00 23 00 00 00 00 00 1E 00 9F 40 01 02 01 00 00 1B 3F 00 00 00 00 00 00 00 00 00 00 00 00 00 00 00 00 00 00 00 14 00 01 32 00 00 1E 00 9F 20 01 02 01 00 01 07 00 00 00 00 00 04 00 00 00 00 00 00 00 32 00 00 00 00 00 00 90 01 00 00 00 00 1E 00 9F 00 01 00 01 00 00 00 1F 03 00 00 00 04 1C 00 00 00 00 00 00 FF 00 01 01 01 00 00 09 00 00 00 00 00 1E 00 9F 00 01 00 01 00 00 26 00 00 00 00 00 08 1C 0A 00 00 00 00 00 00 00 05 03 02 00 00 09 00 00 00 00 00 1E 00 9F 00 01 00 01 00 00 27 00 00 00 00 00 10 1C 00 0A 00 00 00 00 00 00 05 03 02 00 00 09 00 00 00 00 00 1E 00 9F 00 01 00 01 00 00 28 00 00 00 00 00 20 1C 00 00 0A 00 00 00 00 00 05 03 02 00 00 09 00 00 00 00 00 1E 00 9F 00 01 00 01 00 00 2B 00 00 00 00 00 40 1C 00 00 00 0A 00 00 00 00 05 03 02 00 00 09 00 00 00 00 00 1E 00 9F 00 01 00 01 00 00 29 00 00 00 00 00 80 1C 00 00 00 00 0A 00 00 00 05 03 02 00 00 05 00 00 00 00 00 1E 00 9F 00 01 00 01 00 00 35 00 07 00 00 00 00 1C 00 00 00 00 00 00 00 00 05 03 02 00 00 E8 03 00 00 00 00 1E 00 9F 00 01 00 01 00 00 32 00 00 00 00 40 00 1C 00 00 00 00 00 00 00 00 05 03 02 00 00 09 00 00 00 00 00 1E 00 9F 00 01 00 01 00 00 2A 00 00 00 00 00 00 1D 00 00 00 00 00 0A 00 00 05 03 02 00 00 2C 01 00 00 00 00 1E 00 9F 00 01 00 01 00 00 33 00 00 00 00 80 00 1C 00 00 00 00 00 00 00 00 05 03 02 00 00 23 00 00 00 00 00 1E 00 9F 40 01 02 01 00 00 1C 3F 00 00 00 00 00 00 00 00 00 00 00 00 00 00 00 00 00 00 00 5E 01 00 00 00 00 1E 00 1F 10 00 00 01 03 00 07 80 00 00 00 00 00 0C 00 00 00 00 00 00 00 00 01 01 00 00 00 F4 01 00 00 00 00 1E 00 1F 10 00 00 01 03 00 06 00 00 00 00 10 00 0C 00 00 00 00 00 00 00 00 01 01 00 00 00 F4 01 00 00 00 00 1E 00 1F 10 00 00 01 03 00 00 00 20 00 00 00 00 0C 00 00 00 00 00 00 00 00 01 01 00 00 00 F4 01 00 00 00 00 1E 00 1F 10 00 00 01 03 00 01 00 00 02 00 00 00 0C 00 00 00 00 00 00 00 00 01 01 00 00 00 F4 01 00 00 00 00 1E 00 1F 10 00 00 01 03 00 02 00 00 00 20 00 00 0C 00 00 00 00 00 00 00 00 01 01 00 00 00 F4 01 00 00 00 00 1E 00 1F 10 00 00 01 03 00 05 00 00 00 00 02 00 0C 00 00 00 00 00 00 00 00 01 01 00 00 00 F4 01 00 00 00 00 1E 00 1F 10 00 00 01 03 00 03 00 00 20 00 00 00 0C 00 00 00 00 00 00 00 00 01 01 00 00 00 F4 01 00 00 00 00 1E 00 1F 10 00 00 01 03 00 04 00 00 00 02 00 00 0C 00 00 00 00 00 00 00 00 01 01 00 00 00 0A 00 00 00 00 00 1E 00 1F 10 00 03 01 03 00 08 00 00 00 00 00 00 00 00 00 00 00 00 00 00 00 00 00 00 00 00 0A 00 00 00 00 00 1E 00 1F 10 00 03 01 03 00 09 00 00 00 00 00 00 00 00 00 00 00 00 00 00 00 00 00 00 00 00 02 00 00 00 00 00 1E 00 9F 40 01 02 01 03 10 16 01 00 00 00 00 00 00 00 00 00 00 00 00 00 00 00 00 00 00 00 02 00 00 00 00 00 1E 00 9F 40 00 02 01 03 10 17 20 00 00 00 00 00 00 00 00 00 00 00 00 00 00 00 00 00 00 00 02 00 00 00 00 00 1E 00 9F 40 00 02 01 03 10 18 40 00 00 00 00 00 00 00 00 00 00 00 00 00 00 00 00 00 00 00 02 00 00 00 00 00 1E 00 1F 00 0A 00 01 02 10 78 00 00 00 00 00 00 00 00 00 00 00 00 00 00 00 00 00 00 00 00 02 00 00 00 00 00 1E 00 1F 00 0A 00 01 02 10 79 00 00 00 00 00 00 00 00 00 00 00 00 00 00 00 00 00 00 00 00 02 00 00 00 00 00 1E 00 1F 00 00 00 01 02 00 18 00 00 00 00 00 00 00 00 00 00 00 00 00 00 00 00 00 00 00 00 02 00 00 00 00 00 1E 00 1F 00 00 00 01 02 00 19 00 00 00 00 00 00 00 00 00 00 00 00 00 00 00 00 00 00 00 00 64 00 00 00 00 00 1E 00 1F 00 00 00 01 02 00 64 00 00 00 00 00 00 00 00 00 00 00 00 00 00 00 00 00 00 00 00 64 00 00 00 00 00 1E 00 1F 00 00 00 01 02 00 65 00 00 00 00 00 00 00 00 00 00 00 00 00 00 00 00 00 00 00 00 64 00 00 00 00 00 1E 00 1F 00 00 00 01 02 00 66 00 00 00 00 00 00 00 00 00 00 00 00 00 00 00 00 00 00 00 00 64 00 00 00 00 00 1E 00 1F 00 00 00 01 02 00 67 00 00 00 00 00 00 00 00 00 00 00 00 00 00 00 00 00 00 00 00 46 00 00 28 00 00 1E 00 1F 00 05 00 01 02 00 01 00 00 00 00 00 00 00 00 00 00 00 00 00 00 00 00 00 00 00 00 32 00 00 64 00 00 1E 00 1F 00 05 00 01 02 00 00 00 00 00 00 00 00 00 00 00 00 00 00 00 00 00 00 00 00 00 00 64 00 00 00 00 00 1E 00 1F 00 07 00 01 02 00 03 00 00 00 00 00 00 00 00 00 00 00 00 00 00 00 00 00 00 00 00 28 00 00 14 00 00 1E 00 1F 00 05 00 01 02 00 02 00 00 00 00 00 00 00 00 00 00 00 00 00 00 00 00 00 00 00 00 2C 01 00 00 00 00 1E 00 1F 00 06 00 01 02 00 4C 00 08 00 00 00 00 00 00 00 00 00 00 00 00 00 00 00 00 00 00 2C 01 00 00 00 00 1E 00 1F 00 06 00 01 02 00 4D 00 08 00 00 00 00 00 00 00 00 00 00 00 00 00 00 00 00 00 00 2C 01 00 00 00 00 1E 00 1F 00 06 00 01 02 00 47 00 08 00 00 00 00 00 00 00 00 00 00 00 00 00 00 00 00 00 00 2C 01 00 00 00 00 1E 00 1F 00 06 00 01 02 00 49 00 08 00 00 00 00 00 00 00 00 00 00 00 00 00 00 00 00 00 00 2C 01 00 00 00 00 1E 00 1F 00 06 00 01 02 00 48 00 08 00 00 00 00 00 00 00 00 00 00 00 00 00 00 00 00 00 00 2C 01 00 00 00 00 1E 00 1F 00 06 00 01 02 00 4A 00 08 00 00 00 00 00 00 00 00 00 00 00 00 00 00 00 00 00 00 C8 00 00 00 00 00 1E 00 1F 00 00 00 01 02 00 11 00 00 00 00 00 00 00 00 00 00 00 00 00 00 00 00 00 00 00 00 E8 03 00 00 00 00 1E 00 1F 00 00 00 01 02 00 0A 00 00 00 00 00 00 00 00 00 00 00 00 00 00 00 00 00 00 00 00 90 01 00 00 00 00 1E 00 1F 00 00 00 01 02 00 10 00 00 00 00 00 00 00 00 00 00 00 00 00 00 00 00 00 00 00 00 80 0C 00 00 00 00 1E 00 1F 00 00 00 01 02 00 0B 00 00 00 00 00 00 00 00 00 00 00 00 00 00 00 00 00 00 00 00 58 02 00 00 00 00 1E 00 1F 00 00 00 01 02 00 13 00 00 00 00 00 00 00 00 00 00 00 00 00 00 00 00 00 00 00 00 98 08 00 00 00 00 1E 00 1F 00 00 00 01 02 00 12 00 00 00 00 00 00 00 00 00 00 00 00 00 00 00 00 00 00 00 00 D0 07 00 00 00 00 1E 00 1F 00 00 00 01 02 00 0F 00 00 00 00 00 00 00 00 00 00 00 00 00 00 00 00 00 00 00 00 32 00 00 00 00 00 1E 00 1F 00 00 00 01 02 00 82 00 00 00 00 00 00 00 00 00 00 00 00 00 00 00 00 00 00 00 00 1E 00 00 00 00 00 1E 00 1F 00 04 00 01 02 00 AB 00 00 00 00 00 00 00 00 00 00 00 00 00 00 00 00 00 00 00 00 14 00 00 00 00 00 1E 00 1F 00 00 00 01 02 00 FF 00 00 00 00 00 00 00 00 00 00 00 00 00 00 00 00 00 00 00 00 14 00 00 00 00 00 1E 00 1F 00 00 00 01 02 00 FF 00 00 00 00 00 00 00 00 00 00 00 00 00 00 00 00 00 00 00 00 14 00 00 00 00 00 1E 00 1F 00 00 00 01 02 00 FF 00 00 00 00 00 00 00 00 00 00 00 00 00 00 00 00 00 00 00 00 14 00 00 00 00 00 1E 00 1F 00 00 00 01 02 00 FF 00 00 00 00 00 00 00 00 00 00 00 00 00 00 00 00 00 00 00 00 BC 02 00 00 00 00 64 00 1F 00 00 00 01 02 00 99 00 00 00 00 00 00 00 00 00 00 00 00 00 00 00 00 00 00 00 00 BC 02 00 00 00 00 64 00 1F 00 00 00 01 02 00 9A 00 00 00 00 00 00 00 00 00 00 00 00 00 00 00 00 00 00 00 00 BC 02 00 00 00 00 64 00 1F 00 00 00 01 02 00 96 00 00 00 00 00 00 00 00 00 00 00 00 00 00 00 00 00 00 00 00 BC 02 00 00 00 00 64 00 1F 00 00 00 01 02 00 97 00 00 00 00 00 00 00 00 00 00 00 00 00 00 00 00 00 00 00 00 E8 03 00 00 00 00 64 00 1F 00 06 00 01 02 00 98 00 08 00 00 00 00 00 00 00 00 00 00 00 00 00 00 00 00 00 00 BC 02 00 00 00 00 64 00 1F 00 00 00 01 02 00 9B 00 00 00 00 00 00 00 00 00 00 00 00 00 00 00 00 00 00 00 00 BC 02 00 00 00 00 64 00 1F 00 00 00 01 02 00 9C 00 00 00 00 00 00 00 00 00 00 00 00 00 00 00 00 00 00 00 00 D0 07 00 00 00 00 64 00 1F 00 00 00 01 02 00 0D 00 00 00 00 00 00 00 00 00 00 00 00 00 00 00 00 00 00 00 00 2C 01 00 00 00 00 50 00 1F 00 06 00 01 02 00 4E 00 08 00 00 00 00 00 00 00 00 00 00 00 00 00 00 00 00 00 00 2C 01 00 00 00 00 50 00 1F 00 06 00 01 02 00 4F 00 08 00 00 00 00 00 00 00 00 00 00 00 00 00 00 00 00 00 00 2C 01 00 00 00 00 50 00 1F 00 06 00 01 02 00 51 00 08 00 00 00 00 00 00 00 00 00 00 00 00 00 00 00 00 00 00 C8 00 00 00 00 00 50 00 1F 00 06 00 01 02 00 50 00 08 00 00 00 00 00 00 00 00 00 00 00 00 00 00 00 00 00 00 D2 00 00 00 00 00 50 00 1F 00 00 00 01 02 00 0C 00 00 00 00 00 00 00 00 00 00 00 00 00 00 00 00 00 00 00 00 00 00 02 14 00 00 3C 00 1F 00 00 00 00 01 00 44 00 00 00 00 00 00 00 00 00 00 00 00 00 00 00 00 00 00 00 00 C4 09 00 00 00 00 50 00 1F 00 00 00 00 01 00 35 00 00 00 00 00 00 00 00 00 00 00 00 00 00 00 00 00 00 00 00 DC 05 00 00 00 00 50 00 1F 00 00 00 00 01 00 35 00 00 00 00 00 00 00 00 00 00 00 00 00 00 00 00 00 00 00 00 DC 05 00 00 00 00 00 00 1F 00 00 00 00 00 00 35 00 00 00 00 00 00 00 00 00 00 00 00 00 00 00 00 00 00 00 00 00 00 03 00 00 00 46 00 1F 00 00 00 00 01 00 45 00 00 00 00 00 00 00 00 00 00 00 00 00 00 00 00 00 00 00 00 00 00 03 00 00 00 46 00 1F 00 00 00 00 01 00 45 00 00 00 00 00 00 00 00 00 00 00 00 00 00 00 00 00 00 00 00 00 00 03 00 00 00 46 00 1F 00 00 00 00 01 00 45 00 00 00 00 00 00 00 00 00 00 00 00 00 00 00 00 00 00 00 00 00 00 03 00 00 00 46 00 1F 00 00 00 00 01 00 45 00 00 00 00 00 00 00 00 00 00 00 00 00 00 00 00 00 00 00 00 DC 05 64 00 00 1A 1E 00 1F 00 00 00 00 01 00 09 00 00 00 00 00 00 00 00 00 00 00 00 00 00 00 00 00 00 00 00 DC 05 64 00 00 1B 1E 00 1F 00 00 00 00 01 00 09 00 00 00 00 00 00 00 00 00 00 00 00 00 00 00 00 00 00 00 00 B8 0B 95 00 00 00 3C 00 1F 00 00 00 00 01 00 22 00 00 00 00 00 00 00 00 00 00 00 00 00 00 00 00 00 00 00 00 00 00 00 00 00 00 00 00 1F 00 00 00 00 01 00 03 03 00 00 00 00 00 00 00 00 00 00 00 00 00 00 00 00 00 00 00 94 11 95 00 00 00 3C 00 1F 00 00 00 00 01 00 22 00 00 00 00 00 00 00 00 00 00 00 00 00 00 00 00 00 00 00 00 00 00 00 00 00 00 00 00 00 00 00 00 00 02 00 00 00 00 00 00 00 00 00 00 00 00 00 00 00 00 00 00 00 00 00 00 00 00 00 00 00 00 00 00 00 00 00 00 00 00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00 00 00 00 00 00 00 00 00 00 00 00 00 02 00 00 00 00 00 00 00 00 00 00 00 00 00 00 00 00 00 00 00 00 00 00 2C 01 00 00 00 00 1E 00 9F 20 01 02 01 00 00 08 00 00 00 00 00 04 1C 00 00 00 00 00 00 14 00 03 03 03 00 00 00 00 03 32 00 00 3C 00 1F 00 00 00 00 01 00 42 00 00 00 00 00 00 00 00 00 00 00 00 00 00 00 00 00 00 00 00 00 00 04 32 00 00 3C 00 1F 00 00 00 00 01 00 43 00 00 00 00 00 00 00 00 00 00 00 00 00 00 00 00 00 00 00 00 05 00 00 00 00 00 00 00 1F 00 0B 00 00 05 00 00 00 00 00 00 00 00 00 00 00 00 00 00 00 00 00 00 00 00 00 00 05 00 00 00 00 00 00 00 1F 00 0B 00 00 05 00 FF 01 00 00 00 00 00 00 00 00 00 00 00 00 00 00 00 00 00 00 00 05 00 00 00 00 00 00 00 1F 00 0B 00 00 05 00 FF 02 00 00 00 00 00 00 00 00 00 00 00 00 00 00 00 00 00 00 00 05 00 00 00 00 00 00 00 1F 00 0B 00 00 05 00 FF 03 00 00 00 00 00 00 00 00 00 00 00 00 00 00 00 00 00 00 00 05 00 00 00 00 00 00 00 1F 00 0B 00 00 05 00 FF 04 00 00 00 00 00 00 00 00 00 00 00 00 00 00 00 00 00 00 00 05 00 00 00 00 00 00 00 1F 00 0B 00 00 05 00 FF 05 00 00 00 00 00 00 00 00 00 00 00 00 00 00 00 00 00 00 00 05 00 00 00 00 00 00 00 1F 00 0B 00 00 05 00 FF 06 00 00 00 00 00 00 00 00 00 00 00 00 00 00 00 00 00 00 00 05 00 00 00 00 00 00 00 1F 00 0B 00 00 05 00 FF 07 00 00 00 00 00 00 00 00 00 00 00 00 00 00 00 00 00 00 00 05 00 00 00 00 00 00 00 1F 00 0B 00 00 05 00 FF 08 00 00 00 00 00 00 00 00 00 00 00 00 00 00 00 00 00 00 00 05 00 00 00 00 00 00 00 1F 00 0B 00 00 05 00 FF 09 00 00 00 00 00 00 00 00 00 00 00 00 00 00 00 00 00 00 00 05 00 00 00 00 00 00 00 1F 00 0B 00 00 05 00 FF 0A 00 00 00 00 00 00 00 00 00 00 00 00 00 00 00 00 00 00 00 05 00 00 00 00 00 00 00 1F 00 0B 00 00 05 00 FF 0B 00 00 00 00 00 00 00 00 00 00 00 00 00 00 00 00 00 00 00 02 00 05 00 01 01 0A 50 89 41 0C 00 01 07 01 00 10 00 00 00 00 00 00 00 00 00 00 00 00 00 00 00 00 00 00 00 02 00 06 00 02 02 0A 50 8A 41 0C 00 01 07 01 01 01 00 00 00 00 00 00 00 00 00 00 00 00 00 00 00 00 00 00 00 02 00 07 00 03 03 0A 50 8C 41 0C 00 01 07 01 02 02 00 00 00 00 00 00 00 00 00 00 00 00 00 00 00 00 00 00 00 02 00 08 00 04 04 0A 50 8B 41 0C 00 01 07 01 03 04 00 00 00 00 00 00 00 00 00 00 00 00 00 00 00 00 00 00 00 02 00 09 00 05 05 0A 50 8E 41 0C 00 01 07 01 04 08 00 00 00 00 00 00 00 00 00 00 00 00 00 00 00 00 00 00 00 02 00 0A 0A 06 06 0A 50 81 21 0C 00 01 07 01 05 00 00 00 00 00 01 00 00 00 00 00 00 00 00 0A 00 00 00 00 00 02 00 01 0A 07 07 0A 50 83 21 0C 00 01 07 01 06 00 00 00 00 00 04 00 00 00 00 00 00 00 0A 00 00 00 00 00 00 02 00 0B 00 08 08 0A 50 84 41 0C 00 01 07 01 07 20 00 00 00 00 00 00 00 00 00 00 00 00 00 00 00 00 00 00 00 A0 00 0C 00 09 09 0A 50 82 41 0C 00 01 07 01 08 3F 00 00 00 00 00 00 00 00 00 00 00 00 00 00 00 00 00 00 00 5F 00 0D 19 0A 0A 0A 50 8D 21 0C 00 01 07 01 09 00 00 00 00 00 04 00 00 00 00 00 00 00 FD 00 00 00 00 00 00 02 00 0E 03 0B 0B 0A 50 86 01 0C 00 01 07 01 0A 00 00 00 00 00 00 00 00 00 00 00 00 00 00 00 00 00 00 00 00 02 00 0F 03 0C 0C 0A 50 85 01 0C 00 01 07 01 0B 00 00 00 00 00 00 00 00 00 00 00 00 00 00 00 00 00 00 00 00 02 00 10 03 0D 0D 0A 50 87 01 0C 00 01 07 01 0C 00 00 00 00 00 00 00 00 00 00 00 00 00 00 00 00 00 00 00 00 02 00 11 03 0E 0E 0A 50 8F 01 0C 00 01 07 01 0D 00 00 00 00 00 00 00 00 00 00 00 00 00 00 00 00 00 00 00 00 02 00 12 03 0F 0F 0A 50 90 01 0C 00 01 07 01 0E 00 00 00 00 00 00 00 00 00 00 00 00 00 00 00 00 00 00 00 00 02 00 00 00 00 00 0A 50 88 01 0C 00 01 07 01 0F 00 00 00 00 00 00 00 00 00 00 00 00 00 00 00 00 00 00 00 00 02 00 00 00 00 00 0A 5A 89 01 0C 00 01 07 01 10 00 00 00 00 00 00 00 00 00 00 00 00 00 00 00 00 00 00 00 00 02 00 00 00 00 00 0A 5A 8A 01 0C 00 01 07 01 11 00 00 00 00 00 00 00 00 00 00 00 00 00 00 00 00 00 00 00 00 02 00 00 00 00 00 0A 5A 8C 01 0C 00 01 07 01 12 00 00 00 00 00 00 00 00 00 00 00 00 00 00 00 00 00 00 00 00 02 00 00 00 00 00 0A 5A 8B 01 0C 00 01 07 01 13 00 00 00 00 00 00 00 00 00 00 00 00 00 00 00 00 00 00 00 00 02 00 00 00 00 00 0A 5A 8E 01 0C 00 01 07 01 14 00 00 00 00 00 08 1C F6 00 00 00 00 00 00 00 0A 05 02 00 00 02 00 00 00 00 00 0A 5A 81 01 0C 00 01 07 01 15 00 00 00 00 00 10 1C 00 F6 00 00 00 00 00 00 0A 05 02 00 00 02 00 00 00 00 00 0A 5A 83 01 0C 00 01 07 01 16 00 00 00 00 00 20 1C 00 00 F6 00 00 00 00 00 0A 05 02 00 00 02 00 00 00 00 00 0A 5A 84 01 0C 00 01 07 01 17 00 00 00 00 00 80 1C 00 00 00 00 F6 00 00 00 0A 05 02 00 00 02 00 00 00 00 00 0A 5A 82 01 0C 00 01 07 01 18 00 00 00 00 00 00 1D 00 00 00 00 00 F6 00 00 0A 05 02 00 00 02 00 00 00 00 00 0A 5A 8D 01 0C 00 01 07 01 19 00 00 00 00 00 40 1C 00 00 00 F6 00 00 00 00 0A 05 02 00 00 02 00 00 00 00 00 0A 5A 86 01 0C 00 01 07 01 1A 00 00 00 00 00 00 00 00 00 00 00 00 00 00 00 00 00 00 00 00 02 00 00 00 00 00 0A 5A 85 01 0C 00 01 07 01 1B 00 00 00 00 00 00 00 00 00 00 00 00 00 00 00 00 00 00 00 00 02 00 00 00 00 00 0A 5A 87 01 0C 00 01 07 01 1C 00 00 00 00 00 00 00 00 00 00 00 00 00 00 00 00 00 00 00 00 02 00 00 00 00 00 0A 5A 8F 01 0C 00 01 07 01 1D 00 00 00 00 00 00 00 00 00 00 00 00 00 00 00 00 00 00 00 00 02 00 00 00 00 00 0A 5A 90 01 0C 00 01 07 01 1E 00 00 00 00 00 00 00 00 00 00 00 00 00 00 00 00 00 00 00 00 02 00 00 00 00 00 0A 5A 88 01 0C 00 01 07 01 1F 00 00 00 00 00 00 00 00 00 00 00 00 00 00 00 00 00 00 00 00 02 00 00 00 00 00 0A 64 89 01 0C 00 01 07 01 20 00 00 00 00 00 00 00 00 00 00 00 00 00 00 00 00 00 00 00 00 02 00 00 00 00 00 0A 64 8A 01 0C 00 01 07 01 21 00 00 00 00 00 00 00 00 00 00 00 00 00 00 00 00 00 00 00 00 02 00 00 00 00 00 0A 64 8C 01 0C 00 01 07 01 22 00 00 00 00 00 00 00 00 00 00 00 00 00 00 00 00 00 00 00 00 02 00 13 00 00 00 0A 50 89 01 0C 00 01 07 01 23 00 00 00 00 00 00 00 00 00 00 00 00 00 00 00 00 00 00 00 00 02 00 14 00 00 00 0A 50 8A 01 0C 00 01 07 01 24 00 00 00 00 00 00 00 00 00 00 00 00 00 00 00 00 00 00 00 00 02 00 15 00 00 00 0A 50 8C 01 0C 00 01 07 01 25 00 00 00 00 00 00 00 00 00 00 00 00 00 00 00 00 00 00 00 00 02 00 16 00 00 00 0A 50 8B 01 0C 00 01 07 01 26 00 00 00 00 00 00 00 00 00 00 00 00 00 00 00 00 00 00 00 00 02 00 17 00 00 00 0A 50 8E 01 0C 00 01 07 01 27 00 00 00 00 00 00 00 00 00 00 00 00 00 00 00 00 00 00 00 00 02 00 18 00 00 00 0A 50 81 01 0C 00 01 07 01 28 00 00 00 00 00 00 00 00 00 00 00 00 00 00 00 00 00 00 00 00 02 00 19 00 00 00 0A 50 83 01 0C 00 01 07 01 29 00 00 00 00 00 00 00 00 00 00 00 00 00 00 00 00 00 00 00 00 02 00 1A 00 00 00 0A 50 84 01 0C 00 01 07 01 2A 00 00 00 00 00 00 00 00 00 00 00 00 00 00 00 00 00 00 00 00 02 00 1B 00 00 00 0A 50 82 01 0C 00 01 07 01 2B 00 00 00 00 00 00 00 00 00 00 00 00 00 00 00 00 00 00 00 00 02 00 1C 00 00 00 0A 50 8D 01 0C 00 01 07 01 2C 00 00 00 00 00 00 00 00 00 00 00 00 00 00 00 00 00 00 00 00 02 00 1D 00 00 00 0A 50 86 01 0C 00 01 07 01 2D 00 00 00 00 00 00 00 00 00 00 00 00 00 00 00 00 00 00 00 00 02 00 1E 00 00 00 0A 50 85 01 0C 00 01 07 01 2E 00 00 00 00 00 00 00 00 00 00 00 00 00 00 00 00 00 00 00 00 02 00 1F 00 00 00 0A 50 87 01 0C 00 01 07 01 2F 00 00 00 00 00 00 00 00 00 00 00 00 00 00 00 00 00 00 00 00 02 00 20 00 00 00 0A 50 8F 01 0C 00 01 07 01 30 00 00 00 00 00 00 00 00 00 00 00 00 00 00 00 00 00 00 00 00 02 00 21 00 00 00 0A 50 90 01 0C 00 01 07 01 31 00 00 00 00 00 00 00 00 00 00 00 00 00 00 00 00 00 00 00 00 02 00 22 00 00 00 0A 50 88 01 0C 00 01 07 01 32 00 00 00 00 00 00 00 00 00 00 00 00 00 00 00 00 00 00 00 00 02 00 23 00 00 00 0A 50 80 01 0C 00 01 07 01 33 00 00 00 00 00 00 00 00 00 00 00 00 00 00 00 00 00 00 00 00 02 00 24 04 10 10 0A 64 8B 01 0C 00 01 07 01 34 00 00 00 00 00 00 00 00 00 00 00 00 00 00 00 00 00 00 00 00 02 00 25 04 11 11 0A 64 8E 01 0C 00 01 07 01 35 00 00 00 00 00 00 00 00 00 00 00 00 00 00 00 00 00 00 00 00 02 00 26 04 12 12 0A 64 81 01 0C 00 01 07 01 36 00 00 00 00 00 00 00 00 00 00 00 00 00 00 00 00 00 00 00 00 02 00 27 04 13 13 0A 64 83 01 0C 00 01 07 01 37 00 00 00 00 00 00 00 00 00 00 00 00 00 00 00 00 00 00 00 00 02 00 28 04 14 14 0A 64 84 01 0C 00 01 07 01 38 00 00 00 00 00 00 00 00 00 00 00 00 00 00 00 00 00 00 00 00 02 00 29 04 15 15 0A 64 82 01 0C 00 01 07 01 39 00 00 00 00 00 00 00 00 00 00 00 00 00 00 00 00 00 00 00 00 02 00 2A 04 16 16 0A 64 8D 01 0C 00 01 07 01 3A 00 00 00 00 00 00 00 00 00 00 00 00 00 00 00 00 00 00 00 00 02 00 2B 01 00 00 0A 64 86 01 0C 00 01 07 01 3B 00 00 00 00 00 00 00 00 00 00 00 00 00 00 00 00 00 00 00 00 02 00 2C 04 17 17 0A 64 85 01 0C 00 01 07 01 3C 00 00 00 00 00 00 00 00 00 00 00 00 00 00 00 00 00 00 00 00 02 00 2D 04 00 00 0A 64 87 01 0C 00 01 07 01 3D 00 00 00 00 00 00 00 00 00 00 00 00 00 00 00 00 00 00 00 00 02 00 2E 04 00 00 0A 64 8F 01 0C 00 01 07 01 3E 00 00 00 00 00 00 00 00 00 00 00 00 00 00 00 00 00 00 00 00 02 00 2F 04 00 00 0A 64 90 01 0C 00 01 07 01 3F 00 00 00 00 00 00 00 00 00 00 00 00 00 00 00 00 00 00 00 00 90 01 30 0A 00 00 0A 00 1F 00 00 00 00 01 00 20 00 00 00 00 00 00 00 00 00 00 00 00 00 00 00 00 00 00 00 00 32 00 31 00 00 18 0A 00 1F 00 00 00 00 01 01 2C 00 00 00 00 00 00 00 00 00 00 00 00 00 00 00 00 00 00 00 00 2C 01 32 00 00 00 C8 00 1F 00 00 00 00 01 00 05 00 00 00 00 00 00 00 00 00 00 00 00 00 00 00 00 00 00 00 00 00 00 00 00 00 00 00 00 7F 02 05 00 00 08 00 01 00 00 00 00 00 00 00 00 00 00 00 00 00 00 00 00 00 00 00 00 90 01 33 14 00 00 50 00 1F 00 00 00 00 01 00 30 00 00 00 00 00 00 00 00 00 00 00 00 00 00 00 00 00 00 00 00 90 01 34 00 00 00 0A 00 1F 00 00 00 00 01 00 27 00 00 00 00 00 00 00 00 00 00 00 00 00 00 00 00 00 00 00 00 78 00 35 00 00 19 0A 00 1F 00 00 00 00 01 01 25 00 00 00 00 00 00 00 00 00 00 00 00 00 00 00 00 00 00 00 00 94 11 36 00 00 00 0A 00 1F 00 00 00 00 01 00 07 00 00 00 00 00 00 00 00 00 00 00 00 00 00 00 00 00 00 00 00 2C 01 37 0A 00 1A 1E 00 1F 00 06 00 01 02 00 49 00 08 00 00 00 00 00 00 00 00 00 00 00 00 00 00 00 00 00 00 64 00 38 14 00 00 0A 00 1F 00 00 00 00 01 00 5F 00 00 00 00 00 00 00 00 00 00 00 00 00 00 00 00 00 00 00 00 E8 03 39 0A 00 00 1E 00 1F 00 00 00 00 01 00 00 00 00 00 00 00 00 00 00 00 00 00 00 00 00 00 00 00 00 00 00 F4 01 3A 00 00 00 1E 00 1F 00 00 00 00 01 00 02 00 00 00 00 00 00 00 00 00 00 00 00 00 00 00 00 00 00 00 00 00 00 3B 32 00 00 1E 00 1F 00 00 00 00 01 00 41 0F 00 00 00 00 00 00 00 00 00 00 00 00 00 00 00 00 00 00 00 C8 00 3C 00 00 00 5A 00 1F 00 06 00 00 01 00 3A 00 08 00 00 00 00 00 00 00 00 00 00 00 00 00 00 00 00 00 00 C8 00 3D 00 00 00 1E 00 1F 00 06 00 00 01 00 39 00 08 00 00 00 00 00 00 00 00 00 00 00 00 00 00 00 00 00 00 90 01 3E 00 00 00 1E 00 1F 00 00 00 00 01 00 01 00 00 00 00 00 00 00 00 00 00 00 00 00 00 00 00 00 00 00 00 2C 01 3F 00 00 00 1E 00 1F 00 00 00 00 01 00 50 00 00 00 00 00 00 00 00 00 00 00 00 00 00 00 00 00 00 00 00 08 07 40 0A 00 00 0A 00 1F 00 00 00 00 01 00 14 00 00 00 00 00 00 00 00 00 00 00 00 00 00 00 00 00 00 00 00 64 00 41 00 00 00 1E 00 1F 00 00 00 00 01 00 03 00 00 00 00 00 00 00 00 00 00 00 00 00 00 00 00 00 00 00 00 F4 01 42 00 00 00 1E 00 1F 00 00 00 00 01 00 21 00 00 00 00 00 00 00 00 00 00 00 00 00 00 00 00 00 00 00 00 C8 00 43 14 00 00 1E 00 1F 00 06 00 01 02 00 64 00 08 00 00 00 00 00 00 00 00 00 00 00 00 00 00 00 00 00 00 18 15 44 0A 00 00 0A 00 1F 00 00 00 00 01 00 33 00 00 00 00 00 00 00 00 00 00 00 00 00 00 00 00 00 00 00 00 C8 00 45 0A 00 00 1E 00 1F 00 06 00 01 01 00 4C 00 08 00 00 00 00 00 00 00 00 00 00 00 00 00 00 00 00 00 00 10 27 46 00 00 1B 1E 00 1F 00 00 00 00 01 00 3F 00 00 00 00 00 00 00 00 00 00 00 00 00 00 00 00 00 00 00 00 64 00 47 14 00 00 0A 00 1F 00 00 00 00 01 00 69 00 00 00 00 00 00 00 00 00 00 00 00 00 00 00 00 00 00 00 00 64 00 48 14 00 00 64 00 1F 00 00 00 00 01 00 67 00 00 00 00 00 00 00 00 00 00 00 00 00 00 00 00 00 00 00 00 64 00 49 14 00 00 1E 00 1F 00 00 00 00 01 00 5E 00 00 00 00 00 00 00 00 00 00 00 00 00 00 00 00 00 00 00 00 64 00 4A 14 00 00 1E 00 1F 00 00 00 00 01 00 5A 00 00 00 00 00 00 00 00 00 00 00 00 00 00 00 00 00 00 00 00 64 00 4B 14 00 00 1E 00 1F 00 00 00 00 01 00 5B 00 00 00 00 00 00 00 00 00 00 00 00 00 00 00 00 00 00 00 00 64 00 4C 14 00 00 1E 00 1F 00 00 00 00 01 00 5C 00 00 00 00 00 00 00 00 00 00 00 00 00 00 00 00 00 00 00 00 64 00 4D 14 00 00 1E 00 1F 00 00 00 00 01 00 65 00 00 00 00 00 00 00 00 00 00 00 00 00 00 00 00 00 00 00 00 64 00 4E 14 00 00 32 00 1F 00 00 00 00 01 00 6A 00 00 00 00 00 00 00 00 00 00 00 00 00 00 00 00 00 00 00 00 64 00 4F 14 00 1C 46 00 1F 00 00 00 00 01 00 66 00 00 00 00 00 00 00 00 00 00 00 00 00 00 00 00 00 00 00 00 64 00 50 14 00 00 1E 00 1F 00 00 00 00 01 00 5D 00 00 00 00 00 00 00 00 00 00 00 00 00 00 00 00 00 00 00 00 64 00 51 14 00 00 1E 00 1F 00 00 00 00 01 00 68 00 00 00 00 00 00 00 00 00 00 00 00 00 00 00 00 00 00 00 00 64 00 52 14 00 00 1E 00 1F 00 00 00 00 01 00 63 00 00 00 00 00 00 00 00 00 00 00 00 00 00 00 00 00 00 00 00 64 00 53 14 00 00 1E 00 1F 00 00 00 00 01 00 60 00 00 00 00 00 00 00 00 00 00 00 00 00 00 00 00 00 00 00 00 64 00 54 14 00 00 46 00 1F 00 00 00 00 01 00 61 00 00 00 00 00 00 00 00 00 00 00 00 00 00 00 00 00 00 00 00 64 00 55 14 00 00 0A 00 1F 00 00 00 00 01 00 62 00 00 00 00 00 00 00 00 00 00 00 00 00 00 00 00 00 00 00 00 C8 00 56 00 00 00 1E 00 1F 00 06 00 00 01 00 46 00 08 00 00 00 00 00 00 00 00 00 00 00 00 00 00 00 00 00 00 90 01 57 04 00 00 1E 00 1F 00 00 00 00 01 00 11 00 00 00 00 00 00 00 00 00 00 00 00 00 00 00 00 00 00 00 00 C8 00 4D 14 00 00 0A 00 1F 00 00 00 00 01 00 51 00 00 00 00 00 00 00 00 00 00 00 00 00 00 00 00 00 00 00 00 F4 01 30 0A 00 00 0A 00 1F 00 00 00 00 01 00 51 00 00 00 00 00 00 00 00 00 00 00 00 00 00 00 00 00 00 00 00 E8 03 58 00 00 00 28 00 1F 00 00 00 00 01 00 3E 00 00 00 00 00 00 00 00 00 00 00 00 00 00 00 00 00 00 00 00 64 00 59 00 00 00 0A 00 1F 00 00 00 00 01 00 40 00 00 00 00 00 00 00 00 00 00 00 00 00 00 00 00 00 00 00 00 64 00 5A 00 00 00 5A 00 1F 00 00 00 00 01 00 3D 00 00 00 00 00 00 00 00 00 00 00 00 00 00 00 00 00 00 00 00 64 00 5B 00 00 00 3C 00 1F 00 00 00 00 01 00 3B 00 00 00 00 00 00 00 00 00 00 00 00 00 00 00 00 00 00 00 00 0A 00 00 00 00 00 0A 00 1F 00 00 00 00 01 00 6B 00 00 00 00 00 00 00 00 00 00 00 00 00 00 00 00 00 00 00 00 0A 00 00 00 00 00 0A 00 1F 00 00 00 00 01 00 6C 00 00 00 00 00 00 00 00 00 00 00 00 00 00 00 00 00 00 00 00 0A 00 00 00 00 00 0A 00 1F 00 00 00 00 01 00 6D 00 00 00 00 00 00 00 00 00 00 00 00 00 00 00 00 00 00 00 00 0A 00 00 00 00 00 0A 00 1F 00 00 00 00 01 00 6E 00 00 00 00 00 00 00 00 00 00 00 00 00 00 00 00 00 00 00 00 0A 00 00 00 00 00 0A 00 1F 00 00 00 00 01 00 6F 00 00 00 00 00 00 00 00 00 00 00 00 00 00 00 00 00 00 00 00 90 01 5C 0A 00 00 0A 00 1F 00 00 00 00 01 00 19 00 00 00 00 00 00 00 00 00 00 00 00 00 00 00 00 00 00 00 00 90 01 5D 0A 00 00 0A 00 1F 00 00 00 00 01 00 34 00 00 00 00 00 00 00 00 00 00 00 00 00 00 00 00 00 00 00 00 90 01 5E 0A 00 00 0A 00 1F 00 00 00 00 01 00 26 00 00 00 00 00 00 00 00 00 00 00 00 00 00 00 00 00 00 00 00 A0 0F 5F 14 00 00 0A 00 1F 00 00 00 00 01 00 32 00 00 00 00 00 00 00 00 00 00 00 00 00 00 00 00 00 00 00 00 D0 07 60 03 00 00 1E 00 1F 00 00 00 00 01 00 0F 00 00 00 00 00 00 00 00 00 00 00 00 00 00 00 00 00 00 00 00 EC 13 61 1E 00 00 1E 00 1F 00 00 00 00 01 00 10 00 00 00 00 00 00 00 00 00 00 00 00 00 00 00 00 00 00 00 00 64 00 62 00 00 00 0A 00 1F 00 00 00 00 01 01 1E 00 00 00 00 00 00 00 00 00 00 00 00 00 00 00 00 00 00 00 00 DC 05 51 14 00 1D 1E 00 1F 00 00 00 00 01 00 0A 00 00 00 00 00 00 00 00 00 00 00 00 00 00 00 00 00 00 00 00 DC 05 64 00 00 1E 1E 00 1F 00 00 00 00 01 00 09 00 00 00 00 00 00 00 00 00 00 00 00 00 00 00 00 00 00 00 00 64 00 65 00 00 00 0A 00 1F 00 00 00 00 01 00 3C 00 00 00 00 00 00 00 00 00 00 00 00 00 00 00 00 00 00 00 00 78 00 66 00 00 00 0A 00 1F 00 00 00 00 01 01 13 00 00 00 00 00 00 00 00 00 00 00 00 00 00 00 00 00 00 00 00 90 01 67 28 00 00 0A 00 1F 00 00 00 00 01 00 23 00 00 00 00 00 00 00 00 00 00 00 00 00 00 00 00 00 00 00 00 90 01 68 21 00 00 1E 00 1F 00 00 00 00 01 00 24 00 00 00 00 00 00 00 00 00 00 00 00 00 00 00 00 00 00 00 00 C8 00 69 00 00 00 82 00 1F 00 00 00 00 01 00 17 00 00 00 00 00 00 00 00 00 00 00 00 00 00 00 00 00 00 00 00 90 01 6A 00 00 00 0A 00 1F 00 00 00 00 01 00 1B 00 00 00 00 00 00 00 00 00 00 00 00 00 00 00 00 00 00 00 00 90 01 6B 00 00 00 0A 00 1F 00 00 00 00 01 00 1C 00 00 00 00 00 00 00 00 00 00 00 00 00 00 00 00 00 00 00 00 8E 12 6C 0C 00 00 1E 00 1F 00 00 00 00 01 00 18 00 00 00 00 00 00 00 00 00 00 00 00 00 00 00 00 00 00 00 00 90 01 6D 05 00 00 28 00 1F 00 00 00 00 01 00 0E 00 00 00 00 00 00 00 00 00 00 00 00 00 00 00 00 00 00 00 00 90 01 6E 05 00 00 0A 00 1F 00 00 00 00 01 00 0D 00 00 00 00 00 00 00 00 00 00 00 00 00 00 00 00 00 00 00 00 90 01 6F 05 00 00 3C 00 1F 00 00 00 00 01 00 0C 00 00 00 00 00 00 00 00 00 00 00 00 00 00 00 00 00 00 00 00 90 01 70 05 00 00 3C 00 1F 00 00 00 00 01 00 0B 00 00 00 00 00 00 00 00 00 00 00 00 00 00 00 00 00 00 00 00 C8 00 71 00 00 00 5A 00 1F 00 00 00 00 01 00 36 00 00 00 00 00 00 00 00 00 00 00 00 00 00 00 00 00 00 00 00 94 11 72 00 00 00 0A 00 1F 00 00 00 00 01 00 06 00 00 00 00 00 00 00 00 00 00 00 00 00 00 00 00 00 00 00 00 90 01 73 04 00 00 50 00 1F 00 00 00 00 01 00 16 00 00 00 00 00 00 00 00 00 00 00 00 00 00 00 00 00 00 00 00 F4 01 74 08 00 00 46 00 1F 00 00 00 00 01 00 04 00 00 00 00 00 00 00 00 00 00 00 00 00 00 00 00 00 00 00 00 F4 01 75 08 00 00 46 00 1F 00 00 00 00 01 00 04 00 00 00 00 00 00 00 00 00 00 00 00 00 00 00 00 00 00 00 00 F4 01 76 08 00 00 46 00 1F 00 00 00 00 01 00 04 00 00 00 00 00 00 00 00 00 00 00 00 00 00 00 00 00 00 00 00 F4 01 77 08 00 00 46 00 1F 00 00 00 00 01 00 04 00 00 00 00 00 00 00 00 00 00 00 00 00 00 00 00 00 00 00 00 F4 01 78 08 00 00 46 00 1F 00 00 00 00 01 00 04 00 00 00 00 00 00 00 00 00 00 00 00 00 00 00 00 00 00 00 00 F4 01 79 08 00 00 46 00 1F 00 00 00 00 01 00 04 00 00 00 00 00 00 00 00 00 00 00 00 00 00 00 00 00 00 00 00 96 00 7A 00 00 00 0A 00 1F 00 00 00 00 01 00 1A 00 00 00 00 00 00 00 00 00 00 00 00 00 00 00 00 00 00 00 00 90 01 7B 64 00 00 0A 00 1F 00 00 00 00 01 00 10 00 00 00 00 00 00 00 00 00 00 00 00 00 00 00 00 00 00 00 00 94 11 7C 00 00 00 0A 00 1F 00 00 00 00 01 00 08 00 00 00 00 00 00 00 00 00 00 00 00 00 00 00 00 00 00 00 00 64 00 7D 14 00 00 5A 00 1F 00 00 00 00 01 00 94 00 00 00 00 00 00 00 00 00 00 00 00 00 00 00 00 00 00 00 00 64 00 7E 14 00 00 5A 00 1F 00 00 00 00 01 00 95 00 00 00 00 00 00 00 00 00 00 00 00 00 00 00 00 00 00 00 00 64 00 7F 14 00 00 5A 00 1F 00 00 00 00 01 00 96 00 00 00 00 00 00 00 00 00 00 00 00 00 00 00 00 00 00 00 00 64 00 80 14 00 00 5A 00 1F 00 00 00 00 01 00 97 00 00 00 00 00 00 00 00 00 00 00 00 00 00 00 00 00 00 00 00 64 00 81 14 00 00 5A 00 1F 00 00 00 00 01 00 98 00 00 00 00 00 00 00 00 00 00 00 00 00 00 00 00 00 00 00 00 64 00 82 14 00 00 5A 00 1F 00 00 00 00 01 00 99 00 00 00 00 00 00 00 00 00 00 00 00 00 00 00 00 00 00 00 00 64 00 83 14 00 00 5A 00 1F 00 00 00</t>
  </si>
  <si>
    <t xml:space="preserve"> 00 01 00 9A 00 00 00 00 00 00 00 00 00 00 00 00 00 00 00 00 00 00 00 00 64 00 84 14 00 00 5A 00 1F 00 00 00 00 01 00 9B 01 00 00 00 00 00 00 00 00 00 00 00 00 00 00 00 00 00 00 00 64 00 85 14 00 00 5A 00 1F 00 00 00 00 01 00 9C 00 00 00 00 00 00 00 00 00 00 00 00 00 00 00 00 00 00 00 00 64 00 86 14 00 00 5A 00 1F 00 00 00 00 01 00 9D 00 00 00 00 00 00 00 00 00 00 00 00 00 00 00 00 00 00 00 00 64 00 87 14 00 00 5A 00 1F 00 00 00 00 01 00 9E 00 00 00 00 00 00 00 00 00 00 00 00 00 00 00 00 00 00 00 00 64 00 88 14 00 00 5A 00 1F 00 00 00 00 01 00 9F 00 00 00 00 00 00 00 00 00 00 00 00 00 00 00 00 00 00 00 00 64 00 89 14 00 00 5A 00 1F 00 00 00 00 01 00 A0 00 00 00 00 00 00 00 00 00 00 00 00 00 00 00 00 00 00 00 00 64 00 8A 14 00 00 5A 00 1F 00 00 00 00 01 00 A1 00 00 00 00 00 00 00 00 00 00 00 00 00 00 00 00 00 00 00 00 64 00 8B 14 00 00 5A 00 1F 00 00 00 00 01 00 A2 00 00 00 00 00 00 00 00 00 00 00 00 00 00 00 00 00 00 00 00 64 00 8C 14 00 00 5A 00 1F 00 00 00 00 01 00 A3 00 00 00 00 00 00 00 00 00 00 00 00 00 00 00 00 00 00 00 00 C8 00 52 14 00 00 0A 00 1F 00 00 00 00 01 00 52 00 00 00 00 00 00 00 00 00 00 00 00 00 00 00 00 00 00 00 00 C8 00 48 14 00 00 0A 00 1F 00 00 00 00 01 00 52 00 00 00 00 00 00 00 00 00 00 00 00 00 00 00 00 00 00 00 00 F4 01 6A 00 00 00 0A 00 1F 00 00 00 00 01 00 52 00 00 00 00 00 00 00 00 00 00 00 00 00 00 00 00 00 00 00 00 C8 00 4D 14 00 00 0A 00 1F 00 00 00 00 01 00 52 00 00 00 00 00 00 00 00 00 00 00 00 00 00 00 00 00 00 00 00 C8 00 49 14 00 00 0A 00 1F 00 00 00 00 01 00 52 00 00 00 00 00 00 00 00 00 00 00 00 00 00 00 00 00 00 00 00 4C 04 39 0A 00 00 0A 00 1F 00 00 00 00 01 00 52 00 00 00 00 00 00 00 00 00 00 00 00 00 00 00 00 00 00 00 00 58 02 3A 00 00 00 0A 00 1F 00 00 00 00 01 00 52 00 00 00 00 00 00 00 00 00 00 00 00 00 00 00 00 00 00 00 00 C8 00 8D 00 00 00 50 00 1F 00 06 00 01 02 00 4A 00 08 00 00 00 00 00 00 00 00 00 00 00 00 00 00 00 00 00 00 C8 00 8E 00 00 00 50 00 1F 00 06 00 01 03 00 48 00 08 00 00 00 00 00 00 00 00 00 00 00 00 00 00 00 00 00 00 C8 00 8F 00 00 00 50 00 1F 00 06 00 01 03 00 4B 00 08 00 00 00 00 00 00 00 00 00 00 00 00 00 00 00 00 00 00 C8 00 90 00 00 00 32 00 1F 00 06 00 00 01 00 47 00 08 00 00 00 00 00 00 00 00 00 00 00 00 00 00 00 00 00 00 C8 00 91 00 00 00 0A 00 1F 00 06 00 00 01 00 4D 00 08 00 00 00 00 00 00 00 00 00 00 00 00 00 00 00 00 00 00 F4 01 42 00 00 00 50 00 1F 00 00 00 00 01 00 2F 00 00 00 00 00 00 00 00 00 00 00 00 00 00 00 00 00 00 00 00 F4 01 37 0A 00 1A 1E 00 1F 00 00 00 00 01 00 2E 00 00 00 00 00 00 00 00 00 00 00 00 00 00 00 00 00 00 00 00 E8 03 00 00 00 00 00 00 3F 01 02 00 00 06 00 00 00 00 00 00 00 00 00 00 00 00 00 00 00 00 00 00 00 00 00 00 E8 03 00 00 00 00 00 00 3F 01 02 00 00 06 00 01 00 00 00 00 00 00 00 00 00 00 00 00 00 00 00 00 00 00 00 00 E8 03 00 00 00 00 00 00 3F 01 02 00 00 06 00 02 00 00 00 00 00 00 00 00 00 00 00 00 00 00 00 00 00 00 00 00 DC 05 00 00 00 00 00 00 3F 01 02 00 00 06 00 03 00 00 00 00 00 00 00 00 00 00 00 00 00 00 00 00 00 00 00 00 E8 03 00 00 00 00 00 00 3F 01 02 00 00 06 00 04 00 00 00 00 00 00 00 00 00 00 00 00 00 00 00 00 00 00 00 00 E8 03 00 00 00 00 00 00 3F 01 02 00 00 06 00 05 00 00 00 00 00 00 00 00 00 00 00 00 00 00 00 00 00 00 00 00 D0 07 00 00 00 00 00 00 3F 01 02 00 00 06 00 06 00 00 00 00 00 00 00 00 00 00 00 00 00 00 00 00 00 00 00 00 E8 03 00 00 00 00 00 00 3F 01 02 00 00 06 00 07 00 00 00 00 00 00 00 00 00 00 00 00 00 00 00 00 00 00 00 00 C4 09 00 00 00 00 00 00 3F 01 02 00 00 06 00 08 00 00 00 00 00 00 00 00 00 00 00 00 00 00 00 00 00 00 00 00 E8 03 00 00 00 00 00 00 3F 01 02 00 00 06 00 09 00 00 00 00 00 00 00 00 00 00 00 00 00 00 00 00 00 00 00 00 D0 07 00 00 00 00 00 00 3F 01 02 00 00 06 00 0A 00 00 00 00 00 00 00 00 00 00 00 00 00 00 00 00 00 00 00 00 C4 09 00 00 00 00 00 00 3F 01 02 00 00 06 00 0B 00 00 00 00 00 00 00 00 00 00 00 00 00 00 00 00 00 00 00 00 E8 03 00 00 00 00 00 00 3F 01 02 00 00 06 00 0C 00 00 00 00 00 00 00 00 00 00 00 00 00 00 00 00 00 00 00 00 88 13 00 00 00 00 00 00 3F 01 02 00 00 06 00 0D 00 00 00 00 00 00 00 00 00 00 00 00 00 00 00 00 00 00 00 00 88 13 00 00 00 00 00 00 3F 01 02 00 00 06 00 0E 00 00 00 00 00 00 00 00 00 00 00 00 00 00 00 00 00 00 00 00 DC 05 00 00 00 00 00 00 3F 01 02 00 00 06 00 0F 00 00 00 00 00 00 00 00 00 00 00 00 00 00 00 00 00 00 00 00 2C 01 00 00 00 00 00 00 3F 01 02 00 00 06 00 10 00 00 00 00 00 00 00 00 00 00 00 00 00 00 00 00 00 00 00 00 D0 07 00 00 00 00 00 00 3F 01 02 00 00 06 00 11 00 00 00 00 00 00 00 00 00 00 00 00 00 00 00 00 00 00 00 00 E8 03 00 00 00 00 00 00 3F 01 02 00 00 06 00 12 00 00 00 00 00 00 00 00 00 00 00 00 00 00 00 00 00 00 00 00 E8 03 00 00 00 00 00 00 3F 01 02 00 00 06 00 13 00 00 00 00 00 00 00 00 00 00 00 00 00 00 00 00 00 00 00 00 B8 0B 00 00 00 00 00 00 3F 01 02 00 00 06 00 14 00 00 00 00 00 00 00 00 00 00 00 00 00 00 00 00 00 00 00 00 C4 09 00 00 00 00 00 00 3F 01 02 00 00 06 00 15 00 00 00 00 00 00 00 00 00 00 00 00 00 00 00 00 00 00 00 00 E8 03 00 00 00 00 00 00 3F 01 02 00 00 06 00 16 00 00 00 00 00 00 00 00 00 00 00 00 00 00 00 00 00 00 00 00 E8 03 00 00 00 00 00 00 3F 01 02 00 00 06 00 17 00 00 00 00 00 00 00 00 00 00 00 00 00 00 00 00 00 00 00 00 88 13 00 00 00 00 00 00 3F 01 02 00 00 06 00 18 00 00 00 00 00 00 00 00 00 00 00 00 00 00 00 00 00 00 00 00 E8 03 00 00 00 00 00 00 3F 01 02 00 00 06 00 19 00 00 00 00 00 00 00 00 00 00 00 00 00 00 00 00 00 00 00 00 E8 03 00 00 00 00 00 00 3F 01 02 00 00 06 00 1A 00 00 00 00 00 00 00 00 00 00 00 00 00 00 00 00 00 00 00 00 E8 03 00 00 00 00 00 00 3F 01 02 00 00 06 00 1B 00 00 00 00 00 00 00 00 00 00 00 00 00 00 00 00 00 00 00 00 E8 03 00 00 00 00 00 00 3F 01 02 00 00 06 00 1C 00 00 00 00 00 00 00 00 00 00 00 00 00 00 00 00 00 00 00 00 B8 0B 00 00 00 00 00 00 3F 01 02 00 00 06 00 1D 00 00 00 00 00 00 00 00 00 00 00 00 00 00 00 00 00 00 00 00 E8 03 00 00 00 00 00 00 3F 01 02 00 00 06 00 1E 00 00 00 00 00 00 00 00 00 00 00 00 00 00 00 00 00 00 00 00 E8 03 00 00 00 00 00 00 3F 01 02 00 00 06 00 1F 00 00 00 00 00 00 00 00 00 00 00 00 00 00 00 00 00 00 00 00 DC 05 00 00 00 00 00 00 3F 01 02 00 00 06 00 20 00 00 00 00 00 00 00 00 00 00 00 00 00 00 00 00 00 00 00 00 C4 09 00 00 00 00 00 00 3F 01 02 00 00 06 00 21 00 00 00 00 00 00 00 00 00 00 00 00 00 00 00 00 00 00 00 00 E8 03 00 00 00 00 00 00 3F 01 02 00 00 06 00 22 00 00 00 00 00 00 00 00 00 00 00 00 00 00 00 00 00 00 00 00 E8 03 00 00 00 00 00 00 3F 01 02 00 00 06 00 23 00 00 00 00 00 00 00 00 00 00 00 00 00 00 00 00 00 00 00 00 D0 07 00 00 00 00 00 00 3F 01 02 00 00 06 00 24 00 00 00 00 00 00 00 00 00 00 00 00 00 00 00 00 00 00 00 00 88 13 00 00 00 00 00 00 3F 01 02 00 00 06 00 25 00 00 00 00 00 00 00 00 00 00 00 00 00 00 00 00 00 00 00 00 E8 03 00 00 00 00 00 00 3F 01 02 00 00 06 00 26 00 00 00 00 00 00 00 00 00 00 00 00 00 00 00 00 00 00 00 00 C4 09 00 00 00 00 00 00 3F 01 02 00 00 06 00 27 00 00 00 00 00 00 00 00 00 00 00 00 00 00 00 00 00 00 00 00 E8 03 00 00 00 00 00 00 3F 01 02 00 00 06 00 28 00 00 00 00 00 00 00 00 00 00 00 00 00 00 00 00 00 00 00 00 B8 0B 00 00 00 00 00 00 3F 01 02 00 00 06 00 29 00 00 00 00 00 00 00 00 00 00 00 00 00 00 00 00 00 00 00 00 E8 03 00 00 00 00 00 00 3F 01 02 00 00 06 00 2A 00 00 00 00 00 00 00 00 00 00 00 00 00 00 00 00 00 00 00 00 E8 03 00 00 00 00 00 00 3F 01 02 00 00 06 00 2B 00 00 00 00 00 00 00 00 00 00 00 00 00 00 00 00 00 00 00 00 E8 03 00 00 00 00 00 00 3F 01 02 00 00 06 00 2C 00 00 00 00 00 00 00 00 00 00 00 00 00 00 00 00 00 00 00 00 E8 03 00 00 00 00 00 00 3F 01 02 00 00 06 00 2D 00 00 00 00 00 00 00 00 00 00 00 00 00 00 00 00 00 00 00 00 C4 09 00 00 00 00 00 00 3F 01 02 00 00 06 00 2E 00 00 00 00 00 00 00 00 00 00 00 00 00 00 00 00 00 00 00 00 E8 03 00 00 00 00 00 00 3F 01 02 00 00 06 00 2F 00 00 00 00 00 00 00 00 00 00 00 00 00 00 00 00 00 00 00 00 E8 03 00 00 00 00 00 00 3F 01 02 00 00 06 00 30 00 00 00 00 00 00 00 00 00 00 00 00 00 00 00 00 00 00 00 00 B8 0B 00 00 00 00 00 00 3F 01 02 00 00 06 00 31 00 00 00 00 00 00 00 00 00 00 00 00 00 00 00 00 00 00 00 00 C4 09 00 00 00 00 00 00 3F 01 02 00 00 06 00 32 00 00 00 00 00 00 00 00 00 00 00 00 00 00 00 00 00 00 00 00 DC 05 00 00 00 00 00 00 3F 01 02 00 00 06 00 33 00 00 00 00 00 00 00 00 00 00 00 00 00 00 00 00 00 00 00 00 E8 03 00 00 00 00 00 00 3F 01 02 00 00 06 00 34 00 00 00 00 00 00 00 00 00 00 00 00 00 00 00 00 00 00 00 00 E8 03 00 00 00 00 00 00 3F 01 02 00 00 06 00 35 00 00 00 00 00 00 00 00 00 00 00 00 00 00 00 00 00 00 00 00 E8 03 00 00 00 00 00 00 3F 01 02 00 00 06 00 36 00 00 00 00 00 00 00 00 00 00 00 00 00 00 00 00 00 00 00 00 C4 09 00 00 00 00 00 00 3F 01 02 00 00 06 00 37 00 00 00 00 00 00 00 00 00 00 00 00 00 00 00 00 00 00 00 00 E8 03 00 00 00 00 00 00 3F 01 02 00 00 06 00 38 00 00 00 00 00 00 00 00 00 00 00 00 00 00 00 00 00 00 00 00 E8 03 00 00 00 00 00 00 3F 01 02 00 00 06 00 39 00 00 00 00 00 00 00 00 00 00 00 00 00 00 00 00 00 00 00 00 B8 0B 00 00 00 00 00 00 3F 01 02 00 00 06 00 3A 00 00 00 00 00 00 00 00 00 00 00 00 00 00 00 00 00 00 00 00 DC 05 00 00 00 00 00 00 3F 01 02 00 00 06 00 3B 00 00 00 00 00 00 00 00 00 00 00 00 00 00 00 00 00 00 00 00 E8 03 00 00 00 00 00 00 3F 01 02 00 00 06 00 3C 00 00 00 00 00 00 00 00 00 00 00 00 00 00 00 00 00 00 00 00 DC 05 00 00 00 00 00 00 3F 01 02 00 00 06 00 3D 00 00 00 00 00 00 00 00 00 00 00 00 00 00 00 00 00 00 00 00 E8 03 00 00 00 00 00 00 3F 01 02 00 00 06 00 3E 00 00 00 00 00 00 00 00 00 00 00 00 00 00 00 00 00 00 00 00 C4 09 00 00 00 00 00 00 3F 01 02 00 00 06 00 3F 00 00 00 00 00 00 00 00 00 00 00 00 00 00 00 00 00 00 00 00 B8 0B 00 00 00 00 00 00 3F 01 02 00 00 06 00 40 00 00 00 00 00 00 00 00 00 00 00 00 00 00 00 00 00 00 00 00 E8 03 00 00 00 00 00 00 3F 01 02 00 00 06 00 41 00 00 00 00 00 00 00 00 00 00 00 00 00 00 00 00 00 00 00 00 E8 03 00 00 00 00 00 00 3F 01 02 00 00 06 00 42 00 00 00 00 00 00 00 00 00 00 00 00 00 00 00 00 00 00 00 00 88 13 00 00 00 00 00 00 3F 01 02 00 00 06 00 43 00 00 00 00 00 00 00 00 00 00 00 00 00 00 00 00 00 00 00 00 E8 03 00 00 00 00 00 00 3F 01 02 00 00 06 00 44 00 00 00 00 00 00 00 00 00 00 00 00 00 00 00 00 00 00 00 00 DC 05 00 00 00 00 00 00 3F 01 02 00 00 06 00 45 00 00 00 00 00 00 00 00 00 00 00 00 00 00 00 00 00 00 00 00 88 13 00 00 00 00 00 00 3F 01 02 00 00 06 00 46 00 00 00 00 00 00 00 00 00 00 00 00 00 00 00 00 00 00 00 00 E8 03 00 00 00 00 00 00 3F 01 02 00 00 06 00 47 00 00 00 00 00 00 00 00 00 00 00 00 00 00 00 00 00 00 00 00 F4 01 00 00 00 00 00 00 3F 01 02 00 00 06 00 48 00 00 00 00 00 00 00 00 00 00 00 00 00 00 00 00 00 00 00 00 E8 03 00 00 00 00 00 00 3F 01 02 00 00 06 00 49 00 00 00 00 00 00 00 00 00 00 00 00 00 00 00 00 00 00 00 00 E8 03 00 00 00 00 00 00 3F 01 02 00 00 06 00 4A 00 00 00 00 00 00 00 00 00 00 00 00 00 00 00 00 00 00 00 00 E8 03 00 00 00 00 00 00 3F 01 02 00 00 06 00 4B 00 00 00 00 00 00 00 00 00 00 00 00 00 00 00 00 00 00 00 00 E8 03 00 00 00 00 00 00 3F 01 02 00 00 06 00 4C 00 00 00 00 00 00 00 00 00 00 00 00 00 00 00 00 00 00 00 00 E8 03 00 00 00 00 00 00 3F 01 02 00 00 06 00 4D 00 00 00 00 00 00 00 00 00 00 00 00 00 00 00 00 00 00 00 00 E8 03 00 00 00 00 00 00 3F 01 02 00 00 06 00 4E 00 00 00 00 00 00 00 00 00 00 00 00 00 00 00 00 00 00 00 00 B8 0B 00 00 00 00 00 00 3F 01 02 00 00 06 00 4F 00 00 00 00 00 00 00 00 00 00 00 00 00 00 00 00 00 00 00 00 E8 03 00 00 00 00 00 00 3F 01 02 00 00 06 00 50 00 00 00 00 00 00 00 00 00 00 00 00 00 00 00 00 00 00 00 00 E8 03 00 00 00 00 00 00 3F 01 02 00 00 06 00 51 00 00 00 00 00 00 00 00 00 00 00 00 00 00 00 00 00 00 00 00 E8 03 00 00 00 00 00 00 3F 01 02 00 00 06 00 52 00 00 00 00 00 00 00 00 00 00 00 00 00 00 00 00 00 00 00 00 B8 0B 00 00 00 00 00 00 3F 01 02 00 00 06 00 53 00 00 00 00 00 00 00 00 00 00 00 00 00 00 00 00 00 00 00 00 E8 03 00 00 00 00 00 00 3F 01 02 00 00 06 00 54 00 00 00 00 00 00 00 00 00 00 00 00 00 00 00 00 00 00 00 00 E8 03 00 00 00 00 00 00 3F 01 02 00 00 06 00 55 00 00 00 00 00 00 00 00 00 00 00 00 00 00 00 00 00 00 00 00 E8 03 00 00 00 00 00 00 3F 01 02 00 00 06 00 56 00 00 00 00 00 00 00 00 00 00 00 00 00 00 00 00 00 00 00 00 E8 03 00 00 00 00 00 00 3F 01 02 00 00 06 00 57 00 00 00 00 00 00 00 00 00 00 00 00 00 00 00 00 00 00 00 00 C4 09 00 00 00 00 00 00 3F 01 02 00 00 06 00 58 00 00 00 00 00 00 00 00 00 00 00 00 00 00 00 00 00 00 00 00 E8 03 00 00 00 00 00 00 3F 01 02 00 00 06 00 59 00 00 00 00 00 00 00 00 00 00 00 00 00 00 00 00 00 00 00 00 C4 09 00 00 00 00 00 00 3F 01 02 00 00 06 00 5A 00 00 00 00 00 00 00 00 00 00 00 00 00 00 00 00 00 00 00 00 C4 09 00 00 00 00 00 00 3F 01 02 00 00 06 00 5B 00 00 00 00 00 00 00 00 00 00 00 00 00 00 00 00 00 00 00 00 00 00 00 00 00 00 00 00 3F 01 02 00 00 06 00 64 00 00 00 00 00 00 00 00 00 00 00 00 00 00 00 00 00 00 00 00 00 00 00 00 00 00 00 00 3F 01 02 00 00 06 00 65 00 00 00 00 00 00 00 00 00 00 00 00 00 00 00 00 00 00 00 00 00 00 00 00 00 00 00 00 3F 01 02 00 00 06 00 66 00 00 00 00 00 00 00 00 00 00 00 00 00 00 00 00 00 00 00 00 00 00 00 00 00 00 00 00 3F 01 02 00 00 06 00 67 00 00 00 00 00 00 00 00 00 00 00 00 00 00 00 00 00 00 00 00 00 00 00 00 00 00 00 00 3F 01 02 00 00 06 00 68 00 00 00 00 00 00 00 00 00 00 00 00 00 00 00 00 00 00 00 00 00 00 00 00 00 00 00 00 3F 01 02 00 00 06 00 69 00 00 00 00 00 00 00 00 00 00 00 00 00 00 00 00 00 00 00 00 94 11 66 00 00 00 0A 00 1F 00 00 00 00 01 01 13 00 00 00 00 00 00 00 00 00 00 00 00 00 00 00 00 00 00 00 00 00 00 00 00 00 00 00 00 00 00 00 00 00 02 00 00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7F 02 0D 00 00 08 00 FF 00 00 00 00 00 00 00 00 00 00 00 00 00 00 00 00 00 00 00 00 00 00 00 00 00 00 00 00 7F 02 0D 00 00 08 00 FF 01 00 00 00 00 00 00 00 00 00 00 00 00 00 00 00 00 00 00 00 00 00 00 00 00 00 00 00 7F 02 0D 00 00 08 00 FF 02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7F 02 0E 00 00 08 00 03 00 00 00 00 00 00 00 00 00 00 00 00 00 00 00 00 00 00 00 00 00 00 00 00 00 00 00 00 3F 02 0F 00 00 08 00 2A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7F 02 10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02 00 00 00 00 00 00 00 1F 00 00 00 00 02 00 FF 00 00 00 00 00 00 00 00 00 00 00 00 00 00 00 00 00 00 00 00 96 00 00 00 00 00 00 00 1F 08 00 01 02 04 00 10 10 00 00 00 00 00 00 00 00 00 00 00 00 00 00 00 00 00 00 00 96 00 00 00 00 00 00 00 1F 08 00 01 02 04 00 11 11 00 00 00 00 00 00 00 00 00 00 00 00 00 00 00 00 00 00 00 96 00 00 00 00 00 00 00 1F 08 00 01 02 04 00 12 12 00 00 00 00 00 00 00 00 00 00 00 00 00 00 00 00 00 00 00 96 00 00 00 00 00 00 00 1F 08 00 01 02 04 00 13 13 00 00 00 00 00 00 00 00 00 00 00 00 00 00 00 00 00 00 00 96 00 00 00 00 00 00 00 1F 08 00 01 02 04 00 14 14 00 00 00 00 00 00 00 00 00 00 00 00 00 00 00 00 00 00 00 96 00 00 00 00 00 00 00 1F 08 00 01 02 04 00 15 15 00 00 00 00 00 00 00 00 00 00 00 00 00 00 00 00 00 00 00 96 00 00 00 00 00 00 00 1F 08 00 01 02 04 00 16 16 00 00 00 00 00 00 00 00 00 00 00 00 00 00 00 00 00 00 00 1E 00 00 00 00 00 00 00 1F 00 00 01 02 04 00 17 17 00 00 00 00 00 00 00 00 00 00 00 00 00 00 00 00 00 00 00 00 00 00 00 00 00 00 00 1F 00 00 00 02 04 00 FF 00 00 00 00 00 00 00 00 00 00 00 00 00 00 00 00 00 00 00 00 00 00 00 00 00 00 00 00 1F 02 00 00 00 08 00 FF 00 00 00 00 00 00 00 00 00 00 00 00 00 00 00 00 00 00 00 00 00 00 00 00 00 00 00 00 1F 02 00 00 00 08 00 FF 00 00 00 00 00 00 00 00 00 00 00 00 00 00 00 00 00 00 00 00 00 00 00 00 00 00 00 00 3F 02 00 00 00 08 00 FF 00 00 00 00 00 00 00 00 00 00 00 00 00 00 00 00 00 00 00 00 23 00 00 00 00 00 1E 00 9F 40 01 02 01 00 00 1D 3F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00 00 00 00 00 1F 00 00 00 00 02 00 FF 00 00 00 00 00 00 00 00 00 00 00 00 00 00 00 00 00 00 00 00 00 00 00 0A 00 00 0A 00 1F 00 06 00 01 03 00 76 00 08 00 00 00 00 00 00 00 00 00 00 00 00 00 00 00 00 00 00 00 00 00 00 00 00 00 00 1F 02 00 00 00 08 00 FF 00 00 00 00 00 00 00 00 00 00 00 00 00 00 00 00 00 00 00 00 00 00 00 00 00 00 00 00 1F 00 00 00 00 01 00 76 00 00 00 00 00 00 00 00 00 00 00 00 00 00 00 00 00 00 00 00 00 00 00 00 00 00 00 00 1F 00 00 00 00 01 00 77 00 00 00 00 00 00 00 00 00 00 00 00 00 00 00 00 00 00 00 00 00 00 00 00 00 00 1E 00 1F 00 06 00 01 03 00 C9 00 08 00 00 00 00 00 00 00 00 00 00 00 00 00 00 00 00 00 00 F4 01 00 00 00 00 1E 00 1F 00 06 00 00 02 00 3C 00 08 00 00 00 00 00 00 00 00 00 00 00 00 00 00 00 00 00 00 7C 01 92 00 00 00 28 00 1F 00 00 00 00 01 00 2D 00 00 00 00 00 00 00 00 00 00 00 00 00 00 00 00 00 00 00 00 90 01 93 00 00 00 1E 00 1F 00 00 00 00 01 00 12 00 00 00 00 00 00 00 00 00 00 00 00 00 00 00 00 00 00 00 00 C0 12 94 06 00 00 3C 00 1F 00 00 00 00 01 00 28 00 00 00 00 00 00 00 00 00 00 00 00 00 00 00 00 00 00 00 00 32 00 95 00 00 00 0A 00 1F 00 00 00 00 01 00 22 00 00 00 00 00 00 00 00 00 00 00 00 00 00 00 00 00 00 00 00 64 00 96 00 00 00 0A 00 1F 00 00 00 00 01 01 27 00 00 00 00 00 00 00 00 00 00 00 00 00 00 00 00 00 00 00 00 14 00 97 00 00 00 0A 00 1F 00 00 00 00 01 00 1D 00 00 00 00 00 00 00 00 00 00 00 00 00 00 00 00 00 00 00 00 C8 00 98 00 00 00 1E 00 1F 00 00 00 00 01 00 29 00 00 00 00 00 00 00 00 00 00 00 00 00 00 00 00 00 00 00 00 3C 00 99 00 00 00 1E 00 1F 00 00 00 00 01 01 15 00 00 00 00 00 00 00 00 00 00 00 00 00 00 00 00 00 00 00 00 3C 00 9A 00 00 00 1E 00 1F 00 00 00 00 01 01 2B 00 00 00 00 00 00 00 00 00 00 00 00 00 00 00 00 00 00 00 00 64 00 9B 00 00 00 1E 00 1F 00 00 00 00 01 01 31 00 00 00 00 00 00 00 00 00 00 00 00 00 00 00 00 00 00 00 00 14 00 9C 00 00 00 00 00 1F 00 00 00 00 01 01 83 00 00 00 00 00 00 00 00 00 00 00 00 00 00 00 00 00 00 00 00 14 00 9D 00 00 00 00 00 1F 00 00 00 00 01 01 84 00 00 00 00 00 00 00 00 00 00 00 00 00 00 00 00 00 00 00 00 14 00 9E 00 00 00 00 00 1F 00 00 00 00 01 01 85 00 00 00 00 00 00 00 00 00 00 00 00 00 00 00 00 00 00 00 00 14 00 9F 00 00 00 00 00 1F 00 00 00 00 01 01 86 00 00 00 00 00 00 00 00 00 00 00 00 00 00 00 00 00 00 00 00 14 00 A0 00 00 00 00 00 1F 00 00 00 00 01 01 87 00 00 00 00 00 00 00 00 00 00 00 00 00 00 00 00 00 00 00 00 14 00 A1 00 00 00 00 00 1F 00 00 00 00 01 01 88 00 00 00 00 00 00 00 00 00 00 00 00 00 00 00 00 00 00 00 00 14 00 A2 00 00 00 00 00 1F 00 00 00 00 01 01 89 00 00 00 00 00 00 00 00 00 00 00 00 00 00 00 00 00 00 00 00 14 00 A3 00 00 00 00 00 1F 00 00 00 00 01 01 8A 00 00 00 00 00 00 00 00 00 00 00 00 00 00 00 00 00 00 00 00 14 00 A4 00 00 00 00 00 1F 00 00 00 00 01 01 8B 00 00 00 00 00 00 00 00 00 00 00 00 00 00 00 00 00 00 00 00 14 00 A5 00 00 00 00 00 1F 00 00 00 00 01 01 8C 00 00 00 00 00 00 00 00 00 00 00 00 00 00 00 00 00 00 00 00 14 00 A6 00 00 00 00 00 1F 00 00 00 00 01 01 8D 00 00 00 00 00 00 00 00 00 00 00 00 00 00 00 00 00 00 00 00 14 00 A7 00 00 00 00 00 1F 00 00 00 00 01 01 8E 00 00 00 00 00 00 00 00 00 00 00 00 00 00 00 00 00 00 00 00 14 00 A8 00 00 00 00 00 1F 00 00 00 00 01 01 8F 00 00 00 00 00 00 00 00 00 00 00 00 00 00 00 00 00 00 00 00 14 00 A9 00 00 00 00 00 1F 00 00 00 00 01 01 90 00 00 00 00 00 00 00 00 00 00 00 00 00 00 00 00 00 00 00 00 14 00 AA 00 00 00 00 00 1F 00 00 00 00 01 01 91 00 00 00 00 00 00 00 00 00 00 00 00 00 00 00 00 00 00 00 00 14 00 AB 00 00 00 00 00 1F 00 00 00 00 01 01 92 00 00 00 00 00 00 00 00 00 00 00 00 00 00 00 00 00 00 00 00 90 01 AC 00 00 00 00 00 1F 00 00 00 00 01 01 82 00 00 00 00 00 00 00 00 00 00 00 00 00 00 00 00 00 00 00 00 B8 0B 00 00 00 00 14 00 9F 00 01 00 01 00 00 01 00 00 00 00 00 08 1E 64 00 00 00 00 00 00 00 03 02 01 00 00 B8 0B 00 00 00 00 14 00 9F 00 01 00 01 00 00 2D 00 00 00 00 00 10 1E 00 64 00 00 00 00 00 00 03 02 01 00 00 B8 0B 00 00 00 00 14 00 9F 00 01 00 01 00 00 2E 00 00 00 00 00 20 1E 00 00 64 00 00 00 00 00 03 02 01 00 00 B8 0B 00 00 00 00 14 00 9F 00 01 00 01 00 00 2F 00 00 00 00 00 80 1E 00 00 00 00 64 00 00 00 03 02 01 00 00 B8 0B 00 00 00 00 14 00 9F 00 01 00 01 00 00 30 00 00 00 00 00 00 1F 00 00 00 00 00 64 00 00 03 02 01 00 00 B8 0B 00 00 00 00 14 00 9F 00 01 00 01 00 00 31 00 00 00 00 00 40 1E 00 00 00 64 00 00 00 00 03 02 01 00 00 3C 00 00 FF 00 00 14 00 9F 00 01 00 01 00 00 00 1F 00 00 00 00 04 1C 00 00 00 00 00 00 FF 00 01 01 01 00 00 BC 02 00 00 00 00 64 00 1F 00 00 00 01 02 00 9D 00 00 00 00 00 00 00 00 00 00 00 00 00 00 00 00 00 00 00 00 BC 02 00 00 00 00 64 00 1F 00 00 00 01 02 00 9E 00 00 00 00 00 00 00 00 00 00 00 00 00 00 00 00 00 00 00 00 00 00 00 00 00 00 00 00 1F 02 00 00 00 08 00 FF 00 00 00 00 00 00 00 00 00 00 00 00 00 00 00 00 00 00 00 00 14 00 00 00 00 00 1E 00 1F 00 00 00 01 02 00 FF 00 00 00 00 00 00 00 00 00 00 00 00 00 00 00 00 00 00 00 00 00 00 00 00 00 00 00 00 1F 08 00 01 02 04 00 18 18 00 00 00 00 00 00 00 00 00 00 00 00 00 00 00 00 00 00 00 0A 00 00 00 00 00 1E 00 1F 10 00 03 01 03 00 0A 00 00 00 00 00 00 00 00 00 00 00 00 00 00 00 00 00 00 00 00 00 00 00 00 00 00 00 00 1F 02 00 00 00 08 00 FF 00 00 00 00 00 00 00 00 00 00 00 00 00 00 00 00 00 00 00 00 00 00 00 00 00 00 00 00 1F 02 00 00 00 08 00 FF 00 00 00 00 00 00 00 00 00 00 00 00 00 00 00 00 00 00 00 00 B8 0B 00 00 00 00 1E 00 1F 00 00 00 01 02 00 17 00 00 00 00 00 00 00 00 00 00 00 00 00 00 00 00 00 00 00 00 00 7D 00 00 00 00 1E 00 1F 00 00 00 01 02 00 16 00 00 00 00 00 00 00 00 00 00 00 00 00 00 00 00 00 00 00 00 C0 5D 00 00 00 00 1E 00 1F 00 00 00 01 02 00 14 00 00 00 00 00 00 00 00 00 00 00 00 00 00 00 00 00 00 00 00 50 C3 00 00 00 00 1E 00 1F 00 00 00 01 02 00 15 00 00 00 00 00 00 00 00 00 00 00 00 00 00 00 00 00 00 00 00 00 00 00 00 00 00 1E 00 1F 00 00 00 01 02 00 32 00 00 00 00 00 00 00 00 00 00 00 00 00 00 00 00 00 00 00 00 00 00 00 00 00 00 1E 00 1F 00 00 00 01 02 00 33 00 00 00 00 00 00 00 00 00 00 00 00 00 00 00 00 00 00 00 00 70 17 00 00 00 00 1E 00 1F 00 00 00 01 02 00 34 00 00 00 00 00 00 00 00 00 00 00 00 00 00 00 00 00 00 00 00 00 00 00 00 00 00 1E 00 1F 00 00 00 01 02 00 35 00 00 00 00 00 00 00 00 00 00 00 00 00 00 00 00 00 00 00 00 00 00 00 00 00 00 1E 00 1F 00 00 00 01 02 00 36 00 00 00 00 00 00 00 00 00 00 00 00 00 00 00 00 00 00 00 00 00 00 00 00 00 00 1E 00 1F 00 00 00 01 02 00 37 00 00 00 00 00 00 00 00 00 00 00 00 00 00 00 00 00 00 00 00 00 00 00 00 00 00 1E 00 1F 00 00 00 01 02 00 38 00 00 00 00 00 00 00 00 00 00 00 00 00 00 00 00 00 00 00 00 23 00 00 00 00 00 1E 00 9F 40 01 02 01 00 00 1E 3F 00 00 00 00 00 00 00 00 00 00 00 00 00 00 00 00 00 00 00 00 00 00 00 00 00 00 00 1F 00 00 00 01 03 00 FF 00 00 00 00 20 00 00 00 00 00 00 00 00 00 00 00 00 00 00 00 00 00 00 00 00 00 00 00 1F 00 00 00 01 03 00 FF 00 00 00 20 00 00 00 00 00 00 00 00 00 00 00 00 00 00 00 00 00 00 00 00 00 00 00 00 1F 00 00 00 01 03 00 FF 00 00 20 00 00 00 00 00 00 00 00 00 00 00 00 00 00 00 00 00 00 00 00 00 00 00 00 00 1F 00 00 00 01 03 00 FF 00 00 00 02 00 00 00 00 00 00 00 00 00 00 00 00 00 00 00 00 00 00 00 00 00 00 00 00 1F 00 00 00 01 03 00 FF 00 00 02 00 00 00 00 00 00 00 00 00 00 00 00 00 00 00 00 00 00 00 00 00 00 00 00 00 1F 00 00 00 01 03 00 FF 00 20 00 00 00 00 00 00 00 00 00 00 00 00 00 00 00 00 00 00 00 00 00 00 00 00 00 00 1F 00 00 00 01 03 00 FF 00 00 00 00 02 00 00 00 00 00 00 00 00 00 00 00 00 00 00 00 00 00 00 00 00 00 00 00 1F 00 00 00 01 03 00 FF 00 00 00 30 00 00 00 00 00 00 00 00 00 00 00 00 00 00 00 00 00 00 00 00 00 00 00 00 1F 00 00 00 01 03 00 FF 00 00 30 00 00 00 00 00 00 00 00 00 00 00 00 00 00 00 00 00 00 00 00 00 00 00 00 00 1F 00 00 00 01 03 00 FF 00 00 00 03 00 00 00 00 00 00 00 00 00 00 00 00 00 00 00 00 00 00 00 00 00 00 00 00 1F 00 00 00 01 03 00 FF 00 00 03 00 00 00 00 00 00 00 00 00 00 00 00 00 00 00 00 00 00 00 00 00 00 00 00 00 1F 00 00 00 01 03 00 FF 00 30 00 00 00 00 00 00 00 00 00 00 00 00 00 00 00 00 00 00 00 00 00 00 00 00 00 00 1F 00 00 00 01 03 00 FF 00 00 00 00 03 00 00 00 00 00 00 00 00 00 00 00 00 00 00 00 00 00 00 00 00 00 00 00 1F 00 00 00 01 03 00 FF 00 00 00 60 00 00 00 00 00 00 00 00 00 00 00 00 00 00 00 00 00 00 00 00 00 00 00 00 1F 00 00 00 01 03 00 FF 00 00 60 00 00 00 00 00 00 00 00 00 00 00 00 00 00 00 00 00 00 00 00 00 00 00 00 00 1F 00 00 00 01 03 00 FF 00 00 00 06 00 00 00 0</t>
  </si>
  <si>
    <t>Item categories</t>
  </si>
  <si>
    <t>EXP Share and rods</t>
  </si>
  <si>
    <t xml:space="preserve"> TMs and various usable Key Items</t>
  </si>
  <si>
    <t>Berry data?</t>
  </si>
  <si>
    <t>Packed Low, 0x00-0x1F - 00 only held by regular items. 01-1E held only by berries in batches of 4. 1F shared by both, 0x20 - TMs and various usable Key Items, 0x40 - Exp Share &amp; Rods, 0x80 - Medicine</t>
  </si>
  <si>
    <t>Packed High, 0x1 - TM, 0x2 - Key Item, 0x4 - unused, following are battle pockets: 0x08 - Pokeball, 0x10 - Battle, 0x20 - Heals HP/PP, 0x40 - Status</t>
  </si>
  <si>
    <t>Item class: 0 = Medicine, 1= Hold item, 2 = Misc. , 3 = battle use only, 4 = Pokeball, 5 = mail, 6 = TM, 7= berry,  8 = Key</t>
  </si>
  <si>
    <t>Effect Battle, 0x1 = Pokeball, 2 = Heal, 3 = escape</t>
  </si>
  <si>
    <t>Return Item Class (0xD)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</si>
</sst>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/>
    <xf numFmtId="0" fontId="0" fillId="0" borderId="0" xfId="0" quotePrefix="1" applyAlignment="1">
      <alignment shrinkToFit="1"/>
    </xf>
    <xf numFmtId="0" fontId="0" fillId="0" borderId="0" xfId="0" applyAlignment="1">
      <alignment shrinkToFi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49" fontId="0" fillId="0" borderId="0" xfId="0" applyNumberFormat="1"/>
    <xf numFmtId="49" fontId="0" fillId="0" borderId="0" xfId="0" applyNumberForma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2BE0-C008-42EB-928A-E8C71335B271}">
  <dimension ref="A1:D10"/>
  <sheetViews>
    <sheetView workbookViewId="0">
      <selection sqref="A1:A4"/>
    </sheetView>
  </sheetViews>
  <sheetFormatPr defaultRowHeight="14.6" x14ac:dyDescent="0.4"/>
  <sheetData>
    <row r="1" spans="1:4" x14ac:dyDescent="0.4">
      <c r="A1" t="s">
        <v>1021</v>
      </c>
      <c r="B1" t="str">
        <f>SUBSTITUTE(A1," ","")</f>
        <v>00000000000000001F08000102040003000000000000000000000000000000000000000028000000000000001F0800010204000201000000000000000000000000000000000000001E000000000000001F0800010204000102000000000000000000000000000000000000000A000000000000001F08000102040000030000000000000000000000000000000000000000000000000000001F0800010204000F040000000000000000000000000000000000000032000000000000001F08000102040007050000000000000000000000000000000000000032000000000000001F0800010204000D060000000000000000000000000000000000000032000000000000001F08000102040008070000000000000000000000000000000000000032000000000000001F0800010204000C080000000000000000000000000000000000000032000000000000001F0800010204000B090000000000000000000000000000000000000032000000000000001F0800010204000E0A000000000000000000000000000000000000000F000000000000001F080001020400040B0000000000000000000000000000000000000032000000000000001F0800010204000A0C000000000000000000000000000000000000000F000000000000001F080001020400060D0000000000000000000000000000000000000032000000000000001F080001020400090E0000000000000000000000000000000000000000000000000000001F080001020400050F000000000000000000000000000000000000001400001400001E009F2001020100000200000000000400000000000000140000000000001400000000001E009F4001020100001102000000000000000000000000000000000000001E00000000001E009F4001020100001304000000000000000000000000000000000000000A00000000001E009F4001020100001408000000000000000000000000000000000000000A00000000001E009F4001020100001501000000000000000000000000000000000000001E00000000001E009F400102010000121000000000000000000000000000000000000000F00A00FF00001E009F600102010000043F000000000400000000000000FF000000000000A80700FF00001E009F2001020100000300000000000400000000000000FF000000000000F40100C800001E009F2001020100000200000000000400000000000000C80000000000004600003C00001E009F20010201000002000000000004000000000000003C0000000000001801000000001E009F400102010000193F00000000000000000000000000000000000000C409000000001E009F4001000100000500010000000400000000000000010000000000008813000000001E009F4001020100000600010000000000000000000000FD0000000000001400001E00001E009F2001020100000900000000000400000000000000320000000000001E00003200001E009F2001020100000A000000000004000000000000003C0000000000002800004600001E009F2001020100000B00000000000400000000000000500000000000007800006400001E009F2001020100000C00000000000400000000000000640000000000003200000000001E009F2001020100000D0000000000041C0000000000003C00FBFBF600007800000000001E009F2001020100000E0000000000041C0000000000007800F6F6F100001E00000000001E009F4001020100001A3F00000000001C0000000000000000FBFBF60000A60E000000001E009F4001020100000F0001000000001C000000000000FD00F1F1EC00007800000A00001E009F2001020100002200000000000100000000000000000A0000000000C80000FF00001E009F2001020100002300000000000100000000000000007F0000000000B400000A00001E009F2001020100002400000000000200000000000000000A0000000000FA0000FF00001E009F2001020100002500000000000200000000000000007F00000000002300000000001E009F4001020100001B3F000000000000000000000000000000000000001400013200001E009F2001020100010700000000000400000000000000320000000000009001000000001E009F000100010000001F03000000041C000000000000FF0001010100000900000000001E009F000100010000260000000000081C0A0000000000000005030200000900000000001E009F000100010000270000000000101C000A00000000000005030200000900000000001E009F000100010000280000000000201C00000A000000000005030200000900000000001E009F0001000100002B0000000000401C0000000A0000000005030200000900000000001E009F000100010000290000000000801C000000000A00000005030200000500000000001E009F000100010000350007000000001C00000000000000000503020000E803000000001E009F000100010000320000000040001C000000000000000005030200000900000000001E009F0001000100002A0000000000001D00000000000A000005030200002C01000000001E009F000100010000330000000080001C000000000000000005030200002300000000001E009F4001020100001C3F000000000000000000000000000000000000005E01000000001E001F100000010300078000000000000C00000000000000000101000000F401000000001E001F100000010300060000000010000C00000000000000000101000000F401000000001E001F100000010300000020000000000C00000000000000000101000000F401000000001E001F100000010300010000020000000C00000000000000000101000000F401000000001E001F100000010300020000002000000C00000000000000000101000000F401000000001E001F100000010300050000000002000C00000000000000000101000000F401000000001E001F100000010300030000200000000C00000000000000000101000000F401000000001E001F100000010300040000000200000C000000000000000001010000000A00000000001E001F1000030103000800000000000000000000000000000000000000000A00000000001E001F1000030103000900000000000000000000000000000000000000000200000000001E009F4001020103101601000000000000000000000000000000000000000200000000001E009F4000020103101720000000000000000000000000000000000000000200000000001E009F4000020103101840000000000000000000000000000000000000000200000000001E001F000A000102107800000000000000000000000000000000000000000200000000001E001F000A000102107900000000000000000000000000000000000000000200000000001E001F0000000102001800000000000000000000000000000000000000000200000000001E001F0000000102001900000000000000000000000000000000000000006400000000001E001F0000000102006400000000000000000000000000000000000000006400000000001E001F0000000102006500000000000000000000000000000000000000006400000000001E001F0000000102006600000000000000000000000000000000000000006400000000001E001F0000000102006700000000000000000000000000000000000000004600002800001E001F0005000102000100000000000000000000000000000000000000003200006400001E001F0005000102000000000000000000000000000000000000000000006400000000001E001F0007000102000300000000000000000000000000000000000000002800001400001E001F0005000102000200000000000000000000000000000000000000002C01000000001E001F0006000102004C00080000000000000000000000000000000000002C01000000001E001F0006000102004D00080000000000000000000000000000000000002C01000000001E001F0006000102004700080000000000000000000000000000000000002C01000000001E001F0006000102004900080000000000000000000000000000000000002C01000000001E001F0006000102004800080000000000000000000000000000000000002C01000000001E001F0006000102004A0008000000000000000000000000000000000000C800000000001E001F000000010200110000000000000000000000000000000000000000E803000000001E001F0000000102000A00000000000000000000000000000000000000009001000000001E001F000000010200100000000000000000000000000000000000000000800C000000001E001F0000000102000B00000000000000000000000000000000000000005802000000001E001F0000000102001300000000000000000000000000000000000000009808000000001E001F000000010200120000000000000000000000000000000000000000D007000000001E001F0000000102000F00000000000000000000000000000000000000003200000000001E001F0000000102008200000000000000000000000000000000000000001E00000000001E001F000400010200AB00000000000000000000000000000000000000001400000000001E001F000000010200FF00000000000000000000000000000000000000001400000000001E001F000000010200FF00000000000000000000000000000000000000001400000000001E001F000000010200FF00000000000000000000000000000000000000001400000000001E001F000000010200FF0000000000000000000000000000000000000000BC020000000064001F000000010200990000000000000000000000000000000000000000BC020000000064001F0000000102009A0000000000000000000000000000000000000000BC020000000064001F000000010200960000000000000000000000000000000000000000BC020000000064001F000000010200970000000000000000000000000000000000000000E8030000000064001F000600010200980008000000000000000000000000000000000000BC020000000064001F0000000102009B0000000000000000000000000000000000000000BC020000000064001F0000000102009C0000000000000000000000000000000000000000D0070000000064001F0000000102000D00000000000000000000000000000000000000002C010000000050001F0006000102004E00080000000000000000000000000000000000002C010000000050001F0006000102004F00080000000000000000000000000000000000002C010000000050001F000600010200510008000000000000000000000000000000000000C8000000000050001F000600010200500008000000000000000000000000000000000000D2000000000050001F0000000102000C00000000000000000000000000000000000000000000021400003C001F000000000100440000000000000000000000000000000000000000C4090000000050001F000000000100350000000000000000000000000000000000000000DC050000000050001F000000000100350000000000000000000000000000000000000000DC050000000000001F00000000000035000000000000000000000000000000000000000000000300000046001F00000000010045000000000000000000000000000000000000000000000300000046001F00000000010045000000000000000000000000000000000000000000000300000046001F00000000010045000000000000000000000000000000000000000000000300000046001F000000000100450000000000000000000000000000000000000000DC056400001A1E001F000000000100090000000000000000000000000000000000000000DC056400001B1E001F000000000100090000000000000000000000000000000000000000B80B950000003C001F00000000010022000000000000000000000000000000000000000000000000000000001F0000000001000303000000000000000000000000000000000000009411950000003C001F0000000001002200000000000000000000000000000000000000000000000000000000000000000002000000000000000000000000000000000000000000000000000000000000000000000000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2C01000000001E009F200102010000080000000000041C000000000000140003030300000000033200003C001F0000000001004200000000000000000000000000000000000000000000043200003C001F00000000010043000000000000000000000000000000000000000005000000000000001F000B0000050000000000000000000000000000000000000000000005000000000000001F000B00000500FF010000000000000000000000000000000000000005000000000000001F000B00000500FF020000000000000000000000000000000000000005000000000000001F000B00000500FF030000000000000000000000000000000000000005000000000000001F000B00000500FF040000000000000000000000000000000000000005000000000000001F000B00000500FF050000000000000000000000000000000000000005000000000000001F000B00000500FF060000000000000000000000000000000000000005000000000000001F000B00000500FF070000000000000000000000000000000000000005000000000000001F000B00000500FF080000000000000000000000000000000000000005000000000000001F000B00000500FF090000000000000000000000000000000000000005000000000000001F000B00000500FF0A0000000000000000000000000000000000000005000000000000001F000B00000500FF0B000000000000000000000000000000000000000200050001010A5089410C000107010010000000000000000000000000000000000000000200060002020A508A410C000107010101000000000000000000000000000000000000000200070003030A508C410C000107010202000000000000000000000000000000000000000200080004040A508B410C000107010304000000000000000000000000000000000000000200090005050A508E410C0001070104080000000000000000000000000000000000000002000A0A06060A5081210C000107010500000000000100000000000000000A00000000000200010A07070A5083210C0001070106000000000004000000000000000A00000000000002000B0008080A5084410C00010701072000000000000000000000000000000000000000A0000C0009090A5082410C00010701083F000000000000000000000000000000000000005F000D190A0A0A508D210C000107010900000000000400000000000000FD00000000000002000E030B0B0A5086010C000107010A000000000000000000000000000000000000000002000F030C0C0A5085010C000107010B0000000000000000000000000000000000000000020010030D0D0A5087010C000107010C0000000000000000000000000000000000000000020011030E0E0A508F010C000107010D0000000000000000000000000000000000000000020012030F0F0A5090010C000107010E00000000000000000000000000000000000000000200000000000A5088010C000107010F00000000000000000000000000000000000000000200000000000A5A89010C000107011000000000000000000000000000000000000000000200000000000A5A8A010C000107011100000000000000000000000000000000000000000200000000000A5A8C010C000107011200000000000000000000000000000000000000000200000000000A5A8B010C000107011300000000000000000000000000000000000000000200000000000A5A8E010C00010701140000000000081CF6000000000000000A050200000200000000000A5A81010C00010701150000000000101C00F60000000000000A050200000200000000000A5A83010C00010701160000000000201C0000F600000000000A050200000200000000000A5A84010C00010701170000000000801C00000000F60000000A050200000200000000000A5A82010C00010701180000000000001D0000000000F600000A050200000200000000000A5A8D010C00010701190000000000401C000000F6000000000A050200000200000000000A5A86010C000107011A00000000000000000000000000000000000000000200000000000A5A85010C000107011B00000000000000000000000000000000000000000200000000000A5A87010C000107011C00000000000000000000000000000000000000000200000000000A5A8F010C000107011D00000000000000000000000000000000000000000200000000000A5A90010C000107011E00000000000000000000000000000000000000000200000000000A5A88010C000107011F00000000000000000000000000000000000000000200000000000A6489010C000107012000000000000000000000000000000000000000000200000000000A648A010C000107012100000000000000000000000000000000000000000200000000000A648C010C000107012200000000000000000000000000000000000000000200130000000A5089010C000107012300000000000000000000000000000000000000000200140000000A508A010C000107012400000000000000000000000000000000000000000200150000000A508C010C000107012500000000000000000000000000000000000000000200160000000A508B010C000107012600000000000000000000000000000000000000000200170000000A508E010C000107012700000000000000000000000000000000000000000200180000000A5081010C000107012800000000000000000000000000000000000000000200190000000A5083010C0001070129000000000000000000000000000000000000000002001A0000000A5084010C000107012A000000000000000000000000000000000000000002001B0000000A5082010C000107012B000000000000000000000000000000000000000002001C0000000A508D010C000107012C000000000000000000000000000000000000000002001D0000000A5086010C000107012D000000000000000000000000000000000000000002001E0000000A5085010C000107012E000000000000000000000000000000000000000002001F0000000A5087010C000107012F00000000000000000000000000000000000000000200200000000A508F010C000107013000000000000000000000000000000000000000000200210000000A5090010C000107013100000000000000000000000000000000000000000200220000000A5088010C000107013200000000000000000000000000000000000000000200230000000A5080010C000107013300000000000000000000000000000000000000000200240410100A648B010C000107013400000000000000000000000000000000000000000200250411110A648E010C000107013500000000000000000000000000000000000000000200260412120A6481010C000107013600000000000000000000000000000000000000000200270413130A6483010C000107013700000000000000000000000000000000000000000200280414140A6484010C000107013800000000000000000000000000000000000000000200290415150A6482010C0001070139000000000000000000000000000000000000000002002A0416160A648D010C000107013A000000000000000000000000000000000000000002002B0100000A6486010C000107013B000000000000000000000000000000000000000002002C0417170A6485010C000107013C000000000000000000000000000000000000000002002D0400000A6487010C000107013D000000000000000000000000000000000000000002002E0400000A648F010C000107013E000000000000000000000000000000000000000002002F0400000A6490010C000107013F00000000000000000000000000000000000000009001300A00000A001F0000000001002000000000000000000000000000000000000000003200310000180A001F0000000001012C00000000000000000000000000000000000000002C0132000000C8001F00000000010005000000000000000000000000000000000000000000000000000000007F02050000080001000000000000000000000000000000000000000090013314000050001F0000000001003000000000000000000000000000000000000000009001340000000A001F0000000001002700000000000000000000000000000000000000007800350000190A001F0000000001012500000000000000000000000000000000000000009411360000000A001F0000000001000700000000000000000000000000000000000000002C01370A001A1E001F0006000102004900080000000000000000000000000000000000006400381400000A001F0000000001005F0000000000000000000000000000000000000000E803390A00001E001F000000000100000000000000000000000000000000000000000000F4013A0000001E001F00000000010002000000000000000000000000000000000000000000003B3200001E001F000000000100410F00000000000000000000000000000000000000C8003C0000005A001F0006000001003A0008000000000000000000000000000000000000C8003D0000001E001F00060000010039000800000000000000000000000000000000000090013E0000001E001F0000000001000100000000000000000000000000000000000000002C013F0000001E001F0000000001005000000000000000000000000000000000000000000807400A00000A001F0000000001001400000000000000000000000000000000000000006400410000001E001F000000000100030000000000000000000000000000000000000000F401420000001E001F000000000100210000000000000000000000000000000000000000C800431400001E001F0006000102006400080000000000000000000000000000000000001815440A00000A001F000000000100330000000000000000000000000000000000000000C800450A00001E001F0006000101004C000800000000000000000000000000000000000010274600001B1E001F0000000001003F00000000000000000000000000000000000000006400471400000A001F00000000010069000000000000000000000000000000000000000064004814000064001F0000000001006700000000000000000000000000000000000000006400491400001E001F0000000001005E000000000000000000000000000000000000000064004A1400001E001F0000000001005A000000000000000000000000000000000000000064004B1400001E001F0000000001005B000000000000000000000000000000000000000064004C1400001E001F0000000001005C000000000000000000000000000000000000000064004D1400001E001F00000000010065000000000000000000000000000000000000000064004E14000032001F0000000001006A000000000000000000000000000000000000000064004F14001C46001F0000000001006600000000000000000000000000000000000000006400501400001E001F0000000001005D00000000000000000000000000000000000000006400511400001E001F0000000001006800000000000000000000000000000000000000006400521400001E001F0000000001006300000000000000000000000000000000000000006400531400001E001F00000000010060000000000000000000000000000000000000000064005414000046001F0000000001006100000000000000000000000000000000000000006400551400000A001F000000000100620000000000000000000000000000000000000000C800560000001E001F0006000001004600080000000000000000000000000000000000009001570400001E001F000000000100110000000000000000000000000000000000000000C8004D1400000A001F000000000100510000000000000000000000000000000000000000F401300A00000A001F000000000100510000000000000000000000000000000000000000E8035800000028001F0000000001003E00000000000000000000000000000000000000006400590000000A001F00000000010040000000000000000000000000000000000000000064005A0000005A001F0000000001003D000000000000000000000000000000000000000064005B0000003C001F0000000001003B00000000000000000000000000000000000000000A00000000000A001F0000000001006B00000000000000000000000000000000000000000A00000000000A001F0000000001006C00000000000000000000000000000000000000000A00000000000A001F0000000001006D00000000000000000000000000000000000000000A00000000000A001F0000000001006E00000000000000000000000000000000000000000A00000000000A001F0000000001006F000000000000000000000000000000000000000090015C0A00000A001F00000000010019000000000000000000000000000000000000000090015D0A00000A001F00000000010034000000000000000000000000000000000000000090015E0A00000A001F000000000100260000000000000000000000000000000000000000A00F5F1400000A001F000000000100320000000000000000000000000000000000000000D007600300001E001F0000000001000F0000000000000000000000000000000000000000EC13611E00001E001F0000000001001000000000000000000000000000000000000000006400620000000A001F0000000001011E0000000000000000000000000000000000000000DC055114001D1E001F0000000001000A0000000000000000000000000000000000000000DC056400001E1E001F0000000001000900000000000000000000000000000000000000006400650000000A001F0000000001003C00000000000000000000000000000000000000007800660000000A001F0000000001011300000000000000000000000000000000000000009001672800000A001F0000000001002300000000000000000000000000000000000000009001682100001E001F000000000100240000000000000000000000000000000000000000C8006900000082001F00000000010017000000000000000000000000000000000000000090016A0000000A001F0000000001001B000000000000000000000000000000000000000090016B0000000A001F0000000001001C00000000000000000000000000000000000000008E126C0C00001E001F00000000010018000000000000000000000000000000000000000090016D05000028001F0000000001000E000000000000000000000000000000000000000090016E0500000A001F0000000001000D000000000000000000000000000000000000000090016F0500003C001F0000000001000C00000000000000000000000000000000000000009001700500003C001F0000000001000B0000000000000000000000000000000000000000C800710000005A001F0000000001003600000000000000000000000000000000000000009411720000000A001F00000000010006000000000000000000000000000000000000000090017304000050001F000000000100160000000000000000000000000000000000000000F4017408000046001F000000000100040000000000000000000000000000000000000000F4017508000046001F000000000100040000000000000000000000000000000000000000F4017608000046001F000000000100040000000000000000000000000000000000000000F4017708000046001F000000000100040000000000000000000000000000000000000000F4017808000046001F000000000100040000000000000000000000000000000000000000F4017908000046001F00000000010004000000000000000000000000000000000000000096007A0000000A001F0000000001001A000000000000000000000000000000000000000090017B6400000A001F00000000010010000000000000000000000000000000000000000094117C0000000A001F00000000010008000000000000000000000000000000000000000064007D1400005A001F00000000010094000000000000000000000000000000000000000064007E1400005A001F00000000010095000000000000000000000000000000000000000064007F1400005A001F0000000001009600000000000000000000000000000000000000006400801400005A001F0000000001009700000000000000000000000000000000000000006400811400005A001F0000000001009800000000000000000000000000000000000000006400821400005A001F0000000001009900000000000000000000000000000000000000006400831400005A001F000000</v>
      </c>
      <c r="C1" t="str">
        <f>B1&amp;LEFT(B2,32760-B6)</f>
        <v>00000000000000001F08000102040003000000000000000000000000000000000000000028000000000000001F0800010204000201000000000000000000000000000000000000001E000000000000001F0800010204000102000000000000000000000000000000000000000A000000000000001F08000102040000030000000000000000000000000000000000000000000000000000001F0800010204000F040000000000000000000000000000000000000032000000000000001F08000102040007050000000000000000000000000000000000000032000000000000001F0800010204000D060000000000000000000000000000000000000032000000000000001F08000102040008070000000000000000000000000000000000000032000000000000001F0800010204000C080000000000000000000000000000000000000032000000000000001F0800010204000B090000000000000000000000000000000000000032000000000000001F0800010204000E0A000000000000000000000000000000000000000F000000000000001F080001020400040B0000000000000000000000000000000000000032000000000000001F0800010204000A0C000000000000000000000000000000000000000F000000000000001F080001020400060D0000000000000000000000000000000000000032000000000000001F080001020400090E0000000000000000000000000000000000000000000000000000001F080001020400050F000000000000000000000000000000000000001400001400001E009F2001020100000200000000000400000000000000140000000000001400000000001E009F4001020100001102000000000000000000000000000000000000001E00000000001E009F4001020100001304000000000000000000000000000000000000000A00000000001E009F4001020100001408000000000000000000000000000000000000000A00000000001E009F4001020100001501000000000000000000000000000000000000001E00000000001E009F400102010000121000000000000000000000000000000000000000F00A00FF00001E009F600102010000043F000000000400000000000000FF000000000000A80700FF00001E009F2001020100000300000000000400000000000000FF000000000000F40100C800001E009F2001020100000200000000000400000000000000C80000000000004600003C00001E009F20010201000002000000000004000000000000003C0000000000001801000000001E009F400102010000193F00000000000000000000000000000000000000C409000000001E009F4001000100000500010000000400000000000000010000000000008813000000001E009F4001020100000600010000000000000000000000FD0000000000001400001E00001E009F2001020100000900000000000400000000000000320000000000001E00003200001E009F2001020100000A000000000004000000000000003C0000000000002800004600001E009F2001020100000B00000000000400000000000000500000000000007800006400001E009F2001020100000C00000000000400000000000000640000000000003200000000001E009F2001020100000D0000000000041C0000000000003C00FBFBF600007800000000001E009F2001020100000E0000000000041C0000000000007800F6F6F100001E00000000001E009F4001020100001A3F00000000001C0000000000000000FBFBF60000A60E000000001E009F4001020100000F0001000000001C000000000000FD00F1F1EC00007800000A00001E009F2001020100002200000000000100000000000000000A0000000000C80000FF00001E009F2001020100002300000000000100000000000000007F0000000000B400000A00001E009F2001020100002400000000000200000000000000000A0000000000FA0000FF00001E009F2001020100002500000000000200000000000000007F00000000002300000000001E009F4001020100001B3F000000000000000000000000000000000000001400013200001E009F2001020100010700000000000400000000000000320000000000009001000000001E009F000100010000001F03000000041C000000000000FF0001010100000900000000001E009F000100010000260000000000081C0A0000000000000005030200000900000000001E009F000100010000270000000000101C000A00000000000005030200000900000000001E009F000100010000280000000000201C00000A000000000005030200000900000000001E009F0001000100002B0000000000401C0000000A0000000005030200000900000000001E009F000100010000290000000000801C000000000A00000005030200000500000000001E009F000100010000350007000000001C00000000000000000503020000E803000000001E009F000100010000320000000040001C000000000000000005030200000900000000001E009F0001000100002A0000000000001D00000000000A000005030200002C01000000001E009F000100010000330000000080001C000000000000000005030200002300000000001E009F4001020100001C3F000000000000000000000000000000000000005E01000000001E001F100000010300078000000000000C00000000000000000101000000F401000000001E001F100000010300060000000010000C00000000000000000101000000F401000000001E001F100000010300000020000000000C00000000000000000101000000F401000000001E001F100000010300010000020000000C00000000000000000101000000F401000000001E001F100000010300020000002000000C00000000000000000101000000F401000000001E001F100000010300050000000002000C00000000000000000101000000F401000000001E001F100000010300030000200000000C00000000000000000101000000F401000000001E001F100000010300040000000200000C000000000000000001010000000A00000000001E001F1000030103000800000000000000000000000000000000000000000A00000000001E001F1000030103000900000000000000000000000000000000000000000200000000001E009F4001020103101601000000000000000000000000000000000000000200000000001E009F4000020103101720000000000000000000000000000000000000000200000000001E009F4000020103101840000000000000000000000000000000000000000200000000001E001F000A000102107800000000000000000000000000000000000000000200000000001E001F000A000102107900000000000000000000000000000000000000000200000000001E001F0000000102001800000000000000000000000000000000000000000200000000001E001F0000000102001900000000000000000000000000000000000000006400000000001E001F0000000102006400000000000000000000000000000000000000006400000000001E001F0000000102006500000000000000000000000000000000000000006400000000001E001F0000000102006600000000000000000000000000000000000000006400000000001E001F0000000102006700000000000000000000000000000000000000004600002800001E001F0005000102000100000000000000000000000000000000000000003200006400001E001F0005000102000000000000000000000000000000000000000000006400000000001E001F0007000102000300000000000000000000000000000000000000002800001400001E001F0005000102000200000000000000000000000000000000000000002C01000000001E001F0006000102004C00080000000000000000000000000000000000002C01000000001E001F0006000102004D00080000000000000000000000000000000000002C01000000001E001F0006000102004700080000000000000000000000000000000000002C01000000001E001F0006000102004900080000000000000000000000000000000000002C01000000001E001F0006000102004800080000000000000000000000000000000000002C01000000001E001F0006000102004A0008000000000000000000000000000000000000C800000000001E001F000000010200110000000000000000000000000000000000000000E803000000001E001F0000000102000A00000000000000000000000000000000000000009001000000001E001F000000010200100000000000000000000000000000000000000000800C000000001E001F0000000102000B00000000000000000000000000000000000000005802000000001E001F0000000102001300000000000000000000000000000000000000009808000000001E001F000000010200120000000000000000000000000000000000000000D007000000001E001F0000000102000F00000000000000000000000000000000000000003200000000001E001F0000000102008200000000000000000000000000000000000000001E00000000001E001F000400010200AB00000000000000000000000000000000000000001400000000001E001F000000010200FF00000000000000000000000000000000000000001400000000001E001F000000010200FF00000000000000000000000000000000000000001400000000001E001F000000010200FF00000000000000000000000000000000000000001400000000001E001F000000010200FF0000000000000000000000000000000000000000BC020000000064001F000000010200990000000000000000000000000000000000000000BC020000000064001F0000000102009A0000000000000000000000000000000000000000BC020000000064001F000000010200960000000000000000000000000000000000000000BC020000000064001F000000010200970000000000000000000000000000000000000000E8030000000064001F000600010200980008000000000000000000000000000000000000BC020000000064001F0000000102009B0000000000000000000000000000000000000000BC020000000064001F0000000102009C0000000000000000000000000000000000000000D0070000000064001F0000000102000D00000000000000000000000000000000000000002C010000000050001F0006000102004E00080000000000000000000000000000000000002C010000000050001F0006000102004F00080000000000000000000000000000000000002C010000000050001F000600010200510008000000000000000000000000000000000000C8000000000050001F000600010200500008000000000000000000000000000000000000D2000000000050001F0000000102000C00000000000000000000000000000000000000000000021400003C001F000000000100440000000000000000000000000000000000000000C4090000000050001F000000000100350000000000000000000000000000000000000000DC050000000050001F000000000100350000000000000000000000000000000000000000DC050000000000001F00000000000035000000000000000000000000000000000000000000000300000046001F00000000010045000000000000000000000000000000000000000000000300000046001F00000000010045000000000000000000000000000000000000000000000300000046001F00000000010045000000000000000000000000000000000000000000000300000046001F000000000100450000000000000000000000000000000000000000DC056400001A1E001F000000000100090000000000000000000000000000000000000000DC056400001B1E001F000000000100090000000000000000000000000000000000000000B80B950000003C001F00000000010022000000000000000000000000000000000000000000000000000000001F0000000001000303000000000000000000000000000000000000009411950000003C001F0000000001002200000000000000000000000000000000000000000000000000000000000000000002000000000000000000000000000000000000000000000000000000000000000000000000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0000000000000000000000000002000000000000000000000000000000000000000000002C01000000001E009F200102010000080000000000041C000000000000140003030300000000033200003C001F0000000001004200000000000000000000000000000000000000000000043200003C001F00000000010043000000000000000000000000000000000000000005000000000000001F000B0000050000000000000000000000000000000000000000000005000000000000001F000B00000500FF010000000000000000000000000000000000000005000000000000001F000B00000500FF020000000000000000000000000000000000000005000000000000001F000B00000500FF030000000000000000000000000000000000000005000000000000001F000B00000500FF040000000000000000000000000000000000000005000000000000001F000B00000500FF050000000000000000000000000000000000000005000000000000001F000B00000500FF060000000000000000000000000000000000000005000000000000001F000B00000500FF070000000000000000000000000000000000000005000000000000001F000B00000500FF080000000000000000000000000000000000000005000000000000001F000B00000500FF090000000000000000000000000000000000000005000000000000001F000B00000500FF0A0000000000000000000000000000000000000005000000000000001F000B00000500FF0B000000000000000000000000000000000000000200050001010A5089410C000107010010000000000000000000000000000000000000000200060002020A508A410C000107010101000000000000000000000000000000000000000200070003030A508C410C000107010202000000000000000000000000000000000000000200080004040A508B410C000107010304000000000000000000000000000000000000000200090005050A508E410C0001070104080000000000000000000000000000000000000002000A0A06060A5081210C000107010500000000000100000000000000000A00000000000200010A07070A5083210C0001070106000000000004000000000000000A00000000000002000B0008080A5084410C00010701072000000000000000000000000000000000000000A0000C0009090A5082410C00010701083F000000000000000000000000000000000000005F000D190A0A0A508D210C000107010900000000000400000000000000FD00000000000002000E030B0B0A5086010C000107010A000000000000000000000000000000000000000002000F030C0C0A5085010C000107010B0000000000000000000000000000000000000000020010030D0D0A5087010C000107010C0000000000000000000000000000000000000000020011030E0E0A508F010C000107010D0000000000000000000000000000000000000000020012030F0F0A5090010C000107010E00000000000000000000000000000000000000000200000000000A5088010C000107010F00000000000000000000000000000000000000000200000000000A5A89010C000107011000000000000000000000000000000000000000000200000000000A5A8A010C000107011100000000000000000000000000000000000000000200000000000A5A8C010C000107011200000000000000000000000000000000000000000200000000000A5A8B010C000107011300000000000000000000000000000000000000000200000000000A5A8E010C00010701140000000000081CF6000000000000000A050200000200000000000A5A81010C00010701150000000000101C00F60000000000000A050200000200000000000A5A83010C00010701160000000000201C0000F600000000000A050200000200000000000A5A84010C00010701170000000000801C00000000F60000000A050200000200000000000A5A82010C00010701180000000000001D0000000000F600000A050200000200000000000A5A8D010C00010701190000000000401C000000F6000000000A050200000200000000000A5A86010C000107011A00000000000000000000000000000000000000000200000000000A5A85010C000107011B00000000000000000000000000000000000000000200000000000A5A87010C000107011C00000000000000000000000000000000000000000200000000000A5A8F010C000107011D00000000000000000000000000000000000000000200000000000A5A90010C000107011E00000000000000000000000000000000000000000200000000000A5A88010C000107011F00000000000000000000000000000000000000000200000000000A6489010C000107012000000000000000000000000000000000000000000200000000000A648A010C000107012100000000000000000000000000000000000000000200000000000A648C010C000107012200000000000000000000000000000000000000000200130000000A5089010C000107012300000000000000000000000000000000000000000200140000000A508A010C000107012400000000000000000000000000000000000000000200150000000A508C010C000107012500000000000000000000000000000000000000000200160000000A508B010C000107012600000000000000000000000000000000000000000200170000000A508E010C000107012700000000000000000000000000000000000000000200180000000A5081010C000107012800000000000000000000000000000000000000000200190000000A5083010C0001070129000000000000000000000000000000000000000002001A0000000A5084010C000107012A000000000000000000000000000000000000000002001B0000000A5082010C000107012B000000000000000000000000000000000000000002001C0000000A508D010C000107012C000000000000000000000000000000000000000002001D0000000A5086010C000107012D000000000000000000000000000000000000000002001E0000000A5085010C000107012E000000000000000000000000000000000000000002001F0000000A5087010C000107012F00000000000000000000000000000000000000000200200000000A508F010C000107013000000000000000000000000000000000000000000200210000000A5090010C000107013100000000000000000000000000000000000000000200220000000A5088010C000107013200000000000000000000000000000000000000000200230000000A5080010C000107013300000000000000000000000000000000000000000200240410100A648B010C000107013400000000000000000000000000000000000000000200250411110A648E010C000107013500000000000000000000000000000000000000000200260412120A6481010C000107013600000000000000000000000000000000000000000200270413130A6483010C000107013700000000000000000000000000000000000000000200280414140A6484010C000107013800000000000000000000000000000000000000000200290415150A6482010C0001070139000000000000000000000000000000000000000002002A0416160A648D010C000107013A000000000000000000000000000000000000000002002B0100000A6486010C000107013B000000000000000000000000000000000000000002002C0417170A6485010C000107013C000000000000000000000000000000000000000002002D0400000A6487010C000107013D000000000000000000000000000000000000000002002E0400000A648F010C000107013E000000000000000000000000000000000000000002002F0400000A6490010C000107013F00000000000000000000000000000000000000009001300A00000A001F0000000001002000000000000000000000000000000000000000003200310000180A001F0000000001012C00000000000000000000000000000000000000002C0132000000C8001F00000000010005000000000000000000000000000000000000000000000000000000007F02050000080001000000000000000000000000000000000000000090013314000050001F0000000001003000000000000000000000000000000000000000009001340000000A001F0000000001002700000000000000000000000000000000000000007800350000190A001F0000000001012500000000000000000000000000000000000000009411360000000A001F0000000001000700000000000000000000000000000000000000002C01370A001A1E001F0006000102004900080000000000000000000000000000000000006400381400000A001F0000000001005F0000000000000000000000000000000000000000E803390A00001E001F000000000100000000000000000000000000000000000000000000F4013A0000001E001F00000000010002000000000000000000000000000000000000000000003B3200001E001F000000000100410F00000000000000000000000000000000000000C8003C0000005A001F0006000001003A0008000000000000000000000000000000000000C8003D0000001E001F00060000010039000800000000000000000000000000000000000090013E0000001E001F0000000001000100000000000000000000000000000000000000002C013F0000001E001F0000000001005000000000000000000000000000000000000000000807400A00000A001F0000000001001400000000000000000000000000000000000000006400410000001E001F000000000100030000000000000000000000000000000000000000F401420000001E001F000000000100210000000000000000000000000000000000000000C800431400001E001F0006000102006400080000000000000000000000000000000000001815440A00000A001F000000000100330000000000000000000000000000000000000000C800450A00001E001F0006000101004C000800000000000000000000000000000000000010274600001B1E001F0000000001003F00000000000000000000000000000000000000006400471400000A001F00000000010069000000000000000000000000000000000000000064004814000064001F0000000001006700000000000000000000000000000000000000006400491400001E001F0000000001005E000000000000000000000000000000000000000064004A1400001E001F0000000001005A000000000000000000000000000000000000000064004B1400001E001F0000000001005B000000000000000000000000000000000000000064004C1400001E001F0000000001005C000000000000000000000000000000000000000064004D1400001E001F00000000010065000000000000000000000000000000000000000064004E14000032001F0000000001006A000000000000000000000000000000000000000064004F14001C46001F0000000001006600000000000000000000000000000000000000006400501400001E001F0000000001005D00000000000000000000000000000000000000006400511400001E001F0000000001006800000000000000000000000000000000000000006400521400001E001F0000000001006300000000000000000000000000000000000000006400531400001E001F00000000010060000000000000000000000000000000000000000064005414000046001F0000000001006100000000000000000000000000000000000000006400551400000A001F000000000100620000000000000000000000000000000000000000C800560000001E001F0006000001004600080000000000000000000000000000000000009001570400001E001F000000000100110000000000000000000000000000000000000000C8004D1400000A001F000000000100510000000000000000000000000000000000000000F401300A00000A001F000000000100510000000000000000000000000000000000000000E8035800000028001F0000000001003E00000000000000000000000000000000000000006400590000000A001F00000000010040000000000000000000000000000000000000000064005A0000005A001F0000000001003D000000000000000000000000000000000000000064005B0000003C001F0000000001003B00000000000000000000000000000000000000000A00000000000A001F0000000001006B00000000000000000000000000000000000000000A00000000000A001F0000000001006C00000000000000000000000000000000000000000A00000000000A001F0000000001006D00000000000000000000000000000000000000000A00000000000A001F0000000001006E00000000000000000000000000000000000000000A00000000000A001F0000000001006F000000000000000000000000000000000000000090015C0A00000A001F00000000010019000000000000000000000000000000000000000090015D0A00000A001F00000000010034000000000000000000000000000000000000000090015E0A00000A001F000000000100260000000000000000000000000000000000000000A00F5F1400000A001F000000000100320000000000000000000000000000000000000000D007600300001E001F0000000001000F0000000000000000000000000000000000000000EC13611E00001E001F0000000001001000000000000000000000000000000000000000006400620000000A001F0000000001011E0000000000000000000000000000000000000000DC055114001D1E001F0000000001000A0000000000000000000000000000000000000000DC056400001E1E001F0000000001000900000000000000000000000000000000000000006400650000000A001F0000000001003C00000000000000000000000000000000000000007800660000000A001F0000000001011300000000000000000000000000000000000000009001672800000A001F0000000001002300000000000000000000000000000000000000009001682100001E001F000000000100240000000000000000000000000000000000000000C8006900000082001F00000000010017000000000000000000000000000000000000000090016A0000000A001F0000000001001B000000000000000000000000000000000000000090016B0000000A001F0000000001001C00000000000000000000000000000000000000008E126C0C00001E001F00000000010018000000000000000000000000000000000000000090016D05000028001F0000000001000E000000000000000000000000000000000000000090016E0500000A001F0000000001000D000000000000000000000000000000000000000090016F0500003C001F0000000001000C00000000000000000000000000000000000000009001700500003C001F0000000001000B0000000000000000000000000000000000000000C800710000005A001F0000000001003600000000000000000000000000000000000000009411720000000A001F00000000010006000000000000000000000000000000000000000090017304000050001F000000000100160000000000000000000000000000000000000000F4017408000046001F000000000100040000000000000000000000000000000000000000F4017508000046001F000000000100040000000000000000000000000000000000000000F4017608000046001F000000000100040000000000000000000000000000000000000000F4017708000046001F000000000100040000000000000000000000000000000000000000F4017808000046001F000000000100040000000000000000000000000000000000000000F4017908000046001F00000000010004000000000000000000000000000000000000000096007A0000000A001F0000000001001A000000000000000000000000000000000000000090017B6400000A001F00000000010010000000000000000000000000000000000000000094117C0000000A001F00000000010008000000000000000000000000000000000000000064007D1400005A001F00000000010094000000000000000000000000000000000000000064007E1400005A001F00000000010095000000000000000000000000000000000000000064007F1400005A001F0000000001009600000000000000000000000000000000000000006400801400005A001F0000000001009700000000000000000000000000000000000000006400811400005A001F0000000001009800000000000000000000000000000000000000006400821400005A001F0000000001009900000000000000000000000000000000000000006400831400005A001F0000000001009A00000000000000000000000000000000000000006400841400005A001F0000000001009B01000000000000000000000000000000000000006400851400005A001F0000000001009C00000000000000000000000000000000000000006400861400005A001F0000000001009D00000000000000000000000000000000000000006400871400005A001F0000000001009E00000000000000000000000000000000000000006400881400005A001F0000000001009F00000000000000000000000000000000000000006400891400005A001F000000000100A0000000000000000000000000000000000000000064008A1400005A001F000000000100A1000000000000000000000000000000000000000064008B1400005A001F000000000100A2000000000000000000000000000000000000000064008C1400005A001F000000000100A30000000000000000000000000000000000000000C800521400000A001F000000000100520000000000000000000000000000000000000000C800481400000A001F000000000100520000000000000000000000000000000000000000F4016A0000000A001F000000000100520000000000000000000000000000000000000000C8004D1400000A001F000000000100520000000000000000000000000000000000000000C800491400000A001F0000000001005200000000000000000000000000000000000000004C04390A00000A001F00000000010052000000000000000000000000000000000000000058023A0000000A001F000000000100520000000000000000000000000000000000000000C8008D00000050001F0006000102004A0008000000000000000000000000000000000000C8008E00000050001F000600010300480008000000000000000000000000000000000000C8008F00000050001F0006000103004B0008000000000000000000000000000000000000C8009000000032001F000600000100470008000000000000000000000000000000000000C800910000000A001F0006000001004D0008000000000000000000000000000000000000F4014200000050001F0000000001002F0000000000000000000000000000000000000000F401370A001A1E001F0000000001002E0000000000000000000000000000000000000000E8030000000000003F010200000600000000000000000000000000000000000000000000E8030000000000003F010200000600010000000000000000000000000000000000000000E8030000000000003F010200000600020000000000000000000000000000000000000000DC050000000000003F010200000600030000000000000000000000000000000000000000E8030000000000003F010200000600040000000000000000000000000000000000000000E8030000000000003F010200000600050000000000000000000000000000000000000000D0070000000000003F010200000600060000000000000000000000000000000000000000E8030000000000003F010200000600070000000000000000000000000000000000000000C4090000000000003F010200000600080000000000000000000000000000000000000000E8030000000000003F010200000600090000000000000000000000000000000000000000D0070000000000003F0102000006000A0000000000000000000000000000000000000000C4090000000000003F0102000006000B0000000000000000000000000000000000000000E8030000000000003F0102000006000C000000000000000000000000000000000000000088130000000000003F0102000006000D000000000000000000000000000000000000000088130000000000003F0102000006000E0000000000000000000000000000000000000000DC050000000000003F0102000006000F00000000000000000000000000000000000000002C010000000000003F010200000600100000000000000000000000000000000000000000D0070000000000003F010200000600110000000000000000000000000000000000000000E8030000000000003F010200000600120000000000000000000000000000000000000000E8030000000000003F010200000600130000000000000000000000000000000000000000B80B0000000000003F010200000600140000000000000000000000000000000000000000C4090000000000003F010200000600150000000000000000000000000000000000000000E8030000000000003F010200000600160000000000000000000000000000000000000000E8030000000000003F01020000060017000000000000000000000000000000000000000088130000000000003F010200000600180000000000000000000000000000000000000000E8030000000000003F010200000600190000000000000000000000000000000000000000E8030000000000003F0102000006001A0000000000000000000000000000000000000000E8030000000000003F0102000006001B0000000000000000000000000000000000000000E8030000000000003F0102000006001C0000000000000000000000000000000000000000B80B0000000000003F0102000006001D0000000000000000000000000000000000000000E8030000000000003F0102000006001E0000000000000000000000000000000000000000E8030000000000003F0102000006001F0000000000000000000000000000000000000000DC050000000000003F010200000600200000000000000000000000000000000000000000C4090000000000003F010200000600210000000000000000000000000000000000000000E8030000000000003F010200000600220000000000000000000000000000000000000000E8030000000000003F010200000600230000000000000000000000000000000000000000D0070000000000003F01020000060024000000000000000000000000000000000000000088130000000000003F010200000600250000000000000000000000000000000000000000E8030000000000003F010200000600260000000000000000000000000000000000000000C4090000000000003F010200000600270000000000000000000000000000000000000000E8030000000000003F010200000600280000000000000000000000000000000000000000B80B0000000000003F010200000600290000000000000000000000000000000000000000E8030000000000003F0102000006002A0000000000000000000000000000000000000000E8030000000000003F0102000006002B0000000000000000000000000000000000000000E8030000000000003F0102000006002C0000000000000000000000000000000000000000E8030000000000003F0102000006002D0000000000000000000000000000000000000000C4090000000000003F0102000006002E0000000000000000000000000000000000000000E8030000000000003F0102000006002F0000000000000000000000000000000000000000E8030000000000003F010200000600300000000000000000000000000000000000000000B80B0000000000003F010200000600310000000000000000000000000000000000000000C4090000000000003F010200000600320000000000000000000000000000000000000000DC050000000000003F010200000600330000000000000000000000000000000000000000E8030000000000003F010200000600340000000000000000000000000000000000000000E8030000000000003F010200000600350000000000000000000000000000000000000000E8030000000000003F010200000600360000000000000000000000000000000000000000C4090000000000003F010200000600370000000000000000000000000000000000000000E8030000000000003F010200000600380000000000000000000000000000000000000000E8030000000000003F010200000600390000000000000000000000000000000000000000B80B0000000000003F0102000006003A0000000000000000000000000000000000000000DC050000000000003F0102000006003B0000000000000000000000000000000000000000E8030000000000003F0102000006003C0000000000000000000000000000000000000000DC050000000000003F0102000006003D0000000000000000000000000000000000000000E8030000000000003F0102000006003E0000000000000000000000000000000000000000C4090000000000003F0102000006003F0000000000000000000000000000000000000000B80B0000000000003F010200000600400000000000000000000000000000000000000000E8030000000000003F010200000600410000000000000000000000000000000000000000E8030000000000003F01020000060042000000000000000000000000000000000000000088130000000000003F010200000600430000000000000000000000000000000000000000E8030000000000003F010200000600440000000000000000000000000000000000000000DC050000000000003F01020000060045000000000000000000000000000000000000000088130000000000003F010200000600460000000000000000000000000000000000000000E8030000000000003F010200000600470000000000000000000000000000000000000000F4010000000000003F010200000600480000000000000000000000000000000000000000E8030000000000003F010200000600490000000000000000000000000000000000000000E8030000000000003F0102000006004A0000000000000000000000000000000000000000E8030000000000003F0102000006004B0000000000000000000000000000000000000000E8030000000000003F0102000006004C0000000000000000000000000000000000000000E8030000000000003F0102000006004D0000000000000000000000000000000000000000E8030000000000003F0102000006004E0000000000000000000000000000000000000000B80B0000000000003F0102000006004F0000000000000000000000000000000000000000E8030000000000003F010200000600500000000000000000000000000000000000000000E8030000000000003F010200000600510000000000000000000000000000000000000000E8030000000000003F010200000600520000000000000000000000000000000000000000B80B0000000000003F010200000600530000000000000000000000000000000000000000E8030000000000003F010200000600540000000000000000000000000000000000000000E8030000000000003F010200000600550000000000000000000000000000000000000000E8030000000000003F010200000600560000000000000000000000000000000000000000E8030000000000003F010200000600570000000000000000000000000000000000000000C4090000000000003F010200000600580000000000000000000000000000000000000000E8030000000000003F010200000600590000000000000000000000000000000000000000C4090000000000003F0102000006005A0000000000000000000000000000000000000000C4090000000000003F0102000006005B000000000000000000000000000000000000000000000000000000003F01020000060064000000000000000000000000000000000000000000000000000000003F01020000060065000000000000000000000000000000000000000000000000000000003F01020000060066000000000000000000000000000000000000000000000000000000003F01020000060067000000000000000000000000000000000000000000000000000000003F01020000060068000000000000000000000000000000000000000000000000000000003F0102000006006900000000000000000000000000000000000000009411660000000A001F00000000010113000000000000000000000000000000000000000000000000000000000000000000020000000000000000000000000000000000000000000000000000000000001F020000000800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000000000000000000000000000000000000000000000000000000007F020D00000800FF000000000000000000000000000000000000000000000000000000007F020D00000800FF010000000000000000000000000000000000000000000000000000007F020D00000800FF020000000000000000000000000000000000000000000000000000001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</v>
      </c>
      <c r="D1" t="s">
        <v>0</v>
      </c>
    </row>
    <row r="2" spans="1:4" x14ac:dyDescent="0.4">
      <c r="A2" t="s">
        <v>1022</v>
      </c>
      <c r="B2" t="str">
        <f t="shared" ref="B2:B4" si="0">SUBSTITUTE(A2," ","")</f>
        <v>0001009A00000000000000000000000000000000000000006400841400005A001F0000000001009B01000000000000000000000000000000000000006400851400005A001F0000000001009C00000000000000000000000000000000000000006400861400005A001F0000000001009D00000000000000000000000000000000000000006400871400005A001F0000000001009E00000000000000000000000000000000000000006400881400005A001F0000000001009F00000000000000000000000000000000000000006400891400005A001F000000000100A0000000000000000000000000000000000000000064008A1400005A001F000000000100A1000000000000000000000000000000000000000064008B1400005A001F000000000100A2000000000000000000000000000000000000000064008C1400005A001F000000000100A30000000000000000000000000000000000000000C800521400000A001F000000000100520000000000000000000000000000000000000000C800481400000A001F000000000100520000000000000000000000000000000000000000F4016A0000000A001F000000000100520000000000000000000000000000000000000000C8004D1400000A001F000000000100520000000000000000000000000000000000000000C800491400000A001F0000000001005200000000000000000000000000000000000000004C04390A00000A001F00000000010052000000000000000000000000000000000000000058023A0000000A001F000000000100520000000000000000000000000000000000000000C8008D00000050001F0006000102004A0008000000000000000000000000000000000000C8008E00000050001F000600010300480008000000000000000000000000000000000000C8008F00000050001F0006000103004B0008000000000000000000000000000000000000C8009000000032001F000600000100470008000000000000000000000000000000000000C800910000000A001F0006000001004D0008000000000000000000000000000000000000F4014200000050001F0000000001002F0000000000000000000000000000000000000000F401370A001A1E001F0000000001002E0000000000000000000000000000000000000000E8030000000000003F010200000600000000000000000000000000000000000000000000E8030000000000003F010200000600010000000000000000000000000000000000000000E8030000000000003F010200000600020000000000000000000000000000000000000000DC050000000000003F010200000600030000000000000000000000000000000000000000E8030000000000003F010200000600040000000000000000000000000000000000000000E8030000000000003F010200000600050000000000000000000000000000000000000000D0070000000000003F010200000600060000000000000000000000000000000000000000E8030000000000003F010200000600070000000000000000000000000000000000000000C4090000000000003F010200000600080000000000000000000000000000000000000000E8030000000000003F010200000600090000000000000000000000000000000000000000D0070000000000003F0102000006000A0000000000000000000000000000000000000000C4090000000000003F0102000006000B0000000000000000000000000000000000000000E8030000000000003F0102000006000C000000000000000000000000000000000000000088130000000000003F0102000006000D000000000000000000000000000000000000000088130000000000003F0102000006000E0000000000000000000000000000000000000000DC050000000000003F0102000006000F00000000000000000000000000000000000000002C010000000000003F010200000600100000000000000000000000000000000000000000D0070000000000003F010200000600110000000000000000000000000000000000000000E8030000000000003F010200000600120000000000000000000000000000000000000000E8030000000000003F010200000600130000000000000000000000000000000000000000B80B0000000000003F010200000600140000000000000000000000000000000000000000C4090000000000003F010200000600150000000000000000000000000000000000000000E8030000000000003F010200000600160000000000000000000000000000000000000000E8030000000000003F01020000060017000000000000000000000000000000000000000088130000000000003F010200000600180000000000000000000000000000000000000000E8030000000000003F010200000600190000000000000000000000000000000000000000E8030000000000003F0102000006001A0000000000000000000000000000000000000000E8030000000000003F0102000006001B0000000000000000000000000000000000000000E8030000000000003F0102000006001C0000000000000000000000000000000000000000B80B0000000000003F0102000006001D0000000000000000000000000000000000000000E8030000000000003F0102000006001E0000000000000000000000000000000000000000E8030000000000003F0102000006001F0000000000000000000000000000000000000000DC050000000000003F010200000600200000000000000000000000000000000000000000C4090000000000003F010200000600210000000000000000000000000000000000000000E8030000000000003F010200000600220000000000000000000000000000000000000000E8030000000000003F010200000600230000000000000000000000000000000000000000D0070000000000003F01020000060024000000000000000000000000000000000000000088130000000000003F010200000600250000000000000000000000000000000000000000E8030000000000003F010200000600260000000000000000000000000000000000000000C4090000000000003F010200000600270000000000000000000000000000000000000000E8030000000000003F010200000600280000000000000000000000000000000000000000B80B0000000000003F010200000600290000000000000000000000000000000000000000E8030000000000003F0102000006002A0000000000000000000000000000000000000000E8030000000000003F0102000006002B0000000000000000000000000000000000000000E8030000000000003F0102000006002C0000000000000000000000000000000000000000E8030000000000003F0102000006002D0000000000000000000000000000000000000000C4090000000000003F0102000006002E0000000000000000000000000000000000000000E8030000000000003F0102000006002F0000000000000000000000000000000000000000E8030000000000003F010200000600300000000000000000000000000000000000000000B80B0000000000003F010200000600310000000000000000000000000000000000000000C4090000000000003F010200000600320000000000000000000000000000000000000000DC050000000000003F010200000600330000000000000000000000000000000000000000E8030000000000003F010200000600340000000000000000000000000000000000000000E8030000000000003F010200000600350000000000000000000000000000000000000000E8030000000000003F010200000600360000000000000000000000000000000000000000C4090000000000003F010200000600370000000000000000000000000000000000000000E8030000000000003F010200000600380000000000000000000000000000000000000000E8030000000000003F010200000600390000000000000000000000000000000000000000B80B0000000000003F0102000006003A0000000000000000000000000000000000000000DC050000000000003F0102000006003B0000000000000000000000000000000000000000E8030000000000003F0102000006003C0000000000000000000000000000000000000000DC050000000000003F0102000006003D0000000000000000000000000000000000000000E8030000000000003F0102000006003E0000000000000000000000000000000000000000C4090000000000003F0102000006003F0000000000000000000000000000000000000000B80B0000000000003F010200000600400000000000000000000000000000000000000000E8030000000000003F010200000600410000000000000000000000000000000000000000E8030000000000003F01020000060042000000000000000000000000000000000000000088130000000000003F010200000600430000000000000000000000000000000000000000E8030000000000003F010200000600440000000000000000000000000000000000000000DC050000000000003F01020000060045000000000000000000000000000000000000000088130000000000003F010200000600460000000000000000000000000000000000000000E8030000000000003F010200000600470000000000000000000000000000000000000000F4010000000000003F010200000600480000000000000000000000000000000000000000E8030000000000003F010200000600490000000000000000000000000000000000000000E8030000000000003F0102000006004A0000000000000000000000000000000000000000E8030000000000003F0102000006004B0000000000000000000000000000000000000000E8030000000000003F0102000006004C0000000000000000000000000000000000000000E8030000000000003F0102000006004D0000000000000000000000000000000000000000E8030000000000003F0102000006004E0000000000000000000000000000000000000000B80B0000000000003F0102000006004F0000000000000000000000000000000000000000E8030000000000003F010200000600500000000000000000000000000000000000000000E8030000000000003F010200000600510000000000000000000000000000000000000000E8030000000000003F010200000600520000000000000000000000000000000000000000B80B0000000000003F010200000600530000000000000000000000000000000000000000E8030000000000003F010200000600540000000000000000000000000000000000000000E8030000000000003F010200000600550000000000000000000000000000000000000000E8030000000000003F010200000600560000000000000000000000000000000000000000E8030000000000003F010200000600570000000000000000000000000000000000000000C4090000000000003F010200000600580000000000000000000000000000000000000000E8030000000000003F010200000600590000000000000000000000000000000000000000C4090000000000003F0102000006005A0000000000000000000000000000000000000000C4090000000000003F0102000006005B000000000000000000000000000000000000000000000000000000003F01020000060064000000000000000000000000000000000000000000000000000000003F01020000060065000000000000000000000000000000000000000000000000000000003F01020000060066000000000000000000000000000000000000000000000000000000003F01020000060067000000000000000000000000000000000000000000000000000000003F01020000060068000000000000000000000000000000000000000000000000000000003F0102000006006900000000000000000000000000000000000000009411660000000A001F00000000010113000000000000000000000000000000000000000000000000000000000000000000020000000000000000000000000000000000000000000000000000000000001F020000000800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000000000000000000000000000000000000000000000000000000007F020D00000800FF000000000000000000000000000000000000000000000000000000007F020D00000800FF010000000000000000000000000000000000000000000000000000007F020D00000800FF020000000000000000000000000000000000000000000000000000001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000000000000000000000000000000000000000000000000000000007F020E0000080003000000000000000000000000000000000000000000000000000000003F020F000008002A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000000000000000000000000000000000000000000000000000000007F021000000800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000000000000000000000000000000000000000096000000000000001F08000102040010100000000000000000000000000000000000000096000000000000001F08000102040011110000000000000000000000000000000000000096000000000000001F08000102040012120000000000000000000000000000000000000096000000000000001F08000102040013130000000000000000000000000000000000000096000000000000001F08000102040014140000000000000000000000000000000000000096000000000000001F08000102040015150000000000000000000000000000000000000096000000000000001F0800010204001616000000000000000000000000000000000000001E000000000000001F00000102040017170000000000000000000000000000000000000000000000000000001F000000020400FF000000000000000000000000000000000000000000000000000000001F020000000800FF000000000000000000000000000000000000000000000000000000001F020000000800FF000000000000000000000000000000000000000000000000000000003F020000000800FF00000000000000000000000000000000000000002300000000001E009F4001020100001D3F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A00000A001F00060001030076000800000000000000000000000000000000000000000000000000001F020000000800FF000000000000000000000000000000000000000000000000000000001F00000000010076000000000000000000000000000000000000000000000000000000001F0000000001007700000000000000000000000000000000000000000000000000001E001F000600010300C90008000000000000000000000000000000000000F401000000001E001F0006000002003C00080000000000000000000000000000000000007C019200000028001F0000000001002D00000000000000000000000000000000000000009001930000001E001F000000000100120000000000000000000000000000000000000000C012940600003C001F0000000001002800000000000000000000000000000000000000003200950000000A001F0000000001002200000000000000000000000000000000000000006400960000000A001F0000000001012700000000000000000000000000000000000000001400970000000A001F0000000001001D0000000000000000000000000000000000000000C800980000001E001F0000000001002900000000000000000000000000000000000000003C00990000001E001F0000000001011500000000000000000000000000000000000000003C009A0000001E001F0000000001012B000000000000000000000000000000000000000064009B0000001E001F00000000010131000000000000000000000000000000000000000014009C00000000001F00000000010183000000000000000000000000000000000000000014009D00000000001F00000000010184000000000000000000000000000000000000000014009E00000000001F00000000010185000000000000000000000000000000000000000014009F00000000001F0000000001018600000000000000000000000000000000000000001400A000000000001F0000000001018700000000000000000000000000000000000000001400A100000000001F0000000001018800000000000000000000000000000000000000001400A200000000001F0000000001018900000000000000000000000000000000000000001400A300000000001F0000000001018A00000000000000000000000000000000000000001400A400000000001F0000000001018B00000000000000000000000000000000000000001400A500000000001F0000000001018C00000000000000000000000000000000000000001400A600000000001F0000000001018D00000000000000000000000000000000000000001400A700000000001F0000000001018E00000000000000000000000000000000000000001400A800000000001F0000000001018F00000000000000000000000000000000000000001400A900000000001F0000000001019000000000000000000000000000000000000000001400AA00000000001F0000000001019100000000000000000000000000000000000000001400AB00000000001F0000000001019200000000000000000000000000000000000000009001AC00000000001F000000000101820000000000000000000000000000000000000000B80B0000000014009F000100010000010000000000081E64000000000000000302010000B80B0000000014009F0001000100002D0000000000101E00640000000000000302010000B80B0000000014009F0001000100002E0000000000201E00006400000000000302010000B80B0000000014009F0001000100002F0000000000801E00000000640000000302010000B80B0000000014009F000100010000300000000000001F00000000006400000302010000B80B0000000014009F000100010000310000000000401E000000640000000003020100003C0000FF000014009F000100010000001F00000000041C000000000000FF000101010000BC020000000064001F0000000102009D0000000000000000000000000000000000000000BC020000000064001F0000000102009E000000000000000000000000000000000000000000000000000000001F020000000800FF00000000000000000000000000000000000000001400000000001E001F000000010200FF000000000000000000000000000000000000000000000000000000001F0800010204001818000000000000000000000000000000000000000A00000000001E001F1000030103000A000000000000000000000000000000000000000000000000000000001F020000000800FF000000000000000000000000000000000000000000000000000000001F020000000800FF0000000000000000000000000000000000000000B80B000000001E001F000000010200170000000000000000000000000000000000000000007D000000001E001F000000010200160000000000000000000000000000000000000000C05D000000001E001F00000001020014000000000000000000000000000000000000000050C3000000001E001F0000000102001500000000000000000000000000000000000000000000000000001E001F0000000102003200000000000000000000000000000000000000000000000000001E001F0000000102003300000000000000000000000000000000000000007017000000001E001F0000000102003400000000000000000000000000000000000000000000000000001E001F0000000102003500000000000000000000000000000000000000000000000000001E001F0000000102003600000000000000000000000000000000000000000000000000001E001F0000000102003700000000000000000000000000000000000000000000000000001E001F0000000102003800000000000000000000000000000000000000002300000000001E009F4001020100001E3F0000000000000000000000000000000000000000000000000000001F000000010300FF000000002000000000000000000000000000000000000000000000001F000000010300FF000000200000000000000000000000000000000000000000000000001F000000010300FF000020000000000000000000000000000000000000000000000000001F000000010300FF000000020000000000000000000000000000000000000000000000001F000000010300FF000002000000000000000000000000000000000000000000000000001F000000010300FF002000000000000000000000000000000000000000000000000000001F000000010300FF000000000200000000000000000000000000000000000000000000001F000000010300FF000000300000000000000000000000000000000000000000000000001F000000010300FF000030000000000000000000000000000000000000000000000000001F000000010300FF000000030000000000000000000000000000000000000000000000001F000000010300FF000003000000000000000000000000000000000000000000000000001F000000010300FF003000000000000000000000000000000000000000000000000000001F000000010300FF000000000300000000000000000000000000000000000000000000001F000000010300FF000000600000000000000000000000000000000000000000000000001F000000010300FF000060000000000000000000000000000000000000000000000000001F000000010300FF000000060000000</v>
      </c>
      <c r="C2" t="str">
        <f>RIGHT(B2,B7-(32760-B6))&amp;B3&amp;LEFT(B4,2)</f>
        <v>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000000000000000000000000000000000000000000000000000000007F020E0000080003000000000000000000000000000000000000000000000000000000003F020F000008002A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000000000000000000000000000000000000000000000000000000007F021000000800FF000000000000000000000000000000000000000000000000000000001F020000000800FF000000000000000000000000000000000000000000000000000000001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000000000000000000000000000000000000000002000000000000001F000000000200FF000000000000000000000000000000000000000096000000000000001F08000102040010100000000000000000000000000000000000000096000000000000001F08000102040011110000000000000000000000000000000000000096000000000000001F08000102040012120000000000000000000000000000000000000096000000000000001F08000102040013130000000000000000000000000000000000000096000000000000001F08000102040014140000000000000000000000000000000000000096000000000000001F08000102040015150000000000000000000000000000000000000096000000000000001F0800010204001616000000000000000000000000000000000000001E000000000000001F00000102040017170000000000000000000000000000000000000000000000000000001F000000020400FF000000000000000000000000000000000000000000000000000000001F020000000800FF000000000000000000000000000000000000000000000000000000001F020000000800FF000000000000000000000000000000000000000000000000000000003F020000000800FF00000000000000000000000000000000000000002300000000001E009F4001020100001D3F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A00000A001F00060001030076000800000000000000000000000000000000000000000000000000001F020000000800FF000000000000000000000000000000000000000000000000000000001F00000000010076000000000000000000000000000000000000000000000000000000001F0000000001007700000000000000000000000000000000000000000000000000001E001F000600010300C90008000000000000000000000000000000000000F401000000001E001F0006000002003C00080000000000000000000000000000000000007C019200000028001F0000000001002D00000000000000000000000000000000000000009001930000001E001F000000000100120000000000000000000000000000000000000000C012940600003C001F0000000001002800000000000000000000000000000000000000003200950000000A001F0000000001002200000000000000000000000000000000000000006400960000000A001F0000000001012700000000000000000000000000000000000000001400970000000A001F0000000001001D0000000000000000000000000000000000000000C800980000001E001F0000000001002900000000000000000000000000000000000000003C00990000001E001F0000000001011500000000000000000000000000000000000000003C009A0000001E001F0000000001012B000000000000000000000000000000000000000064009B0000001E001F00000000010131000000000000000000000000000000000000000014009C00000000001F00000000010183000000000000000000000000000000000000000014009D00000000001F00000000010184000000000000000000000000000000000000000014009E00000000001F00000000010185000000000000000000000000000000000000000014009F00000000001F0000000001018600000000000000000000000000000000000000001400A000000000001F0000000001018700000000000000000000000000000000000000001400A100000000001F0000000001018800000000000000000000000000000000000000001400A200000000001F0000000001018900000000000000000000000000000000000000001400A300000000001F0000000001018A00000000000000000000000000000000000000001400A400000000001F0000000001018B00000000000000000000000000000000000000001400A500000000001F0000000001018C00000000000000000000000000000000000000001400A600000000001F0000000001018D00000000000000000000000000000000000000001400A700000000001F0000000001018E00000000000000000000000000000000000000001400A800000000001F0000000001018F00000000000000000000000000000000000000001400A900000000001F0000000001019000000000000000000000000000000000000000001400AA00000000001F0000000001019100000000000000000000000000000000000000001400AB00000000001F0000000001019200000000000000000000000000000000000000009001AC00000000001F000000000101820000000000000000000000000000000000000000B80B0000000014009F000100010000010000000000081E64000000000000000302010000B80B0000000014009F0001000100002D0000000000101E00640000000000000302010000B80B0000000014009F0001000100002E0000000000201E00006400000000000302010000B80B0000000014009F0001000100002F0000000000801E00000000640000000302010000B80B0000000014009F000100010000300000000000001F00000000006400000302010000B80B0000000014009F000100010000310000000000401E000000640000000003020100003C0000FF000014009F000100010000001F00000000041C000000000000FF000101010000BC020000000064001F0000000102009D0000000000000000000000000000000000000000BC020000000064001F0000000102009E000000000000000000000000000000000000000000000000000000001F020000000800FF00000000000000000000000000000000000000001400000000001E001F000000010200FF000000000000000000000000000000000000000000000000000000001F0800010204001818000000000000000000000000000000000000000A00000000001E001F1000030103000A000000000000000000000000000000000000000000000000000000001F020000000800FF000000000000000000000000000000000000000000000000000000001F020000000800FF0000000000000000000000000000000000000000B80B000000001E001F000000010200170000000000000000000000000000000000000000007D000000001E001F000000010200160000000000000000000000000000000000000000C05D000000001E001F00000001020014000000000000000000000000000000000000000050C3000000001E001F0000000102001500000000000000000000000000000000000000000000000000001E001F0000000102003200000000000000000000000000000000000000000000000000001E001F0000000102003300000000000000000000000000000000000000007017000000001E001F0000000102003400000000000000000000000000000000000000000000000000001E001F0000000102003500000000000000000000000000000000000000000000000000001E001F0000000102003600000000000000000000000000000000000000000000000000001E001F0000000102003700000000000000000000000000000000000000000000000000001E001F0000000102003800000000000000000000000000000000000000002300000000001E009F4001020100001E3F0000000000000000000000000000000000000000000000000000001F000000010300FF000000002000000000000000000000000000000000000000000000001F000000010300FF000000200000000000000000000000000000000000000000000000001F000000010300FF000020000000000000000000000000000000000000000000000000001F000000010300FF000000020000000000000000000000000000000000000000000000001F000000010300FF000002000000000000000000000000000000000000000000000000001F000000010300FF002000000000000000000000000000000000000000000000000000001F000000010300FF000000000200000000000000000000000000000000000000000000001F000000010300FF000000300000000000000000000000000000000000000000000000001F000000010300FF000030000000000000000000000000000000000000000000000000001F000000010300FF000000030000000000000000000000000000000000000000000000001F000000010300FF000003000000000000000000000000000000000000000000000000001F000000010300FF003000000000000000000000000000000000000000000000000000001F000000010300FF000000000300000000000000000000000000000000000000000000001F000000010300FF000000600000000000000000000000000000000000000000000000001F000000010300FF000060000000000000000000000000000000000000000000000000001F000000010300FF000000060000000000000000000000000000000000000000000000001F000000010300FF000006000000000000000000000000000000000000000000000000001F000000010300FF006000000000000000000000000000000000000000000000000000001F000000010300FF000000000600000000000000000000000000000000000000000000001F000000010300FF000000000000000000000000000000000000000000000000000000001F000000010300FF000000000000000000000000000000000000000000000000000000001F000000010300FF000000000000000000000000000000000000000000000000000000001F000000010300FF000000000000000000000000000000000000000000000000000000001F000000010300FF000000003000000000000000000000000000000000000000000000001F020000000800FF000000000000000000000000000000000000000000000000000000001F020000000800FF000000000000000000000000000000000000000088130000000000003F0102000006005C0000000000000000000000000000000000000000B80B0000000000003F0102000006005D0000000000000000000000000000000000000000C4090000000000003F0102000006005E000000000000000000000000000000000000000000000000000000001F020000000800FF00000000000000000000000000000000000000000000000000001E001F000600010300C8000800000000000000000000000000000000000000000000000000001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02110000080028000000000000000000000000000000000000000000000000000000003F02110000080029000000000000000000000000000000000000000000000000000000001F020000000800FF000000000000000000000000000000000000000000000000000000003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020F000008002B00000000000000000000000000000000000000006400AD00000050001F0000000001012A00000000000000000000000000000000000000002A12AE00000050001F00000000010035000000000000000000000000000000000000000000000000000000003F020000000800FF000000000000000000000000000000000000000000000000000000003F020000000800FF000000000000000000000000000000000000000000000000000000003F020000000800FF00000000000000000000000000000000000000006400AF1400005A001F000000000100A40000000000000000000000000000000000000000E8030000000000009F000100000000340000000000000000000000000000000000000000C8000000000050001F0006000001004E0008000000000000000000000000000000000000C8000000000050001F0006000001004F00080000000000000000000000000000000000003C00B00000001E001F0000000001011F00000000000000000000000000000000000000003C00B10000001E001F000000000101380000000000000000000000000000000000000000F401B200000050001F00000000010037000000000000000000000000000000000000000000000000000000003F020000000800FF00000000000000000000000000000000000000001400000000001E001F000000010200FF00000000000000000000000000000000000000001400000000001E001F000000010200FF00000000000000000000000000000000000000001400000000001E001F000000010200FF00000000000000000000000000000000000000001400000000001E001F000000010200FF000000000000000000000000000000000000000000000000000050001F000000000100C7000000000000000000000000000000000000000000000000000050001F000000000100C8000000000000000000000000000000000000000000000000000050001F000000000100D1000000000000000000000000000000000000000000000000000050001F000000000100D9000000000000000000000000000000000000000000000000000050001F000000000100EA000000000000000000000000000000000000000000000000000050001F000000000100C30000000000000000000000000000000000000000983A0000000050001F000000000100E00000000000000000000000000000000000000000983A0000000050001F000000000100E1000000000000000000000000000000000000000000000000000050001F000000000100D4000000000000000000000000000000000000000000000000000050001F000000000100CE000000000000000000000000000000000000000000000000000050001F000000000100DC000000000000000000000000000000000000000000000000000050001F000000000100DE000000000000000000000000000000000000000000000000000050001F000000000100CB000000000000000000000000000000000000000000000000000050001F000000000100D6000000000000000000000000000000000000000000000000000050001F000000000100D5000000000000000000000000000000000000000000000000000050001F000000000100C1000000000000000000000000000000000000000000000000000050001F000000000100DA000000000000000000000000000000000000000000000000000050001F000000000100EC000000000000000000000000000000000000000000000000000050001F000000000100E5000000000000000000000000000000000000000000000000000050001F000000000100C4000000000000000000000000000000000000000000000000000050001F000000000100C5000000000000000000000000000000000000000000000000000050001F000000000100BE000000000000000000000000000000000000000000000000000050001F000000000100EB000000000000000000000000000000000000000000000000000050001F000000000100D8000000000000000000000000000000000000000000000000000050001F000000000100DB000000000000000000000000000000000000000000000000000050001F000000000100C6000000000000000000000000000000000000000000000000000050001F000000000100E6000000000000000000000000000000000000000000000000000050001F000000000100C2000000000000000000000000000000000000000000000000000050001F000000000100E8000000000000000000000000000000000000000000000000000050001F000000000100E900000000000000000000000000000000000000000200B30000000A5091010C000107014000000000000000000000000000000000000000000200B40000110A6491010C000107014100000000000000000000000000000000000000000200B50000140A6490010C0001070142000000000000000000000000000000000000000000000000000000003F020000000800FF0000000000000000000000000000000000000000C4090000000000003F0102000006005F0000000000000000000000000000000000000000E8030000000000003F010200000600600000000000000000000000000000000000000000B80B0000000000003F010200000600610000000000000000000000000000000000000000E8030000000000003F010200000600620000000000000000000000000000000000000000C4090000000000003F01020000060063000000000000000000000000000000000000000000000000000000003F020000000800FF000000000000000000000000000000000000000000000000000000003F02000000080005000000000000000000000000000000000000000000000000000000003F020000000800FF000000000000000000000000000000000000000000000000000000003F020000000800FF00000000000000000000000000000000000000000200000000000A001F00000000020008000000000000000000000000000000000000000000000000000000003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00000000000000000000000000000000000000002C01000000001E001F000000010200B4000000000000000000000000000000000000000000000000000000003F02000000080014000000000000000000000000000000000000000000000000000000003F02000000080015000000000000000000000000000000000000000000000000000000003F020000000800FF00000000000000000000000000000000000000002300000000001E009F4001020100001F3F000000000000000000000000000000000000002300000000001E009F400102010000203F00000000000000000000000000000000000000BC020000000064001F0000000002009F0000000000000000000000000000000000000000BC020000000064001F000000000200A0000000000000000000000000000000000000000000000000000000003F020000000800FF000000000000000000000000000000000000000000000000000000003F020000000800FF000000000000000000000000000000000000000000000000000000003F020000000800FF00000000000000000000000000000000000000001400B600000000001F00000000010193000000000000000000000000000000000000000000000000000000003F020000000800FF000000000000000000000000000000000000000000000000000000003F020000000800FF000000000000000000000000000000000000000000000000000000007F020300000800FF000000000000000000000000000000000000000000000000000000007F020300000800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000000000000000000000000000000000000000000000000000000007F020800000800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0102000006006A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000000000000000000000000000000000000000000000000000050001F000000000100E7000000000000000000000000000000000000000000000000000050001F000000000100CA000000000000000000000000000000000000000000000000000050001F000000000100E4000000000000000000000000000000000000000000000000000050001F000000000100CF000000000000000000000000000000000000000000000000000050001F000000000100BF000000000000000000000000000000000000000000000000000050001F000000000100CD000000000000000000000000000000000000000000000000000050001F000000000100E2000000000000000000000000000000000000000000000000000050001F000000000100C9000000000000000000000000000000000000000000000000000050001F000000000100E3000000000000000000000000000000000000000000000000000050001F000000000100D2000000000000000000000000000000000000000000000000000050001F000000000100D7000000000000000000000000000000000000000000000000000050001F000000000100C0000000000000000000000000000000000000000000000000000050001F000000000100D0000000000000000000000000000000000000000000000000000000003F020F000008002C000000000000000000000000000000000000000000000000000000003F020000000800FF000000000000000000000000000000000000000000000000000050001F000000000100D3000000000000000000000000000000000000000000000000000050001F000000000100DF000000000000000000000000000000000000000000000000000050001F000000000100DD000000000000000000000000000000000000000000000000000050001F000000000100CC000000000000000000000000000000000000000000000000000000003F020000000800FF00000000000000000000000000000000000000000000000000001E001F00060001030077000800000000000000000000000000000000000000000000000000003F02000000080006000000000000000000000000000000000000000000000000000000003F020000000800FF000000000000000000000000000000000000000000000000000000007F020900000800FF000000000000000000000000000000000000000000000000000000009F03000000010001010000000000000000000000000000000000000000000000000000009F03000000010002020000000000000000000000000000000000000000000000000000009F03000000010003030000000000000000000000000000000000000000000000000000009F03000000010004040000000000000000000000000000000000000000000000000000009F03000000010005050000000000000000000000000000000000000000000000000000009F03000000010006060000000000000000000000000000000000000000000000000000009F03000000010007070000000000000000000000000000000000000000000000000000009F03000000010008080000000000000000000000000000000000000000000000000000009F03000000010009090000000000000000000000000000000000000000000000000000009F0300000001000A0A0000000000000000000000000000000000000000000000000000009F0300000001000B0B0000000000000000000000000000000000000000000000000000009F0300000001000C0C0000000000000000000000000000000000000000000000000000009F0300000001000D0D0000000000000000000000000000000000000000000000000000009F0300000001000E0E0000000000000000000000000000000000000000000000000000009F0300000001000F0F0000000000000000000000000000000000000000000000000000009F03000000010010100000000000000000000000000000000000000000000000000000009F03000000010011110000000000000000000000000000000000000000000000000000009F03000000010012120000000000000000000000000000000000000000000000000000009F0300000001001313000000000000000000000000000000000000008813000000001E001F0000000002000500000000000000000000000000000000000000001027000000001E001F00000000020006000000000000000000000000000000000000000000000000000000003F02000000080004000000000000000000000000000000000000000000000000000000009F03000000010014140000000000000000000000000000000000000000000000000000009F03000000010015150000000000000000000000000000000000000000000000000000009F03000000010016160000000000000000000000000000000000000000000000000000009F03000000010017170000000000000000000000000000000000000000000000000000009F03000000010018180000000000000000000000000000000000000000000000000000009F03000000010019190000000000000000000000000000000000000000000000000000009F0300000001001A1A0000000000000000000000000000000000000000000000000000009F0300000001001B1B0000000000000000000000000000000000000000000000000000009F0300000001001C1C0000000000000000000000000000000000000000000000000000009F02010000010001010000000000000000000000000000000000000000000000000000009F02010000010002020000000000000000000000000000000000000000000000000000009F02010000010003030000000000000000000000000000000000000000000000000000009F02010000010004040000000000000000000000000000000000000000000000000000009F02010000010005050000000000000000000000000000000000000000000000000000009F02010000010006060000000000000000000000000000000000000000000000000000009F02010000010007070000000000000000000000000000000000000000000000000000009F02010000010008080000000000000000000000000000000000000000000000000000009F02010000010009090000000000000000000000000000000000000000000000000000009F0201000001000A0A0000000000000000000000000000000000000000000000000000009F0201000001000B0B0000000000000000000000000000000000000000000000000000009F0201000001000C0C0000000000000000000000000000000000000000000000000000009F0201000001000D0D0000000000000000000000000000000000000000000000000000009F0201000001000E0E0000000000000000000000000000000000000000000000000000009F0201000001000F0F0000000000000000000000000000000000000000000000000000009F02010000010010100000000000000000000000000000000000000000000000000000009F02010000010011110000000000000000000000000000000000000000000000000000009F02010000010012120000000000000000000000000000000000000000000000000000009F02010000010013130000000000000000000000000000000000000000000000000000009F02010000010014140000000000000000000000000000000000000000000000000000009F02010000010015150000000000000000000000000000000000000000000000000000009F02010000010016160000000000000000000000000000000000000000000000000000009F02010000010017170000000000000000000000000000000000000000000000000000009F02010000010018180000000000000000000000000000000000000000000000000000009F02010000010019190000000000000000000000000000000000000000000000000000009F0201000001001A1A0000000000000000000000000000000000000000000000000000009F0201000001001B1B0000000000000000000000000000000000000000000000000000009F0201000001001C1C0000000000000000000000000000000000000000000000000000009F0201000001001D1D0000000000000000000000000000000000000000000000000000009F0300000001001D1D0000000000000000000000000000000000000000000000000000009F0201000001001D030000000000000000000000000000000000000000000000000000001F000000000100FF030000000000000000000000000000000000000000000000000000003F020000000800FF000000000000000000000000000000000000000000000000000000003F020000000800FF000000000000000000000000000000000000000000000000000000003F0200000008001F000000000000000000000000000000000000000000000000000000003F02000000080020000000000000000000000000000000000000000000000000000000003F02000000080021000000000000000000000000000000000000000001000000000000001F00000000020007000000000000000000000000000000000000000000000000000000003F0200000008000900000000000000000000000000000000000000001E00B70000001E001F1000000103010B000000000000000000000000000000000000000000000000000000003F0208000008000A000000000000000000000000000000000000000000000000000000003F020000000800FF00000000000000000000000000000000000000002C01000000001E001F0006000102004B000800000000000000000000000000000000000000000000000000003F0200000008000200000000000000000000000000000000000000002C010000000000001F0800010204001919000000000000000000000000000000000000008C00000000001E009F400102010000213F000000000000000000000000000000000000001E00000000000A001F000F00000200AB00000000000000000000000000000000000000001E00000000000A001F000F00000200AC00000000000000000000000000000000000000001E00000000000A001F000F00000200AD00000000000000000000000000000000000000001E00000000000A001F000F00000200AE000000000000000000000000000000000000000000000000000000003F02000000080007000000000000000000000000000000000000000000000000000000003F02000000080008000000000000000000000000000000000000000000000000000000003F0200000008001E000000000000000000000000000000000000000000000000000000003F02000000080022000000000000000000000000000000000000000000000000000000001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F401B80000003C001F000000000100700000000000000000000000000000000000000000C409B90000001E001F0000000001007100000000000000000000000000000000000000005000BA0000000A001F0000000001017200000000000000000000000000000000000000005000BB0000000A001F0000000001017300000000000000000000000000000000000000005000BC0000000A001F0000000001017400000000000000000000000000000000000000005000BD0000000A001F00000000010175000000000000000000000000000000000000000000000000000000001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000000000000000000000000000000000000000000000000000000009F400102010000FF000000000000000000000000000000000000000000000000000000009F400102010000FF000000000000000000000000000000000000000000000000000000009F400102010000FF000000000000000000000000000000000000000000000000000000009F400102010000FF000000000000000000000000000000000000000000000000000000009F400102010000FF000000000000000000000000000000000000000064008200000032001F000600010100AA000800000000000000000000000000000000000064008500000032001F000600010100AD000800000000000000000000000000000000000064008300000032001F000600010100AB000800000000000000000000000000000000000064008400000032001F000600010100AC000800000000000000000000000000000000000064008800000032001F000600010100B0000800000000000000000000000000000000000064008700000032001F000600010100AF000800000000000000000000000000000000000064008900000032001F000600010100B10008000000000000000000000000000000000000</v>
      </c>
      <c r="D2" t="s">
        <v>0</v>
      </c>
    </row>
    <row r="3" spans="1:4" x14ac:dyDescent="0.4">
      <c r="A3" t="s">
        <v>9</v>
      </c>
      <c r="B3" t="str">
        <f t="shared" si="0"/>
        <v>000000000000000000000000000000000000000001F000000010300FF000006000000000000000000000000000000000000000000000000001F000000010300FF006000000000000000000000000000000000000000000000000000001F000000010300FF000000000600000000000000000000000000000000000000000000001F000000010300FF000000000000000000000000000000000000000000000000000000001F000000010300FF000000000000000000000000000000000000000000000000000000001F000000010300FF000000000000000000000000000000000000000000000000000000001F000000010300FF000000000000000000000000000000000000000000000000000000001F000000010300FF000000003000000000000000000000000000000000000000000000001F020000000800FF000000000000000000000000000000000000000000000000000000001F020000000800FF000000000000000000000000000000000000000088130000000000003F0102000006005C0000000000000000000000000000000000000000B80B0000000000003F0102000006005D0000000000000000000000000000000000000000C4090000000000003F0102000006005E000000000000000000000000000000000000000000000000000000001F020000000800FF00000000000000000000000000000000000000000000000000001E001F000600010300C8000800000000000000000000000000000000000000000000000000001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02110000080028000000000000000000000000000000000000000000000000000000003F02110000080029000000000000000000000000000000000000000000000000000000001F020000000800FF000000000000000000000000000000000000000000000000000000003F020000000800FF000000000000000000000000000000000000000000000000000000003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000000000000000000000000000000000000000000000000000000003F020F000008002B00000000000000000000000000000000000000006400AD00000050001F0000000001012A00000000000000000000000000000000000000002A12AE00000050001F00000000010035000000000000000000000000000000000000000000000000000000003F020000000800FF000000000000000000000000000000000000000000000000000000003F020000000800FF000000000000000000000000000000000000000000000000000000003F020000000800FF00000000000000000000000000000000000000006400AF1400005A001F000000000100A40000000000000000000000000000000000000000E8030000000000009F000100000000340000000000000000000000000000000000000000C8000000000050001F0006000001004E0008000000000000000000000000000000000000C8000000000050001F0006000001004F00080000000000000000000000000000000000003C00B00000001E001F0000000001011F00000000000000000000000000000000000000003C00B10000001E001F000000000101380000000000000000000000000000000000000000F401B200000050001F00000000010037000000000000000000000000000000000000000000000000000000003F020000000800FF00000000000000000000000000000000000000001400000000001E001F000000010200FF00000000000000000000000000000000000000001400000000001E001F000000010200FF00000000000000000000000000000000000000001400000000001E001F000000010200FF00000000000000000000000000000000000000001400000000001E001F000000010200FF000000000000000000000000000000000000000000000000000050001F000000000100C7000000000000000000000000000000000000000000000000000050001F000000000100C8000000000000000000000000000000000000000000000000000050001F000000000100D1000000000000000000000000000000000000000000000000000050001F000000000100D9000000000000000000000000000000000000000000000000000050001F000000000100EA000000000000000000000000000000000000000000000000000050001F000000000100C30000000000000000000000000000000000000000983A0000000050001F000000000100E00000000000000000000000000000000000000000983A0000000050001F000000000100E1000000000000000000000000000000000000000000000000000050001F000000000100D4000000000000000000000000000000000000000000000000000050001F000000000100CE000000000000000000000000000000000000000000000000000050001F000000000100DC000000000000000000000000000000000000000000000000000050001F000000000100DE000000000000000000000000000000000000000000000000000050001F000000000100CB000000000000000000000000000000000000000000000000000050001F000000000100D6000000000000000000000000000000000000000000000000000050001F000000000100D5000000000000000000000000000000000000000000000000000050001F000000000100C1000000000000000000000000000000000000000000000000000050001F000000000100DA000000000000000000000000000000000000000000000000000050001F000000000100EC000000000000000000000000000000000000000000000000000050001F000000000100E5000000000000000000000000000000000000000000000000000050001F000000000100C4000000000000000000000000000000000000000000000000000050001F000000000100C5000000000000000000000000000000000000000000000000000050001F000000000100BE000000000000000000000000000000000000000000000000000050001F000000000100EB000000000000000000000000000000000000000000000000000050001F000000000100D8000000000000000000000000000000000000000000000000000050001F000000000100DB000000000000000000000000000000000000000000000000000050001F000000000100C6000000000000000000000000000000000000000000000000000050001F000000000100E6000000000000000000000000000000000000000000000000000050001F000000000100C2000000000000000000000000000000000000000000000000000050001F000000000100E8000000000000000000000000000000000000000000000000000050001F000000000100E900000000000000000000000000000000000000000200B30000000A5091010C000107014000000000000000000000000000000000000000000200B40000110A6491010C000107014100000000000000000000000000000000000000000200B50000140A6490010C0001070142000000000000000000000000000000000000000000000000000000003F020000000800FF0000000000000000000000000000000000000000C4090000000000003F0102000006005F0000000000000000000000000000000000000000E8030000000000003F010200000600600000000000000000000000000000000000000000B80B0000000000003F010200000600610000000000000000000000000000000000000000E8030000000000003F010200000600620000000000000000000000000000000000000000C4090000000000003F01020000060063000000000000000000000000000000000000000000000000000000003F020000000800FF000000000000000000000000000000000000000000000000000000003F02000000080005000000000000000000000000000000000000000000000000000000003F020000000800FF000000000000000000000000000000000000000000000000000000003F020000000800FF00000000000000000000000000000000000000000200000000000A001F00000000020008000000000000000000000000000000000000000000000000000000003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00000000000000000000000000000000000000002C01000000001E001F000000010200B4000000000000000000000000000000000000000000000000000000003F02000000080014000000000000000000000000000000000000000000000000000000003F02000000080015000000000000000000000000000000000000000000000000000000003F020000000800FF00000000000000000000000000000000000000002300000000001E009F4001020100001F3F000000000000000000000000000000000000002300000000001E009F400102010000203F00000000000000000000000000000000000000BC020000000064001F0000000002009F0000000000000000000000000000000000000000BC020000000064001F000000000200A0000000000000000000000000000000000000000000000000000000003F020000000800FF000000000000000000000000000000000000000000000000000000003F020000000800FF000000000000000000000000000000000000000000000000000000003F020000000800FF00000000000000000000000000000000000000001400B600000000001F00000000010193000000000000000000000000000000000000000000000000000000003F020000000800FF000000000000000000000000000000000000000000000000000000003F020000000800FF000000000000000000000000000000000000000000000000000000007F020300000800FF000000000000000000000000000000000000000000000000000000007F020300000800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000000000000000000000000000000000000000000000000000000007F020800000800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0102000006006A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000000000000000000000000000000000000000000000000000000003F020000000800FF000000000000000000000000000000000000000000000000000050001F000000000100E7000000000000000000000000000000000000000000000000000050001F000000000100CA000000000000000000000000000000000000000000000000000050001F000000000100E4000000000000000000000000000000000000000000000000000050001F000000000100CF000000000000000000000000000000000000000000000000000050001F000000000100BF000000000000000000000000000000000000000000000000000050001F000000000100CD000000000000000000000000000000000000000000000000000050001F000000000100E2000000000000000000000000000000000000000000000000000050001F000000000100C9000000000000000000000000000000000000000000000000000050001F000000000100E3000000000000000000000000000000000000000000000000000050001F000000000100D2000000000000000000000000000000000000000000000000000050001F000000000100D7000000000000000000000000000000000000000000000000000050001F000000000100C0000000000000000000000000000000000000000000000000000050001F000000000100D0000000000000000000000000000000000000000000000000000000003F020F000008002C000000000000000000000000000000000000000000000000000000003F020000000800FF000000000000000000000000000000000000000000000000000050001F000000000100D3000000000000000000000000000000000000000000000000000050001F000000000100DF000000000000000000000000000000000000000000000000000050001F000000000100DD000000000000000000000000000000000000000000000000000050001F000000000100CC000000000000000000000000000000000000000000000000000000003F020000000800FF00000000000000000000000000000000000000000000000000001E001F00060001030077000800000000000000000000000000000000000000000000000000003F02000000080006000000000000000000000000000000000000000000000000000000003F020000000800FF000000000000000000000000000000000000000000000000000000007F020900000800FF000000000000000000000000000000000000000000000000000000009F03000000010001010000000000000000000000000000000000000000000000000000009F03000000010002020000000000000000000000000000000000000000000000000000009F03000000010003030000000000000000000000000000000000000000000000000000009F03000000010004040000000000000000000000000000000000000000000000000000009F03000000010005050000000000000000000000000000000000000000000000000000009F03000000010006060000000000000000000000000000000000000000000000000000009F03000000010007070000000000000000000000000000000000000000000000000000009F03000000010008080000000000000000000000000000000000000000000000000000009F03000000010009090000000000000000000000000000000000000000000000000000009F0300000001000A0A0000000000000000000000000000000000000000000000000000009F0300000001000B0B0000000000000000000000000000000000000000000000000000009F0300000001000C0C0000000000000000000000000000000000000000000000000000009F0300000001000D0D0000000000000000000000000000000000000000000000000000009F0300000001000E0E0000000000000000000000000000000000000000000000000000009F0300000001000F0F0000000000000000000000000000000000000000000000000000009F03000000010010100000000000000000000000000000000000000000000000000000009F03000000010011110000000000000000000000000000000000000000000000000000009F03000000010012120000000000000000000000000000000000000000000000000000009F0300000001001313000000000000000000000000000000000000008813000000001E001F0000000002000500000000000000000000000000000000000000001027000000001E001F00000000020006000000000000000000000000000000000000000000000000000000003F02000000080004000000000000000000000000000000000000000000000000000000009F03000000010014140000000000000000000000000000000000000000000000000000009F03000000010015150000000000000000000000000000000000000000000000000000009F03000000010016160000000000000000000000000000000000000000000000000000009F03000000010017170000000000000000000000000000000000000000000000000000009F03000000010018180000000000000000000000000000000000000000000000000000009F03000000010019190000000000000000000000000000000000000000000000000000009F0300000001001A1A0000000000000000000000000000000000000000000000000000009F0300000001001B1B0000000000000000000000000000000000000000000000000000009F0300000001001C1C0000000000000000000000000000000000000000000000000000009F02010000010001010000000000000000000000000000000000000000000000000000009F02010000010002020000000000000000000000000000000000000000000000000000009F02010000010003030000000000000000000000000000000000000000000000000000009F02010000010004040000000000000000000000000000000000000000000000000000009F02010000010005050000000000000000000000000000000000000000000000000000009F02010000010006060000000000000000000000000000000000000000000000000000009F02010000010007070000000000000000000000000000000000000000000000000000009F02010000010008080000000000000000000000000000000000000000000000000000009F02010000010009090000000000000000000000000000000000000000000000000000009F0201000001000A0A0000000000000000000000000000000000000000000000000000009F0201000001000B0B0000000000000000000000000000000000000000000000000000009F0201000001000C0C0000000000000000000000000000000000000000000000000000009F0201000001000D0D0000000000000000000000000000000000000000000000000000009F0201000001000E0E0000000000000000000000000000000000000000000000000000009F0201000001000F0F0000000000000000000000000000000000000000000000000000009F02010000010010100000000000000000000000000000000000000000000000000000009F02010000010011110000000000000000000000000000000000000000000000000000009F02010000010012120000000000000000000000000000000000000000000000000000009F02010000010013130000000000000000000000000000000000000000000000000000009F02010000010014140000000000000000000000000000000000000000000000000000009F02010000010015150000000000000000000000000000000000000000000000000000009F02010000010016160000000000000000000000000000000000000000000000000000009F02010000010017170000000000000000000000000000000000000000000000000000009F02010000010018180000000000000000000000000000000000000000000000000000009F02010000010019190000000000000000000000000000000000000000000000000000009F0201000001001A1A0000000000000000000000000000000000000000000000000000009F0201000001001B1B0000000000000000000000000000000000000000000000000000009F0201000001001C1C0000000000000000000000000000000000000000000000000000009F0201000001001D1D0000000000000000000000000000000000000000000000000000009F0300000001001D1D0000000000000000000000000000000000000000000000000000009F0201000001001D030000000000000000000000000000000000000000000000000000001F000000000100FF030000000000000000000000000000000000000000000000000000003F020000000800FF000000000000000000000000000000000000000000000000000000003F020000000800FF000000000000000000000000000000000000000000000000000000003F0200000008001F000000000000000000000000000000000000000000000000000000003F02000000080020000000000000000000000000000000000000000000000000000000003F02000000080021000000000000000000000000000000000000000001000000000000001F00000000020007000000000000000000000000000000000000000000000000000000003F0200000008000900000000000000000000000000000000000000001E00B70000001E001F1000000103010B000000000000000000000000000000000000000000000000000000003F0208000008000A000000000000000000000000000000000000000000000000000000003F020000000800FF00000000000000000000000000000000000000002C01000000001E001F0006000102004B000800000000000000000000000000000000000000000000000000003F0200000008000200000000000000000000000000000000000000002C010000000000001F0800010204001919000000000000000000000000000000000000008C00000000001E009F400102010000213F000000000000000000000000000000000000001E00000000000A001F000F00000200AB00000000000000000000000000000000000000001E00000000000A001F000F00000200AC00000000000000000000000000000000000000001E00000000000A001F000F00000200AD00000000000000000000000000000000000000001E00000000000A001F000F00000200AE000000000000000000000000000000000000000000000000000000003F02000000080007000000000000000000000000000000000000000000000000000000003F02000000080008000000000000000000000000000000000000000000000000000000003F0200000008001E000000000000000000000000000000000000000000000000000000003F02000000080022000000000000000000000000000000000000000000000000000000001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000000000000000000000000000000000000000000000000000000001F020000000800FF0000000000000000000000000000000000000000F401B80000003C001F000000000100700000000000000000000000000000000000000000C409B90000001E001F0000000001007100000000000000000000000000000000000000005000BA0000000A001F0000000001017200000000000000000000000000000000000000005000BB0000000A001F0000000001017300000000000000000000000000000000000000005000BC0000000A001F0000000001017400000000000000000000000000000000000000005000BD0000000A001F00000000010175000000000000000000000000000000000000000000000000000000001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000000000000000000000000000000000000000000000000000000001F000000000200FF000000000000000000000000000000000000000000000000000000009F400102010000FF000000000000000000000000000000000000000000000000000000009F400102010000FF000000000000000000000000000000000000000000000000000000009F400102010000FF000000000000000000000000000000000000000000000000000000009F400102010000FF000000000000000000000000000000000000000000000000000000009F400102010000FF000000000000000000000000000000000000000064008200000032001F000600010100AA000800000000000000000000000000000000000064008500000032001F000600010100AD000800000000000000000000000000000000000064008300000032001F000600010100AB000800000000000000000000000000000000000064008400000032001F000600010100AC000800000000000000000000000000000000000064008800000032001F000600010100B0000800000000000000000000000000000000000064008700000032001F000600010100AF000800000000000000000000000000000000000064008900000032001F000600010100B100080000000000000000000000000000000000</v>
      </c>
      <c r="C3" t="str">
        <f>RIGHT(B4,B9-2)</f>
        <v>64008C00000032001F000600010100B4000800000000000000000000000000000000000064007D00000032001F000600010100A5000800000000000000000000000000000000000064007E00000032001F000600010100A6000800000000000000000000000000000000000064008000000032001F000600010100A8000800000000000000000000000000000000000064007F00000032001F000600010100A7000800000000000000000000000000000000000064008600000032001F000600010100AE000800000000000000000000000000000000000064008114000032001F000600010100A9000800000000000000000000000000000000000064008A14000032001F000600010100B2000800000000000000000000000000000000000064008B14000032001F000600010100B300080000000000000000000000000000000000006400AF14000032001F000600010100B5000800000000000000000000000000000000000000000000000000009F0300000001001E1E0000000000000000000000000000000000000000000000000000009F0300000001001F1F0000000000000000000000000000000000000000000000000000009F03000000010020200000000000000000000000000000000000000000000000000000009F03000000010021210000000000000000000000000000000000000000000000000000009F03000000010022220000000000000000000000000000000000000000000000000000009F03000000010023230000000000000000000000000000000000000000000000000000009F0201000001001E1E0000000000000000000000000000000000000000000000000000009F0201000001001F1F0000000000000000000000000000000000000000000000000000009F02010000010020200000000000000000000000000000000000000000000000000000009F02010000010021210000000000000000000000000000000000000000000000000000009F02010000010022220000000000000000000000000000000000000000000000000000009F02010000010023230000000000000000000000000000000000000000000000000000003F02000000080005000000000000000000000000000000000000000000000000000000003F0200000008000B000000000000000000000000000000000000000000000000000000003F0200000008000C000000000000000000000000000000000000000000000000000000003F0200000008000D000000000000000000000000000000000000000000000000000000003F0200000008000E000000000000000000000000000000000000000000000000000000003F0200000008000F000000000000000000000000000000000000000000000000000000003F02000000080010000000000000000000000000000000000000000000000000000000003F02000000080011000000000000000000000000000000000000000000000000000000003F02000000080012000000000000000000000000000000000000000000000000000000003F02000000080016000000000000000000000000000000000000000000000000000000003F02110000080023000000000000000000000000000000000000000000000000000000003F02110000080025000000000000000000000000000000000000000000000000000000003F02110000080024000000000000000000000000000000000000000000000000000000003F02110000080026000000000000000000000000000000000000000000000000000000003F02000000080017000000000000000000000000000000000000000000000000000000003F020000000800180000000000000000000000000000000000000000C8000000000000001F031200000200BE0000000000000000000000000000000000000000C8000000000000001F031200000200BF0000000000000000000000000000000000000000C8000000000000001F031200000200C00000000000000000000000000000000000000000C8000000000000001F031200000200C10000000000000000000000000000000000000000C8000000000000001F031200000200C20000000000000000000000000000000000000000C8000000000000001F031200000200C30000000000000000000000000000000000000000C8000000000000001F031200000200C40000000000000000000000000000000000000000C8000000000000001FA30000010200C500000000000400000000000000FE000000000000C8000005000000001FA30000010200C600000000000100000000000000007F0000000000C8000000000000001F930000010200C7000001011000000000000000000000000000000064000000000000001F930000000200C80000000000000000000000000000000000000000</v>
      </c>
      <c r="D3" t="s">
        <v>0</v>
      </c>
    </row>
    <row r="4" spans="1:4" x14ac:dyDescent="0.4">
      <c r="A4" t="s">
        <v>10</v>
      </c>
      <c r="B4" t="str">
        <f t="shared" si="0"/>
        <v>0064008C00000032001F000600010100B4000800000000000000000000000000000000000064007D00000032001F000600010100A5000800000000000000000000000000000000000064007E00000032001F000600010100A6000800000000000000000000000000000000000064008000000032001F000600010100A8000800000000000000000000000000000000000064007F00000032001F000600010100A7000800000000000000000000000000000000000064008600000032001F000600010100AE000800000000000000000000000000000000000064008114000032001F000600010100A9000800000000000000000000000000000000000064008A14000032001F000600010100B2000800000000000000000000000000000000000064008B14000032001F000600010100B300080000000000000000000000000000000000006400AF14000032001F000600010100B5000800000000000000000000000000000000000000000000000000009F0300000001001E1E0000000000000000000000000000000000000000000000000000009F0300000001001F1F0000000000000000000000000000000000000000000000000000009F03000000010020200000000000000000000000000000000000000000000000000000009F03000000010021210000000000000000000000000000000000000000000000000000009F03000000010022220000000000000000000000000000000000000000000000000000009F03000000010023230000000000000000000000000000000000000000000000000000009F0201000001001E1E0000000000000000000000000000000000000000000000000000009F0201000001001F1F0000000000000000000000000000000000000000000000000000009F02010000010020200000000000000000000000000000000000000000000000000000009F02010000010021210000000000000000000000000000000000000000000000000000009F02010000010022220000000000000000000000000000000000000000000000000000009F02010000010023230000000000000000000000000000000000000000000000000000003F02000000080005000000000000000000000000000000000000000000000000000000003F0200000008000B000000000000000000000000000000000000000000000000000000003F0200000008000C000000000000000000000000000000000000000000000000000000003F0200000008000D000000000000000000000000000000000000000000000000000000003F0200000008000E000000000000000000000000000000000000000000000000000000003F0200000008000F000000000000000000000000000000000000000000000000000000003F02000000080010000000000000000000000000000000000000000000000000000000003F02000000080011000000000000000000000000000000000000000000000000000000003F02000000080012000000000000000000000000000000000000000000000000000000003F02000000080016000000000000000000000000000000000000000000000000000000003F02110000080023000000000000000000000000000000000000000000000000000000003F02110000080025000000000000000000000000000000000000000000000000000000003F02110000080024000000000000000000000000000000000000000000000000000000003F02110000080026000000000000000000000000000000000000000000000000000000003F02000000080017000000000000000000000000000000000000000000000000000000003F020000000800180000000000000000000000000000000000000000C8000000000000001F031200000200BE0000000000000000000000000000000000000000C8000000000000001F031200000200BF0000000000000000000000000000000000000000C8000000000000001F031200000200C00000000000000000000000000000000000000000C8000000000000001F031200000200C10000000000000000000000000000000000000000C8000000000000001F031200000200C20000000000000000000000000000000000000000C8000000000000001F031200000200C30000000000000000000000000000000000000000C8000000000000001F031200000200C40000000000000000000000000000000000000000C8000000000000001FA30000010200C500000000000400000000000000FE000000000000C8000005000000001FA30000010200C600000000000100000000000000007F0000000000C8000000000000001F930000010200C7000001011000000000000000000000000000000064000000000000001F930000000200C80000000000000000000000000000000000000000</v>
      </c>
      <c r="C4" t="s">
        <v>0</v>
      </c>
    </row>
    <row r="6" spans="1:4" x14ac:dyDescent="0.4">
      <c r="A6">
        <f>LEN(A1)</f>
        <v>32759</v>
      </c>
      <c r="B6">
        <f t="shared" ref="B6:C9" si="1">LEN(B1)</f>
        <v>21840</v>
      </c>
      <c r="C6">
        <f t="shared" si="1"/>
        <v>32760</v>
      </c>
    </row>
    <row r="7" spans="1:4" x14ac:dyDescent="0.4">
      <c r="A7">
        <f>LEN(A2)</f>
        <v>32759</v>
      </c>
      <c r="B7">
        <f t="shared" si="1"/>
        <v>21839</v>
      </c>
      <c r="C7">
        <f t="shared" si="1"/>
        <v>32760</v>
      </c>
    </row>
    <row r="8" spans="1:4" x14ac:dyDescent="0.4">
      <c r="A8">
        <f>LEN(A3)</f>
        <v>32759</v>
      </c>
      <c r="B8">
        <f t="shared" si="1"/>
        <v>21839</v>
      </c>
      <c r="C8">
        <f t="shared" si="1"/>
        <v>3528</v>
      </c>
    </row>
    <row r="9" spans="1:4" x14ac:dyDescent="0.4">
      <c r="A9">
        <f>LEN(A4)</f>
        <v>5294</v>
      </c>
      <c r="B9">
        <f t="shared" si="1"/>
        <v>3530</v>
      </c>
    </row>
    <row r="10" spans="1:4" x14ac:dyDescent="0.4">
      <c r="A10">
        <f>SUM(A6:A9)</f>
        <v>103571</v>
      </c>
      <c r="B10">
        <f>SUM(B6:B9)</f>
        <v>69048</v>
      </c>
      <c r="C10">
        <f>SUM(C6:C9)</f>
        <v>69048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464D-B3CF-4C2D-B6E0-65629AC465B7}">
  <dimension ref="A1:AO961"/>
  <sheetViews>
    <sheetView zoomScaleNormal="10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K2" sqref="K2:O2"/>
    </sheetView>
  </sheetViews>
  <sheetFormatPr defaultRowHeight="14.6" x14ac:dyDescent="0.4"/>
  <cols>
    <col min="1" max="1" width="16.84375" bestFit="1" customWidth="1"/>
    <col min="2" max="2" width="9.15234375" bestFit="1" customWidth="1"/>
    <col min="3" max="41" width="7.23046875" customWidth="1"/>
  </cols>
  <sheetData>
    <row r="1" spans="1:41" x14ac:dyDescent="0.4">
      <c r="A1" t="s">
        <v>906</v>
      </c>
      <c r="B1" t="s">
        <v>1</v>
      </c>
      <c r="C1" s="1" t="s">
        <v>2</v>
      </c>
      <c r="D1" t="s">
        <v>922</v>
      </c>
      <c r="E1" t="s">
        <v>923</v>
      </c>
      <c r="F1" t="s">
        <v>924</v>
      </c>
      <c r="G1" t="s">
        <v>925</v>
      </c>
      <c r="H1" t="s">
        <v>926</v>
      </c>
      <c r="I1" t="s">
        <v>927</v>
      </c>
      <c r="J1" t="s">
        <v>928</v>
      </c>
      <c r="K1" s="21" t="s">
        <v>1019</v>
      </c>
      <c r="L1" s="21" t="s">
        <v>1019</v>
      </c>
      <c r="M1" s="21" t="s">
        <v>1019</v>
      </c>
      <c r="N1" s="21" t="s">
        <v>1019</v>
      </c>
      <c r="O1" s="21" t="s">
        <v>1019</v>
      </c>
      <c r="P1" t="s">
        <v>931</v>
      </c>
      <c r="Q1" t="s">
        <v>932</v>
      </c>
      <c r="R1" t="s">
        <v>933</v>
      </c>
      <c r="S1" t="s">
        <v>934</v>
      </c>
      <c r="T1" t="s">
        <v>935</v>
      </c>
      <c r="U1" t="s">
        <v>936</v>
      </c>
      <c r="V1" t="s">
        <v>937</v>
      </c>
      <c r="W1" t="s">
        <v>938</v>
      </c>
      <c r="X1" t="s">
        <v>939</v>
      </c>
      <c r="Y1" t="s">
        <v>940</v>
      </c>
      <c r="Z1" t="s">
        <v>941</v>
      </c>
      <c r="AA1" t="s">
        <v>1005</v>
      </c>
      <c r="AB1" t="s">
        <v>1006</v>
      </c>
      <c r="AC1" t="s">
        <v>1007</v>
      </c>
      <c r="AD1" t="s">
        <v>1008</v>
      </c>
      <c r="AE1" t="s">
        <v>1009</v>
      </c>
      <c r="AF1" t="s">
        <v>1010</v>
      </c>
      <c r="AG1" t="s">
        <v>1011</v>
      </c>
      <c r="AH1" t="s">
        <v>1012</v>
      </c>
      <c r="AI1" t="s">
        <v>1013</v>
      </c>
      <c r="AJ1" t="s">
        <v>1014</v>
      </c>
      <c r="AK1" t="s">
        <v>998</v>
      </c>
      <c r="AL1" t="s">
        <v>1015</v>
      </c>
      <c r="AM1" t="s">
        <v>1016</v>
      </c>
      <c r="AN1" t="s">
        <v>1017</v>
      </c>
      <c r="AO1" t="s">
        <v>1018</v>
      </c>
    </row>
    <row r="2" spans="1:41" s="3" customFormat="1" x14ac:dyDescent="0.4">
      <c r="C2" s="3" t="s">
        <v>12</v>
      </c>
      <c r="D2" s="3" t="s">
        <v>13</v>
      </c>
      <c r="E2" s="3" t="s">
        <v>907</v>
      </c>
      <c r="F2" s="3" t="s">
        <v>11</v>
      </c>
      <c r="G2" s="3" t="s">
        <v>910</v>
      </c>
      <c r="H2" s="3" t="s">
        <v>909</v>
      </c>
      <c r="I2" s="3" t="s">
        <v>8</v>
      </c>
      <c r="J2" s="3" t="s">
        <v>908</v>
      </c>
      <c r="K2" s="3" t="s">
        <v>1026</v>
      </c>
      <c r="L2" s="2" t="s">
        <v>1025</v>
      </c>
      <c r="M2" s="2" t="s">
        <v>1024</v>
      </c>
      <c r="N2" s="22" t="s">
        <v>1023</v>
      </c>
      <c r="O2" s="22" t="s">
        <v>1020</v>
      </c>
      <c r="P2" s="3" t="s">
        <v>5</v>
      </c>
      <c r="Q2" s="3" t="s">
        <v>6</v>
      </c>
      <c r="R2" s="3" t="s">
        <v>948</v>
      </c>
      <c r="S2" s="3" t="s">
        <v>1004</v>
      </c>
      <c r="T2" s="3" t="s">
        <v>911</v>
      </c>
      <c r="U2" s="3" t="s">
        <v>3</v>
      </c>
      <c r="V2" s="3" t="s">
        <v>7</v>
      </c>
      <c r="W2" s="3" t="s">
        <v>975</v>
      </c>
      <c r="X2" s="3" t="s">
        <v>976</v>
      </c>
      <c r="Y2" s="3" t="s">
        <v>981</v>
      </c>
      <c r="Z2" s="3" t="s">
        <v>982</v>
      </c>
      <c r="AA2" s="3" t="s">
        <v>991</v>
      </c>
      <c r="AB2" s="3" t="s">
        <v>997</v>
      </c>
      <c r="AC2" s="3" t="s">
        <v>912</v>
      </c>
      <c r="AD2" s="3" t="s">
        <v>913</v>
      </c>
      <c r="AE2" s="3" t="s">
        <v>914</v>
      </c>
      <c r="AF2" s="3" t="s">
        <v>915</v>
      </c>
      <c r="AG2" s="3" t="s">
        <v>916</v>
      </c>
      <c r="AH2" s="3" t="s">
        <v>917</v>
      </c>
      <c r="AI2" s="3" t="s">
        <v>967</v>
      </c>
      <c r="AJ2" s="3" t="s">
        <v>966</v>
      </c>
      <c r="AK2" s="3" t="s">
        <v>918</v>
      </c>
      <c r="AL2" s="3" t="s">
        <v>919</v>
      </c>
      <c r="AM2" s="3" t="s">
        <v>920</v>
      </c>
    </row>
    <row r="3" spans="1:41" x14ac:dyDescent="0.4">
      <c r="A3" t="s">
        <v>15</v>
      </c>
      <c r="B3">
        <v>1</v>
      </c>
      <c r="C3" t="str">
        <f>MID('paste from garc here'!$C$1,1+(('table for research'!$B3-1)*36+HEX2DEC('table for research'!C$1))*2,2)</f>
        <v>00</v>
      </c>
      <c r="D3" t="str">
        <f>MID('paste from garc here'!$C$1,1+(('table for research'!$B3-1)*36+HEX2DEC('table for research'!D$1))*2,2)</f>
        <v>00</v>
      </c>
      <c r="E3" t="str">
        <f>MID('paste from garc here'!$C$1,1+(('table for research'!$B3-1)*36+HEX2DEC('table for research'!E$1))*2,2)</f>
        <v>00</v>
      </c>
      <c r="F3" t="str">
        <f>MID('paste from garc here'!$C$1,1+(('table for research'!$B3-1)*36+HEX2DEC('table for research'!F$1))*2,2)</f>
        <v>00</v>
      </c>
      <c r="G3" t="str">
        <f>MID('paste from garc here'!$C$1,1+(('table for research'!$B3-1)*36+HEX2DEC('table for research'!G$1))*2,2)</f>
        <v>00</v>
      </c>
      <c r="H3" t="str">
        <f>MID('paste from garc here'!$C$1,1+(('table for research'!$B3-1)*36+HEX2DEC('table for research'!H$1))*2,2)</f>
        <v>00</v>
      </c>
      <c r="I3" t="str">
        <f>MID('paste from garc here'!$C$1,1+(('table for research'!$B3-1)*36+HEX2DEC('table for research'!I$1))*2,2)</f>
        <v>00</v>
      </c>
      <c r="J3" t="str">
        <f>MID('paste from garc here'!$C$1,1+(('table for research'!$B3-1)*36+HEX2DEC('table for research'!J$1))*2,2)</f>
        <v>00</v>
      </c>
      <c r="K3" t="str">
        <f>DEC2HEX(_xlfn.BITAND(HEX2DEC(MID('paste from garc here'!$C$1,1+(('table for research'!$B3-1)*36+HEX2DEC(8))*2,2)),31),2)</f>
        <v>1F</v>
      </c>
      <c r="L3" t="str">
        <f>DEC2HEX(_xlfn.BITAND(HEX2DEC(MID('paste from garc here'!$C$1,1+(('table for research'!$B3-1)*36+HEX2DEC(8))*2,2)),32),2)</f>
        <v>00</v>
      </c>
      <c r="M3" t="str">
        <f>DEC2HEX(_xlfn.BITAND(HEX2DEC(MID('paste from garc here'!$C$1,1+(('table for research'!$B3-1)*36+HEX2DEC(8))*2,2)),64),2)</f>
        <v>00</v>
      </c>
      <c r="N3" t="str">
        <f>DEC2HEX(_xlfn.BITRSHIFT(_xlfn.BITAND(HEX2DEC(MID('paste from garc here'!$C$1,1+(('table for research'!$B3-1)*36+HEX2DEC(9))*2,2)&amp;MID('paste from garc here'!$C$1,1+(('table for research'!$B3-1)*36+HEX2DEC(8))*2,2)),1920),7),2)</f>
        <v>00</v>
      </c>
      <c r="O3" t="str">
        <f>DEC2HEX(_xlfn.BITRSHIFT(HEX2DEC(MID('paste from garc here'!$C$1,1+(('table for research'!$B3-1)*36+HEX2DEC(9))*2,2)&amp;MID('paste from garc here'!$C$1,1+(('table for research'!$B3-1)*36+HEX2DEC(8))*2,2)),11),2)</f>
        <v>01</v>
      </c>
      <c r="P3" t="str">
        <f>MID('paste from garc here'!$C$1,1+(('table for research'!$B3-1)*36+HEX2DEC('table for research'!P$1))*2,2)</f>
        <v>00</v>
      </c>
      <c r="Q3" t="str">
        <f>MID('paste from garc here'!$C$1,1+(('table for research'!$B3-1)*36+HEX2DEC('table for research'!Q$1))*2,2)</f>
        <v>01</v>
      </c>
      <c r="R3" t="str">
        <f>MID('paste from garc here'!$C$1,1+(('table for research'!$B3-1)*36+HEX2DEC('table for research'!R$1))*2,2)</f>
        <v>02</v>
      </c>
      <c r="S3" t="str">
        <f>MID('paste from garc here'!$C$1,1+(('table for research'!$B3-1)*36+HEX2DEC('table for research'!S$1))*2,2)</f>
        <v>04</v>
      </c>
      <c r="T3" t="str">
        <f>MID('paste from garc here'!$C$1,1+(('table for research'!$B3-1)*36+HEX2DEC('table for research'!T$1))*2,2)</f>
        <v>00</v>
      </c>
      <c r="U3" t="str">
        <f>MID('paste from garc here'!$C$1,1+(('table for research'!$B3-1)*36+HEX2DEC('table for research'!U$1))*2,2)</f>
        <v>03</v>
      </c>
      <c r="V3" t="str">
        <f>MID('paste from garc here'!$C$1,1+(('table for research'!$B3-1)*36+HEX2DEC('table for research'!V$1))*2,2)</f>
        <v>00</v>
      </c>
      <c r="W3" t="str">
        <f>MID('paste from garc here'!$C$1,1+(('table for research'!$B3-1)*36+HEX2DEC('table for research'!W$1))*2,2)</f>
        <v>00</v>
      </c>
      <c r="X3" t="str">
        <f>MID('paste from garc here'!$C$1,1+(('table for research'!$B3-1)*36+HEX2DEC('table for research'!X$1))*2,2)</f>
        <v>00</v>
      </c>
      <c r="Y3" t="str">
        <f>MID('paste from garc here'!$C$1,1+(('table for research'!$B3-1)*36+HEX2DEC('table for research'!Y$1))*2,2)</f>
        <v>00</v>
      </c>
      <c r="Z3" t="str">
        <f>MID('paste from garc here'!$C$1,1+(('table for research'!$B3-1)*36+HEX2DEC('table for research'!Z$1))*2,2)</f>
        <v>00</v>
      </c>
      <c r="AA3" t="str">
        <f>MID('paste from garc here'!$C$1,1+(('table for research'!$B3-1)*36+HEX2DEC('table for research'!AA$1))*2,2)</f>
        <v>00</v>
      </c>
      <c r="AB3" t="str">
        <f>MID('paste from garc here'!$C$1,1+(('table for research'!$B3-1)*36+HEX2DEC('table for research'!AB$1))*2,2)</f>
        <v>00</v>
      </c>
      <c r="AC3" t="str">
        <f>MID('paste from garc here'!$C$1,1+(('table for research'!$B3-1)*36+HEX2DEC('table for research'!AC$1))*2,2)</f>
        <v>00</v>
      </c>
      <c r="AD3" t="str">
        <f>MID('paste from garc here'!$C$1,1+(('table for research'!$B3-1)*36+HEX2DEC('table for research'!AD$1))*2,2)</f>
        <v>00</v>
      </c>
      <c r="AE3" t="str">
        <f>MID('paste from garc here'!$C$1,1+(('table for research'!$B3-1)*36+HEX2DEC('table for research'!AE$1))*2,2)</f>
        <v>00</v>
      </c>
      <c r="AF3" t="str">
        <f>MID('paste from garc here'!$C$1,1+(('table for research'!$B3-1)*36+HEX2DEC('table for research'!AF$1))*2,2)</f>
        <v>00</v>
      </c>
      <c r="AG3" t="str">
        <f>MID('paste from garc here'!$C$1,1+(('table for research'!$B3-1)*36+HEX2DEC('table for research'!AG$1))*2,2)</f>
        <v>00</v>
      </c>
      <c r="AH3" t="str">
        <f>MID('paste from garc here'!$C$1,1+(('table for research'!$B3-1)*36+HEX2DEC('table for research'!AH$1))*2,2)</f>
        <v>00</v>
      </c>
      <c r="AI3" t="str">
        <f>MID('paste from garc here'!$C$1,1+(('table for research'!$B3-1)*36+HEX2DEC('table for research'!AI$1))*2,2)</f>
        <v>00</v>
      </c>
      <c r="AJ3" t="str">
        <f>MID('paste from garc here'!$C$1,1+(('table for research'!$B3-1)*36+HEX2DEC('table for research'!AJ$1))*2,2)</f>
        <v>00</v>
      </c>
      <c r="AK3" t="str">
        <f>MID('paste from garc here'!$C$1,1+(('table for research'!$B3-1)*36+HEX2DEC('table for research'!AK$1))*2,2)</f>
        <v>00</v>
      </c>
      <c r="AL3" t="str">
        <f>MID('paste from garc here'!$C$1,1+(('table for research'!$B3-1)*36+HEX2DEC('table for research'!AL$1))*2,2)</f>
        <v>00</v>
      </c>
      <c r="AM3" t="str">
        <f>MID('paste from garc here'!$C$1,1+(('table for research'!$B3-1)*36+HEX2DEC('table for research'!AM$1))*2,2)</f>
        <v>00</v>
      </c>
      <c r="AN3" t="str">
        <f>MID('paste from garc here'!$C$1,1+(('table for research'!$B3-1)*36+HEX2DEC('table for research'!AN$1))*2,2)</f>
        <v>00</v>
      </c>
      <c r="AO3" t="str">
        <f>MID('paste from garc here'!$C$1,1+(('table for research'!$B3-1)*36+HEX2DEC('table for research'!AO$1))*2,2)</f>
        <v>00</v>
      </c>
    </row>
    <row r="4" spans="1:41" x14ac:dyDescent="0.4">
      <c r="A4" t="s">
        <v>16</v>
      </c>
      <c r="B4">
        <f>B3+1</f>
        <v>2</v>
      </c>
      <c r="C4" t="str">
        <f>MID('paste from garc here'!$C$1,1+(('table for research'!$B4-1)*36+HEX2DEC('table for research'!C$1))*2,2)</f>
        <v>28</v>
      </c>
      <c r="D4" t="str">
        <f>MID('paste from garc here'!$C$1,1+(('table for research'!$B4-1)*36+HEX2DEC('table for research'!D$1))*2,2)</f>
        <v>00</v>
      </c>
      <c r="E4" t="str">
        <f>MID('paste from garc here'!$C$1,1+(('table for research'!$B4-1)*36+HEX2DEC('table for research'!E$1))*2,2)</f>
        <v>00</v>
      </c>
      <c r="F4" t="str">
        <f>MID('paste from garc here'!$C$1,1+(('table for research'!$B4-1)*36+HEX2DEC('table for research'!F$1))*2,2)</f>
        <v>00</v>
      </c>
      <c r="G4" t="str">
        <f>MID('paste from garc here'!$C$1,1+(('table for research'!$B4-1)*36+HEX2DEC('table for research'!G$1))*2,2)</f>
        <v>00</v>
      </c>
      <c r="H4" t="str">
        <f>MID('paste from garc here'!$C$1,1+(('table for research'!$B4-1)*36+HEX2DEC('table for research'!H$1))*2,2)</f>
        <v>00</v>
      </c>
      <c r="I4" t="str">
        <f>MID('paste from garc here'!$C$1,1+(('table for research'!$B4-1)*36+HEX2DEC('table for research'!I$1))*2,2)</f>
        <v>00</v>
      </c>
      <c r="J4" t="str">
        <f>MID('paste from garc here'!$C$1,1+(('table for research'!$B4-1)*36+HEX2DEC('table for research'!J$1))*2,2)</f>
        <v>00</v>
      </c>
      <c r="K4" t="str">
        <f>DEC2HEX(_xlfn.BITAND(HEX2DEC(MID('paste from garc here'!$C$1,1+(('table for research'!$B4-1)*36+HEX2DEC(8))*2,2)),31),2)</f>
        <v>1F</v>
      </c>
      <c r="L4" t="str">
        <f>DEC2HEX(_xlfn.BITAND(HEX2DEC(MID('paste from garc here'!$C$1,1+(('table for research'!$B4-1)*36+HEX2DEC(8))*2,2)),32),2)</f>
        <v>00</v>
      </c>
      <c r="M4" t="str">
        <f>DEC2HEX(_xlfn.BITAND(HEX2DEC(MID('paste from garc here'!$C$1,1+(('table for research'!$B4-1)*36+HEX2DEC(8))*2,2)),64),2)</f>
        <v>00</v>
      </c>
      <c r="N4" t="str">
        <f>DEC2HEX(_xlfn.BITRSHIFT(_xlfn.BITAND(HEX2DEC(MID('paste from garc here'!$C$1,1+(('table for research'!$B4-1)*36+HEX2DEC(9))*2,2)&amp;MID('paste from garc here'!$C$1,1+(('table for research'!$B4-1)*36+HEX2DEC(8))*2,2)),1920),7),2)</f>
        <v>00</v>
      </c>
      <c r="O4" t="str">
        <f>DEC2HEX(_xlfn.BITRSHIFT(HEX2DEC(MID('paste from garc here'!$C$1,1+(('table for research'!$B4-1)*36+HEX2DEC(9))*2,2)&amp;MID('paste from garc here'!$C$1,1+(('table for research'!$B4-1)*36+HEX2DEC(8))*2,2)),11),2)</f>
        <v>01</v>
      </c>
      <c r="P4" t="str">
        <f>MID('paste from garc here'!$C$1,1+(('table for research'!$B4-1)*36+HEX2DEC('table for research'!P$1))*2,2)</f>
        <v>00</v>
      </c>
      <c r="Q4" t="str">
        <f>MID('paste from garc here'!$C$1,1+(('table for research'!$B4-1)*36+HEX2DEC('table for research'!Q$1))*2,2)</f>
        <v>01</v>
      </c>
      <c r="R4" t="str">
        <f>MID('paste from garc here'!$C$1,1+(('table for research'!$B4-1)*36+HEX2DEC('table for research'!R$1))*2,2)</f>
        <v>02</v>
      </c>
      <c r="S4" t="str">
        <f>MID('paste from garc here'!$C$1,1+(('table for research'!$B4-1)*36+HEX2DEC('table for research'!S$1))*2,2)</f>
        <v>04</v>
      </c>
      <c r="T4" t="str">
        <f>MID('paste from garc here'!$C$1,1+(('table for research'!$B4-1)*36+HEX2DEC('table for research'!T$1))*2,2)</f>
        <v>00</v>
      </c>
      <c r="U4" t="str">
        <f>MID('paste from garc here'!$C$1,1+(('table for research'!$B4-1)*36+HEX2DEC('table for research'!U$1))*2,2)</f>
        <v>02</v>
      </c>
      <c r="V4" t="str">
        <f>MID('paste from garc here'!$C$1,1+(('table for research'!$B4-1)*36+HEX2DEC('table for research'!V$1))*2,2)</f>
        <v>01</v>
      </c>
      <c r="W4" t="str">
        <f>MID('paste from garc here'!$C$1,1+(('table for research'!$B4-1)*36+HEX2DEC('table for research'!W$1))*2,2)</f>
        <v>00</v>
      </c>
      <c r="X4" t="str">
        <f>MID('paste from garc here'!$C$1,1+(('table for research'!$B4-1)*36+HEX2DEC('table for research'!X$1))*2,2)</f>
        <v>00</v>
      </c>
      <c r="Y4" t="str">
        <f>MID('paste from garc here'!$C$1,1+(('table for research'!$B4-1)*36+HEX2DEC('table for research'!Y$1))*2,2)</f>
        <v>00</v>
      </c>
      <c r="Z4" t="str">
        <f>MID('paste from garc here'!$C$1,1+(('table for research'!$B4-1)*36+HEX2DEC('table for research'!Z$1))*2,2)</f>
        <v>00</v>
      </c>
      <c r="AA4" t="str">
        <f>MID('paste from garc here'!$C$1,1+(('table for research'!$B4-1)*36+HEX2DEC('table for research'!AA$1))*2,2)</f>
        <v>00</v>
      </c>
      <c r="AB4" t="str">
        <f>MID('paste from garc here'!$C$1,1+(('table for research'!$B4-1)*36+HEX2DEC('table for research'!AB$1))*2,2)</f>
        <v>00</v>
      </c>
      <c r="AC4" t="str">
        <f>MID('paste from garc here'!$C$1,1+(('table for research'!$B4-1)*36+HEX2DEC('table for research'!AC$1))*2,2)</f>
        <v>00</v>
      </c>
      <c r="AD4" t="str">
        <f>MID('paste from garc here'!$C$1,1+(('table for research'!$B4-1)*36+HEX2DEC('table for research'!AD$1))*2,2)</f>
        <v>00</v>
      </c>
      <c r="AE4" t="str">
        <f>MID('paste from garc here'!$C$1,1+(('table for research'!$B4-1)*36+HEX2DEC('table for research'!AE$1))*2,2)</f>
        <v>00</v>
      </c>
      <c r="AF4" t="str">
        <f>MID('paste from garc here'!$C$1,1+(('table for research'!$B4-1)*36+HEX2DEC('table for research'!AF$1))*2,2)</f>
        <v>00</v>
      </c>
      <c r="AG4" t="str">
        <f>MID('paste from garc here'!$C$1,1+(('table for research'!$B4-1)*36+HEX2DEC('table for research'!AG$1))*2,2)</f>
        <v>00</v>
      </c>
      <c r="AH4" t="str">
        <f>MID('paste from garc here'!$C$1,1+(('table for research'!$B4-1)*36+HEX2DEC('table for research'!AH$1))*2,2)</f>
        <v>00</v>
      </c>
      <c r="AI4" t="str">
        <f>MID('paste from garc here'!$C$1,1+(('table for research'!$B4-1)*36+HEX2DEC('table for research'!AI$1))*2,2)</f>
        <v>00</v>
      </c>
      <c r="AJ4" t="str">
        <f>MID('paste from garc here'!$C$1,1+(('table for research'!$B4-1)*36+HEX2DEC('table for research'!AJ$1))*2,2)</f>
        <v>00</v>
      </c>
      <c r="AK4" t="str">
        <f>MID('paste from garc here'!$C$1,1+(('table for research'!$B4-1)*36+HEX2DEC('table for research'!AK$1))*2,2)</f>
        <v>00</v>
      </c>
      <c r="AL4" t="str">
        <f>MID('paste from garc here'!$C$1,1+(('table for research'!$B4-1)*36+HEX2DEC('table for research'!AL$1))*2,2)</f>
        <v>00</v>
      </c>
      <c r="AM4" t="str">
        <f>MID('paste from garc here'!$C$1,1+(('table for research'!$B4-1)*36+HEX2DEC('table for research'!AM$1))*2,2)</f>
        <v>00</v>
      </c>
      <c r="AN4" t="str">
        <f>MID('paste from garc here'!$C$1,1+(('table for research'!$B4-1)*36+HEX2DEC('table for research'!AN$1))*2,2)</f>
        <v>00</v>
      </c>
      <c r="AO4" t="str">
        <f>MID('paste from garc here'!$C$1,1+(('table for research'!$B4-1)*36+HEX2DEC('table for research'!AO$1))*2,2)</f>
        <v>00</v>
      </c>
    </row>
    <row r="5" spans="1:41" x14ac:dyDescent="0.4">
      <c r="A5" t="s">
        <v>17</v>
      </c>
      <c r="B5">
        <f>B4+1</f>
        <v>3</v>
      </c>
      <c r="C5" t="str">
        <f>MID('paste from garc here'!$C$1,1+(('table for research'!$B5-1)*36+HEX2DEC('table for research'!C$1))*2,2)</f>
        <v>1E</v>
      </c>
      <c r="D5" t="str">
        <f>MID('paste from garc here'!$C$1,1+(('table for research'!$B5-1)*36+HEX2DEC('table for research'!D$1))*2,2)</f>
        <v>00</v>
      </c>
      <c r="E5" t="str">
        <f>MID('paste from garc here'!$C$1,1+(('table for research'!$B5-1)*36+HEX2DEC('table for research'!E$1))*2,2)</f>
        <v>00</v>
      </c>
      <c r="F5" t="str">
        <f>MID('paste from garc here'!$C$1,1+(('table for research'!$B5-1)*36+HEX2DEC('table for research'!F$1))*2,2)</f>
        <v>00</v>
      </c>
      <c r="G5" t="str">
        <f>MID('paste from garc here'!$C$1,1+(('table for research'!$B5-1)*36+HEX2DEC('table for research'!G$1))*2,2)</f>
        <v>00</v>
      </c>
      <c r="H5" t="str">
        <f>MID('paste from garc here'!$C$1,1+(('table for research'!$B5-1)*36+HEX2DEC('table for research'!H$1))*2,2)</f>
        <v>00</v>
      </c>
      <c r="I5" t="str">
        <f>MID('paste from garc here'!$C$1,1+(('table for research'!$B5-1)*36+HEX2DEC('table for research'!I$1))*2,2)</f>
        <v>00</v>
      </c>
      <c r="J5" t="str">
        <f>MID('paste from garc here'!$C$1,1+(('table for research'!$B5-1)*36+HEX2DEC('table for research'!J$1))*2,2)</f>
        <v>00</v>
      </c>
      <c r="K5" t="str">
        <f>DEC2HEX(_xlfn.BITAND(HEX2DEC(MID('paste from garc here'!$C$1,1+(('table for research'!$B5-1)*36+HEX2DEC(8))*2,2)),31),2)</f>
        <v>1F</v>
      </c>
      <c r="L5" t="str">
        <f>DEC2HEX(_xlfn.BITAND(HEX2DEC(MID('paste from garc here'!$C$1,1+(('table for research'!$B5-1)*36+HEX2DEC(8))*2,2)),32),2)</f>
        <v>00</v>
      </c>
      <c r="M5" t="str">
        <f>DEC2HEX(_xlfn.BITAND(HEX2DEC(MID('paste from garc here'!$C$1,1+(('table for research'!$B5-1)*36+HEX2DEC(8))*2,2)),64),2)</f>
        <v>00</v>
      </c>
      <c r="N5" t="str">
        <f>DEC2HEX(_xlfn.BITRSHIFT(_xlfn.BITAND(HEX2DEC(MID('paste from garc here'!$C$1,1+(('table for research'!$B5-1)*36+HEX2DEC(9))*2,2)&amp;MID('paste from garc here'!$C$1,1+(('table for research'!$B5-1)*36+HEX2DEC(8))*2,2)),1920),7),2)</f>
        <v>00</v>
      </c>
      <c r="O5" t="str">
        <f>DEC2HEX(_xlfn.BITRSHIFT(HEX2DEC(MID('paste from garc here'!$C$1,1+(('table for research'!$B5-1)*36+HEX2DEC(9))*2,2)&amp;MID('paste from garc here'!$C$1,1+(('table for research'!$B5-1)*36+HEX2DEC(8))*2,2)),11),2)</f>
        <v>01</v>
      </c>
      <c r="P5" t="str">
        <f>MID('paste from garc here'!$C$1,1+(('table for research'!$B5-1)*36+HEX2DEC('table for research'!P$1))*2,2)</f>
        <v>00</v>
      </c>
      <c r="Q5" t="str">
        <f>MID('paste from garc here'!$C$1,1+(('table for research'!$B5-1)*36+HEX2DEC('table for research'!Q$1))*2,2)</f>
        <v>01</v>
      </c>
      <c r="R5" t="str">
        <f>MID('paste from garc here'!$C$1,1+(('table for research'!$B5-1)*36+HEX2DEC('table for research'!R$1))*2,2)</f>
        <v>02</v>
      </c>
      <c r="S5" t="str">
        <f>MID('paste from garc here'!$C$1,1+(('table for research'!$B5-1)*36+HEX2DEC('table for research'!S$1))*2,2)</f>
        <v>04</v>
      </c>
      <c r="T5" t="str">
        <f>MID('paste from garc here'!$C$1,1+(('table for research'!$B5-1)*36+HEX2DEC('table for research'!T$1))*2,2)</f>
        <v>00</v>
      </c>
      <c r="U5" t="str">
        <f>MID('paste from garc here'!$C$1,1+(('table for research'!$B5-1)*36+HEX2DEC('table for research'!U$1))*2,2)</f>
        <v>01</v>
      </c>
      <c r="V5" t="str">
        <f>MID('paste from garc here'!$C$1,1+(('table for research'!$B5-1)*36+HEX2DEC('table for research'!V$1))*2,2)</f>
        <v>02</v>
      </c>
      <c r="W5" t="str">
        <f>MID('paste from garc here'!$C$1,1+(('table for research'!$B5-1)*36+HEX2DEC('table for research'!W$1))*2,2)</f>
        <v>00</v>
      </c>
      <c r="X5" t="str">
        <f>MID('paste from garc here'!$C$1,1+(('table for research'!$B5-1)*36+HEX2DEC('table for research'!X$1))*2,2)</f>
        <v>00</v>
      </c>
      <c r="Y5" t="str">
        <f>MID('paste from garc here'!$C$1,1+(('table for research'!$B5-1)*36+HEX2DEC('table for research'!Y$1))*2,2)</f>
        <v>00</v>
      </c>
      <c r="Z5" t="str">
        <f>MID('paste from garc here'!$C$1,1+(('table for research'!$B5-1)*36+HEX2DEC('table for research'!Z$1))*2,2)</f>
        <v>00</v>
      </c>
      <c r="AA5" t="str">
        <f>MID('paste from garc here'!$C$1,1+(('table for research'!$B5-1)*36+HEX2DEC('table for research'!AA$1))*2,2)</f>
        <v>00</v>
      </c>
      <c r="AB5" t="str">
        <f>MID('paste from garc here'!$C$1,1+(('table for research'!$B5-1)*36+HEX2DEC('table for research'!AB$1))*2,2)</f>
        <v>00</v>
      </c>
      <c r="AC5" t="str">
        <f>MID('paste from garc here'!$C$1,1+(('table for research'!$B5-1)*36+HEX2DEC('table for research'!AC$1))*2,2)</f>
        <v>00</v>
      </c>
      <c r="AD5" t="str">
        <f>MID('paste from garc here'!$C$1,1+(('table for research'!$B5-1)*36+HEX2DEC('table for research'!AD$1))*2,2)</f>
        <v>00</v>
      </c>
      <c r="AE5" t="str">
        <f>MID('paste from garc here'!$C$1,1+(('table for research'!$B5-1)*36+HEX2DEC('table for research'!AE$1))*2,2)</f>
        <v>00</v>
      </c>
      <c r="AF5" t="str">
        <f>MID('paste from garc here'!$C$1,1+(('table for research'!$B5-1)*36+HEX2DEC('table for research'!AF$1))*2,2)</f>
        <v>00</v>
      </c>
      <c r="AG5" t="str">
        <f>MID('paste from garc here'!$C$1,1+(('table for research'!$B5-1)*36+HEX2DEC('table for research'!AG$1))*2,2)</f>
        <v>00</v>
      </c>
      <c r="AH5" t="str">
        <f>MID('paste from garc here'!$C$1,1+(('table for research'!$B5-1)*36+HEX2DEC('table for research'!AH$1))*2,2)</f>
        <v>00</v>
      </c>
      <c r="AI5" t="str">
        <f>MID('paste from garc here'!$C$1,1+(('table for research'!$B5-1)*36+HEX2DEC('table for research'!AI$1))*2,2)</f>
        <v>00</v>
      </c>
      <c r="AJ5" t="str">
        <f>MID('paste from garc here'!$C$1,1+(('table for research'!$B5-1)*36+HEX2DEC('table for research'!AJ$1))*2,2)</f>
        <v>00</v>
      </c>
      <c r="AK5" t="str">
        <f>MID('paste from garc here'!$C$1,1+(('table for research'!$B5-1)*36+HEX2DEC('table for research'!AK$1))*2,2)</f>
        <v>00</v>
      </c>
      <c r="AL5" t="str">
        <f>MID('paste from garc here'!$C$1,1+(('table for research'!$B5-1)*36+HEX2DEC('table for research'!AL$1))*2,2)</f>
        <v>00</v>
      </c>
      <c r="AM5" t="str">
        <f>MID('paste from garc here'!$C$1,1+(('table for research'!$B5-1)*36+HEX2DEC('table for research'!AM$1))*2,2)</f>
        <v>00</v>
      </c>
      <c r="AN5" t="str">
        <f>MID('paste from garc here'!$C$1,1+(('table for research'!$B5-1)*36+HEX2DEC('table for research'!AN$1))*2,2)</f>
        <v>00</v>
      </c>
      <c r="AO5" t="str">
        <f>MID('paste from garc here'!$C$1,1+(('table for research'!$B5-1)*36+HEX2DEC('table for research'!AO$1))*2,2)</f>
        <v>00</v>
      </c>
    </row>
    <row r="6" spans="1:41" x14ac:dyDescent="0.4">
      <c r="A6" t="s">
        <v>18</v>
      </c>
      <c r="B6">
        <f>B5+1</f>
        <v>4</v>
      </c>
      <c r="C6" t="str">
        <f>MID('paste from garc here'!$C$1,1+(('table for research'!$B6-1)*36+HEX2DEC('table for research'!C$1))*2,2)</f>
        <v>0A</v>
      </c>
      <c r="D6" t="str">
        <f>MID('paste from garc here'!$C$1,1+(('table for research'!$B6-1)*36+HEX2DEC('table for research'!D$1))*2,2)</f>
        <v>00</v>
      </c>
      <c r="E6" t="str">
        <f>MID('paste from garc here'!$C$1,1+(('table for research'!$B6-1)*36+HEX2DEC('table for research'!E$1))*2,2)</f>
        <v>00</v>
      </c>
      <c r="F6" t="str">
        <f>MID('paste from garc here'!$C$1,1+(('table for research'!$B6-1)*36+HEX2DEC('table for research'!F$1))*2,2)</f>
        <v>00</v>
      </c>
      <c r="G6" t="str">
        <f>MID('paste from garc here'!$C$1,1+(('table for research'!$B6-1)*36+HEX2DEC('table for research'!G$1))*2,2)</f>
        <v>00</v>
      </c>
      <c r="H6" t="str">
        <f>MID('paste from garc here'!$C$1,1+(('table for research'!$B6-1)*36+HEX2DEC('table for research'!H$1))*2,2)</f>
        <v>00</v>
      </c>
      <c r="I6" t="str">
        <f>MID('paste from garc here'!$C$1,1+(('table for research'!$B6-1)*36+HEX2DEC('table for research'!I$1))*2,2)</f>
        <v>00</v>
      </c>
      <c r="J6" t="str">
        <f>MID('paste from garc here'!$C$1,1+(('table for research'!$B6-1)*36+HEX2DEC('table for research'!J$1))*2,2)</f>
        <v>00</v>
      </c>
      <c r="K6" t="str">
        <f>DEC2HEX(_xlfn.BITAND(HEX2DEC(MID('paste from garc here'!$C$1,1+(('table for research'!$B6-1)*36+HEX2DEC(8))*2,2)),31),2)</f>
        <v>1F</v>
      </c>
      <c r="L6" t="str">
        <f>DEC2HEX(_xlfn.BITAND(HEX2DEC(MID('paste from garc here'!$C$1,1+(('table for research'!$B6-1)*36+HEX2DEC(8))*2,2)),32),2)</f>
        <v>00</v>
      </c>
      <c r="M6" t="str">
        <f>DEC2HEX(_xlfn.BITAND(HEX2DEC(MID('paste from garc here'!$C$1,1+(('table for research'!$B6-1)*36+HEX2DEC(8))*2,2)),64),2)</f>
        <v>00</v>
      </c>
      <c r="N6" t="str">
        <f>DEC2HEX(_xlfn.BITRSHIFT(_xlfn.BITAND(HEX2DEC(MID('paste from garc here'!$C$1,1+(('table for research'!$B6-1)*36+HEX2DEC(9))*2,2)&amp;MID('paste from garc here'!$C$1,1+(('table for research'!$B6-1)*36+HEX2DEC(8))*2,2)),1920),7),2)</f>
        <v>00</v>
      </c>
      <c r="O6" t="str">
        <f>DEC2HEX(_xlfn.BITRSHIFT(HEX2DEC(MID('paste from garc here'!$C$1,1+(('table for research'!$B6-1)*36+HEX2DEC(9))*2,2)&amp;MID('paste from garc here'!$C$1,1+(('table for research'!$B6-1)*36+HEX2DEC(8))*2,2)),11),2)</f>
        <v>01</v>
      </c>
      <c r="P6" t="str">
        <f>MID('paste from garc here'!$C$1,1+(('table for research'!$B6-1)*36+HEX2DEC('table for research'!P$1))*2,2)</f>
        <v>00</v>
      </c>
      <c r="Q6" t="str">
        <f>MID('paste from garc here'!$C$1,1+(('table for research'!$B6-1)*36+HEX2DEC('table for research'!Q$1))*2,2)</f>
        <v>01</v>
      </c>
      <c r="R6" t="str">
        <f>MID('paste from garc here'!$C$1,1+(('table for research'!$B6-1)*36+HEX2DEC('table for research'!R$1))*2,2)</f>
        <v>02</v>
      </c>
      <c r="S6" t="str">
        <f>MID('paste from garc here'!$C$1,1+(('table for research'!$B6-1)*36+HEX2DEC('table for research'!S$1))*2,2)</f>
        <v>04</v>
      </c>
      <c r="T6" t="str">
        <f>MID('paste from garc here'!$C$1,1+(('table for research'!$B6-1)*36+HEX2DEC('table for research'!T$1))*2,2)</f>
        <v>00</v>
      </c>
      <c r="U6" t="str">
        <f>MID('paste from garc here'!$C$1,1+(('table for research'!$B6-1)*36+HEX2DEC('table for research'!U$1))*2,2)</f>
        <v>00</v>
      </c>
      <c r="V6" t="str">
        <f>MID('paste from garc here'!$C$1,1+(('table for research'!$B6-1)*36+HEX2DEC('table for research'!V$1))*2,2)</f>
        <v>03</v>
      </c>
      <c r="W6" t="str">
        <f>MID('paste from garc here'!$C$1,1+(('table for research'!$B6-1)*36+HEX2DEC('table for research'!W$1))*2,2)</f>
        <v>00</v>
      </c>
      <c r="X6" t="str">
        <f>MID('paste from garc here'!$C$1,1+(('table for research'!$B6-1)*36+HEX2DEC('table for research'!X$1))*2,2)</f>
        <v>00</v>
      </c>
      <c r="Y6" t="str">
        <f>MID('paste from garc here'!$C$1,1+(('table for research'!$B6-1)*36+HEX2DEC('table for research'!Y$1))*2,2)</f>
        <v>00</v>
      </c>
      <c r="Z6" t="str">
        <f>MID('paste from garc here'!$C$1,1+(('table for research'!$B6-1)*36+HEX2DEC('table for research'!Z$1))*2,2)</f>
        <v>00</v>
      </c>
      <c r="AA6" t="str">
        <f>MID('paste from garc here'!$C$1,1+(('table for research'!$B6-1)*36+HEX2DEC('table for research'!AA$1))*2,2)</f>
        <v>00</v>
      </c>
      <c r="AB6" t="str">
        <f>MID('paste from garc here'!$C$1,1+(('table for research'!$B6-1)*36+HEX2DEC('table for research'!AB$1))*2,2)</f>
        <v>00</v>
      </c>
      <c r="AC6" t="str">
        <f>MID('paste from garc here'!$C$1,1+(('table for research'!$B6-1)*36+HEX2DEC('table for research'!AC$1))*2,2)</f>
        <v>00</v>
      </c>
      <c r="AD6" t="str">
        <f>MID('paste from garc here'!$C$1,1+(('table for research'!$B6-1)*36+HEX2DEC('table for research'!AD$1))*2,2)</f>
        <v>00</v>
      </c>
      <c r="AE6" t="str">
        <f>MID('paste from garc here'!$C$1,1+(('table for research'!$B6-1)*36+HEX2DEC('table for research'!AE$1))*2,2)</f>
        <v>00</v>
      </c>
      <c r="AF6" t="str">
        <f>MID('paste from garc here'!$C$1,1+(('table for research'!$B6-1)*36+HEX2DEC('table for research'!AF$1))*2,2)</f>
        <v>00</v>
      </c>
      <c r="AG6" t="str">
        <f>MID('paste from garc here'!$C$1,1+(('table for research'!$B6-1)*36+HEX2DEC('table for research'!AG$1))*2,2)</f>
        <v>00</v>
      </c>
      <c r="AH6" t="str">
        <f>MID('paste from garc here'!$C$1,1+(('table for research'!$B6-1)*36+HEX2DEC('table for research'!AH$1))*2,2)</f>
        <v>00</v>
      </c>
      <c r="AI6" t="str">
        <f>MID('paste from garc here'!$C$1,1+(('table for research'!$B6-1)*36+HEX2DEC('table for research'!AI$1))*2,2)</f>
        <v>00</v>
      </c>
      <c r="AJ6" t="str">
        <f>MID('paste from garc here'!$C$1,1+(('table for research'!$B6-1)*36+HEX2DEC('table for research'!AJ$1))*2,2)</f>
        <v>00</v>
      </c>
      <c r="AK6" t="str">
        <f>MID('paste from garc here'!$C$1,1+(('table for research'!$B6-1)*36+HEX2DEC('table for research'!AK$1))*2,2)</f>
        <v>00</v>
      </c>
      <c r="AL6" t="str">
        <f>MID('paste from garc here'!$C$1,1+(('table for research'!$B6-1)*36+HEX2DEC('table for research'!AL$1))*2,2)</f>
        <v>00</v>
      </c>
      <c r="AM6" t="str">
        <f>MID('paste from garc here'!$C$1,1+(('table for research'!$B6-1)*36+HEX2DEC('table for research'!AM$1))*2,2)</f>
        <v>00</v>
      </c>
      <c r="AN6" t="str">
        <f>MID('paste from garc here'!$C$1,1+(('table for research'!$B6-1)*36+HEX2DEC('table for research'!AN$1))*2,2)</f>
        <v>00</v>
      </c>
      <c r="AO6" t="str">
        <f>MID('paste from garc here'!$C$1,1+(('table for research'!$B6-1)*36+HEX2DEC('table for research'!AO$1))*2,2)</f>
        <v>00</v>
      </c>
    </row>
    <row r="7" spans="1:41" x14ac:dyDescent="0.4">
      <c r="A7" t="s">
        <v>19</v>
      </c>
      <c r="B7">
        <f>B6+1</f>
        <v>5</v>
      </c>
      <c r="C7" t="str">
        <f>MID('paste from garc here'!$C$1,1+(('table for research'!$B7-1)*36+HEX2DEC('table for research'!C$1))*2,2)</f>
        <v>00</v>
      </c>
      <c r="D7" t="str">
        <f>MID('paste from garc here'!$C$1,1+(('table for research'!$B7-1)*36+HEX2DEC('table for research'!D$1))*2,2)</f>
        <v>00</v>
      </c>
      <c r="E7" t="str">
        <f>MID('paste from garc here'!$C$1,1+(('table for research'!$B7-1)*36+HEX2DEC('table for research'!E$1))*2,2)</f>
        <v>00</v>
      </c>
      <c r="F7" t="str">
        <f>MID('paste from garc here'!$C$1,1+(('table for research'!$B7-1)*36+HEX2DEC('table for research'!F$1))*2,2)</f>
        <v>00</v>
      </c>
      <c r="G7" t="str">
        <f>MID('paste from garc here'!$C$1,1+(('table for research'!$B7-1)*36+HEX2DEC('table for research'!G$1))*2,2)</f>
        <v>00</v>
      </c>
      <c r="H7" t="str">
        <f>MID('paste from garc here'!$C$1,1+(('table for research'!$B7-1)*36+HEX2DEC('table for research'!H$1))*2,2)</f>
        <v>00</v>
      </c>
      <c r="I7" t="str">
        <f>MID('paste from garc here'!$C$1,1+(('table for research'!$B7-1)*36+HEX2DEC('table for research'!I$1))*2,2)</f>
        <v>00</v>
      </c>
      <c r="J7" t="str">
        <f>MID('paste from garc here'!$C$1,1+(('table for research'!$B7-1)*36+HEX2DEC('table for research'!J$1))*2,2)</f>
        <v>00</v>
      </c>
      <c r="K7" t="str">
        <f>DEC2HEX(_xlfn.BITAND(HEX2DEC(MID('paste from garc here'!$C$1,1+(('table for research'!$B7-1)*36+HEX2DEC(8))*2,2)),31),2)</f>
        <v>1F</v>
      </c>
      <c r="L7" t="str">
        <f>DEC2HEX(_xlfn.BITAND(HEX2DEC(MID('paste from garc here'!$C$1,1+(('table for research'!$B7-1)*36+HEX2DEC(8))*2,2)),32),2)</f>
        <v>00</v>
      </c>
      <c r="M7" t="str">
        <f>DEC2HEX(_xlfn.BITAND(HEX2DEC(MID('paste from garc here'!$C$1,1+(('table for research'!$B7-1)*36+HEX2DEC(8))*2,2)),64),2)</f>
        <v>00</v>
      </c>
      <c r="N7" t="str">
        <f>DEC2HEX(_xlfn.BITRSHIFT(_xlfn.BITAND(HEX2DEC(MID('paste from garc here'!$C$1,1+(('table for research'!$B7-1)*36+HEX2DEC(9))*2,2)&amp;MID('paste from garc here'!$C$1,1+(('table for research'!$B7-1)*36+HEX2DEC(8))*2,2)),1920),7),2)</f>
        <v>00</v>
      </c>
      <c r="O7" t="str">
        <f>DEC2HEX(_xlfn.BITRSHIFT(HEX2DEC(MID('paste from garc here'!$C$1,1+(('table for research'!$B7-1)*36+HEX2DEC(9))*2,2)&amp;MID('paste from garc here'!$C$1,1+(('table for research'!$B7-1)*36+HEX2DEC(8))*2,2)),11),2)</f>
        <v>01</v>
      </c>
      <c r="P7" t="str">
        <f>MID('paste from garc here'!$C$1,1+(('table for research'!$B7-1)*36+HEX2DEC('table for research'!P$1))*2,2)</f>
        <v>00</v>
      </c>
      <c r="Q7" t="str">
        <f>MID('paste from garc here'!$C$1,1+(('table for research'!$B7-1)*36+HEX2DEC('table for research'!Q$1))*2,2)</f>
        <v>01</v>
      </c>
      <c r="R7" t="str">
        <f>MID('paste from garc here'!$C$1,1+(('table for research'!$B7-1)*36+HEX2DEC('table for research'!R$1))*2,2)</f>
        <v>02</v>
      </c>
      <c r="S7" t="str">
        <f>MID('paste from garc here'!$C$1,1+(('table for research'!$B7-1)*36+HEX2DEC('table for research'!S$1))*2,2)</f>
        <v>04</v>
      </c>
      <c r="T7" t="str">
        <f>MID('paste from garc here'!$C$1,1+(('table for research'!$B7-1)*36+HEX2DEC('table for research'!T$1))*2,2)</f>
        <v>00</v>
      </c>
      <c r="U7" t="str">
        <f>MID('paste from garc here'!$C$1,1+(('table for research'!$B7-1)*36+HEX2DEC('table for research'!U$1))*2,2)</f>
        <v>0F</v>
      </c>
      <c r="V7" t="str">
        <f>MID('paste from garc here'!$C$1,1+(('table for research'!$B7-1)*36+HEX2DEC('table for research'!V$1))*2,2)</f>
        <v>04</v>
      </c>
      <c r="W7" t="str">
        <f>MID('paste from garc here'!$C$1,1+(('table for research'!$B7-1)*36+HEX2DEC('table for research'!W$1))*2,2)</f>
        <v>00</v>
      </c>
      <c r="X7" t="str">
        <f>MID('paste from garc here'!$C$1,1+(('table for research'!$B7-1)*36+HEX2DEC('table for research'!X$1))*2,2)</f>
        <v>00</v>
      </c>
      <c r="Y7" t="str">
        <f>MID('paste from garc here'!$C$1,1+(('table for research'!$B7-1)*36+HEX2DEC('table for research'!Y$1))*2,2)</f>
        <v>00</v>
      </c>
      <c r="Z7" t="str">
        <f>MID('paste from garc here'!$C$1,1+(('table for research'!$B7-1)*36+HEX2DEC('table for research'!Z$1))*2,2)</f>
        <v>00</v>
      </c>
      <c r="AA7" t="str">
        <f>MID('paste from garc here'!$C$1,1+(('table for research'!$B7-1)*36+HEX2DEC('table for research'!AA$1))*2,2)</f>
        <v>00</v>
      </c>
      <c r="AB7" t="str">
        <f>MID('paste from garc here'!$C$1,1+(('table for research'!$B7-1)*36+HEX2DEC('table for research'!AB$1))*2,2)</f>
        <v>00</v>
      </c>
      <c r="AC7" t="str">
        <f>MID('paste from garc here'!$C$1,1+(('table for research'!$B7-1)*36+HEX2DEC('table for research'!AC$1))*2,2)</f>
        <v>00</v>
      </c>
      <c r="AD7" t="str">
        <f>MID('paste from garc here'!$C$1,1+(('table for research'!$B7-1)*36+HEX2DEC('table for research'!AD$1))*2,2)</f>
        <v>00</v>
      </c>
      <c r="AE7" t="str">
        <f>MID('paste from garc here'!$C$1,1+(('table for research'!$B7-1)*36+HEX2DEC('table for research'!AE$1))*2,2)</f>
        <v>00</v>
      </c>
      <c r="AF7" t="str">
        <f>MID('paste from garc here'!$C$1,1+(('table for research'!$B7-1)*36+HEX2DEC('table for research'!AF$1))*2,2)</f>
        <v>00</v>
      </c>
      <c r="AG7" t="str">
        <f>MID('paste from garc here'!$C$1,1+(('table for research'!$B7-1)*36+HEX2DEC('table for research'!AG$1))*2,2)</f>
        <v>00</v>
      </c>
      <c r="AH7" t="str">
        <f>MID('paste from garc here'!$C$1,1+(('table for research'!$B7-1)*36+HEX2DEC('table for research'!AH$1))*2,2)</f>
        <v>00</v>
      </c>
      <c r="AI7" t="str">
        <f>MID('paste from garc here'!$C$1,1+(('table for research'!$B7-1)*36+HEX2DEC('table for research'!AI$1))*2,2)</f>
        <v>00</v>
      </c>
      <c r="AJ7" t="str">
        <f>MID('paste from garc here'!$C$1,1+(('table for research'!$B7-1)*36+HEX2DEC('table for research'!AJ$1))*2,2)</f>
        <v>00</v>
      </c>
      <c r="AK7" t="str">
        <f>MID('paste from garc here'!$C$1,1+(('table for research'!$B7-1)*36+HEX2DEC('table for research'!AK$1))*2,2)</f>
        <v>00</v>
      </c>
      <c r="AL7" t="str">
        <f>MID('paste from garc here'!$C$1,1+(('table for research'!$B7-1)*36+HEX2DEC('table for research'!AL$1))*2,2)</f>
        <v>00</v>
      </c>
      <c r="AM7" t="str">
        <f>MID('paste from garc here'!$C$1,1+(('table for research'!$B7-1)*36+HEX2DEC('table for research'!AM$1))*2,2)</f>
        <v>00</v>
      </c>
      <c r="AN7" t="str">
        <f>MID('paste from garc here'!$C$1,1+(('table for research'!$B7-1)*36+HEX2DEC('table for research'!AN$1))*2,2)</f>
        <v>00</v>
      </c>
      <c r="AO7" t="str">
        <f>MID('paste from garc here'!$C$1,1+(('table for research'!$B7-1)*36+HEX2DEC('table for research'!AO$1))*2,2)</f>
        <v>00</v>
      </c>
    </row>
    <row r="8" spans="1:41" x14ac:dyDescent="0.4">
      <c r="A8" t="s">
        <v>20</v>
      </c>
      <c r="B8">
        <f>B7+1</f>
        <v>6</v>
      </c>
      <c r="C8" t="str">
        <f>MID('paste from garc here'!$C$1,1+(('table for research'!$B8-1)*36+HEX2DEC('table for research'!C$1))*2,2)</f>
        <v>32</v>
      </c>
      <c r="D8" t="str">
        <f>MID('paste from garc here'!$C$1,1+(('table for research'!$B8-1)*36+HEX2DEC('table for research'!D$1))*2,2)</f>
        <v>00</v>
      </c>
      <c r="E8" t="str">
        <f>MID('paste from garc here'!$C$1,1+(('table for research'!$B8-1)*36+HEX2DEC('table for research'!E$1))*2,2)</f>
        <v>00</v>
      </c>
      <c r="F8" t="str">
        <f>MID('paste from garc here'!$C$1,1+(('table for research'!$B8-1)*36+HEX2DEC('table for research'!F$1))*2,2)</f>
        <v>00</v>
      </c>
      <c r="G8" t="str">
        <f>MID('paste from garc here'!$C$1,1+(('table for research'!$B8-1)*36+HEX2DEC('table for research'!G$1))*2,2)</f>
        <v>00</v>
      </c>
      <c r="H8" t="str">
        <f>MID('paste from garc here'!$C$1,1+(('table for research'!$B8-1)*36+HEX2DEC('table for research'!H$1))*2,2)</f>
        <v>00</v>
      </c>
      <c r="I8" t="str">
        <f>MID('paste from garc here'!$C$1,1+(('table for research'!$B8-1)*36+HEX2DEC('table for research'!I$1))*2,2)</f>
        <v>00</v>
      </c>
      <c r="J8" t="str">
        <f>MID('paste from garc here'!$C$1,1+(('table for research'!$B8-1)*36+HEX2DEC('table for research'!J$1))*2,2)</f>
        <v>00</v>
      </c>
      <c r="K8" t="str">
        <f>DEC2HEX(_xlfn.BITAND(HEX2DEC(MID('paste from garc here'!$C$1,1+(('table for research'!$B8-1)*36+HEX2DEC(8))*2,2)),31),2)</f>
        <v>1F</v>
      </c>
      <c r="L8" t="str">
        <f>DEC2HEX(_xlfn.BITAND(HEX2DEC(MID('paste from garc here'!$C$1,1+(('table for research'!$B8-1)*36+HEX2DEC(8))*2,2)),32),2)</f>
        <v>00</v>
      </c>
      <c r="M8" t="str">
        <f>DEC2HEX(_xlfn.BITAND(HEX2DEC(MID('paste from garc here'!$C$1,1+(('table for research'!$B8-1)*36+HEX2DEC(8))*2,2)),64),2)</f>
        <v>00</v>
      </c>
      <c r="N8" t="str">
        <f>DEC2HEX(_xlfn.BITRSHIFT(_xlfn.BITAND(HEX2DEC(MID('paste from garc here'!$C$1,1+(('table for research'!$B8-1)*36+HEX2DEC(9))*2,2)&amp;MID('paste from garc here'!$C$1,1+(('table for research'!$B8-1)*36+HEX2DEC(8))*2,2)),1920),7),2)</f>
        <v>00</v>
      </c>
      <c r="O8" t="str">
        <f>DEC2HEX(_xlfn.BITRSHIFT(HEX2DEC(MID('paste from garc here'!$C$1,1+(('table for research'!$B8-1)*36+HEX2DEC(9))*2,2)&amp;MID('paste from garc here'!$C$1,1+(('table for research'!$B8-1)*36+HEX2DEC(8))*2,2)),11),2)</f>
        <v>01</v>
      </c>
      <c r="P8" t="str">
        <f>MID('paste from garc here'!$C$1,1+(('table for research'!$B8-1)*36+HEX2DEC('table for research'!P$1))*2,2)</f>
        <v>00</v>
      </c>
      <c r="Q8" t="str">
        <f>MID('paste from garc here'!$C$1,1+(('table for research'!$B8-1)*36+HEX2DEC('table for research'!Q$1))*2,2)</f>
        <v>01</v>
      </c>
      <c r="R8" t="str">
        <f>MID('paste from garc here'!$C$1,1+(('table for research'!$B8-1)*36+HEX2DEC('table for research'!R$1))*2,2)</f>
        <v>02</v>
      </c>
      <c r="S8" t="str">
        <f>MID('paste from garc here'!$C$1,1+(('table for research'!$B8-1)*36+HEX2DEC('table for research'!S$1))*2,2)</f>
        <v>04</v>
      </c>
      <c r="T8" t="str">
        <f>MID('paste from garc here'!$C$1,1+(('table for research'!$B8-1)*36+HEX2DEC('table for research'!T$1))*2,2)</f>
        <v>00</v>
      </c>
      <c r="U8" t="str">
        <f>MID('paste from garc here'!$C$1,1+(('table for research'!$B8-1)*36+HEX2DEC('table for research'!U$1))*2,2)</f>
        <v>07</v>
      </c>
      <c r="V8" t="str">
        <f>MID('paste from garc here'!$C$1,1+(('table for research'!$B8-1)*36+HEX2DEC('table for research'!V$1))*2,2)</f>
        <v>05</v>
      </c>
      <c r="W8" t="str">
        <f>MID('paste from garc here'!$C$1,1+(('table for research'!$B8-1)*36+HEX2DEC('table for research'!W$1))*2,2)</f>
        <v>00</v>
      </c>
      <c r="X8" t="str">
        <f>MID('paste from garc here'!$C$1,1+(('table for research'!$B8-1)*36+HEX2DEC('table for research'!X$1))*2,2)</f>
        <v>00</v>
      </c>
      <c r="Y8" t="str">
        <f>MID('paste from garc here'!$C$1,1+(('table for research'!$B8-1)*36+HEX2DEC('table for research'!Y$1))*2,2)</f>
        <v>00</v>
      </c>
      <c r="Z8" t="str">
        <f>MID('paste from garc here'!$C$1,1+(('table for research'!$B8-1)*36+HEX2DEC('table for research'!Z$1))*2,2)</f>
        <v>00</v>
      </c>
      <c r="AA8" t="str">
        <f>MID('paste from garc here'!$C$1,1+(('table for research'!$B8-1)*36+HEX2DEC('table for research'!AA$1))*2,2)</f>
        <v>00</v>
      </c>
      <c r="AB8" t="str">
        <f>MID('paste from garc here'!$C$1,1+(('table for research'!$B8-1)*36+HEX2DEC('table for research'!AB$1))*2,2)</f>
        <v>00</v>
      </c>
      <c r="AC8" t="str">
        <f>MID('paste from garc here'!$C$1,1+(('table for research'!$B8-1)*36+HEX2DEC('table for research'!AC$1))*2,2)</f>
        <v>00</v>
      </c>
      <c r="AD8" t="str">
        <f>MID('paste from garc here'!$C$1,1+(('table for research'!$B8-1)*36+HEX2DEC('table for research'!AD$1))*2,2)</f>
        <v>00</v>
      </c>
      <c r="AE8" t="str">
        <f>MID('paste from garc here'!$C$1,1+(('table for research'!$B8-1)*36+HEX2DEC('table for research'!AE$1))*2,2)</f>
        <v>00</v>
      </c>
      <c r="AF8" t="str">
        <f>MID('paste from garc here'!$C$1,1+(('table for research'!$B8-1)*36+HEX2DEC('table for research'!AF$1))*2,2)</f>
        <v>00</v>
      </c>
      <c r="AG8" t="str">
        <f>MID('paste from garc here'!$C$1,1+(('table for research'!$B8-1)*36+HEX2DEC('table for research'!AG$1))*2,2)</f>
        <v>00</v>
      </c>
      <c r="AH8" t="str">
        <f>MID('paste from garc here'!$C$1,1+(('table for research'!$B8-1)*36+HEX2DEC('table for research'!AH$1))*2,2)</f>
        <v>00</v>
      </c>
      <c r="AI8" t="str">
        <f>MID('paste from garc here'!$C$1,1+(('table for research'!$B8-1)*36+HEX2DEC('table for research'!AI$1))*2,2)</f>
        <v>00</v>
      </c>
      <c r="AJ8" t="str">
        <f>MID('paste from garc here'!$C$1,1+(('table for research'!$B8-1)*36+HEX2DEC('table for research'!AJ$1))*2,2)</f>
        <v>00</v>
      </c>
      <c r="AK8" t="str">
        <f>MID('paste from garc here'!$C$1,1+(('table for research'!$B8-1)*36+HEX2DEC('table for research'!AK$1))*2,2)</f>
        <v>00</v>
      </c>
      <c r="AL8" t="str">
        <f>MID('paste from garc here'!$C$1,1+(('table for research'!$B8-1)*36+HEX2DEC('table for research'!AL$1))*2,2)</f>
        <v>00</v>
      </c>
      <c r="AM8" t="str">
        <f>MID('paste from garc here'!$C$1,1+(('table for research'!$B8-1)*36+HEX2DEC('table for research'!AM$1))*2,2)</f>
        <v>00</v>
      </c>
      <c r="AN8" t="str">
        <f>MID('paste from garc here'!$C$1,1+(('table for research'!$B8-1)*36+HEX2DEC('table for research'!AN$1))*2,2)</f>
        <v>00</v>
      </c>
      <c r="AO8" t="str">
        <f>MID('paste from garc here'!$C$1,1+(('table for research'!$B8-1)*36+HEX2DEC('table for research'!AO$1))*2,2)</f>
        <v>00</v>
      </c>
    </row>
    <row r="9" spans="1:41" x14ac:dyDescent="0.4">
      <c r="A9" t="s">
        <v>21</v>
      </c>
      <c r="B9">
        <f>B8+1</f>
        <v>7</v>
      </c>
      <c r="C9" t="str">
        <f>MID('paste from garc here'!$C$1,1+(('table for research'!$B9-1)*36+HEX2DEC('table for research'!C$1))*2,2)</f>
        <v>32</v>
      </c>
      <c r="D9" t="str">
        <f>MID('paste from garc here'!$C$1,1+(('table for research'!$B9-1)*36+HEX2DEC('table for research'!D$1))*2,2)</f>
        <v>00</v>
      </c>
      <c r="E9" t="str">
        <f>MID('paste from garc here'!$C$1,1+(('table for research'!$B9-1)*36+HEX2DEC('table for research'!E$1))*2,2)</f>
        <v>00</v>
      </c>
      <c r="F9" t="str">
        <f>MID('paste from garc here'!$C$1,1+(('table for research'!$B9-1)*36+HEX2DEC('table for research'!F$1))*2,2)</f>
        <v>00</v>
      </c>
      <c r="G9" t="str">
        <f>MID('paste from garc here'!$C$1,1+(('table for research'!$B9-1)*36+HEX2DEC('table for research'!G$1))*2,2)</f>
        <v>00</v>
      </c>
      <c r="H9" t="str">
        <f>MID('paste from garc here'!$C$1,1+(('table for research'!$B9-1)*36+HEX2DEC('table for research'!H$1))*2,2)</f>
        <v>00</v>
      </c>
      <c r="I9" t="str">
        <f>MID('paste from garc here'!$C$1,1+(('table for research'!$B9-1)*36+HEX2DEC('table for research'!I$1))*2,2)</f>
        <v>00</v>
      </c>
      <c r="J9" t="str">
        <f>MID('paste from garc here'!$C$1,1+(('table for research'!$B9-1)*36+HEX2DEC('table for research'!J$1))*2,2)</f>
        <v>00</v>
      </c>
      <c r="K9" t="str">
        <f>DEC2HEX(_xlfn.BITAND(HEX2DEC(MID('paste from garc here'!$C$1,1+(('table for research'!$B9-1)*36+HEX2DEC(8))*2,2)),31),2)</f>
        <v>1F</v>
      </c>
      <c r="L9" t="str">
        <f>DEC2HEX(_xlfn.BITAND(HEX2DEC(MID('paste from garc here'!$C$1,1+(('table for research'!$B9-1)*36+HEX2DEC(8))*2,2)),32),2)</f>
        <v>00</v>
      </c>
      <c r="M9" t="str">
        <f>DEC2HEX(_xlfn.BITAND(HEX2DEC(MID('paste from garc here'!$C$1,1+(('table for research'!$B9-1)*36+HEX2DEC(8))*2,2)),64),2)</f>
        <v>00</v>
      </c>
      <c r="N9" t="str">
        <f>DEC2HEX(_xlfn.BITRSHIFT(_xlfn.BITAND(HEX2DEC(MID('paste from garc here'!$C$1,1+(('table for research'!$B9-1)*36+HEX2DEC(9))*2,2)&amp;MID('paste from garc here'!$C$1,1+(('table for research'!$B9-1)*36+HEX2DEC(8))*2,2)),1920),7),2)</f>
        <v>00</v>
      </c>
      <c r="O9" t="str">
        <f>DEC2HEX(_xlfn.BITRSHIFT(HEX2DEC(MID('paste from garc here'!$C$1,1+(('table for research'!$B9-1)*36+HEX2DEC(9))*2,2)&amp;MID('paste from garc here'!$C$1,1+(('table for research'!$B9-1)*36+HEX2DEC(8))*2,2)),11),2)</f>
        <v>01</v>
      </c>
      <c r="P9" t="str">
        <f>MID('paste from garc here'!$C$1,1+(('table for research'!$B9-1)*36+HEX2DEC('table for research'!P$1))*2,2)</f>
        <v>00</v>
      </c>
      <c r="Q9" t="str">
        <f>MID('paste from garc here'!$C$1,1+(('table for research'!$B9-1)*36+HEX2DEC('table for research'!Q$1))*2,2)</f>
        <v>01</v>
      </c>
      <c r="R9" t="str">
        <f>MID('paste from garc here'!$C$1,1+(('table for research'!$B9-1)*36+HEX2DEC('table for research'!R$1))*2,2)</f>
        <v>02</v>
      </c>
      <c r="S9" t="str">
        <f>MID('paste from garc here'!$C$1,1+(('table for research'!$B9-1)*36+HEX2DEC('table for research'!S$1))*2,2)</f>
        <v>04</v>
      </c>
      <c r="T9" t="str">
        <f>MID('paste from garc here'!$C$1,1+(('table for research'!$B9-1)*36+HEX2DEC('table for research'!T$1))*2,2)</f>
        <v>00</v>
      </c>
      <c r="U9" t="str">
        <f>MID('paste from garc here'!$C$1,1+(('table for research'!$B9-1)*36+HEX2DEC('table for research'!U$1))*2,2)</f>
        <v>0D</v>
      </c>
      <c r="V9" t="str">
        <f>MID('paste from garc here'!$C$1,1+(('table for research'!$B9-1)*36+HEX2DEC('table for research'!V$1))*2,2)</f>
        <v>06</v>
      </c>
      <c r="W9" t="str">
        <f>MID('paste from garc here'!$C$1,1+(('table for research'!$B9-1)*36+HEX2DEC('table for research'!W$1))*2,2)</f>
        <v>00</v>
      </c>
      <c r="X9" t="str">
        <f>MID('paste from garc here'!$C$1,1+(('table for research'!$B9-1)*36+HEX2DEC('table for research'!X$1))*2,2)</f>
        <v>00</v>
      </c>
      <c r="Y9" t="str">
        <f>MID('paste from garc here'!$C$1,1+(('table for research'!$B9-1)*36+HEX2DEC('table for research'!Y$1))*2,2)</f>
        <v>00</v>
      </c>
      <c r="Z9" t="str">
        <f>MID('paste from garc here'!$C$1,1+(('table for research'!$B9-1)*36+HEX2DEC('table for research'!Z$1))*2,2)</f>
        <v>00</v>
      </c>
      <c r="AA9" t="str">
        <f>MID('paste from garc here'!$C$1,1+(('table for research'!$B9-1)*36+HEX2DEC('table for research'!AA$1))*2,2)</f>
        <v>00</v>
      </c>
      <c r="AB9" t="str">
        <f>MID('paste from garc here'!$C$1,1+(('table for research'!$B9-1)*36+HEX2DEC('table for research'!AB$1))*2,2)</f>
        <v>00</v>
      </c>
      <c r="AC9" t="str">
        <f>MID('paste from garc here'!$C$1,1+(('table for research'!$B9-1)*36+HEX2DEC('table for research'!AC$1))*2,2)</f>
        <v>00</v>
      </c>
      <c r="AD9" t="str">
        <f>MID('paste from garc here'!$C$1,1+(('table for research'!$B9-1)*36+HEX2DEC('table for research'!AD$1))*2,2)</f>
        <v>00</v>
      </c>
      <c r="AE9" t="str">
        <f>MID('paste from garc here'!$C$1,1+(('table for research'!$B9-1)*36+HEX2DEC('table for research'!AE$1))*2,2)</f>
        <v>00</v>
      </c>
      <c r="AF9" t="str">
        <f>MID('paste from garc here'!$C$1,1+(('table for research'!$B9-1)*36+HEX2DEC('table for research'!AF$1))*2,2)</f>
        <v>00</v>
      </c>
      <c r="AG9" t="str">
        <f>MID('paste from garc here'!$C$1,1+(('table for research'!$B9-1)*36+HEX2DEC('table for research'!AG$1))*2,2)</f>
        <v>00</v>
      </c>
      <c r="AH9" t="str">
        <f>MID('paste from garc here'!$C$1,1+(('table for research'!$B9-1)*36+HEX2DEC('table for research'!AH$1))*2,2)</f>
        <v>00</v>
      </c>
      <c r="AI9" t="str">
        <f>MID('paste from garc here'!$C$1,1+(('table for research'!$B9-1)*36+HEX2DEC('table for research'!AI$1))*2,2)</f>
        <v>00</v>
      </c>
      <c r="AJ9" t="str">
        <f>MID('paste from garc here'!$C$1,1+(('table for research'!$B9-1)*36+HEX2DEC('table for research'!AJ$1))*2,2)</f>
        <v>00</v>
      </c>
      <c r="AK9" t="str">
        <f>MID('paste from garc here'!$C$1,1+(('table for research'!$B9-1)*36+HEX2DEC('table for research'!AK$1))*2,2)</f>
        <v>00</v>
      </c>
      <c r="AL9" t="str">
        <f>MID('paste from garc here'!$C$1,1+(('table for research'!$B9-1)*36+HEX2DEC('table for research'!AL$1))*2,2)</f>
        <v>00</v>
      </c>
      <c r="AM9" t="str">
        <f>MID('paste from garc here'!$C$1,1+(('table for research'!$B9-1)*36+HEX2DEC('table for research'!AM$1))*2,2)</f>
        <v>00</v>
      </c>
      <c r="AN9" t="str">
        <f>MID('paste from garc here'!$C$1,1+(('table for research'!$B9-1)*36+HEX2DEC('table for research'!AN$1))*2,2)</f>
        <v>00</v>
      </c>
      <c r="AO9" t="str">
        <f>MID('paste from garc here'!$C$1,1+(('table for research'!$B9-1)*36+HEX2DEC('table for research'!AO$1))*2,2)</f>
        <v>00</v>
      </c>
    </row>
    <row r="10" spans="1:41" x14ac:dyDescent="0.4">
      <c r="A10" t="s">
        <v>22</v>
      </c>
      <c r="B10">
        <f>B9+1</f>
        <v>8</v>
      </c>
      <c r="C10" t="str">
        <f>MID('paste from garc here'!$C$1,1+(('table for research'!$B10-1)*36+HEX2DEC('table for research'!C$1))*2,2)</f>
        <v>32</v>
      </c>
      <c r="D10" t="str">
        <f>MID('paste from garc here'!$C$1,1+(('table for research'!$B10-1)*36+HEX2DEC('table for research'!D$1))*2,2)</f>
        <v>00</v>
      </c>
      <c r="E10" t="str">
        <f>MID('paste from garc here'!$C$1,1+(('table for research'!$B10-1)*36+HEX2DEC('table for research'!E$1))*2,2)</f>
        <v>00</v>
      </c>
      <c r="F10" t="str">
        <f>MID('paste from garc here'!$C$1,1+(('table for research'!$B10-1)*36+HEX2DEC('table for research'!F$1))*2,2)</f>
        <v>00</v>
      </c>
      <c r="G10" t="str">
        <f>MID('paste from garc here'!$C$1,1+(('table for research'!$B10-1)*36+HEX2DEC('table for research'!G$1))*2,2)</f>
        <v>00</v>
      </c>
      <c r="H10" t="str">
        <f>MID('paste from garc here'!$C$1,1+(('table for research'!$B10-1)*36+HEX2DEC('table for research'!H$1))*2,2)</f>
        <v>00</v>
      </c>
      <c r="I10" t="str">
        <f>MID('paste from garc here'!$C$1,1+(('table for research'!$B10-1)*36+HEX2DEC('table for research'!I$1))*2,2)</f>
        <v>00</v>
      </c>
      <c r="J10" t="str">
        <f>MID('paste from garc here'!$C$1,1+(('table for research'!$B10-1)*36+HEX2DEC('table for research'!J$1))*2,2)</f>
        <v>00</v>
      </c>
      <c r="K10" t="str">
        <f>DEC2HEX(_xlfn.BITAND(HEX2DEC(MID('paste from garc here'!$C$1,1+(('table for research'!$B10-1)*36+HEX2DEC(8))*2,2)),31),2)</f>
        <v>1F</v>
      </c>
      <c r="L10" t="str">
        <f>DEC2HEX(_xlfn.BITAND(HEX2DEC(MID('paste from garc here'!$C$1,1+(('table for research'!$B10-1)*36+HEX2DEC(8))*2,2)),32),2)</f>
        <v>00</v>
      </c>
      <c r="M10" t="str">
        <f>DEC2HEX(_xlfn.BITAND(HEX2DEC(MID('paste from garc here'!$C$1,1+(('table for research'!$B10-1)*36+HEX2DEC(8))*2,2)),64),2)</f>
        <v>00</v>
      </c>
      <c r="N10" t="str">
        <f>DEC2HEX(_xlfn.BITRSHIFT(_xlfn.BITAND(HEX2DEC(MID('paste from garc here'!$C$1,1+(('table for research'!$B10-1)*36+HEX2DEC(9))*2,2)&amp;MID('paste from garc here'!$C$1,1+(('table for research'!$B10-1)*36+HEX2DEC(8))*2,2)),1920),7),2)</f>
        <v>00</v>
      </c>
      <c r="O10" t="str">
        <f>DEC2HEX(_xlfn.BITRSHIFT(HEX2DEC(MID('paste from garc here'!$C$1,1+(('table for research'!$B10-1)*36+HEX2DEC(9))*2,2)&amp;MID('paste from garc here'!$C$1,1+(('table for research'!$B10-1)*36+HEX2DEC(8))*2,2)),11),2)</f>
        <v>01</v>
      </c>
      <c r="P10" t="str">
        <f>MID('paste from garc here'!$C$1,1+(('table for research'!$B10-1)*36+HEX2DEC('table for research'!P$1))*2,2)</f>
        <v>00</v>
      </c>
      <c r="Q10" t="str">
        <f>MID('paste from garc here'!$C$1,1+(('table for research'!$B10-1)*36+HEX2DEC('table for research'!Q$1))*2,2)</f>
        <v>01</v>
      </c>
      <c r="R10" t="str">
        <f>MID('paste from garc here'!$C$1,1+(('table for research'!$B10-1)*36+HEX2DEC('table for research'!R$1))*2,2)</f>
        <v>02</v>
      </c>
      <c r="S10" t="str">
        <f>MID('paste from garc here'!$C$1,1+(('table for research'!$B10-1)*36+HEX2DEC('table for research'!S$1))*2,2)</f>
        <v>04</v>
      </c>
      <c r="T10" t="str">
        <f>MID('paste from garc here'!$C$1,1+(('table for research'!$B10-1)*36+HEX2DEC('table for research'!T$1))*2,2)</f>
        <v>00</v>
      </c>
      <c r="U10" t="str">
        <f>MID('paste from garc here'!$C$1,1+(('table for research'!$B10-1)*36+HEX2DEC('table for research'!U$1))*2,2)</f>
        <v>08</v>
      </c>
      <c r="V10" t="str">
        <f>MID('paste from garc here'!$C$1,1+(('table for research'!$B10-1)*36+HEX2DEC('table for research'!V$1))*2,2)</f>
        <v>07</v>
      </c>
      <c r="W10" t="str">
        <f>MID('paste from garc here'!$C$1,1+(('table for research'!$B10-1)*36+HEX2DEC('table for research'!W$1))*2,2)</f>
        <v>00</v>
      </c>
      <c r="X10" t="str">
        <f>MID('paste from garc here'!$C$1,1+(('table for research'!$B10-1)*36+HEX2DEC('table for research'!X$1))*2,2)</f>
        <v>00</v>
      </c>
      <c r="Y10" t="str">
        <f>MID('paste from garc here'!$C$1,1+(('table for research'!$B10-1)*36+HEX2DEC('table for research'!Y$1))*2,2)</f>
        <v>00</v>
      </c>
      <c r="Z10" t="str">
        <f>MID('paste from garc here'!$C$1,1+(('table for research'!$B10-1)*36+HEX2DEC('table for research'!Z$1))*2,2)</f>
        <v>00</v>
      </c>
      <c r="AA10" t="str">
        <f>MID('paste from garc here'!$C$1,1+(('table for research'!$B10-1)*36+HEX2DEC('table for research'!AA$1))*2,2)</f>
        <v>00</v>
      </c>
      <c r="AB10" t="str">
        <f>MID('paste from garc here'!$C$1,1+(('table for research'!$B10-1)*36+HEX2DEC('table for research'!AB$1))*2,2)</f>
        <v>00</v>
      </c>
      <c r="AC10" t="str">
        <f>MID('paste from garc here'!$C$1,1+(('table for research'!$B10-1)*36+HEX2DEC('table for research'!AC$1))*2,2)</f>
        <v>00</v>
      </c>
      <c r="AD10" t="str">
        <f>MID('paste from garc here'!$C$1,1+(('table for research'!$B10-1)*36+HEX2DEC('table for research'!AD$1))*2,2)</f>
        <v>00</v>
      </c>
      <c r="AE10" t="str">
        <f>MID('paste from garc here'!$C$1,1+(('table for research'!$B10-1)*36+HEX2DEC('table for research'!AE$1))*2,2)</f>
        <v>00</v>
      </c>
      <c r="AF10" t="str">
        <f>MID('paste from garc here'!$C$1,1+(('table for research'!$B10-1)*36+HEX2DEC('table for research'!AF$1))*2,2)</f>
        <v>00</v>
      </c>
      <c r="AG10" t="str">
        <f>MID('paste from garc here'!$C$1,1+(('table for research'!$B10-1)*36+HEX2DEC('table for research'!AG$1))*2,2)</f>
        <v>00</v>
      </c>
      <c r="AH10" t="str">
        <f>MID('paste from garc here'!$C$1,1+(('table for research'!$B10-1)*36+HEX2DEC('table for research'!AH$1))*2,2)</f>
        <v>00</v>
      </c>
      <c r="AI10" t="str">
        <f>MID('paste from garc here'!$C$1,1+(('table for research'!$B10-1)*36+HEX2DEC('table for research'!AI$1))*2,2)</f>
        <v>00</v>
      </c>
      <c r="AJ10" t="str">
        <f>MID('paste from garc here'!$C$1,1+(('table for research'!$B10-1)*36+HEX2DEC('table for research'!AJ$1))*2,2)</f>
        <v>00</v>
      </c>
      <c r="AK10" t="str">
        <f>MID('paste from garc here'!$C$1,1+(('table for research'!$B10-1)*36+HEX2DEC('table for research'!AK$1))*2,2)</f>
        <v>00</v>
      </c>
      <c r="AL10" t="str">
        <f>MID('paste from garc here'!$C$1,1+(('table for research'!$B10-1)*36+HEX2DEC('table for research'!AL$1))*2,2)</f>
        <v>00</v>
      </c>
      <c r="AM10" t="str">
        <f>MID('paste from garc here'!$C$1,1+(('table for research'!$B10-1)*36+HEX2DEC('table for research'!AM$1))*2,2)</f>
        <v>00</v>
      </c>
      <c r="AN10" t="str">
        <f>MID('paste from garc here'!$C$1,1+(('table for research'!$B10-1)*36+HEX2DEC('table for research'!AN$1))*2,2)</f>
        <v>00</v>
      </c>
      <c r="AO10" t="str">
        <f>MID('paste from garc here'!$C$1,1+(('table for research'!$B10-1)*36+HEX2DEC('table for research'!AO$1))*2,2)</f>
        <v>00</v>
      </c>
    </row>
    <row r="11" spans="1:41" x14ac:dyDescent="0.4">
      <c r="A11" t="s">
        <v>23</v>
      </c>
      <c r="B11">
        <f>B10+1</f>
        <v>9</v>
      </c>
      <c r="C11" t="str">
        <f>MID('paste from garc here'!$C$1,1+(('table for research'!$B11-1)*36+HEX2DEC('table for research'!C$1))*2,2)</f>
        <v>32</v>
      </c>
      <c r="D11" t="str">
        <f>MID('paste from garc here'!$C$1,1+(('table for research'!$B11-1)*36+HEX2DEC('table for research'!D$1))*2,2)</f>
        <v>00</v>
      </c>
      <c r="E11" t="str">
        <f>MID('paste from garc here'!$C$1,1+(('table for research'!$B11-1)*36+HEX2DEC('table for research'!E$1))*2,2)</f>
        <v>00</v>
      </c>
      <c r="F11" t="str">
        <f>MID('paste from garc here'!$C$1,1+(('table for research'!$B11-1)*36+HEX2DEC('table for research'!F$1))*2,2)</f>
        <v>00</v>
      </c>
      <c r="G11" t="str">
        <f>MID('paste from garc here'!$C$1,1+(('table for research'!$B11-1)*36+HEX2DEC('table for research'!G$1))*2,2)</f>
        <v>00</v>
      </c>
      <c r="H11" t="str">
        <f>MID('paste from garc here'!$C$1,1+(('table for research'!$B11-1)*36+HEX2DEC('table for research'!H$1))*2,2)</f>
        <v>00</v>
      </c>
      <c r="I11" t="str">
        <f>MID('paste from garc here'!$C$1,1+(('table for research'!$B11-1)*36+HEX2DEC('table for research'!I$1))*2,2)</f>
        <v>00</v>
      </c>
      <c r="J11" t="str">
        <f>MID('paste from garc here'!$C$1,1+(('table for research'!$B11-1)*36+HEX2DEC('table for research'!J$1))*2,2)</f>
        <v>00</v>
      </c>
      <c r="K11" t="str">
        <f>DEC2HEX(_xlfn.BITAND(HEX2DEC(MID('paste from garc here'!$C$1,1+(('table for research'!$B11-1)*36+HEX2DEC(8))*2,2)),31),2)</f>
        <v>1F</v>
      </c>
      <c r="L11" t="str">
        <f>DEC2HEX(_xlfn.BITAND(HEX2DEC(MID('paste from garc here'!$C$1,1+(('table for research'!$B11-1)*36+HEX2DEC(8))*2,2)),32),2)</f>
        <v>00</v>
      </c>
      <c r="M11" t="str">
        <f>DEC2HEX(_xlfn.BITAND(HEX2DEC(MID('paste from garc here'!$C$1,1+(('table for research'!$B11-1)*36+HEX2DEC(8))*2,2)),64),2)</f>
        <v>00</v>
      </c>
      <c r="N11" t="str">
        <f>DEC2HEX(_xlfn.BITRSHIFT(_xlfn.BITAND(HEX2DEC(MID('paste from garc here'!$C$1,1+(('table for research'!$B11-1)*36+HEX2DEC(9))*2,2)&amp;MID('paste from garc here'!$C$1,1+(('table for research'!$B11-1)*36+HEX2DEC(8))*2,2)),1920),7),2)</f>
        <v>00</v>
      </c>
      <c r="O11" t="str">
        <f>DEC2HEX(_xlfn.BITRSHIFT(HEX2DEC(MID('paste from garc here'!$C$1,1+(('table for research'!$B11-1)*36+HEX2DEC(9))*2,2)&amp;MID('paste from garc here'!$C$1,1+(('table for research'!$B11-1)*36+HEX2DEC(8))*2,2)),11),2)</f>
        <v>01</v>
      </c>
      <c r="P11" t="str">
        <f>MID('paste from garc here'!$C$1,1+(('table for research'!$B11-1)*36+HEX2DEC('table for research'!P$1))*2,2)</f>
        <v>00</v>
      </c>
      <c r="Q11" t="str">
        <f>MID('paste from garc here'!$C$1,1+(('table for research'!$B11-1)*36+HEX2DEC('table for research'!Q$1))*2,2)</f>
        <v>01</v>
      </c>
      <c r="R11" t="str">
        <f>MID('paste from garc here'!$C$1,1+(('table for research'!$B11-1)*36+HEX2DEC('table for research'!R$1))*2,2)</f>
        <v>02</v>
      </c>
      <c r="S11" t="str">
        <f>MID('paste from garc here'!$C$1,1+(('table for research'!$B11-1)*36+HEX2DEC('table for research'!S$1))*2,2)</f>
        <v>04</v>
      </c>
      <c r="T11" t="str">
        <f>MID('paste from garc here'!$C$1,1+(('table for research'!$B11-1)*36+HEX2DEC('table for research'!T$1))*2,2)</f>
        <v>00</v>
      </c>
      <c r="U11" t="str">
        <f>MID('paste from garc here'!$C$1,1+(('table for research'!$B11-1)*36+HEX2DEC('table for research'!U$1))*2,2)</f>
        <v>0C</v>
      </c>
      <c r="V11" t="str">
        <f>MID('paste from garc here'!$C$1,1+(('table for research'!$B11-1)*36+HEX2DEC('table for research'!V$1))*2,2)</f>
        <v>08</v>
      </c>
      <c r="W11" t="str">
        <f>MID('paste from garc here'!$C$1,1+(('table for research'!$B11-1)*36+HEX2DEC('table for research'!W$1))*2,2)</f>
        <v>00</v>
      </c>
      <c r="X11" t="str">
        <f>MID('paste from garc here'!$C$1,1+(('table for research'!$B11-1)*36+HEX2DEC('table for research'!X$1))*2,2)</f>
        <v>00</v>
      </c>
      <c r="Y11" t="str">
        <f>MID('paste from garc here'!$C$1,1+(('table for research'!$B11-1)*36+HEX2DEC('table for research'!Y$1))*2,2)</f>
        <v>00</v>
      </c>
      <c r="Z11" t="str">
        <f>MID('paste from garc here'!$C$1,1+(('table for research'!$B11-1)*36+HEX2DEC('table for research'!Z$1))*2,2)</f>
        <v>00</v>
      </c>
      <c r="AA11" t="str">
        <f>MID('paste from garc here'!$C$1,1+(('table for research'!$B11-1)*36+HEX2DEC('table for research'!AA$1))*2,2)</f>
        <v>00</v>
      </c>
      <c r="AB11" t="str">
        <f>MID('paste from garc here'!$C$1,1+(('table for research'!$B11-1)*36+HEX2DEC('table for research'!AB$1))*2,2)</f>
        <v>00</v>
      </c>
      <c r="AC11" t="str">
        <f>MID('paste from garc here'!$C$1,1+(('table for research'!$B11-1)*36+HEX2DEC('table for research'!AC$1))*2,2)</f>
        <v>00</v>
      </c>
      <c r="AD11" t="str">
        <f>MID('paste from garc here'!$C$1,1+(('table for research'!$B11-1)*36+HEX2DEC('table for research'!AD$1))*2,2)</f>
        <v>00</v>
      </c>
      <c r="AE11" t="str">
        <f>MID('paste from garc here'!$C$1,1+(('table for research'!$B11-1)*36+HEX2DEC('table for research'!AE$1))*2,2)</f>
        <v>00</v>
      </c>
      <c r="AF11" t="str">
        <f>MID('paste from garc here'!$C$1,1+(('table for research'!$B11-1)*36+HEX2DEC('table for research'!AF$1))*2,2)</f>
        <v>00</v>
      </c>
      <c r="AG11" t="str">
        <f>MID('paste from garc here'!$C$1,1+(('table for research'!$B11-1)*36+HEX2DEC('table for research'!AG$1))*2,2)</f>
        <v>00</v>
      </c>
      <c r="AH11" t="str">
        <f>MID('paste from garc here'!$C$1,1+(('table for research'!$B11-1)*36+HEX2DEC('table for research'!AH$1))*2,2)</f>
        <v>00</v>
      </c>
      <c r="AI11" t="str">
        <f>MID('paste from garc here'!$C$1,1+(('table for research'!$B11-1)*36+HEX2DEC('table for research'!AI$1))*2,2)</f>
        <v>00</v>
      </c>
      <c r="AJ11" t="str">
        <f>MID('paste from garc here'!$C$1,1+(('table for research'!$B11-1)*36+HEX2DEC('table for research'!AJ$1))*2,2)</f>
        <v>00</v>
      </c>
      <c r="AK11" t="str">
        <f>MID('paste from garc here'!$C$1,1+(('table for research'!$B11-1)*36+HEX2DEC('table for research'!AK$1))*2,2)</f>
        <v>00</v>
      </c>
      <c r="AL11" t="str">
        <f>MID('paste from garc here'!$C$1,1+(('table for research'!$B11-1)*36+HEX2DEC('table for research'!AL$1))*2,2)</f>
        <v>00</v>
      </c>
      <c r="AM11" t="str">
        <f>MID('paste from garc here'!$C$1,1+(('table for research'!$B11-1)*36+HEX2DEC('table for research'!AM$1))*2,2)</f>
        <v>00</v>
      </c>
      <c r="AN11" t="str">
        <f>MID('paste from garc here'!$C$1,1+(('table for research'!$B11-1)*36+HEX2DEC('table for research'!AN$1))*2,2)</f>
        <v>00</v>
      </c>
      <c r="AO11" t="str">
        <f>MID('paste from garc here'!$C$1,1+(('table for research'!$B11-1)*36+HEX2DEC('table for research'!AO$1))*2,2)</f>
        <v>00</v>
      </c>
    </row>
    <row r="12" spans="1:41" x14ac:dyDescent="0.4">
      <c r="A12" t="s">
        <v>24</v>
      </c>
      <c r="B12">
        <f>B11+1</f>
        <v>10</v>
      </c>
      <c r="C12" t="str">
        <f>MID('paste from garc here'!$C$1,1+(('table for research'!$B12-1)*36+HEX2DEC('table for research'!C$1))*2,2)</f>
        <v>32</v>
      </c>
      <c r="D12" t="str">
        <f>MID('paste from garc here'!$C$1,1+(('table for research'!$B12-1)*36+HEX2DEC('table for research'!D$1))*2,2)</f>
        <v>00</v>
      </c>
      <c r="E12" t="str">
        <f>MID('paste from garc here'!$C$1,1+(('table for research'!$B12-1)*36+HEX2DEC('table for research'!E$1))*2,2)</f>
        <v>00</v>
      </c>
      <c r="F12" t="str">
        <f>MID('paste from garc here'!$C$1,1+(('table for research'!$B12-1)*36+HEX2DEC('table for research'!F$1))*2,2)</f>
        <v>00</v>
      </c>
      <c r="G12" t="str">
        <f>MID('paste from garc here'!$C$1,1+(('table for research'!$B12-1)*36+HEX2DEC('table for research'!G$1))*2,2)</f>
        <v>00</v>
      </c>
      <c r="H12" t="str">
        <f>MID('paste from garc here'!$C$1,1+(('table for research'!$B12-1)*36+HEX2DEC('table for research'!H$1))*2,2)</f>
        <v>00</v>
      </c>
      <c r="I12" t="str">
        <f>MID('paste from garc here'!$C$1,1+(('table for research'!$B12-1)*36+HEX2DEC('table for research'!I$1))*2,2)</f>
        <v>00</v>
      </c>
      <c r="J12" t="str">
        <f>MID('paste from garc here'!$C$1,1+(('table for research'!$B12-1)*36+HEX2DEC('table for research'!J$1))*2,2)</f>
        <v>00</v>
      </c>
      <c r="K12" t="str">
        <f>DEC2HEX(_xlfn.BITAND(HEX2DEC(MID('paste from garc here'!$C$1,1+(('table for research'!$B12-1)*36+HEX2DEC(8))*2,2)),31),2)</f>
        <v>1F</v>
      </c>
      <c r="L12" t="str">
        <f>DEC2HEX(_xlfn.BITAND(HEX2DEC(MID('paste from garc here'!$C$1,1+(('table for research'!$B12-1)*36+HEX2DEC(8))*2,2)),32),2)</f>
        <v>00</v>
      </c>
      <c r="M12" t="str">
        <f>DEC2HEX(_xlfn.BITAND(HEX2DEC(MID('paste from garc here'!$C$1,1+(('table for research'!$B12-1)*36+HEX2DEC(8))*2,2)),64),2)</f>
        <v>00</v>
      </c>
      <c r="N12" t="str">
        <f>DEC2HEX(_xlfn.BITRSHIFT(_xlfn.BITAND(HEX2DEC(MID('paste from garc here'!$C$1,1+(('table for research'!$B12-1)*36+HEX2DEC(9))*2,2)&amp;MID('paste from garc here'!$C$1,1+(('table for research'!$B12-1)*36+HEX2DEC(8))*2,2)),1920),7),2)</f>
        <v>00</v>
      </c>
      <c r="O12" t="str">
        <f>DEC2HEX(_xlfn.BITRSHIFT(HEX2DEC(MID('paste from garc here'!$C$1,1+(('table for research'!$B12-1)*36+HEX2DEC(9))*2,2)&amp;MID('paste from garc here'!$C$1,1+(('table for research'!$B12-1)*36+HEX2DEC(8))*2,2)),11),2)</f>
        <v>01</v>
      </c>
      <c r="P12" t="str">
        <f>MID('paste from garc here'!$C$1,1+(('table for research'!$B12-1)*36+HEX2DEC('table for research'!P$1))*2,2)</f>
        <v>00</v>
      </c>
      <c r="Q12" t="str">
        <f>MID('paste from garc here'!$C$1,1+(('table for research'!$B12-1)*36+HEX2DEC('table for research'!Q$1))*2,2)</f>
        <v>01</v>
      </c>
      <c r="R12" t="str">
        <f>MID('paste from garc here'!$C$1,1+(('table for research'!$B12-1)*36+HEX2DEC('table for research'!R$1))*2,2)</f>
        <v>02</v>
      </c>
      <c r="S12" t="str">
        <f>MID('paste from garc here'!$C$1,1+(('table for research'!$B12-1)*36+HEX2DEC('table for research'!S$1))*2,2)</f>
        <v>04</v>
      </c>
      <c r="T12" t="str">
        <f>MID('paste from garc here'!$C$1,1+(('table for research'!$B12-1)*36+HEX2DEC('table for research'!T$1))*2,2)</f>
        <v>00</v>
      </c>
      <c r="U12" t="str">
        <f>MID('paste from garc here'!$C$1,1+(('table for research'!$B12-1)*36+HEX2DEC('table for research'!U$1))*2,2)</f>
        <v>0B</v>
      </c>
      <c r="V12" t="str">
        <f>MID('paste from garc here'!$C$1,1+(('table for research'!$B12-1)*36+HEX2DEC('table for research'!V$1))*2,2)</f>
        <v>09</v>
      </c>
      <c r="W12" t="str">
        <f>MID('paste from garc here'!$C$1,1+(('table for research'!$B12-1)*36+HEX2DEC('table for research'!W$1))*2,2)</f>
        <v>00</v>
      </c>
      <c r="X12" t="str">
        <f>MID('paste from garc here'!$C$1,1+(('table for research'!$B12-1)*36+HEX2DEC('table for research'!X$1))*2,2)</f>
        <v>00</v>
      </c>
      <c r="Y12" t="str">
        <f>MID('paste from garc here'!$C$1,1+(('table for research'!$B12-1)*36+HEX2DEC('table for research'!Y$1))*2,2)</f>
        <v>00</v>
      </c>
      <c r="Z12" t="str">
        <f>MID('paste from garc here'!$C$1,1+(('table for research'!$B12-1)*36+HEX2DEC('table for research'!Z$1))*2,2)</f>
        <v>00</v>
      </c>
      <c r="AA12" t="str">
        <f>MID('paste from garc here'!$C$1,1+(('table for research'!$B12-1)*36+HEX2DEC('table for research'!AA$1))*2,2)</f>
        <v>00</v>
      </c>
      <c r="AB12" t="str">
        <f>MID('paste from garc here'!$C$1,1+(('table for research'!$B12-1)*36+HEX2DEC('table for research'!AB$1))*2,2)</f>
        <v>00</v>
      </c>
      <c r="AC12" t="str">
        <f>MID('paste from garc here'!$C$1,1+(('table for research'!$B12-1)*36+HEX2DEC('table for research'!AC$1))*2,2)</f>
        <v>00</v>
      </c>
      <c r="AD12" t="str">
        <f>MID('paste from garc here'!$C$1,1+(('table for research'!$B12-1)*36+HEX2DEC('table for research'!AD$1))*2,2)</f>
        <v>00</v>
      </c>
      <c r="AE12" t="str">
        <f>MID('paste from garc here'!$C$1,1+(('table for research'!$B12-1)*36+HEX2DEC('table for research'!AE$1))*2,2)</f>
        <v>00</v>
      </c>
      <c r="AF12" t="str">
        <f>MID('paste from garc here'!$C$1,1+(('table for research'!$B12-1)*36+HEX2DEC('table for research'!AF$1))*2,2)</f>
        <v>00</v>
      </c>
      <c r="AG12" t="str">
        <f>MID('paste from garc here'!$C$1,1+(('table for research'!$B12-1)*36+HEX2DEC('table for research'!AG$1))*2,2)</f>
        <v>00</v>
      </c>
      <c r="AH12" t="str">
        <f>MID('paste from garc here'!$C$1,1+(('table for research'!$B12-1)*36+HEX2DEC('table for research'!AH$1))*2,2)</f>
        <v>00</v>
      </c>
      <c r="AI12" t="str">
        <f>MID('paste from garc here'!$C$1,1+(('table for research'!$B12-1)*36+HEX2DEC('table for research'!AI$1))*2,2)</f>
        <v>00</v>
      </c>
      <c r="AJ12" t="str">
        <f>MID('paste from garc here'!$C$1,1+(('table for research'!$B12-1)*36+HEX2DEC('table for research'!AJ$1))*2,2)</f>
        <v>00</v>
      </c>
      <c r="AK12" t="str">
        <f>MID('paste from garc here'!$C$1,1+(('table for research'!$B12-1)*36+HEX2DEC('table for research'!AK$1))*2,2)</f>
        <v>00</v>
      </c>
      <c r="AL12" t="str">
        <f>MID('paste from garc here'!$C$1,1+(('table for research'!$B12-1)*36+HEX2DEC('table for research'!AL$1))*2,2)</f>
        <v>00</v>
      </c>
      <c r="AM12" t="str">
        <f>MID('paste from garc here'!$C$1,1+(('table for research'!$B12-1)*36+HEX2DEC('table for research'!AM$1))*2,2)</f>
        <v>00</v>
      </c>
      <c r="AN12" t="str">
        <f>MID('paste from garc here'!$C$1,1+(('table for research'!$B12-1)*36+HEX2DEC('table for research'!AN$1))*2,2)</f>
        <v>00</v>
      </c>
      <c r="AO12" t="str">
        <f>MID('paste from garc here'!$C$1,1+(('table for research'!$B12-1)*36+HEX2DEC('table for research'!AO$1))*2,2)</f>
        <v>00</v>
      </c>
    </row>
    <row r="13" spans="1:41" x14ac:dyDescent="0.4">
      <c r="A13" t="s">
        <v>25</v>
      </c>
      <c r="B13">
        <f>B12+1</f>
        <v>11</v>
      </c>
      <c r="C13" t="str">
        <f>MID('paste from garc here'!$C$1,1+(('table for research'!$B13-1)*36+HEX2DEC('table for research'!C$1))*2,2)</f>
        <v>32</v>
      </c>
      <c r="D13" t="str">
        <f>MID('paste from garc here'!$C$1,1+(('table for research'!$B13-1)*36+HEX2DEC('table for research'!D$1))*2,2)</f>
        <v>00</v>
      </c>
      <c r="E13" t="str">
        <f>MID('paste from garc here'!$C$1,1+(('table for research'!$B13-1)*36+HEX2DEC('table for research'!E$1))*2,2)</f>
        <v>00</v>
      </c>
      <c r="F13" t="str">
        <f>MID('paste from garc here'!$C$1,1+(('table for research'!$B13-1)*36+HEX2DEC('table for research'!F$1))*2,2)</f>
        <v>00</v>
      </c>
      <c r="G13" t="str">
        <f>MID('paste from garc here'!$C$1,1+(('table for research'!$B13-1)*36+HEX2DEC('table for research'!G$1))*2,2)</f>
        <v>00</v>
      </c>
      <c r="H13" t="str">
        <f>MID('paste from garc here'!$C$1,1+(('table for research'!$B13-1)*36+HEX2DEC('table for research'!H$1))*2,2)</f>
        <v>00</v>
      </c>
      <c r="I13" t="str">
        <f>MID('paste from garc here'!$C$1,1+(('table for research'!$B13-1)*36+HEX2DEC('table for research'!I$1))*2,2)</f>
        <v>00</v>
      </c>
      <c r="J13" t="str">
        <f>MID('paste from garc here'!$C$1,1+(('table for research'!$B13-1)*36+HEX2DEC('table for research'!J$1))*2,2)</f>
        <v>00</v>
      </c>
      <c r="K13" t="str">
        <f>DEC2HEX(_xlfn.BITAND(HEX2DEC(MID('paste from garc here'!$C$1,1+(('table for research'!$B13-1)*36+HEX2DEC(8))*2,2)),31),2)</f>
        <v>1F</v>
      </c>
      <c r="L13" t="str">
        <f>DEC2HEX(_xlfn.BITAND(HEX2DEC(MID('paste from garc here'!$C$1,1+(('table for research'!$B13-1)*36+HEX2DEC(8))*2,2)),32),2)</f>
        <v>00</v>
      </c>
      <c r="M13" t="str">
        <f>DEC2HEX(_xlfn.BITAND(HEX2DEC(MID('paste from garc here'!$C$1,1+(('table for research'!$B13-1)*36+HEX2DEC(8))*2,2)),64),2)</f>
        <v>00</v>
      </c>
      <c r="N13" t="str">
        <f>DEC2HEX(_xlfn.BITRSHIFT(_xlfn.BITAND(HEX2DEC(MID('paste from garc here'!$C$1,1+(('table for research'!$B13-1)*36+HEX2DEC(9))*2,2)&amp;MID('paste from garc here'!$C$1,1+(('table for research'!$B13-1)*36+HEX2DEC(8))*2,2)),1920),7),2)</f>
        <v>00</v>
      </c>
      <c r="O13" t="str">
        <f>DEC2HEX(_xlfn.BITRSHIFT(HEX2DEC(MID('paste from garc here'!$C$1,1+(('table for research'!$B13-1)*36+HEX2DEC(9))*2,2)&amp;MID('paste from garc here'!$C$1,1+(('table for research'!$B13-1)*36+HEX2DEC(8))*2,2)),11),2)</f>
        <v>01</v>
      </c>
      <c r="P13" t="str">
        <f>MID('paste from garc here'!$C$1,1+(('table for research'!$B13-1)*36+HEX2DEC('table for research'!P$1))*2,2)</f>
        <v>00</v>
      </c>
      <c r="Q13" t="str">
        <f>MID('paste from garc here'!$C$1,1+(('table for research'!$B13-1)*36+HEX2DEC('table for research'!Q$1))*2,2)</f>
        <v>01</v>
      </c>
      <c r="R13" t="str">
        <f>MID('paste from garc here'!$C$1,1+(('table for research'!$B13-1)*36+HEX2DEC('table for research'!R$1))*2,2)</f>
        <v>02</v>
      </c>
      <c r="S13" t="str">
        <f>MID('paste from garc here'!$C$1,1+(('table for research'!$B13-1)*36+HEX2DEC('table for research'!S$1))*2,2)</f>
        <v>04</v>
      </c>
      <c r="T13" t="str">
        <f>MID('paste from garc here'!$C$1,1+(('table for research'!$B13-1)*36+HEX2DEC('table for research'!T$1))*2,2)</f>
        <v>00</v>
      </c>
      <c r="U13" t="str">
        <f>MID('paste from garc here'!$C$1,1+(('table for research'!$B13-1)*36+HEX2DEC('table for research'!U$1))*2,2)</f>
        <v>0E</v>
      </c>
      <c r="V13" t="str">
        <f>MID('paste from garc here'!$C$1,1+(('table for research'!$B13-1)*36+HEX2DEC('table for research'!V$1))*2,2)</f>
        <v>0A</v>
      </c>
      <c r="W13" t="str">
        <f>MID('paste from garc here'!$C$1,1+(('table for research'!$B13-1)*36+HEX2DEC('table for research'!W$1))*2,2)</f>
        <v>00</v>
      </c>
      <c r="X13" t="str">
        <f>MID('paste from garc here'!$C$1,1+(('table for research'!$B13-1)*36+HEX2DEC('table for research'!X$1))*2,2)</f>
        <v>00</v>
      </c>
      <c r="Y13" t="str">
        <f>MID('paste from garc here'!$C$1,1+(('table for research'!$B13-1)*36+HEX2DEC('table for research'!Y$1))*2,2)</f>
        <v>00</v>
      </c>
      <c r="Z13" t="str">
        <f>MID('paste from garc here'!$C$1,1+(('table for research'!$B13-1)*36+HEX2DEC('table for research'!Z$1))*2,2)</f>
        <v>00</v>
      </c>
      <c r="AA13" t="str">
        <f>MID('paste from garc here'!$C$1,1+(('table for research'!$B13-1)*36+HEX2DEC('table for research'!AA$1))*2,2)</f>
        <v>00</v>
      </c>
      <c r="AB13" t="str">
        <f>MID('paste from garc here'!$C$1,1+(('table for research'!$B13-1)*36+HEX2DEC('table for research'!AB$1))*2,2)</f>
        <v>00</v>
      </c>
      <c r="AC13" t="str">
        <f>MID('paste from garc here'!$C$1,1+(('table for research'!$B13-1)*36+HEX2DEC('table for research'!AC$1))*2,2)</f>
        <v>00</v>
      </c>
      <c r="AD13" t="str">
        <f>MID('paste from garc here'!$C$1,1+(('table for research'!$B13-1)*36+HEX2DEC('table for research'!AD$1))*2,2)</f>
        <v>00</v>
      </c>
      <c r="AE13" t="str">
        <f>MID('paste from garc here'!$C$1,1+(('table for research'!$B13-1)*36+HEX2DEC('table for research'!AE$1))*2,2)</f>
        <v>00</v>
      </c>
      <c r="AF13" t="str">
        <f>MID('paste from garc here'!$C$1,1+(('table for research'!$B13-1)*36+HEX2DEC('table for research'!AF$1))*2,2)</f>
        <v>00</v>
      </c>
      <c r="AG13" t="str">
        <f>MID('paste from garc here'!$C$1,1+(('table for research'!$B13-1)*36+HEX2DEC('table for research'!AG$1))*2,2)</f>
        <v>00</v>
      </c>
      <c r="AH13" t="str">
        <f>MID('paste from garc here'!$C$1,1+(('table for research'!$B13-1)*36+HEX2DEC('table for research'!AH$1))*2,2)</f>
        <v>00</v>
      </c>
      <c r="AI13" t="str">
        <f>MID('paste from garc here'!$C$1,1+(('table for research'!$B13-1)*36+HEX2DEC('table for research'!AI$1))*2,2)</f>
        <v>00</v>
      </c>
      <c r="AJ13" t="str">
        <f>MID('paste from garc here'!$C$1,1+(('table for research'!$B13-1)*36+HEX2DEC('table for research'!AJ$1))*2,2)</f>
        <v>00</v>
      </c>
      <c r="AK13" t="str">
        <f>MID('paste from garc here'!$C$1,1+(('table for research'!$B13-1)*36+HEX2DEC('table for research'!AK$1))*2,2)</f>
        <v>00</v>
      </c>
      <c r="AL13" t="str">
        <f>MID('paste from garc here'!$C$1,1+(('table for research'!$B13-1)*36+HEX2DEC('table for research'!AL$1))*2,2)</f>
        <v>00</v>
      </c>
      <c r="AM13" t="str">
        <f>MID('paste from garc here'!$C$1,1+(('table for research'!$B13-1)*36+HEX2DEC('table for research'!AM$1))*2,2)</f>
        <v>00</v>
      </c>
      <c r="AN13" t="str">
        <f>MID('paste from garc here'!$C$1,1+(('table for research'!$B13-1)*36+HEX2DEC('table for research'!AN$1))*2,2)</f>
        <v>00</v>
      </c>
      <c r="AO13" t="str">
        <f>MID('paste from garc here'!$C$1,1+(('table for research'!$B13-1)*36+HEX2DEC('table for research'!AO$1))*2,2)</f>
        <v>00</v>
      </c>
    </row>
    <row r="14" spans="1:41" x14ac:dyDescent="0.4">
      <c r="A14" t="s">
        <v>26</v>
      </c>
      <c r="B14">
        <f>B13+1</f>
        <v>12</v>
      </c>
      <c r="C14" t="str">
        <f>MID('paste from garc here'!$C$1,1+(('table for research'!$B14-1)*36+HEX2DEC('table for research'!C$1))*2,2)</f>
        <v>0F</v>
      </c>
      <c r="D14" t="str">
        <f>MID('paste from garc here'!$C$1,1+(('table for research'!$B14-1)*36+HEX2DEC('table for research'!D$1))*2,2)</f>
        <v>00</v>
      </c>
      <c r="E14" t="str">
        <f>MID('paste from garc here'!$C$1,1+(('table for research'!$B14-1)*36+HEX2DEC('table for research'!E$1))*2,2)</f>
        <v>00</v>
      </c>
      <c r="F14" t="str">
        <f>MID('paste from garc here'!$C$1,1+(('table for research'!$B14-1)*36+HEX2DEC('table for research'!F$1))*2,2)</f>
        <v>00</v>
      </c>
      <c r="G14" t="str">
        <f>MID('paste from garc here'!$C$1,1+(('table for research'!$B14-1)*36+HEX2DEC('table for research'!G$1))*2,2)</f>
        <v>00</v>
      </c>
      <c r="H14" t="str">
        <f>MID('paste from garc here'!$C$1,1+(('table for research'!$B14-1)*36+HEX2DEC('table for research'!H$1))*2,2)</f>
        <v>00</v>
      </c>
      <c r="I14" t="str">
        <f>MID('paste from garc here'!$C$1,1+(('table for research'!$B14-1)*36+HEX2DEC('table for research'!I$1))*2,2)</f>
        <v>00</v>
      </c>
      <c r="J14" t="str">
        <f>MID('paste from garc here'!$C$1,1+(('table for research'!$B14-1)*36+HEX2DEC('table for research'!J$1))*2,2)</f>
        <v>00</v>
      </c>
      <c r="K14" t="str">
        <f>DEC2HEX(_xlfn.BITAND(HEX2DEC(MID('paste from garc here'!$C$1,1+(('table for research'!$B14-1)*36+HEX2DEC(8))*2,2)),31),2)</f>
        <v>1F</v>
      </c>
      <c r="L14" t="str">
        <f>DEC2HEX(_xlfn.BITAND(HEX2DEC(MID('paste from garc here'!$C$1,1+(('table for research'!$B14-1)*36+HEX2DEC(8))*2,2)),32),2)</f>
        <v>00</v>
      </c>
      <c r="M14" t="str">
        <f>DEC2HEX(_xlfn.BITAND(HEX2DEC(MID('paste from garc here'!$C$1,1+(('table for research'!$B14-1)*36+HEX2DEC(8))*2,2)),64),2)</f>
        <v>00</v>
      </c>
      <c r="N14" t="str">
        <f>DEC2HEX(_xlfn.BITRSHIFT(_xlfn.BITAND(HEX2DEC(MID('paste from garc here'!$C$1,1+(('table for research'!$B14-1)*36+HEX2DEC(9))*2,2)&amp;MID('paste from garc here'!$C$1,1+(('table for research'!$B14-1)*36+HEX2DEC(8))*2,2)),1920),7),2)</f>
        <v>00</v>
      </c>
      <c r="O14" t="str">
        <f>DEC2HEX(_xlfn.BITRSHIFT(HEX2DEC(MID('paste from garc here'!$C$1,1+(('table for research'!$B14-1)*36+HEX2DEC(9))*2,2)&amp;MID('paste from garc here'!$C$1,1+(('table for research'!$B14-1)*36+HEX2DEC(8))*2,2)),11),2)</f>
        <v>01</v>
      </c>
      <c r="P14" t="str">
        <f>MID('paste from garc here'!$C$1,1+(('table for research'!$B14-1)*36+HEX2DEC('table for research'!P$1))*2,2)</f>
        <v>00</v>
      </c>
      <c r="Q14" t="str">
        <f>MID('paste from garc here'!$C$1,1+(('table for research'!$B14-1)*36+HEX2DEC('table for research'!Q$1))*2,2)</f>
        <v>01</v>
      </c>
      <c r="R14" t="str">
        <f>MID('paste from garc here'!$C$1,1+(('table for research'!$B14-1)*36+HEX2DEC('table for research'!R$1))*2,2)</f>
        <v>02</v>
      </c>
      <c r="S14" t="str">
        <f>MID('paste from garc here'!$C$1,1+(('table for research'!$B14-1)*36+HEX2DEC('table for research'!S$1))*2,2)</f>
        <v>04</v>
      </c>
      <c r="T14" t="str">
        <f>MID('paste from garc here'!$C$1,1+(('table for research'!$B14-1)*36+HEX2DEC('table for research'!T$1))*2,2)</f>
        <v>00</v>
      </c>
      <c r="U14" t="str">
        <f>MID('paste from garc here'!$C$1,1+(('table for research'!$B14-1)*36+HEX2DEC('table for research'!U$1))*2,2)</f>
        <v>04</v>
      </c>
      <c r="V14" t="str">
        <f>MID('paste from garc here'!$C$1,1+(('table for research'!$B14-1)*36+HEX2DEC('table for research'!V$1))*2,2)</f>
        <v>0B</v>
      </c>
      <c r="W14" t="str">
        <f>MID('paste from garc here'!$C$1,1+(('table for research'!$B14-1)*36+HEX2DEC('table for research'!W$1))*2,2)</f>
        <v>00</v>
      </c>
      <c r="X14" t="str">
        <f>MID('paste from garc here'!$C$1,1+(('table for research'!$B14-1)*36+HEX2DEC('table for research'!X$1))*2,2)</f>
        <v>00</v>
      </c>
      <c r="Y14" t="str">
        <f>MID('paste from garc here'!$C$1,1+(('table for research'!$B14-1)*36+HEX2DEC('table for research'!Y$1))*2,2)</f>
        <v>00</v>
      </c>
      <c r="Z14" t="str">
        <f>MID('paste from garc here'!$C$1,1+(('table for research'!$B14-1)*36+HEX2DEC('table for research'!Z$1))*2,2)</f>
        <v>00</v>
      </c>
      <c r="AA14" t="str">
        <f>MID('paste from garc here'!$C$1,1+(('table for research'!$B14-1)*36+HEX2DEC('table for research'!AA$1))*2,2)</f>
        <v>00</v>
      </c>
      <c r="AB14" t="str">
        <f>MID('paste from garc here'!$C$1,1+(('table for research'!$B14-1)*36+HEX2DEC('table for research'!AB$1))*2,2)</f>
        <v>00</v>
      </c>
      <c r="AC14" t="str">
        <f>MID('paste from garc here'!$C$1,1+(('table for research'!$B14-1)*36+HEX2DEC('table for research'!AC$1))*2,2)</f>
        <v>00</v>
      </c>
      <c r="AD14" t="str">
        <f>MID('paste from garc here'!$C$1,1+(('table for research'!$B14-1)*36+HEX2DEC('table for research'!AD$1))*2,2)</f>
        <v>00</v>
      </c>
      <c r="AE14" t="str">
        <f>MID('paste from garc here'!$C$1,1+(('table for research'!$B14-1)*36+HEX2DEC('table for research'!AE$1))*2,2)</f>
        <v>00</v>
      </c>
      <c r="AF14" t="str">
        <f>MID('paste from garc here'!$C$1,1+(('table for research'!$B14-1)*36+HEX2DEC('table for research'!AF$1))*2,2)</f>
        <v>00</v>
      </c>
      <c r="AG14" t="str">
        <f>MID('paste from garc here'!$C$1,1+(('table for research'!$B14-1)*36+HEX2DEC('table for research'!AG$1))*2,2)</f>
        <v>00</v>
      </c>
      <c r="AH14" t="str">
        <f>MID('paste from garc here'!$C$1,1+(('table for research'!$B14-1)*36+HEX2DEC('table for research'!AH$1))*2,2)</f>
        <v>00</v>
      </c>
      <c r="AI14" t="str">
        <f>MID('paste from garc here'!$C$1,1+(('table for research'!$B14-1)*36+HEX2DEC('table for research'!AI$1))*2,2)</f>
        <v>00</v>
      </c>
      <c r="AJ14" t="str">
        <f>MID('paste from garc here'!$C$1,1+(('table for research'!$B14-1)*36+HEX2DEC('table for research'!AJ$1))*2,2)</f>
        <v>00</v>
      </c>
      <c r="AK14" t="str">
        <f>MID('paste from garc here'!$C$1,1+(('table for research'!$B14-1)*36+HEX2DEC('table for research'!AK$1))*2,2)</f>
        <v>00</v>
      </c>
      <c r="AL14" t="str">
        <f>MID('paste from garc here'!$C$1,1+(('table for research'!$B14-1)*36+HEX2DEC('table for research'!AL$1))*2,2)</f>
        <v>00</v>
      </c>
      <c r="AM14" t="str">
        <f>MID('paste from garc here'!$C$1,1+(('table for research'!$B14-1)*36+HEX2DEC('table for research'!AM$1))*2,2)</f>
        <v>00</v>
      </c>
      <c r="AN14" t="str">
        <f>MID('paste from garc here'!$C$1,1+(('table for research'!$B14-1)*36+HEX2DEC('table for research'!AN$1))*2,2)</f>
        <v>00</v>
      </c>
      <c r="AO14" t="str">
        <f>MID('paste from garc here'!$C$1,1+(('table for research'!$B14-1)*36+HEX2DEC('table for research'!AO$1))*2,2)</f>
        <v>00</v>
      </c>
    </row>
    <row r="15" spans="1:41" x14ac:dyDescent="0.4">
      <c r="A15" t="s">
        <v>27</v>
      </c>
      <c r="B15">
        <f>B14+1</f>
        <v>13</v>
      </c>
      <c r="C15" t="str">
        <f>MID('paste from garc here'!$C$1,1+(('table for research'!$B15-1)*36+HEX2DEC('table for research'!C$1))*2,2)</f>
        <v>32</v>
      </c>
      <c r="D15" t="str">
        <f>MID('paste from garc here'!$C$1,1+(('table for research'!$B15-1)*36+HEX2DEC('table for research'!D$1))*2,2)</f>
        <v>00</v>
      </c>
      <c r="E15" t="str">
        <f>MID('paste from garc here'!$C$1,1+(('table for research'!$B15-1)*36+HEX2DEC('table for research'!E$1))*2,2)</f>
        <v>00</v>
      </c>
      <c r="F15" t="str">
        <f>MID('paste from garc here'!$C$1,1+(('table for research'!$B15-1)*36+HEX2DEC('table for research'!F$1))*2,2)</f>
        <v>00</v>
      </c>
      <c r="G15" t="str">
        <f>MID('paste from garc here'!$C$1,1+(('table for research'!$B15-1)*36+HEX2DEC('table for research'!G$1))*2,2)</f>
        <v>00</v>
      </c>
      <c r="H15" t="str">
        <f>MID('paste from garc here'!$C$1,1+(('table for research'!$B15-1)*36+HEX2DEC('table for research'!H$1))*2,2)</f>
        <v>00</v>
      </c>
      <c r="I15" t="str">
        <f>MID('paste from garc here'!$C$1,1+(('table for research'!$B15-1)*36+HEX2DEC('table for research'!I$1))*2,2)</f>
        <v>00</v>
      </c>
      <c r="J15" t="str">
        <f>MID('paste from garc here'!$C$1,1+(('table for research'!$B15-1)*36+HEX2DEC('table for research'!J$1))*2,2)</f>
        <v>00</v>
      </c>
      <c r="K15" t="str">
        <f>DEC2HEX(_xlfn.BITAND(HEX2DEC(MID('paste from garc here'!$C$1,1+(('table for research'!$B15-1)*36+HEX2DEC(8))*2,2)),31),2)</f>
        <v>1F</v>
      </c>
      <c r="L15" t="str">
        <f>DEC2HEX(_xlfn.BITAND(HEX2DEC(MID('paste from garc here'!$C$1,1+(('table for research'!$B15-1)*36+HEX2DEC(8))*2,2)),32),2)</f>
        <v>00</v>
      </c>
      <c r="M15" t="str">
        <f>DEC2HEX(_xlfn.BITAND(HEX2DEC(MID('paste from garc here'!$C$1,1+(('table for research'!$B15-1)*36+HEX2DEC(8))*2,2)),64),2)</f>
        <v>00</v>
      </c>
      <c r="N15" t="str">
        <f>DEC2HEX(_xlfn.BITRSHIFT(_xlfn.BITAND(HEX2DEC(MID('paste from garc here'!$C$1,1+(('table for research'!$B15-1)*36+HEX2DEC(9))*2,2)&amp;MID('paste from garc here'!$C$1,1+(('table for research'!$B15-1)*36+HEX2DEC(8))*2,2)),1920),7),2)</f>
        <v>00</v>
      </c>
      <c r="O15" t="str">
        <f>DEC2HEX(_xlfn.BITRSHIFT(HEX2DEC(MID('paste from garc here'!$C$1,1+(('table for research'!$B15-1)*36+HEX2DEC(9))*2,2)&amp;MID('paste from garc here'!$C$1,1+(('table for research'!$B15-1)*36+HEX2DEC(8))*2,2)),11),2)</f>
        <v>01</v>
      </c>
      <c r="P15" t="str">
        <f>MID('paste from garc here'!$C$1,1+(('table for research'!$B15-1)*36+HEX2DEC('table for research'!P$1))*2,2)</f>
        <v>00</v>
      </c>
      <c r="Q15" t="str">
        <f>MID('paste from garc here'!$C$1,1+(('table for research'!$B15-1)*36+HEX2DEC('table for research'!Q$1))*2,2)</f>
        <v>01</v>
      </c>
      <c r="R15" t="str">
        <f>MID('paste from garc here'!$C$1,1+(('table for research'!$B15-1)*36+HEX2DEC('table for research'!R$1))*2,2)</f>
        <v>02</v>
      </c>
      <c r="S15" t="str">
        <f>MID('paste from garc here'!$C$1,1+(('table for research'!$B15-1)*36+HEX2DEC('table for research'!S$1))*2,2)</f>
        <v>04</v>
      </c>
      <c r="T15" t="str">
        <f>MID('paste from garc here'!$C$1,1+(('table for research'!$B15-1)*36+HEX2DEC('table for research'!T$1))*2,2)</f>
        <v>00</v>
      </c>
      <c r="U15" t="str">
        <f>MID('paste from garc here'!$C$1,1+(('table for research'!$B15-1)*36+HEX2DEC('table for research'!U$1))*2,2)</f>
        <v>0A</v>
      </c>
      <c r="V15" t="str">
        <f>MID('paste from garc here'!$C$1,1+(('table for research'!$B15-1)*36+HEX2DEC('table for research'!V$1))*2,2)</f>
        <v>0C</v>
      </c>
      <c r="W15" t="str">
        <f>MID('paste from garc here'!$C$1,1+(('table for research'!$B15-1)*36+HEX2DEC('table for research'!W$1))*2,2)</f>
        <v>00</v>
      </c>
      <c r="X15" t="str">
        <f>MID('paste from garc here'!$C$1,1+(('table for research'!$B15-1)*36+HEX2DEC('table for research'!X$1))*2,2)</f>
        <v>00</v>
      </c>
      <c r="Y15" t="str">
        <f>MID('paste from garc here'!$C$1,1+(('table for research'!$B15-1)*36+HEX2DEC('table for research'!Y$1))*2,2)</f>
        <v>00</v>
      </c>
      <c r="Z15" t="str">
        <f>MID('paste from garc here'!$C$1,1+(('table for research'!$B15-1)*36+HEX2DEC('table for research'!Z$1))*2,2)</f>
        <v>00</v>
      </c>
      <c r="AA15" t="str">
        <f>MID('paste from garc here'!$C$1,1+(('table for research'!$B15-1)*36+HEX2DEC('table for research'!AA$1))*2,2)</f>
        <v>00</v>
      </c>
      <c r="AB15" t="str">
        <f>MID('paste from garc here'!$C$1,1+(('table for research'!$B15-1)*36+HEX2DEC('table for research'!AB$1))*2,2)</f>
        <v>00</v>
      </c>
      <c r="AC15" t="str">
        <f>MID('paste from garc here'!$C$1,1+(('table for research'!$B15-1)*36+HEX2DEC('table for research'!AC$1))*2,2)</f>
        <v>00</v>
      </c>
      <c r="AD15" t="str">
        <f>MID('paste from garc here'!$C$1,1+(('table for research'!$B15-1)*36+HEX2DEC('table for research'!AD$1))*2,2)</f>
        <v>00</v>
      </c>
      <c r="AE15" t="str">
        <f>MID('paste from garc here'!$C$1,1+(('table for research'!$B15-1)*36+HEX2DEC('table for research'!AE$1))*2,2)</f>
        <v>00</v>
      </c>
      <c r="AF15" t="str">
        <f>MID('paste from garc here'!$C$1,1+(('table for research'!$B15-1)*36+HEX2DEC('table for research'!AF$1))*2,2)</f>
        <v>00</v>
      </c>
      <c r="AG15" t="str">
        <f>MID('paste from garc here'!$C$1,1+(('table for research'!$B15-1)*36+HEX2DEC('table for research'!AG$1))*2,2)</f>
        <v>00</v>
      </c>
      <c r="AH15" t="str">
        <f>MID('paste from garc here'!$C$1,1+(('table for research'!$B15-1)*36+HEX2DEC('table for research'!AH$1))*2,2)</f>
        <v>00</v>
      </c>
      <c r="AI15" t="str">
        <f>MID('paste from garc here'!$C$1,1+(('table for research'!$B15-1)*36+HEX2DEC('table for research'!AI$1))*2,2)</f>
        <v>00</v>
      </c>
      <c r="AJ15" t="str">
        <f>MID('paste from garc here'!$C$1,1+(('table for research'!$B15-1)*36+HEX2DEC('table for research'!AJ$1))*2,2)</f>
        <v>00</v>
      </c>
      <c r="AK15" t="str">
        <f>MID('paste from garc here'!$C$1,1+(('table for research'!$B15-1)*36+HEX2DEC('table for research'!AK$1))*2,2)</f>
        <v>00</v>
      </c>
      <c r="AL15" t="str">
        <f>MID('paste from garc here'!$C$1,1+(('table for research'!$B15-1)*36+HEX2DEC('table for research'!AL$1))*2,2)</f>
        <v>00</v>
      </c>
      <c r="AM15" t="str">
        <f>MID('paste from garc here'!$C$1,1+(('table for research'!$B15-1)*36+HEX2DEC('table for research'!AM$1))*2,2)</f>
        <v>00</v>
      </c>
      <c r="AN15" t="str">
        <f>MID('paste from garc here'!$C$1,1+(('table for research'!$B15-1)*36+HEX2DEC('table for research'!AN$1))*2,2)</f>
        <v>00</v>
      </c>
      <c r="AO15" t="str">
        <f>MID('paste from garc here'!$C$1,1+(('table for research'!$B15-1)*36+HEX2DEC('table for research'!AO$1))*2,2)</f>
        <v>00</v>
      </c>
    </row>
    <row r="16" spans="1:41" x14ac:dyDescent="0.4">
      <c r="A16" t="s">
        <v>28</v>
      </c>
      <c r="B16">
        <f>B15+1</f>
        <v>14</v>
      </c>
      <c r="C16" t="str">
        <f>MID('paste from garc here'!$C$1,1+(('table for research'!$B16-1)*36+HEX2DEC('table for research'!C$1))*2,2)</f>
        <v>0F</v>
      </c>
      <c r="D16" t="str">
        <f>MID('paste from garc here'!$C$1,1+(('table for research'!$B16-1)*36+HEX2DEC('table for research'!D$1))*2,2)</f>
        <v>00</v>
      </c>
      <c r="E16" t="str">
        <f>MID('paste from garc here'!$C$1,1+(('table for research'!$B16-1)*36+HEX2DEC('table for research'!E$1))*2,2)</f>
        <v>00</v>
      </c>
      <c r="F16" t="str">
        <f>MID('paste from garc here'!$C$1,1+(('table for research'!$B16-1)*36+HEX2DEC('table for research'!F$1))*2,2)</f>
        <v>00</v>
      </c>
      <c r="G16" t="str">
        <f>MID('paste from garc here'!$C$1,1+(('table for research'!$B16-1)*36+HEX2DEC('table for research'!G$1))*2,2)</f>
        <v>00</v>
      </c>
      <c r="H16" t="str">
        <f>MID('paste from garc here'!$C$1,1+(('table for research'!$B16-1)*36+HEX2DEC('table for research'!H$1))*2,2)</f>
        <v>00</v>
      </c>
      <c r="I16" t="str">
        <f>MID('paste from garc here'!$C$1,1+(('table for research'!$B16-1)*36+HEX2DEC('table for research'!I$1))*2,2)</f>
        <v>00</v>
      </c>
      <c r="J16" t="str">
        <f>MID('paste from garc here'!$C$1,1+(('table for research'!$B16-1)*36+HEX2DEC('table for research'!J$1))*2,2)</f>
        <v>00</v>
      </c>
      <c r="K16" t="str">
        <f>DEC2HEX(_xlfn.BITAND(HEX2DEC(MID('paste from garc here'!$C$1,1+(('table for research'!$B16-1)*36+HEX2DEC(8))*2,2)),31),2)</f>
        <v>1F</v>
      </c>
      <c r="L16" t="str">
        <f>DEC2HEX(_xlfn.BITAND(HEX2DEC(MID('paste from garc here'!$C$1,1+(('table for research'!$B16-1)*36+HEX2DEC(8))*2,2)),32),2)</f>
        <v>00</v>
      </c>
      <c r="M16" t="str">
        <f>DEC2HEX(_xlfn.BITAND(HEX2DEC(MID('paste from garc here'!$C$1,1+(('table for research'!$B16-1)*36+HEX2DEC(8))*2,2)),64),2)</f>
        <v>00</v>
      </c>
      <c r="N16" t="str">
        <f>DEC2HEX(_xlfn.BITRSHIFT(_xlfn.BITAND(HEX2DEC(MID('paste from garc here'!$C$1,1+(('table for research'!$B16-1)*36+HEX2DEC(9))*2,2)&amp;MID('paste from garc here'!$C$1,1+(('table for research'!$B16-1)*36+HEX2DEC(8))*2,2)),1920),7),2)</f>
        <v>00</v>
      </c>
      <c r="O16" t="str">
        <f>DEC2HEX(_xlfn.BITRSHIFT(HEX2DEC(MID('paste from garc here'!$C$1,1+(('table for research'!$B16-1)*36+HEX2DEC(9))*2,2)&amp;MID('paste from garc here'!$C$1,1+(('table for research'!$B16-1)*36+HEX2DEC(8))*2,2)),11),2)</f>
        <v>01</v>
      </c>
      <c r="P16" t="str">
        <f>MID('paste from garc here'!$C$1,1+(('table for research'!$B16-1)*36+HEX2DEC('table for research'!P$1))*2,2)</f>
        <v>00</v>
      </c>
      <c r="Q16" t="str">
        <f>MID('paste from garc here'!$C$1,1+(('table for research'!$B16-1)*36+HEX2DEC('table for research'!Q$1))*2,2)</f>
        <v>01</v>
      </c>
      <c r="R16" t="str">
        <f>MID('paste from garc here'!$C$1,1+(('table for research'!$B16-1)*36+HEX2DEC('table for research'!R$1))*2,2)</f>
        <v>02</v>
      </c>
      <c r="S16" t="str">
        <f>MID('paste from garc here'!$C$1,1+(('table for research'!$B16-1)*36+HEX2DEC('table for research'!S$1))*2,2)</f>
        <v>04</v>
      </c>
      <c r="T16" t="str">
        <f>MID('paste from garc here'!$C$1,1+(('table for research'!$B16-1)*36+HEX2DEC('table for research'!T$1))*2,2)</f>
        <v>00</v>
      </c>
      <c r="U16" t="str">
        <f>MID('paste from garc here'!$C$1,1+(('table for research'!$B16-1)*36+HEX2DEC('table for research'!U$1))*2,2)</f>
        <v>06</v>
      </c>
      <c r="V16" t="str">
        <f>MID('paste from garc here'!$C$1,1+(('table for research'!$B16-1)*36+HEX2DEC('table for research'!V$1))*2,2)</f>
        <v>0D</v>
      </c>
      <c r="W16" t="str">
        <f>MID('paste from garc here'!$C$1,1+(('table for research'!$B16-1)*36+HEX2DEC('table for research'!W$1))*2,2)</f>
        <v>00</v>
      </c>
      <c r="X16" t="str">
        <f>MID('paste from garc here'!$C$1,1+(('table for research'!$B16-1)*36+HEX2DEC('table for research'!X$1))*2,2)</f>
        <v>00</v>
      </c>
      <c r="Y16" t="str">
        <f>MID('paste from garc here'!$C$1,1+(('table for research'!$B16-1)*36+HEX2DEC('table for research'!Y$1))*2,2)</f>
        <v>00</v>
      </c>
      <c r="Z16" t="str">
        <f>MID('paste from garc here'!$C$1,1+(('table for research'!$B16-1)*36+HEX2DEC('table for research'!Z$1))*2,2)</f>
        <v>00</v>
      </c>
      <c r="AA16" t="str">
        <f>MID('paste from garc here'!$C$1,1+(('table for research'!$B16-1)*36+HEX2DEC('table for research'!AA$1))*2,2)</f>
        <v>00</v>
      </c>
      <c r="AB16" t="str">
        <f>MID('paste from garc here'!$C$1,1+(('table for research'!$B16-1)*36+HEX2DEC('table for research'!AB$1))*2,2)</f>
        <v>00</v>
      </c>
      <c r="AC16" t="str">
        <f>MID('paste from garc here'!$C$1,1+(('table for research'!$B16-1)*36+HEX2DEC('table for research'!AC$1))*2,2)</f>
        <v>00</v>
      </c>
      <c r="AD16" t="str">
        <f>MID('paste from garc here'!$C$1,1+(('table for research'!$B16-1)*36+HEX2DEC('table for research'!AD$1))*2,2)</f>
        <v>00</v>
      </c>
      <c r="AE16" t="str">
        <f>MID('paste from garc here'!$C$1,1+(('table for research'!$B16-1)*36+HEX2DEC('table for research'!AE$1))*2,2)</f>
        <v>00</v>
      </c>
      <c r="AF16" t="str">
        <f>MID('paste from garc here'!$C$1,1+(('table for research'!$B16-1)*36+HEX2DEC('table for research'!AF$1))*2,2)</f>
        <v>00</v>
      </c>
      <c r="AG16" t="str">
        <f>MID('paste from garc here'!$C$1,1+(('table for research'!$B16-1)*36+HEX2DEC('table for research'!AG$1))*2,2)</f>
        <v>00</v>
      </c>
      <c r="AH16" t="str">
        <f>MID('paste from garc here'!$C$1,1+(('table for research'!$B16-1)*36+HEX2DEC('table for research'!AH$1))*2,2)</f>
        <v>00</v>
      </c>
      <c r="AI16" t="str">
        <f>MID('paste from garc here'!$C$1,1+(('table for research'!$B16-1)*36+HEX2DEC('table for research'!AI$1))*2,2)</f>
        <v>00</v>
      </c>
      <c r="AJ16" t="str">
        <f>MID('paste from garc here'!$C$1,1+(('table for research'!$B16-1)*36+HEX2DEC('table for research'!AJ$1))*2,2)</f>
        <v>00</v>
      </c>
      <c r="AK16" t="str">
        <f>MID('paste from garc here'!$C$1,1+(('table for research'!$B16-1)*36+HEX2DEC('table for research'!AK$1))*2,2)</f>
        <v>00</v>
      </c>
      <c r="AL16" t="str">
        <f>MID('paste from garc here'!$C$1,1+(('table for research'!$B16-1)*36+HEX2DEC('table for research'!AL$1))*2,2)</f>
        <v>00</v>
      </c>
      <c r="AM16" t="str">
        <f>MID('paste from garc here'!$C$1,1+(('table for research'!$B16-1)*36+HEX2DEC('table for research'!AM$1))*2,2)</f>
        <v>00</v>
      </c>
      <c r="AN16" t="str">
        <f>MID('paste from garc here'!$C$1,1+(('table for research'!$B16-1)*36+HEX2DEC('table for research'!AN$1))*2,2)</f>
        <v>00</v>
      </c>
      <c r="AO16" t="str">
        <f>MID('paste from garc here'!$C$1,1+(('table for research'!$B16-1)*36+HEX2DEC('table for research'!AO$1))*2,2)</f>
        <v>00</v>
      </c>
    </row>
    <row r="17" spans="1:41" x14ac:dyDescent="0.4">
      <c r="A17" t="s">
        <v>29</v>
      </c>
      <c r="B17">
        <f>B16+1</f>
        <v>15</v>
      </c>
      <c r="C17" t="str">
        <f>MID('paste from garc here'!$C$1,1+(('table for research'!$B17-1)*36+HEX2DEC('table for research'!C$1))*2,2)</f>
        <v>32</v>
      </c>
      <c r="D17" t="str">
        <f>MID('paste from garc here'!$C$1,1+(('table for research'!$B17-1)*36+HEX2DEC('table for research'!D$1))*2,2)</f>
        <v>00</v>
      </c>
      <c r="E17" t="str">
        <f>MID('paste from garc here'!$C$1,1+(('table for research'!$B17-1)*36+HEX2DEC('table for research'!E$1))*2,2)</f>
        <v>00</v>
      </c>
      <c r="F17" t="str">
        <f>MID('paste from garc here'!$C$1,1+(('table for research'!$B17-1)*36+HEX2DEC('table for research'!F$1))*2,2)</f>
        <v>00</v>
      </c>
      <c r="G17" t="str">
        <f>MID('paste from garc here'!$C$1,1+(('table for research'!$B17-1)*36+HEX2DEC('table for research'!G$1))*2,2)</f>
        <v>00</v>
      </c>
      <c r="H17" t="str">
        <f>MID('paste from garc here'!$C$1,1+(('table for research'!$B17-1)*36+HEX2DEC('table for research'!H$1))*2,2)</f>
        <v>00</v>
      </c>
      <c r="I17" t="str">
        <f>MID('paste from garc here'!$C$1,1+(('table for research'!$B17-1)*36+HEX2DEC('table for research'!I$1))*2,2)</f>
        <v>00</v>
      </c>
      <c r="J17" t="str">
        <f>MID('paste from garc here'!$C$1,1+(('table for research'!$B17-1)*36+HEX2DEC('table for research'!J$1))*2,2)</f>
        <v>00</v>
      </c>
      <c r="K17" t="str">
        <f>DEC2HEX(_xlfn.BITAND(HEX2DEC(MID('paste from garc here'!$C$1,1+(('table for research'!$B17-1)*36+HEX2DEC(8))*2,2)),31),2)</f>
        <v>1F</v>
      </c>
      <c r="L17" t="str">
        <f>DEC2HEX(_xlfn.BITAND(HEX2DEC(MID('paste from garc here'!$C$1,1+(('table for research'!$B17-1)*36+HEX2DEC(8))*2,2)),32),2)</f>
        <v>00</v>
      </c>
      <c r="M17" t="str">
        <f>DEC2HEX(_xlfn.BITAND(HEX2DEC(MID('paste from garc here'!$C$1,1+(('table for research'!$B17-1)*36+HEX2DEC(8))*2,2)),64),2)</f>
        <v>00</v>
      </c>
      <c r="N17" t="str">
        <f>DEC2HEX(_xlfn.BITRSHIFT(_xlfn.BITAND(HEX2DEC(MID('paste from garc here'!$C$1,1+(('table for research'!$B17-1)*36+HEX2DEC(9))*2,2)&amp;MID('paste from garc here'!$C$1,1+(('table for research'!$B17-1)*36+HEX2DEC(8))*2,2)),1920),7),2)</f>
        <v>00</v>
      </c>
      <c r="O17" t="str">
        <f>DEC2HEX(_xlfn.BITRSHIFT(HEX2DEC(MID('paste from garc here'!$C$1,1+(('table for research'!$B17-1)*36+HEX2DEC(9))*2,2)&amp;MID('paste from garc here'!$C$1,1+(('table for research'!$B17-1)*36+HEX2DEC(8))*2,2)),11),2)</f>
        <v>01</v>
      </c>
      <c r="P17" t="str">
        <f>MID('paste from garc here'!$C$1,1+(('table for research'!$B17-1)*36+HEX2DEC('table for research'!P$1))*2,2)</f>
        <v>00</v>
      </c>
      <c r="Q17" t="str">
        <f>MID('paste from garc here'!$C$1,1+(('table for research'!$B17-1)*36+HEX2DEC('table for research'!Q$1))*2,2)</f>
        <v>01</v>
      </c>
      <c r="R17" t="str">
        <f>MID('paste from garc here'!$C$1,1+(('table for research'!$B17-1)*36+HEX2DEC('table for research'!R$1))*2,2)</f>
        <v>02</v>
      </c>
      <c r="S17" t="str">
        <f>MID('paste from garc here'!$C$1,1+(('table for research'!$B17-1)*36+HEX2DEC('table for research'!S$1))*2,2)</f>
        <v>04</v>
      </c>
      <c r="T17" t="str">
        <f>MID('paste from garc here'!$C$1,1+(('table for research'!$B17-1)*36+HEX2DEC('table for research'!T$1))*2,2)</f>
        <v>00</v>
      </c>
      <c r="U17" t="str">
        <f>MID('paste from garc here'!$C$1,1+(('table for research'!$B17-1)*36+HEX2DEC('table for research'!U$1))*2,2)</f>
        <v>09</v>
      </c>
      <c r="V17" t="str">
        <f>MID('paste from garc here'!$C$1,1+(('table for research'!$B17-1)*36+HEX2DEC('table for research'!V$1))*2,2)</f>
        <v>0E</v>
      </c>
      <c r="W17" t="str">
        <f>MID('paste from garc here'!$C$1,1+(('table for research'!$B17-1)*36+HEX2DEC('table for research'!W$1))*2,2)</f>
        <v>00</v>
      </c>
      <c r="X17" t="str">
        <f>MID('paste from garc here'!$C$1,1+(('table for research'!$B17-1)*36+HEX2DEC('table for research'!X$1))*2,2)</f>
        <v>00</v>
      </c>
      <c r="Y17" t="str">
        <f>MID('paste from garc here'!$C$1,1+(('table for research'!$B17-1)*36+HEX2DEC('table for research'!Y$1))*2,2)</f>
        <v>00</v>
      </c>
      <c r="Z17" t="str">
        <f>MID('paste from garc here'!$C$1,1+(('table for research'!$B17-1)*36+HEX2DEC('table for research'!Z$1))*2,2)</f>
        <v>00</v>
      </c>
      <c r="AA17" t="str">
        <f>MID('paste from garc here'!$C$1,1+(('table for research'!$B17-1)*36+HEX2DEC('table for research'!AA$1))*2,2)</f>
        <v>00</v>
      </c>
      <c r="AB17" t="str">
        <f>MID('paste from garc here'!$C$1,1+(('table for research'!$B17-1)*36+HEX2DEC('table for research'!AB$1))*2,2)</f>
        <v>00</v>
      </c>
      <c r="AC17" t="str">
        <f>MID('paste from garc here'!$C$1,1+(('table for research'!$B17-1)*36+HEX2DEC('table for research'!AC$1))*2,2)</f>
        <v>00</v>
      </c>
      <c r="AD17" t="str">
        <f>MID('paste from garc here'!$C$1,1+(('table for research'!$B17-1)*36+HEX2DEC('table for research'!AD$1))*2,2)</f>
        <v>00</v>
      </c>
      <c r="AE17" t="str">
        <f>MID('paste from garc here'!$C$1,1+(('table for research'!$B17-1)*36+HEX2DEC('table for research'!AE$1))*2,2)</f>
        <v>00</v>
      </c>
      <c r="AF17" t="str">
        <f>MID('paste from garc here'!$C$1,1+(('table for research'!$B17-1)*36+HEX2DEC('table for research'!AF$1))*2,2)</f>
        <v>00</v>
      </c>
      <c r="AG17" t="str">
        <f>MID('paste from garc here'!$C$1,1+(('table for research'!$B17-1)*36+HEX2DEC('table for research'!AG$1))*2,2)</f>
        <v>00</v>
      </c>
      <c r="AH17" t="str">
        <f>MID('paste from garc here'!$C$1,1+(('table for research'!$B17-1)*36+HEX2DEC('table for research'!AH$1))*2,2)</f>
        <v>00</v>
      </c>
      <c r="AI17" t="str">
        <f>MID('paste from garc here'!$C$1,1+(('table for research'!$B17-1)*36+HEX2DEC('table for research'!AI$1))*2,2)</f>
        <v>00</v>
      </c>
      <c r="AJ17" t="str">
        <f>MID('paste from garc here'!$C$1,1+(('table for research'!$B17-1)*36+HEX2DEC('table for research'!AJ$1))*2,2)</f>
        <v>00</v>
      </c>
      <c r="AK17" t="str">
        <f>MID('paste from garc here'!$C$1,1+(('table for research'!$B17-1)*36+HEX2DEC('table for research'!AK$1))*2,2)</f>
        <v>00</v>
      </c>
      <c r="AL17" t="str">
        <f>MID('paste from garc here'!$C$1,1+(('table for research'!$B17-1)*36+HEX2DEC('table for research'!AL$1))*2,2)</f>
        <v>00</v>
      </c>
      <c r="AM17" t="str">
        <f>MID('paste from garc here'!$C$1,1+(('table for research'!$B17-1)*36+HEX2DEC('table for research'!AM$1))*2,2)</f>
        <v>00</v>
      </c>
      <c r="AN17" t="str">
        <f>MID('paste from garc here'!$C$1,1+(('table for research'!$B17-1)*36+HEX2DEC('table for research'!AN$1))*2,2)</f>
        <v>00</v>
      </c>
      <c r="AO17" t="str">
        <f>MID('paste from garc here'!$C$1,1+(('table for research'!$B17-1)*36+HEX2DEC('table for research'!AO$1))*2,2)</f>
        <v>00</v>
      </c>
    </row>
    <row r="18" spans="1:41" x14ac:dyDescent="0.4">
      <c r="A18" t="s">
        <v>30</v>
      </c>
      <c r="B18">
        <f>B17+1</f>
        <v>16</v>
      </c>
      <c r="C18" t="str">
        <f>MID('paste from garc here'!$C$1,1+(('table for research'!$B18-1)*36+HEX2DEC('table for research'!C$1))*2,2)</f>
        <v>00</v>
      </c>
      <c r="D18" t="str">
        <f>MID('paste from garc here'!$C$1,1+(('table for research'!$B18-1)*36+HEX2DEC('table for research'!D$1))*2,2)</f>
        <v>00</v>
      </c>
      <c r="E18" t="str">
        <f>MID('paste from garc here'!$C$1,1+(('table for research'!$B18-1)*36+HEX2DEC('table for research'!E$1))*2,2)</f>
        <v>00</v>
      </c>
      <c r="F18" t="str">
        <f>MID('paste from garc here'!$C$1,1+(('table for research'!$B18-1)*36+HEX2DEC('table for research'!F$1))*2,2)</f>
        <v>00</v>
      </c>
      <c r="G18" t="str">
        <f>MID('paste from garc here'!$C$1,1+(('table for research'!$B18-1)*36+HEX2DEC('table for research'!G$1))*2,2)</f>
        <v>00</v>
      </c>
      <c r="H18" t="str">
        <f>MID('paste from garc here'!$C$1,1+(('table for research'!$B18-1)*36+HEX2DEC('table for research'!H$1))*2,2)</f>
        <v>00</v>
      </c>
      <c r="I18" t="str">
        <f>MID('paste from garc here'!$C$1,1+(('table for research'!$B18-1)*36+HEX2DEC('table for research'!I$1))*2,2)</f>
        <v>00</v>
      </c>
      <c r="J18" t="str">
        <f>MID('paste from garc here'!$C$1,1+(('table for research'!$B18-1)*36+HEX2DEC('table for research'!J$1))*2,2)</f>
        <v>00</v>
      </c>
      <c r="K18" t="str">
        <f>DEC2HEX(_xlfn.BITAND(HEX2DEC(MID('paste from garc here'!$C$1,1+(('table for research'!$B18-1)*36+HEX2DEC(8))*2,2)),31),2)</f>
        <v>1F</v>
      </c>
      <c r="L18" t="str">
        <f>DEC2HEX(_xlfn.BITAND(HEX2DEC(MID('paste from garc here'!$C$1,1+(('table for research'!$B18-1)*36+HEX2DEC(8))*2,2)),32),2)</f>
        <v>00</v>
      </c>
      <c r="M18" t="str">
        <f>DEC2HEX(_xlfn.BITAND(HEX2DEC(MID('paste from garc here'!$C$1,1+(('table for research'!$B18-1)*36+HEX2DEC(8))*2,2)),64),2)</f>
        <v>00</v>
      </c>
      <c r="N18" t="str">
        <f>DEC2HEX(_xlfn.BITRSHIFT(_xlfn.BITAND(HEX2DEC(MID('paste from garc here'!$C$1,1+(('table for research'!$B18-1)*36+HEX2DEC(9))*2,2)&amp;MID('paste from garc here'!$C$1,1+(('table for research'!$B18-1)*36+HEX2DEC(8))*2,2)),1920),7),2)</f>
        <v>00</v>
      </c>
      <c r="O18" t="str">
        <f>DEC2HEX(_xlfn.BITRSHIFT(HEX2DEC(MID('paste from garc here'!$C$1,1+(('table for research'!$B18-1)*36+HEX2DEC(9))*2,2)&amp;MID('paste from garc here'!$C$1,1+(('table for research'!$B18-1)*36+HEX2DEC(8))*2,2)),11),2)</f>
        <v>01</v>
      </c>
      <c r="P18" t="str">
        <f>MID('paste from garc here'!$C$1,1+(('table for research'!$B18-1)*36+HEX2DEC('table for research'!P$1))*2,2)</f>
        <v>00</v>
      </c>
      <c r="Q18" t="str">
        <f>MID('paste from garc here'!$C$1,1+(('table for research'!$B18-1)*36+HEX2DEC('table for research'!Q$1))*2,2)</f>
        <v>01</v>
      </c>
      <c r="R18" t="str">
        <f>MID('paste from garc here'!$C$1,1+(('table for research'!$B18-1)*36+HEX2DEC('table for research'!R$1))*2,2)</f>
        <v>02</v>
      </c>
      <c r="S18" t="str">
        <f>MID('paste from garc here'!$C$1,1+(('table for research'!$B18-1)*36+HEX2DEC('table for research'!S$1))*2,2)</f>
        <v>04</v>
      </c>
      <c r="T18" t="str">
        <f>MID('paste from garc here'!$C$1,1+(('table for research'!$B18-1)*36+HEX2DEC('table for research'!T$1))*2,2)</f>
        <v>00</v>
      </c>
      <c r="U18" t="str">
        <f>MID('paste from garc here'!$C$1,1+(('table for research'!$B18-1)*36+HEX2DEC('table for research'!U$1))*2,2)</f>
        <v>05</v>
      </c>
      <c r="V18" t="str">
        <f>MID('paste from garc here'!$C$1,1+(('table for research'!$B18-1)*36+HEX2DEC('table for research'!V$1))*2,2)</f>
        <v>0F</v>
      </c>
      <c r="W18" t="str">
        <f>MID('paste from garc here'!$C$1,1+(('table for research'!$B18-1)*36+HEX2DEC('table for research'!W$1))*2,2)</f>
        <v>00</v>
      </c>
      <c r="X18" t="str">
        <f>MID('paste from garc here'!$C$1,1+(('table for research'!$B18-1)*36+HEX2DEC('table for research'!X$1))*2,2)</f>
        <v>00</v>
      </c>
      <c r="Y18" t="str">
        <f>MID('paste from garc here'!$C$1,1+(('table for research'!$B18-1)*36+HEX2DEC('table for research'!Y$1))*2,2)</f>
        <v>00</v>
      </c>
      <c r="Z18" t="str">
        <f>MID('paste from garc here'!$C$1,1+(('table for research'!$B18-1)*36+HEX2DEC('table for research'!Z$1))*2,2)</f>
        <v>00</v>
      </c>
      <c r="AA18" t="str">
        <f>MID('paste from garc here'!$C$1,1+(('table for research'!$B18-1)*36+HEX2DEC('table for research'!AA$1))*2,2)</f>
        <v>00</v>
      </c>
      <c r="AB18" t="str">
        <f>MID('paste from garc here'!$C$1,1+(('table for research'!$B18-1)*36+HEX2DEC('table for research'!AB$1))*2,2)</f>
        <v>00</v>
      </c>
      <c r="AC18" t="str">
        <f>MID('paste from garc here'!$C$1,1+(('table for research'!$B18-1)*36+HEX2DEC('table for research'!AC$1))*2,2)</f>
        <v>00</v>
      </c>
      <c r="AD18" t="str">
        <f>MID('paste from garc here'!$C$1,1+(('table for research'!$B18-1)*36+HEX2DEC('table for research'!AD$1))*2,2)</f>
        <v>00</v>
      </c>
      <c r="AE18" t="str">
        <f>MID('paste from garc here'!$C$1,1+(('table for research'!$B18-1)*36+HEX2DEC('table for research'!AE$1))*2,2)</f>
        <v>00</v>
      </c>
      <c r="AF18" t="str">
        <f>MID('paste from garc here'!$C$1,1+(('table for research'!$B18-1)*36+HEX2DEC('table for research'!AF$1))*2,2)</f>
        <v>00</v>
      </c>
      <c r="AG18" t="str">
        <f>MID('paste from garc here'!$C$1,1+(('table for research'!$B18-1)*36+HEX2DEC('table for research'!AG$1))*2,2)</f>
        <v>00</v>
      </c>
      <c r="AH18" t="str">
        <f>MID('paste from garc here'!$C$1,1+(('table for research'!$B18-1)*36+HEX2DEC('table for research'!AH$1))*2,2)</f>
        <v>00</v>
      </c>
      <c r="AI18" t="str">
        <f>MID('paste from garc here'!$C$1,1+(('table for research'!$B18-1)*36+HEX2DEC('table for research'!AI$1))*2,2)</f>
        <v>00</v>
      </c>
      <c r="AJ18" t="str">
        <f>MID('paste from garc here'!$C$1,1+(('table for research'!$B18-1)*36+HEX2DEC('table for research'!AJ$1))*2,2)</f>
        <v>00</v>
      </c>
      <c r="AK18" t="str">
        <f>MID('paste from garc here'!$C$1,1+(('table for research'!$B18-1)*36+HEX2DEC('table for research'!AK$1))*2,2)</f>
        <v>00</v>
      </c>
      <c r="AL18" t="str">
        <f>MID('paste from garc here'!$C$1,1+(('table for research'!$B18-1)*36+HEX2DEC('table for research'!AL$1))*2,2)</f>
        <v>00</v>
      </c>
      <c r="AM18" t="str">
        <f>MID('paste from garc here'!$C$1,1+(('table for research'!$B18-1)*36+HEX2DEC('table for research'!AM$1))*2,2)</f>
        <v>00</v>
      </c>
      <c r="AN18" t="str">
        <f>MID('paste from garc here'!$C$1,1+(('table for research'!$B18-1)*36+HEX2DEC('table for research'!AN$1))*2,2)</f>
        <v>00</v>
      </c>
      <c r="AO18" t="str">
        <f>MID('paste from garc here'!$C$1,1+(('table for research'!$B18-1)*36+HEX2DEC('table for research'!AO$1))*2,2)</f>
        <v>00</v>
      </c>
    </row>
    <row r="19" spans="1:41" x14ac:dyDescent="0.4">
      <c r="A19" t="s">
        <v>31</v>
      </c>
      <c r="B19">
        <f>B18+1</f>
        <v>17</v>
      </c>
      <c r="C19" t="str">
        <f>MID('paste from garc here'!$C$1,1+(('table for research'!$B19-1)*36+HEX2DEC('table for research'!C$1))*2,2)</f>
        <v>14</v>
      </c>
      <c r="D19" t="str">
        <f>MID('paste from garc here'!$C$1,1+(('table for research'!$B19-1)*36+HEX2DEC('table for research'!D$1))*2,2)</f>
        <v>00</v>
      </c>
      <c r="E19" t="str">
        <f>MID('paste from garc here'!$C$1,1+(('table for research'!$B19-1)*36+HEX2DEC('table for research'!E$1))*2,2)</f>
        <v>00</v>
      </c>
      <c r="F19" t="str">
        <f>MID('paste from garc here'!$C$1,1+(('table for research'!$B19-1)*36+HEX2DEC('table for research'!F$1))*2,2)</f>
        <v>14</v>
      </c>
      <c r="G19" t="str">
        <f>MID('paste from garc here'!$C$1,1+(('table for research'!$B19-1)*36+HEX2DEC('table for research'!G$1))*2,2)</f>
        <v>00</v>
      </c>
      <c r="H19" t="str">
        <f>MID('paste from garc here'!$C$1,1+(('table for research'!$B19-1)*36+HEX2DEC('table for research'!H$1))*2,2)</f>
        <v>00</v>
      </c>
      <c r="I19" t="str">
        <f>MID('paste from garc here'!$C$1,1+(('table for research'!$B19-1)*36+HEX2DEC('table for research'!I$1))*2,2)</f>
        <v>1E</v>
      </c>
      <c r="J19" t="str">
        <f>MID('paste from garc here'!$C$1,1+(('table for research'!$B19-1)*36+HEX2DEC('table for research'!J$1))*2,2)</f>
        <v>00</v>
      </c>
      <c r="K19" t="str">
        <f>DEC2HEX(_xlfn.BITAND(HEX2DEC(MID('paste from garc here'!$C$1,1+(('table for research'!$B19-1)*36+HEX2DEC(8))*2,2)),31),2)</f>
        <v>1F</v>
      </c>
      <c r="L19" t="str">
        <f>DEC2HEX(_xlfn.BITAND(HEX2DEC(MID('paste from garc here'!$C$1,1+(('table for research'!$B19-1)*36+HEX2DEC(8))*2,2)),32),2)</f>
        <v>00</v>
      </c>
      <c r="M19" t="str">
        <f>DEC2HEX(_xlfn.BITAND(HEX2DEC(MID('paste from garc here'!$C$1,1+(('table for research'!$B19-1)*36+HEX2DEC(8))*2,2)),64),2)</f>
        <v>00</v>
      </c>
      <c r="N19" t="str">
        <f>DEC2HEX(_xlfn.BITRSHIFT(_xlfn.BITAND(HEX2DEC(MID('paste from garc here'!$C$1,1+(('table for research'!$B19-1)*36+HEX2DEC(9))*2,2)&amp;MID('paste from garc here'!$C$1,1+(('table for research'!$B19-1)*36+HEX2DEC(8))*2,2)),1920),7),2)</f>
        <v>01</v>
      </c>
      <c r="O19" t="str">
        <f>DEC2HEX(_xlfn.BITRSHIFT(HEX2DEC(MID('paste from garc here'!$C$1,1+(('table for research'!$B19-1)*36+HEX2DEC(9))*2,2)&amp;MID('paste from garc here'!$C$1,1+(('table for research'!$B19-1)*36+HEX2DEC(8))*2,2)),11),2)</f>
        <v>04</v>
      </c>
      <c r="P19" t="str">
        <f>MID('paste from garc here'!$C$1,1+(('table for research'!$B19-1)*36+HEX2DEC('table for research'!P$1))*2,2)</f>
        <v>01</v>
      </c>
      <c r="Q19" t="str">
        <f>MID('paste from garc here'!$C$1,1+(('table for research'!$B19-1)*36+HEX2DEC('table for research'!Q$1))*2,2)</f>
        <v>02</v>
      </c>
      <c r="R19" t="str">
        <f>MID('paste from garc here'!$C$1,1+(('table for research'!$B19-1)*36+HEX2DEC('table for research'!R$1))*2,2)</f>
        <v>01</v>
      </c>
      <c r="S19" t="str">
        <f>MID('paste from garc here'!$C$1,1+(('table for research'!$B19-1)*36+HEX2DEC('table for research'!S$1))*2,2)</f>
        <v>00</v>
      </c>
      <c r="T19" t="str">
        <f>MID('paste from garc here'!$C$1,1+(('table for research'!$B19-1)*36+HEX2DEC('table for research'!T$1))*2,2)</f>
        <v>00</v>
      </c>
      <c r="U19" t="str">
        <f>MID('paste from garc here'!$C$1,1+(('table for research'!$B19-1)*36+HEX2DEC('table for research'!U$1))*2,2)</f>
        <v>02</v>
      </c>
      <c r="V19" t="str">
        <f>MID('paste from garc here'!$C$1,1+(('table for research'!$B19-1)*36+HEX2DEC('table for research'!V$1))*2,2)</f>
        <v>00</v>
      </c>
      <c r="W19" t="str">
        <f>MID('paste from garc here'!$C$1,1+(('table for research'!$B19-1)*36+HEX2DEC('table for research'!W$1))*2,2)</f>
        <v>00</v>
      </c>
      <c r="X19" t="str">
        <f>MID('paste from garc here'!$C$1,1+(('table for research'!$B19-1)*36+HEX2DEC('table for research'!X$1))*2,2)</f>
        <v>00</v>
      </c>
      <c r="Y19" t="str">
        <f>MID('paste from garc here'!$C$1,1+(('table for research'!$B19-1)*36+HEX2DEC('table for research'!Y$1))*2,2)</f>
        <v>00</v>
      </c>
      <c r="Z19" t="str">
        <f>MID('paste from garc here'!$C$1,1+(('table for research'!$B19-1)*36+HEX2DEC('table for research'!Z$1))*2,2)</f>
        <v>00</v>
      </c>
      <c r="AA19" t="str">
        <f>MID('paste from garc here'!$C$1,1+(('table for research'!$B19-1)*36+HEX2DEC('table for research'!AA$1))*2,2)</f>
        <v>04</v>
      </c>
      <c r="AB19" t="str">
        <f>MID('paste from garc here'!$C$1,1+(('table for research'!$B19-1)*36+HEX2DEC('table for research'!AB$1))*2,2)</f>
        <v>00</v>
      </c>
      <c r="AC19" t="str">
        <f>MID('paste from garc here'!$C$1,1+(('table for research'!$B19-1)*36+HEX2DEC('table for research'!AC$1))*2,2)</f>
        <v>00</v>
      </c>
      <c r="AD19" t="str">
        <f>MID('paste from garc here'!$C$1,1+(('table for research'!$B19-1)*36+HEX2DEC('table for research'!AD$1))*2,2)</f>
        <v>00</v>
      </c>
      <c r="AE19" t="str">
        <f>MID('paste from garc here'!$C$1,1+(('table for research'!$B19-1)*36+HEX2DEC('table for research'!AE$1))*2,2)</f>
        <v>00</v>
      </c>
      <c r="AF19" t="str">
        <f>MID('paste from garc here'!$C$1,1+(('table for research'!$B19-1)*36+HEX2DEC('table for research'!AF$1))*2,2)</f>
        <v>00</v>
      </c>
      <c r="AG19" t="str">
        <f>MID('paste from garc here'!$C$1,1+(('table for research'!$B19-1)*36+HEX2DEC('table for research'!AG$1))*2,2)</f>
        <v>00</v>
      </c>
      <c r="AH19" t="str">
        <f>MID('paste from garc here'!$C$1,1+(('table for research'!$B19-1)*36+HEX2DEC('table for research'!AH$1))*2,2)</f>
        <v>00</v>
      </c>
      <c r="AI19" t="str">
        <f>MID('paste from garc here'!$C$1,1+(('table for research'!$B19-1)*36+HEX2DEC('table for research'!AI$1))*2,2)</f>
        <v>14</v>
      </c>
      <c r="AJ19" t="str">
        <f>MID('paste from garc here'!$C$1,1+(('table for research'!$B19-1)*36+HEX2DEC('table for research'!AJ$1))*2,2)</f>
        <v>00</v>
      </c>
      <c r="AK19" t="str">
        <f>MID('paste from garc here'!$C$1,1+(('table for research'!$B19-1)*36+HEX2DEC('table for research'!AK$1))*2,2)</f>
        <v>00</v>
      </c>
      <c r="AL19" t="str">
        <f>MID('paste from garc here'!$C$1,1+(('table for research'!$B19-1)*36+HEX2DEC('table for research'!AL$1))*2,2)</f>
        <v>00</v>
      </c>
      <c r="AM19" t="str">
        <f>MID('paste from garc here'!$C$1,1+(('table for research'!$B19-1)*36+HEX2DEC('table for research'!AM$1))*2,2)</f>
        <v>00</v>
      </c>
      <c r="AN19" t="str">
        <f>MID('paste from garc here'!$C$1,1+(('table for research'!$B19-1)*36+HEX2DEC('table for research'!AN$1))*2,2)</f>
        <v>00</v>
      </c>
      <c r="AO19" t="str">
        <f>MID('paste from garc here'!$C$1,1+(('table for research'!$B19-1)*36+HEX2DEC('table for research'!AO$1))*2,2)</f>
        <v>00</v>
      </c>
    </row>
    <row r="20" spans="1:41" x14ac:dyDescent="0.4">
      <c r="A20" t="s">
        <v>32</v>
      </c>
      <c r="B20">
        <f>B19+1</f>
        <v>18</v>
      </c>
      <c r="C20" t="str">
        <f>MID('paste from garc here'!$C$1,1+(('table for research'!$B20-1)*36+HEX2DEC('table for research'!C$1))*2,2)</f>
        <v>14</v>
      </c>
      <c r="D20" t="str">
        <f>MID('paste from garc here'!$C$1,1+(('table for research'!$B20-1)*36+HEX2DEC('table for research'!D$1))*2,2)</f>
        <v>00</v>
      </c>
      <c r="E20" t="str">
        <f>MID('paste from garc here'!$C$1,1+(('table for research'!$B20-1)*36+HEX2DEC('table for research'!E$1))*2,2)</f>
        <v>00</v>
      </c>
      <c r="F20" t="str">
        <f>MID('paste from garc here'!$C$1,1+(('table for research'!$B20-1)*36+HEX2DEC('table for research'!F$1))*2,2)</f>
        <v>00</v>
      </c>
      <c r="G20" t="str">
        <f>MID('paste from garc here'!$C$1,1+(('table for research'!$B20-1)*36+HEX2DEC('table for research'!G$1))*2,2)</f>
        <v>00</v>
      </c>
      <c r="H20" t="str">
        <f>MID('paste from garc here'!$C$1,1+(('table for research'!$B20-1)*36+HEX2DEC('table for research'!H$1))*2,2)</f>
        <v>00</v>
      </c>
      <c r="I20" t="str">
        <f>MID('paste from garc here'!$C$1,1+(('table for research'!$B20-1)*36+HEX2DEC('table for research'!I$1))*2,2)</f>
        <v>1E</v>
      </c>
      <c r="J20" t="str">
        <f>MID('paste from garc here'!$C$1,1+(('table for research'!$B20-1)*36+HEX2DEC('table for research'!J$1))*2,2)</f>
        <v>00</v>
      </c>
      <c r="K20" t="str">
        <f>DEC2HEX(_xlfn.BITAND(HEX2DEC(MID('paste from garc here'!$C$1,1+(('table for research'!$B20-1)*36+HEX2DEC(8))*2,2)),31),2)</f>
        <v>1F</v>
      </c>
      <c r="L20" t="str">
        <f>DEC2HEX(_xlfn.BITAND(HEX2DEC(MID('paste from garc here'!$C$1,1+(('table for research'!$B20-1)*36+HEX2DEC(8))*2,2)),32),2)</f>
        <v>00</v>
      </c>
      <c r="M20" t="str">
        <f>DEC2HEX(_xlfn.BITAND(HEX2DEC(MID('paste from garc here'!$C$1,1+(('table for research'!$B20-1)*36+HEX2DEC(8))*2,2)),64),2)</f>
        <v>00</v>
      </c>
      <c r="N20" t="str">
        <f>DEC2HEX(_xlfn.BITRSHIFT(_xlfn.BITAND(HEX2DEC(MID('paste from garc here'!$C$1,1+(('table for research'!$B20-1)*36+HEX2DEC(9))*2,2)&amp;MID('paste from garc here'!$C$1,1+(('table for research'!$B20-1)*36+HEX2DEC(8))*2,2)),1920),7),2)</f>
        <v>01</v>
      </c>
      <c r="O20" t="str">
        <f>DEC2HEX(_xlfn.BITRSHIFT(HEX2DEC(MID('paste from garc here'!$C$1,1+(('table for research'!$B20-1)*36+HEX2DEC(9))*2,2)&amp;MID('paste from garc here'!$C$1,1+(('table for research'!$B20-1)*36+HEX2DEC(8))*2,2)),11),2)</f>
        <v>08</v>
      </c>
      <c r="P20" t="str">
        <f>MID('paste from garc here'!$C$1,1+(('table for research'!$B20-1)*36+HEX2DEC('table for research'!P$1))*2,2)</f>
        <v>01</v>
      </c>
      <c r="Q20" t="str">
        <f>MID('paste from garc here'!$C$1,1+(('table for research'!$B20-1)*36+HEX2DEC('table for research'!Q$1))*2,2)</f>
        <v>02</v>
      </c>
      <c r="R20" t="str">
        <f>MID('paste from garc here'!$C$1,1+(('table for research'!$B20-1)*36+HEX2DEC('table for research'!R$1))*2,2)</f>
        <v>01</v>
      </c>
      <c r="S20" t="str">
        <f>MID('paste from garc here'!$C$1,1+(('table for research'!$B20-1)*36+HEX2DEC('table for research'!S$1))*2,2)</f>
        <v>00</v>
      </c>
      <c r="T20" t="str">
        <f>MID('paste from garc here'!$C$1,1+(('table for research'!$B20-1)*36+HEX2DEC('table for research'!T$1))*2,2)</f>
        <v>00</v>
      </c>
      <c r="U20" t="str">
        <f>MID('paste from garc here'!$C$1,1+(('table for research'!$B20-1)*36+HEX2DEC('table for research'!U$1))*2,2)</f>
        <v>11</v>
      </c>
      <c r="V20" t="str">
        <f>MID('paste from garc here'!$C$1,1+(('table for research'!$B20-1)*36+HEX2DEC('table for research'!V$1))*2,2)</f>
        <v>02</v>
      </c>
      <c r="W20" t="str">
        <f>MID('paste from garc here'!$C$1,1+(('table for research'!$B20-1)*36+HEX2DEC('table for research'!W$1))*2,2)</f>
        <v>00</v>
      </c>
      <c r="X20" t="str">
        <f>MID('paste from garc here'!$C$1,1+(('table for research'!$B20-1)*36+HEX2DEC('table for research'!X$1))*2,2)</f>
        <v>00</v>
      </c>
      <c r="Y20" t="str">
        <f>MID('paste from garc here'!$C$1,1+(('table for research'!$B20-1)*36+HEX2DEC('table for research'!Y$1))*2,2)</f>
        <v>00</v>
      </c>
      <c r="Z20" t="str">
        <f>MID('paste from garc here'!$C$1,1+(('table for research'!$B20-1)*36+HEX2DEC('table for research'!Z$1))*2,2)</f>
        <v>00</v>
      </c>
      <c r="AA20" t="str">
        <f>MID('paste from garc here'!$C$1,1+(('table for research'!$B20-1)*36+HEX2DEC('table for research'!AA$1))*2,2)</f>
        <v>00</v>
      </c>
      <c r="AB20" t="str">
        <f>MID('paste from garc here'!$C$1,1+(('table for research'!$B20-1)*36+HEX2DEC('table for research'!AB$1))*2,2)</f>
        <v>00</v>
      </c>
      <c r="AC20" t="str">
        <f>MID('paste from garc here'!$C$1,1+(('table for research'!$B20-1)*36+HEX2DEC('table for research'!AC$1))*2,2)</f>
        <v>00</v>
      </c>
      <c r="AD20" t="str">
        <f>MID('paste from garc here'!$C$1,1+(('table for research'!$B20-1)*36+HEX2DEC('table for research'!AD$1))*2,2)</f>
        <v>00</v>
      </c>
      <c r="AE20" t="str">
        <f>MID('paste from garc here'!$C$1,1+(('table for research'!$B20-1)*36+HEX2DEC('table for research'!AE$1))*2,2)</f>
        <v>00</v>
      </c>
      <c r="AF20" t="str">
        <f>MID('paste from garc here'!$C$1,1+(('table for research'!$B20-1)*36+HEX2DEC('table for research'!AF$1))*2,2)</f>
        <v>00</v>
      </c>
      <c r="AG20" t="str">
        <f>MID('paste from garc here'!$C$1,1+(('table for research'!$B20-1)*36+HEX2DEC('table for research'!AG$1))*2,2)</f>
        <v>00</v>
      </c>
      <c r="AH20" t="str">
        <f>MID('paste from garc here'!$C$1,1+(('table for research'!$B20-1)*36+HEX2DEC('table for research'!AH$1))*2,2)</f>
        <v>00</v>
      </c>
      <c r="AI20" t="str">
        <f>MID('paste from garc here'!$C$1,1+(('table for research'!$B20-1)*36+HEX2DEC('table for research'!AI$1))*2,2)</f>
        <v>00</v>
      </c>
      <c r="AJ20" t="str">
        <f>MID('paste from garc here'!$C$1,1+(('table for research'!$B20-1)*36+HEX2DEC('table for research'!AJ$1))*2,2)</f>
        <v>00</v>
      </c>
      <c r="AK20" t="str">
        <f>MID('paste from garc here'!$C$1,1+(('table for research'!$B20-1)*36+HEX2DEC('table for research'!AK$1))*2,2)</f>
        <v>00</v>
      </c>
      <c r="AL20" t="str">
        <f>MID('paste from garc here'!$C$1,1+(('table for research'!$B20-1)*36+HEX2DEC('table for research'!AL$1))*2,2)</f>
        <v>00</v>
      </c>
      <c r="AM20" t="str">
        <f>MID('paste from garc here'!$C$1,1+(('table for research'!$B20-1)*36+HEX2DEC('table for research'!AM$1))*2,2)</f>
        <v>00</v>
      </c>
      <c r="AN20" t="str">
        <f>MID('paste from garc here'!$C$1,1+(('table for research'!$B20-1)*36+HEX2DEC('table for research'!AN$1))*2,2)</f>
        <v>00</v>
      </c>
      <c r="AO20" t="str">
        <f>MID('paste from garc here'!$C$1,1+(('table for research'!$B20-1)*36+HEX2DEC('table for research'!AO$1))*2,2)</f>
        <v>00</v>
      </c>
    </row>
    <row r="21" spans="1:41" x14ac:dyDescent="0.4">
      <c r="A21" t="s">
        <v>33</v>
      </c>
      <c r="B21">
        <f>B20+1</f>
        <v>19</v>
      </c>
      <c r="C21" t="str">
        <f>MID('paste from garc here'!$C$1,1+(('table for research'!$B21-1)*36+HEX2DEC('table for research'!C$1))*2,2)</f>
        <v>1E</v>
      </c>
      <c r="D21" t="str">
        <f>MID('paste from garc here'!$C$1,1+(('table for research'!$B21-1)*36+HEX2DEC('table for research'!D$1))*2,2)</f>
        <v>00</v>
      </c>
      <c r="E21" t="str">
        <f>MID('paste from garc here'!$C$1,1+(('table for research'!$B21-1)*36+HEX2DEC('table for research'!E$1))*2,2)</f>
        <v>00</v>
      </c>
      <c r="F21" t="str">
        <f>MID('paste from garc here'!$C$1,1+(('table for research'!$B21-1)*36+HEX2DEC('table for research'!F$1))*2,2)</f>
        <v>00</v>
      </c>
      <c r="G21" t="str">
        <f>MID('paste from garc here'!$C$1,1+(('table for research'!$B21-1)*36+HEX2DEC('table for research'!G$1))*2,2)</f>
        <v>00</v>
      </c>
      <c r="H21" t="str">
        <f>MID('paste from garc here'!$C$1,1+(('table for research'!$B21-1)*36+HEX2DEC('table for research'!H$1))*2,2)</f>
        <v>00</v>
      </c>
      <c r="I21" t="str">
        <f>MID('paste from garc here'!$C$1,1+(('table for research'!$B21-1)*36+HEX2DEC('table for research'!I$1))*2,2)</f>
        <v>1E</v>
      </c>
      <c r="J21" t="str">
        <f>MID('paste from garc here'!$C$1,1+(('table for research'!$B21-1)*36+HEX2DEC('table for research'!J$1))*2,2)</f>
        <v>00</v>
      </c>
      <c r="K21" t="str">
        <f>DEC2HEX(_xlfn.BITAND(HEX2DEC(MID('paste from garc here'!$C$1,1+(('table for research'!$B21-1)*36+HEX2DEC(8))*2,2)),31),2)</f>
        <v>1F</v>
      </c>
      <c r="L21" t="str">
        <f>DEC2HEX(_xlfn.BITAND(HEX2DEC(MID('paste from garc here'!$C$1,1+(('table for research'!$B21-1)*36+HEX2DEC(8))*2,2)),32),2)</f>
        <v>00</v>
      </c>
      <c r="M21" t="str">
        <f>DEC2HEX(_xlfn.BITAND(HEX2DEC(MID('paste from garc here'!$C$1,1+(('table for research'!$B21-1)*36+HEX2DEC(8))*2,2)),64),2)</f>
        <v>00</v>
      </c>
      <c r="N21" t="str">
        <f>DEC2HEX(_xlfn.BITRSHIFT(_xlfn.BITAND(HEX2DEC(MID('paste from garc here'!$C$1,1+(('table for research'!$B21-1)*36+HEX2DEC(9))*2,2)&amp;MID('paste from garc here'!$C$1,1+(('table for research'!$B21-1)*36+HEX2DEC(8))*2,2)),1920),7),2)</f>
        <v>01</v>
      </c>
      <c r="O21" t="str">
        <f>DEC2HEX(_xlfn.BITRSHIFT(HEX2DEC(MID('paste from garc here'!$C$1,1+(('table for research'!$B21-1)*36+HEX2DEC(9))*2,2)&amp;MID('paste from garc here'!$C$1,1+(('table for research'!$B21-1)*36+HEX2DEC(8))*2,2)),11),2)</f>
        <v>08</v>
      </c>
      <c r="P21" t="str">
        <f>MID('paste from garc here'!$C$1,1+(('table for research'!$B21-1)*36+HEX2DEC('table for research'!P$1))*2,2)</f>
        <v>01</v>
      </c>
      <c r="Q21" t="str">
        <f>MID('paste from garc here'!$C$1,1+(('table for research'!$B21-1)*36+HEX2DEC('table for research'!Q$1))*2,2)</f>
        <v>02</v>
      </c>
      <c r="R21" t="str">
        <f>MID('paste from garc here'!$C$1,1+(('table for research'!$B21-1)*36+HEX2DEC('table for research'!R$1))*2,2)</f>
        <v>01</v>
      </c>
      <c r="S21" t="str">
        <f>MID('paste from garc here'!$C$1,1+(('table for research'!$B21-1)*36+HEX2DEC('table for research'!S$1))*2,2)</f>
        <v>00</v>
      </c>
      <c r="T21" t="str">
        <f>MID('paste from garc here'!$C$1,1+(('table for research'!$B21-1)*36+HEX2DEC('table for research'!T$1))*2,2)</f>
        <v>00</v>
      </c>
      <c r="U21" t="str">
        <f>MID('paste from garc here'!$C$1,1+(('table for research'!$B21-1)*36+HEX2DEC('table for research'!U$1))*2,2)</f>
        <v>13</v>
      </c>
      <c r="V21" t="str">
        <f>MID('paste from garc here'!$C$1,1+(('table for research'!$B21-1)*36+HEX2DEC('table for research'!V$1))*2,2)</f>
        <v>04</v>
      </c>
      <c r="W21" t="str">
        <f>MID('paste from garc here'!$C$1,1+(('table for research'!$B21-1)*36+HEX2DEC('table for research'!W$1))*2,2)</f>
        <v>00</v>
      </c>
      <c r="X21" t="str">
        <f>MID('paste from garc here'!$C$1,1+(('table for research'!$B21-1)*36+HEX2DEC('table for research'!X$1))*2,2)</f>
        <v>00</v>
      </c>
      <c r="Y21" t="str">
        <f>MID('paste from garc here'!$C$1,1+(('table for research'!$B21-1)*36+HEX2DEC('table for research'!Y$1))*2,2)</f>
        <v>00</v>
      </c>
      <c r="Z21" t="str">
        <f>MID('paste from garc here'!$C$1,1+(('table for research'!$B21-1)*36+HEX2DEC('table for research'!Z$1))*2,2)</f>
        <v>00</v>
      </c>
      <c r="AA21" t="str">
        <f>MID('paste from garc here'!$C$1,1+(('table for research'!$B21-1)*36+HEX2DEC('table for research'!AA$1))*2,2)</f>
        <v>00</v>
      </c>
      <c r="AB21" t="str">
        <f>MID('paste from garc here'!$C$1,1+(('table for research'!$B21-1)*36+HEX2DEC('table for research'!AB$1))*2,2)</f>
        <v>00</v>
      </c>
      <c r="AC21" t="str">
        <f>MID('paste from garc here'!$C$1,1+(('table for research'!$B21-1)*36+HEX2DEC('table for research'!AC$1))*2,2)</f>
        <v>00</v>
      </c>
      <c r="AD21" t="str">
        <f>MID('paste from garc here'!$C$1,1+(('table for research'!$B21-1)*36+HEX2DEC('table for research'!AD$1))*2,2)</f>
        <v>00</v>
      </c>
      <c r="AE21" t="str">
        <f>MID('paste from garc here'!$C$1,1+(('table for research'!$B21-1)*36+HEX2DEC('table for research'!AE$1))*2,2)</f>
        <v>00</v>
      </c>
      <c r="AF21" t="str">
        <f>MID('paste from garc here'!$C$1,1+(('table for research'!$B21-1)*36+HEX2DEC('table for research'!AF$1))*2,2)</f>
        <v>00</v>
      </c>
      <c r="AG21" t="str">
        <f>MID('paste from garc here'!$C$1,1+(('table for research'!$B21-1)*36+HEX2DEC('table for research'!AG$1))*2,2)</f>
        <v>00</v>
      </c>
      <c r="AH21" t="str">
        <f>MID('paste from garc here'!$C$1,1+(('table for research'!$B21-1)*36+HEX2DEC('table for research'!AH$1))*2,2)</f>
        <v>00</v>
      </c>
      <c r="AI21" t="str">
        <f>MID('paste from garc here'!$C$1,1+(('table for research'!$B21-1)*36+HEX2DEC('table for research'!AI$1))*2,2)</f>
        <v>00</v>
      </c>
      <c r="AJ21" t="str">
        <f>MID('paste from garc here'!$C$1,1+(('table for research'!$B21-1)*36+HEX2DEC('table for research'!AJ$1))*2,2)</f>
        <v>00</v>
      </c>
      <c r="AK21" t="str">
        <f>MID('paste from garc here'!$C$1,1+(('table for research'!$B21-1)*36+HEX2DEC('table for research'!AK$1))*2,2)</f>
        <v>00</v>
      </c>
      <c r="AL21" t="str">
        <f>MID('paste from garc here'!$C$1,1+(('table for research'!$B21-1)*36+HEX2DEC('table for research'!AL$1))*2,2)</f>
        <v>00</v>
      </c>
      <c r="AM21" t="str">
        <f>MID('paste from garc here'!$C$1,1+(('table for research'!$B21-1)*36+HEX2DEC('table for research'!AM$1))*2,2)</f>
        <v>00</v>
      </c>
      <c r="AN21" t="str">
        <f>MID('paste from garc here'!$C$1,1+(('table for research'!$B21-1)*36+HEX2DEC('table for research'!AN$1))*2,2)</f>
        <v>00</v>
      </c>
      <c r="AO21" t="str">
        <f>MID('paste from garc here'!$C$1,1+(('table for research'!$B21-1)*36+HEX2DEC('table for research'!AO$1))*2,2)</f>
        <v>00</v>
      </c>
    </row>
    <row r="22" spans="1:41" x14ac:dyDescent="0.4">
      <c r="A22" t="s">
        <v>34</v>
      </c>
      <c r="B22">
        <f>B21+1</f>
        <v>20</v>
      </c>
      <c r="C22" t="str">
        <f>MID('paste from garc here'!$C$1,1+(('table for research'!$B22-1)*36+HEX2DEC('table for research'!C$1))*2,2)</f>
        <v>0A</v>
      </c>
      <c r="D22" t="str">
        <f>MID('paste from garc here'!$C$1,1+(('table for research'!$B22-1)*36+HEX2DEC('table for research'!D$1))*2,2)</f>
        <v>00</v>
      </c>
      <c r="E22" t="str">
        <f>MID('paste from garc here'!$C$1,1+(('table for research'!$B22-1)*36+HEX2DEC('table for research'!E$1))*2,2)</f>
        <v>00</v>
      </c>
      <c r="F22" t="str">
        <f>MID('paste from garc here'!$C$1,1+(('table for research'!$B22-1)*36+HEX2DEC('table for research'!F$1))*2,2)</f>
        <v>00</v>
      </c>
      <c r="G22" t="str">
        <f>MID('paste from garc here'!$C$1,1+(('table for research'!$B22-1)*36+HEX2DEC('table for research'!G$1))*2,2)</f>
        <v>00</v>
      </c>
      <c r="H22" t="str">
        <f>MID('paste from garc here'!$C$1,1+(('table for research'!$B22-1)*36+HEX2DEC('table for research'!H$1))*2,2)</f>
        <v>00</v>
      </c>
      <c r="I22" t="str">
        <f>MID('paste from garc here'!$C$1,1+(('table for research'!$B22-1)*36+HEX2DEC('table for research'!I$1))*2,2)</f>
        <v>1E</v>
      </c>
      <c r="J22" t="str">
        <f>MID('paste from garc here'!$C$1,1+(('table for research'!$B22-1)*36+HEX2DEC('table for research'!J$1))*2,2)</f>
        <v>00</v>
      </c>
      <c r="K22" t="str">
        <f>DEC2HEX(_xlfn.BITAND(HEX2DEC(MID('paste from garc here'!$C$1,1+(('table for research'!$B22-1)*36+HEX2DEC(8))*2,2)),31),2)</f>
        <v>1F</v>
      </c>
      <c r="L22" t="str">
        <f>DEC2HEX(_xlfn.BITAND(HEX2DEC(MID('paste from garc here'!$C$1,1+(('table for research'!$B22-1)*36+HEX2DEC(8))*2,2)),32),2)</f>
        <v>00</v>
      </c>
      <c r="M22" t="str">
        <f>DEC2HEX(_xlfn.BITAND(HEX2DEC(MID('paste from garc here'!$C$1,1+(('table for research'!$B22-1)*36+HEX2DEC(8))*2,2)),64),2)</f>
        <v>00</v>
      </c>
      <c r="N22" t="str">
        <f>DEC2HEX(_xlfn.BITRSHIFT(_xlfn.BITAND(HEX2DEC(MID('paste from garc here'!$C$1,1+(('table for research'!$B22-1)*36+HEX2DEC(9))*2,2)&amp;MID('paste from garc here'!$C$1,1+(('table for research'!$B22-1)*36+HEX2DEC(8))*2,2)),1920),7),2)</f>
        <v>01</v>
      </c>
      <c r="O22" t="str">
        <f>DEC2HEX(_xlfn.BITRSHIFT(HEX2DEC(MID('paste from garc here'!$C$1,1+(('table for research'!$B22-1)*36+HEX2DEC(9))*2,2)&amp;MID('paste from garc here'!$C$1,1+(('table for research'!$B22-1)*36+HEX2DEC(8))*2,2)),11),2)</f>
        <v>08</v>
      </c>
      <c r="P22" t="str">
        <f>MID('paste from garc here'!$C$1,1+(('table for research'!$B22-1)*36+HEX2DEC('table for research'!P$1))*2,2)</f>
        <v>01</v>
      </c>
      <c r="Q22" t="str">
        <f>MID('paste from garc here'!$C$1,1+(('table for research'!$B22-1)*36+HEX2DEC('table for research'!Q$1))*2,2)</f>
        <v>02</v>
      </c>
      <c r="R22" t="str">
        <f>MID('paste from garc here'!$C$1,1+(('table for research'!$B22-1)*36+HEX2DEC('table for research'!R$1))*2,2)</f>
        <v>01</v>
      </c>
      <c r="S22" t="str">
        <f>MID('paste from garc here'!$C$1,1+(('table for research'!$B22-1)*36+HEX2DEC('table for research'!S$1))*2,2)</f>
        <v>00</v>
      </c>
      <c r="T22" t="str">
        <f>MID('paste from garc here'!$C$1,1+(('table for research'!$B22-1)*36+HEX2DEC('table for research'!T$1))*2,2)</f>
        <v>00</v>
      </c>
      <c r="U22" t="str">
        <f>MID('paste from garc here'!$C$1,1+(('table for research'!$B22-1)*36+HEX2DEC('table for research'!U$1))*2,2)</f>
        <v>14</v>
      </c>
      <c r="V22" t="str">
        <f>MID('paste from garc here'!$C$1,1+(('table for research'!$B22-1)*36+HEX2DEC('table for research'!V$1))*2,2)</f>
        <v>08</v>
      </c>
      <c r="W22" t="str">
        <f>MID('paste from garc here'!$C$1,1+(('table for research'!$B22-1)*36+HEX2DEC('table for research'!W$1))*2,2)</f>
        <v>00</v>
      </c>
      <c r="X22" t="str">
        <f>MID('paste from garc here'!$C$1,1+(('table for research'!$B22-1)*36+HEX2DEC('table for research'!X$1))*2,2)</f>
        <v>00</v>
      </c>
      <c r="Y22" t="str">
        <f>MID('paste from garc here'!$C$1,1+(('table for research'!$B22-1)*36+HEX2DEC('table for research'!Y$1))*2,2)</f>
        <v>00</v>
      </c>
      <c r="Z22" t="str">
        <f>MID('paste from garc here'!$C$1,1+(('table for research'!$B22-1)*36+HEX2DEC('table for research'!Z$1))*2,2)</f>
        <v>00</v>
      </c>
      <c r="AA22" t="str">
        <f>MID('paste from garc here'!$C$1,1+(('table for research'!$B22-1)*36+HEX2DEC('table for research'!AA$1))*2,2)</f>
        <v>00</v>
      </c>
      <c r="AB22" t="str">
        <f>MID('paste from garc here'!$C$1,1+(('table for research'!$B22-1)*36+HEX2DEC('table for research'!AB$1))*2,2)</f>
        <v>00</v>
      </c>
      <c r="AC22" t="str">
        <f>MID('paste from garc here'!$C$1,1+(('table for research'!$B22-1)*36+HEX2DEC('table for research'!AC$1))*2,2)</f>
        <v>00</v>
      </c>
      <c r="AD22" t="str">
        <f>MID('paste from garc here'!$C$1,1+(('table for research'!$B22-1)*36+HEX2DEC('table for research'!AD$1))*2,2)</f>
        <v>00</v>
      </c>
      <c r="AE22" t="str">
        <f>MID('paste from garc here'!$C$1,1+(('table for research'!$B22-1)*36+HEX2DEC('table for research'!AE$1))*2,2)</f>
        <v>00</v>
      </c>
      <c r="AF22" t="str">
        <f>MID('paste from garc here'!$C$1,1+(('table for research'!$B22-1)*36+HEX2DEC('table for research'!AF$1))*2,2)</f>
        <v>00</v>
      </c>
      <c r="AG22" t="str">
        <f>MID('paste from garc here'!$C$1,1+(('table for research'!$B22-1)*36+HEX2DEC('table for research'!AG$1))*2,2)</f>
        <v>00</v>
      </c>
      <c r="AH22" t="str">
        <f>MID('paste from garc here'!$C$1,1+(('table for research'!$B22-1)*36+HEX2DEC('table for research'!AH$1))*2,2)</f>
        <v>00</v>
      </c>
      <c r="AI22" t="str">
        <f>MID('paste from garc here'!$C$1,1+(('table for research'!$B22-1)*36+HEX2DEC('table for research'!AI$1))*2,2)</f>
        <v>00</v>
      </c>
      <c r="AJ22" t="str">
        <f>MID('paste from garc here'!$C$1,1+(('table for research'!$B22-1)*36+HEX2DEC('table for research'!AJ$1))*2,2)</f>
        <v>00</v>
      </c>
      <c r="AK22" t="str">
        <f>MID('paste from garc here'!$C$1,1+(('table for research'!$B22-1)*36+HEX2DEC('table for research'!AK$1))*2,2)</f>
        <v>00</v>
      </c>
      <c r="AL22" t="str">
        <f>MID('paste from garc here'!$C$1,1+(('table for research'!$B22-1)*36+HEX2DEC('table for research'!AL$1))*2,2)</f>
        <v>00</v>
      </c>
      <c r="AM22" t="str">
        <f>MID('paste from garc here'!$C$1,1+(('table for research'!$B22-1)*36+HEX2DEC('table for research'!AM$1))*2,2)</f>
        <v>00</v>
      </c>
      <c r="AN22" t="str">
        <f>MID('paste from garc here'!$C$1,1+(('table for research'!$B22-1)*36+HEX2DEC('table for research'!AN$1))*2,2)</f>
        <v>00</v>
      </c>
      <c r="AO22" t="str">
        <f>MID('paste from garc here'!$C$1,1+(('table for research'!$B22-1)*36+HEX2DEC('table for research'!AO$1))*2,2)</f>
        <v>00</v>
      </c>
    </row>
    <row r="23" spans="1:41" x14ac:dyDescent="0.4">
      <c r="A23" t="s">
        <v>35</v>
      </c>
      <c r="B23">
        <f>B22+1</f>
        <v>21</v>
      </c>
      <c r="C23" t="str">
        <f>MID('paste from garc here'!$C$1,1+(('table for research'!$B23-1)*36+HEX2DEC('table for research'!C$1))*2,2)</f>
        <v>0A</v>
      </c>
      <c r="D23" t="str">
        <f>MID('paste from garc here'!$C$1,1+(('table for research'!$B23-1)*36+HEX2DEC('table for research'!D$1))*2,2)</f>
        <v>00</v>
      </c>
      <c r="E23" t="str">
        <f>MID('paste from garc here'!$C$1,1+(('table for research'!$B23-1)*36+HEX2DEC('table for research'!E$1))*2,2)</f>
        <v>00</v>
      </c>
      <c r="F23" t="str">
        <f>MID('paste from garc here'!$C$1,1+(('table for research'!$B23-1)*36+HEX2DEC('table for research'!F$1))*2,2)</f>
        <v>00</v>
      </c>
      <c r="G23" t="str">
        <f>MID('paste from garc here'!$C$1,1+(('table for research'!$B23-1)*36+HEX2DEC('table for research'!G$1))*2,2)</f>
        <v>00</v>
      </c>
      <c r="H23" t="str">
        <f>MID('paste from garc here'!$C$1,1+(('table for research'!$B23-1)*36+HEX2DEC('table for research'!H$1))*2,2)</f>
        <v>00</v>
      </c>
      <c r="I23" t="str">
        <f>MID('paste from garc here'!$C$1,1+(('table for research'!$B23-1)*36+HEX2DEC('table for research'!I$1))*2,2)</f>
        <v>1E</v>
      </c>
      <c r="J23" t="str">
        <f>MID('paste from garc here'!$C$1,1+(('table for research'!$B23-1)*36+HEX2DEC('table for research'!J$1))*2,2)</f>
        <v>00</v>
      </c>
      <c r="K23" t="str">
        <f>DEC2HEX(_xlfn.BITAND(HEX2DEC(MID('paste from garc here'!$C$1,1+(('table for research'!$B23-1)*36+HEX2DEC(8))*2,2)),31),2)</f>
        <v>1F</v>
      </c>
      <c r="L23" t="str">
        <f>DEC2HEX(_xlfn.BITAND(HEX2DEC(MID('paste from garc here'!$C$1,1+(('table for research'!$B23-1)*36+HEX2DEC(8))*2,2)),32),2)</f>
        <v>00</v>
      </c>
      <c r="M23" t="str">
        <f>DEC2HEX(_xlfn.BITAND(HEX2DEC(MID('paste from garc here'!$C$1,1+(('table for research'!$B23-1)*36+HEX2DEC(8))*2,2)),64),2)</f>
        <v>00</v>
      </c>
      <c r="N23" t="str">
        <f>DEC2HEX(_xlfn.BITRSHIFT(_xlfn.BITAND(HEX2DEC(MID('paste from garc here'!$C$1,1+(('table for research'!$B23-1)*36+HEX2DEC(9))*2,2)&amp;MID('paste from garc here'!$C$1,1+(('table for research'!$B23-1)*36+HEX2DEC(8))*2,2)),1920),7),2)</f>
        <v>01</v>
      </c>
      <c r="O23" t="str">
        <f>DEC2HEX(_xlfn.BITRSHIFT(HEX2DEC(MID('paste from garc here'!$C$1,1+(('table for research'!$B23-1)*36+HEX2DEC(9))*2,2)&amp;MID('paste from garc here'!$C$1,1+(('table for research'!$B23-1)*36+HEX2DEC(8))*2,2)),11),2)</f>
        <v>08</v>
      </c>
      <c r="P23" t="str">
        <f>MID('paste from garc here'!$C$1,1+(('table for research'!$B23-1)*36+HEX2DEC('table for research'!P$1))*2,2)</f>
        <v>01</v>
      </c>
      <c r="Q23" t="str">
        <f>MID('paste from garc here'!$C$1,1+(('table for research'!$B23-1)*36+HEX2DEC('table for research'!Q$1))*2,2)</f>
        <v>02</v>
      </c>
      <c r="R23" t="str">
        <f>MID('paste from garc here'!$C$1,1+(('table for research'!$B23-1)*36+HEX2DEC('table for research'!R$1))*2,2)</f>
        <v>01</v>
      </c>
      <c r="S23" t="str">
        <f>MID('paste from garc here'!$C$1,1+(('table for research'!$B23-1)*36+HEX2DEC('table for research'!S$1))*2,2)</f>
        <v>00</v>
      </c>
      <c r="T23" t="str">
        <f>MID('paste from garc here'!$C$1,1+(('table for research'!$B23-1)*36+HEX2DEC('table for research'!T$1))*2,2)</f>
        <v>00</v>
      </c>
      <c r="U23" t="str">
        <f>MID('paste from garc here'!$C$1,1+(('table for research'!$B23-1)*36+HEX2DEC('table for research'!U$1))*2,2)</f>
        <v>15</v>
      </c>
      <c r="V23" t="str">
        <f>MID('paste from garc here'!$C$1,1+(('table for research'!$B23-1)*36+HEX2DEC('table for research'!V$1))*2,2)</f>
        <v>01</v>
      </c>
      <c r="W23" t="str">
        <f>MID('paste from garc here'!$C$1,1+(('table for research'!$B23-1)*36+HEX2DEC('table for research'!W$1))*2,2)</f>
        <v>00</v>
      </c>
      <c r="X23" t="str">
        <f>MID('paste from garc here'!$C$1,1+(('table for research'!$B23-1)*36+HEX2DEC('table for research'!X$1))*2,2)</f>
        <v>00</v>
      </c>
      <c r="Y23" t="str">
        <f>MID('paste from garc here'!$C$1,1+(('table for research'!$B23-1)*36+HEX2DEC('table for research'!Y$1))*2,2)</f>
        <v>00</v>
      </c>
      <c r="Z23" t="str">
        <f>MID('paste from garc here'!$C$1,1+(('table for research'!$B23-1)*36+HEX2DEC('table for research'!Z$1))*2,2)</f>
        <v>00</v>
      </c>
      <c r="AA23" t="str">
        <f>MID('paste from garc here'!$C$1,1+(('table for research'!$B23-1)*36+HEX2DEC('table for research'!AA$1))*2,2)</f>
        <v>00</v>
      </c>
      <c r="AB23" t="str">
        <f>MID('paste from garc here'!$C$1,1+(('table for research'!$B23-1)*36+HEX2DEC('table for research'!AB$1))*2,2)</f>
        <v>00</v>
      </c>
      <c r="AC23" t="str">
        <f>MID('paste from garc here'!$C$1,1+(('table for research'!$B23-1)*36+HEX2DEC('table for research'!AC$1))*2,2)</f>
        <v>00</v>
      </c>
      <c r="AD23" t="str">
        <f>MID('paste from garc here'!$C$1,1+(('table for research'!$B23-1)*36+HEX2DEC('table for research'!AD$1))*2,2)</f>
        <v>00</v>
      </c>
      <c r="AE23" t="str">
        <f>MID('paste from garc here'!$C$1,1+(('table for research'!$B23-1)*36+HEX2DEC('table for research'!AE$1))*2,2)</f>
        <v>00</v>
      </c>
      <c r="AF23" t="str">
        <f>MID('paste from garc here'!$C$1,1+(('table for research'!$B23-1)*36+HEX2DEC('table for research'!AF$1))*2,2)</f>
        <v>00</v>
      </c>
      <c r="AG23" t="str">
        <f>MID('paste from garc here'!$C$1,1+(('table for research'!$B23-1)*36+HEX2DEC('table for research'!AG$1))*2,2)</f>
        <v>00</v>
      </c>
      <c r="AH23" t="str">
        <f>MID('paste from garc here'!$C$1,1+(('table for research'!$B23-1)*36+HEX2DEC('table for research'!AH$1))*2,2)</f>
        <v>00</v>
      </c>
      <c r="AI23" t="str">
        <f>MID('paste from garc here'!$C$1,1+(('table for research'!$B23-1)*36+HEX2DEC('table for research'!AI$1))*2,2)</f>
        <v>00</v>
      </c>
      <c r="AJ23" t="str">
        <f>MID('paste from garc here'!$C$1,1+(('table for research'!$B23-1)*36+HEX2DEC('table for research'!AJ$1))*2,2)</f>
        <v>00</v>
      </c>
      <c r="AK23" t="str">
        <f>MID('paste from garc here'!$C$1,1+(('table for research'!$B23-1)*36+HEX2DEC('table for research'!AK$1))*2,2)</f>
        <v>00</v>
      </c>
      <c r="AL23" t="str">
        <f>MID('paste from garc here'!$C$1,1+(('table for research'!$B23-1)*36+HEX2DEC('table for research'!AL$1))*2,2)</f>
        <v>00</v>
      </c>
      <c r="AM23" t="str">
        <f>MID('paste from garc here'!$C$1,1+(('table for research'!$B23-1)*36+HEX2DEC('table for research'!AM$1))*2,2)</f>
        <v>00</v>
      </c>
      <c r="AN23" t="str">
        <f>MID('paste from garc here'!$C$1,1+(('table for research'!$B23-1)*36+HEX2DEC('table for research'!AN$1))*2,2)</f>
        <v>00</v>
      </c>
      <c r="AO23" t="str">
        <f>MID('paste from garc here'!$C$1,1+(('table for research'!$B23-1)*36+HEX2DEC('table for research'!AO$1))*2,2)</f>
        <v>00</v>
      </c>
    </row>
    <row r="24" spans="1:41" x14ac:dyDescent="0.4">
      <c r="A24" t="s">
        <v>36</v>
      </c>
      <c r="B24">
        <f>B23+1</f>
        <v>22</v>
      </c>
      <c r="C24" t="str">
        <f>MID('paste from garc here'!$C$1,1+(('table for research'!$B24-1)*36+HEX2DEC('table for research'!C$1))*2,2)</f>
        <v>1E</v>
      </c>
      <c r="D24" t="str">
        <f>MID('paste from garc here'!$C$1,1+(('table for research'!$B24-1)*36+HEX2DEC('table for research'!D$1))*2,2)</f>
        <v>00</v>
      </c>
      <c r="E24" t="str">
        <f>MID('paste from garc here'!$C$1,1+(('table for research'!$B24-1)*36+HEX2DEC('table for research'!E$1))*2,2)</f>
        <v>00</v>
      </c>
      <c r="F24" t="str">
        <f>MID('paste from garc here'!$C$1,1+(('table for research'!$B24-1)*36+HEX2DEC('table for research'!F$1))*2,2)</f>
        <v>00</v>
      </c>
      <c r="G24" t="str">
        <f>MID('paste from garc here'!$C$1,1+(('table for research'!$B24-1)*36+HEX2DEC('table for research'!G$1))*2,2)</f>
        <v>00</v>
      </c>
      <c r="H24" t="str">
        <f>MID('paste from garc here'!$C$1,1+(('table for research'!$B24-1)*36+HEX2DEC('table for research'!H$1))*2,2)</f>
        <v>00</v>
      </c>
      <c r="I24" t="str">
        <f>MID('paste from garc here'!$C$1,1+(('table for research'!$B24-1)*36+HEX2DEC('table for research'!I$1))*2,2)</f>
        <v>1E</v>
      </c>
      <c r="J24" t="str">
        <f>MID('paste from garc here'!$C$1,1+(('table for research'!$B24-1)*36+HEX2DEC('table for research'!J$1))*2,2)</f>
        <v>00</v>
      </c>
      <c r="K24" t="str">
        <f>DEC2HEX(_xlfn.BITAND(HEX2DEC(MID('paste from garc here'!$C$1,1+(('table for research'!$B24-1)*36+HEX2DEC(8))*2,2)),31),2)</f>
        <v>1F</v>
      </c>
      <c r="L24" t="str">
        <f>DEC2HEX(_xlfn.BITAND(HEX2DEC(MID('paste from garc here'!$C$1,1+(('table for research'!$B24-1)*36+HEX2DEC(8))*2,2)),32),2)</f>
        <v>00</v>
      </c>
      <c r="M24" t="str">
        <f>DEC2HEX(_xlfn.BITAND(HEX2DEC(MID('paste from garc here'!$C$1,1+(('table for research'!$B24-1)*36+HEX2DEC(8))*2,2)),64),2)</f>
        <v>00</v>
      </c>
      <c r="N24" t="str">
        <f>DEC2HEX(_xlfn.BITRSHIFT(_xlfn.BITAND(HEX2DEC(MID('paste from garc here'!$C$1,1+(('table for research'!$B24-1)*36+HEX2DEC(9))*2,2)&amp;MID('paste from garc here'!$C$1,1+(('table for research'!$B24-1)*36+HEX2DEC(8))*2,2)),1920),7),2)</f>
        <v>01</v>
      </c>
      <c r="O24" t="str">
        <f>DEC2HEX(_xlfn.BITRSHIFT(HEX2DEC(MID('paste from garc here'!$C$1,1+(('table for research'!$B24-1)*36+HEX2DEC(9))*2,2)&amp;MID('paste from garc here'!$C$1,1+(('table for research'!$B24-1)*36+HEX2DEC(8))*2,2)),11),2)</f>
        <v>08</v>
      </c>
      <c r="P24" t="str">
        <f>MID('paste from garc here'!$C$1,1+(('table for research'!$B24-1)*36+HEX2DEC('table for research'!P$1))*2,2)</f>
        <v>01</v>
      </c>
      <c r="Q24" t="str">
        <f>MID('paste from garc here'!$C$1,1+(('table for research'!$B24-1)*36+HEX2DEC('table for research'!Q$1))*2,2)</f>
        <v>02</v>
      </c>
      <c r="R24" t="str">
        <f>MID('paste from garc here'!$C$1,1+(('table for research'!$B24-1)*36+HEX2DEC('table for research'!R$1))*2,2)</f>
        <v>01</v>
      </c>
      <c r="S24" t="str">
        <f>MID('paste from garc here'!$C$1,1+(('table for research'!$B24-1)*36+HEX2DEC('table for research'!S$1))*2,2)</f>
        <v>00</v>
      </c>
      <c r="T24" t="str">
        <f>MID('paste from garc here'!$C$1,1+(('table for research'!$B24-1)*36+HEX2DEC('table for research'!T$1))*2,2)</f>
        <v>00</v>
      </c>
      <c r="U24" t="str">
        <f>MID('paste from garc here'!$C$1,1+(('table for research'!$B24-1)*36+HEX2DEC('table for research'!U$1))*2,2)</f>
        <v>12</v>
      </c>
      <c r="V24" t="str">
        <f>MID('paste from garc here'!$C$1,1+(('table for research'!$B24-1)*36+HEX2DEC('table for research'!V$1))*2,2)</f>
        <v>10</v>
      </c>
      <c r="W24" t="str">
        <f>MID('paste from garc here'!$C$1,1+(('table for research'!$B24-1)*36+HEX2DEC('table for research'!W$1))*2,2)</f>
        <v>00</v>
      </c>
      <c r="X24" t="str">
        <f>MID('paste from garc here'!$C$1,1+(('table for research'!$B24-1)*36+HEX2DEC('table for research'!X$1))*2,2)</f>
        <v>00</v>
      </c>
      <c r="Y24" t="str">
        <f>MID('paste from garc here'!$C$1,1+(('table for research'!$B24-1)*36+HEX2DEC('table for research'!Y$1))*2,2)</f>
        <v>00</v>
      </c>
      <c r="Z24" t="str">
        <f>MID('paste from garc here'!$C$1,1+(('table for research'!$B24-1)*36+HEX2DEC('table for research'!Z$1))*2,2)</f>
        <v>00</v>
      </c>
      <c r="AA24" t="str">
        <f>MID('paste from garc here'!$C$1,1+(('table for research'!$B24-1)*36+HEX2DEC('table for research'!AA$1))*2,2)</f>
        <v>00</v>
      </c>
      <c r="AB24" t="str">
        <f>MID('paste from garc here'!$C$1,1+(('table for research'!$B24-1)*36+HEX2DEC('table for research'!AB$1))*2,2)</f>
        <v>00</v>
      </c>
      <c r="AC24" t="str">
        <f>MID('paste from garc here'!$C$1,1+(('table for research'!$B24-1)*36+HEX2DEC('table for research'!AC$1))*2,2)</f>
        <v>00</v>
      </c>
      <c r="AD24" t="str">
        <f>MID('paste from garc here'!$C$1,1+(('table for research'!$B24-1)*36+HEX2DEC('table for research'!AD$1))*2,2)</f>
        <v>00</v>
      </c>
      <c r="AE24" t="str">
        <f>MID('paste from garc here'!$C$1,1+(('table for research'!$B24-1)*36+HEX2DEC('table for research'!AE$1))*2,2)</f>
        <v>00</v>
      </c>
      <c r="AF24" t="str">
        <f>MID('paste from garc here'!$C$1,1+(('table for research'!$B24-1)*36+HEX2DEC('table for research'!AF$1))*2,2)</f>
        <v>00</v>
      </c>
      <c r="AG24" t="str">
        <f>MID('paste from garc here'!$C$1,1+(('table for research'!$B24-1)*36+HEX2DEC('table for research'!AG$1))*2,2)</f>
        <v>00</v>
      </c>
      <c r="AH24" t="str">
        <f>MID('paste from garc here'!$C$1,1+(('table for research'!$B24-1)*36+HEX2DEC('table for research'!AH$1))*2,2)</f>
        <v>00</v>
      </c>
      <c r="AI24" t="str">
        <f>MID('paste from garc here'!$C$1,1+(('table for research'!$B24-1)*36+HEX2DEC('table for research'!AI$1))*2,2)</f>
        <v>00</v>
      </c>
      <c r="AJ24" t="str">
        <f>MID('paste from garc here'!$C$1,1+(('table for research'!$B24-1)*36+HEX2DEC('table for research'!AJ$1))*2,2)</f>
        <v>00</v>
      </c>
      <c r="AK24" t="str">
        <f>MID('paste from garc here'!$C$1,1+(('table for research'!$B24-1)*36+HEX2DEC('table for research'!AK$1))*2,2)</f>
        <v>00</v>
      </c>
      <c r="AL24" t="str">
        <f>MID('paste from garc here'!$C$1,1+(('table for research'!$B24-1)*36+HEX2DEC('table for research'!AL$1))*2,2)</f>
        <v>00</v>
      </c>
      <c r="AM24" t="str">
        <f>MID('paste from garc here'!$C$1,1+(('table for research'!$B24-1)*36+HEX2DEC('table for research'!AM$1))*2,2)</f>
        <v>00</v>
      </c>
      <c r="AN24" t="str">
        <f>MID('paste from garc here'!$C$1,1+(('table for research'!$B24-1)*36+HEX2DEC('table for research'!AN$1))*2,2)</f>
        <v>00</v>
      </c>
      <c r="AO24" t="str">
        <f>MID('paste from garc here'!$C$1,1+(('table for research'!$B24-1)*36+HEX2DEC('table for research'!AO$1))*2,2)</f>
        <v>00</v>
      </c>
    </row>
    <row r="25" spans="1:41" x14ac:dyDescent="0.4">
      <c r="A25" t="s">
        <v>37</v>
      </c>
      <c r="B25">
        <f>B24+1</f>
        <v>23</v>
      </c>
      <c r="C25" t="str">
        <f>MID('paste from garc here'!$C$1,1+(('table for research'!$B25-1)*36+HEX2DEC('table for research'!C$1))*2,2)</f>
        <v>F0</v>
      </c>
      <c r="D25" t="str">
        <f>MID('paste from garc here'!$C$1,1+(('table for research'!$B25-1)*36+HEX2DEC('table for research'!D$1))*2,2)</f>
        <v>0A</v>
      </c>
      <c r="E25" t="str">
        <f>MID('paste from garc here'!$C$1,1+(('table for research'!$B25-1)*36+HEX2DEC('table for research'!E$1))*2,2)</f>
        <v>00</v>
      </c>
      <c r="F25" t="str">
        <f>MID('paste from garc here'!$C$1,1+(('table for research'!$B25-1)*36+HEX2DEC('table for research'!F$1))*2,2)</f>
        <v>FF</v>
      </c>
      <c r="G25" t="str">
        <f>MID('paste from garc here'!$C$1,1+(('table for research'!$B25-1)*36+HEX2DEC('table for research'!G$1))*2,2)</f>
        <v>00</v>
      </c>
      <c r="H25" t="str">
        <f>MID('paste from garc here'!$C$1,1+(('table for research'!$B25-1)*36+HEX2DEC('table for research'!H$1))*2,2)</f>
        <v>00</v>
      </c>
      <c r="I25" t="str">
        <f>MID('paste from garc here'!$C$1,1+(('table for research'!$B25-1)*36+HEX2DEC('table for research'!I$1))*2,2)</f>
        <v>1E</v>
      </c>
      <c r="J25" t="str">
        <f>MID('paste from garc here'!$C$1,1+(('table for research'!$B25-1)*36+HEX2DEC('table for research'!J$1))*2,2)</f>
        <v>00</v>
      </c>
      <c r="K25" t="str">
        <f>DEC2HEX(_xlfn.BITAND(HEX2DEC(MID('paste from garc here'!$C$1,1+(('table for research'!$B25-1)*36+HEX2DEC(8))*2,2)),31),2)</f>
        <v>1F</v>
      </c>
      <c r="L25" t="str">
        <f>DEC2HEX(_xlfn.BITAND(HEX2DEC(MID('paste from garc here'!$C$1,1+(('table for research'!$B25-1)*36+HEX2DEC(8))*2,2)),32),2)</f>
        <v>00</v>
      </c>
      <c r="M25" t="str">
        <f>DEC2HEX(_xlfn.BITAND(HEX2DEC(MID('paste from garc here'!$C$1,1+(('table for research'!$B25-1)*36+HEX2DEC(8))*2,2)),64),2)</f>
        <v>00</v>
      </c>
      <c r="N25" t="str">
        <f>DEC2HEX(_xlfn.BITRSHIFT(_xlfn.BITAND(HEX2DEC(MID('paste from garc here'!$C$1,1+(('table for research'!$B25-1)*36+HEX2DEC(9))*2,2)&amp;MID('paste from garc here'!$C$1,1+(('table for research'!$B25-1)*36+HEX2DEC(8))*2,2)),1920),7),2)</f>
        <v>01</v>
      </c>
      <c r="O25" t="str">
        <f>DEC2HEX(_xlfn.BITRSHIFT(HEX2DEC(MID('paste from garc here'!$C$1,1+(('table for research'!$B25-1)*36+HEX2DEC(9))*2,2)&amp;MID('paste from garc here'!$C$1,1+(('table for research'!$B25-1)*36+HEX2DEC(8))*2,2)),11),2)</f>
        <v>0C</v>
      </c>
      <c r="P25" t="str">
        <f>MID('paste from garc here'!$C$1,1+(('table for research'!$B25-1)*36+HEX2DEC('table for research'!P$1))*2,2)</f>
        <v>01</v>
      </c>
      <c r="Q25" t="str">
        <f>MID('paste from garc here'!$C$1,1+(('table for research'!$B25-1)*36+HEX2DEC('table for research'!Q$1))*2,2)</f>
        <v>02</v>
      </c>
      <c r="R25" t="str">
        <f>MID('paste from garc here'!$C$1,1+(('table for research'!$B25-1)*36+HEX2DEC('table for research'!R$1))*2,2)</f>
        <v>01</v>
      </c>
      <c r="S25" t="str">
        <f>MID('paste from garc here'!$C$1,1+(('table for research'!$B25-1)*36+HEX2DEC('table for research'!S$1))*2,2)</f>
        <v>00</v>
      </c>
      <c r="T25" t="str">
        <f>MID('paste from garc here'!$C$1,1+(('table for research'!$B25-1)*36+HEX2DEC('table for research'!T$1))*2,2)</f>
        <v>00</v>
      </c>
      <c r="U25" t="str">
        <f>MID('paste from garc here'!$C$1,1+(('table for research'!$B25-1)*36+HEX2DEC('table for research'!U$1))*2,2)</f>
        <v>04</v>
      </c>
      <c r="V25" t="str">
        <f>MID('paste from garc here'!$C$1,1+(('table for research'!$B25-1)*36+HEX2DEC('table for research'!V$1))*2,2)</f>
        <v>3F</v>
      </c>
      <c r="W25" t="str">
        <f>MID('paste from garc here'!$C$1,1+(('table for research'!$B25-1)*36+HEX2DEC('table for research'!W$1))*2,2)</f>
        <v>00</v>
      </c>
      <c r="X25" t="str">
        <f>MID('paste from garc here'!$C$1,1+(('table for research'!$B25-1)*36+HEX2DEC('table for research'!X$1))*2,2)</f>
        <v>00</v>
      </c>
      <c r="Y25" t="str">
        <f>MID('paste from garc here'!$C$1,1+(('table for research'!$B25-1)*36+HEX2DEC('table for research'!Y$1))*2,2)</f>
        <v>00</v>
      </c>
      <c r="Z25" t="str">
        <f>MID('paste from garc here'!$C$1,1+(('table for research'!$B25-1)*36+HEX2DEC('table for research'!Z$1))*2,2)</f>
        <v>00</v>
      </c>
      <c r="AA25" t="str">
        <f>MID('paste from garc here'!$C$1,1+(('table for research'!$B25-1)*36+HEX2DEC('table for research'!AA$1))*2,2)</f>
        <v>04</v>
      </c>
      <c r="AB25" t="str">
        <f>MID('paste from garc here'!$C$1,1+(('table for research'!$B25-1)*36+HEX2DEC('table for research'!AB$1))*2,2)</f>
        <v>00</v>
      </c>
      <c r="AC25" t="str">
        <f>MID('paste from garc here'!$C$1,1+(('table for research'!$B25-1)*36+HEX2DEC('table for research'!AC$1))*2,2)</f>
        <v>00</v>
      </c>
      <c r="AD25" t="str">
        <f>MID('paste from garc here'!$C$1,1+(('table for research'!$B25-1)*36+HEX2DEC('table for research'!AD$1))*2,2)</f>
        <v>00</v>
      </c>
      <c r="AE25" t="str">
        <f>MID('paste from garc here'!$C$1,1+(('table for research'!$B25-1)*36+HEX2DEC('table for research'!AE$1))*2,2)</f>
        <v>00</v>
      </c>
      <c r="AF25" t="str">
        <f>MID('paste from garc here'!$C$1,1+(('table for research'!$B25-1)*36+HEX2DEC('table for research'!AF$1))*2,2)</f>
        <v>00</v>
      </c>
      <c r="AG25" t="str">
        <f>MID('paste from garc here'!$C$1,1+(('table for research'!$B25-1)*36+HEX2DEC('table for research'!AG$1))*2,2)</f>
        <v>00</v>
      </c>
      <c r="AH25" t="str">
        <f>MID('paste from garc here'!$C$1,1+(('table for research'!$B25-1)*36+HEX2DEC('table for research'!AH$1))*2,2)</f>
        <v>00</v>
      </c>
      <c r="AI25" t="str">
        <f>MID('paste from garc here'!$C$1,1+(('table for research'!$B25-1)*36+HEX2DEC('table for research'!AI$1))*2,2)</f>
        <v>FF</v>
      </c>
      <c r="AJ25" t="str">
        <f>MID('paste from garc here'!$C$1,1+(('table for research'!$B25-1)*36+HEX2DEC('table for research'!AJ$1))*2,2)</f>
        <v>00</v>
      </c>
      <c r="AK25" t="str">
        <f>MID('paste from garc here'!$C$1,1+(('table for research'!$B25-1)*36+HEX2DEC('table for research'!AK$1))*2,2)</f>
        <v>00</v>
      </c>
      <c r="AL25" t="str">
        <f>MID('paste from garc here'!$C$1,1+(('table for research'!$B25-1)*36+HEX2DEC('table for research'!AL$1))*2,2)</f>
        <v>00</v>
      </c>
      <c r="AM25" t="str">
        <f>MID('paste from garc here'!$C$1,1+(('table for research'!$B25-1)*36+HEX2DEC('table for research'!AM$1))*2,2)</f>
        <v>00</v>
      </c>
      <c r="AN25" t="str">
        <f>MID('paste from garc here'!$C$1,1+(('table for research'!$B25-1)*36+HEX2DEC('table for research'!AN$1))*2,2)</f>
        <v>00</v>
      </c>
      <c r="AO25" t="str">
        <f>MID('paste from garc here'!$C$1,1+(('table for research'!$B25-1)*36+HEX2DEC('table for research'!AO$1))*2,2)</f>
        <v>00</v>
      </c>
    </row>
    <row r="26" spans="1:41" x14ac:dyDescent="0.4">
      <c r="A26" t="s">
        <v>38</v>
      </c>
      <c r="B26">
        <f>B25+1</f>
        <v>24</v>
      </c>
      <c r="C26" t="str">
        <f>MID('paste from garc here'!$C$1,1+(('table for research'!$B26-1)*36+HEX2DEC('table for research'!C$1))*2,2)</f>
        <v>A8</v>
      </c>
      <c r="D26" t="str">
        <f>MID('paste from garc here'!$C$1,1+(('table for research'!$B26-1)*36+HEX2DEC('table for research'!D$1))*2,2)</f>
        <v>07</v>
      </c>
      <c r="E26" t="str">
        <f>MID('paste from garc here'!$C$1,1+(('table for research'!$B26-1)*36+HEX2DEC('table for research'!E$1))*2,2)</f>
        <v>00</v>
      </c>
      <c r="F26" t="str">
        <f>MID('paste from garc here'!$C$1,1+(('table for research'!$B26-1)*36+HEX2DEC('table for research'!F$1))*2,2)</f>
        <v>FF</v>
      </c>
      <c r="G26" t="str">
        <f>MID('paste from garc here'!$C$1,1+(('table for research'!$B26-1)*36+HEX2DEC('table for research'!G$1))*2,2)</f>
        <v>00</v>
      </c>
      <c r="H26" t="str">
        <f>MID('paste from garc here'!$C$1,1+(('table for research'!$B26-1)*36+HEX2DEC('table for research'!H$1))*2,2)</f>
        <v>00</v>
      </c>
      <c r="I26" t="str">
        <f>MID('paste from garc here'!$C$1,1+(('table for research'!$B26-1)*36+HEX2DEC('table for research'!I$1))*2,2)</f>
        <v>1E</v>
      </c>
      <c r="J26" t="str">
        <f>MID('paste from garc here'!$C$1,1+(('table for research'!$B26-1)*36+HEX2DEC('table for research'!J$1))*2,2)</f>
        <v>00</v>
      </c>
      <c r="K26" t="str">
        <f>DEC2HEX(_xlfn.BITAND(HEX2DEC(MID('paste from garc here'!$C$1,1+(('table for research'!$B26-1)*36+HEX2DEC(8))*2,2)),31),2)</f>
        <v>1F</v>
      </c>
      <c r="L26" t="str">
        <f>DEC2HEX(_xlfn.BITAND(HEX2DEC(MID('paste from garc here'!$C$1,1+(('table for research'!$B26-1)*36+HEX2DEC(8))*2,2)),32),2)</f>
        <v>00</v>
      </c>
      <c r="M26" t="str">
        <f>DEC2HEX(_xlfn.BITAND(HEX2DEC(MID('paste from garc here'!$C$1,1+(('table for research'!$B26-1)*36+HEX2DEC(8))*2,2)),64),2)</f>
        <v>00</v>
      </c>
      <c r="N26" t="str">
        <f>DEC2HEX(_xlfn.BITRSHIFT(_xlfn.BITAND(HEX2DEC(MID('paste from garc here'!$C$1,1+(('table for research'!$B26-1)*36+HEX2DEC(9))*2,2)&amp;MID('paste from garc here'!$C$1,1+(('table for research'!$B26-1)*36+HEX2DEC(8))*2,2)),1920),7),2)</f>
        <v>01</v>
      </c>
      <c r="O26" t="str">
        <f>DEC2HEX(_xlfn.BITRSHIFT(HEX2DEC(MID('paste from garc here'!$C$1,1+(('table for research'!$B26-1)*36+HEX2DEC(9))*2,2)&amp;MID('paste from garc here'!$C$1,1+(('table for research'!$B26-1)*36+HEX2DEC(8))*2,2)),11),2)</f>
        <v>04</v>
      </c>
      <c r="P26" t="str">
        <f>MID('paste from garc here'!$C$1,1+(('table for research'!$B26-1)*36+HEX2DEC('table for research'!P$1))*2,2)</f>
        <v>01</v>
      </c>
      <c r="Q26" t="str">
        <f>MID('paste from garc here'!$C$1,1+(('table for research'!$B26-1)*36+HEX2DEC('table for research'!Q$1))*2,2)</f>
        <v>02</v>
      </c>
      <c r="R26" t="str">
        <f>MID('paste from garc here'!$C$1,1+(('table for research'!$B26-1)*36+HEX2DEC('table for research'!R$1))*2,2)</f>
        <v>01</v>
      </c>
      <c r="S26" t="str">
        <f>MID('paste from garc here'!$C$1,1+(('table for research'!$B26-1)*36+HEX2DEC('table for research'!S$1))*2,2)</f>
        <v>00</v>
      </c>
      <c r="T26" t="str">
        <f>MID('paste from garc here'!$C$1,1+(('table for research'!$B26-1)*36+HEX2DEC('table for research'!T$1))*2,2)</f>
        <v>00</v>
      </c>
      <c r="U26" t="str">
        <f>MID('paste from garc here'!$C$1,1+(('table for research'!$B26-1)*36+HEX2DEC('table for research'!U$1))*2,2)</f>
        <v>03</v>
      </c>
      <c r="V26" t="str">
        <f>MID('paste from garc here'!$C$1,1+(('table for research'!$B26-1)*36+HEX2DEC('table for research'!V$1))*2,2)</f>
        <v>00</v>
      </c>
      <c r="W26" t="str">
        <f>MID('paste from garc here'!$C$1,1+(('table for research'!$B26-1)*36+HEX2DEC('table for research'!W$1))*2,2)</f>
        <v>00</v>
      </c>
      <c r="X26" t="str">
        <f>MID('paste from garc here'!$C$1,1+(('table for research'!$B26-1)*36+HEX2DEC('table for research'!X$1))*2,2)</f>
        <v>00</v>
      </c>
      <c r="Y26" t="str">
        <f>MID('paste from garc here'!$C$1,1+(('table for research'!$B26-1)*36+HEX2DEC('table for research'!Y$1))*2,2)</f>
        <v>00</v>
      </c>
      <c r="Z26" t="str">
        <f>MID('paste from garc here'!$C$1,1+(('table for research'!$B26-1)*36+HEX2DEC('table for research'!Z$1))*2,2)</f>
        <v>00</v>
      </c>
      <c r="AA26" t="str">
        <f>MID('paste from garc here'!$C$1,1+(('table for research'!$B26-1)*36+HEX2DEC('table for research'!AA$1))*2,2)</f>
        <v>04</v>
      </c>
      <c r="AB26" t="str">
        <f>MID('paste from garc here'!$C$1,1+(('table for research'!$B26-1)*36+HEX2DEC('table for research'!AB$1))*2,2)</f>
        <v>00</v>
      </c>
      <c r="AC26" t="str">
        <f>MID('paste from garc here'!$C$1,1+(('table for research'!$B26-1)*36+HEX2DEC('table for research'!AC$1))*2,2)</f>
        <v>00</v>
      </c>
      <c r="AD26" t="str">
        <f>MID('paste from garc here'!$C$1,1+(('table for research'!$B26-1)*36+HEX2DEC('table for research'!AD$1))*2,2)</f>
        <v>00</v>
      </c>
      <c r="AE26" t="str">
        <f>MID('paste from garc here'!$C$1,1+(('table for research'!$B26-1)*36+HEX2DEC('table for research'!AE$1))*2,2)</f>
        <v>00</v>
      </c>
      <c r="AF26" t="str">
        <f>MID('paste from garc here'!$C$1,1+(('table for research'!$B26-1)*36+HEX2DEC('table for research'!AF$1))*2,2)</f>
        <v>00</v>
      </c>
      <c r="AG26" t="str">
        <f>MID('paste from garc here'!$C$1,1+(('table for research'!$B26-1)*36+HEX2DEC('table for research'!AG$1))*2,2)</f>
        <v>00</v>
      </c>
      <c r="AH26" t="str">
        <f>MID('paste from garc here'!$C$1,1+(('table for research'!$B26-1)*36+HEX2DEC('table for research'!AH$1))*2,2)</f>
        <v>00</v>
      </c>
      <c r="AI26" t="str">
        <f>MID('paste from garc here'!$C$1,1+(('table for research'!$B26-1)*36+HEX2DEC('table for research'!AI$1))*2,2)</f>
        <v>FF</v>
      </c>
      <c r="AJ26" t="str">
        <f>MID('paste from garc here'!$C$1,1+(('table for research'!$B26-1)*36+HEX2DEC('table for research'!AJ$1))*2,2)</f>
        <v>00</v>
      </c>
      <c r="AK26" t="str">
        <f>MID('paste from garc here'!$C$1,1+(('table for research'!$B26-1)*36+HEX2DEC('table for research'!AK$1))*2,2)</f>
        <v>00</v>
      </c>
      <c r="AL26" t="str">
        <f>MID('paste from garc here'!$C$1,1+(('table for research'!$B26-1)*36+HEX2DEC('table for research'!AL$1))*2,2)</f>
        <v>00</v>
      </c>
      <c r="AM26" t="str">
        <f>MID('paste from garc here'!$C$1,1+(('table for research'!$B26-1)*36+HEX2DEC('table for research'!AM$1))*2,2)</f>
        <v>00</v>
      </c>
      <c r="AN26" t="str">
        <f>MID('paste from garc here'!$C$1,1+(('table for research'!$B26-1)*36+HEX2DEC('table for research'!AN$1))*2,2)</f>
        <v>00</v>
      </c>
      <c r="AO26" t="str">
        <f>MID('paste from garc here'!$C$1,1+(('table for research'!$B26-1)*36+HEX2DEC('table for research'!AO$1))*2,2)</f>
        <v>00</v>
      </c>
    </row>
    <row r="27" spans="1:41" x14ac:dyDescent="0.4">
      <c r="A27" t="s">
        <v>39</v>
      </c>
      <c r="B27">
        <f>B26+1</f>
        <v>25</v>
      </c>
      <c r="C27" t="str">
        <f>MID('paste from garc here'!$C$1,1+(('table for research'!$B27-1)*36+HEX2DEC('table for research'!C$1))*2,2)</f>
        <v>F4</v>
      </c>
      <c r="D27" t="str">
        <f>MID('paste from garc here'!$C$1,1+(('table for research'!$B27-1)*36+HEX2DEC('table for research'!D$1))*2,2)</f>
        <v>01</v>
      </c>
      <c r="E27" t="str">
        <f>MID('paste from garc here'!$C$1,1+(('table for research'!$B27-1)*36+HEX2DEC('table for research'!E$1))*2,2)</f>
        <v>00</v>
      </c>
      <c r="F27" t="str">
        <f>MID('paste from garc here'!$C$1,1+(('table for research'!$B27-1)*36+HEX2DEC('table for research'!F$1))*2,2)</f>
        <v>C8</v>
      </c>
      <c r="G27" t="str">
        <f>MID('paste from garc here'!$C$1,1+(('table for research'!$B27-1)*36+HEX2DEC('table for research'!G$1))*2,2)</f>
        <v>00</v>
      </c>
      <c r="H27" t="str">
        <f>MID('paste from garc here'!$C$1,1+(('table for research'!$B27-1)*36+HEX2DEC('table for research'!H$1))*2,2)</f>
        <v>00</v>
      </c>
      <c r="I27" t="str">
        <f>MID('paste from garc here'!$C$1,1+(('table for research'!$B27-1)*36+HEX2DEC('table for research'!I$1))*2,2)</f>
        <v>1E</v>
      </c>
      <c r="J27" t="str">
        <f>MID('paste from garc here'!$C$1,1+(('table for research'!$B27-1)*36+HEX2DEC('table for research'!J$1))*2,2)</f>
        <v>00</v>
      </c>
      <c r="K27" t="str">
        <f>DEC2HEX(_xlfn.BITAND(HEX2DEC(MID('paste from garc here'!$C$1,1+(('table for research'!$B27-1)*36+HEX2DEC(8))*2,2)),31),2)</f>
        <v>1F</v>
      </c>
      <c r="L27" t="str">
        <f>DEC2HEX(_xlfn.BITAND(HEX2DEC(MID('paste from garc here'!$C$1,1+(('table for research'!$B27-1)*36+HEX2DEC(8))*2,2)),32),2)</f>
        <v>00</v>
      </c>
      <c r="M27" t="str">
        <f>DEC2HEX(_xlfn.BITAND(HEX2DEC(MID('paste from garc here'!$C$1,1+(('table for research'!$B27-1)*36+HEX2DEC(8))*2,2)),64),2)</f>
        <v>00</v>
      </c>
      <c r="N27" t="str">
        <f>DEC2HEX(_xlfn.BITRSHIFT(_xlfn.BITAND(HEX2DEC(MID('paste from garc here'!$C$1,1+(('table for research'!$B27-1)*36+HEX2DEC(9))*2,2)&amp;MID('paste from garc here'!$C$1,1+(('table for research'!$B27-1)*36+HEX2DEC(8))*2,2)),1920),7),2)</f>
        <v>01</v>
      </c>
      <c r="O27" t="str">
        <f>DEC2HEX(_xlfn.BITRSHIFT(HEX2DEC(MID('paste from garc here'!$C$1,1+(('table for research'!$B27-1)*36+HEX2DEC(9))*2,2)&amp;MID('paste from garc here'!$C$1,1+(('table for research'!$B27-1)*36+HEX2DEC(8))*2,2)),11),2)</f>
        <v>04</v>
      </c>
      <c r="P27" t="str">
        <f>MID('paste from garc here'!$C$1,1+(('table for research'!$B27-1)*36+HEX2DEC('table for research'!P$1))*2,2)</f>
        <v>01</v>
      </c>
      <c r="Q27" t="str">
        <f>MID('paste from garc here'!$C$1,1+(('table for research'!$B27-1)*36+HEX2DEC('table for research'!Q$1))*2,2)</f>
        <v>02</v>
      </c>
      <c r="R27" t="str">
        <f>MID('paste from garc here'!$C$1,1+(('table for research'!$B27-1)*36+HEX2DEC('table for research'!R$1))*2,2)</f>
        <v>01</v>
      </c>
      <c r="S27" t="str">
        <f>MID('paste from garc here'!$C$1,1+(('table for research'!$B27-1)*36+HEX2DEC('table for research'!S$1))*2,2)</f>
        <v>00</v>
      </c>
      <c r="T27" t="str">
        <f>MID('paste from garc here'!$C$1,1+(('table for research'!$B27-1)*36+HEX2DEC('table for research'!T$1))*2,2)</f>
        <v>00</v>
      </c>
      <c r="U27" t="str">
        <f>MID('paste from garc here'!$C$1,1+(('table for research'!$B27-1)*36+HEX2DEC('table for research'!U$1))*2,2)</f>
        <v>02</v>
      </c>
      <c r="V27" t="str">
        <f>MID('paste from garc here'!$C$1,1+(('table for research'!$B27-1)*36+HEX2DEC('table for research'!V$1))*2,2)</f>
        <v>00</v>
      </c>
      <c r="W27" t="str">
        <f>MID('paste from garc here'!$C$1,1+(('table for research'!$B27-1)*36+HEX2DEC('table for research'!W$1))*2,2)</f>
        <v>00</v>
      </c>
      <c r="X27" t="str">
        <f>MID('paste from garc here'!$C$1,1+(('table for research'!$B27-1)*36+HEX2DEC('table for research'!X$1))*2,2)</f>
        <v>00</v>
      </c>
      <c r="Y27" t="str">
        <f>MID('paste from garc here'!$C$1,1+(('table for research'!$B27-1)*36+HEX2DEC('table for research'!Y$1))*2,2)</f>
        <v>00</v>
      </c>
      <c r="Z27" t="str">
        <f>MID('paste from garc here'!$C$1,1+(('table for research'!$B27-1)*36+HEX2DEC('table for research'!Z$1))*2,2)</f>
        <v>00</v>
      </c>
      <c r="AA27" t="str">
        <f>MID('paste from garc here'!$C$1,1+(('table for research'!$B27-1)*36+HEX2DEC('table for research'!AA$1))*2,2)</f>
        <v>04</v>
      </c>
      <c r="AB27" t="str">
        <f>MID('paste from garc here'!$C$1,1+(('table for research'!$B27-1)*36+HEX2DEC('table for research'!AB$1))*2,2)</f>
        <v>00</v>
      </c>
      <c r="AC27" t="str">
        <f>MID('paste from garc here'!$C$1,1+(('table for research'!$B27-1)*36+HEX2DEC('table for research'!AC$1))*2,2)</f>
        <v>00</v>
      </c>
      <c r="AD27" t="str">
        <f>MID('paste from garc here'!$C$1,1+(('table for research'!$B27-1)*36+HEX2DEC('table for research'!AD$1))*2,2)</f>
        <v>00</v>
      </c>
      <c r="AE27" t="str">
        <f>MID('paste from garc here'!$C$1,1+(('table for research'!$B27-1)*36+HEX2DEC('table for research'!AE$1))*2,2)</f>
        <v>00</v>
      </c>
      <c r="AF27" t="str">
        <f>MID('paste from garc here'!$C$1,1+(('table for research'!$B27-1)*36+HEX2DEC('table for research'!AF$1))*2,2)</f>
        <v>00</v>
      </c>
      <c r="AG27" t="str">
        <f>MID('paste from garc here'!$C$1,1+(('table for research'!$B27-1)*36+HEX2DEC('table for research'!AG$1))*2,2)</f>
        <v>00</v>
      </c>
      <c r="AH27" t="str">
        <f>MID('paste from garc here'!$C$1,1+(('table for research'!$B27-1)*36+HEX2DEC('table for research'!AH$1))*2,2)</f>
        <v>00</v>
      </c>
      <c r="AI27" t="str">
        <f>MID('paste from garc here'!$C$1,1+(('table for research'!$B27-1)*36+HEX2DEC('table for research'!AI$1))*2,2)</f>
        <v>C8</v>
      </c>
      <c r="AJ27" t="str">
        <f>MID('paste from garc here'!$C$1,1+(('table for research'!$B27-1)*36+HEX2DEC('table for research'!AJ$1))*2,2)</f>
        <v>00</v>
      </c>
      <c r="AK27" t="str">
        <f>MID('paste from garc here'!$C$1,1+(('table for research'!$B27-1)*36+HEX2DEC('table for research'!AK$1))*2,2)</f>
        <v>00</v>
      </c>
      <c r="AL27" t="str">
        <f>MID('paste from garc here'!$C$1,1+(('table for research'!$B27-1)*36+HEX2DEC('table for research'!AL$1))*2,2)</f>
        <v>00</v>
      </c>
      <c r="AM27" t="str">
        <f>MID('paste from garc here'!$C$1,1+(('table for research'!$B27-1)*36+HEX2DEC('table for research'!AM$1))*2,2)</f>
        <v>00</v>
      </c>
      <c r="AN27" t="str">
        <f>MID('paste from garc here'!$C$1,1+(('table for research'!$B27-1)*36+HEX2DEC('table for research'!AN$1))*2,2)</f>
        <v>00</v>
      </c>
      <c r="AO27" t="str">
        <f>MID('paste from garc here'!$C$1,1+(('table for research'!$B27-1)*36+HEX2DEC('table for research'!AO$1))*2,2)</f>
        <v>00</v>
      </c>
    </row>
    <row r="28" spans="1:41" x14ac:dyDescent="0.4">
      <c r="A28" t="s">
        <v>40</v>
      </c>
      <c r="B28">
        <f>B27+1</f>
        <v>26</v>
      </c>
      <c r="C28" t="str">
        <f>MID('paste from garc here'!$C$1,1+(('table for research'!$B28-1)*36+HEX2DEC('table for research'!C$1))*2,2)</f>
        <v>46</v>
      </c>
      <c r="D28" t="str">
        <f>MID('paste from garc here'!$C$1,1+(('table for research'!$B28-1)*36+HEX2DEC('table for research'!D$1))*2,2)</f>
        <v>00</v>
      </c>
      <c r="E28" t="str">
        <f>MID('paste from garc here'!$C$1,1+(('table for research'!$B28-1)*36+HEX2DEC('table for research'!E$1))*2,2)</f>
        <v>00</v>
      </c>
      <c r="F28" t="str">
        <f>MID('paste from garc here'!$C$1,1+(('table for research'!$B28-1)*36+HEX2DEC('table for research'!F$1))*2,2)</f>
        <v>3C</v>
      </c>
      <c r="G28" t="str">
        <f>MID('paste from garc here'!$C$1,1+(('table for research'!$B28-1)*36+HEX2DEC('table for research'!G$1))*2,2)</f>
        <v>00</v>
      </c>
      <c r="H28" t="str">
        <f>MID('paste from garc here'!$C$1,1+(('table for research'!$B28-1)*36+HEX2DEC('table for research'!H$1))*2,2)</f>
        <v>00</v>
      </c>
      <c r="I28" t="str">
        <f>MID('paste from garc here'!$C$1,1+(('table for research'!$B28-1)*36+HEX2DEC('table for research'!I$1))*2,2)</f>
        <v>1E</v>
      </c>
      <c r="J28" t="str">
        <f>MID('paste from garc here'!$C$1,1+(('table for research'!$B28-1)*36+HEX2DEC('table for research'!J$1))*2,2)</f>
        <v>00</v>
      </c>
      <c r="K28" t="str">
        <f>DEC2HEX(_xlfn.BITAND(HEX2DEC(MID('paste from garc here'!$C$1,1+(('table for research'!$B28-1)*36+HEX2DEC(8))*2,2)),31),2)</f>
        <v>1F</v>
      </c>
      <c r="L28" t="str">
        <f>DEC2HEX(_xlfn.BITAND(HEX2DEC(MID('paste from garc here'!$C$1,1+(('table for research'!$B28-1)*36+HEX2DEC(8))*2,2)),32),2)</f>
        <v>00</v>
      </c>
      <c r="M28" t="str">
        <f>DEC2HEX(_xlfn.BITAND(HEX2DEC(MID('paste from garc here'!$C$1,1+(('table for research'!$B28-1)*36+HEX2DEC(8))*2,2)),64),2)</f>
        <v>00</v>
      </c>
      <c r="N28" t="str">
        <f>DEC2HEX(_xlfn.BITRSHIFT(_xlfn.BITAND(HEX2DEC(MID('paste from garc here'!$C$1,1+(('table for research'!$B28-1)*36+HEX2DEC(9))*2,2)&amp;MID('paste from garc here'!$C$1,1+(('table for research'!$B28-1)*36+HEX2DEC(8))*2,2)),1920),7),2)</f>
        <v>01</v>
      </c>
      <c r="O28" t="str">
        <f>DEC2HEX(_xlfn.BITRSHIFT(HEX2DEC(MID('paste from garc here'!$C$1,1+(('table for research'!$B28-1)*36+HEX2DEC(9))*2,2)&amp;MID('paste from garc here'!$C$1,1+(('table for research'!$B28-1)*36+HEX2DEC(8))*2,2)),11),2)</f>
        <v>04</v>
      </c>
      <c r="P28" t="str">
        <f>MID('paste from garc here'!$C$1,1+(('table for research'!$B28-1)*36+HEX2DEC('table for research'!P$1))*2,2)</f>
        <v>01</v>
      </c>
      <c r="Q28" t="str">
        <f>MID('paste from garc here'!$C$1,1+(('table for research'!$B28-1)*36+HEX2DEC('table for research'!Q$1))*2,2)</f>
        <v>02</v>
      </c>
      <c r="R28" t="str">
        <f>MID('paste from garc here'!$C$1,1+(('table for research'!$B28-1)*36+HEX2DEC('table for research'!R$1))*2,2)</f>
        <v>01</v>
      </c>
      <c r="S28" t="str">
        <f>MID('paste from garc here'!$C$1,1+(('table for research'!$B28-1)*36+HEX2DEC('table for research'!S$1))*2,2)</f>
        <v>00</v>
      </c>
      <c r="T28" t="str">
        <f>MID('paste from garc here'!$C$1,1+(('table for research'!$B28-1)*36+HEX2DEC('table for research'!T$1))*2,2)</f>
        <v>00</v>
      </c>
      <c r="U28" t="str">
        <f>MID('paste from garc here'!$C$1,1+(('table for research'!$B28-1)*36+HEX2DEC('table for research'!U$1))*2,2)</f>
        <v>02</v>
      </c>
      <c r="V28" t="str">
        <f>MID('paste from garc here'!$C$1,1+(('table for research'!$B28-1)*36+HEX2DEC('table for research'!V$1))*2,2)</f>
        <v>00</v>
      </c>
      <c r="W28" t="str">
        <f>MID('paste from garc here'!$C$1,1+(('table for research'!$B28-1)*36+HEX2DEC('table for research'!W$1))*2,2)</f>
        <v>00</v>
      </c>
      <c r="X28" t="str">
        <f>MID('paste from garc here'!$C$1,1+(('table for research'!$B28-1)*36+HEX2DEC('table for research'!X$1))*2,2)</f>
        <v>00</v>
      </c>
      <c r="Y28" t="str">
        <f>MID('paste from garc here'!$C$1,1+(('table for research'!$B28-1)*36+HEX2DEC('table for research'!Y$1))*2,2)</f>
        <v>00</v>
      </c>
      <c r="Z28" t="str">
        <f>MID('paste from garc here'!$C$1,1+(('table for research'!$B28-1)*36+HEX2DEC('table for research'!Z$1))*2,2)</f>
        <v>00</v>
      </c>
      <c r="AA28" t="str">
        <f>MID('paste from garc here'!$C$1,1+(('table for research'!$B28-1)*36+HEX2DEC('table for research'!AA$1))*2,2)</f>
        <v>04</v>
      </c>
      <c r="AB28" t="str">
        <f>MID('paste from garc here'!$C$1,1+(('table for research'!$B28-1)*36+HEX2DEC('table for research'!AB$1))*2,2)</f>
        <v>00</v>
      </c>
      <c r="AC28" t="str">
        <f>MID('paste from garc here'!$C$1,1+(('table for research'!$B28-1)*36+HEX2DEC('table for research'!AC$1))*2,2)</f>
        <v>00</v>
      </c>
      <c r="AD28" t="str">
        <f>MID('paste from garc here'!$C$1,1+(('table for research'!$B28-1)*36+HEX2DEC('table for research'!AD$1))*2,2)</f>
        <v>00</v>
      </c>
      <c r="AE28" t="str">
        <f>MID('paste from garc here'!$C$1,1+(('table for research'!$B28-1)*36+HEX2DEC('table for research'!AE$1))*2,2)</f>
        <v>00</v>
      </c>
      <c r="AF28" t="str">
        <f>MID('paste from garc here'!$C$1,1+(('table for research'!$B28-1)*36+HEX2DEC('table for research'!AF$1))*2,2)</f>
        <v>00</v>
      </c>
      <c r="AG28" t="str">
        <f>MID('paste from garc here'!$C$1,1+(('table for research'!$B28-1)*36+HEX2DEC('table for research'!AG$1))*2,2)</f>
        <v>00</v>
      </c>
      <c r="AH28" t="str">
        <f>MID('paste from garc here'!$C$1,1+(('table for research'!$B28-1)*36+HEX2DEC('table for research'!AH$1))*2,2)</f>
        <v>00</v>
      </c>
      <c r="AI28" t="str">
        <f>MID('paste from garc here'!$C$1,1+(('table for research'!$B28-1)*36+HEX2DEC('table for research'!AI$1))*2,2)</f>
        <v>3C</v>
      </c>
      <c r="AJ28" t="str">
        <f>MID('paste from garc here'!$C$1,1+(('table for research'!$B28-1)*36+HEX2DEC('table for research'!AJ$1))*2,2)</f>
        <v>00</v>
      </c>
      <c r="AK28" t="str">
        <f>MID('paste from garc here'!$C$1,1+(('table for research'!$B28-1)*36+HEX2DEC('table for research'!AK$1))*2,2)</f>
        <v>00</v>
      </c>
      <c r="AL28" t="str">
        <f>MID('paste from garc here'!$C$1,1+(('table for research'!$B28-1)*36+HEX2DEC('table for research'!AL$1))*2,2)</f>
        <v>00</v>
      </c>
      <c r="AM28" t="str">
        <f>MID('paste from garc here'!$C$1,1+(('table for research'!$B28-1)*36+HEX2DEC('table for research'!AM$1))*2,2)</f>
        <v>00</v>
      </c>
      <c r="AN28" t="str">
        <f>MID('paste from garc here'!$C$1,1+(('table for research'!$B28-1)*36+HEX2DEC('table for research'!AN$1))*2,2)</f>
        <v>00</v>
      </c>
      <c r="AO28" t="str">
        <f>MID('paste from garc here'!$C$1,1+(('table for research'!$B28-1)*36+HEX2DEC('table for research'!AO$1))*2,2)</f>
        <v>00</v>
      </c>
    </row>
    <row r="29" spans="1:41" x14ac:dyDescent="0.4">
      <c r="A29" t="s">
        <v>41</v>
      </c>
      <c r="B29">
        <f>B28+1</f>
        <v>27</v>
      </c>
      <c r="C29" t="str">
        <f>MID('paste from garc here'!$C$1,1+(('table for research'!$B29-1)*36+HEX2DEC('table for research'!C$1))*2,2)</f>
        <v>18</v>
      </c>
      <c r="D29" t="str">
        <f>MID('paste from garc here'!$C$1,1+(('table for research'!$B29-1)*36+HEX2DEC('table for research'!D$1))*2,2)</f>
        <v>01</v>
      </c>
      <c r="E29" t="str">
        <f>MID('paste from garc here'!$C$1,1+(('table for research'!$B29-1)*36+HEX2DEC('table for research'!E$1))*2,2)</f>
        <v>00</v>
      </c>
      <c r="F29" t="str">
        <f>MID('paste from garc here'!$C$1,1+(('table for research'!$B29-1)*36+HEX2DEC('table for research'!F$1))*2,2)</f>
        <v>00</v>
      </c>
      <c r="G29" t="str">
        <f>MID('paste from garc here'!$C$1,1+(('table for research'!$B29-1)*36+HEX2DEC('table for research'!G$1))*2,2)</f>
        <v>00</v>
      </c>
      <c r="H29" t="str">
        <f>MID('paste from garc here'!$C$1,1+(('table for research'!$B29-1)*36+HEX2DEC('table for research'!H$1))*2,2)</f>
        <v>00</v>
      </c>
      <c r="I29" t="str">
        <f>MID('paste from garc here'!$C$1,1+(('table for research'!$B29-1)*36+HEX2DEC('table for research'!I$1))*2,2)</f>
        <v>1E</v>
      </c>
      <c r="J29" t="str">
        <f>MID('paste from garc here'!$C$1,1+(('table for research'!$B29-1)*36+HEX2DEC('table for research'!J$1))*2,2)</f>
        <v>00</v>
      </c>
      <c r="K29" t="str">
        <f>DEC2HEX(_xlfn.BITAND(HEX2DEC(MID('paste from garc here'!$C$1,1+(('table for research'!$B29-1)*36+HEX2DEC(8))*2,2)),31),2)</f>
        <v>1F</v>
      </c>
      <c r="L29" t="str">
        <f>DEC2HEX(_xlfn.BITAND(HEX2DEC(MID('paste from garc here'!$C$1,1+(('table for research'!$B29-1)*36+HEX2DEC(8))*2,2)),32),2)</f>
        <v>00</v>
      </c>
      <c r="M29" t="str">
        <f>DEC2HEX(_xlfn.BITAND(HEX2DEC(MID('paste from garc here'!$C$1,1+(('table for research'!$B29-1)*36+HEX2DEC(8))*2,2)),64),2)</f>
        <v>00</v>
      </c>
      <c r="N29" t="str">
        <f>DEC2HEX(_xlfn.BITRSHIFT(_xlfn.BITAND(HEX2DEC(MID('paste from garc here'!$C$1,1+(('table for research'!$B29-1)*36+HEX2DEC(9))*2,2)&amp;MID('paste from garc here'!$C$1,1+(('table for research'!$B29-1)*36+HEX2DEC(8))*2,2)),1920),7),2)</f>
        <v>01</v>
      </c>
      <c r="O29" t="str">
        <f>DEC2HEX(_xlfn.BITRSHIFT(HEX2DEC(MID('paste from garc here'!$C$1,1+(('table for research'!$B29-1)*36+HEX2DEC(9))*2,2)&amp;MID('paste from garc here'!$C$1,1+(('table for research'!$B29-1)*36+HEX2DEC(8))*2,2)),11),2)</f>
        <v>08</v>
      </c>
      <c r="P29" t="str">
        <f>MID('paste from garc here'!$C$1,1+(('table for research'!$B29-1)*36+HEX2DEC('table for research'!P$1))*2,2)</f>
        <v>01</v>
      </c>
      <c r="Q29" t="str">
        <f>MID('paste from garc here'!$C$1,1+(('table for research'!$B29-1)*36+HEX2DEC('table for research'!Q$1))*2,2)</f>
        <v>02</v>
      </c>
      <c r="R29" t="str">
        <f>MID('paste from garc here'!$C$1,1+(('table for research'!$B29-1)*36+HEX2DEC('table for research'!R$1))*2,2)</f>
        <v>01</v>
      </c>
      <c r="S29" t="str">
        <f>MID('paste from garc here'!$C$1,1+(('table for research'!$B29-1)*36+HEX2DEC('table for research'!S$1))*2,2)</f>
        <v>00</v>
      </c>
      <c r="T29" t="str">
        <f>MID('paste from garc here'!$C$1,1+(('table for research'!$B29-1)*36+HEX2DEC('table for research'!T$1))*2,2)</f>
        <v>00</v>
      </c>
      <c r="U29" t="str">
        <f>MID('paste from garc here'!$C$1,1+(('table for research'!$B29-1)*36+HEX2DEC('table for research'!U$1))*2,2)</f>
        <v>19</v>
      </c>
      <c r="V29" t="str">
        <f>MID('paste from garc here'!$C$1,1+(('table for research'!$B29-1)*36+HEX2DEC('table for research'!V$1))*2,2)</f>
        <v>3F</v>
      </c>
      <c r="W29" t="str">
        <f>MID('paste from garc here'!$C$1,1+(('table for research'!$B29-1)*36+HEX2DEC('table for research'!W$1))*2,2)</f>
        <v>00</v>
      </c>
      <c r="X29" t="str">
        <f>MID('paste from garc here'!$C$1,1+(('table for research'!$B29-1)*36+HEX2DEC('table for research'!X$1))*2,2)</f>
        <v>00</v>
      </c>
      <c r="Y29" t="str">
        <f>MID('paste from garc here'!$C$1,1+(('table for research'!$B29-1)*36+HEX2DEC('table for research'!Y$1))*2,2)</f>
        <v>00</v>
      </c>
      <c r="Z29" t="str">
        <f>MID('paste from garc here'!$C$1,1+(('table for research'!$B29-1)*36+HEX2DEC('table for research'!Z$1))*2,2)</f>
        <v>00</v>
      </c>
      <c r="AA29" t="str">
        <f>MID('paste from garc here'!$C$1,1+(('table for research'!$B29-1)*36+HEX2DEC('table for research'!AA$1))*2,2)</f>
        <v>00</v>
      </c>
      <c r="AB29" t="str">
        <f>MID('paste from garc here'!$C$1,1+(('table for research'!$B29-1)*36+HEX2DEC('table for research'!AB$1))*2,2)</f>
        <v>00</v>
      </c>
      <c r="AC29" t="str">
        <f>MID('paste from garc here'!$C$1,1+(('table for research'!$B29-1)*36+HEX2DEC('table for research'!AC$1))*2,2)</f>
        <v>00</v>
      </c>
      <c r="AD29" t="str">
        <f>MID('paste from garc here'!$C$1,1+(('table for research'!$B29-1)*36+HEX2DEC('table for research'!AD$1))*2,2)</f>
        <v>00</v>
      </c>
      <c r="AE29" t="str">
        <f>MID('paste from garc here'!$C$1,1+(('table for research'!$B29-1)*36+HEX2DEC('table for research'!AE$1))*2,2)</f>
        <v>00</v>
      </c>
      <c r="AF29" t="str">
        <f>MID('paste from garc here'!$C$1,1+(('table for research'!$B29-1)*36+HEX2DEC('table for research'!AF$1))*2,2)</f>
        <v>00</v>
      </c>
      <c r="AG29" t="str">
        <f>MID('paste from garc here'!$C$1,1+(('table for research'!$B29-1)*36+HEX2DEC('table for research'!AG$1))*2,2)</f>
        <v>00</v>
      </c>
      <c r="AH29" t="str">
        <f>MID('paste from garc here'!$C$1,1+(('table for research'!$B29-1)*36+HEX2DEC('table for research'!AH$1))*2,2)</f>
        <v>00</v>
      </c>
      <c r="AI29" t="str">
        <f>MID('paste from garc here'!$C$1,1+(('table for research'!$B29-1)*36+HEX2DEC('table for research'!AI$1))*2,2)</f>
        <v>00</v>
      </c>
      <c r="AJ29" t="str">
        <f>MID('paste from garc here'!$C$1,1+(('table for research'!$B29-1)*36+HEX2DEC('table for research'!AJ$1))*2,2)</f>
        <v>00</v>
      </c>
      <c r="AK29" t="str">
        <f>MID('paste from garc here'!$C$1,1+(('table for research'!$B29-1)*36+HEX2DEC('table for research'!AK$1))*2,2)</f>
        <v>00</v>
      </c>
      <c r="AL29" t="str">
        <f>MID('paste from garc here'!$C$1,1+(('table for research'!$B29-1)*36+HEX2DEC('table for research'!AL$1))*2,2)</f>
        <v>00</v>
      </c>
      <c r="AM29" t="str">
        <f>MID('paste from garc here'!$C$1,1+(('table for research'!$B29-1)*36+HEX2DEC('table for research'!AM$1))*2,2)</f>
        <v>00</v>
      </c>
      <c r="AN29" t="str">
        <f>MID('paste from garc here'!$C$1,1+(('table for research'!$B29-1)*36+HEX2DEC('table for research'!AN$1))*2,2)</f>
        <v>00</v>
      </c>
      <c r="AO29" t="str">
        <f>MID('paste from garc here'!$C$1,1+(('table for research'!$B29-1)*36+HEX2DEC('table for research'!AO$1))*2,2)</f>
        <v>00</v>
      </c>
    </row>
    <row r="30" spans="1:41" x14ac:dyDescent="0.4">
      <c r="A30" t="s">
        <v>42</v>
      </c>
      <c r="B30">
        <f>B29+1</f>
        <v>28</v>
      </c>
      <c r="C30" t="str">
        <f>MID('paste from garc here'!$C$1,1+(('table for research'!$B30-1)*36+HEX2DEC('table for research'!C$1))*2,2)</f>
        <v>C4</v>
      </c>
      <c r="D30" t="str">
        <f>MID('paste from garc here'!$C$1,1+(('table for research'!$B30-1)*36+HEX2DEC('table for research'!D$1))*2,2)</f>
        <v>09</v>
      </c>
      <c r="E30" t="str">
        <f>MID('paste from garc here'!$C$1,1+(('table for research'!$B30-1)*36+HEX2DEC('table for research'!E$1))*2,2)</f>
        <v>00</v>
      </c>
      <c r="F30" t="str">
        <f>MID('paste from garc here'!$C$1,1+(('table for research'!$B30-1)*36+HEX2DEC('table for research'!F$1))*2,2)</f>
        <v>00</v>
      </c>
      <c r="G30" t="str">
        <f>MID('paste from garc here'!$C$1,1+(('table for research'!$B30-1)*36+HEX2DEC('table for research'!G$1))*2,2)</f>
        <v>00</v>
      </c>
      <c r="H30" t="str">
        <f>MID('paste from garc here'!$C$1,1+(('table for research'!$B30-1)*36+HEX2DEC('table for research'!H$1))*2,2)</f>
        <v>00</v>
      </c>
      <c r="I30" t="str">
        <f>MID('paste from garc here'!$C$1,1+(('table for research'!$B30-1)*36+HEX2DEC('table for research'!I$1))*2,2)</f>
        <v>1E</v>
      </c>
      <c r="J30" t="str">
        <f>MID('paste from garc here'!$C$1,1+(('table for research'!$B30-1)*36+HEX2DEC('table for research'!J$1))*2,2)</f>
        <v>00</v>
      </c>
      <c r="K30" t="str">
        <f>DEC2HEX(_xlfn.BITAND(HEX2DEC(MID('paste from garc here'!$C$1,1+(('table for research'!$B30-1)*36+HEX2DEC(8))*2,2)),31),2)</f>
        <v>1F</v>
      </c>
      <c r="L30" t="str">
        <f>DEC2HEX(_xlfn.BITAND(HEX2DEC(MID('paste from garc here'!$C$1,1+(('table for research'!$B30-1)*36+HEX2DEC(8))*2,2)),32),2)</f>
        <v>00</v>
      </c>
      <c r="M30" t="str">
        <f>DEC2HEX(_xlfn.BITAND(HEX2DEC(MID('paste from garc here'!$C$1,1+(('table for research'!$B30-1)*36+HEX2DEC(8))*2,2)),64),2)</f>
        <v>00</v>
      </c>
      <c r="N30" t="str">
        <f>DEC2HEX(_xlfn.BITRSHIFT(_xlfn.BITAND(HEX2DEC(MID('paste from garc here'!$C$1,1+(('table for research'!$B30-1)*36+HEX2DEC(9))*2,2)&amp;MID('paste from garc here'!$C$1,1+(('table for research'!$B30-1)*36+HEX2DEC(8))*2,2)),1920),7),2)</f>
        <v>01</v>
      </c>
      <c r="O30" t="str">
        <f>DEC2HEX(_xlfn.BITRSHIFT(HEX2DEC(MID('paste from garc here'!$C$1,1+(('table for research'!$B30-1)*36+HEX2DEC(9))*2,2)&amp;MID('paste from garc here'!$C$1,1+(('table for research'!$B30-1)*36+HEX2DEC(8))*2,2)),11),2)</f>
        <v>08</v>
      </c>
      <c r="P30" t="str">
        <f>MID('paste from garc here'!$C$1,1+(('table for research'!$B30-1)*36+HEX2DEC('table for research'!P$1))*2,2)</f>
        <v>01</v>
      </c>
      <c r="Q30" t="str">
        <f>MID('paste from garc here'!$C$1,1+(('table for research'!$B30-1)*36+HEX2DEC('table for research'!Q$1))*2,2)</f>
        <v>00</v>
      </c>
      <c r="R30" t="str">
        <f>MID('paste from garc here'!$C$1,1+(('table for research'!$B30-1)*36+HEX2DEC('table for research'!R$1))*2,2)</f>
        <v>01</v>
      </c>
      <c r="S30" t="str">
        <f>MID('paste from garc here'!$C$1,1+(('table for research'!$B30-1)*36+HEX2DEC('table for research'!S$1))*2,2)</f>
        <v>00</v>
      </c>
      <c r="T30" t="str">
        <f>MID('paste from garc here'!$C$1,1+(('table for research'!$B30-1)*36+HEX2DEC('table for research'!T$1))*2,2)</f>
        <v>00</v>
      </c>
      <c r="U30" t="str">
        <f>MID('paste from garc here'!$C$1,1+(('table for research'!$B30-1)*36+HEX2DEC('table for research'!U$1))*2,2)</f>
        <v>05</v>
      </c>
      <c r="V30" t="str">
        <f>MID('paste from garc here'!$C$1,1+(('table for research'!$B30-1)*36+HEX2DEC('table for research'!V$1))*2,2)</f>
        <v>00</v>
      </c>
      <c r="W30" t="str">
        <f>MID('paste from garc here'!$C$1,1+(('table for research'!$B30-1)*36+HEX2DEC('table for research'!W$1))*2,2)</f>
        <v>01</v>
      </c>
      <c r="X30" t="str">
        <f>MID('paste from garc here'!$C$1,1+(('table for research'!$B30-1)*36+HEX2DEC('table for research'!X$1))*2,2)</f>
        <v>00</v>
      </c>
      <c r="Y30" t="str">
        <f>MID('paste from garc here'!$C$1,1+(('table for research'!$B30-1)*36+HEX2DEC('table for research'!Y$1))*2,2)</f>
        <v>00</v>
      </c>
      <c r="Z30" t="str">
        <f>MID('paste from garc here'!$C$1,1+(('table for research'!$B30-1)*36+HEX2DEC('table for research'!Z$1))*2,2)</f>
        <v>00</v>
      </c>
      <c r="AA30" t="str">
        <f>MID('paste from garc here'!$C$1,1+(('table for research'!$B30-1)*36+HEX2DEC('table for research'!AA$1))*2,2)</f>
        <v>04</v>
      </c>
      <c r="AB30" t="str">
        <f>MID('paste from garc here'!$C$1,1+(('table for research'!$B30-1)*36+HEX2DEC('table for research'!AB$1))*2,2)</f>
        <v>00</v>
      </c>
      <c r="AC30" t="str">
        <f>MID('paste from garc here'!$C$1,1+(('table for research'!$B30-1)*36+HEX2DEC('table for research'!AC$1))*2,2)</f>
        <v>00</v>
      </c>
      <c r="AD30" t="str">
        <f>MID('paste from garc here'!$C$1,1+(('table for research'!$B30-1)*36+HEX2DEC('table for research'!AD$1))*2,2)</f>
        <v>00</v>
      </c>
      <c r="AE30" t="str">
        <f>MID('paste from garc here'!$C$1,1+(('table for research'!$B30-1)*36+HEX2DEC('table for research'!AE$1))*2,2)</f>
        <v>00</v>
      </c>
      <c r="AF30" t="str">
        <f>MID('paste from garc here'!$C$1,1+(('table for research'!$B30-1)*36+HEX2DEC('table for research'!AF$1))*2,2)</f>
        <v>00</v>
      </c>
      <c r="AG30" t="str">
        <f>MID('paste from garc here'!$C$1,1+(('table for research'!$B30-1)*36+HEX2DEC('table for research'!AG$1))*2,2)</f>
        <v>00</v>
      </c>
      <c r="AH30" t="str">
        <f>MID('paste from garc here'!$C$1,1+(('table for research'!$B30-1)*36+HEX2DEC('table for research'!AH$1))*2,2)</f>
        <v>00</v>
      </c>
      <c r="AI30" t="str">
        <f>MID('paste from garc here'!$C$1,1+(('table for research'!$B30-1)*36+HEX2DEC('table for research'!AI$1))*2,2)</f>
        <v>01</v>
      </c>
      <c r="AJ30" t="str">
        <f>MID('paste from garc here'!$C$1,1+(('table for research'!$B30-1)*36+HEX2DEC('table for research'!AJ$1))*2,2)</f>
        <v>00</v>
      </c>
      <c r="AK30" t="str">
        <f>MID('paste from garc here'!$C$1,1+(('table for research'!$B30-1)*36+HEX2DEC('table for research'!AK$1))*2,2)</f>
        <v>00</v>
      </c>
      <c r="AL30" t="str">
        <f>MID('paste from garc here'!$C$1,1+(('table for research'!$B30-1)*36+HEX2DEC('table for research'!AL$1))*2,2)</f>
        <v>00</v>
      </c>
      <c r="AM30" t="str">
        <f>MID('paste from garc here'!$C$1,1+(('table for research'!$B30-1)*36+HEX2DEC('table for research'!AM$1))*2,2)</f>
        <v>00</v>
      </c>
      <c r="AN30" t="str">
        <f>MID('paste from garc here'!$C$1,1+(('table for research'!$B30-1)*36+HEX2DEC('table for research'!AN$1))*2,2)</f>
        <v>00</v>
      </c>
      <c r="AO30" t="str">
        <f>MID('paste from garc here'!$C$1,1+(('table for research'!$B30-1)*36+HEX2DEC('table for research'!AO$1))*2,2)</f>
        <v>00</v>
      </c>
    </row>
    <row r="31" spans="1:41" x14ac:dyDescent="0.4">
      <c r="A31" t="s">
        <v>43</v>
      </c>
      <c r="B31">
        <f>B30+1</f>
        <v>29</v>
      </c>
      <c r="C31" t="str">
        <f>MID('paste from garc here'!$C$1,1+(('table for research'!$B31-1)*36+HEX2DEC('table for research'!C$1))*2,2)</f>
        <v>88</v>
      </c>
      <c r="D31" t="str">
        <f>MID('paste from garc here'!$C$1,1+(('table for research'!$B31-1)*36+HEX2DEC('table for research'!D$1))*2,2)</f>
        <v>13</v>
      </c>
      <c r="E31" t="str">
        <f>MID('paste from garc here'!$C$1,1+(('table for research'!$B31-1)*36+HEX2DEC('table for research'!E$1))*2,2)</f>
        <v>00</v>
      </c>
      <c r="F31" t="str">
        <f>MID('paste from garc here'!$C$1,1+(('table for research'!$B31-1)*36+HEX2DEC('table for research'!F$1))*2,2)</f>
        <v>00</v>
      </c>
      <c r="G31" t="str">
        <f>MID('paste from garc here'!$C$1,1+(('table for research'!$B31-1)*36+HEX2DEC('table for research'!G$1))*2,2)</f>
        <v>00</v>
      </c>
      <c r="H31" t="str">
        <f>MID('paste from garc here'!$C$1,1+(('table for research'!$B31-1)*36+HEX2DEC('table for research'!H$1))*2,2)</f>
        <v>00</v>
      </c>
      <c r="I31" t="str">
        <f>MID('paste from garc here'!$C$1,1+(('table for research'!$B31-1)*36+HEX2DEC('table for research'!I$1))*2,2)</f>
        <v>1E</v>
      </c>
      <c r="J31" t="str">
        <f>MID('paste from garc here'!$C$1,1+(('table for research'!$B31-1)*36+HEX2DEC('table for research'!J$1))*2,2)</f>
        <v>00</v>
      </c>
      <c r="K31" t="str">
        <f>DEC2HEX(_xlfn.BITAND(HEX2DEC(MID('paste from garc here'!$C$1,1+(('table for research'!$B31-1)*36+HEX2DEC(8))*2,2)),31),2)</f>
        <v>1F</v>
      </c>
      <c r="L31" t="str">
        <f>DEC2HEX(_xlfn.BITAND(HEX2DEC(MID('paste from garc here'!$C$1,1+(('table for research'!$B31-1)*36+HEX2DEC(8))*2,2)),32),2)</f>
        <v>00</v>
      </c>
      <c r="M31" t="str">
        <f>DEC2HEX(_xlfn.BITAND(HEX2DEC(MID('paste from garc here'!$C$1,1+(('table for research'!$B31-1)*36+HEX2DEC(8))*2,2)),64),2)</f>
        <v>00</v>
      </c>
      <c r="N31" t="str">
        <f>DEC2HEX(_xlfn.BITRSHIFT(_xlfn.BITAND(HEX2DEC(MID('paste from garc here'!$C$1,1+(('table for research'!$B31-1)*36+HEX2DEC(9))*2,2)&amp;MID('paste from garc here'!$C$1,1+(('table for research'!$B31-1)*36+HEX2DEC(8))*2,2)),1920),7),2)</f>
        <v>01</v>
      </c>
      <c r="O31" t="str">
        <f>DEC2HEX(_xlfn.BITRSHIFT(HEX2DEC(MID('paste from garc here'!$C$1,1+(('table for research'!$B31-1)*36+HEX2DEC(9))*2,2)&amp;MID('paste from garc here'!$C$1,1+(('table for research'!$B31-1)*36+HEX2DEC(8))*2,2)),11),2)</f>
        <v>08</v>
      </c>
      <c r="P31" t="str">
        <f>MID('paste from garc here'!$C$1,1+(('table for research'!$B31-1)*36+HEX2DEC('table for research'!P$1))*2,2)</f>
        <v>01</v>
      </c>
      <c r="Q31" t="str">
        <f>MID('paste from garc here'!$C$1,1+(('table for research'!$B31-1)*36+HEX2DEC('table for research'!Q$1))*2,2)</f>
        <v>02</v>
      </c>
      <c r="R31" t="str">
        <f>MID('paste from garc here'!$C$1,1+(('table for research'!$B31-1)*36+HEX2DEC('table for research'!R$1))*2,2)</f>
        <v>01</v>
      </c>
      <c r="S31" t="str">
        <f>MID('paste from garc here'!$C$1,1+(('table for research'!$B31-1)*36+HEX2DEC('table for research'!S$1))*2,2)</f>
        <v>00</v>
      </c>
      <c r="T31" t="str">
        <f>MID('paste from garc here'!$C$1,1+(('table for research'!$B31-1)*36+HEX2DEC('table for research'!T$1))*2,2)</f>
        <v>00</v>
      </c>
      <c r="U31" t="str">
        <f>MID('paste from garc here'!$C$1,1+(('table for research'!$B31-1)*36+HEX2DEC('table for research'!U$1))*2,2)</f>
        <v>06</v>
      </c>
      <c r="V31" t="str">
        <f>MID('paste from garc here'!$C$1,1+(('table for research'!$B31-1)*36+HEX2DEC('table for research'!V$1))*2,2)</f>
        <v>00</v>
      </c>
      <c r="W31" t="str">
        <f>MID('paste from garc here'!$C$1,1+(('table for research'!$B31-1)*36+HEX2DEC('table for research'!W$1))*2,2)</f>
        <v>01</v>
      </c>
      <c r="X31" t="str">
        <f>MID('paste from garc here'!$C$1,1+(('table for research'!$B31-1)*36+HEX2DEC('table for research'!X$1))*2,2)</f>
        <v>00</v>
      </c>
      <c r="Y31" t="str">
        <f>MID('paste from garc here'!$C$1,1+(('table for research'!$B31-1)*36+HEX2DEC('table for research'!Y$1))*2,2)</f>
        <v>00</v>
      </c>
      <c r="Z31" t="str">
        <f>MID('paste from garc here'!$C$1,1+(('table for research'!$B31-1)*36+HEX2DEC('table for research'!Z$1))*2,2)</f>
        <v>00</v>
      </c>
      <c r="AA31" t="str">
        <f>MID('paste from garc here'!$C$1,1+(('table for research'!$B31-1)*36+HEX2DEC('table for research'!AA$1))*2,2)</f>
        <v>00</v>
      </c>
      <c r="AB31" t="str">
        <f>MID('paste from garc here'!$C$1,1+(('table for research'!$B31-1)*36+HEX2DEC('table for research'!AB$1))*2,2)</f>
        <v>00</v>
      </c>
      <c r="AC31" t="str">
        <f>MID('paste from garc here'!$C$1,1+(('table for research'!$B31-1)*36+HEX2DEC('table for research'!AC$1))*2,2)</f>
        <v>00</v>
      </c>
      <c r="AD31" t="str">
        <f>MID('paste from garc here'!$C$1,1+(('table for research'!$B31-1)*36+HEX2DEC('table for research'!AD$1))*2,2)</f>
        <v>00</v>
      </c>
      <c r="AE31" t="str">
        <f>MID('paste from garc here'!$C$1,1+(('table for research'!$B31-1)*36+HEX2DEC('table for research'!AE$1))*2,2)</f>
        <v>00</v>
      </c>
      <c r="AF31" t="str">
        <f>MID('paste from garc here'!$C$1,1+(('table for research'!$B31-1)*36+HEX2DEC('table for research'!AF$1))*2,2)</f>
        <v>00</v>
      </c>
      <c r="AG31" t="str">
        <f>MID('paste from garc here'!$C$1,1+(('table for research'!$B31-1)*36+HEX2DEC('table for research'!AG$1))*2,2)</f>
        <v>00</v>
      </c>
      <c r="AH31" t="str">
        <f>MID('paste from garc here'!$C$1,1+(('table for research'!$B31-1)*36+HEX2DEC('table for research'!AH$1))*2,2)</f>
        <v>00</v>
      </c>
      <c r="AI31" t="str">
        <f>MID('paste from garc here'!$C$1,1+(('table for research'!$B31-1)*36+HEX2DEC('table for research'!AI$1))*2,2)</f>
        <v>FD</v>
      </c>
      <c r="AJ31" t="str">
        <f>MID('paste from garc here'!$C$1,1+(('table for research'!$B31-1)*36+HEX2DEC('table for research'!AJ$1))*2,2)</f>
        <v>00</v>
      </c>
      <c r="AK31" t="str">
        <f>MID('paste from garc here'!$C$1,1+(('table for research'!$B31-1)*36+HEX2DEC('table for research'!AK$1))*2,2)</f>
        <v>00</v>
      </c>
      <c r="AL31" t="str">
        <f>MID('paste from garc here'!$C$1,1+(('table for research'!$B31-1)*36+HEX2DEC('table for research'!AL$1))*2,2)</f>
        <v>00</v>
      </c>
      <c r="AM31" t="str">
        <f>MID('paste from garc here'!$C$1,1+(('table for research'!$B31-1)*36+HEX2DEC('table for research'!AM$1))*2,2)</f>
        <v>00</v>
      </c>
      <c r="AN31" t="str">
        <f>MID('paste from garc here'!$C$1,1+(('table for research'!$B31-1)*36+HEX2DEC('table for research'!AN$1))*2,2)</f>
        <v>00</v>
      </c>
      <c r="AO31" t="str">
        <f>MID('paste from garc here'!$C$1,1+(('table for research'!$B31-1)*36+HEX2DEC('table for research'!AO$1))*2,2)</f>
        <v>00</v>
      </c>
    </row>
    <row r="32" spans="1:41" x14ac:dyDescent="0.4">
      <c r="A32" t="s">
        <v>44</v>
      </c>
      <c r="B32">
        <f>B31+1</f>
        <v>30</v>
      </c>
      <c r="C32" t="str">
        <f>MID('paste from garc here'!$C$1,1+(('table for research'!$B32-1)*36+HEX2DEC('table for research'!C$1))*2,2)</f>
        <v>14</v>
      </c>
      <c r="D32" t="str">
        <f>MID('paste from garc here'!$C$1,1+(('table for research'!$B32-1)*36+HEX2DEC('table for research'!D$1))*2,2)</f>
        <v>00</v>
      </c>
      <c r="E32" t="str">
        <f>MID('paste from garc here'!$C$1,1+(('table for research'!$B32-1)*36+HEX2DEC('table for research'!E$1))*2,2)</f>
        <v>00</v>
      </c>
      <c r="F32" t="str">
        <f>MID('paste from garc here'!$C$1,1+(('table for research'!$B32-1)*36+HEX2DEC('table for research'!F$1))*2,2)</f>
        <v>1E</v>
      </c>
      <c r="G32" t="str">
        <f>MID('paste from garc here'!$C$1,1+(('table for research'!$B32-1)*36+HEX2DEC('table for research'!G$1))*2,2)</f>
        <v>00</v>
      </c>
      <c r="H32" t="str">
        <f>MID('paste from garc here'!$C$1,1+(('table for research'!$B32-1)*36+HEX2DEC('table for research'!H$1))*2,2)</f>
        <v>00</v>
      </c>
      <c r="I32" t="str">
        <f>MID('paste from garc here'!$C$1,1+(('table for research'!$B32-1)*36+HEX2DEC('table for research'!I$1))*2,2)</f>
        <v>1E</v>
      </c>
      <c r="J32" t="str">
        <f>MID('paste from garc here'!$C$1,1+(('table for research'!$B32-1)*36+HEX2DEC('table for research'!J$1))*2,2)</f>
        <v>00</v>
      </c>
      <c r="K32" t="str">
        <f>DEC2HEX(_xlfn.BITAND(HEX2DEC(MID('paste from garc here'!$C$1,1+(('table for research'!$B32-1)*36+HEX2DEC(8))*2,2)),31),2)</f>
        <v>1F</v>
      </c>
      <c r="L32" t="str">
        <f>DEC2HEX(_xlfn.BITAND(HEX2DEC(MID('paste from garc here'!$C$1,1+(('table for research'!$B32-1)*36+HEX2DEC(8))*2,2)),32),2)</f>
        <v>00</v>
      </c>
      <c r="M32" t="str">
        <f>DEC2HEX(_xlfn.BITAND(HEX2DEC(MID('paste from garc here'!$C$1,1+(('table for research'!$B32-1)*36+HEX2DEC(8))*2,2)),64),2)</f>
        <v>00</v>
      </c>
      <c r="N32" t="str">
        <f>DEC2HEX(_xlfn.BITRSHIFT(_xlfn.BITAND(HEX2DEC(MID('paste from garc here'!$C$1,1+(('table for research'!$B32-1)*36+HEX2DEC(9))*2,2)&amp;MID('paste from garc here'!$C$1,1+(('table for research'!$B32-1)*36+HEX2DEC(8))*2,2)),1920),7),2)</f>
        <v>01</v>
      </c>
      <c r="O32" t="str">
        <f>DEC2HEX(_xlfn.BITRSHIFT(HEX2DEC(MID('paste from garc here'!$C$1,1+(('table for research'!$B32-1)*36+HEX2DEC(9))*2,2)&amp;MID('paste from garc here'!$C$1,1+(('table for research'!$B32-1)*36+HEX2DEC(8))*2,2)),11),2)</f>
        <v>04</v>
      </c>
      <c r="P32" t="str">
        <f>MID('paste from garc here'!$C$1,1+(('table for research'!$B32-1)*36+HEX2DEC('table for research'!P$1))*2,2)</f>
        <v>01</v>
      </c>
      <c r="Q32" t="str">
        <f>MID('paste from garc here'!$C$1,1+(('table for research'!$B32-1)*36+HEX2DEC('table for research'!Q$1))*2,2)</f>
        <v>02</v>
      </c>
      <c r="R32" t="str">
        <f>MID('paste from garc here'!$C$1,1+(('table for research'!$B32-1)*36+HEX2DEC('table for research'!R$1))*2,2)</f>
        <v>01</v>
      </c>
      <c r="S32" t="str">
        <f>MID('paste from garc here'!$C$1,1+(('table for research'!$B32-1)*36+HEX2DEC('table for research'!S$1))*2,2)</f>
        <v>00</v>
      </c>
      <c r="T32" t="str">
        <f>MID('paste from garc here'!$C$1,1+(('table for research'!$B32-1)*36+HEX2DEC('table for research'!T$1))*2,2)</f>
        <v>00</v>
      </c>
      <c r="U32" t="str">
        <f>MID('paste from garc here'!$C$1,1+(('table for research'!$B32-1)*36+HEX2DEC('table for research'!U$1))*2,2)</f>
        <v>09</v>
      </c>
      <c r="V32" t="str">
        <f>MID('paste from garc here'!$C$1,1+(('table for research'!$B32-1)*36+HEX2DEC('table for research'!V$1))*2,2)</f>
        <v>00</v>
      </c>
      <c r="W32" t="str">
        <f>MID('paste from garc here'!$C$1,1+(('table for research'!$B32-1)*36+HEX2DEC('table for research'!W$1))*2,2)</f>
        <v>00</v>
      </c>
      <c r="X32" t="str">
        <f>MID('paste from garc here'!$C$1,1+(('table for research'!$B32-1)*36+HEX2DEC('table for research'!X$1))*2,2)</f>
        <v>00</v>
      </c>
      <c r="Y32" t="str">
        <f>MID('paste from garc here'!$C$1,1+(('table for research'!$B32-1)*36+HEX2DEC('table for research'!Y$1))*2,2)</f>
        <v>00</v>
      </c>
      <c r="Z32" t="str">
        <f>MID('paste from garc here'!$C$1,1+(('table for research'!$B32-1)*36+HEX2DEC('table for research'!Z$1))*2,2)</f>
        <v>00</v>
      </c>
      <c r="AA32" t="str">
        <f>MID('paste from garc here'!$C$1,1+(('table for research'!$B32-1)*36+HEX2DEC('table for research'!AA$1))*2,2)</f>
        <v>04</v>
      </c>
      <c r="AB32" t="str">
        <f>MID('paste from garc here'!$C$1,1+(('table for research'!$B32-1)*36+HEX2DEC('table for research'!AB$1))*2,2)</f>
        <v>00</v>
      </c>
      <c r="AC32" t="str">
        <f>MID('paste from garc here'!$C$1,1+(('table for research'!$B32-1)*36+HEX2DEC('table for research'!AC$1))*2,2)</f>
        <v>00</v>
      </c>
      <c r="AD32" t="str">
        <f>MID('paste from garc here'!$C$1,1+(('table for research'!$B32-1)*36+HEX2DEC('table for research'!AD$1))*2,2)</f>
        <v>00</v>
      </c>
      <c r="AE32" t="str">
        <f>MID('paste from garc here'!$C$1,1+(('table for research'!$B32-1)*36+HEX2DEC('table for research'!AE$1))*2,2)</f>
        <v>00</v>
      </c>
      <c r="AF32" t="str">
        <f>MID('paste from garc here'!$C$1,1+(('table for research'!$B32-1)*36+HEX2DEC('table for research'!AF$1))*2,2)</f>
        <v>00</v>
      </c>
      <c r="AG32" t="str">
        <f>MID('paste from garc here'!$C$1,1+(('table for research'!$B32-1)*36+HEX2DEC('table for research'!AG$1))*2,2)</f>
        <v>00</v>
      </c>
      <c r="AH32" t="str">
        <f>MID('paste from garc here'!$C$1,1+(('table for research'!$B32-1)*36+HEX2DEC('table for research'!AH$1))*2,2)</f>
        <v>00</v>
      </c>
      <c r="AI32" t="str">
        <f>MID('paste from garc here'!$C$1,1+(('table for research'!$B32-1)*36+HEX2DEC('table for research'!AI$1))*2,2)</f>
        <v>32</v>
      </c>
      <c r="AJ32" t="str">
        <f>MID('paste from garc here'!$C$1,1+(('table for research'!$B32-1)*36+HEX2DEC('table for research'!AJ$1))*2,2)</f>
        <v>00</v>
      </c>
      <c r="AK32" t="str">
        <f>MID('paste from garc here'!$C$1,1+(('table for research'!$B32-1)*36+HEX2DEC('table for research'!AK$1))*2,2)</f>
        <v>00</v>
      </c>
      <c r="AL32" t="str">
        <f>MID('paste from garc here'!$C$1,1+(('table for research'!$B32-1)*36+HEX2DEC('table for research'!AL$1))*2,2)</f>
        <v>00</v>
      </c>
      <c r="AM32" t="str">
        <f>MID('paste from garc here'!$C$1,1+(('table for research'!$B32-1)*36+HEX2DEC('table for research'!AM$1))*2,2)</f>
        <v>00</v>
      </c>
      <c r="AN32" t="str">
        <f>MID('paste from garc here'!$C$1,1+(('table for research'!$B32-1)*36+HEX2DEC('table for research'!AN$1))*2,2)</f>
        <v>00</v>
      </c>
      <c r="AO32" t="str">
        <f>MID('paste from garc here'!$C$1,1+(('table for research'!$B32-1)*36+HEX2DEC('table for research'!AO$1))*2,2)</f>
        <v>00</v>
      </c>
    </row>
    <row r="33" spans="1:41" x14ac:dyDescent="0.4">
      <c r="A33" t="s">
        <v>45</v>
      </c>
      <c r="B33">
        <f>B32+1</f>
        <v>31</v>
      </c>
      <c r="C33" t="str">
        <f>MID('paste from garc here'!$C$1,1+(('table for research'!$B33-1)*36+HEX2DEC('table for research'!C$1))*2,2)</f>
        <v>1E</v>
      </c>
      <c r="D33" t="str">
        <f>MID('paste from garc here'!$C$1,1+(('table for research'!$B33-1)*36+HEX2DEC('table for research'!D$1))*2,2)</f>
        <v>00</v>
      </c>
      <c r="E33" t="str">
        <f>MID('paste from garc here'!$C$1,1+(('table for research'!$B33-1)*36+HEX2DEC('table for research'!E$1))*2,2)</f>
        <v>00</v>
      </c>
      <c r="F33" t="str">
        <f>MID('paste from garc here'!$C$1,1+(('table for research'!$B33-1)*36+HEX2DEC('table for research'!F$1))*2,2)</f>
        <v>32</v>
      </c>
      <c r="G33" t="str">
        <f>MID('paste from garc here'!$C$1,1+(('table for research'!$B33-1)*36+HEX2DEC('table for research'!G$1))*2,2)</f>
        <v>00</v>
      </c>
      <c r="H33" t="str">
        <f>MID('paste from garc here'!$C$1,1+(('table for research'!$B33-1)*36+HEX2DEC('table for research'!H$1))*2,2)</f>
        <v>00</v>
      </c>
      <c r="I33" t="str">
        <f>MID('paste from garc here'!$C$1,1+(('table for research'!$B33-1)*36+HEX2DEC('table for research'!I$1))*2,2)</f>
        <v>1E</v>
      </c>
      <c r="J33" t="str">
        <f>MID('paste from garc here'!$C$1,1+(('table for research'!$B33-1)*36+HEX2DEC('table for research'!J$1))*2,2)</f>
        <v>00</v>
      </c>
      <c r="K33" t="str">
        <f>DEC2HEX(_xlfn.BITAND(HEX2DEC(MID('paste from garc here'!$C$1,1+(('table for research'!$B33-1)*36+HEX2DEC(8))*2,2)),31),2)</f>
        <v>1F</v>
      </c>
      <c r="L33" t="str">
        <f>DEC2HEX(_xlfn.BITAND(HEX2DEC(MID('paste from garc here'!$C$1,1+(('table for research'!$B33-1)*36+HEX2DEC(8))*2,2)),32),2)</f>
        <v>00</v>
      </c>
      <c r="M33" t="str">
        <f>DEC2HEX(_xlfn.BITAND(HEX2DEC(MID('paste from garc here'!$C$1,1+(('table for research'!$B33-1)*36+HEX2DEC(8))*2,2)),64),2)</f>
        <v>00</v>
      </c>
      <c r="N33" t="str">
        <f>DEC2HEX(_xlfn.BITRSHIFT(_xlfn.BITAND(HEX2DEC(MID('paste from garc here'!$C$1,1+(('table for research'!$B33-1)*36+HEX2DEC(9))*2,2)&amp;MID('paste from garc here'!$C$1,1+(('table for research'!$B33-1)*36+HEX2DEC(8))*2,2)),1920),7),2)</f>
        <v>01</v>
      </c>
      <c r="O33" t="str">
        <f>DEC2HEX(_xlfn.BITRSHIFT(HEX2DEC(MID('paste from garc here'!$C$1,1+(('table for research'!$B33-1)*36+HEX2DEC(9))*2,2)&amp;MID('paste from garc here'!$C$1,1+(('table for research'!$B33-1)*36+HEX2DEC(8))*2,2)),11),2)</f>
        <v>04</v>
      </c>
      <c r="P33" t="str">
        <f>MID('paste from garc here'!$C$1,1+(('table for research'!$B33-1)*36+HEX2DEC('table for research'!P$1))*2,2)</f>
        <v>01</v>
      </c>
      <c r="Q33" t="str">
        <f>MID('paste from garc here'!$C$1,1+(('table for research'!$B33-1)*36+HEX2DEC('table for research'!Q$1))*2,2)</f>
        <v>02</v>
      </c>
      <c r="R33" t="str">
        <f>MID('paste from garc here'!$C$1,1+(('table for research'!$B33-1)*36+HEX2DEC('table for research'!R$1))*2,2)</f>
        <v>01</v>
      </c>
      <c r="S33" t="str">
        <f>MID('paste from garc here'!$C$1,1+(('table for research'!$B33-1)*36+HEX2DEC('table for research'!S$1))*2,2)</f>
        <v>00</v>
      </c>
      <c r="T33" t="str">
        <f>MID('paste from garc here'!$C$1,1+(('table for research'!$B33-1)*36+HEX2DEC('table for research'!T$1))*2,2)</f>
        <v>00</v>
      </c>
      <c r="U33" t="str">
        <f>MID('paste from garc here'!$C$1,1+(('table for research'!$B33-1)*36+HEX2DEC('table for research'!U$1))*2,2)</f>
        <v>0A</v>
      </c>
      <c r="V33" t="str">
        <f>MID('paste from garc here'!$C$1,1+(('table for research'!$B33-1)*36+HEX2DEC('table for research'!V$1))*2,2)</f>
        <v>00</v>
      </c>
      <c r="W33" t="str">
        <f>MID('paste from garc here'!$C$1,1+(('table for research'!$B33-1)*36+HEX2DEC('table for research'!W$1))*2,2)</f>
        <v>00</v>
      </c>
      <c r="X33" t="str">
        <f>MID('paste from garc here'!$C$1,1+(('table for research'!$B33-1)*36+HEX2DEC('table for research'!X$1))*2,2)</f>
        <v>00</v>
      </c>
      <c r="Y33" t="str">
        <f>MID('paste from garc here'!$C$1,1+(('table for research'!$B33-1)*36+HEX2DEC('table for research'!Y$1))*2,2)</f>
        <v>00</v>
      </c>
      <c r="Z33" t="str">
        <f>MID('paste from garc here'!$C$1,1+(('table for research'!$B33-1)*36+HEX2DEC('table for research'!Z$1))*2,2)</f>
        <v>00</v>
      </c>
      <c r="AA33" t="str">
        <f>MID('paste from garc here'!$C$1,1+(('table for research'!$B33-1)*36+HEX2DEC('table for research'!AA$1))*2,2)</f>
        <v>04</v>
      </c>
      <c r="AB33" t="str">
        <f>MID('paste from garc here'!$C$1,1+(('table for research'!$B33-1)*36+HEX2DEC('table for research'!AB$1))*2,2)</f>
        <v>00</v>
      </c>
      <c r="AC33" t="str">
        <f>MID('paste from garc here'!$C$1,1+(('table for research'!$B33-1)*36+HEX2DEC('table for research'!AC$1))*2,2)</f>
        <v>00</v>
      </c>
      <c r="AD33" t="str">
        <f>MID('paste from garc here'!$C$1,1+(('table for research'!$B33-1)*36+HEX2DEC('table for research'!AD$1))*2,2)</f>
        <v>00</v>
      </c>
      <c r="AE33" t="str">
        <f>MID('paste from garc here'!$C$1,1+(('table for research'!$B33-1)*36+HEX2DEC('table for research'!AE$1))*2,2)</f>
        <v>00</v>
      </c>
      <c r="AF33" t="str">
        <f>MID('paste from garc here'!$C$1,1+(('table for research'!$B33-1)*36+HEX2DEC('table for research'!AF$1))*2,2)</f>
        <v>00</v>
      </c>
      <c r="AG33" t="str">
        <f>MID('paste from garc here'!$C$1,1+(('table for research'!$B33-1)*36+HEX2DEC('table for research'!AG$1))*2,2)</f>
        <v>00</v>
      </c>
      <c r="AH33" t="str">
        <f>MID('paste from garc here'!$C$1,1+(('table for research'!$B33-1)*36+HEX2DEC('table for research'!AH$1))*2,2)</f>
        <v>00</v>
      </c>
      <c r="AI33" t="str">
        <f>MID('paste from garc here'!$C$1,1+(('table for research'!$B33-1)*36+HEX2DEC('table for research'!AI$1))*2,2)</f>
        <v>3C</v>
      </c>
      <c r="AJ33" t="str">
        <f>MID('paste from garc here'!$C$1,1+(('table for research'!$B33-1)*36+HEX2DEC('table for research'!AJ$1))*2,2)</f>
        <v>00</v>
      </c>
      <c r="AK33" t="str">
        <f>MID('paste from garc here'!$C$1,1+(('table for research'!$B33-1)*36+HEX2DEC('table for research'!AK$1))*2,2)</f>
        <v>00</v>
      </c>
      <c r="AL33" t="str">
        <f>MID('paste from garc here'!$C$1,1+(('table for research'!$B33-1)*36+HEX2DEC('table for research'!AL$1))*2,2)</f>
        <v>00</v>
      </c>
      <c r="AM33" t="str">
        <f>MID('paste from garc here'!$C$1,1+(('table for research'!$B33-1)*36+HEX2DEC('table for research'!AM$1))*2,2)</f>
        <v>00</v>
      </c>
      <c r="AN33" t="str">
        <f>MID('paste from garc here'!$C$1,1+(('table for research'!$B33-1)*36+HEX2DEC('table for research'!AN$1))*2,2)</f>
        <v>00</v>
      </c>
      <c r="AO33" t="str">
        <f>MID('paste from garc here'!$C$1,1+(('table for research'!$B33-1)*36+HEX2DEC('table for research'!AO$1))*2,2)</f>
        <v>00</v>
      </c>
    </row>
    <row r="34" spans="1:41" x14ac:dyDescent="0.4">
      <c r="A34" t="s">
        <v>46</v>
      </c>
      <c r="B34">
        <f>B33+1</f>
        <v>32</v>
      </c>
      <c r="C34" t="str">
        <f>MID('paste from garc here'!$C$1,1+(('table for research'!$B34-1)*36+HEX2DEC('table for research'!C$1))*2,2)</f>
        <v>28</v>
      </c>
      <c r="D34" t="str">
        <f>MID('paste from garc here'!$C$1,1+(('table for research'!$B34-1)*36+HEX2DEC('table for research'!D$1))*2,2)</f>
        <v>00</v>
      </c>
      <c r="E34" t="str">
        <f>MID('paste from garc here'!$C$1,1+(('table for research'!$B34-1)*36+HEX2DEC('table for research'!E$1))*2,2)</f>
        <v>00</v>
      </c>
      <c r="F34" t="str">
        <f>MID('paste from garc here'!$C$1,1+(('table for research'!$B34-1)*36+HEX2DEC('table for research'!F$1))*2,2)</f>
        <v>46</v>
      </c>
      <c r="G34" t="str">
        <f>MID('paste from garc here'!$C$1,1+(('table for research'!$B34-1)*36+HEX2DEC('table for research'!G$1))*2,2)</f>
        <v>00</v>
      </c>
      <c r="H34" t="str">
        <f>MID('paste from garc here'!$C$1,1+(('table for research'!$B34-1)*36+HEX2DEC('table for research'!H$1))*2,2)</f>
        <v>00</v>
      </c>
      <c r="I34" t="str">
        <f>MID('paste from garc here'!$C$1,1+(('table for research'!$B34-1)*36+HEX2DEC('table for research'!I$1))*2,2)</f>
        <v>1E</v>
      </c>
      <c r="J34" t="str">
        <f>MID('paste from garc here'!$C$1,1+(('table for research'!$B34-1)*36+HEX2DEC('table for research'!J$1))*2,2)</f>
        <v>00</v>
      </c>
      <c r="K34" t="str">
        <f>DEC2HEX(_xlfn.BITAND(HEX2DEC(MID('paste from garc here'!$C$1,1+(('table for research'!$B34-1)*36+HEX2DEC(8))*2,2)),31),2)</f>
        <v>1F</v>
      </c>
      <c r="L34" t="str">
        <f>DEC2HEX(_xlfn.BITAND(HEX2DEC(MID('paste from garc here'!$C$1,1+(('table for research'!$B34-1)*36+HEX2DEC(8))*2,2)),32),2)</f>
        <v>00</v>
      </c>
      <c r="M34" t="str">
        <f>DEC2HEX(_xlfn.BITAND(HEX2DEC(MID('paste from garc here'!$C$1,1+(('table for research'!$B34-1)*36+HEX2DEC(8))*2,2)),64),2)</f>
        <v>00</v>
      </c>
      <c r="N34" t="str">
        <f>DEC2HEX(_xlfn.BITRSHIFT(_xlfn.BITAND(HEX2DEC(MID('paste from garc here'!$C$1,1+(('table for research'!$B34-1)*36+HEX2DEC(9))*2,2)&amp;MID('paste from garc here'!$C$1,1+(('table for research'!$B34-1)*36+HEX2DEC(8))*2,2)),1920),7),2)</f>
        <v>01</v>
      </c>
      <c r="O34" t="str">
        <f>DEC2HEX(_xlfn.BITRSHIFT(HEX2DEC(MID('paste from garc here'!$C$1,1+(('table for research'!$B34-1)*36+HEX2DEC(9))*2,2)&amp;MID('paste from garc here'!$C$1,1+(('table for research'!$B34-1)*36+HEX2DEC(8))*2,2)),11),2)</f>
        <v>04</v>
      </c>
      <c r="P34" t="str">
        <f>MID('paste from garc here'!$C$1,1+(('table for research'!$B34-1)*36+HEX2DEC('table for research'!P$1))*2,2)</f>
        <v>01</v>
      </c>
      <c r="Q34" t="str">
        <f>MID('paste from garc here'!$C$1,1+(('table for research'!$B34-1)*36+HEX2DEC('table for research'!Q$1))*2,2)</f>
        <v>02</v>
      </c>
      <c r="R34" t="str">
        <f>MID('paste from garc here'!$C$1,1+(('table for research'!$B34-1)*36+HEX2DEC('table for research'!R$1))*2,2)</f>
        <v>01</v>
      </c>
      <c r="S34" t="str">
        <f>MID('paste from garc here'!$C$1,1+(('table for research'!$B34-1)*36+HEX2DEC('table for research'!S$1))*2,2)</f>
        <v>00</v>
      </c>
      <c r="T34" t="str">
        <f>MID('paste from garc here'!$C$1,1+(('table for research'!$B34-1)*36+HEX2DEC('table for research'!T$1))*2,2)</f>
        <v>00</v>
      </c>
      <c r="U34" t="str">
        <f>MID('paste from garc here'!$C$1,1+(('table for research'!$B34-1)*36+HEX2DEC('table for research'!U$1))*2,2)</f>
        <v>0B</v>
      </c>
      <c r="V34" t="str">
        <f>MID('paste from garc here'!$C$1,1+(('table for research'!$B34-1)*36+HEX2DEC('table for research'!V$1))*2,2)</f>
        <v>00</v>
      </c>
      <c r="W34" t="str">
        <f>MID('paste from garc here'!$C$1,1+(('table for research'!$B34-1)*36+HEX2DEC('table for research'!W$1))*2,2)</f>
        <v>00</v>
      </c>
      <c r="X34" t="str">
        <f>MID('paste from garc here'!$C$1,1+(('table for research'!$B34-1)*36+HEX2DEC('table for research'!X$1))*2,2)</f>
        <v>00</v>
      </c>
      <c r="Y34" t="str">
        <f>MID('paste from garc here'!$C$1,1+(('table for research'!$B34-1)*36+HEX2DEC('table for research'!Y$1))*2,2)</f>
        <v>00</v>
      </c>
      <c r="Z34" t="str">
        <f>MID('paste from garc here'!$C$1,1+(('table for research'!$B34-1)*36+HEX2DEC('table for research'!Z$1))*2,2)</f>
        <v>00</v>
      </c>
      <c r="AA34" t="str">
        <f>MID('paste from garc here'!$C$1,1+(('table for research'!$B34-1)*36+HEX2DEC('table for research'!AA$1))*2,2)</f>
        <v>04</v>
      </c>
      <c r="AB34" t="str">
        <f>MID('paste from garc here'!$C$1,1+(('table for research'!$B34-1)*36+HEX2DEC('table for research'!AB$1))*2,2)</f>
        <v>00</v>
      </c>
      <c r="AC34" t="str">
        <f>MID('paste from garc here'!$C$1,1+(('table for research'!$B34-1)*36+HEX2DEC('table for research'!AC$1))*2,2)</f>
        <v>00</v>
      </c>
      <c r="AD34" t="str">
        <f>MID('paste from garc here'!$C$1,1+(('table for research'!$B34-1)*36+HEX2DEC('table for research'!AD$1))*2,2)</f>
        <v>00</v>
      </c>
      <c r="AE34" t="str">
        <f>MID('paste from garc here'!$C$1,1+(('table for research'!$B34-1)*36+HEX2DEC('table for research'!AE$1))*2,2)</f>
        <v>00</v>
      </c>
      <c r="AF34" t="str">
        <f>MID('paste from garc here'!$C$1,1+(('table for research'!$B34-1)*36+HEX2DEC('table for research'!AF$1))*2,2)</f>
        <v>00</v>
      </c>
      <c r="AG34" t="str">
        <f>MID('paste from garc here'!$C$1,1+(('table for research'!$B34-1)*36+HEX2DEC('table for research'!AG$1))*2,2)</f>
        <v>00</v>
      </c>
      <c r="AH34" t="str">
        <f>MID('paste from garc here'!$C$1,1+(('table for research'!$B34-1)*36+HEX2DEC('table for research'!AH$1))*2,2)</f>
        <v>00</v>
      </c>
      <c r="AI34" t="str">
        <f>MID('paste from garc here'!$C$1,1+(('table for research'!$B34-1)*36+HEX2DEC('table for research'!AI$1))*2,2)</f>
        <v>50</v>
      </c>
      <c r="AJ34" t="str">
        <f>MID('paste from garc here'!$C$1,1+(('table for research'!$B34-1)*36+HEX2DEC('table for research'!AJ$1))*2,2)</f>
        <v>00</v>
      </c>
      <c r="AK34" t="str">
        <f>MID('paste from garc here'!$C$1,1+(('table for research'!$B34-1)*36+HEX2DEC('table for research'!AK$1))*2,2)</f>
        <v>00</v>
      </c>
      <c r="AL34" t="str">
        <f>MID('paste from garc here'!$C$1,1+(('table for research'!$B34-1)*36+HEX2DEC('table for research'!AL$1))*2,2)</f>
        <v>00</v>
      </c>
      <c r="AM34" t="str">
        <f>MID('paste from garc here'!$C$1,1+(('table for research'!$B34-1)*36+HEX2DEC('table for research'!AM$1))*2,2)</f>
        <v>00</v>
      </c>
      <c r="AN34" t="str">
        <f>MID('paste from garc here'!$C$1,1+(('table for research'!$B34-1)*36+HEX2DEC('table for research'!AN$1))*2,2)</f>
        <v>00</v>
      </c>
      <c r="AO34" t="str">
        <f>MID('paste from garc here'!$C$1,1+(('table for research'!$B34-1)*36+HEX2DEC('table for research'!AO$1))*2,2)</f>
        <v>00</v>
      </c>
    </row>
    <row r="35" spans="1:41" x14ac:dyDescent="0.4">
      <c r="A35" t="s">
        <v>47</v>
      </c>
      <c r="B35">
        <f>B34+1</f>
        <v>33</v>
      </c>
      <c r="C35" t="str">
        <f>MID('paste from garc here'!$C$1,1+(('table for research'!$B35-1)*36+HEX2DEC('table for research'!C$1))*2,2)</f>
        <v>78</v>
      </c>
      <c r="D35" t="str">
        <f>MID('paste from garc here'!$C$1,1+(('table for research'!$B35-1)*36+HEX2DEC('table for research'!D$1))*2,2)</f>
        <v>00</v>
      </c>
      <c r="E35" t="str">
        <f>MID('paste from garc here'!$C$1,1+(('table for research'!$B35-1)*36+HEX2DEC('table for research'!E$1))*2,2)</f>
        <v>00</v>
      </c>
      <c r="F35" t="str">
        <f>MID('paste from garc here'!$C$1,1+(('table for research'!$B35-1)*36+HEX2DEC('table for research'!F$1))*2,2)</f>
        <v>64</v>
      </c>
      <c r="G35" t="str">
        <f>MID('paste from garc here'!$C$1,1+(('table for research'!$B35-1)*36+HEX2DEC('table for research'!G$1))*2,2)</f>
        <v>00</v>
      </c>
      <c r="H35" t="str">
        <f>MID('paste from garc here'!$C$1,1+(('table for research'!$B35-1)*36+HEX2DEC('table for research'!H$1))*2,2)</f>
        <v>00</v>
      </c>
      <c r="I35" t="str">
        <f>MID('paste from garc here'!$C$1,1+(('table for research'!$B35-1)*36+HEX2DEC('table for research'!I$1))*2,2)</f>
        <v>1E</v>
      </c>
      <c r="J35" t="str">
        <f>MID('paste from garc here'!$C$1,1+(('table for research'!$B35-1)*36+HEX2DEC('table for research'!J$1))*2,2)</f>
        <v>00</v>
      </c>
      <c r="K35" t="str">
        <f>DEC2HEX(_xlfn.BITAND(HEX2DEC(MID('paste from garc here'!$C$1,1+(('table for research'!$B35-1)*36+HEX2DEC(8))*2,2)),31),2)</f>
        <v>1F</v>
      </c>
      <c r="L35" t="str">
        <f>DEC2HEX(_xlfn.BITAND(HEX2DEC(MID('paste from garc here'!$C$1,1+(('table for research'!$B35-1)*36+HEX2DEC(8))*2,2)),32),2)</f>
        <v>00</v>
      </c>
      <c r="M35" t="str">
        <f>DEC2HEX(_xlfn.BITAND(HEX2DEC(MID('paste from garc here'!$C$1,1+(('table for research'!$B35-1)*36+HEX2DEC(8))*2,2)),64),2)</f>
        <v>00</v>
      </c>
      <c r="N35" t="str">
        <f>DEC2HEX(_xlfn.BITRSHIFT(_xlfn.BITAND(HEX2DEC(MID('paste from garc here'!$C$1,1+(('table for research'!$B35-1)*36+HEX2DEC(9))*2,2)&amp;MID('paste from garc here'!$C$1,1+(('table for research'!$B35-1)*36+HEX2DEC(8))*2,2)),1920),7),2)</f>
        <v>01</v>
      </c>
      <c r="O35" t="str">
        <f>DEC2HEX(_xlfn.BITRSHIFT(HEX2DEC(MID('paste from garc here'!$C$1,1+(('table for research'!$B35-1)*36+HEX2DEC(9))*2,2)&amp;MID('paste from garc here'!$C$1,1+(('table for research'!$B35-1)*36+HEX2DEC(8))*2,2)),11),2)</f>
        <v>04</v>
      </c>
      <c r="P35" t="str">
        <f>MID('paste from garc here'!$C$1,1+(('table for research'!$B35-1)*36+HEX2DEC('table for research'!P$1))*2,2)</f>
        <v>01</v>
      </c>
      <c r="Q35" t="str">
        <f>MID('paste from garc here'!$C$1,1+(('table for research'!$B35-1)*36+HEX2DEC('table for research'!Q$1))*2,2)</f>
        <v>02</v>
      </c>
      <c r="R35" t="str">
        <f>MID('paste from garc here'!$C$1,1+(('table for research'!$B35-1)*36+HEX2DEC('table for research'!R$1))*2,2)</f>
        <v>01</v>
      </c>
      <c r="S35" t="str">
        <f>MID('paste from garc here'!$C$1,1+(('table for research'!$B35-1)*36+HEX2DEC('table for research'!S$1))*2,2)</f>
        <v>00</v>
      </c>
      <c r="T35" t="str">
        <f>MID('paste from garc here'!$C$1,1+(('table for research'!$B35-1)*36+HEX2DEC('table for research'!T$1))*2,2)</f>
        <v>00</v>
      </c>
      <c r="U35" t="str">
        <f>MID('paste from garc here'!$C$1,1+(('table for research'!$B35-1)*36+HEX2DEC('table for research'!U$1))*2,2)</f>
        <v>0C</v>
      </c>
      <c r="V35" t="str">
        <f>MID('paste from garc here'!$C$1,1+(('table for research'!$B35-1)*36+HEX2DEC('table for research'!V$1))*2,2)</f>
        <v>00</v>
      </c>
      <c r="W35" t="str">
        <f>MID('paste from garc here'!$C$1,1+(('table for research'!$B35-1)*36+HEX2DEC('table for research'!W$1))*2,2)</f>
        <v>00</v>
      </c>
      <c r="X35" t="str">
        <f>MID('paste from garc here'!$C$1,1+(('table for research'!$B35-1)*36+HEX2DEC('table for research'!X$1))*2,2)</f>
        <v>00</v>
      </c>
      <c r="Y35" t="str">
        <f>MID('paste from garc here'!$C$1,1+(('table for research'!$B35-1)*36+HEX2DEC('table for research'!Y$1))*2,2)</f>
        <v>00</v>
      </c>
      <c r="Z35" t="str">
        <f>MID('paste from garc here'!$C$1,1+(('table for research'!$B35-1)*36+HEX2DEC('table for research'!Z$1))*2,2)</f>
        <v>00</v>
      </c>
      <c r="AA35" t="str">
        <f>MID('paste from garc here'!$C$1,1+(('table for research'!$B35-1)*36+HEX2DEC('table for research'!AA$1))*2,2)</f>
        <v>04</v>
      </c>
      <c r="AB35" t="str">
        <f>MID('paste from garc here'!$C$1,1+(('table for research'!$B35-1)*36+HEX2DEC('table for research'!AB$1))*2,2)</f>
        <v>00</v>
      </c>
      <c r="AC35" t="str">
        <f>MID('paste from garc here'!$C$1,1+(('table for research'!$B35-1)*36+HEX2DEC('table for research'!AC$1))*2,2)</f>
        <v>00</v>
      </c>
      <c r="AD35" t="str">
        <f>MID('paste from garc here'!$C$1,1+(('table for research'!$B35-1)*36+HEX2DEC('table for research'!AD$1))*2,2)</f>
        <v>00</v>
      </c>
      <c r="AE35" t="str">
        <f>MID('paste from garc here'!$C$1,1+(('table for research'!$B35-1)*36+HEX2DEC('table for research'!AE$1))*2,2)</f>
        <v>00</v>
      </c>
      <c r="AF35" t="str">
        <f>MID('paste from garc here'!$C$1,1+(('table for research'!$B35-1)*36+HEX2DEC('table for research'!AF$1))*2,2)</f>
        <v>00</v>
      </c>
      <c r="AG35" t="str">
        <f>MID('paste from garc here'!$C$1,1+(('table for research'!$B35-1)*36+HEX2DEC('table for research'!AG$1))*2,2)</f>
        <v>00</v>
      </c>
      <c r="AH35" t="str">
        <f>MID('paste from garc here'!$C$1,1+(('table for research'!$B35-1)*36+HEX2DEC('table for research'!AH$1))*2,2)</f>
        <v>00</v>
      </c>
      <c r="AI35" t="str">
        <f>MID('paste from garc here'!$C$1,1+(('table for research'!$B35-1)*36+HEX2DEC('table for research'!AI$1))*2,2)</f>
        <v>64</v>
      </c>
      <c r="AJ35" t="str">
        <f>MID('paste from garc here'!$C$1,1+(('table for research'!$B35-1)*36+HEX2DEC('table for research'!AJ$1))*2,2)</f>
        <v>00</v>
      </c>
      <c r="AK35" t="str">
        <f>MID('paste from garc here'!$C$1,1+(('table for research'!$B35-1)*36+HEX2DEC('table for research'!AK$1))*2,2)</f>
        <v>00</v>
      </c>
      <c r="AL35" t="str">
        <f>MID('paste from garc here'!$C$1,1+(('table for research'!$B35-1)*36+HEX2DEC('table for research'!AL$1))*2,2)</f>
        <v>00</v>
      </c>
      <c r="AM35" t="str">
        <f>MID('paste from garc here'!$C$1,1+(('table for research'!$B35-1)*36+HEX2DEC('table for research'!AM$1))*2,2)</f>
        <v>00</v>
      </c>
      <c r="AN35" t="str">
        <f>MID('paste from garc here'!$C$1,1+(('table for research'!$B35-1)*36+HEX2DEC('table for research'!AN$1))*2,2)</f>
        <v>00</v>
      </c>
      <c r="AO35" t="str">
        <f>MID('paste from garc here'!$C$1,1+(('table for research'!$B35-1)*36+HEX2DEC('table for research'!AO$1))*2,2)</f>
        <v>00</v>
      </c>
    </row>
    <row r="36" spans="1:41" x14ac:dyDescent="0.4">
      <c r="A36" t="s">
        <v>48</v>
      </c>
      <c r="B36">
        <f>B35+1</f>
        <v>34</v>
      </c>
      <c r="C36" t="str">
        <f>MID('paste from garc here'!$C$1,1+(('table for research'!$B36-1)*36+HEX2DEC('table for research'!C$1))*2,2)</f>
        <v>32</v>
      </c>
      <c r="D36" t="str">
        <f>MID('paste from garc here'!$C$1,1+(('table for research'!$B36-1)*36+HEX2DEC('table for research'!D$1))*2,2)</f>
        <v>00</v>
      </c>
      <c r="E36" t="str">
        <f>MID('paste from garc here'!$C$1,1+(('table for research'!$B36-1)*36+HEX2DEC('table for research'!E$1))*2,2)</f>
        <v>00</v>
      </c>
      <c r="F36" t="str">
        <f>MID('paste from garc here'!$C$1,1+(('table for research'!$B36-1)*36+HEX2DEC('table for research'!F$1))*2,2)</f>
        <v>00</v>
      </c>
      <c r="G36" t="str">
        <f>MID('paste from garc here'!$C$1,1+(('table for research'!$B36-1)*36+HEX2DEC('table for research'!G$1))*2,2)</f>
        <v>00</v>
      </c>
      <c r="H36" t="str">
        <f>MID('paste from garc here'!$C$1,1+(('table for research'!$B36-1)*36+HEX2DEC('table for research'!H$1))*2,2)</f>
        <v>00</v>
      </c>
      <c r="I36" t="str">
        <f>MID('paste from garc here'!$C$1,1+(('table for research'!$B36-1)*36+HEX2DEC('table for research'!I$1))*2,2)</f>
        <v>1E</v>
      </c>
      <c r="J36" t="str">
        <f>MID('paste from garc here'!$C$1,1+(('table for research'!$B36-1)*36+HEX2DEC('table for research'!J$1))*2,2)</f>
        <v>00</v>
      </c>
      <c r="K36" t="str">
        <f>DEC2HEX(_xlfn.BITAND(HEX2DEC(MID('paste from garc here'!$C$1,1+(('table for research'!$B36-1)*36+HEX2DEC(8))*2,2)),31),2)</f>
        <v>1F</v>
      </c>
      <c r="L36" t="str">
        <f>DEC2HEX(_xlfn.BITAND(HEX2DEC(MID('paste from garc here'!$C$1,1+(('table for research'!$B36-1)*36+HEX2DEC(8))*2,2)),32),2)</f>
        <v>00</v>
      </c>
      <c r="M36" t="str">
        <f>DEC2HEX(_xlfn.BITAND(HEX2DEC(MID('paste from garc here'!$C$1,1+(('table for research'!$B36-1)*36+HEX2DEC(8))*2,2)),64),2)</f>
        <v>00</v>
      </c>
      <c r="N36" t="str">
        <f>DEC2HEX(_xlfn.BITRSHIFT(_xlfn.BITAND(HEX2DEC(MID('paste from garc here'!$C$1,1+(('table for research'!$B36-1)*36+HEX2DEC(9))*2,2)&amp;MID('paste from garc here'!$C$1,1+(('table for research'!$B36-1)*36+HEX2DEC(8))*2,2)),1920),7),2)</f>
        <v>01</v>
      </c>
      <c r="O36" t="str">
        <f>DEC2HEX(_xlfn.BITRSHIFT(HEX2DEC(MID('paste from garc here'!$C$1,1+(('table for research'!$B36-1)*36+HEX2DEC(9))*2,2)&amp;MID('paste from garc here'!$C$1,1+(('table for research'!$B36-1)*36+HEX2DEC(8))*2,2)),11),2)</f>
        <v>04</v>
      </c>
      <c r="P36" t="str">
        <f>MID('paste from garc here'!$C$1,1+(('table for research'!$B36-1)*36+HEX2DEC('table for research'!P$1))*2,2)</f>
        <v>01</v>
      </c>
      <c r="Q36" t="str">
        <f>MID('paste from garc here'!$C$1,1+(('table for research'!$B36-1)*36+HEX2DEC('table for research'!Q$1))*2,2)</f>
        <v>02</v>
      </c>
      <c r="R36" t="str">
        <f>MID('paste from garc here'!$C$1,1+(('table for research'!$B36-1)*36+HEX2DEC('table for research'!R$1))*2,2)</f>
        <v>01</v>
      </c>
      <c r="S36" t="str">
        <f>MID('paste from garc here'!$C$1,1+(('table for research'!$B36-1)*36+HEX2DEC('table for research'!S$1))*2,2)</f>
        <v>00</v>
      </c>
      <c r="T36" t="str">
        <f>MID('paste from garc here'!$C$1,1+(('table for research'!$B36-1)*36+HEX2DEC('table for research'!T$1))*2,2)</f>
        <v>00</v>
      </c>
      <c r="U36" t="str">
        <f>MID('paste from garc here'!$C$1,1+(('table for research'!$B36-1)*36+HEX2DEC('table for research'!U$1))*2,2)</f>
        <v>0D</v>
      </c>
      <c r="V36" t="str">
        <f>MID('paste from garc here'!$C$1,1+(('table for research'!$B36-1)*36+HEX2DEC('table for research'!V$1))*2,2)</f>
        <v>00</v>
      </c>
      <c r="W36" t="str">
        <f>MID('paste from garc here'!$C$1,1+(('table for research'!$B36-1)*36+HEX2DEC('table for research'!W$1))*2,2)</f>
        <v>00</v>
      </c>
      <c r="X36" t="str">
        <f>MID('paste from garc here'!$C$1,1+(('table for research'!$B36-1)*36+HEX2DEC('table for research'!X$1))*2,2)</f>
        <v>00</v>
      </c>
      <c r="Y36" t="str">
        <f>MID('paste from garc here'!$C$1,1+(('table for research'!$B36-1)*36+HEX2DEC('table for research'!Y$1))*2,2)</f>
        <v>00</v>
      </c>
      <c r="Z36" t="str">
        <f>MID('paste from garc here'!$C$1,1+(('table for research'!$B36-1)*36+HEX2DEC('table for research'!Z$1))*2,2)</f>
        <v>00</v>
      </c>
      <c r="AA36" t="str">
        <f>MID('paste from garc here'!$C$1,1+(('table for research'!$B36-1)*36+HEX2DEC('table for research'!AA$1))*2,2)</f>
        <v>04</v>
      </c>
      <c r="AB36" t="str">
        <f>MID('paste from garc here'!$C$1,1+(('table for research'!$B36-1)*36+HEX2DEC('table for research'!AB$1))*2,2)</f>
        <v>1C</v>
      </c>
      <c r="AC36" t="str">
        <f>MID('paste from garc here'!$C$1,1+(('table for research'!$B36-1)*36+HEX2DEC('table for research'!AC$1))*2,2)</f>
        <v>00</v>
      </c>
      <c r="AD36" t="str">
        <f>MID('paste from garc here'!$C$1,1+(('table for research'!$B36-1)*36+HEX2DEC('table for research'!AD$1))*2,2)</f>
        <v>00</v>
      </c>
      <c r="AE36" t="str">
        <f>MID('paste from garc here'!$C$1,1+(('table for research'!$B36-1)*36+HEX2DEC('table for research'!AE$1))*2,2)</f>
        <v>00</v>
      </c>
      <c r="AF36" t="str">
        <f>MID('paste from garc here'!$C$1,1+(('table for research'!$B36-1)*36+HEX2DEC('table for research'!AF$1))*2,2)</f>
        <v>00</v>
      </c>
      <c r="AG36" t="str">
        <f>MID('paste from garc here'!$C$1,1+(('table for research'!$B36-1)*36+HEX2DEC('table for research'!AG$1))*2,2)</f>
        <v>00</v>
      </c>
      <c r="AH36" t="str">
        <f>MID('paste from garc here'!$C$1,1+(('table for research'!$B36-1)*36+HEX2DEC('table for research'!AH$1))*2,2)</f>
        <v>00</v>
      </c>
      <c r="AI36" t="str">
        <f>MID('paste from garc here'!$C$1,1+(('table for research'!$B36-1)*36+HEX2DEC('table for research'!AI$1))*2,2)</f>
        <v>3C</v>
      </c>
      <c r="AJ36" t="str">
        <f>MID('paste from garc here'!$C$1,1+(('table for research'!$B36-1)*36+HEX2DEC('table for research'!AJ$1))*2,2)</f>
        <v>00</v>
      </c>
      <c r="AK36" t="str">
        <f>MID('paste from garc here'!$C$1,1+(('table for research'!$B36-1)*36+HEX2DEC('table for research'!AK$1))*2,2)</f>
        <v>FB</v>
      </c>
      <c r="AL36" t="str">
        <f>MID('paste from garc here'!$C$1,1+(('table for research'!$B36-1)*36+HEX2DEC('table for research'!AL$1))*2,2)</f>
        <v>FB</v>
      </c>
      <c r="AM36" t="str">
        <f>MID('paste from garc here'!$C$1,1+(('table for research'!$B36-1)*36+HEX2DEC('table for research'!AM$1))*2,2)</f>
        <v>F6</v>
      </c>
      <c r="AN36" t="str">
        <f>MID('paste from garc here'!$C$1,1+(('table for research'!$B36-1)*36+HEX2DEC('table for research'!AN$1))*2,2)</f>
        <v>00</v>
      </c>
      <c r="AO36" t="str">
        <f>MID('paste from garc here'!$C$1,1+(('table for research'!$B36-1)*36+HEX2DEC('table for research'!AO$1))*2,2)</f>
        <v>00</v>
      </c>
    </row>
    <row r="37" spans="1:41" x14ac:dyDescent="0.4">
      <c r="A37" t="s">
        <v>49</v>
      </c>
      <c r="B37">
        <f>B36+1</f>
        <v>35</v>
      </c>
      <c r="C37" t="str">
        <f>MID('paste from garc here'!$C$1,1+(('table for research'!$B37-1)*36+HEX2DEC('table for research'!C$1))*2,2)</f>
        <v>78</v>
      </c>
      <c r="D37" t="str">
        <f>MID('paste from garc here'!$C$1,1+(('table for research'!$B37-1)*36+HEX2DEC('table for research'!D$1))*2,2)</f>
        <v>00</v>
      </c>
      <c r="E37" t="str">
        <f>MID('paste from garc here'!$C$1,1+(('table for research'!$B37-1)*36+HEX2DEC('table for research'!E$1))*2,2)</f>
        <v>00</v>
      </c>
      <c r="F37" t="str">
        <f>MID('paste from garc here'!$C$1,1+(('table for research'!$B37-1)*36+HEX2DEC('table for research'!F$1))*2,2)</f>
        <v>00</v>
      </c>
      <c r="G37" t="str">
        <f>MID('paste from garc here'!$C$1,1+(('table for research'!$B37-1)*36+HEX2DEC('table for research'!G$1))*2,2)</f>
        <v>00</v>
      </c>
      <c r="H37" t="str">
        <f>MID('paste from garc here'!$C$1,1+(('table for research'!$B37-1)*36+HEX2DEC('table for research'!H$1))*2,2)</f>
        <v>00</v>
      </c>
      <c r="I37" t="str">
        <f>MID('paste from garc here'!$C$1,1+(('table for research'!$B37-1)*36+HEX2DEC('table for research'!I$1))*2,2)</f>
        <v>1E</v>
      </c>
      <c r="J37" t="str">
        <f>MID('paste from garc here'!$C$1,1+(('table for research'!$B37-1)*36+HEX2DEC('table for research'!J$1))*2,2)</f>
        <v>00</v>
      </c>
      <c r="K37" t="str">
        <f>DEC2HEX(_xlfn.BITAND(HEX2DEC(MID('paste from garc here'!$C$1,1+(('table for research'!$B37-1)*36+HEX2DEC(8))*2,2)),31),2)</f>
        <v>1F</v>
      </c>
      <c r="L37" t="str">
        <f>DEC2HEX(_xlfn.BITAND(HEX2DEC(MID('paste from garc here'!$C$1,1+(('table for research'!$B37-1)*36+HEX2DEC(8))*2,2)),32),2)</f>
        <v>00</v>
      </c>
      <c r="M37" t="str">
        <f>DEC2HEX(_xlfn.BITAND(HEX2DEC(MID('paste from garc here'!$C$1,1+(('table for research'!$B37-1)*36+HEX2DEC(8))*2,2)),64),2)</f>
        <v>00</v>
      </c>
      <c r="N37" t="str">
        <f>DEC2HEX(_xlfn.BITRSHIFT(_xlfn.BITAND(HEX2DEC(MID('paste from garc here'!$C$1,1+(('table for research'!$B37-1)*36+HEX2DEC(9))*2,2)&amp;MID('paste from garc here'!$C$1,1+(('table for research'!$B37-1)*36+HEX2DEC(8))*2,2)),1920),7),2)</f>
        <v>01</v>
      </c>
      <c r="O37" t="str">
        <f>DEC2HEX(_xlfn.BITRSHIFT(HEX2DEC(MID('paste from garc here'!$C$1,1+(('table for research'!$B37-1)*36+HEX2DEC(9))*2,2)&amp;MID('paste from garc here'!$C$1,1+(('table for research'!$B37-1)*36+HEX2DEC(8))*2,2)),11),2)</f>
        <v>04</v>
      </c>
      <c r="P37" t="str">
        <f>MID('paste from garc here'!$C$1,1+(('table for research'!$B37-1)*36+HEX2DEC('table for research'!P$1))*2,2)</f>
        <v>01</v>
      </c>
      <c r="Q37" t="str">
        <f>MID('paste from garc here'!$C$1,1+(('table for research'!$B37-1)*36+HEX2DEC('table for research'!Q$1))*2,2)</f>
        <v>02</v>
      </c>
      <c r="R37" t="str">
        <f>MID('paste from garc here'!$C$1,1+(('table for research'!$B37-1)*36+HEX2DEC('table for research'!R$1))*2,2)</f>
        <v>01</v>
      </c>
      <c r="S37" t="str">
        <f>MID('paste from garc here'!$C$1,1+(('table for research'!$B37-1)*36+HEX2DEC('table for research'!S$1))*2,2)</f>
        <v>00</v>
      </c>
      <c r="T37" t="str">
        <f>MID('paste from garc here'!$C$1,1+(('table for research'!$B37-1)*36+HEX2DEC('table for research'!T$1))*2,2)</f>
        <v>00</v>
      </c>
      <c r="U37" t="str">
        <f>MID('paste from garc here'!$C$1,1+(('table for research'!$B37-1)*36+HEX2DEC('table for research'!U$1))*2,2)</f>
        <v>0E</v>
      </c>
      <c r="V37" t="str">
        <f>MID('paste from garc here'!$C$1,1+(('table for research'!$B37-1)*36+HEX2DEC('table for research'!V$1))*2,2)</f>
        <v>00</v>
      </c>
      <c r="W37" t="str">
        <f>MID('paste from garc here'!$C$1,1+(('table for research'!$B37-1)*36+HEX2DEC('table for research'!W$1))*2,2)</f>
        <v>00</v>
      </c>
      <c r="X37" t="str">
        <f>MID('paste from garc here'!$C$1,1+(('table for research'!$B37-1)*36+HEX2DEC('table for research'!X$1))*2,2)</f>
        <v>00</v>
      </c>
      <c r="Y37" t="str">
        <f>MID('paste from garc here'!$C$1,1+(('table for research'!$B37-1)*36+HEX2DEC('table for research'!Y$1))*2,2)</f>
        <v>00</v>
      </c>
      <c r="Z37" t="str">
        <f>MID('paste from garc here'!$C$1,1+(('table for research'!$B37-1)*36+HEX2DEC('table for research'!Z$1))*2,2)</f>
        <v>00</v>
      </c>
      <c r="AA37" t="str">
        <f>MID('paste from garc here'!$C$1,1+(('table for research'!$B37-1)*36+HEX2DEC('table for research'!AA$1))*2,2)</f>
        <v>04</v>
      </c>
      <c r="AB37" t="str">
        <f>MID('paste from garc here'!$C$1,1+(('table for research'!$B37-1)*36+HEX2DEC('table for research'!AB$1))*2,2)</f>
        <v>1C</v>
      </c>
      <c r="AC37" t="str">
        <f>MID('paste from garc here'!$C$1,1+(('table for research'!$B37-1)*36+HEX2DEC('table for research'!AC$1))*2,2)</f>
        <v>00</v>
      </c>
      <c r="AD37" t="str">
        <f>MID('paste from garc here'!$C$1,1+(('table for research'!$B37-1)*36+HEX2DEC('table for research'!AD$1))*2,2)</f>
        <v>00</v>
      </c>
      <c r="AE37" t="str">
        <f>MID('paste from garc here'!$C$1,1+(('table for research'!$B37-1)*36+HEX2DEC('table for research'!AE$1))*2,2)</f>
        <v>00</v>
      </c>
      <c r="AF37" t="str">
        <f>MID('paste from garc here'!$C$1,1+(('table for research'!$B37-1)*36+HEX2DEC('table for research'!AF$1))*2,2)</f>
        <v>00</v>
      </c>
      <c r="AG37" t="str">
        <f>MID('paste from garc here'!$C$1,1+(('table for research'!$B37-1)*36+HEX2DEC('table for research'!AG$1))*2,2)</f>
        <v>00</v>
      </c>
      <c r="AH37" t="str">
        <f>MID('paste from garc here'!$C$1,1+(('table for research'!$B37-1)*36+HEX2DEC('table for research'!AH$1))*2,2)</f>
        <v>00</v>
      </c>
      <c r="AI37" t="str">
        <f>MID('paste from garc here'!$C$1,1+(('table for research'!$B37-1)*36+HEX2DEC('table for research'!AI$1))*2,2)</f>
        <v>78</v>
      </c>
      <c r="AJ37" t="str">
        <f>MID('paste from garc here'!$C$1,1+(('table for research'!$B37-1)*36+HEX2DEC('table for research'!AJ$1))*2,2)</f>
        <v>00</v>
      </c>
      <c r="AK37" t="str">
        <f>MID('paste from garc here'!$C$1,1+(('table for research'!$B37-1)*36+HEX2DEC('table for research'!AK$1))*2,2)</f>
        <v>F6</v>
      </c>
      <c r="AL37" t="str">
        <f>MID('paste from garc here'!$C$1,1+(('table for research'!$B37-1)*36+HEX2DEC('table for research'!AL$1))*2,2)</f>
        <v>F6</v>
      </c>
      <c r="AM37" t="str">
        <f>MID('paste from garc here'!$C$1,1+(('table for research'!$B37-1)*36+HEX2DEC('table for research'!AM$1))*2,2)</f>
        <v>F1</v>
      </c>
      <c r="AN37" t="str">
        <f>MID('paste from garc here'!$C$1,1+(('table for research'!$B37-1)*36+HEX2DEC('table for research'!AN$1))*2,2)</f>
        <v>00</v>
      </c>
      <c r="AO37" t="str">
        <f>MID('paste from garc here'!$C$1,1+(('table for research'!$B37-1)*36+HEX2DEC('table for research'!AO$1))*2,2)</f>
        <v>00</v>
      </c>
    </row>
    <row r="38" spans="1:41" x14ac:dyDescent="0.4">
      <c r="A38" t="s">
        <v>50</v>
      </c>
      <c r="B38">
        <f>B37+1</f>
        <v>36</v>
      </c>
      <c r="C38" t="str">
        <f>MID('paste from garc here'!$C$1,1+(('table for research'!$B38-1)*36+HEX2DEC('table for research'!C$1))*2,2)</f>
        <v>1E</v>
      </c>
      <c r="D38" t="str">
        <f>MID('paste from garc here'!$C$1,1+(('table for research'!$B38-1)*36+HEX2DEC('table for research'!D$1))*2,2)</f>
        <v>00</v>
      </c>
      <c r="E38" t="str">
        <f>MID('paste from garc here'!$C$1,1+(('table for research'!$B38-1)*36+HEX2DEC('table for research'!E$1))*2,2)</f>
        <v>00</v>
      </c>
      <c r="F38" t="str">
        <f>MID('paste from garc here'!$C$1,1+(('table for research'!$B38-1)*36+HEX2DEC('table for research'!F$1))*2,2)</f>
        <v>00</v>
      </c>
      <c r="G38" t="str">
        <f>MID('paste from garc here'!$C$1,1+(('table for research'!$B38-1)*36+HEX2DEC('table for research'!G$1))*2,2)</f>
        <v>00</v>
      </c>
      <c r="H38" t="str">
        <f>MID('paste from garc here'!$C$1,1+(('table for research'!$B38-1)*36+HEX2DEC('table for research'!H$1))*2,2)</f>
        <v>00</v>
      </c>
      <c r="I38" t="str">
        <f>MID('paste from garc here'!$C$1,1+(('table for research'!$B38-1)*36+HEX2DEC('table for research'!I$1))*2,2)</f>
        <v>1E</v>
      </c>
      <c r="J38" t="str">
        <f>MID('paste from garc here'!$C$1,1+(('table for research'!$B38-1)*36+HEX2DEC('table for research'!J$1))*2,2)</f>
        <v>00</v>
      </c>
      <c r="K38" t="str">
        <f>DEC2HEX(_xlfn.BITAND(HEX2DEC(MID('paste from garc here'!$C$1,1+(('table for research'!$B38-1)*36+HEX2DEC(8))*2,2)),31),2)</f>
        <v>1F</v>
      </c>
      <c r="L38" t="str">
        <f>DEC2HEX(_xlfn.BITAND(HEX2DEC(MID('paste from garc here'!$C$1,1+(('table for research'!$B38-1)*36+HEX2DEC(8))*2,2)),32),2)</f>
        <v>00</v>
      </c>
      <c r="M38" t="str">
        <f>DEC2HEX(_xlfn.BITAND(HEX2DEC(MID('paste from garc here'!$C$1,1+(('table for research'!$B38-1)*36+HEX2DEC(8))*2,2)),64),2)</f>
        <v>00</v>
      </c>
      <c r="N38" t="str">
        <f>DEC2HEX(_xlfn.BITRSHIFT(_xlfn.BITAND(HEX2DEC(MID('paste from garc here'!$C$1,1+(('table for research'!$B38-1)*36+HEX2DEC(9))*2,2)&amp;MID('paste from garc here'!$C$1,1+(('table for research'!$B38-1)*36+HEX2DEC(8))*2,2)),1920),7),2)</f>
        <v>01</v>
      </c>
      <c r="O38" t="str">
        <f>DEC2HEX(_xlfn.BITRSHIFT(HEX2DEC(MID('paste from garc here'!$C$1,1+(('table for research'!$B38-1)*36+HEX2DEC(9))*2,2)&amp;MID('paste from garc here'!$C$1,1+(('table for research'!$B38-1)*36+HEX2DEC(8))*2,2)),11),2)</f>
        <v>08</v>
      </c>
      <c r="P38" t="str">
        <f>MID('paste from garc here'!$C$1,1+(('table for research'!$B38-1)*36+HEX2DEC('table for research'!P$1))*2,2)</f>
        <v>01</v>
      </c>
      <c r="Q38" t="str">
        <f>MID('paste from garc here'!$C$1,1+(('table for research'!$B38-1)*36+HEX2DEC('table for research'!Q$1))*2,2)</f>
        <v>02</v>
      </c>
      <c r="R38" t="str">
        <f>MID('paste from garc here'!$C$1,1+(('table for research'!$B38-1)*36+HEX2DEC('table for research'!R$1))*2,2)</f>
        <v>01</v>
      </c>
      <c r="S38" t="str">
        <f>MID('paste from garc here'!$C$1,1+(('table for research'!$B38-1)*36+HEX2DEC('table for research'!S$1))*2,2)</f>
        <v>00</v>
      </c>
      <c r="T38" t="str">
        <f>MID('paste from garc here'!$C$1,1+(('table for research'!$B38-1)*36+HEX2DEC('table for research'!T$1))*2,2)</f>
        <v>00</v>
      </c>
      <c r="U38" t="str">
        <f>MID('paste from garc here'!$C$1,1+(('table for research'!$B38-1)*36+HEX2DEC('table for research'!U$1))*2,2)</f>
        <v>1A</v>
      </c>
      <c r="V38" t="str">
        <f>MID('paste from garc here'!$C$1,1+(('table for research'!$B38-1)*36+HEX2DEC('table for research'!V$1))*2,2)</f>
        <v>3F</v>
      </c>
      <c r="W38" t="str">
        <f>MID('paste from garc here'!$C$1,1+(('table for research'!$B38-1)*36+HEX2DEC('table for research'!W$1))*2,2)</f>
        <v>00</v>
      </c>
      <c r="X38" t="str">
        <f>MID('paste from garc here'!$C$1,1+(('table for research'!$B38-1)*36+HEX2DEC('table for research'!X$1))*2,2)</f>
        <v>00</v>
      </c>
      <c r="Y38" t="str">
        <f>MID('paste from garc here'!$C$1,1+(('table for research'!$B38-1)*36+HEX2DEC('table for research'!Y$1))*2,2)</f>
        <v>00</v>
      </c>
      <c r="Z38" t="str">
        <f>MID('paste from garc here'!$C$1,1+(('table for research'!$B38-1)*36+HEX2DEC('table for research'!Z$1))*2,2)</f>
        <v>00</v>
      </c>
      <c r="AA38" t="str">
        <f>MID('paste from garc here'!$C$1,1+(('table for research'!$B38-1)*36+HEX2DEC('table for research'!AA$1))*2,2)</f>
        <v>00</v>
      </c>
      <c r="AB38" t="str">
        <f>MID('paste from garc here'!$C$1,1+(('table for research'!$B38-1)*36+HEX2DEC('table for research'!AB$1))*2,2)</f>
        <v>1C</v>
      </c>
      <c r="AC38" t="str">
        <f>MID('paste from garc here'!$C$1,1+(('table for research'!$B38-1)*36+HEX2DEC('table for research'!AC$1))*2,2)</f>
        <v>00</v>
      </c>
      <c r="AD38" t="str">
        <f>MID('paste from garc here'!$C$1,1+(('table for research'!$B38-1)*36+HEX2DEC('table for research'!AD$1))*2,2)</f>
        <v>00</v>
      </c>
      <c r="AE38" t="str">
        <f>MID('paste from garc here'!$C$1,1+(('table for research'!$B38-1)*36+HEX2DEC('table for research'!AE$1))*2,2)</f>
        <v>00</v>
      </c>
      <c r="AF38" t="str">
        <f>MID('paste from garc here'!$C$1,1+(('table for research'!$B38-1)*36+HEX2DEC('table for research'!AF$1))*2,2)</f>
        <v>00</v>
      </c>
      <c r="AG38" t="str">
        <f>MID('paste from garc here'!$C$1,1+(('table for research'!$B38-1)*36+HEX2DEC('table for research'!AG$1))*2,2)</f>
        <v>00</v>
      </c>
      <c r="AH38" t="str">
        <f>MID('paste from garc here'!$C$1,1+(('table for research'!$B38-1)*36+HEX2DEC('table for research'!AH$1))*2,2)</f>
        <v>00</v>
      </c>
      <c r="AI38" t="str">
        <f>MID('paste from garc here'!$C$1,1+(('table for research'!$B38-1)*36+HEX2DEC('table for research'!AI$1))*2,2)</f>
        <v>00</v>
      </c>
      <c r="AJ38" t="str">
        <f>MID('paste from garc here'!$C$1,1+(('table for research'!$B38-1)*36+HEX2DEC('table for research'!AJ$1))*2,2)</f>
        <v>00</v>
      </c>
      <c r="AK38" t="str">
        <f>MID('paste from garc here'!$C$1,1+(('table for research'!$B38-1)*36+HEX2DEC('table for research'!AK$1))*2,2)</f>
        <v>FB</v>
      </c>
      <c r="AL38" t="str">
        <f>MID('paste from garc here'!$C$1,1+(('table for research'!$B38-1)*36+HEX2DEC('table for research'!AL$1))*2,2)</f>
        <v>FB</v>
      </c>
      <c r="AM38" t="str">
        <f>MID('paste from garc here'!$C$1,1+(('table for research'!$B38-1)*36+HEX2DEC('table for research'!AM$1))*2,2)</f>
        <v>F6</v>
      </c>
      <c r="AN38" t="str">
        <f>MID('paste from garc here'!$C$1,1+(('table for research'!$B38-1)*36+HEX2DEC('table for research'!AN$1))*2,2)</f>
        <v>00</v>
      </c>
      <c r="AO38" t="str">
        <f>MID('paste from garc here'!$C$1,1+(('table for research'!$B38-1)*36+HEX2DEC('table for research'!AO$1))*2,2)</f>
        <v>00</v>
      </c>
    </row>
    <row r="39" spans="1:41" x14ac:dyDescent="0.4">
      <c r="A39" t="s">
        <v>51</v>
      </c>
      <c r="B39">
        <f>B38+1</f>
        <v>37</v>
      </c>
      <c r="C39" t="str">
        <f>MID('paste from garc here'!$C$1,1+(('table for research'!$B39-1)*36+HEX2DEC('table for research'!C$1))*2,2)</f>
        <v>A6</v>
      </c>
      <c r="D39" t="str">
        <f>MID('paste from garc here'!$C$1,1+(('table for research'!$B39-1)*36+HEX2DEC('table for research'!D$1))*2,2)</f>
        <v>0E</v>
      </c>
      <c r="E39" t="str">
        <f>MID('paste from garc here'!$C$1,1+(('table for research'!$B39-1)*36+HEX2DEC('table for research'!E$1))*2,2)</f>
        <v>00</v>
      </c>
      <c r="F39" t="str">
        <f>MID('paste from garc here'!$C$1,1+(('table for research'!$B39-1)*36+HEX2DEC('table for research'!F$1))*2,2)</f>
        <v>00</v>
      </c>
      <c r="G39" t="str">
        <f>MID('paste from garc here'!$C$1,1+(('table for research'!$B39-1)*36+HEX2DEC('table for research'!G$1))*2,2)</f>
        <v>00</v>
      </c>
      <c r="H39" t="str">
        <f>MID('paste from garc here'!$C$1,1+(('table for research'!$B39-1)*36+HEX2DEC('table for research'!H$1))*2,2)</f>
        <v>00</v>
      </c>
      <c r="I39" t="str">
        <f>MID('paste from garc here'!$C$1,1+(('table for research'!$B39-1)*36+HEX2DEC('table for research'!I$1))*2,2)</f>
        <v>1E</v>
      </c>
      <c r="J39" t="str">
        <f>MID('paste from garc here'!$C$1,1+(('table for research'!$B39-1)*36+HEX2DEC('table for research'!J$1))*2,2)</f>
        <v>00</v>
      </c>
      <c r="K39" t="str">
        <f>DEC2HEX(_xlfn.BITAND(HEX2DEC(MID('paste from garc here'!$C$1,1+(('table for research'!$B39-1)*36+HEX2DEC(8))*2,2)),31),2)</f>
        <v>1F</v>
      </c>
      <c r="L39" t="str">
        <f>DEC2HEX(_xlfn.BITAND(HEX2DEC(MID('paste from garc here'!$C$1,1+(('table for research'!$B39-1)*36+HEX2DEC(8))*2,2)),32),2)</f>
        <v>00</v>
      </c>
      <c r="M39" t="str">
        <f>DEC2HEX(_xlfn.BITAND(HEX2DEC(MID('paste from garc here'!$C$1,1+(('table for research'!$B39-1)*36+HEX2DEC(8))*2,2)),64),2)</f>
        <v>00</v>
      </c>
      <c r="N39" t="str">
        <f>DEC2HEX(_xlfn.BITRSHIFT(_xlfn.BITAND(HEX2DEC(MID('paste from garc here'!$C$1,1+(('table for research'!$B39-1)*36+HEX2DEC(9))*2,2)&amp;MID('paste from garc here'!$C$1,1+(('table for research'!$B39-1)*36+HEX2DEC(8))*2,2)),1920),7),2)</f>
        <v>01</v>
      </c>
      <c r="O39" t="str">
        <f>DEC2HEX(_xlfn.BITRSHIFT(HEX2DEC(MID('paste from garc here'!$C$1,1+(('table for research'!$B39-1)*36+HEX2DEC(9))*2,2)&amp;MID('paste from garc here'!$C$1,1+(('table for research'!$B39-1)*36+HEX2DEC(8))*2,2)),11),2)</f>
        <v>08</v>
      </c>
      <c r="P39" t="str">
        <f>MID('paste from garc here'!$C$1,1+(('table for research'!$B39-1)*36+HEX2DEC('table for research'!P$1))*2,2)</f>
        <v>01</v>
      </c>
      <c r="Q39" t="str">
        <f>MID('paste from garc here'!$C$1,1+(('table for research'!$B39-1)*36+HEX2DEC('table for research'!Q$1))*2,2)</f>
        <v>02</v>
      </c>
      <c r="R39" t="str">
        <f>MID('paste from garc here'!$C$1,1+(('table for research'!$B39-1)*36+HEX2DEC('table for research'!R$1))*2,2)</f>
        <v>01</v>
      </c>
      <c r="S39" t="str">
        <f>MID('paste from garc here'!$C$1,1+(('table for research'!$B39-1)*36+HEX2DEC('table for research'!S$1))*2,2)</f>
        <v>00</v>
      </c>
      <c r="T39" t="str">
        <f>MID('paste from garc here'!$C$1,1+(('table for research'!$B39-1)*36+HEX2DEC('table for research'!T$1))*2,2)</f>
        <v>00</v>
      </c>
      <c r="U39" t="str">
        <f>MID('paste from garc here'!$C$1,1+(('table for research'!$B39-1)*36+HEX2DEC('table for research'!U$1))*2,2)</f>
        <v>0F</v>
      </c>
      <c r="V39" t="str">
        <f>MID('paste from garc here'!$C$1,1+(('table for research'!$B39-1)*36+HEX2DEC('table for research'!V$1))*2,2)</f>
        <v>00</v>
      </c>
      <c r="W39" t="str">
        <f>MID('paste from garc here'!$C$1,1+(('table for research'!$B39-1)*36+HEX2DEC('table for research'!W$1))*2,2)</f>
        <v>01</v>
      </c>
      <c r="X39" t="str">
        <f>MID('paste from garc here'!$C$1,1+(('table for research'!$B39-1)*36+HEX2DEC('table for research'!X$1))*2,2)</f>
        <v>00</v>
      </c>
      <c r="Y39" t="str">
        <f>MID('paste from garc here'!$C$1,1+(('table for research'!$B39-1)*36+HEX2DEC('table for research'!Y$1))*2,2)</f>
        <v>00</v>
      </c>
      <c r="Z39" t="str">
        <f>MID('paste from garc here'!$C$1,1+(('table for research'!$B39-1)*36+HEX2DEC('table for research'!Z$1))*2,2)</f>
        <v>00</v>
      </c>
      <c r="AA39" t="str">
        <f>MID('paste from garc here'!$C$1,1+(('table for research'!$B39-1)*36+HEX2DEC('table for research'!AA$1))*2,2)</f>
        <v>00</v>
      </c>
      <c r="AB39" t="str">
        <f>MID('paste from garc here'!$C$1,1+(('table for research'!$B39-1)*36+HEX2DEC('table for research'!AB$1))*2,2)</f>
        <v>1C</v>
      </c>
      <c r="AC39" t="str">
        <f>MID('paste from garc here'!$C$1,1+(('table for research'!$B39-1)*36+HEX2DEC('table for research'!AC$1))*2,2)</f>
        <v>00</v>
      </c>
      <c r="AD39" t="str">
        <f>MID('paste from garc here'!$C$1,1+(('table for research'!$B39-1)*36+HEX2DEC('table for research'!AD$1))*2,2)</f>
        <v>00</v>
      </c>
      <c r="AE39" t="str">
        <f>MID('paste from garc here'!$C$1,1+(('table for research'!$B39-1)*36+HEX2DEC('table for research'!AE$1))*2,2)</f>
        <v>00</v>
      </c>
      <c r="AF39" t="str">
        <f>MID('paste from garc here'!$C$1,1+(('table for research'!$B39-1)*36+HEX2DEC('table for research'!AF$1))*2,2)</f>
        <v>00</v>
      </c>
      <c r="AG39" t="str">
        <f>MID('paste from garc here'!$C$1,1+(('table for research'!$B39-1)*36+HEX2DEC('table for research'!AG$1))*2,2)</f>
        <v>00</v>
      </c>
      <c r="AH39" t="str">
        <f>MID('paste from garc here'!$C$1,1+(('table for research'!$B39-1)*36+HEX2DEC('table for research'!AH$1))*2,2)</f>
        <v>00</v>
      </c>
      <c r="AI39" t="str">
        <f>MID('paste from garc here'!$C$1,1+(('table for research'!$B39-1)*36+HEX2DEC('table for research'!AI$1))*2,2)</f>
        <v>FD</v>
      </c>
      <c r="AJ39" t="str">
        <f>MID('paste from garc here'!$C$1,1+(('table for research'!$B39-1)*36+HEX2DEC('table for research'!AJ$1))*2,2)</f>
        <v>00</v>
      </c>
      <c r="AK39" t="str">
        <f>MID('paste from garc here'!$C$1,1+(('table for research'!$B39-1)*36+HEX2DEC('table for research'!AK$1))*2,2)</f>
        <v>F1</v>
      </c>
      <c r="AL39" t="str">
        <f>MID('paste from garc here'!$C$1,1+(('table for research'!$B39-1)*36+HEX2DEC('table for research'!AL$1))*2,2)</f>
        <v>F1</v>
      </c>
      <c r="AM39" t="str">
        <f>MID('paste from garc here'!$C$1,1+(('table for research'!$B39-1)*36+HEX2DEC('table for research'!AM$1))*2,2)</f>
        <v>EC</v>
      </c>
      <c r="AN39" t="str">
        <f>MID('paste from garc here'!$C$1,1+(('table for research'!$B39-1)*36+HEX2DEC('table for research'!AN$1))*2,2)</f>
        <v>00</v>
      </c>
      <c r="AO39" t="str">
        <f>MID('paste from garc here'!$C$1,1+(('table for research'!$B39-1)*36+HEX2DEC('table for research'!AO$1))*2,2)</f>
        <v>00</v>
      </c>
    </row>
    <row r="40" spans="1:41" x14ac:dyDescent="0.4">
      <c r="A40" t="s">
        <v>52</v>
      </c>
      <c r="B40">
        <f>B39+1</f>
        <v>38</v>
      </c>
      <c r="C40" t="str">
        <f>MID('paste from garc here'!$C$1,1+(('table for research'!$B40-1)*36+HEX2DEC('table for research'!C$1))*2,2)</f>
        <v>78</v>
      </c>
      <c r="D40" t="str">
        <f>MID('paste from garc here'!$C$1,1+(('table for research'!$B40-1)*36+HEX2DEC('table for research'!D$1))*2,2)</f>
        <v>00</v>
      </c>
      <c r="E40" t="str">
        <f>MID('paste from garc here'!$C$1,1+(('table for research'!$B40-1)*36+HEX2DEC('table for research'!E$1))*2,2)</f>
        <v>00</v>
      </c>
      <c r="F40" t="str">
        <f>MID('paste from garc here'!$C$1,1+(('table for research'!$B40-1)*36+HEX2DEC('table for research'!F$1))*2,2)</f>
        <v>0A</v>
      </c>
      <c r="G40" t="str">
        <f>MID('paste from garc here'!$C$1,1+(('table for research'!$B40-1)*36+HEX2DEC('table for research'!G$1))*2,2)</f>
        <v>00</v>
      </c>
      <c r="H40" t="str">
        <f>MID('paste from garc here'!$C$1,1+(('table for research'!$B40-1)*36+HEX2DEC('table for research'!H$1))*2,2)</f>
        <v>00</v>
      </c>
      <c r="I40" t="str">
        <f>MID('paste from garc here'!$C$1,1+(('table for research'!$B40-1)*36+HEX2DEC('table for research'!I$1))*2,2)</f>
        <v>1E</v>
      </c>
      <c r="J40" t="str">
        <f>MID('paste from garc here'!$C$1,1+(('table for research'!$B40-1)*36+HEX2DEC('table for research'!J$1))*2,2)</f>
        <v>00</v>
      </c>
      <c r="K40" t="str">
        <f>DEC2HEX(_xlfn.BITAND(HEX2DEC(MID('paste from garc here'!$C$1,1+(('table for research'!$B40-1)*36+HEX2DEC(8))*2,2)),31),2)</f>
        <v>1F</v>
      </c>
      <c r="L40" t="str">
        <f>DEC2HEX(_xlfn.BITAND(HEX2DEC(MID('paste from garc here'!$C$1,1+(('table for research'!$B40-1)*36+HEX2DEC(8))*2,2)),32),2)</f>
        <v>00</v>
      </c>
      <c r="M40" t="str">
        <f>DEC2HEX(_xlfn.BITAND(HEX2DEC(MID('paste from garc here'!$C$1,1+(('table for research'!$B40-1)*36+HEX2DEC(8))*2,2)),64),2)</f>
        <v>00</v>
      </c>
      <c r="N40" t="str">
        <f>DEC2HEX(_xlfn.BITRSHIFT(_xlfn.BITAND(HEX2DEC(MID('paste from garc here'!$C$1,1+(('table for research'!$B40-1)*36+HEX2DEC(9))*2,2)&amp;MID('paste from garc here'!$C$1,1+(('table for research'!$B40-1)*36+HEX2DEC(8))*2,2)),1920),7),2)</f>
        <v>01</v>
      </c>
      <c r="O40" t="str">
        <f>DEC2HEX(_xlfn.BITRSHIFT(HEX2DEC(MID('paste from garc here'!$C$1,1+(('table for research'!$B40-1)*36+HEX2DEC(9))*2,2)&amp;MID('paste from garc here'!$C$1,1+(('table for research'!$B40-1)*36+HEX2DEC(8))*2,2)),11),2)</f>
        <v>04</v>
      </c>
      <c r="P40" t="str">
        <f>MID('paste from garc here'!$C$1,1+(('table for research'!$B40-1)*36+HEX2DEC('table for research'!P$1))*2,2)</f>
        <v>01</v>
      </c>
      <c r="Q40" t="str">
        <f>MID('paste from garc here'!$C$1,1+(('table for research'!$B40-1)*36+HEX2DEC('table for research'!Q$1))*2,2)</f>
        <v>02</v>
      </c>
      <c r="R40" t="str">
        <f>MID('paste from garc here'!$C$1,1+(('table for research'!$B40-1)*36+HEX2DEC('table for research'!R$1))*2,2)</f>
        <v>01</v>
      </c>
      <c r="S40" t="str">
        <f>MID('paste from garc here'!$C$1,1+(('table for research'!$B40-1)*36+HEX2DEC('table for research'!S$1))*2,2)</f>
        <v>00</v>
      </c>
      <c r="T40" t="str">
        <f>MID('paste from garc here'!$C$1,1+(('table for research'!$B40-1)*36+HEX2DEC('table for research'!T$1))*2,2)</f>
        <v>00</v>
      </c>
      <c r="U40" t="str">
        <f>MID('paste from garc here'!$C$1,1+(('table for research'!$B40-1)*36+HEX2DEC('table for research'!U$1))*2,2)</f>
        <v>22</v>
      </c>
      <c r="V40" t="str">
        <f>MID('paste from garc here'!$C$1,1+(('table for research'!$B40-1)*36+HEX2DEC('table for research'!V$1))*2,2)</f>
        <v>00</v>
      </c>
      <c r="W40" t="str">
        <f>MID('paste from garc here'!$C$1,1+(('table for research'!$B40-1)*36+HEX2DEC('table for research'!W$1))*2,2)</f>
        <v>00</v>
      </c>
      <c r="X40" t="str">
        <f>MID('paste from garc here'!$C$1,1+(('table for research'!$B40-1)*36+HEX2DEC('table for research'!X$1))*2,2)</f>
        <v>00</v>
      </c>
      <c r="Y40" t="str">
        <f>MID('paste from garc here'!$C$1,1+(('table for research'!$B40-1)*36+HEX2DEC('table for research'!Y$1))*2,2)</f>
        <v>00</v>
      </c>
      <c r="Z40" t="str">
        <f>MID('paste from garc here'!$C$1,1+(('table for research'!$B40-1)*36+HEX2DEC('table for research'!Z$1))*2,2)</f>
        <v>00</v>
      </c>
      <c r="AA40" t="str">
        <f>MID('paste from garc here'!$C$1,1+(('table for research'!$B40-1)*36+HEX2DEC('table for research'!AA$1))*2,2)</f>
        <v>01</v>
      </c>
      <c r="AB40" t="str">
        <f>MID('paste from garc here'!$C$1,1+(('table for research'!$B40-1)*36+HEX2DEC('table for research'!AB$1))*2,2)</f>
        <v>00</v>
      </c>
      <c r="AC40" t="str">
        <f>MID('paste from garc here'!$C$1,1+(('table for research'!$B40-1)*36+HEX2DEC('table for research'!AC$1))*2,2)</f>
        <v>00</v>
      </c>
      <c r="AD40" t="str">
        <f>MID('paste from garc here'!$C$1,1+(('table for research'!$B40-1)*36+HEX2DEC('table for research'!AD$1))*2,2)</f>
        <v>00</v>
      </c>
      <c r="AE40" t="str">
        <f>MID('paste from garc here'!$C$1,1+(('table for research'!$B40-1)*36+HEX2DEC('table for research'!AE$1))*2,2)</f>
        <v>00</v>
      </c>
      <c r="AF40" t="str">
        <f>MID('paste from garc here'!$C$1,1+(('table for research'!$B40-1)*36+HEX2DEC('table for research'!AF$1))*2,2)</f>
        <v>00</v>
      </c>
      <c r="AG40" t="str">
        <f>MID('paste from garc here'!$C$1,1+(('table for research'!$B40-1)*36+HEX2DEC('table for research'!AG$1))*2,2)</f>
        <v>00</v>
      </c>
      <c r="AH40" t="str">
        <f>MID('paste from garc here'!$C$1,1+(('table for research'!$B40-1)*36+HEX2DEC('table for research'!AH$1))*2,2)</f>
        <v>00</v>
      </c>
      <c r="AI40" t="str">
        <f>MID('paste from garc here'!$C$1,1+(('table for research'!$B40-1)*36+HEX2DEC('table for research'!AI$1))*2,2)</f>
        <v>00</v>
      </c>
      <c r="AJ40" t="str">
        <f>MID('paste from garc here'!$C$1,1+(('table for research'!$B40-1)*36+HEX2DEC('table for research'!AJ$1))*2,2)</f>
        <v>0A</v>
      </c>
      <c r="AK40" t="str">
        <f>MID('paste from garc here'!$C$1,1+(('table for research'!$B40-1)*36+HEX2DEC('table for research'!AK$1))*2,2)</f>
        <v>00</v>
      </c>
      <c r="AL40" t="str">
        <f>MID('paste from garc here'!$C$1,1+(('table for research'!$B40-1)*36+HEX2DEC('table for research'!AL$1))*2,2)</f>
        <v>00</v>
      </c>
      <c r="AM40" t="str">
        <f>MID('paste from garc here'!$C$1,1+(('table for research'!$B40-1)*36+HEX2DEC('table for research'!AM$1))*2,2)</f>
        <v>00</v>
      </c>
      <c r="AN40" t="str">
        <f>MID('paste from garc here'!$C$1,1+(('table for research'!$B40-1)*36+HEX2DEC('table for research'!AN$1))*2,2)</f>
        <v>00</v>
      </c>
      <c r="AO40" t="str">
        <f>MID('paste from garc here'!$C$1,1+(('table for research'!$B40-1)*36+HEX2DEC('table for research'!AO$1))*2,2)</f>
        <v>00</v>
      </c>
    </row>
    <row r="41" spans="1:41" x14ac:dyDescent="0.4">
      <c r="A41" t="s">
        <v>53</v>
      </c>
      <c r="B41">
        <f>B40+1</f>
        <v>39</v>
      </c>
      <c r="C41" t="str">
        <f>MID('paste from garc here'!$C$1,1+(('table for research'!$B41-1)*36+HEX2DEC('table for research'!C$1))*2,2)</f>
        <v>C8</v>
      </c>
      <c r="D41" t="str">
        <f>MID('paste from garc here'!$C$1,1+(('table for research'!$B41-1)*36+HEX2DEC('table for research'!D$1))*2,2)</f>
        <v>00</v>
      </c>
      <c r="E41" t="str">
        <f>MID('paste from garc here'!$C$1,1+(('table for research'!$B41-1)*36+HEX2DEC('table for research'!E$1))*2,2)</f>
        <v>00</v>
      </c>
      <c r="F41" t="str">
        <f>MID('paste from garc here'!$C$1,1+(('table for research'!$B41-1)*36+HEX2DEC('table for research'!F$1))*2,2)</f>
        <v>FF</v>
      </c>
      <c r="G41" t="str">
        <f>MID('paste from garc here'!$C$1,1+(('table for research'!$B41-1)*36+HEX2DEC('table for research'!G$1))*2,2)</f>
        <v>00</v>
      </c>
      <c r="H41" t="str">
        <f>MID('paste from garc here'!$C$1,1+(('table for research'!$B41-1)*36+HEX2DEC('table for research'!H$1))*2,2)</f>
        <v>00</v>
      </c>
      <c r="I41" t="str">
        <f>MID('paste from garc here'!$C$1,1+(('table for research'!$B41-1)*36+HEX2DEC('table for research'!I$1))*2,2)</f>
        <v>1E</v>
      </c>
      <c r="J41" t="str">
        <f>MID('paste from garc here'!$C$1,1+(('table for research'!$B41-1)*36+HEX2DEC('table for research'!J$1))*2,2)</f>
        <v>00</v>
      </c>
      <c r="K41" t="str">
        <f>DEC2HEX(_xlfn.BITAND(HEX2DEC(MID('paste from garc here'!$C$1,1+(('table for research'!$B41-1)*36+HEX2DEC(8))*2,2)),31),2)</f>
        <v>1F</v>
      </c>
      <c r="L41" t="str">
        <f>DEC2HEX(_xlfn.BITAND(HEX2DEC(MID('paste from garc here'!$C$1,1+(('table for research'!$B41-1)*36+HEX2DEC(8))*2,2)),32),2)</f>
        <v>00</v>
      </c>
      <c r="M41" t="str">
        <f>DEC2HEX(_xlfn.BITAND(HEX2DEC(MID('paste from garc here'!$C$1,1+(('table for research'!$B41-1)*36+HEX2DEC(8))*2,2)),64),2)</f>
        <v>00</v>
      </c>
      <c r="N41" t="str">
        <f>DEC2HEX(_xlfn.BITRSHIFT(_xlfn.BITAND(HEX2DEC(MID('paste from garc here'!$C$1,1+(('table for research'!$B41-1)*36+HEX2DEC(9))*2,2)&amp;MID('paste from garc here'!$C$1,1+(('table for research'!$B41-1)*36+HEX2DEC(8))*2,2)),1920),7),2)</f>
        <v>01</v>
      </c>
      <c r="O41" t="str">
        <f>DEC2HEX(_xlfn.BITRSHIFT(HEX2DEC(MID('paste from garc here'!$C$1,1+(('table for research'!$B41-1)*36+HEX2DEC(9))*2,2)&amp;MID('paste from garc here'!$C$1,1+(('table for research'!$B41-1)*36+HEX2DEC(8))*2,2)),11),2)</f>
        <v>04</v>
      </c>
      <c r="P41" t="str">
        <f>MID('paste from garc here'!$C$1,1+(('table for research'!$B41-1)*36+HEX2DEC('table for research'!P$1))*2,2)</f>
        <v>01</v>
      </c>
      <c r="Q41" t="str">
        <f>MID('paste from garc here'!$C$1,1+(('table for research'!$B41-1)*36+HEX2DEC('table for research'!Q$1))*2,2)</f>
        <v>02</v>
      </c>
      <c r="R41" t="str">
        <f>MID('paste from garc here'!$C$1,1+(('table for research'!$B41-1)*36+HEX2DEC('table for research'!R$1))*2,2)</f>
        <v>01</v>
      </c>
      <c r="S41" t="str">
        <f>MID('paste from garc here'!$C$1,1+(('table for research'!$B41-1)*36+HEX2DEC('table for research'!S$1))*2,2)</f>
        <v>00</v>
      </c>
      <c r="T41" t="str">
        <f>MID('paste from garc here'!$C$1,1+(('table for research'!$B41-1)*36+HEX2DEC('table for research'!T$1))*2,2)</f>
        <v>00</v>
      </c>
      <c r="U41" t="str">
        <f>MID('paste from garc here'!$C$1,1+(('table for research'!$B41-1)*36+HEX2DEC('table for research'!U$1))*2,2)</f>
        <v>23</v>
      </c>
      <c r="V41" t="str">
        <f>MID('paste from garc here'!$C$1,1+(('table for research'!$B41-1)*36+HEX2DEC('table for research'!V$1))*2,2)</f>
        <v>00</v>
      </c>
      <c r="W41" t="str">
        <f>MID('paste from garc here'!$C$1,1+(('table for research'!$B41-1)*36+HEX2DEC('table for research'!W$1))*2,2)</f>
        <v>00</v>
      </c>
      <c r="X41" t="str">
        <f>MID('paste from garc here'!$C$1,1+(('table for research'!$B41-1)*36+HEX2DEC('table for research'!X$1))*2,2)</f>
        <v>00</v>
      </c>
      <c r="Y41" t="str">
        <f>MID('paste from garc here'!$C$1,1+(('table for research'!$B41-1)*36+HEX2DEC('table for research'!Y$1))*2,2)</f>
        <v>00</v>
      </c>
      <c r="Z41" t="str">
        <f>MID('paste from garc here'!$C$1,1+(('table for research'!$B41-1)*36+HEX2DEC('table for research'!Z$1))*2,2)</f>
        <v>00</v>
      </c>
      <c r="AA41" t="str">
        <f>MID('paste from garc here'!$C$1,1+(('table for research'!$B41-1)*36+HEX2DEC('table for research'!AA$1))*2,2)</f>
        <v>01</v>
      </c>
      <c r="AB41" t="str">
        <f>MID('paste from garc here'!$C$1,1+(('table for research'!$B41-1)*36+HEX2DEC('table for research'!AB$1))*2,2)</f>
        <v>00</v>
      </c>
      <c r="AC41" t="str">
        <f>MID('paste from garc here'!$C$1,1+(('table for research'!$B41-1)*36+HEX2DEC('table for research'!AC$1))*2,2)</f>
        <v>00</v>
      </c>
      <c r="AD41" t="str">
        <f>MID('paste from garc here'!$C$1,1+(('table for research'!$B41-1)*36+HEX2DEC('table for research'!AD$1))*2,2)</f>
        <v>00</v>
      </c>
      <c r="AE41" t="str">
        <f>MID('paste from garc here'!$C$1,1+(('table for research'!$B41-1)*36+HEX2DEC('table for research'!AE$1))*2,2)</f>
        <v>00</v>
      </c>
      <c r="AF41" t="str">
        <f>MID('paste from garc here'!$C$1,1+(('table for research'!$B41-1)*36+HEX2DEC('table for research'!AF$1))*2,2)</f>
        <v>00</v>
      </c>
      <c r="AG41" t="str">
        <f>MID('paste from garc here'!$C$1,1+(('table for research'!$B41-1)*36+HEX2DEC('table for research'!AG$1))*2,2)</f>
        <v>00</v>
      </c>
      <c r="AH41" t="str">
        <f>MID('paste from garc here'!$C$1,1+(('table for research'!$B41-1)*36+HEX2DEC('table for research'!AH$1))*2,2)</f>
        <v>00</v>
      </c>
      <c r="AI41" t="str">
        <f>MID('paste from garc here'!$C$1,1+(('table for research'!$B41-1)*36+HEX2DEC('table for research'!AI$1))*2,2)</f>
        <v>00</v>
      </c>
      <c r="AJ41" t="str">
        <f>MID('paste from garc here'!$C$1,1+(('table for research'!$B41-1)*36+HEX2DEC('table for research'!AJ$1))*2,2)</f>
        <v>7F</v>
      </c>
      <c r="AK41" t="str">
        <f>MID('paste from garc here'!$C$1,1+(('table for research'!$B41-1)*36+HEX2DEC('table for research'!AK$1))*2,2)</f>
        <v>00</v>
      </c>
      <c r="AL41" t="str">
        <f>MID('paste from garc here'!$C$1,1+(('table for research'!$B41-1)*36+HEX2DEC('table for research'!AL$1))*2,2)</f>
        <v>00</v>
      </c>
      <c r="AM41" t="str">
        <f>MID('paste from garc here'!$C$1,1+(('table for research'!$B41-1)*36+HEX2DEC('table for research'!AM$1))*2,2)</f>
        <v>00</v>
      </c>
      <c r="AN41" t="str">
        <f>MID('paste from garc here'!$C$1,1+(('table for research'!$B41-1)*36+HEX2DEC('table for research'!AN$1))*2,2)</f>
        <v>00</v>
      </c>
      <c r="AO41" t="str">
        <f>MID('paste from garc here'!$C$1,1+(('table for research'!$B41-1)*36+HEX2DEC('table for research'!AO$1))*2,2)</f>
        <v>00</v>
      </c>
    </row>
    <row r="42" spans="1:41" x14ac:dyDescent="0.4">
      <c r="A42" t="s">
        <v>54</v>
      </c>
      <c r="B42">
        <f>B41+1</f>
        <v>40</v>
      </c>
      <c r="C42" t="str">
        <f>MID('paste from garc here'!$C$1,1+(('table for research'!$B42-1)*36+HEX2DEC('table for research'!C$1))*2,2)</f>
        <v>B4</v>
      </c>
      <c r="D42" t="str">
        <f>MID('paste from garc here'!$C$1,1+(('table for research'!$B42-1)*36+HEX2DEC('table for research'!D$1))*2,2)</f>
        <v>00</v>
      </c>
      <c r="E42" t="str">
        <f>MID('paste from garc here'!$C$1,1+(('table for research'!$B42-1)*36+HEX2DEC('table for research'!E$1))*2,2)</f>
        <v>00</v>
      </c>
      <c r="F42" t="str">
        <f>MID('paste from garc here'!$C$1,1+(('table for research'!$B42-1)*36+HEX2DEC('table for research'!F$1))*2,2)</f>
        <v>0A</v>
      </c>
      <c r="G42" t="str">
        <f>MID('paste from garc here'!$C$1,1+(('table for research'!$B42-1)*36+HEX2DEC('table for research'!G$1))*2,2)</f>
        <v>00</v>
      </c>
      <c r="H42" t="str">
        <f>MID('paste from garc here'!$C$1,1+(('table for research'!$B42-1)*36+HEX2DEC('table for research'!H$1))*2,2)</f>
        <v>00</v>
      </c>
      <c r="I42" t="str">
        <f>MID('paste from garc here'!$C$1,1+(('table for research'!$B42-1)*36+HEX2DEC('table for research'!I$1))*2,2)</f>
        <v>1E</v>
      </c>
      <c r="J42" t="str">
        <f>MID('paste from garc here'!$C$1,1+(('table for research'!$B42-1)*36+HEX2DEC('table for research'!J$1))*2,2)</f>
        <v>00</v>
      </c>
      <c r="K42" t="str">
        <f>DEC2HEX(_xlfn.BITAND(HEX2DEC(MID('paste from garc here'!$C$1,1+(('table for research'!$B42-1)*36+HEX2DEC(8))*2,2)),31),2)</f>
        <v>1F</v>
      </c>
      <c r="L42" t="str">
        <f>DEC2HEX(_xlfn.BITAND(HEX2DEC(MID('paste from garc here'!$C$1,1+(('table for research'!$B42-1)*36+HEX2DEC(8))*2,2)),32),2)</f>
        <v>00</v>
      </c>
      <c r="M42" t="str">
        <f>DEC2HEX(_xlfn.BITAND(HEX2DEC(MID('paste from garc here'!$C$1,1+(('table for research'!$B42-1)*36+HEX2DEC(8))*2,2)),64),2)</f>
        <v>00</v>
      </c>
      <c r="N42" t="str">
        <f>DEC2HEX(_xlfn.BITRSHIFT(_xlfn.BITAND(HEX2DEC(MID('paste from garc here'!$C$1,1+(('table for research'!$B42-1)*36+HEX2DEC(9))*2,2)&amp;MID('paste from garc here'!$C$1,1+(('table for research'!$B42-1)*36+HEX2DEC(8))*2,2)),1920),7),2)</f>
        <v>01</v>
      </c>
      <c r="O42" t="str">
        <f>DEC2HEX(_xlfn.BITRSHIFT(HEX2DEC(MID('paste from garc here'!$C$1,1+(('table for research'!$B42-1)*36+HEX2DEC(9))*2,2)&amp;MID('paste from garc here'!$C$1,1+(('table for research'!$B42-1)*36+HEX2DEC(8))*2,2)),11),2)</f>
        <v>04</v>
      </c>
      <c r="P42" t="str">
        <f>MID('paste from garc here'!$C$1,1+(('table for research'!$B42-1)*36+HEX2DEC('table for research'!P$1))*2,2)</f>
        <v>01</v>
      </c>
      <c r="Q42" t="str">
        <f>MID('paste from garc here'!$C$1,1+(('table for research'!$B42-1)*36+HEX2DEC('table for research'!Q$1))*2,2)</f>
        <v>02</v>
      </c>
      <c r="R42" t="str">
        <f>MID('paste from garc here'!$C$1,1+(('table for research'!$B42-1)*36+HEX2DEC('table for research'!R$1))*2,2)</f>
        <v>01</v>
      </c>
      <c r="S42" t="str">
        <f>MID('paste from garc here'!$C$1,1+(('table for research'!$B42-1)*36+HEX2DEC('table for research'!S$1))*2,2)</f>
        <v>00</v>
      </c>
      <c r="T42" t="str">
        <f>MID('paste from garc here'!$C$1,1+(('table for research'!$B42-1)*36+HEX2DEC('table for research'!T$1))*2,2)</f>
        <v>00</v>
      </c>
      <c r="U42" t="str">
        <f>MID('paste from garc here'!$C$1,1+(('table for research'!$B42-1)*36+HEX2DEC('table for research'!U$1))*2,2)</f>
        <v>24</v>
      </c>
      <c r="V42" t="str">
        <f>MID('paste from garc here'!$C$1,1+(('table for research'!$B42-1)*36+HEX2DEC('table for research'!V$1))*2,2)</f>
        <v>00</v>
      </c>
      <c r="W42" t="str">
        <f>MID('paste from garc here'!$C$1,1+(('table for research'!$B42-1)*36+HEX2DEC('table for research'!W$1))*2,2)</f>
        <v>00</v>
      </c>
      <c r="X42" t="str">
        <f>MID('paste from garc here'!$C$1,1+(('table for research'!$B42-1)*36+HEX2DEC('table for research'!X$1))*2,2)</f>
        <v>00</v>
      </c>
      <c r="Y42" t="str">
        <f>MID('paste from garc here'!$C$1,1+(('table for research'!$B42-1)*36+HEX2DEC('table for research'!Y$1))*2,2)</f>
        <v>00</v>
      </c>
      <c r="Z42" t="str">
        <f>MID('paste from garc here'!$C$1,1+(('table for research'!$B42-1)*36+HEX2DEC('table for research'!Z$1))*2,2)</f>
        <v>00</v>
      </c>
      <c r="AA42" t="str">
        <f>MID('paste from garc here'!$C$1,1+(('table for research'!$B42-1)*36+HEX2DEC('table for research'!AA$1))*2,2)</f>
        <v>02</v>
      </c>
      <c r="AB42" t="str">
        <f>MID('paste from garc here'!$C$1,1+(('table for research'!$B42-1)*36+HEX2DEC('table for research'!AB$1))*2,2)</f>
        <v>00</v>
      </c>
      <c r="AC42" t="str">
        <f>MID('paste from garc here'!$C$1,1+(('table for research'!$B42-1)*36+HEX2DEC('table for research'!AC$1))*2,2)</f>
        <v>00</v>
      </c>
      <c r="AD42" t="str">
        <f>MID('paste from garc here'!$C$1,1+(('table for research'!$B42-1)*36+HEX2DEC('table for research'!AD$1))*2,2)</f>
        <v>00</v>
      </c>
      <c r="AE42" t="str">
        <f>MID('paste from garc here'!$C$1,1+(('table for research'!$B42-1)*36+HEX2DEC('table for research'!AE$1))*2,2)</f>
        <v>00</v>
      </c>
      <c r="AF42" t="str">
        <f>MID('paste from garc here'!$C$1,1+(('table for research'!$B42-1)*36+HEX2DEC('table for research'!AF$1))*2,2)</f>
        <v>00</v>
      </c>
      <c r="AG42" t="str">
        <f>MID('paste from garc here'!$C$1,1+(('table for research'!$B42-1)*36+HEX2DEC('table for research'!AG$1))*2,2)</f>
        <v>00</v>
      </c>
      <c r="AH42" t="str">
        <f>MID('paste from garc here'!$C$1,1+(('table for research'!$B42-1)*36+HEX2DEC('table for research'!AH$1))*2,2)</f>
        <v>00</v>
      </c>
      <c r="AI42" t="str">
        <f>MID('paste from garc here'!$C$1,1+(('table for research'!$B42-1)*36+HEX2DEC('table for research'!AI$1))*2,2)</f>
        <v>00</v>
      </c>
      <c r="AJ42" t="str">
        <f>MID('paste from garc here'!$C$1,1+(('table for research'!$B42-1)*36+HEX2DEC('table for research'!AJ$1))*2,2)</f>
        <v>0A</v>
      </c>
      <c r="AK42" t="str">
        <f>MID('paste from garc here'!$C$1,1+(('table for research'!$B42-1)*36+HEX2DEC('table for research'!AK$1))*2,2)</f>
        <v>00</v>
      </c>
      <c r="AL42" t="str">
        <f>MID('paste from garc here'!$C$1,1+(('table for research'!$B42-1)*36+HEX2DEC('table for research'!AL$1))*2,2)</f>
        <v>00</v>
      </c>
      <c r="AM42" t="str">
        <f>MID('paste from garc here'!$C$1,1+(('table for research'!$B42-1)*36+HEX2DEC('table for research'!AM$1))*2,2)</f>
        <v>00</v>
      </c>
      <c r="AN42" t="str">
        <f>MID('paste from garc here'!$C$1,1+(('table for research'!$B42-1)*36+HEX2DEC('table for research'!AN$1))*2,2)</f>
        <v>00</v>
      </c>
      <c r="AO42" t="str">
        <f>MID('paste from garc here'!$C$1,1+(('table for research'!$B42-1)*36+HEX2DEC('table for research'!AO$1))*2,2)</f>
        <v>00</v>
      </c>
    </row>
    <row r="43" spans="1:41" x14ac:dyDescent="0.4">
      <c r="A43" t="s">
        <v>55</v>
      </c>
      <c r="B43">
        <f>B42+1</f>
        <v>41</v>
      </c>
      <c r="C43" t="str">
        <f>MID('paste from garc here'!$C$1,1+(('table for research'!$B43-1)*36+HEX2DEC('table for research'!C$1))*2,2)</f>
        <v>FA</v>
      </c>
      <c r="D43" t="str">
        <f>MID('paste from garc here'!$C$1,1+(('table for research'!$B43-1)*36+HEX2DEC('table for research'!D$1))*2,2)</f>
        <v>00</v>
      </c>
      <c r="E43" t="str">
        <f>MID('paste from garc here'!$C$1,1+(('table for research'!$B43-1)*36+HEX2DEC('table for research'!E$1))*2,2)</f>
        <v>00</v>
      </c>
      <c r="F43" t="str">
        <f>MID('paste from garc here'!$C$1,1+(('table for research'!$B43-1)*36+HEX2DEC('table for research'!F$1))*2,2)</f>
        <v>FF</v>
      </c>
      <c r="G43" t="str">
        <f>MID('paste from garc here'!$C$1,1+(('table for research'!$B43-1)*36+HEX2DEC('table for research'!G$1))*2,2)</f>
        <v>00</v>
      </c>
      <c r="H43" t="str">
        <f>MID('paste from garc here'!$C$1,1+(('table for research'!$B43-1)*36+HEX2DEC('table for research'!H$1))*2,2)</f>
        <v>00</v>
      </c>
      <c r="I43" t="str">
        <f>MID('paste from garc here'!$C$1,1+(('table for research'!$B43-1)*36+HEX2DEC('table for research'!I$1))*2,2)</f>
        <v>1E</v>
      </c>
      <c r="J43" t="str">
        <f>MID('paste from garc here'!$C$1,1+(('table for research'!$B43-1)*36+HEX2DEC('table for research'!J$1))*2,2)</f>
        <v>00</v>
      </c>
      <c r="K43" t="str">
        <f>DEC2HEX(_xlfn.BITAND(HEX2DEC(MID('paste from garc here'!$C$1,1+(('table for research'!$B43-1)*36+HEX2DEC(8))*2,2)),31),2)</f>
        <v>1F</v>
      </c>
      <c r="L43" t="str">
        <f>DEC2HEX(_xlfn.BITAND(HEX2DEC(MID('paste from garc here'!$C$1,1+(('table for research'!$B43-1)*36+HEX2DEC(8))*2,2)),32),2)</f>
        <v>00</v>
      </c>
      <c r="M43" t="str">
        <f>DEC2HEX(_xlfn.BITAND(HEX2DEC(MID('paste from garc here'!$C$1,1+(('table for research'!$B43-1)*36+HEX2DEC(8))*2,2)),64),2)</f>
        <v>00</v>
      </c>
      <c r="N43" t="str">
        <f>DEC2HEX(_xlfn.BITRSHIFT(_xlfn.BITAND(HEX2DEC(MID('paste from garc here'!$C$1,1+(('table for research'!$B43-1)*36+HEX2DEC(9))*2,2)&amp;MID('paste from garc here'!$C$1,1+(('table for research'!$B43-1)*36+HEX2DEC(8))*2,2)),1920),7),2)</f>
        <v>01</v>
      </c>
      <c r="O43" t="str">
        <f>DEC2HEX(_xlfn.BITRSHIFT(HEX2DEC(MID('paste from garc here'!$C$1,1+(('table for research'!$B43-1)*36+HEX2DEC(9))*2,2)&amp;MID('paste from garc here'!$C$1,1+(('table for research'!$B43-1)*36+HEX2DEC(8))*2,2)),11),2)</f>
        <v>04</v>
      </c>
      <c r="P43" t="str">
        <f>MID('paste from garc here'!$C$1,1+(('table for research'!$B43-1)*36+HEX2DEC('table for research'!P$1))*2,2)</f>
        <v>01</v>
      </c>
      <c r="Q43" t="str">
        <f>MID('paste from garc here'!$C$1,1+(('table for research'!$B43-1)*36+HEX2DEC('table for research'!Q$1))*2,2)</f>
        <v>02</v>
      </c>
      <c r="R43" t="str">
        <f>MID('paste from garc here'!$C$1,1+(('table for research'!$B43-1)*36+HEX2DEC('table for research'!R$1))*2,2)</f>
        <v>01</v>
      </c>
      <c r="S43" t="str">
        <f>MID('paste from garc here'!$C$1,1+(('table for research'!$B43-1)*36+HEX2DEC('table for research'!S$1))*2,2)</f>
        <v>00</v>
      </c>
      <c r="T43" t="str">
        <f>MID('paste from garc here'!$C$1,1+(('table for research'!$B43-1)*36+HEX2DEC('table for research'!T$1))*2,2)</f>
        <v>00</v>
      </c>
      <c r="U43" t="str">
        <f>MID('paste from garc here'!$C$1,1+(('table for research'!$B43-1)*36+HEX2DEC('table for research'!U$1))*2,2)</f>
        <v>25</v>
      </c>
      <c r="V43" t="str">
        <f>MID('paste from garc here'!$C$1,1+(('table for research'!$B43-1)*36+HEX2DEC('table for research'!V$1))*2,2)</f>
        <v>00</v>
      </c>
      <c r="W43" t="str">
        <f>MID('paste from garc here'!$C$1,1+(('table for research'!$B43-1)*36+HEX2DEC('table for research'!W$1))*2,2)</f>
        <v>00</v>
      </c>
      <c r="X43" t="str">
        <f>MID('paste from garc here'!$C$1,1+(('table for research'!$B43-1)*36+HEX2DEC('table for research'!X$1))*2,2)</f>
        <v>00</v>
      </c>
      <c r="Y43" t="str">
        <f>MID('paste from garc here'!$C$1,1+(('table for research'!$B43-1)*36+HEX2DEC('table for research'!Y$1))*2,2)</f>
        <v>00</v>
      </c>
      <c r="Z43" t="str">
        <f>MID('paste from garc here'!$C$1,1+(('table for research'!$B43-1)*36+HEX2DEC('table for research'!Z$1))*2,2)</f>
        <v>00</v>
      </c>
      <c r="AA43" t="str">
        <f>MID('paste from garc here'!$C$1,1+(('table for research'!$B43-1)*36+HEX2DEC('table for research'!AA$1))*2,2)</f>
        <v>02</v>
      </c>
      <c r="AB43" t="str">
        <f>MID('paste from garc here'!$C$1,1+(('table for research'!$B43-1)*36+HEX2DEC('table for research'!AB$1))*2,2)</f>
        <v>00</v>
      </c>
      <c r="AC43" t="str">
        <f>MID('paste from garc here'!$C$1,1+(('table for research'!$B43-1)*36+HEX2DEC('table for research'!AC$1))*2,2)</f>
        <v>00</v>
      </c>
      <c r="AD43" t="str">
        <f>MID('paste from garc here'!$C$1,1+(('table for research'!$B43-1)*36+HEX2DEC('table for research'!AD$1))*2,2)</f>
        <v>00</v>
      </c>
      <c r="AE43" t="str">
        <f>MID('paste from garc here'!$C$1,1+(('table for research'!$B43-1)*36+HEX2DEC('table for research'!AE$1))*2,2)</f>
        <v>00</v>
      </c>
      <c r="AF43" t="str">
        <f>MID('paste from garc here'!$C$1,1+(('table for research'!$B43-1)*36+HEX2DEC('table for research'!AF$1))*2,2)</f>
        <v>00</v>
      </c>
      <c r="AG43" t="str">
        <f>MID('paste from garc here'!$C$1,1+(('table for research'!$B43-1)*36+HEX2DEC('table for research'!AG$1))*2,2)</f>
        <v>00</v>
      </c>
      <c r="AH43" t="str">
        <f>MID('paste from garc here'!$C$1,1+(('table for research'!$B43-1)*36+HEX2DEC('table for research'!AH$1))*2,2)</f>
        <v>00</v>
      </c>
      <c r="AI43" t="str">
        <f>MID('paste from garc here'!$C$1,1+(('table for research'!$B43-1)*36+HEX2DEC('table for research'!AI$1))*2,2)</f>
        <v>00</v>
      </c>
      <c r="AJ43" t="str">
        <f>MID('paste from garc here'!$C$1,1+(('table for research'!$B43-1)*36+HEX2DEC('table for research'!AJ$1))*2,2)</f>
        <v>7F</v>
      </c>
      <c r="AK43" t="str">
        <f>MID('paste from garc here'!$C$1,1+(('table for research'!$B43-1)*36+HEX2DEC('table for research'!AK$1))*2,2)</f>
        <v>00</v>
      </c>
      <c r="AL43" t="str">
        <f>MID('paste from garc here'!$C$1,1+(('table for research'!$B43-1)*36+HEX2DEC('table for research'!AL$1))*2,2)</f>
        <v>00</v>
      </c>
      <c r="AM43" t="str">
        <f>MID('paste from garc here'!$C$1,1+(('table for research'!$B43-1)*36+HEX2DEC('table for research'!AM$1))*2,2)</f>
        <v>00</v>
      </c>
      <c r="AN43" t="str">
        <f>MID('paste from garc here'!$C$1,1+(('table for research'!$B43-1)*36+HEX2DEC('table for research'!AN$1))*2,2)</f>
        <v>00</v>
      </c>
      <c r="AO43" t="str">
        <f>MID('paste from garc here'!$C$1,1+(('table for research'!$B43-1)*36+HEX2DEC('table for research'!AO$1))*2,2)</f>
        <v>00</v>
      </c>
    </row>
    <row r="44" spans="1:41" x14ac:dyDescent="0.4">
      <c r="A44" t="s">
        <v>56</v>
      </c>
      <c r="B44">
        <f>B43+1</f>
        <v>42</v>
      </c>
      <c r="C44" t="str">
        <f>MID('paste from garc here'!$C$1,1+(('table for research'!$B44-1)*36+HEX2DEC('table for research'!C$1))*2,2)</f>
        <v>23</v>
      </c>
      <c r="D44" t="str">
        <f>MID('paste from garc here'!$C$1,1+(('table for research'!$B44-1)*36+HEX2DEC('table for research'!D$1))*2,2)</f>
        <v>00</v>
      </c>
      <c r="E44" t="str">
        <f>MID('paste from garc here'!$C$1,1+(('table for research'!$B44-1)*36+HEX2DEC('table for research'!E$1))*2,2)</f>
        <v>00</v>
      </c>
      <c r="F44" t="str">
        <f>MID('paste from garc here'!$C$1,1+(('table for research'!$B44-1)*36+HEX2DEC('table for research'!F$1))*2,2)</f>
        <v>00</v>
      </c>
      <c r="G44" t="str">
        <f>MID('paste from garc here'!$C$1,1+(('table for research'!$B44-1)*36+HEX2DEC('table for research'!G$1))*2,2)</f>
        <v>00</v>
      </c>
      <c r="H44" t="str">
        <f>MID('paste from garc here'!$C$1,1+(('table for research'!$B44-1)*36+HEX2DEC('table for research'!H$1))*2,2)</f>
        <v>00</v>
      </c>
      <c r="I44" t="str">
        <f>MID('paste from garc here'!$C$1,1+(('table for research'!$B44-1)*36+HEX2DEC('table for research'!I$1))*2,2)</f>
        <v>1E</v>
      </c>
      <c r="J44" t="str">
        <f>MID('paste from garc here'!$C$1,1+(('table for research'!$B44-1)*36+HEX2DEC('table for research'!J$1))*2,2)</f>
        <v>00</v>
      </c>
      <c r="K44" t="str">
        <f>DEC2HEX(_xlfn.BITAND(HEX2DEC(MID('paste from garc here'!$C$1,1+(('table for research'!$B44-1)*36+HEX2DEC(8))*2,2)),31),2)</f>
        <v>1F</v>
      </c>
      <c r="L44" t="str">
        <f>DEC2HEX(_xlfn.BITAND(HEX2DEC(MID('paste from garc here'!$C$1,1+(('table for research'!$B44-1)*36+HEX2DEC(8))*2,2)),32),2)</f>
        <v>00</v>
      </c>
      <c r="M44" t="str">
        <f>DEC2HEX(_xlfn.BITAND(HEX2DEC(MID('paste from garc here'!$C$1,1+(('table for research'!$B44-1)*36+HEX2DEC(8))*2,2)),64),2)</f>
        <v>00</v>
      </c>
      <c r="N44" t="str">
        <f>DEC2HEX(_xlfn.BITRSHIFT(_xlfn.BITAND(HEX2DEC(MID('paste from garc here'!$C$1,1+(('table for research'!$B44-1)*36+HEX2DEC(9))*2,2)&amp;MID('paste from garc here'!$C$1,1+(('table for research'!$B44-1)*36+HEX2DEC(8))*2,2)),1920),7),2)</f>
        <v>01</v>
      </c>
      <c r="O44" t="str">
        <f>DEC2HEX(_xlfn.BITRSHIFT(HEX2DEC(MID('paste from garc here'!$C$1,1+(('table for research'!$B44-1)*36+HEX2DEC(9))*2,2)&amp;MID('paste from garc here'!$C$1,1+(('table for research'!$B44-1)*36+HEX2DEC(8))*2,2)),11),2)</f>
        <v>08</v>
      </c>
      <c r="P44" t="str">
        <f>MID('paste from garc here'!$C$1,1+(('table for research'!$B44-1)*36+HEX2DEC('table for research'!P$1))*2,2)</f>
        <v>01</v>
      </c>
      <c r="Q44" t="str">
        <f>MID('paste from garc here'!$C$1,1+(('table for research'!$B44-1)*36+HEX2DEC('table for research'!Q$1))*2,2)</f>
        <v>02</v>
      </c>
      <c r="R44" t="str">
        <f>MID('paste from garc here'!$C$1,1+(('table for research'!$B44-1)*36+HEX2DEC('table for research'!R$1))*2,2)</f>
        <v>01</v>
      </c>
      <c r="S44" t="str">
        <f>MID('paste from garc here'!$C$1,1+(('table for research'!$B44-1)*36+HEX2DEC('table for research'!S$1))*2,2)</f>
        <v>00</v>
      </c>
      <c r="T44" t="str">
        <f>MID('paste from garc here'!$C$1,1+(('table for research'!$B44-1)*36+HEX2DEC('table for research'!T$1))*2,2)</f>
        <v>00</v>
      </c>
      <c r="U44" t="str">
        <f>MID('paste from garc here'!$C$1,1+(('table for research'!$B44-1)*36+HEX2DEC('table for research'!U$1))*2,2)</f>
        <v>1B</v>
      </c>
      <c r="V44" t="str">
        <f>MID('paste from garc here'!$C$1,1+(('table for research'!$B44-1)*36+HEX2DEC('table for research'!V$1))*2,2)</f>
        <v>3F</v>
      </c>
      <c r="W44" t="str">
        <f>MID('paste from garc here'!$C$1,1+(('table for research'!$B44-1)*36+HEX2DEC('table for research'!W$1))*2,2)</f>
        <v>00</v>
      </c>
      <c r="X44" t="str">
        <f>MID('paste from garc here'!$C$1,1+(('table for research'!$B44-1)*36+HEX2DEC('table for research'!X$1))*2,2)</f>
        <v>00</v>
      </c>
      <c r="Y44" t="str">
        <f>MID('paste from garc here'!$C$1,1+(('table for research'!$B44-1)*36+HEX2DEC('table for research'!Y$1))*2,2)</f>
        <v>00</v>
      </c>
      <c r="Z44" t="str">
        <f>MID('paste from garc here'!$C$1,1+(('table for research'!$B44-1)*36+HEX2DEC('table for research'!Z$1))*2,2)</f>
        <v>00</v>
      </c>
      <c r="AA44" t="str">
        <f>MID('paste from garc here'!$C$1,1+(('table for research'!$B44-1)*36+HEX2DEC('table for research'!AA$1))*2,2)</f>
        <v>00</v>
      </c>
      <c r="AB44" t="str">
        <f>MID('paste from garc here'!$C$1,1+(('table for research'!$B44-1)*36+HEX2DEC('table for research'!AB$1))*2,2)</f>
        <v>00</v>
      </c>
      <c r="AC44" t="str">
        <f>MID('paste from garc here'!$C$1,1+(('table for research'!$B44-1)*36+HEX2DEC('table for research'!AC$1))*2,2)</f>
        <v>00</v>
      </c>
      <c r="AD44" t="str">
        <f>MID('paste from garc here'!$C$1,1+(('table for research'!$B44-1)*36+HEX2DEC('table for research'!AD$1))*2,2)</f>
        <v>00</v>
      </c>
      <c r="AE44" t="str">
        <f>MID('paste from garc here'!$C$1,1+(('table for research'!$B44-1)*36+HEX2DEC('table for research'!AE$1))*2,2)</f>
        <v>00</v>
      </c>
      <c r="AF44" t="str">
        <f>MID('paste from garc here'!$C$1,1+(('table for research'!$B44-1)*36+HEX2DEC('table for research'!AF$1))*2,2)</f>
        <v>00</v>
      </c>
      <c r="AG44" t="str">
        <f>MID('paste from garc here'!$C$1,1+(('table for research'!$B44-1)*36+HEX2DEC('table for research'!AG$1))*2,2)</f>
        <v>00</v>
      </c>
      <c r="AH44" t="str">
        <f>MID('paste from garc here'!$C$1,1+(('table for research'!$B44-1)*36+HEX2DEC('table for research'!AH$1))*2,2)</f>
        <v>00</v>
      </c>
      <c r="AI44" t="str">
        <f>MID('paste from garc here'!$C$1,1+(('table for research'!$B44-1)*36+HEX2DEC('table for research'!AI$1))*2,2)</f>
        <v>00</v>
      </c>
      <c r="AJ44" t="str">
        <f>MID('paste from garc here'!$C$1,1+(('table for research'!$B44-1)*36+HEX2DEC('table for research'!AJ$1))*2,2)</f>
        <v>00</v>
      </c>
      <c r="AK44" t="str">
        <f>MID('paste from garc here'!$C$1,1+(('table for research'!$B44-1)*36+HEX2DEC('table for research'!AK$1))*2,2)</f>
        <v>00</v>
      </c>
      <c r="AL44" t="str">
        <f>MID('paste from garc here'!$C$1,1+(('table for research'!$B44-1)*36+HEX2DEC('table for research'!AL$1))*2,2)</f>
        <v>00</v>
      </c>
      <c r="AM44" t="str">
        <f>MID('paste from garc here'!$C$1,1+(('table for research'!$B44-1)*36+HEX2DEC('table for research'!AM$1))*2,2)</f>
        <v>00</v>
      </c>
      <c r="AN44" t="str">
        <f>MID('paste from garc here'!$C$1,1+(('table for research'!$B44-1)*36+HEX2DEC('table for research'!AN$1))*2,2)</f>
        <v>00</v>
      </c>
      <c r="AO44" t="str">
        <f>MID('paste from garc here'!$C$1,1+(('table for research'!$B44-1)*36+HEX2DEC('table for research'!AO$1))*2,2)</f>
        <v>00</v>
      </c>
    </row>
    <row r="45" spans="1:41" x14ac:dyDescent="0.4">
      <c r="A45" t="s">
        <v>57</v>
      </c>
      <c r="B45">
        <f>B44+1</f>
        <v>43</v>
      </c>
      <c r="C45" t="str">
        <f>MID('paste from garc here'!$C$1,1+(('table for research'!$B45-1)*36+HEX2DEC('table for research'!C$1))*2,2)</f>
        <v>14</v>
      </c>
      <c r="D45" t="str">
        <f>MID('paste from garc here'!$C$1,1+(('table for research'!$B45-1)*36+HEX2DEC('table for research'!D$1))*2,2)</f>
        <v>00</v>
      </c>
      <c r="E45" t="str">
        <f>MID('paste from garc here'!$C$1,1+(('table for research'!$B45-1)*36+HEX2DEC('table for research'!E$1))*2,2)</f>
        <v>01</v>
      </c>
      <c r="F45" t="str">
        <f>MID('paste from garc here'!$C$1,1+(('table for research'!$B45-1)*36+HEX2DEC('table for research'!F$1))*2,2)</f>
        <v>32</v>
      </c>
      <c r="G45" t="str">
        <f>MID('paste from garc here'!$C$1,1+(('table for research'!$B45-1)*36+HEX2DEC('table for research'!G$1))*2,2)</f>
        <v>00</v>
      </c>
      <c r="H45" t="str">
        <f>MID('paste from garc here'!$C$1,1+(('table for research'!$B45-1)*36+HEX2DEC('table for research'!H$1))*2,2)</f>
        <v>00</v>
      </c>
      <c r="I45" t="str">
        <f>MID('paste from garc here'!$C$1,1+(('table for research'!$B45-1)*36+HEX2DEC('table for research'!I$1))*2,2)</f>
        <v>1E</v>
      </c>
      <c r="J45" t="str">
        <f>MID('paste from garc here'!$C$1,1+(('table for research'!$B45-1)*36+HEX2DEC('table for research'!J$1))*2,2)</f>
        <v>00</v>
      </c>
      <c r="K45" t="str">
        <f>DEC2HEX(_xlfn.BITAND(HEX2DEC(MID('paste from garc here'!$C$1,1+(('table for research'!$B45-1)*36+HEX2DEC(8))*2,2)),31),2)</f>
        <v>1F</v>
      </c>
      <c r="L45" t="str">
        <f>DEC2HEX(_xlfn.BITAND(HEX2DEC(MID('paste from garc here'!$C$1,1+(('table for research'!$B45-1)*36+HEX2DEC(8))*2,2)),32),2)</f>
        <v>00</v>
      </c>
      <c r="M45" t="str">
        <f>DEC2HEX(_xlfn.BITAND(HEX2DEC(MID('paste from garc here'!$C$1,1+(('table for research'!$B45-1)*36+HEX2DEC(8))*2,2)),64),2)</f>
        <v>00</v>
      </c>
      <c r="N45" t="str">
        <f>DEC2HEX(_xlfn.BITRSHIFT(_xlfn.BITAND(HEX2DEC(MID('paste from garc here'!$C$1,1+(('table for research'!$B45-1)*36+HEX2DEC(9))*2,2)&amp;MID('paste from garc here'!$C$1,1+(('table for research'!$B45-1)*36+HEX2DEC(8))*2,2)),1920),7),2)</f>
        <v>01</v>
      </c>
      <c r="O45" t="str">
        <f>DEC2HEX(_xlfn.BITRSHIFT(HEX2DEC(MID('paste from garc here'!$C$1,1+(('table for research'!$B45-1)*36+HEX2DEC(9))*2,2)&amp;MID('paste from garc here'!$C$1,1+(('table for research'!$B45-1)*36+HEX2DEC(8))*2,2)),11),2)</f>
        <v>04</v>
      </c>
      <c r="P45" t="str">
        <f>MID('paste from garc here'!$C$1,1+(('table for research'!$B45-1)*36+HEX2DEC('table for research'!P$1))*2,2)</f>
        <v>01</v>
      </c>
      <c r="Q45" t="str">
        <f>MID('paste from garc here'!$C$1,1+(('table for research'!$B45-1)*36+HEX2DEC('table for research'!Q$1))*2,2)</f>
        <v>02</v>
      </c>
      <c r="R45" t="str">
        <f>MID('paste from garc here'!$C$1,1+(('table for research'!$B45-1)*36+HEX2DEC('table for research'!R$1))*2,2)</f>
        <v>01</v>
      </c>
      <c r="S45" t="str">
        <f>MID('paste from garc here'!$C$1,1+(('table for research'!$B45-1)*36+HEX2DEC('table for research'!S$1))*2,2)</f>
        <v>00</v>
      </c>
      <c r="T45" t="str">
        <f>MID('paste from garc here'!$C$1,1+(('table for research'!$B45-1)*36+HEX2DEC('table for research'!T$1))*2,2)</f>
        <v>01</v>
      </c>
      <c r="U45" t="str">
        <f>MID('paste from garc here'!$C$1,1+(('table for research'!$B45-1)*36+HEX2DEC('table for research'!U$1))*2,2)</f>
        <v>07</v>
      </c>
      <c r="V45" t="str">
        <f>MID('paste from garc here'!$C$1,1+(('table for research'!$B45-1)*36+HEX2DEC('table for research'!V$1))*2,2)</f>
        <v>00</v>
      </c>
      <c r="W45" t="str">
        <f>MID('paste from garc here'!$C$1,1+(('table for research'!$B45-1)*36+HEX2DEC('table for research'!W$1))*2,2)</f>
        <v>00</v>
      </c>
      <c r="X45" t="str">
        <f>MID('paste from garc here'!$C$1,1+(('table for research'!$B45-1)*36+HEX2DEC('table for research'!X$1))*2,2)</f>
        <v>00</v>
      </c>
      <c r="Y45" t="str">
        <f>MID('paste from garc here'!$C$1,1+(('table for research'!$B45-1)*36+HEX2DEC('table for research'!Y$1))*2,2)</f>
        <v>00</v>
      </c>
      <c r="Z45" t="str">
        <f>MID('paste from garc here'!$C$1,1+(('table for research'!$B45-1)*36+HEX2DEC('table for research'!Z$1))*2,2)</f>
        <v>00</v>
      </c>
      <c r="AA45" t="str">
        <f>MID('paste from garc here'!$C$1,1+(('table for research'!$B45-1)*36+HEX2DEC('table for research'!AA$1))*2,2)</f>
        <v>04</v>
      </c>
      <c r="AB45" t="str">
        <f>MID('paste from garc here'!$C$1,1+(('table for research'!$B45-1)*36+HEX2DEC('table for research'!AB$1))*2,2)</f>
        <v>00</v>
      </c>
      <c r="AC45" t="str">
        <f>MID('paste from garc here'!$C$1,1+(('table for research'!$B45-1)*36+HEX2DEC('table for research'!AC$1))*2,2)</f>
        <v>00</v>
      </c>
      <c r="AD45" t="str">
        <f>MID('paste from garc here'!$C$1,1+(('table for research'!$B45-1)*36+HEX2DEC('table for research'!AD$1))*2,2)</f>
        <v>00</v>
      </c>
      <c r="AE45" t="str">
        <f>MID('paste from garc here'!$C$1,1+(('table for research'!$B45-1)*36+HEX2DEC('table for research'!AE$1))*2,2)</f>
        <v>00</v>
      </c>
      <c r="AF45" t="str">
        <f>MID('paste from garc here'!$C$1,1+(('table for research'!$B45-1)*36+HEX2DEC('table for research'!AF$1))*2,2)</f>
        <v>00</v>
      </c>
      <c r="AG45" t="str">
        <f>MID('paste from garc here'!$C$1,1+(('table for research'!$B45-1)*36+HEX2DEC('table for research'!AG$1))*2,2)</f>
        <v>00</v>
      </c>
      <c r="AH45" t="str">
        <f>MID('paste from garc here'!$C$1,1+(('table for research'!$B45-1)*36+HEX2DEC('table for research'!AH$1))*2,2)</f>
        <v>00</v>
      </c>
      <c r="AI45" t="str">
        <f>MID('paste from garc here'!$C$1,1+(('table for research'!$B45-1)*36+HEX2DEC('table for research'!AI$1))*2,2)</f>
        <v>32</v>
      </c>
      <c r="AJ45" t="str">
        <f>MID('paste from garc here'!$C$1,1+(('table for research'!$B45-1)*36+HEX2DEC('table for research'!AJ$1))*2,2)</f>
        <v>00</v>
      </c>
      <c r="AK45" t="str">
        <f>MID('paste from garc here'!$C$1,1+(('table for research'!$B45-1)*36+HEX2DEC('table for research'!AK$1))*2,2)</f>
        <v>00</v>
      </c>
      <c r="AL45" t="str">
        <f>MID('paste from garc here'!$C$1,1+(('table for research'!$B45-1)*36+HEX2DEC('table for research'!AL$1))*2,2)</f>
        <v>00</v>
      </c>
      <c r="AM45" t="str">
        <f>MID('paste from garc here'!$C$1,1+(('table for research'!$B45-1)*36+HEX2DEC('table for research'!AM$1))*2,2)</f>
        <v>00</v>
      </c>
      <c r="AN45" t="str">
        <f>MID('paste from garc here'!$C$1,1+(('table for research'!$B45-1)*36+HEX2DEC('table for research'!AN$1))*2,2)</f>
        <v>00</v>
      </c>
      <c r="AO45" t="str">
        <f>MID('paste from garc here'!$C$1,1+(('table for research'!$B45-1)*36+HEX2DEC('table for research'!AO$1))*2,2)</f>
        <v>00</v>
      </c>
    </row>
    <row r="46" spans="1:41" x14ac:dyDescent="0.4">
      <c r="A46" t="s">
        <v>58</v>
      </c>
      <c r="B46">
        <f>B45+1</f>
        <v>44</v>
      </c>
      <c r="C46" t="str">
        <f>MID('paste from garc here'!$C$1,1+(('table for research'!$B46-1)*36+HEX2DEC('table for research'!C$1))*2,2)</f>
        <v>90</v>
      </c>
      <c r="D46" t="str">
        <f>MID('paste from garc here'!$C$1,1+(('table for research'!$B46-1)*36+HEX2DEC('table for research'!D$1))*2,2)</f>
        <v>01</v>
      </c>
      <c r="E46" t="str">
        <f>MID('paste from garc here'!$C$1,1+(('table for research'!$B46-1)*36+HEX2DEC('table for research'!E$1))*2,2)</f>
        <v>00</v>
      </c>
      <c r="F46" t="str">
        <f>MID('paste from garc here'!$C$1,1+(('table for research'!$B46-1)*36+HEX2DEC('table for research'!F$1))*2,2)</f>
        <v>00</v>
      </c>
      <c r="G46" t="str">
        <f>MID('paste from garc here'!$C$1,1+(('table for research'!$B46-1)*36+HEX2DEC('table for research'!G$1))*2,2)</f>
        <v>00</v>
      </c>
      <c r="H46" t="str">
        <f>MID('paste from garc here'!$C$1,1+(('table for research'!$B46-1)*36+HEX2DEC('table for research'!H$1))*2,2)</f>
        <v>00</v>
      </c>
      <c r="I46" t="str">
        <f>MID('paste from garc here'!$C$1,1+(('table for research'!$B46-1)*36+HEX2DEC('table for research'!I$1))*2,2)</f>
        <v>1E</v>
      </c>
      <c r="J46" t="str">
        <f>MID('paste from garc here'!$C$1,1+(('table for research'!$B46-1)*36+HEX2DEC('table for research'!J$1))*2,2)</f>
        <v>00</v>
      </c>
      <c r="K46" t="str">
        <f>DEC2HEX(_xlfn.BITAND(HEX2DEC(MID('paste from garc here'!$C$1,1+(('table for research'!$B46-1)*36+HEX2DEC(8))*2,2)),31),2)</f>
        <v>1F</v>
      </c>
      <c r="L46" t="str">
        <f>DEC2HEX(_xlfn.BITAND(HEX2DEC(MID('paste from garc here'!$C$1,1+(('table for research'!$B46-1)*36+HEX2DEC(8))*2,2)),32),2)</f>
        <v>00</v>
      </c>
      <c r="M46" t="str">
        <f>DEC2HEX(_xlfn.BITAND(HEX2DEC(MID('paste from garc here'!$C$1,1+(('table for research'!$B46-1)*36+HEX2DEC(8))*2,2)),64),2)</f>
        <v>00</v>
      </c>
      <c r="N46" t="str">
        <f>DEC2HEX(_xlfn.BITRSHIFT(_xlfn.BITAND(HEX2DEC(MID('paste from garc here'!$C$1,1+(('table for research'!$B46-1)*36+HEX2DEC(9))*2,2)&amp;MID('paste from garc here'!$C$1,1+(('table for research'!$B46-1)*36+HEX2DEC(8))*2,2)),1920),7),2)</f>
        <v>01</v>
      </c>
      <c r="O46" t="str">
        <f>DEC2HEX(_xlfn.BITRSHIFT(HEX2DEC(MID('paste from garc here'!$C$1,1+(('table for research'!$B46-1)*36+HEX2DEC(9))*2,2)&amp;MID('paste from garc here'!$C$1,1+(('table for research'!$B46-1)*36+HEX2DEC(8))*2,2)),11),2)</f>
        <v>00</v>
      </c>
      <c r="P46" t="str">
        <f>MID('paste from garc here'!$C$1,1+(('table for research'!$B46-1)*36+HEX2DEC('table for research'!P$1))*2,2)</f>
        <v>01</v>
      </c>
      <c r="Q46" t="str">
        <f>MID('paste from garc here'!$C$1,1+(('table for research'!$B46-1)*36+HEX2DEC('table for research'!Q$1))*2,2)</f>
        <v>00</v>
      </c>
      <c r="R46" t="str">
        <f>MID('paste from garc here'!$C$1,1+(('table for research'!$B46-1)*36+HEX2DEC('table for research'!R$1))*2,2)</f>
        <v>01</v>
      </c>
      <c r="S46" t="str">
        <f>MID('paste from garc here'!$C$1,1+(('table for research'!$B46-1)*36+HEX2DEC('table for research'!S$1))*2,2)</f>
        <v>00</v>
      </c>
      <c r="T46" t="str">
        <f>MID('paste from garc here'!$C$1,1+(('table for research'!$B46-1)*36+HEX2DEC('table for research'!T$1))*2,2)</f>
        <v>00</v>
      </c>
      <c r="U46" t="str">
        <f>MID('paste from garc here'!$C$1,1+(('table for research'!$B46-1)*36+HEX2DEC('table for research'!U$1))*2,2)</f>
        <v>00</v>
      </c>
      <c r="V46" t="str">
        <f>MID('paste from garc here'!$C$1,1+(('table for research'!$B46-1)*36+HEX2DEC('table for research'!V$1))*2,2)</f>
        <v>1F</v>
      </c>
      <c r="W46" t="str">
        <f>MID('paste from garc here'!$C$1,1+(('table for research'!$B46-1)*36+HEX2DEC('table for research'!W$1))*2,2)</f>
        <v>03</v>
      </c>
      <c r="X46" t="str">
        <f>MID('paste from garc here'!$C$1,1+(('table for research'!$B46-1)*36+HEX2DEC('table for research'!X$1))*2,2)</f>
        <v>00</v>
      </c>
      <c r="Y46" t="str">
        <f>MID('paste from garc here'!$C$1,1+(('table for research'!$B46-1)*36+HEX2DEC('table for research'!Y$1))*2,2)</f>
        <v>00</v>
      </c>
      <c r="Z46" t="str">
        <f>MID('paste from garc here'!$C$1,1+(('table for research'!$B46-1)*36+HEX2DEC('table for research'!Z$1))*2,2)</f>
        <v>00</v>
      </c>
      <c r="AA46" t="str">
        <f>MID('paste from garc here'!$C$1,1+(('table for research'!$B46-1)*36+HEX2DEC('table for research'!AA$1))*2,2)</f>
        <v>04</v>
      </c>
      <c r="AB46" t="str">
        <f>MID('paste from garc here'!$C$1,1+(('table for research'!$B46-1)*36+HEX2DEC('table for research'!AB$1))*2,2)</f>
        <v>1C</v>
      </c>
      <c r="AC46" t="str">
        <f>MID('paste from garc here'!$C$1,1+(('table for research'!$B46-1)*36+HEX2DEC('table for research'!AC$1))*2,2)</f>
        <v>00</v>
      </c>
      <c r="AD46" t="str">
        <f>MID('paste from garc here'!$C$1,1+(('table for research'!$B46-1)*36+HEX2DEC('table for research'!AD$1))*2,2)</f>
        <v>00</v>
      </c>
      <c r="AE46" t="str">
        <f>MID('paste from garc here'!$C$1,1+(('table for research'!$B46-1)*36+HEX2DEC('table for research'!AE$1))*2,2)</f>
        <v>00</v>
      </c>
      <c r="AF46" t="str">
        <f>MID('paste from garc here'!$C$1,1+(('table for research'!$B46-1)*36+HEX2DEC('table for research'!AF$1))*2,2)</f>
        <v>00</v>
      </c>
      <c r="AG46" t="str">
        <f>MID('paste from garc here'!$C$1,1+(('table for research'!$B46-1)*36+HEX2DEC('table for research'!AG$1))*2,2)</f>
        <v>00</v>
      </c>
      <c r="AH46" t="str">
        <f>MID('paste from garc here'!$C$1,1+(('table for research'!$B46-1)*36+HEX2DEC('table for research'!AH$1))*2,2)</f>
        <v>00</v>
      </c>
      <c r="AI46" t="str">
        <f>MID('paste from garc here'!$C$1,1+(('table for research'!$B46-1)*36+HEX2DEC('table for research'!AI$1))*2,2)</f>
        <v>FF</v>
      </c>
      <c r="AJ46" t="str">
        <f>MID('paste from garc here'!$C$1,1+(('table for research'!$B46-1)*36+HEX2DEC('table for research'!AJ$1))*2,2)</f>
        <v>00</v>
      </c>
      <c r="AK46" t="str">
        <f>MID('paste from garc here'!$C$1,1+(('table for research'!$B46-1)*36+HEX2DEC('table for research'!AK$1))*2,2)</f>
        <v>01</v>
      </c>
      <c r="AL46" t="str">
        <f>MID('paste from garc here'!$C$1,1+(('table for research'!$B46-1)*36+HEX2DEC('table for research'!AL$1))*2,2)</f>
        <v>01</v>
      </c>
      <c r="AM46" t="str">
        <f>MID('paste from garc here'!$C$1,1+(('table for research'!$B46-1)*36+HEX2DEC('table for research'!AM$1))*2,2)</f>
        <v>01</v>
      </c>
      <c r="AN46" t="str">
        <f>MID('paste from garc here'!$C$1,1+(('table for research'!$B46-1)*36+HEX2DEC('table for research'!AN$1))*2,2)</f>
        <v>00</v>
      </c>
      <c r="AO46" t="str">
        <f>MID('paste from garc here'!$C$1,1+(('table for research'!$B46-1)*36+HEX2DEC('table for research'!AO$1))*2,2)</f>
        <v>00</v>
      </c>
    </row>
    <row r="47" spans="1:41" x14ac:dyDescent="0.4">
      <c r="A47" t="s">
        <v>59</v>
      </c>
      <c r="B47">
        <f>B46+1</f>
        <v>45</v>
      </c>
      <c r="C47" t="str">
        <f>MID('paste from garc here'!$C$1,1+(('table for research'!$B47-1)*36+HEX2DEC('table for research'!C$1))*2,2)</f>
        <v>09</v>
      </c>
      <c r="D47" t="str">
        <f>MID('paste from garc here'!$C$1,1+(('table for research'!$B47-1)*36+HEX2DEC('table for research'!D$1))*2,2)</f>
        <v>00</v>
      </c>
      <c r="E47" t="str">
        <f>MID('paste from garc here'!$C$1,1+(('table for research'!$B47-1)*36+HEX2DEC('table for research'!E$1))*2,2)</f>
        <v>00</v>
      </c>
      <c r="F47" t="str">
        <f>MID('paste from garc here'!$C$1,1+(('table for research'!$B47-1)*36+HEX2DEC('table for research'!F$1))*2,2)</f>
        <v>00</v>
      </c>
      <c r="G47" t="str">
        <f>MID('paste from garc here'!$C$1,1+(('table for research'!$B47-1)*36+HEX2DEC('table for research'!G$1))*2,2)</f>
        <v>00</v>
      </c>
      <c r="H47" t="str">
        <f>MID('paste from garc here'!$C$1,1+(('table for research'!$B47-1)*36+HEX2DEC('table for research'!H$1))*2,2)</f>
        <v>00</v>
      </c>
      <c r="I47" t="str">
        <f>MID('paste from garc here'!$C$1,1+(('table for research'!$B47-1)*36+HEX2DEC('table for research'!I$1))*2,2)</f>
        <v>1E</v>
      </c>
      <c r="J47" t="str">
        <f>MID('paste from garc here'!$C$1,1+(('table for research'!$B47-1)*36+HEX2DEC('table for research'!J$1))*2,2)</f>
        <v>00</v>
      </c>
      <c r="K47" t="str">
        <f>DEC2HEX(_xlfn.BITAND(HEX2DEC(MID('paste from garc here'!$C$1,1+(('table for research'!$B47-1)*36+HEX2DEC(8))*2,2)),31),2)</f>
        <v>1F</v>
      </c>
      <c r="L47" t="str">
        <f>DEC2HEX(_xlfn.BITAND(HEX2DEC(MID('paste from garc here'!$C$1,1+(('table for research'!$B47-1)*36+HEX2DEC(8))*2,2)),32),2)</f>
        <v>00</v>
      </c>
      <c r="M47" t="str">
        <f>DEC2HEX(_xlfn.BITAND(HEX2DEC(MID('paste from garc here'!$C$1,1+(('table for research'!$B47-1)*36+HEX2DEC(8))*2,2)),64),2)</f>
        <v>00</v>
      </c>
      <c r="N47" t="str">
        <f>DEC2HEX(_xlfn.BITRSHIFT(_xlfn.BITAND(HEX2DEC(MID('paste from garc here'!$C$1,1+(('table for research'!$B47-1)*36+HEX2DEC(9))*2,2)&amp;MID('paste from garc here'!$C$1,1+(('table for research'!$B47-1)*36+HEX2DEC(8))*2,2)),1920),7),2)</f>
        <v>01</v>
      </c>
      <c r="O47" t="str">
        <f>DEC2HEX(_xlfn.BITRSHIFT(HEX2DEC(MID('paste from garc here'!$C$1,1+(('table for research'!$B47-1)*36+HEX2DEC(9))*2,2)&amp;MID('paste from garc here'!$C$1,1+(('table for research'!$B47-1)*36+HEX2DEC(8))*2,2)),11),2)</f>
        <v>00</v>
      </c>
      <c r="P47" t="str">
        <f>MID('paste from garc here'!$C$1,1+(('table for research'!$B47-1)*36+HEX2DEC('table for research'!P$1))*2,2)</f>
        <v>01</v>
      </c>
      <c r="Q47" t="str">
        <f>MID('paste from garc here'!$C$1,1+(('table for research'!$B47-1)*36+HEX2DEC('table for research'!Q$1))*2,2)</f>
        <v>00</v>
      </c>
      <c r="R47" t="str">
        <f>MID('paste from garc here'!$C$1,1+(('table for research'!$B47-1)*36+HEX2DEC('table for research'!R$1))*2,2)</f>
        <v>01</v>
      </c>
      <c r="S47" t="str">
        <f>MID('paste from garc here'!$C$1,1+(('table for research'!$B47-1)*36+HEX2DEC('table for research'!S$1))*2,2)</f>
        <v>00</v>
      </c>
      <c r="T47" t="str">
        <f>MID('paste from garc here'!$C$1,1+(('table for research'!$B47-1)*36+HEX2DEC('table for research'!T$1))*2,2)</f>
        <v>00</v>
      </c>
      <c r="U47" t="str">
        <f>MID('paste from garc here'!$C$1,1+(('table for research'!$B47-1)*36+HEX2DEC('table for research'!U$1))*2,2)</f>
        <v>26</v>
      </c>
      <c r="V47" t="str">
        <f>MID('paste from garc here'!$C$1,1+(('table for research'!$B47-1)*36+HEX2DEC('table for research'!V$1))*2,2)</f>
        <v>00</v>
      </c>
      <c r="W47" t="str">
        <f>MID('paste from garc here'!$C$1,1+(('table for research'!$B47-1)*36+HEX2DEC('table for research'!W$1))*2,2)</f>
        <v>00</v>
      </c>
      <c r="X47" t="str">
        <f>MID('paste from garc here'!$C$1,1+(('table for research'!$B47-1)*36+HEX2DEC('table for research'!X$1))*2,2)</f>
        <v>00</v>
      </c>
      <c r="Y47" t="str">
        <f>MID('paste from garc here'!$C$1,1+(('table for research'!$B47-1)*36+HEX2DEC('table for research'!Y$1))*2,2)</f>
        <v>00</v>
      </c>
      <c r="Z47" t="str">
        <f>MID('paste from garc here'!$C$1,1+(('table for research'!$B47-1)*36+HEX2DEC('table for research'!Z$1))*2,2)</f>
        <v>00</v>
      </c>
      <c r="AA47" t="str">
        <f>MID('paste from garc here'!$C$1,1+(('table for research'!$B47-1)*36+HEX2DEC('table for research'!AA$1))*2,2)</f>
        <v>08</v>
      </c>
      <c r="AB47" t="str">
        <f>MID('paste from garc here'!$C$1,1+(('table for research'!$B47-1)*36+HEX2DEC('table for research'!AB$1))*2,2)</f>
        <v>1C</v>
      </c>
      <c r="AC47" t="str">
        <f>MID('paste from garc here'!$C$1,1+(('table for research'!$B47-1)*36+HEX2DEC('table for research'!AC$1))*2,2)</f>
        <v>0A</v>
      </c>
      <c r="AD47" t="str">
        <f>MID('paste from garc here'!$C$1,1+(('table for research'!$B47-1)*36+HEX2DEC('table for research'!AD$1))*2,2)</f>
        <v>00</v>
      </c>
      <c r="AE47" t="str">
        <f>MID('paste from garc here'!$C$1,1+(('table for research'!$B47-1)*36+HEX2DEC('table for research'!AE$1))*2,2)</f>
        <v>00</v>
      </c>
      <c r="AF47" t="str">
        <f>MID('paste from garc here'!$C$1,1+(('table for research'!$B47-1)*36+HEX2DEC('table for research'!AF$1))*2,2)</f>
        <v>00</v>
      </c>
      <c r="AG47" t="str">
        <f>MID('paste from garc here'!$C$1,1+(('table for research'!$B47-1)*36+HEX2DEC('table for research'!AG$1))*2,2)</f>
        <v>00</v>
      </c>
      <c r="AH47" t="str">
        <f>MID('paste from garc here'!$C$1,1+(('table for research'!$B47-1)*36+HEX2DEC('table for research'!AH$1))*2,2)</f>
        <v>00</v>
      </c>
      <c r="AI47" t="str">
        <f>MID('paste from garc here'!$C$1,1+(('table for research'!$B47-1)*36+HEX2DEC('table for research'!AI$1))*2,2)</f>
        <v>00</v>
      </c>
      <c r="AJ47" t="str">
        <f>MID('paste from garc here'!$C$1,1+(('table for research'!$B47-1)*36+HEX2DEC('table for research'!AJ$1))*2,2)</f>
        <v>00</v>
      </c>
      <c r="AK47" t="str">
        <f>MID('paste from garc here'!$C$1,1+(('table for research'!$B47-1)*36+HEX2DEC('table for research'!AK$1))*2,2)</f>
        <v>05</v>
      </c>
      <c r="AL47" t="str">
        <f>MID('paste from garc here'!$C$1,1+(('table for research'!$B47-1)*36+HEX2DEC('table for research'!AL$1))*2,2)</f>
        <v>03</v>
      </c>
      <c r="AM47" t="str">
        <f>MID('paste from garc here'!$C$1,1+(('table for research'!$B47-1)*36+HEX2DEC('table for research'!AM$1))*2,2)</f>
        <v>02</v>
      </c>
      <c r="AN47" t="str">
        <f>MID('paste from garc here'!$C$1,1+(('table for research'!$B47-1)*36+HEX2DEC('table for research'!AN$1))*2,2)</f>
        <v>00</v>
      </c>
      <c r="AO47" t="str">
        <f>MID('paste from garc here'!$C$1,1+(('table for research'!$B47-1)*36+HEX2DEC('table for research'!AO$1))*2,2)</f>
        <v>00</v>
      </c>
    </row>
    <row r="48" spans="1:41" x14ac:dyDescent="0.4">
      <c r="A48" t="s">
        <v>60</v>
      </c>
      <c r="B48">
        <f>B47+1</f>
        <v>46</v>
      </c>
      <c r="C48" t="str">
        <f>MID('paste from garc here'!$C$1,1+(('table for research'!$B48-1)*36+HEX2DEC('table for research'!C$1))*2,2)</f>
        <v>09</v>
      </c>
      <c r="D48" t="str">
        <f>MID('paste from garc here'!$C$1,1+(('table for research'!$B48-1)*36+HEX2DEC('table for research'!D$1))*2,2)</f>
        <v>00</v>
      </c>
      <c r="E48" t="str">
        <f>MID('paste from garc here'!$C$1,1+(('table for research'!$B48-1)*36+HEX2DEC('table for research'!E$1))*2,2)</f>
        <v>00</v>
      </c>
      <c r="F48" t="str">
        <f>MID('paste from garc here'!$C$1,1+(('table for research'!$B48-1)*36+HEX2DEC('table for research'!F$1))*2,2)</f>
        <v>00</v>
      </c>
      <c r="G48" t="str">
        <f>MID('paste from garc here'!$C$1,1+(('table for research'!$B48-1)*36+HEX2DEC('table for research'!G$1))*2,2)</f>
        <v>00</v>
      </c>
      <c r="H48" t="str">
        <f>MID('paste from garc here'!$C$1,1+(('table for research'!$B48-1)*36+HEX2DEC('table for research'!H$1))*2,2)</f>
        <v>00</v>
      </c>
      <c r="I48" t="str">
        <f>MID('paste from garc here'!$C$1,1+(('table for research'!$B48-1)*36+HEX2DEC('table for research'!I$1))*2,2)</f>
        <v>1E</v>
      </c>
      <c r="J48" t="str">
        <f>MID('paste from garc here'!$C$1,1+(('table for research'!$B48-1)*36+HEX2DEC('table for research'!J$1))*2,2)</f>
        <v>00</v>
      </c>
      <c r="K48" t="str">
        <f>DEC2HEX(_xlfn.BITAND(HEX2DEC(MID('paste from garc here'!$C$1,1+(('table for research'!$B48-1)*36+HEX2DEC(8))*2,2)),31),2)</f>
        <v>1F</v>
      </c>
      <c r="L48" t="str">
        <f>DEC2HEX(_xlfn.BITAND(HEX2DEC(MID('paste from garc here'!$C$1,1+(('table for research'!$B48-1)*36+HEX2DEC(8))*2,2)),32),2)</f>
        <v>00</v>
      </c>
      <c r="M48" t="str">
        <f>DEC2HEX(_xlfn.BITAND(HEX2DEC(MID('paste from garc here'!$C$1,1+(('table for research'!$B48-1)*36+HEX2DEC(8))*2,2)),64),2)</f>
        <v>00</v>
      </c>
      <c r="N48" t="str">
        <f>DEC2HEX(_xlfn.BITRSHIFT(_xlfn.BITAND(HEX2DEC(MID('paste from garc here'!$C$1,1+(('table for research'!$B48-1)*36+HEX2DEC(9))*2,2)&amp;MID('paste from garc here'!$C$1,1+(('table for research'!$B48-1)*36+HEX2DEC(8))*2,2)),1920),7),2)</f>
        <v>01</v>
      </c>
      <c r="O48" t="str">
        <f>DEC2HEX(_xlfn.BITRSHIFT(HEX2DEC(MID('paste from garc here'!$C$1,1+(('table for research'!$B48-1)*36+HEX2DEC(9))*2,2)&amp;MID('paste from garc here'!$C$1,1+(('table for research'!$B48-1)*36+HEX2DEC(8))*2,2)),11),2)</f>
        <v>00</v>
      </c>
      <c r="P48" t="str">
        <f>MID('paste from garc here'!$C$1,1+(('table for research'!$B48-1)*36+HEX2DEC('table for research'!P$1))*2,2)</f>
        <v>01</v>
      </c>
      <c r="Q48" t="str">
        <f>MID('paste from garc here'!$C$1,1+(('table for research'!$B48-1)*36+HEX2DEC('table for research'!Q$1))*2,2)</f>
        <v>00</v>
      </c>
      <c r="R48" t="str">
        <f>MID('paste from garc here'!$C$1,1+(('table for research'!$B48-1)*36+HEX2DEC('table for research'!R$1))*2,2)</f>
        <v>01</v>
      </c>
      <c r="S48" t="str">
        <f>MID('paste from garc here'!$C$1,1+(('table for research'!$B48-1)*36+HEX2DEC('table for research'!S$1))*2,2)</f>
        <v>00</v>
      </c>
      <c r="T48" t="str">
        <f>MID('paste from garc here'!$C$1,1+(('table for research'!$B48-1)*36+HEX2DEC('table for research'!T$1))*2,2)</f>
        <v>00</v>
      </c>
      <c r="U48" t="str">
        <f>MID('paste from garc here'!$C$1,1+(('table for research'!$B48-1)*36+HEX2DEC('table for research'!U$1))*2,2)</f>
        <v>27</v>
      </c>
      <c r="V48" t="str">
        <f>MID('paste from garc here'!$C$1,1+(('table for research'!$B48-1)*36+HEX2DEC('table for research'!V$1))*2,2)</f>
        <v>00</v>
      </c>
      <c r="W48" t="str">
        <f>MID('paste from garc here'!$C$1,1+(('table for research'!$B48-1)*36+HEX2DEC('table for research'!W$1))*2,2)</f>
        <v>00</v>
      </c>
      <c r="X48" t="str">
        <f>MID('paste from garc here'!$C$1,1+(('table for research'!$B48-1)*36+HEX2DEC('table for research'!X$1))*2,2)</f>
        <v>00</v>
      </c>
      <c r="Y48" t="str">
        <f>MID('paste from garc here'!$C$1,1+(('table for research'!$B48-1)*36+HEX2DEC('table for research'!Y$1))*2,2)</f>
        <v>00</v>
      </c>
      <c r="Z48" t="str">
        <f>MID('paste from garc here'!$C$1,1+(('table for research'!$B48-1)*36+HEX2DEC('table for research'!Z$1))*2,2)</f>
        <v>00</v>
      </c>
      <c r="AA48" t="str">
        <f>MID('paste from garc here'!$C$1,1+(('table for research'!$B48-1)*36+HEX2DEC('table for research'!AA$1))*2,2)</f>
        <v>10</v>
      </c>
      <c r="AB48" t="str">
        <f>MID('paste from garc here'!$C$1,1+(('table for research'!$B48-1)*36+HEX2DEC('table for research'!AB$1))*2,2)</f>
        <v>1C</v>
      </c>
      <c r="AC48" t="str">
        <f>MID('paste from garc here'!$C$1,1+(('table for research'!$B48-1)*36+HEX2DEC('table for research'!AC$1))*2,2)</f>
        <v>00</v>
      </c>
      <c r="AD48" t="str">
        <f>MID('paste from garc here'!$C$1,1+(('table for research'!$B48-1)*36+HEX2DEC('table for research'!AD$1))*2,2)</f>
        <v>0A</v>
      </c>
      <c r="AE48" t="str">
        <f>MID('paste from garc here'!$C$1,1+(('table for research'!$B48-1)*36+HEX2DEC('table for research'!AE$1))*2,2)</f>
        <v>00</v>
      </c>
      <c r="AF48" t="str">
        <f>MID('paste from garc here'!$C$1,1+(('table for research'!$B48-1)*36+HEX2DEC('table for research'!AF$1))*2,2)</f>
        <v>00</v>
      </c>
      <c r="AG48" t="str">
        <f>MID('paste from garc here'!$C$1,1+(('table for research'!$B48-1)*36+HEX2DEC('table for research'!AG$1))*2,2)</f>
        <v>00</v>
      </c>
      <c r="AH48" t="str">
        <f>MID('paste from garc here'!$C$1,1+(('table for research'!$B48-1)*36+HEX2DEC('table for research'!AH$1))*2,2)</f>
        <v>00</v>
      </c>
      <c r="AI48" t="str">
        <f>MID('paste from garc here'!$C$1,1+(('table for research'!$B48-1)*36+HEX2DEC('table for research'!AI$1))*2,2)</f>
        <v>00</v>
      </c>
      <c r="AJ48" t="str">
        <f>MID('paste from garc here'!$C$1,1+(('table for research'!$B48-1)*36+HEX2DEC('table for research'!AJ$1))*2,2)</f>
        <v>00</v>
      </c>
      <c r="AK48" t="str">
        <f>MID('paste from garc here'!$C$1,1+(('table for research'!$B48-1)*36+HEX2DEC('table for research'!AK$1))*2,2)</f>
        <v>05</v>
      </c>
      <c r="AL48" t="str">
        <f>MID('paste from garc here'!$C$1,1+(('table for research'!$B48-1)*36+HEX2DEC('table for research'!AL$1))*2,2)</f>
        <v>03</v>
      </c>
      <c r="AM48" t="str">
        <f>MID('paste from garc here'!$C$1,1+(('table for research'!$B48-1)*36+HEX2DEC('table for research'!AM$1))*2,2)</f>
        <v>02</v>
      </c>
      <c r="AN48" t="str">
        <f>MID('paste from garc here'!$C$1,1+(('table for research'!$B48-1)*36+HEX2DEC('table for research'!AN$1))*2,2)</f>
        <v>00</v>
      </c>
      <c r="AO48" t="str">
        <f>MID('paste from garc here'!$C$1,1+(('table for research'!$B48-1)*36+HEX2DEC('table for research'!AO$1))*2,2)</f>
        <v>00</v>
      </c>
    </row>
    <row r="49" spans="1:41" x14ac:dyDescent="0.4">
      <c r="A49" t="s">
        <v>61</v>
      </c>
      <c r="B49">
        <f>B48+1</f>
        <v>47</v>
      </c>
      <c r="C49" t="str">
        <f>MID('paste from garc here'!$C$1,1+(('table for research'!$B49-1)*36+HEX2DEC('table for research'!C$1))*2,2)</f>
        <v>09</v>
      </c>
      <c r="D49" t="str">
        <f>MID('paste from garc here'!$C$1,1+(('table for research'!$B49-1)*36+HEX2DEC('table for research'!D$1))*2,2)</f>
        <v>00</v>
      </c>
      <c r="E49" t="str">
        <f>MID('paste from garc here'!$C$1,1+(('table for research'!$B49-1)*36+HEX2DEC('table for research'!E$1))*2,2)</f>
        <v>00</v>
      </c>
      <c r="F49" t="str">
        <f>MID('paste from garc here'!$C$1,1+(('table for research'!$B49-1)*36+HEX2DEC('table for research'!F$1))*2,2)</f>
        <v>00</v>
      </c>
      <c r="G49" t="str">
        <f>MID('paste from garc here'!$C$1,1+(('table for research'!$B49-1)*36+HEX2DEC('table for research'!G$1))*2,2)</f>
        <v>00</v>
      </c>
      <c r="H49" t="str">
        <f>MID('paste from garc here'!$C$1,1+(('table for research'!$B49-1)*36+HEX2DEC('table for research'!H$1))*2,2)</f>
        <v>00</v>
      </c>
      <c r="I49" t="str">
        <f>MID('paste from garc here'!$C$1,1+(('table for research'!$B49-1)*36+HEX2DEC('table for research'!I$1))*2,2)</f>
        <v>1E</v>
      </c>
      <c r="J49" t="str">
        <f>MID('paste from garc here'!$C$1,1+(('table for research'!$B49-1)*36+HEX2DEC('table for research'!J$1))*2,2)</f>
        <v>00</v>
      </c>
      <c r="K49" t="str">
        <f>DEC2HEX(_xlfn.BITAND(HEX2DEC(MID('paste from garc here'!$C$1,1+(('table for research'!$B49-1)*36+HEX2DEC(8))*2,2)),31),2)</f>
        <v>1F</v>
      </c>
      <c r="L49" t="str">
        <f>DEC2HEX(_xlfn.BITAND(HEX2DEC(MID('paste from garc here'!$C$1,1+(('table for research'!$B49-1)*36+HEX2DEC(8))*2,2)),32),2)</f>
        <v>00</v>
      </c>
      <c r="M49" t="str">
        <f>DEC2HEX(_xlfn.BITAND(HEX2DEC(MID('paste from garc here'!$C$1,1+(('table for research'!$B49-1)*36+HEX2DEC(8))*2,2)),64),2)</f>
        <v>00</v>
      </c>
      <c r="N49" t="str">
        <f>DEC2HEX(_xlfn.BITRSHIFT(_xlfn.BITAND(HEX2DEC(MID('paste from garc here'!$C$1,1+(('table for research'!$B49-1)*36+HEX2DEC(9))*2,2)&amp;MID('paste from garc here'!$C$1,1+(('table for research'!$B49-1)*36+HEX2DEC(8))*2,2)),1920),7),2)</f>
        <v>01</v>
      </c>
      <c r="O49" t="str">
        <f>DEC2HEX(_xlfn.BITRSHIFT(HEX2DEC(MID('paste from garc here'!$C$1,1+(('table for research'!$B49-1)*36+HEX2DEC(9))*2,2)&amp;MID('paste from garc here'!$C$1,1+(('table for research'!$B49-1)*36+HEX2DEC(8))*2,2)),11),2)</f>
        <v>00</v>
      </c>
      <c r="P49" t="str">
        <f>MID('paste from garc here'!$C$1,1+(('table for research'!$B49-1)*36+HEX2DEC('table for research'!P$1))*2,2)</f>
        <v>01</v>
      </c>
      <c r="Q49" t="str">
        <f>MID('paste from garc here'!$C$1,1+(('table for research'!$B49-1)*36+HEX2DEC('table for research'!Q$1))*2,2)</f>
        <v>00</v>
      </c>
      <c r="R49" t="str">
        <f>MID('paste from garc here'!$C$1,1+(('table for research'!$B49-1)*36+HEX2DEC('table for research'!R$1))*2,2)</f>
        <v>01</v>
      </c>
      <c r="S49" t="str">
        <f>MID('paste from garc here'!$C$1,1+(('table for research'!$B49-1)*36+HEX2DEC('table for research'!S$1))*2,2)</f>
        <v>00</v>
      </c>
      <c r="T49" t="str">
        <f>MID('paste from garc here'!$C$1,1+(('table for research'!$B49-1)*36+HEX2DEC('table for research'!T$1))*2,2)</f>
        <v>00</v>
      </c>
      <c r="U49" t="str">
        <f>MID('paste from garc here'!$C$1,1+(('table for research'!$B49-1)*36+HEX2DEC('table for research'!U$1))*2,2)</f>
        <v>28</v>
      </c>
      <c r="V49" t="str">
        <f>MID('paste from garc here'!$C$1,1+(('table for research'!$B49-1)*36+HEX2DEC('table for research'!V$1))*2,2)</f>
        <v>00</v>
      </c>
      <c r="W49" t="str">
        <f>MID('paste from garc here'!$C$1,1+(('table for research'!$B49-1)*36+HEX2DEC('table for research'!W$1))*2,2)</f>
        <v>00</v>
      </c>
      <c r="X49" t="str">
        <f>MID('paste from garc here'!$C$1,1+(('table for research'!$B49-1)*36+HEX2DEC('table for research'!X$1))*2,2)</f>
        <v>00</v>
      </c>
      <c r="Y49" t="str">
        <f>MID('paste from garc here'!$C$1,1+(('table for research'!$B49-1)*36+HEX2DEC('table for research'!Y$1))*2,2)</f>
        <v>00</v>
      </c>
      <c r="Z49" t="str">
        <f>MID('paste from garc here'!$C$1,1+(('table for research'!$B49-1)*36+HEX2DEC('table for research'!Z$1))*2,2)</f>
        <v>00</v>
      </c>
      <c r="AA49" t="str">
        <f>MID('paste from garc here'!$C$1,1+(('table for research'!$B49-1)*36+HEX2DEC('table for research'!AA$1))*2,2)</f>
        <v>20</v>
      </c>
      <c r="AB49" t="str">
        <f>MID('paste from garc here'!$C$1,1+(('table for research'!$B49-1)*36+HEX2DEC('table for research'!AB$1))*2,2)</f>
        <v>1C</v>
      </c>
      <c r="AC49" t="str">
        <f>MID('paste from garc here'!$C$1,1+(('table for research'!$B49-1)*36+HEX2DEC('table for research'!AC$1))*2,2)</f>
        <v>00</v>
      </c>
      <c r="AD49" t="str">
        <f>MID('paste from garc here'!$C$1,1+(('table for research'!$B49-1)*36+HEX2DEC('table for research'!AD$1))*2,2)</f>
        <v>00</v>
      </c>
      <c r="AE49" t="str">
        <f>MID('paste from garc here'!$C$1,1+(('table for research'!$B49-1)*36+HEX2DEC('table for research'!AE$1))*2,2)</f>
        <v>0A</v>
      </c>
      <c r="AF49" t="str">
        <f>MID('paste from garc here'!$C$1,1+(('table for research'!$B49-1)*36+HEX2DEC('table for research'!AF$1))*2,2)</f>
        <v>00</v>
      </c>
      <c r="AG49" t="str">
        <f>MID('paste from garc here'!$C$1,1+(('table for research'!$B49-1)*36+HEX2DEC('table for research'!AG$1))*2,2)</f>
        <v>00</v>
      </c>
      <c r="AH49" t="str">
        <f>MID('paste from garc here'!$C$1,1+(('table for research'!$B49-1)*36+HEX2DEC('table for research'!AH$1))*2,2)</f>
        <v>00</v>
      </c>
      <c r="AI49" t="str">
        <f>MID('paste from garc here'!$C$1,1+(('table for research'!$B49-1)*36+HEX2DEC('table for research'!AI$1))*2,2)</f>
        <v>00</v>
      </c>
      <c r="AJ49" t="str">
        <f>MID('paste from garc here'!$C$1,1+(('table for research'!$B49-1)*36+HEX2DEC('table for research'!AJ$1))*2,2)</f>
        <v>00</v>
      </c>
      <c r="AK49" t="str">
        <f>MID('paste from garc here'!$C$1,1+(('table for research'!$B49-1)*36+HEX2DEC('table for research'!AK$1))*2,2)</f>
        <v>05</v>
      </c>
      <c r="AL49" t="str">
        <f>MID('paste from garc here'!$C$1,1+(('table for research'!$B49-1)*36+HEX2DEC('table for research'!AL$1))*2,2)</f>
        <v>03</v>
      </c>
      <c r="AM49" t="str">
        <f>MID('paste from garc here'!$C$1,1+(('table for research'!$B49-1)*36+HEX2DEC('table for research'!AM$1))*2,2)</f>
        <v>02</v>
      </c>
      <c r="AN49" t="str">
        <f>MID('paste from garc here'!$C$1,1+(('table for research'!$B49-1)*36+HEX2DEC('table for research'!AN$1))*2,2)</f>
        <v>00</v>
      </c>
      <c r="AO49" t="str">
        <f>MID('paste from garc here'!$C$1,1+(('table for research'!$B49-1)*36+HEX2DEC('table for research'!AO$1))*2,2)</f>
        <v>00</v>
      </c>
    </row>
    <row r="50" spans="1:41" x14ac:dyDescent="0.4">
      <c r="A50" t="s">
        <v>62</v>
      </c>
      <c r="B50">
        <f>B49+1</f>
        <v>48</v>
      </c>
      <c r="C50" t="str">
        <f>MID('paste from garc here'!$C$1,1+(('table for research'!$B50-1)*36+HEX2DEC('table for research'!C$1))*2,2)</f>
        <v>09</v>
      </c>
      <c r="D50" t="str">
        <f>MID('paste from garc here'!$C$1,1+(('table for research'!$B50-1)*36+HEX2DEC('table for research'!D$1))*2,2)</f>
        <v>00</v>
      </c>
      <c r="E50" t="str">
        <f>MID('paste from garc here'!$C$1,1+(('table for research'!$B50-1)*36+HEX2DEC('table for research'!E$1))*2,2)</f>
        <v>00</v>
      </c>
      <c r="F50" t="str">
        <f>MID('paste from garc here'!$C$1,1+(('table for research'!$B50-1)*36+HEX2DEC('table for research'!F$1))*2,2)</f>
        <v>00</v>
      </c>
      <c r="G50" t="str">
        <f>MID('paste from garc here'!$C$1,1+(('table for research'!$B50-1)*36+HEX2DEC('table for research'!G$1))*2,2)</f>
        <v>00</v>
      </c>
      <c r="H50" t="str">
        <f>MID('paste from garc here'!$C$1,1+(('table for research'!$B50-1)*36+HEX2DEC('table for research'!H$1))*2,2)</f>
        <v>00</v>
      </c>
      <c r="I50" t="str">
        <f>MID('paste from garc here'!$C$1,1+(('table for research'!$B50-1)*36+HEX2DEC('table for research'!I$1))*2,2)</f>
        <v>1E</v>
      </c>
      <c r="J50" t="str">
        <f>MID('paste from garc here'!$C$1,1+(('table for research'!$B50-1)*36+HEX2DEC('table for research'!J$1))*2,2)</f>
        <v>00</v>
      </c>
      <c r="K50" t="str">
        <f>DEC2HEX(_xlfn.BITAND(HEX2DEC(MID('paste from garc here'!$C$1,1+(('table for research'!$B50-1)*36+HEX2DEC(8))*2,2)),31),2)</f>
        <v>1F</v>
      </c>
      <c r="L50" t="str">
        <f>DEC2HEX(_xlfn.BITAND(HEX2DEC(MID('paste from garc here'!$C$1,1+(('table for research'!$B50-1)*36+HEX2DEC(8))*2,2)),32),2)</f>
        <v>00</v>
      </c>
      <c r="M50" t="str">
        <f>DEC2HEX(_xlfn.BITAND(HEX2DEC(MID('paste from garc here'!$C$1,1+(('table for research'!$B50-1)*36+HEX2DEC(8))*2,2)),64),2)</f>
        <v>00</v>
      </c>
      <c r="N50" t="str">
        <f>DEC2HEX(_xlfn.BITRSHIFT(_xlfn.BITAND(HEX2DEC(MID('paste from garc here'!$C$1,1+(('table for research'!$B50-1)*36+HEX2DEC(9))*2,2)&amp;MID('paste from garc here'!$C$1,1+(('table for research'!$B50-1)*36+HEX2DEC(8))*2,2)),1920),7),2)</f>
        <v>01</v>
      </c>
      <c r="O50" t="str">
        <f>DEC2HEX(_xlfn.BITRSHIFT(HEX2DEC(MID('paste from garc here'!$C$1,1+(('table for research'!$B50-1)*36+HEX2DEC(9))*2,2)&amp;MID('paste from garc here'!$C$1,1+(('table for research'!$B50-1)*36+HEX2DEC(8))*2,2)),11),2)</f>
        <v>00</v>
      </c>
      <c r="P50" t="str">
        <f>MID('paste from garc here'!$C$1,1+(('table for research'!$B50-1)*36+HEX2DEC('table for research'!P$1))*2,2)</f>
        <v>01</v>
      </c>
      <c r="Q50" t="str">
        <f>MID('paste from garc here'!$C$1,1+(('table for research'!$B50-1)*36+HEX2DEC('table for research'!Q$1))*2,2)</f>
        <v>00</v>
      </c>
      <c r="R50" t="str">
        <f>MID('paste from garc here'!$C$1,1+(('table for research'!$B50-1)*36+HEX2DEC('table for research'!R$1))*2,2)</f>
        <v>01</v>
      </c>
      <c r="S50" t="str">
        <f>MID('paste from garc here'!$C$1,1+(('table for research'!$B50-1)*36+HEX2DEC('table for research'!S$1))*2,2)</f>
        <v>00</v>
      </c>
      <c r="T50" t="str">
        <f>MID('paste from garc here'!$C$1,1+(('table for research'!$B50-1)*36+HEX2DEC('table for research'!T$1))*2,2)</f>
        <v>00</v>
      </c>
      <c r="U50" t="str">
        <f>MID('paste from garc here'!$C$1,1+(('table for research'!$B50-1)*36+HEX2DEC('table for research'!U$1))*2,2)</f>
        <v>2B</v>
      </c>
      <c r="V50" t="str">
        <f>MID('paste from garc here'!$C$1,1+(('table for research'!$B50-1)*36+HEX2DEC('table for research'!V$1))*2,2)</f>
        <v>00</v>
      </c>
      <c r="W50" t="str">
        <f>MID('paste from garc here'!$C$1,1+(('table for research'!$B50-1)*36+HEX2DEC('table for research'!W$1))*2,2)</f>
        <v>00</v>
      </c>
      <c r="X50" t="str">
        <f>MID('paste from garc here'!$C$1,1+(('table for research'!$B50-1)*36+HEX2DEC('table for research'!X$1))*2,2)</f>
        <v>00</v>
      </c>
      <c r="Y50" t="str">
        <f>MID('paste from garc here'!$C$1,1+(('table for research'!$B50-1)*36+HEX2DEC('table for research'!Y$1))*2,2)</f>
        <v>00</v>
      </c>
      <c r="Z50" t="str">
        <f>MID('paste from garc here'!$C$1,1+(('table for research'!$B50-1)*36+HEX2DEC('table for research'!Z$1))*2,2)</f>
        <v>00</v>
      </c>
      <c r="AA50" t="str">
        <f>MID('paste from garc here'!$C$1,1+(('table for research'!$B50-1)*36+HEX2DEC('table for research'!AA$1))*2,2)</f>
        <v>40</v>
      </c>
      <c r="AB50" t="str">
        <f>MID('paste from garc here'!$C$1,1+(('table for research'!$B50-1)*36+HEX2DEC('table for research'!AB$1))*2,2)</f>
        <v>1C</v>
      </c>
      <c r="AC50" t="str">
        <f>MID('paste from garc here'!$C$1,1+(('table for research'!$B50-1)*36+HEX2DEC('table for research'!AC$1))*2,2)</f>
        <v>00</v>
      </c>
      <c r="AD50" t="str">
        <f>MID('paste from garc here'!$C$1,1+(('table for research'!$B50-1)*36+HEX2DEC('table for research'!AD$1))*2,2)</f>
        <v>00</v>
      </c>
      <c r="AE50" t="str">
        <f>MID('paste from garc here'!$C$1,1+(('table for research'!$B50-1)*36+HEX2DEC('table for research'!AE$1))*2,2)</f>
        <v>00</v>
      </c>
      <c r="AF50" t="str">
        <f>MID('paste from garc here'!$C$1,1+(('table for research'!$B50-1)*36+HEX2DEC('table for research'!AF$1))*2,2)</f>
        <v>0A</v>
      </c>
      <c r="AG50" t="str">
        <f>MID('paste from garc here'!$C$1,1+(('table for research'!$B50-1)*36+HEX2DEC('table for research'!AG$1))*2,2)</f>
        <v>00</v>
      </c>
      <c r="AH50" t="str">
        <f>MID('paste from garc here'!$C$1,1+(('table for research'!$B50-1)*36+HEX2DEC('table for research'!AH$1))*2,2)</f>
        <v>00</v>
      </c>
      <c r="AI50" t="str">
        <f>MID('paste from garc here'!$C$1,1+(('table for research'!$B50-1)*36+HEX2DEC('table for research'!AI$1))*2,2)</f>
        <v>00</v>
      </c>
      <c r="AJ50" t="str">
        <f>MID('paste from garc here'!$C$1,1+(('table for research'!$B50-1)*36+HEX2DEC('table for research'!AJ$1))*2,2)</f>
        <v>00</v>
      </c>
      <c r="AK50" t="str">
        <f>MID('paste from garc here'!$C$1,1+(('table for research'!$B50-1)*36+HEX2DEC('table for research'!AK$1))*2,2)</f>
        <v>05</v>
      </c>
      <c r="AL50" t="str">
        <f>MID('paste from garc here'!$C$1,1+(('table for research'!$B50-1)*36+HEX2DEC('table for research'!AL$1))*2,2)</f>
        <v>03</v>
      </c>
      <c r="AM50" t="str">
        <f>MID('paste from garc here'!$C$1,1+(('table for research'!$B50-1)*36+HEX2DEC('table for research'!AM$1))*2,2)</f>
        <v>02</v>
      </c>
      <c r="AN50" t="str">
        <f>MID('paste from garc here'!$C$1,1+(('table for research'!$B50-1)*36+HEX2DEC('table for research'!AN$1))*2,2)</f>
        <v>00</v>
      </c>
      <c r="AO50" t="str">
        <f>MID('paste from garc here'!$C$1,1+(('table for research'!$B50-1)*36+HEX2DEC('table for research'!AO$1))*2,2)</f>
        <v>00</v>
      </c>
    </row>
    <row r="51" spans="1:41" x14ac:dyDescent="0.4">
      <c r="A51" t="s">
        <v>63</v>
      </c>
      <c r="B51">
        <f>B50+1</f>
        <v>49</v>
      </c>
      <c r="C51" t="str">
        <f>MID('paste from garc here'!$C$1,1+(('table for research'!$B51-1)*36+HEX2DEC('table for research'!C$1))*2,2)</f>
        <v>09</v>
      </c>
      <c r="D51" t="str">
        <f>MID('paste from garc here'!$C$1,1+(('table for research'!$B51-1)*36+HEX2DEC('table for research'!D$1))*2,2)</f>
        <v>00</v>
      </c>
      <c r="E51" t="str">
        <f>MID('paste from garc here'!$C$1,1+(('table for research'!$B51-1)*36+HEX2DEC('table for research'!E$1))*2,2)</f>
        <v>00</v>
      </c>
      <c r="F51" t="str">
        <f>MID('paste from garc here'!$C$1,1+(('table for research'!$B51-1)*36+HEX2DEC('table for research'!F$1))*2,2)</f>
        <v>00</v>
      </c>
      <c r="G51" t="str">
        <f>MID('paste from garc here'!$C$1,1+(('table for research'!$B51-1)*36+HEX2DEC('table for research'!G$1))*2,2)</f>
        <v>00</v>
      </c>
      <c r="H51" t="str">
        <f>MID('paste from garc here'!$C$1,1+(('table for research'!$B51-1)*36+HEX2DEC('table for research'!H$1))*2,2)</f>
        <v>00</v>
      </c>
      <c r="I51" t="str">
        <f>MID('paste from garc here'!$C$1,1+(('table for research'!$B51-1)*36+HEX2DEC('table for research'!I$1))*2,2)</f>
        <v>1E</v>
      </c>
      <c r="J51" t="str">
        <f>MID('paste from garc here'!$C$1,1+(('table for research'!$B51-1)*36+HEX2DEC('table for research'!J$1))*2,2)</f>
        <v>00</v>
      </c>
      <c r="K51" t="str">
        <f>DEC2HEX(_xlfn.BITAND(HEX2DEC(MID('paste from garc here'!$C$1,1+(('table for research'!$B51-1)*36+HEX2DEC(8))*2,2)),31),2)</f>
        <v>1F</v>
      </c>
      <c r="L51" t="str">
        <f>DEC2HEX(_xlfn.BITAND(HEX2DEC(MID('paste from garc here'!$C$1,1+(('table for research'!$B51-1)*36+HEX2DEC(8))*2,2)),32),2)</f>
        <v>00</v>
      </c>
      <c r="M51" t="str">
        <f>DEC2HEX(_xlfn.BITAND(HEX2DEC(MID('paste from garc here'!$C$1,1+(('table for research'!$B51-1)*36+HEX2DEC(8))*2,2)),64),2)</f>
        <v>00</v>
      </c>
      <c r="N51" t="str">
        <f>DEC2HEX(_xlfn.BITRSHIFT(_xlfn.BITAND(HEX2DEC(MID('paste from garc here'!$C$1,1+(('table for research'!$B51-1)*36+HEX2DEC(9))*2,2)&amp;MID('paste from garc here'!$C$1,1+(('table for research'!$B51-1)*36+HEX2DEC(8))*2,2)),1920),7),2)</f>
        <v>01</v>
      </c>
      <c r="O51" t="str">
        <f>DEC2HEX(_xlfn.BITRSHIFT(HEX2DEC(MID('paste from garc here'!$C$1,1+(('table for research'!$B51-1)*36+HEX2DEC(9))*2,2)&amp;MID('paste from garc here'!$C$1,1+(('table for research'!$B51-1)*36+HEX2DEC(8))*2,2)),11),2)</f>
        <v>00</v>
      </c>
      <c r="P51" t="str">
        <f>MID('paste from garc here'!$C$1,1+(('table for research'!$B51-1)*36+HEX2DEC('table for research'!P$1))*2,2)</f>
        <v>01</v>
      </c>
      <c r="Q51" t="str">
        <f>MID('paste from garc here'!$C$1,1+(('table for research'!$B51-1)*36+HEX2DEC('table for research'!Q$1))*2,2)</f>
        <v>00</v>
      </c>
      <c r="R51" t="str">
        <f>MID('paste from garc here'!$C$1,1+(('table for research'!$B51-1)*36+HEX2DEC('table for research'!R$1))*2,2)</f>
        <v>01</v>
      </c>
      <c r="S51" t="str">
        <f>MID('paste from garc here'!$C$1,1+(('table for research'!$B51-1)*36+HEX2DEC('table for research'!S$1))*2,2)</f>
        <v>00</v>
      </c>
      <c r="T51" t="str">
        <f>MID('paste from garc here'!$C$1,1+(('table for research'!$B51-1)*36+HEX2DEC('table for research'!T$1))*2,2)</f>
        <v>00</v>
      </c>
      <c r="U51" t="str">
        <f>MID('paste from garc here'!$C$1,1+(('table for research'!$B51-1)*36+HEX2DEC('table for research'!U$1))*2,2)</f>
        <v>29</v>
      </c>
      <c r="V51" t="str">
        <f>MID('paste from garc here'!$C$1,1+(('table for research'!$B51-1)*36+HEX2DEC('table for research'!V$1))*2,2)</f>
        <v>00</v>
      </c>
      <c r="W51" t="str">
        <f>MID('paste from garc here'!$C$1,1+(('table for research'!$B51-1)*36+HEX2DEC('table for research'!W$1))*2,2)</f>
        <v>00</v>
      </c>
      <c r="X51" t="str">
        <f>MID('paste from garc here'!$C$1,1+(('table for research'!$B51-1)*36+HEX2DEC('table for research'!X$1))*2,2)</f>
        <v>00</v>
      </c>
      <c r="Y51" t="str">
        <f>MID('paste from garc here'!$C$1,1+(('table for research'!$B51-1)*36+HEX2DEC('table for research'!Y$1))*2,2)</f>
        <v>00</v>
      </c>
      <c r="Z51" t="str">
        <f>MID('paste from garc here'!$C$1,1+(('table for research'!$B51-1)*36+HEX2DEC('table for research'!Z$1))*2,2)</f>
        <v>00</v>
      </c>
      <c r="AA51" t="str">
        <f>MID('paste from garc here'!$C$1,1+(('table for research'!$B51-1)*36+HEX2DEC('table for research'!AA$1))*2,2)</f>
        <v>80</v>
      </c>
      <c r="AB51" t="str">
        <f>MID('paste from garc here'!$C$1,1+(('table for research'!$B51-1)*36+HEX2DEC('table for research'!AB$1))*2,2)</f>
        <v>1C</v>
      </c>
      <c r="AC51" t="str">
        <f>MID('paste from garc here'!$C$1,1+(('table for research'!$B51-1)*36+HEX2DEC('table for research'!AC$1))*2,2)</f>
        <v>00</v>
      </c>
      <c r="AD51" t="str">
        <f>MID('paste from garc here'!$C$1,1+(('table for research'!$B51-1)*36+HEX2DEC('table for research'!AD$1))*2,2)</f>
        <v>00</v>
      </c>
      <c r="AE51" t="str">
        <f>MID('paste from garc here'!$C$1,1+(('table for research'!$B51-1)*36+HEX2DEC('table for research'!AE$1))*2,2)</f>
        <v>00</v>
      </c>
      <c r="AF51" t="str">
        <f>MID('paste from garc here'!$C$1,1+(('table for research'!$B51-1)*36+HEX2DEC('table for research'!AF$1))*2,2)</f>
        <v>00</v>
      </c>
      <c r="AG51" t="str">
        <f>MID('paste from garc here'!$C$1,1+(('table for research'!$B51-1)*36+HEX2DEC('table for research'!AG$1))*2,2)</f>
        <v>0A</v>
      </c>
      <c r="AH51" t="str">
        <f>MID('paste from garc here'!$C$1,1+(('table for research'!$B51-1)*36+HEX2DEC('table for research'!AH$1))*2,2)</f>
        <v>00</v>
      </c>
      <c r="AI51" t="str">
        <f>MID('paste from garc here'!$C$1,1+(('table for research'!$B51-1)*36+HEX2DEC('table for research'!AI$1))*2,2)</f>
        <v>00</v>
      </c>
      <c r="AJ51" t="str">
        <f>MID('paste from garc here'!$C$1,1+(('table for research'!$B51-1)*36+HEX2DEC('table for research'!AJ$1))*2,2)</f>
        <v>00</v>
      </c>
      <c r="AK51" t="str">
        <f>MID('paste from garc here'!$C$1,1+(('table for research'!$B51-1)*36+HEX2DEC('table for research'!AK$1))*2,2)</f>
        <v>05</v>
      </c>
      <c r="AL51" t="str">
        <f>MID('paste from garc here'!$C$1,1+(('table for research'!$B51-1)*36+HEX2DEC('table for research'!AL$1))*2,2)</f>
        <v>03</v>
      </c>
      <c r="AM51" t="str">
        <f>MID('paste from garc here'!$C$1,1+(('table for research'!$B51-1)*36+HEX2DEC('table for research'!AM$1))*2,2)</f>
        <v>02</v>
      </c>
      <c r="AN51" t="str">
        <f>MID('paste from garc here'!$C$1,1+(('table for research'!$B51-1)*36+HEX2DEC('table for research'!AN$1))*2,2)</f>
        <v>00</v>
      </c>
      <c r="AO51" t="str">
        <f>MID('paste from garc here'!$C$1,1+(('table for research'!$B51-1)*36+HEX2DEC('table for research'!AO$1))*2,2)</f>
        <v>00</v>
      </c>
    </row>
    <row r="52" spans="1:41" x14ac:dyDescent="0.4">
      <c r="A52" t="s">
        <v>64</v>
      </c>
      <c r="B52">
        <f>B51+1</f>
        <v>50</v>
      </c>
      <c r="C52" t="str">
        <f>MID('paste from garc here'!$C$1,1+(('table for research'!$B52-1)*36+HEX2DEC('table for research'!C$1))*2,2)</f>
        <v>05</v>
      </c>
      <c r="D52" t="str">
        <f>MID('paste from garc here'!$C$1,1+(('table for research'!$B52-1)*36+HEX2DEC('table for research'!D$1))*2,2)</f>
        <v>00</v>
      </c>
      <c r="E52" t="str">
        <f>MID('paste from garc here'!$C$1,1+(('table for research'!$B52-1)*36+HEX2DEC('table for research'!E$1))*2,2)</f>
        <v>00</v>
      </c>
      <c r="F52" t="str">
        <f>MID('paste from garc here'!$C$1,1+(('table for research'!$B52-1)*36+HEX2DEC('table for research'!F$1))*2,2)</f>
        <v>00</v>
      </c>
      <c r="G52" t="str">
        <f>MID('paste from garc here'!$C$1,1+(('table for research'!$B52-1)*36+HEX2DEC('table for research'!G$1))*2,2)</f>
        <v>00</v>
      </c>
      <c r="H52" t="str">
        <f>MID('paste from garc here'!$C$1,1+(('table for research'!$B52-1)*36+HEX2DEC('table for research'!H$1))*2,2)</f>
        <v>00</v>
      </c>
      <c r="I52" t="str">
        <f>MID('paste from garc here'!$C$1,1+(('table for research'!$B52-1)*36+HEX2DEC('table for research'!I$1))*2,2)</f>
        <v>1E</v>
      </c>
      <c r="J52" t="str">
        <f>MID('paste from garc here'!$C$1,1+(('table for research'!$B52-1)*36+HEX2DEC('table for research'!J$1))*2,2)</f>
        <v>00</v>
      </c>
      <c r="K52" t="str">
        <f>DEC2HEX(_xlfn.BITAND(HEX2DEC(MID('paste from garc here'!$C$1,1+(('table for research'!$B52-1)*36+HEX2DEC(8))*2,2)),31),2)</f>
        <v>1F</v>
      </c>
      <c r="L52" t="str">
        <f>DEC2HEX(_xlfn.BITAND(HEX2DEC(MID('paste from garc here'!$C$1,1+(('table for research'!$B52-1)*36+HEX2DEC(8))*2,2)),32),2)</f>
        <v>00</v>
      </c>
      <c r="M52" t="str">
        <f>DEC2HEX(_xlfn.BITAND(HEX2DEC(MID('paste from garc here'!$C$1,1+(('table for research'!$B52-1)*36+HEX2DEC(8))*2,2)),64),2)</f>
        <v>00</v>
      </c>
      <c r="N52" t="str">
        <f>DEC2HEX(_xlfn.BITRSHIFT(_xlfn.BITAND(HEX2DEC(MID('paste from garc here'!$C$1,1+(('table for research'!$B52-1)*36+HEX2DEC(9))*2,2)&amp;MID('paste from garc here'!$C$1,1+(('table for research'!$B52-1)*36+HEX2DEC(8))*2,2)),1920),7),2)</f>
        <v>01</v>
      </c>
      <c r="O52" t="str">
        <f>DEC2HEX(_xlfn.BITRSHIFT(HEX2DEC(MID('paste from garc here'!$C$1,1+(('table for research'!$B52-1)*36+HEX2DEC(9))*2,2)&amp;MID('paste from garc here'!$C$1,1+(('table for research'!$B52-1)*36+HEX2DEC(8))*2,2)),11),2)</f>
        <v>00</v>
      </c>
      <c r="P52" t="str">
        <f>MID('paste from garc here'!$C$1,1+(('table for research'!$B52-1)*36+HEX2DEC('table for research'!P$1))*2,2)</f>
        <v>01</v>
      </c>
      <c r="Q52" t="str">
        <f>MID('paste from garc here'!$C$1,1+(('table for research'!$B52-1)*36+HEX2DEC('table for research'!Q$1))*2,2)</f>
        <v>00</v>
      </c>
      <c r="R52" t="str">
        <f>MID('paste from garc here'!$C$1,1+(('table for research'!$B52-1)*36+HEX2DEC('table for research'!R$1))*2,2)</f>
        <v>01</v>
      </c>
      <c r="S52" t="str">
        <f>MID('paste from garc here'!$C$1,1+(('table for research'!$B52-1)*36+HEX2DEC('table for research'!S$1))*2,2)</f>
        <v>00</v>
      </c>
      <c r="T52" t="str">
        <f>MID('paste from garc here'!$C$1,1+(('table for research'!$B52-1)*36+HEX2DEC('table for research'!T$1))*2,2)</f>
        <v>00</v>
      </c>
      <c r="U52" t="str">
        <f>MID('paste from garc here'!$C$1,1+(('table for research'!$B52-1)*36+HEX2DEC('table for research'!U$1))*2,2)</f>
        <v>35</v>
      </c>
      <c r="V52" t="str">
        <f>MID('paste from garc here'!$C$1,1+(('table for research'!$B52-1)*36+HEX2DEC('table for research'!V$1))*2,2)</f>
        <v>00</v>
      </c>
      <c r="W52" t="str">
        <f>MID('paste from garc here'!$C$1,1+(('table for research'!$B52-1)*36+HEX2DEC('table for research'!W$1))*2,2)</f>
        <v>07</v>
      </c>
      <c r="X52" t="str">
        <f>MID('paste from garc here'!$C$1,1+(('table for research'!$B52-1)*36+HEX2DEC('table for research'!X$1))*2,2)</f>
        <v>00</v>
      </c>
      <c r="Y52" t="str">
        <f>MID('paste from garc here'!$C$1,1+(('table for research'!$B52-1)*36+HEX2DEC('table for research'!Y$1))*2,2)</f>
        <v>00</v>
      </c>
      <c r="Z52" t="str">
        <f>MID('paste from garc here'!$C$1,1+(('table for research'!$B52-1)*36+HEX2DEC('table for research'!Z$1))*2,2)</f>
        <v>00</v>
      </c>
      <c r="AA52" t="str">
        <f>MID('paste from garc here'!$C$1,1+(('table for research'!$B52-1)*36+HEX2DEC('table for research'!AA$1))*2,2)</f>
        <v>00</v>
      </c>
      <c r="AB52" t="str">
        <f>MID('paste from garc here'!$C$1,1+(('table for research'!$B52-1)*36+HEX2DEC('table for research'!AB$1))*2,2)</f>
        <v>1C</v>
      </c>
      <c r="AC52" t="str">
        <f>MID('paste from garc here'!$C$1,1+(('table for research'!$B52-1)*36+HEX2DEC('table for research'!AC$1))*2,2)</f>
        <v>00</v>
      </c>
      <c r="AD52" t="str">
        <f>MID('paste from garc here'!$C$1,1+(('table for research'!$B52-1)*36+HEX2DEC('table for research'!AD$1))*2,2)</f>
        <v>00</v>
      </c>
      <c r="AE52" t="str">
        <f>MID('paste from garc here'!$C$1,1+(('table for research'!$B52-1)*36+HEX2DEC('table for research'!AE$1))*2,2)</f>
        <v>00</v>
      </c>
      <c r="AF52" t="str">
        <f>MID('paste from garc here'!$C$1,1+(('table for research'!$B52-1)*36+HEX2DEC('table for research'!AF$1))*2,2)</f>
        <v>00</v>
      </c>
      <c r="AG52" t="str">
        <f>MID('paste from garc here'!$C$1,1+(('table for research'!$B52-1)*36+HEX2DEC('table for research'!AG$1))*2,2)</f>
        <v>00</v>
      </c>
      <c r="AH52" t="str">
        <f>MID('paste from garc here'!$C$1,1+(('table for research'!$B52-1)*36+HEX2DEC('table for research'!AH$1))*2,2)</f>
        <v>00</v>
      </c>
      <c r="AI52" t="str">
        <f>MID('paste from garc here'!$C$1,1+(('table for research'!$B52-1)*36+HEX2DEC('table for research'!AI$1))*2,2)</f>
        <v>00</v>
      </c>
      <c r="AJ52" t="str">
        <f>MID('paste from garc here'!$C$1,1+(('table for research'!$B52-1)*36+HEX2DEC('table for research'!AJ$1))*2,2)</f>
        <v>00</v>
      </c>
      <c r="AK52" t="str">
        <f>MID('paste from garc here'!$C$1,1+(('table for research'!$B52-1)*36+HEX2DEC('table for research'!AK$1))*2,2)</f>
        <v>05</v>
      </c>
      <c r="AL52" t="str">
        <f>MID('paste from garc here'!$C$1,1+(('table for research'!$B52-1)*36+HEX2DEC('table for research'!AL$1))*2,2)</f>
        <v>03</v>
      </c>
      <c r="AM52" t="str">
        <f>MID('paste from garc here'!$C$1,1+(('table for research'!$B52-1)*36+HEX2DEC('table for research'!AM$1))*2,2)</f>
        <v>02</v>
      </c>
      <c r="AN52" t="str">
        <f>MID('paste from garc here'!$C$1,1+(('table for research'!$B52-1)*36+HEX2DEC('table for research'!AN$1))*2,2)</f>
        <v>00</v>
      </c>
      <c r="AO52" t="str">
        <f>MID('paste from garc here'!$C$1,1+(('table for research'!$B52-1)*36+HEX2DEC('table for research'!AO$1))*2,2)</f>
        <v>00</v>
      </c>
    </row>
    <row r="53" spans="1:41" x14ac:dyDescent="0.4">
      <c r="A53" t="s">
        <v>65</v>
      </c>
      <c r="B53">
        <f>B52+1</f>
        <v>51</v>
      </c>
      <c r="C53" t="str">
        <f>MID('paste from garc here'!$C$1,1+(('table for research'!$B53-1)*36+HEX2DEC('table for research'!C$1))*2,2)</f>
        <v>E8</v>
      </c>
      <c r="D53" t="str">
        <f>MID('paste from garc here'!$C$1,1+(('table for research'!$B53-1)*36+HEX2DEC('table for research'!D$1))*2,2)</f>
        <v>03</v>
      </c>
      <c r="E53" t="str">
        <f>MID('paste from garc here'!$C$1,1+(('table for research'!$B53-1)*36+HEX2DEC('table for research'!E$1))*2,2)</f>
        <v>00</v>
      </c>
      <c r="F53" t="str">
        <f>MID('paste from garc here'!$C$1,1+(('table for research'!$B53-1)*36+HEX2DEC('table for research'!F$1))*2,2)</f>
        <v>00</v>
      </c>
      <c r="G53" t="str">
        <f>MID('paste from garc here'!$C$1,1+(('table for research'!$B53-1)*36+HEX2DEC('table for research'!G$1))*2,2)</f>
        <v>00</v>
      </c>
      <c r="H53" t="str">
        <f>MID('paste from garc here'!$C$1,1+(('table for research'!$B53-1)*36+HEX2DEC('table for research'!H$1))*2,2)</f>
        <v>00</v>
      </c>
      <c r="I53" t="str">
        <f>MID('paste from garc here'!$C$1,1+(('table for research'!$B53-1)*36+HEX2DEC('table for research'!I$1))*2,2)</f>
        <v>1E</v>
      </c>
      <c r="J53" t="str">
        <f>MID('paste from garc here'!$C$1,1+(('table for research'!$B53-1)*36+HEX2DEC('table for research'!J$1))*2,2)</f>
        <v>00</v>
      </c>
      <c r="K53" t="str">
        <f>DEC2HEX(_xlfn.BITAND(HEX2DEC(MID('paste from garc here'!$C$1,1+(('table for research'!$B53-1)*36+HEX2DEC(8))*2,2)),31),2)</f>
        <v>1F</v>
      </c>
      <c r="L53" t="str">
        <f>DEC2HEX(_xlfn.BITAND(HEX2DEC(MID('paste from garc here'!$C$1,1+(('table for research'!$B53-1)*36+HEX2DEC(8))*2,2)),32),2)</f>
        <v>00</v>
      </c>
      <c r="M53" t="str">
        <f>DEC2HEX(_xlfn.BITAND(HEX2DEC(MID('paste from garc here'!$C$1,1+(('table for research'!$B53-1)*36+HEX2DEC(8))*2,2)),64),2)</f>
        <v>00</v>
      </c>
      <c r="N53" t="str">
        <f>DEC2HEX(_xlfn.BITRSHIFT(_xlfn.BITAND(HEX2DEC(MID('paste from garc here'!$C$1,1+(('table for research'!$B53-1)*36+HEX2DEC(9))*2,2)&amp;MID('paste from garc here'!$C$1,1+(('table for research'!$B53-1)*36+HEX2DEC(8))*2,2)),1920),7),2)</f>
        <v>01</v>
      </c>
      <c r="O53" t="str">
        <f>DEC2HEX(_xlfn.BITRSHIFT(HEX2DEC(MID('paste from garc here'!$C$1,1+(('table for research'!$B53-1)*36+HEX2DEC(9))*2,2)&amp;MID('paste from garc here'!$C$1,1+(('table for research'!$B53-1)*36+HEX2DEC(8))*2,2)),11),2)</f>
        <v>00</v>
      </c>
      <c r="P53" t="str">
        <f>MID('paste from garc here'!$C$1,1+(('table for research'!$B53-1)*36+HEX2DEC('table for research'!P$1))*2,2)</f>
        <v>01</v>
      </c>
      <c r="Q53" t="str">
        <f>MID('paste from garc here'!$C$1,1+(('table for research'!$B53-1)*36+HEX2DEC('table for research'!Q$1))*2,2)</f>
        <v>00</v>
      </c>
      <c r="R53" t="str">
        <f>MID('paste from garc here'!$C$1,1+(('table for research'!$B53-1)*36+HEX2DEC('table for research'!R$1))*2,2)</f>
        <v>01</v>
      </c>
      <c r="S53" t="str">
        <f>MID('paste from garc here'!$C$1,1+(('table for research'!$B53-1)*36+HEX2DEC('table for research'!S$1))*2,2)</f>
        <v>00</v>
      </c>
      <c r="T53" t="str">
        <f>MID('paste from garc here'!$C$1,1+(('table for research'!$B53-1)*36+HEX2DEC('table for research'!T$1))*2,2)</f>
        <v>00</v>
      </c>
      <c r="U53" t="str">
        <f>MID('paste from garc here'!$C$1,1+(('table for research'!$B53-1)*36+HEX2DEC('table for research'!U$1))*2,2)</f>
        <v>32</v>
      </c>
      <c r="V53" t="str">
        <f>MID('paste from garc here'!$C$1,1+(('table for research'!$B53-1)*36+HEX2DEC('table for research'!V$1))*2,2)</f>
        <v>00</v>
      </c>
      <c r="W53" t="str">
        <f>MID('paste from garc here'!$C$1,1+(('table for research'!$B53-1)*36+HEX2DEC('table for research'!W$1))*2,2)</f>
        <v>00</v>
      </c>
      <c r="X53" t="str">
        <f>MID('paste from garc here'!$C$1,1+(('table for research'!$B53-1)*36+HEX2DEC('table for research'!X$1))*2,2)</f>
        <v>00</v>
      </c>
      <c r="Y53" t="str">
        <f>MID('paste from garc here'!$C$1,1+(('table for research'!$B53-1)*36+HEX2DEC('table for research'!Y$1))*2,2)</f>
        <v>00</v>
      </c>
      <c r="Z53" t="str">
        <f>MID('paste from garc here'!$C$1,1+(('table for research'!$B53-1)*36+HEX2DEC('table for research'!Z$1))*2,2)</f>
        <v>40</v>
      </c>
      <c r="AA53" t="str">
        <f>MID('paste from garc here'!$C$1,1+(('table for research'!$B53-1)*36+HEX2DEC('table for research'!AA$1))*2,2)</f>
        <v>00</v>
      </c>
      <c r="AB53" t="str">
        <f>MID('paste from garc here'!$C$1,1+(('table for research'!$B53-1)*36+HEX2DEC('table for research'!AB$1))*2,2)</f>
        <v>1C</v>
      </c>
      <c r="AC53" t="str">
        <f>MID('paste from garc here'!$C$1,1+(('table for research'!$B53-1)*36+HEX2DEC('table for research'!AC$1))*2,2)</f>
        <v>00</v>
      </c>
      <c r="AD53" t="str">
        <f>MID('paste from garc here'!$C$1,1+(('table for research'!$B53-1)*36+HEX2DEC('table for research'!AD$1))*2,2)</f>
        <v>00</v>
      </c>
      <c r="AE53" t="str">
        <f>MID('paste from garc here'!$C$1,1+(('table for research'!$B53-1)*36+HEX2DEC('table for research'!AE$1))*2,2)</f>
        <v>00</v>
      </c>
      <c r="AF53" t="str">
        <f>MID('paste from garc here'!$C$1,1+(('table for research'!$B53-1)*36+HEX2DEC('table for research'!AF$1))*2,2)</f>
        <v>00</v>
      </c>
      <c r="AG53" t="str">
        <f>MID('paste from garc here'!$C$1,1+(('table for research'!$B53-1)*36+HEX2DEC('table for research'!AG$1))*2,2)</f>
        <v>00</v>
      </c>
      <c r="AH53" t="str">
        <f>MID('paste from garc here'!$C$1,1+(('table for research'!$B53-1)*36+HEX2DEC('table for research'!AH$1))*2,2)</f>
        <v>00</v>
      </c>
      <c r="AI53" t="str">
        <f>MID('paste from garc here'!$C$1,1+(('table for research'!$B53-1)*36+HEX2DEC('table for research'!AI$1))*2,2)</f>
        <v>00</v>
      </c>
      <c r="AJ53" t="str">
        <f>MID('paste from garc here'!$C$1,1+(('table for research'!$B53-1)*36+HEX2DEC('table for research'!AJ$1))*2,2)</f>
        <v>00</v>
      </c>
      <c r="AK53" t="str">
        <f>MID('paste from garc here'!$C$1,1+(('table for research'!$B53-1)*36+HEX2DEC('table for research'!AK$1))*2,2)</f>
        <v>05</v>
      </c>
      <c r="AL53" t="str">
        <f>MID('paste from garc here'!$C$1,1+(('table for research'!$B53-1)*36+HEX2DEC('table for research'!AL$1))*2,2)</f>
        <v>03</v>
      </c>
      <c r="AM53" t="str">
        <f>MID('paste from garc here'!$C$1,1+(('table for research'!$B53-1)*36+HEX2DEC('table for research'!AM$1))*2,2)</f>
        <v>02</v>
      </c>
      <c r="AN53" t="str">
        <f>MID('paste from garc here'!$C$1,1+(('table for research'!$B53-1)*36+HEX2DEC('table for research'!AN$1))*2,2)</f>
        <v>00</v>
      </c>
      <c r="AO53" t="str">
        <f>MID('paste from garc here'!$C$1,1+(('table for research'!$B53-1)*36+HEX2DEC('table for research'!AO$1))*2,2)</f>
        <v>00</v>
      </c>
    </row>
    <row r="54" spans="1:41" x14ac:dyDescent="0.4">
      <c r="A54" t="s">
        <v>66</v>
      </c>
      <c r="B54">
        <f>B53+1</f>
        <v>52</v>
      </c>
      <c r="C54" t="str">
        <f>MID('paste from garc here'!$C$1,1+(('table for research'!$B54-1)*36+HEX2DEC('table for research'!C$1))*2,2)</f>
        <v>09</v>
      </c>
      <c r="D54" t="str">
        <f>MID('paste from garc here'!$C$1,1+(('table for research'!$B54-1)*36+HEX2DEC('table for research'!D$1))*2,2)</f>
        <v>00</v>
      </c>
      <c r="E54" t="str">
        <f>MID('paste from garc here'!$C$1,1+(('table for research'!$B54-1)*36+HEX2DEC('table for research'!E$1))*2,2)</f>
        <v>00</v>
      </c>
      <c r="F54" t="str">
        <f>MID('paste from garc here'!$C$1,1+(('table for research'!$B54-1)*36+HEX2DEC('table for research'!F$1))*2,2)</f>
        <v>00</v>
      </c>
      <c r="G54" t="str">
        <f>MID('paste from garc here'!$C$1,1+(('table for research'!$B54-1)*36+HEX2DEC('table for research'!G$1))*2,2)</f>
        <v>00</v>
      </c>
      <c r="H54" t="str">
        <f>MID('paste from garc here'!$C$1,1+(('table for research'!$B54-1)*36+HEX2DEC('table for research'!H$1))*2,2)</f>
        <v>00</v>
      </c>
      <c r="I54" t="str">
        <f>MID('paste from garc here'!$C$1,1+(('table for research'!$B54-1)*36+HEX2DEC('table for research'!I$1))*2,2)</f>
        <v>1E</v>
      </c>
      <c r="J54" t="str">
        <f>MID('paste from garc here'!$C$1,1+(('table for research'!$B54-1)*36+HEX2DEC('table for research'!J$1))*2,2)</f>
        <v>00</v>
      </c>
      <c r="K54" t="str">
        <f>DEC2HEX(_xlfn.BITAND(HEX2DEC(MID('paste from garc here'!$C$1,1+(('table for research'!$B54-1)*36+HEX2DEC(8))*2,2)),31),2)</f>
        <v>1F</v>
      </c>
      <c r="L54" t="str">
        <f>DEC2HEX(_xlfn.BITAND(HEX2DEC(MID('paste from garc here'!$C$1,1+(('table for research'!$B54-1)*36+HEX2DEC(8))*2,2)),32),2)</f>
        <v>00</v>
      </c>
      <c r="M54" t="str">
        <f>DEC2HEX(_xlfn.BITAND(HEX2DEC(MID('paste from garc here'!$C$1,1+(('table for research'!$B54-1)*36+HEX2DEC(8))*2,2)),64),2)</f>
        <v>00</v>
      </c>
      <c r="N54" t="str">
        <f>DEC2HEX(_xlfn.BITRSHIFT(_xlfn.BITAND(HEX2DEC(MID('paste from garc here'!$C$1,1+(('table for research'!$B54-1)*36+HEX2DEC(9))*2,2)&amp;MID('paste from garc here'!$C$1,1+(('table for research'!$B54-1)*36+HEX2DEC(8))*2,2)),1920),7),2)</f>
        <v>01</v>
      </c>
      <c r="O54" t="str">
        <f>DEC2HEX(_xlfn.BITRSHIFT(HEX2DEC(MID('paste from garc here'!$C$1,1+(('table for research'!$B54-1)*36+HEX2DEC(9))*2,2)&amp;MID('paste from garc here'!$C$1,1+(('table for research'!$B54-1)*36+HEX2DEC(8))*2,2)),11),2)</f>
        <v>00</v>
      </c>
      <c r="P54" t="str">
        <f>MID('paste from garc here'!$C$1,1+(('table for research'!$B54-1)*36+HEX2DEC('table for research'!P$1))*2,2)</f>
        <v>01</v>
      </c>
      <c r="Q54" t="str">
        <f>MID('paste from garc here'!$C$1,1+(('table for research'!$B54-1)*36+HEX2DEC('table for research'!Q$1))*2,2)</f>
        <v>00</v>
      </c>
      <c r="R54" t="str">
        <f>MID('paste from garc here'!$C$1,1+(('table for research'!$B54-1)*36+HEX2DEC('table for research'!R$1))*2,2)</f>
        <v>01</v>
      </c>
      <c r="S54" t="str">
        <f>MID('paste from garc here'!$C$1,1+(('table for research'!$B54-1)*36+HEX2DEC('table for research'!S$1))*2,2)</f>
        <v>00</v>
      </c>
      <c r="T54" t="str">
        <f>MID('paste from garc here'!$C$1,1+(('table for research'!$B54-1)*36+HEX2DEC('table for research'!T$1))*2,2)</f>
        <v>00</v>
      </c>
      <c r="U54" t="str">
        <f>MID('paste from garc here'!$C$1,1+(('table for research'!$B54-1)*36+HEX2DEC('table for research'!U$1))*2,2)</f>
        <v>2A</v>
      </c>
      <c r="V54" t="str">
        <f>MID('paste from garc here'!$C$1,1+(('table for research'!$B54-1)*36+HEX2DEC('table for research'!V$1))*2,2)</f>
        <v>00</v>
      </c>
      <c r="W54" t="str">
        <f>MID('paste from garc here'!$C$1,1+(('table for research'!$B54-1)*36+HEX2DEC('table for research'!W$1))*2,2)</f>
        <v>00</v>
      </c>
      <c r="X54" t="str">
        <f>MID('paste from garc here'!$C$1,1+(('table for research'!$B54-1)*36+HEX2DEC('table for research'!X$1))*2,2)</f>
        <v>00</v>
      </c>
      <c r="Y54" t="str">
        <f>MID('paste from garc here'!$C$1,1+(('table for research'!$B54-1)*36+HEX2DEC('table for research'!Y$1))*2,2)</f>
        <v>00</v>
      </c>
      <c r="Z54" t="str">
        <f>MID('paste from garc here'!$C$1,1+(('table for research'!$B54-1)*36+HEX2DEC('table for research'!Z$1))*2,2)</f>
        <v>00</v>
      </c>
      <c r="AA54" t="str">
        <f>MID('paste from garc here'!$C$1,1+(('table for research'!$B54-1)*36+HEX2DEC('table for research'!AA$1))*2,2)</f>
        <v>00</v>
      </c>
      <c r="AB54" t="str">
        <f>MID('paste from garc here'!$C$1,1+(('table for research'!$B54-1)*36+HEX2DEC('table for research'!AB$1))*2,2)</f>
        <v>1D</v>
      </c>
      <c r="AC54" t="str">
        <f>MID('paste from garc here'!$C$1,1+(('table for research'!$B54-1)*36+HEX2DEC('table for research'!AC$1))*2,2)</f>
        <v>00</v>
      </c>
      <c r="AD54" t="str">
        <f>MID('paste from garc here'!$C$1,1+(('table for research'!$B54-1)*36+HEX2DEC('table for research'!AD$1))*2,2)</f>
        <v>00</v>
      </c>
      <c r="AE54" t="str">
        <f>MID('paste from garc here'!$C$1,1+(('table for research'!$B54-1)*36+HEX2DEC('table for research'!AE$1))*2,2)</f>
        <v>00</v>
      </c>
      <c r="AF54" t="str">
        <f>MID('paste from garc here'!$C$1,1+(('table for research'!$B54-1)*36+HEX2DEC('table for research'!AF$1))*2,2)</f>
        <v>00</v>
      </c>
      <c r="AG54" t="str">
        <f>MID('paste from garc here'!$C$1,1+(('table for research'!$B54-1)*36+HEX2DEC('table for research'!AG$1))*2,2)</f>
        <v>00</v>
      </c>
      <c r="AH54" t="str">
        <f>MID('paste from garc here'!$C$1,1+(('table for research'!$B54-1)*36+HEX2DEC('table for research'!AH$1))*2,2)</f>
        <v>0A</v>
      </c>
      <c r="AI54" t="str">
        <f>MID('paste from garc here'!$C$1,1+(('table for research'!$B54-1)*36+HEX2DEC('table for research'!AI$1))*2,2)</f>
        <v>00</v>
      </c>
      <c r="AJ54" t="str">
        <f>MID('paste from garc here'!$C$1,1+(('table for research'!$B54-1)*36+HEX2DEC('table for research'!AJ$1))*2,2)</f>
        <v>00</v>
      </c>
      <c r="AK54" t="str">
        <f>MID('paste from garc here'!$C$1,1+(('table for research'!$B54-1)*36+HEX2DEC('table for research'!AK$1))*2,2)</f>
        <v>05</v>
      </c>
      <c r="AL54" t="str">
        <f>MID('paste from garc here'!$C$1,1+(('table for research'!$B54-1)*36+HEX2DEC('table for research'!AL$1))*2,2)</f>
        <v>03</v>
      </c>
      <c r="AM54" t="str">
        <f>MID('paste from garc here'!$C$1,1+(('table for research'!$B54-1)*36+HEX2DEC('table for research'!AM$1))*2,2)</f>
        <v>02</v>
      </c>
      <c r="AN54" t="str">
        <f>MID('paste from garc here'!$C$1,1+(('table for research'!$B54-1)*36+HEX2DEC('table for research'!AN$1))*2,2)</f>
        <v>00</v>
      </c>
      <c r="AO54" t="str">
        <f>MID('paste from garc here'!$C$1,1+(('table for research'!$B54-1)*36+HEX2DEC('table for research'!AO$1))*2,2)</f>
        <v>00</v>
      </c>
    </row>
    <row r="55" spans="1:41" x14ac:dyDescent="0.4">
      <c r="A55" t="s">
        <v>67</v>
      </c>
      <c r="B55">
        <f>B54+1</f>
        <v>53</v>
      </c>
      <c r="C55" t="str">
        <f>MID('paste from garc here'!$C$1,1+(('table for research'!$B55-1)*36+HEX2DEC('table for research'!C$1))*2,2)</f>
        <v>2C</v>
      </c>
      <c r="D55" t="str">
        <f>MID('paste from garc here'!$C$1,1+(('table for research'!$B55-1)*36+HEX2DEC('table for research'!D$1))*2,2)</f>
        <v>01</v>
      </c>
      <c r="E55" t="str">
        <f>MID('paste from garc here'!$C$1,1+(('table for research'!$B55-1)*36+HEX2DEC('table for research'!E$1))*2,2)</f>
        <v>00</v>
      </c>
      <c r="F55" t="str">
        <f>MID('paste from garc here'!$C$1,1+(('table for research'!$B55-1)*36+HEX2DEC('table for research'!F$1))*2,2)</f>
        <v>00</v>
      </c>
      <c r="G55" t="str">
        <f>MID('paste from garc here'!$C$1,1+(('table for research'!$B55-1)*36+HEX2DEC('table for research'!G$1))*2,2)</f>
        <v>00</v>
      </c>
      <c r="H55" t="str">
        <f>MID('paste from garc here'!$C$1,1+(('table for research'!$B55-1)*36+HEX2DEC('table for research'!H$1))*2,2)</f>
        <v>00</v>
      </c>
      <c r="I55" t="str">
        <f>MID('paste from garc here'!$C$1,1+(('table for research'!$B55-1)*36+HEX2DEC('table for research'!I$1))*2,2)</f>
        <v>1E</v>
      </c>
      <c r="J55" t="str">
        <f>MID('paste from garc here'!$C$1,1+(('table for research'!$B55-1)*36+HEX2DEC('table for research'!J$1))*2,2)</f>
        <v>00</v>
      </c>
      <c r="K55" t="str">
        <f>DEC2HEX(_xlfn.BITAND(HEX2DEC(MID('paste from garc here'!$C$1,1+(('table for research'!$B55-1)*36+HEX2DEC(8))*2,2)),31),2)</f>
        <v>1F</v>
      </c>
      <c r="L55" t="str">
        <f>DEC2HEX(_xlfn.BITAND(HEX2DEC(MID('paste from garc here'!$C$1,1+(('table for research'!$B55-1)*36+HEX2DEC(8))*2,2)),32),2)</f>
        <v>00</v>
      </c>
      <c r="M55" t="str">
        <f>DEC2HEX(_xlfn.BITAND(HEX2DEC(MID('paste from garc here'!$C$1,1+(('table for research'!$B55-1)*36+HEX2DEC(8))*2,2)),64),2)</f>
        <v>00</v>
      </c>
      <c r="N55" t="str">
        <f>DEC2HEX(_xlfn.BITRSHIFT(_xlfn.BITAND(HEX2DEC(MID('paste from garc here'!$C$1,1+(('table for research'!$B55-1)*36+HEX2DEC(9))*2,2)&amp;MID('paste from garc here'!$C$1,1+(('table for research'!$B55-1)*36+HEX2DEC(8))*2,2)),1920),7),2)</f>
        <v>01</v>
      </c>
      <c r="O55" t="str">
        <f>DEC2HEX(_xlfn.BITRSHIFT(HEX2DEC(MID('paste from garc here'!$C$1,1+(('table for research'!$B55-1)*36+HEX2DEC(9))*2,2)&amp;MID('paste from garc here'!$C$1,1+(('table for research'!$B55-1)*36+HEX2DEC(8))*2,2)),11),2)</f>
        <v>00</v>
      </c>
      <c r="P55" t="str">
        <f>MID('paste from garc here'!$C$1,1+(('table for research'!$B55-1)*36+HEX2DEC('table for research'!P$1))*2,2)</f>
        <v>01</v>
      </c>
      <c r="Q55" t="str">
        <f>MID('paste from garc here'!$C$1,1+(('table for research'!$B55-1)*36+HEX2DEC('table for research'!Q$1))*2,2)</f>
        <v>00</v>
      </c>
      <c r="R55" t="str">
        <f>MID('paste from garc here'!$C$1,1+(('table for research'!$B55-1)*36+HEX2DEC('table for research'!R$1))*2,2)</f>
        <v>01</v>
      </c>
      <c r="S55" t="str">
        <f>MID('paste from garc here'!$C$1,1+(('table for research'!$B55-1)*36+HEX2DEC('table for research'!S$1))*2,2)</f>
        <v>00</v>
      </c>
      <c r="T55" t="str">
        <f>MID('paste from garc here'!$C$1,1+(('table for research'!$B55-1)*36+HEX2DEC('table for research'!T$1))*2,2)</f>
        <v>00</v>
      </c>
      <c r="U55" t="str">
        <f>MID('paste from garc here'!$C$1,1+(('table for research'!$B55-1)*36+HEX2DEC('table for research'!U$1))*2,2)</f>
        <v>33</v>
      </c>
      <c r="V55" t="str">
        <f>MID('paste from garc here'!$C$1,1+(('table for research'!$B55-1)*36+HEX2DEC('table for research'!V$1))*2,2)</f>
        <v>00</v>
      </c>
      <c r="W55" t="str">
        <f>MID('paste from garc here'!$C$1,1+(('table for research'!$B55-1)*36+HEX2DEC('table for research'!W$1))*2,2)</f>
        <v>00</v>
      </c>
      <c r="X55" t="str">
        <f>MID('paste from garc here'!$C$1,1+(('table for research'!$B55-1)*36+HEX2DEC('table for research'!X$1))*2,2)</f>
        <v>00</v>
      </c>
      <c r="Y55" t="str">
        <f>MID('paste from garc here'!$C$1,1+(('table for research'!$B55-1)*36+HEX2DEC('table for research'!Y$1))*2,2)</f>
        <v>00</v>
      </c>
      <c r="Z55" t="str">
        <f>MID('paste from garc here'!$C$1,1+(('table for research'!$B55-1)*36+HEX2DEC('table for research'!Z$1))*2,2)</f>
        <v>80</v>
      </c>
      <c r="AA55" t="str">
        <f>MID('paste from garc here'!$C$1,1+(('table for research'!$B55-1)*36+HEX2DEC('table for research'!AA$1))*2,2)</f>
        <v>00</v>
      </c>
      <c r="AB55" t="str">
        <f>MID('paste from garc here'!$C$1,1+(('table for research'!$B55-1)*36+HEX2DEC('table for research'!AB$1))*2,2)</f>
        <v>1C</v>
      </c>
      <c r="AC55" t="str">
        <f>MID('paste from garc here'!$C$1,1+(('table for research'!$B55-1)*36+HEX2DEC('table for research'!AC$1))*2,2)</f>
        <v>00</v>
      </c>
      <c r="AD55" t="str">
        <f>MID('paste from garc here'!$C$1,1+(('table for research'!$B55-1)*36+HEX2DEC('table for research'!AD$1))*2,2)</f>
        <v>00</v>
      </c>
      <c r="AE55" t="str">
        <f>MID('paste from garc here'!$C$1,1+(('table for research'!$B55-1)*36+HEX2DEC('table for research'!AE$1))*2,2)</f>
        <v>00</v>
      </c>
      <c r="AF55" t="str">
        <f>MID('paste from garc here'!$C$1,1+(('table for research'!$B55-1)*36+HEX2DEC('table for research'!AF$1))*2,2)</f>
        <v>00</v>
      </c>
      <c r="AG55" t="str">
        <f>MID('paste from garc here'!$C$1,1+(('table for research'!$B55-1)*36+HEX2DEC('table for research'!AG$1))*2,2)</f>
        <v>00</v>
      </c>
      <c r="AH55" t="str">
        <f>MID('paste from garc here'!$C$1,1+(('table for research'!$B55-1)*36+HEX2DEC('table for research'!AH$1))*2,2)</f>
        <v>00</v>
      </c>
      <c r="AI55" t="str">
        <f>MID('paste from garc here'!$C$1,1+(('table for research'!$B55-1)*36+HEX2DEC('table for research'!AI$1))*2,2)</f>
        <v>00</v>
      </c>
      <c r="AJ55" t="str">
        <f>MID('paste from garc here'!$C$1,1+(('table for research'!$B55-1)*36+HEX2DEC('table for research'!AJ$1))*2,2)</f>
        <v>00</v>
      </c>
      <c r="AK55" t="str">
        <f>MID('paste from garc here'!$C$1,1+(('table for research'!$B55-1)*36+HEX2DEC('table for research'!AK$1))*2,2)</f>
        <v>05</v>
      </c>
      <c r="AL55" t="str">
        <f>MID('paste from garc here'!$C$1,1+(('table for research'!$B55-1)*36+HEX2DEC('table for research'!AL$1))*2,2)</f>
        <v>03</v>
      </c>
      <c r="AM55" t="str">
        <f>MID('paste from garc here'!$C$1,1+(('table for research'!$B55-1)*36+HEX2DEC('table for research'!AM$1))*2,2)</f>
        <v>02</v>
      </c>
      <c r="AN55" t="str">
        <f>MID('paste from garc here'!$C$1,1+(('table for research'!$B55-1)*36+HEX2DEC('table for research'!AN$1))*2,2)</f>
        <v>00</v>
      </c>
      <c r="AO55" t="str">
        <f>MID('paste from garc here'!$C$1,1+(('table for research'!$B55-1)*36+HEX2DEC('table for research'!AO$1))*2,2)</f>
        <v>00</v>
      </c>
    </row>
    <row r="56" spans="1:41" x14ac:dyDescent="0.4">
      <c r="A56" t="s">
        <v>68</v>
      </c>
      <c r="B56">
        <f>B55+1</f>
        <v>54</v>
      </c>
      <c r="C56" t="str">
        <f>MID('paste from garc here'!$C$1,1+(('table for research'!$B56-1)*36+HEX2DEC('table for research'!C$1))*2,2)</f>
        <v>23</v>
      </c>
      <c r="D56" t="str">
        <f>MID('paste from garc here'!$C$1,1+(('table for research'!$B56-1)*36+HEX2DEC('table for research'!D$1))*2,2)</f>
        <v>00</v>
      </c>
      <c r="E56" t="str">
        <f>MID('paste from garc here'!$C$1,1+(('table for research'!$B56-1)*36+HEX2DEC('table for research'!E$1))*2,2)</f>
        <v>00</v>
      </c>
      <c r="F56" t="str">
        <f>MID('paste from garc here'!$C$1,1+(('table for research'!$B56-1)*36+HEX2DEC('table for research'!F$1))*2,2)</f>
        <v>00</v>
      </c>
      <c r="G56" t="str">
        <f>MID('paste from garc here'!$C$1,1+(('table for research'!$B56-1)*36+HEX2DEC('table for research'!G$1))*2,2)</f>
        <v>00</v>
      </c>
      <c r="H56" t="str">
        <f>MID('paste from garc here'!$C$1,1+(('table for research'!$B56-1)*36+HEX2DEC('table for research'!H$1))*2,2)</f>
        <v>00</v>
      </c>
      <c r="I56" t="str">
        <f>MID('paste from garc here'!$C$1,1+(('table for research'!$B56-1)*36+HEX2DEC('table for research'!I$1))*2,2)</f>
        <v>1E</v>
      </c>
      <c r="J56" t="str">
        <f>MID('paste from garc here'!$C$1,1+(('table for research'!$B56-1)*36+HEX2DEC('table for research'!J$1))*2,2)</f>
        <v>00</v>
      </c>
      <c r="K56" t="str">
        <f>DEC2HEX(_xlfn.BITAND(HEX2DEC(MID('paste from garc here'!$C$1,1+(('table for research'!$B56-1)*36+HEX2DEC(8))*2,2)),31),2)</f>
        <v>1F</v>
      </c>
      <c r="L56" t="str">
        <f>DEC2HEX(_xlfn.BITAND(HEX2DEC(MID('paste from garc here'!$C$1,1+(('table for research'!$B56-1)*36+HEX2DEC(8))*2,2)),32),2)</f>
        <v>00</v>
      </c>
      <c r="M56" t="str">
        <f>DEC2HEX(_xlfn.BITAND(HEX2DEC(MID('paste from garc here'!$C$1,1+(('table for research'!$B56-1)*36+HEX2DEC(8))*2,2)),64),2)</f>
        <v>00</v>
      </c>
      <c r="N56" t="str">
        <f>DEC2HEX(_xlfn.BITRSHIFT(_xlfn.BITAND(HEX2DEC(MID('paste from garc here'!$C$1,1+(('table for research'!$B56-1)*36+HEX2DEC(9))*2,2)&amp;MID('paste from garc here'!$C$1,1+(('table for research'!$B56-1)*36+HEX2DEC(8))*2,2)),1920),7),2)</f>
        <v>01</v>
      </c>
      <c r="O56" t="str">
        <f>DEC2HEX(_xlfn.BITRSHIFT(HEX2DEC(MID('paste from garc here'!$C$1,1+(('table for research'!$B56-1)*36+HEX2DEC(9))*2,2)&amp;MID('paste from garc here'!$C$1,1+(('table for research'!$B56-1)*36+HEX2DEC(8))*2,2)),11),2)</f>
        <v>08</v>
      </c>
      <c r="P56" t="str">
        <f>MID('paste from garc here'!$C$1,1+(('table for research'!$B56-1)*36+HEX2DEC('table for research'!P$1))*2,2)</f>
        <v>01</v>
      </c>
      <c r="Q56" t="str">
        <f>MID('paste from garc here'!$C$1,1+(('table for research'!$B56-1)*36+HEX2DEC('table for research'!Q$1))*2,2)</f>
        <v>02</v>
      </c>
      <c r="R56" t="str">
        <f>MID('paste from garc here'!$C$1,1+(('table for research'!$B56-1)*36+HEX2DEC('table for research'!R$1))*2,2)</f>
        <v>01</v>
      </c>
      <c r="S56" t="str">
        <f>MID('paste from garc here'!$C$1,1+(('table for research'!$B56-1)*36+HEX2DEC('table for research'!S$1))*2,2)</f>
        <v>00</v>
      </c>
      <c r="T56" t="str">
        <f>MID('paste from garc here'!$C$1,1+(('table for research'!$B56-1)*36+HEX2DEC('table for research'!T$1))*2,2)</f>
        <v>00</v>
      </c>
      <c r="U56" t="str">
        <f>MID('paste from garc here'!$C$1,1+(('table for research'!$B56-1)*36+HEX2DEC('table for research'!U$1))*2,2)</f>
        <v>1C</v>
      </c>
      <c r="V56" t="str">
        <f>MID('paste from garc here'!$C$1,1+(('table for research'!$B56-1)*36+HEX2DEC('table for research'!V$1))*2,2)</f>
        <v>3F</v>
      </c>
      <c r="W56" t="str">
        <f>MID('paste from garc here'!$C$1,1+(('table for research'!$B56-1)*36+HEX2DEC('table for research'!W$1))*2,2)</f>
        <v>00</v>
      </c>
      <c r="X56" t="str">
        <f>MID('paste from garc here'!$C$1,1+(('table for research'!$B56-1)*36+HEX2DEC('table for research'!X$1))*2,2)</f>
        <v>00</v>
      </c>
      <c r="Y56" t="str">
        <f>MID('paste from garc here'!$C$1,1+(('table for research'!$B56-1)*36+HEX2DEC('table for research'!Y$1))*2,2)</f>
        <v>00</v>
      </c>
      <c r="Z56" t="str">
        <f>MID('paste from garc here'!$C$1,1+(('table for research'!$B56-1)*36+HEX2DEC('table for research'!Z$1))*2,2)</f>
        <v>00</v>
      </c>
      <c r="AA56" t="str">
        <f>MID('paste from garc here'!$C$1,1+(('table for research'!$B56-1)*36+HEX2DEC('table for research'!AA$1))*2,2)</f>
        <v>00</v>
      </c>
      <c r="AB56" t="str">
        <f>MID('paste from garc here'!$C$1,1+(('table for research'!$B56-1)*36+HEX2DEC('table for research'!AB$1))*2,2)</f>
        <v>00</v>
      </c>
      <c r="AC56" t="str">
        <f>MID('paste from garc here'!$C$1,1+(('table for research'!$B56-1)*36+HEX2DEC('table for research'!AC$1))*2,2)</f>
        <v>00</v>
      </c>
      <c r="AD56" t="str">
        <f>MID('paste from garc here'!$C$1,1+(('table for research'!$B56-1)*36+HEX2DEC('table for research'!AD$1))*2,2)</f>
        <v>00</v>
      </c>
      <c r="AE56" t="str">
        <f>MID('paste from garc here'!$C$1,1+(('table for research'!$B56-1)*36+HEX2DEC('table for research'!AE$1))*2,2)</f>
        <v>00</v>
      </c>
      <c r="AF56" t="str">
        <f>MID('paste from garc here'!$C$1,1+(('table for research'!$B56-1)*36+HEX2DEC('table for research'!AF$1))*2,2)</f>
        <v>00</v>
      </c>
      <c r="AG56" t="str">
        <f>MID('paste from garc here'!$C$1,1+(('table for research'!$B56-1)*36+HEX2DEC('table for research'!AG$1))*2,2)</f>
        <v>00</v>
      </c>
      <c r="AH56" t="str">
        <f>MID('paste from garc here'!$C$1,1+(('table for research'!$B56-1)*36+HEX2DEC('table for research'!AH$1))*2,2)</f>
        <v>00</v>
      </c>
      <c r="AI56" t="str">
        <f>MID('paste from garc here'!$C$1,1+(('table for research'!$B56-1)*36+HEX2DEC('table for research'!AI$1))*2,2)</f>
        <v>00</v>
      </c>
      <c r="AJ56" t="str">
        <f>MID('paste from garc here'!$C$1,1+(('table for research'!$B56-1)*36+HEX2DEC('table for research'!AJ$1))*2,2)</f>
        <v>00</v>
      </c>
      <c r="AK56" t="str">
        <f>MID('paste from garc here'!$C$1,1+(('table for research'!$B56-1)*36+HEX2DEC('table for research'!AK$1))*2,2)</f>
        <v>00</v>
      </c>
      <c r="AL56" t="str">
        <f>MID('paste from garc here'!$C$1,1+(('table for research'!$B56-1)*36+HEX2DEC('table for research'!AL$1))*2,2)</f>
        <v>00</v>
      </c>
      <c r="AM56" t="str">
        <f>MID('paste from garc here'!$C$1,1+(('table for research'!$B56-1)*36+HEX2DEC('table for research'!AM$1))*2,2)</f>
        <v>00</v>
      </c>
      <c r="AN56" t="str">
        <f>MID('paste from garc here'!$C$1,1+(('table for research'!$B56-1)*36+HEX2DEC('table for research'!AN$1))*2,2)</f>
        <v>00</v>
      </c>
      <c r="AO56" t="str">
        <f>MID('paste from garc here'!$C$1,1+(('table for research'!$B56-1)*36+HEX2DEC('table for research'!AO$1))*2,2)</f>
        <v>00</v>
      </c>
    </row>
    <row r="57" spans="1:41" x14ac:dyDescent="0.4">
      <c r="A57" t="s">
        <v>69</v>
      </c>
      <c r="B57">
        <f>B56+1</f>
        <v>55</v>
      </c>
      <c r="C57" t="str">
        <f>MID('paste from garc here'!$C$1,1+(('table for research'!$B57-1)*36+HEX2DEC('table for research'!C$1))*2,2)</f>
        <v>5E</v>
      </c>
      <c r="D57" t="str">
        <f>MID('paste from garc here'!$C$1,1+(('table for research'!$B57-1)*36+HEX2DEC('table for research'!D$1))*2,2)</f>
        <v>01</v>
      </c>
      <c r="E57" t="str">
        <f>MID('paste from garc here'!$C$1,1+(('table for research'!$B57-1)*36+HEX2DEC('table for research'!E$1))*2,2)</f>
        <v>00</v>
      </c>
      <c r="F57" t="str">
        <f>MID('paste from garc here'!$C$1,1+(('table for research'!$B57-1)*36+HEX2DEC('table for research'!F$1))*2,2)</f>
        <v>00</v>
      </c>
      <c r="G57" t="str">
        <f>MID('paste from garc here'!$C$1,1+(('table for research'!$B57-1)*36+HEX2DEC('table for research'!G$1))*2,2)</f>
        <v>00</v>
      </c>
      <c r="H57" t="str">
        <f>MID('paste from garc here'!$C$1,1+(('table for research'!$B57-1)*36+HEX2DEC('table for research'!H$1))*2,2)</f>
        <v>00</v>
      </c>
      <c r="I57" t="str">
        <f>MID('paste from garc here'!$C$1,1+(('table for research'!$B57-1)*36+HEX2DEC('table for research'!I$1))*2,2)</f>
        <v>1E</v>
      </c>
      <c r="J57" t="str">
        <f>MID('paste from garc here'!$C$1,1+(('table for research'!$B57-1)*36+HEX2DEC('table for research'!J$1))*2,2)</f>
        <v>00</v>
      </c>
      <c r="K57" t="str">
        <f>DEC2HEX(_xlfn.BITAND(HEX2DEC(MID('paste from garc here'!$C$1,1+(('table for research'!$B57-1)*36+HEX2DEC(8))*2,2)),31),2)</f>
        <v>1F</v>
      </c>
      <c r="L57" t="str">
        <f>DEC2HEX(_xlfn.BITAND(HEX2DEC(MID('paste from garc here'!$C$1,1+(('table for research'!$B57-1)*36+HEX2DEC(8))*2,2)),32),2)</f>
        <v>00</v>
      </c>
      <c r="M57" t="str">
        <f>DEC2HEX(_xlfn.BITAND(HEX2DEC(MID('paste from garc here'!$C$1,1+(('table for research'!$B57-1)*36+HEX2DEC(8))*2,2)),64),2)</f>
        <v>00</v>
      </c>
      <c r="N57" t="str">
        <f>DEC2HEX(_xlfn.BITRSHIFT(_xlfn.BITAND(HEX2DEC(MID('paste from garc here'!$C$1,1+(('table for research'!$B57-1)*36+HEX2DEC(9))*2,2)&amp;MID('paste from garc here'!$C$1,1+(('table for research'!$B57-1)*36+HEX2DEC(8))*2,2)),1920),7),2)</f>
        <v>00</v>
      </c>
      <c r="O57" t="str">
        <f>DEC2HEX(_xlfn.BITRSHIFT(HEX2DEC(MID('paste from garc here'!$C$1,1+(('table for research'!$B57-1)*36+HEX2DEC(9))*2,2)&amp;MID('paste from garc here'!$C$1,1+(('table for research'!$B57-1)*36+HEX2DEC(8))*2,2)),11),2)</f>
        <v>02</v>
      </c>
      <c r="P57" t="str">
        <f>MID('paste from garc here'!$C$1,1+(('table for research'!$B57-1)*36+HEX2DEC('table for research'!P$1))*2,2)</f>
        <v>00</v>
      </c>
      <c r="Q57" t="str">
        <f>MID('paste from garc here'!$C$1,1+(('table for research'!$B57-1)*36+HEX2DEC('table for research'!Q$1))*2,2)</f>
        <v>00</v>
      </c>
      <c r="R57" t="str">
        <f>MID('paste from garc here'!$C$1,1+(('table for research'!$B57-1)*36+HEX2DEC('table for research'!R$1))*2,2)</f>
        <v>01</v>
      </c>
      <c r="S57" t="str">
        <f>MID('paste from garc here'!$C$1,1+(('table for research'!$B57-1)*36+HEX2DEC('table for research'!S$1))*2,2)</f>
        <v>03</v>
      </c>
      <c r="T57" t="str">
        <f>MID('paste from garc here'!$C$1,1+(('table for research'!$B57-1)*36+HEX2DEC('table for research'!T$1))*2,2)</f>
        <v>00</v>
      </c>
      <c r="U57" t="str">
        <f>MID('paste from garc here'!$C$1,1+(('table for research'!$B57-1)*36+HEX2DEC('table for research'!U$1))*2,2)</f>
        <v>07</v>
      </c>
      <c r="V57" t="str">
        <f>MID('paste from garc here'!$C$1,1+(('table for research'!$B57-1)*36+HEX2DEC('table for research'!V$1))*2,2)</f>
        <v>80</v>
      </c>
      <c r="W57" t="str">
        <f>MID('paste from garc here'!$C$1,1+(('table for research'!$B57-1)*36+HEX2DEC('table for research'!W$1))*2,2)</f>
        <v>00</v>
      </c>
      <c r="X57" t="str">
        <f>MID('paste from garc here'!$C$1,1+(('table for research'!$B57-1)*36+HEX2DEC('table for research'!X$1))*2,2)</f>
        <v>00</v>
      </c>
      <c r="Y57" t="str">
        <f>MID('paste from garc here'!$C$1,1+(('table for research'!$B57-1)*36+HEX2DEC('table for research'!Y$1))*2,2)</f>
        <v>00</v>
      </c>
      <c r="Z57" t="str">
        <f>MID('paste from garc here'!$C$1,1+(('table for research'!$B57-1)*36+HEX2DEC('table for research'!Z$1))*2,2)</f>
        <v>00</v>
      </c>
      <c r="AA57" t="str">
        <f>MID('paste from garc here'!$C$1,1+(('table for research'!$B57-1)*36+HEX2DEC('table for research'!AA$1))*2,2)</f>
        <v>00</v>
      </c>
      <c r="AB57" t="str">
        <f>MID('paste from garc here'!$C$1,1+(('table for research'!$B57-1)*36+HEX2DEC('table for research'!AB$1))*2,2)</f>
        <v>0C</v>
      </c>
      <c r="AC57" t="str">
        <f>MID('paste from garc here'!$C$1,1+(('table for research'!$B57-1)*36+HEX2DEC('table for research'!AC$1))*2,2)</f>
        <v>00</v>
      </c>
      <c r="AD57" t="str">
        <f>MID('paste from garc here'!$C$1,1+(('table for research'!$B57-1)*36+HEX2DEC('table for research'!AD$1))*2,2)</f>
        <v>00</v>
      </c>
      <c r="AE57" t="str">
        <f>MID('paste from garc here'!$C$1,1+(('table for research'!$B57-1)*36+HEX2DEC('table for research'!AE$1))*2,2)</f>
        <v>00</v>
      </c>
      <c r="AF57" t="str">
        <f>MID('paste from garc here'!$C$1,1+(('table for research'!$B57-1)*36+HEX2DEC('table for research'!AF$1))*2,2)</f>
        <v>00</v>
      </c>
      <c r="AG57" t="str">
        <f>MID('paste from garc here'!$C$1,1+(('table for research'!$B57-1)*36+HEX2DEC('table for research'!AG$1))*2,2)</f>
        <v>00</v>
      </c>
      <c r="AH57" t="str">
        <f>MID('paste from garc here'!$C$1,1+(('table for research'!$B57-1)*36+HEX2DEC('table for research'!AH$1))*2,2)</f>
        <v>00</v>
      </c>
      <c r="AI57" t="str">
        <f>MID('paste from garc here'!$C$1,1+(('table for research'!$B57-1)*36+HEX2DEC('table for research'!AI$1))*2,2)</f>
        <v>00</v>
      </c>
      <c r="AJ57" t="str">
        <f>MID('paste from garc here'!$C$1,1+(('table for research'!$B57-1)*36+HEX2DEC('table for research'!AJ$1))*2,2)</f>
        <v>00</v>
      </c>
      <c r="AK57" t="str">
        <f>MID('paste from garc here'!$C$1,1+(('table for research'!$B57-1)*36+HEX2DEC('table for research'!AK$1))*2,2)</f>
        <v>01</v>
      </c>
      <c r="AL57" t="str">
        <f>MID('paste from garc here'!$C$1,1+(('table for research'!$B57-1)*36+HEX2DEC('table for research'!AL$1))*2,2)</f>
        <v>01</v>
      </c>
      <c r="AM57" t="str">
        <f>MID('paste from garc here'!$C$1,1+(('table for research'!$B57-1)*36+HEX2DEC('table for research'!AM$1))*2,2)</f>
        <v>00</v>
      </c>
      <c r="AN57" t="str">
        <f>MID('paste from garc here'!$C$1,1+(('table for research'!$B57-1)*36+HEX2DEC('table for research'!AN$1))*2,2)</f>
        <v>00</v>
      </c>
      <c r="AO57" t="str">
        <f>MID('paste from garc here'!$C$1,1+(('table for research'!$B57-1)*36+HEX2DEC('table for research'!AO$1))*2,2)</f>
        <v>00</v>
      </c>
    </row>
    <row r="58" spans="1:41" x14ac:dyDescent="0.4">
      <c r="A58" t="s">
        <v>70</v>
      </c>
      <c r="B58">
        <f>B57+1</f>
        <v>56</v>
      </c>
      <c r="C58" t="str">
        <f>MID('paste from garc here'!$C$1,1+(('table for research'!$B58-1)*36+HEX2DEC('table for research'!C$1))*2,2)</f>
        <v>F4</v>
      </c>
      <c r="D58" t="str">
        <f>MID('paste from garc here'!$C$1,1+(('table for research'!$B58-1)*36+HEX2DEC('table for research'!D$1))*2,2)</f>
        <v>01</v>
      </c>
      <c r="E58" t="str">
        <f>MID('paste from garc here'!$C$1,1+(('table for research'!$B58-1)*36+HEX2DEC('table for research'!E$1))*2,2)</f>
        <v>00</v>
      </c>
      <c r="F58" t="str">
        <f>MID('paste from garc here'!$C$1,1+(('table for research'!$B58-1)*36+HEX2DEC('table for research'!F$1))*2,2)</f>
        <v>00</v>
      </c>
      <c r="G58" t="str">
        <f>MID('paste from garc here'!$C$1,1+(('table for research'!$B58-1)*36+HEX2DEC('table for research'!G$1))*2,2)</f>
        <v>00</v>
      </c>
      <c r="H58" t="str">
        <f>MID('paste from garc here'!$C$1,1+(('table for research'!$B58-1)*36+HEX2DEC('table for research'!H$1))*2,2)</f>
        <v>00</v>
      </c>
      <c r="I58" t="str">
        <f>MID('paste from garc here'!$C$1,1+(('table for research'!$B58-1)*36+HEX2DEC('table for research'!I$1))*2,2)</f>
        <v>1E</v>
      </c>
      <c r="J58" t="str">
        <f>MID('paste from garc here'!$C$1,1+(('table for research'!$B58-1)*36+HEX2DEC('table for research'!J$1))*2,2)</f>
        <v>00</v>
      </c>
      <c r="K58" t="str">
        <f>DEC2HEX(_xlfn.BITAND(HEX2DEC(MID('paste from garc here'!$C$1,1+(('table for research'!$B58-1)*36+HEX2DEC(8))*2,2)),31),2)</f>
        <v>1F</v>
      </c>
      <c r="L58" t="str">
        <f>DEC2HEX(_xlfn.BITAND(HEX2DEC(MID('paste from garc here'!$C$1,1+(('table for research'!$B58-1)*36+HEX2DEC(8))*2,2)),32),2)</f>
        <v>00</v>
      </c>
      <c r="M58" t="str">
        <f>DEC2HEX(_xlfn.BITAND(HEX2DEC(MID('paste from garc here'!$C$1,1+(('table for research'!$B58-1)*36+HEX2DEC(8))*2,2)),64),2)</f>
        <v>00</v>
      </c>
      <c r="N58" t="str">
        <f>DEC2HEX(_xlfn.BITRSHIFT(_xlfn.BITAND(HEX2DEC(MID('paste from garc here'!$C$1,1+(('table for research'!$B58-1)*36+HEX2DEC(9))*2,2)&amp;MID('paste from garc here'!$C$1,1+(('table for research'!$B58-1)*36+HEX2DEC(8))*2,2)),1920),7),2)</f>
        <v>00</v>
      </c>
      <c r="O58" t="str">
        <f>DEC2HEX(_xlfn.BITRSHIFT(HEX2DEC(MID('paste from garc here'!$C$1,1+(('table for research'!$B58-1)*36+HEX2DEC(9))*2,2)&amp;MID('paste from garc here'!$C$1,1+(('table for research'!$B58-1)*36+HEX2DEC(8))*2,2)),11),2)</f>
        <v>02</v>
      </c>
      <c r="P58" t="str">
        <f>MID('paste from garc here'!$C$1,1+(('table for research'!$B58-1)*36+HEX2DEC('table for research'!P$1))*2,2)</f>
        <v>00</v>
      </c>
      <c r="Q58" t="str">
        <f>MID('paste from garc here'!$C$1,1+(('table for research'!$B58-1)*36+HEX2DEC('table for research'!Q$1))*2,2)</f>
        <v>00</v>
      </c>
      <c r="R58" t="str">
        <f>MID('paste from garc here'!$C$1,1+(('table for research'!$B58-1)*36+HEX2DEC('table for research'!R$1))*2,2)</f>
        <v>01</v>
      </c>
      <c r="S58" t="str">
        <f>MID('paste from garc here'!$C$1,1+(('table for research'!$B58-1)*36+HEX2DEC('table for research'!S$1))*2,2)</f>
        <v>03</v>
      </c>
      <c r="T58" t="str">
        <f>MID('paste from garc here'!$C$1,1+(('table for research'!$B58-1)*36+HEX2DEC('table for research'!T$1))*2,2)</f>
        <v>00</v>
      </c>
      <c r="U58" t="str">
        <f>MID('paste from garc here'!$C$1,1+(('table for research'!$B58-1)*36+HEX2DEC('table for research'!U$1))*2,2)</f>
        <v>06</v>
      </c>
      <c r="V58" t="str">
        <f>MID('paste from garc here'!$C$1,1+(('table for research'!$B58-1)*36+HEX2DEC('table for research'!V$1))*2,2)</f>
        <v>00</v>
      </c>
      <c r="W58" t="str">
        <f>MID('paste from garc here'!$C$1,1+(('table for research'!$B58-1)*36+HEX2DEC('table for research'!W$1))*2,2)</f>
        <v>00</v>
      </c>
      <c r="X58" t="str">
        <f>MID('paste from garc here'!$C$1,1+(('table for research'!$B58-1)*36+HEX2DEC('table for research'!X$1))*2,2)</f>
        <v>00</v>
      </c>
      <c r="Y58" t="str">
        <f>MID('paste from garc here'!$C$1,1+(('table for research'!$B58-1)*36+HEX2DEC('table for research'!Y$1))*2,2)</f>
        <v>00</v>
      </c>
      <c r="Z58" t="str">
        <f>MID('paste from garc here'!$C$1,1+(('table for research'!$B58-1)*36+HEX2DEC('table for research'!Z$1))*2,2)</f>
        <v>10</v>
      </c>
      <c r="AA58" t="str">
        <f>MID('paste from garc here'!$C$1,1+(('table for research'!$B58-1)*36+HEX2DEC('table for research'!AA$1))*2,2)</f>
        <v>00</v>
      </c>
      <c r="AB58" t="str">
        <f>MID('paste from garc here'!$C$1,1+(('table for research'!$B58-1)*36+HEX2DEC('table for research'!AB$1))*2,2)</f>
        <v>0C</v>
      </c>
      <c r="AC58" t="str">
        <f>MID('paste from garc here'!$C$1,1+(('table for research'!$B58-1)*36+HEX2DEC('table for research'!AC$1))*2,2)</f>
        <v>00</v>
      </c>
      <c r="AD58" t="str">
        <f>MID('paste from garc here'!$C$1,1+(('table for research'!$B58-1)*36+HEX2DEC('table for research'!AD$1))*2,2)</f>
        <v>00</v>
      </c>
      <c r="AE58" t="str">
        <f>MID('paste from garc here'!$C$1,1+(('table for research'!$B58-1)*36+HEX2DEC('table for research'!AE$1))*2,2)</f>
        <v>00</v>
      </c>
      <c r="AF58" t="str">
        <f>MID('paste from garc here'!$C$1,1+(('table for research'!$B58-1)*36+HEX2DEC('table for research'!AF$1))*2,2)</f>
        <v>00</v>
      </c>
      <c r="AG58" t="str">
        <f>MID('paste from garc here'!$C$1,1+(('table for research'!$B58-1)*36+HEX2DEC('table for research'!AG$1))*2,2)</f>
        <v>00</v>
      </c>
      <c r="AH58" t="str">
        <f>MID('paste from garc here'!$C$1,1+(('table for research'!$B58-1)*36+HEX2DEC('table for research'!AH$1))*2,2)</f>
        <v>00</v>
      </c>
      <c r="AI58" t="str">
        <f>MID('paste from garc here'!$C$1,1+(('table for research'!$B58-1)*36+HEX2DEC('table for research'!AI$1))*2,2)</f>
        <v>00</v>
      </c>
      <c r="AJ58" t="str">
        <f>MID('paste from garc here'!$C$1,1+(('table for research'!$B58-1)*36+HEX2DEC('table for research'!AJ$1))*2,2)</f>
        <v>00</v>
      </c>
      <c r="AK58" t="str">
        <f>MID('paste from garc here'!$C$1,1+(('table for research'!$B58-1)*36+HEX2DEC('table for research'!AK$1))*2,2)</f>
        <v>01</v>
      </c>
      <c r="AL58" t="str">
        <f>MID('paste from garc here'!$C$1,1+(('table for research'!$B58-1)*36+HEX2DEC('table for research'!AL$1))*2,2)</f>
        <v>01</v>
      </c>
      <c r="AM58" t="str">
        <f>MID('paste from garc here'!$C$1,1+(('table for research'!$B58-1)*36+HEX2DEC('table for research'!AM$1))*2,2)</f>
        <v>00</v>
      </c>
      <c r="AN58" t="str">
        <f>MID('paste from garc here'!$C$1,1+(('table for research'!$B58-1)*36+HEX2DEC('table for research'!AN$1))*2,2)</f>
        <v>00</v>
      </c>
      <c r="AO58" t="str">
        <f>MID('paste from garc here'!$C$1,1+(('table for research'!$B58-1)*36+HEX2DEC('table for research'!AO$1))*2,2)</f>
        <v>00</v>
      </c>
    </row>
    <row r="59" spans="1:41" x14ac:dyDescent="0.4">
      <c r="A59" t="s">
        <v>71</v>
      </c>
      <c r="B59">
        <f>B58+1</f>
        <v>57</v>
      </c>
      <c r="C59" t="str">
        <f>MID('paste from garc here'!$C$1,1+(('table for research'!$B59-1)*36+HEX2DEC('table for research'!C$1))*2,2)</f>
        <v>F4</v>
      </c>
      <c r="D59" t="str">
        <f>MID('paste from garc here'!$C$1,1+(('table for research'!$B59-1)*36+HEX2DEC('table for research'!D$1))*2,2)</f>
        <v>01</v>
      </c>
      <c r="E59" t="str">
        <f>MID('paste from garc here'!$C$1,1+(('table for research'!$B59-1)*36+HEX2DEC('table for research'!E$1))*2,2)</f>
        <v>00</v>
      </c>
      <c r="F59" t="str">
        <f>MID('paste from garc here'!$C$1,1+(('table for research'!$B59-1)*36+HEX2DEC('table for research'!F$1))*2,2)</f>
        <v>00</v>
      </c>
      <c r="G59" t="str">
        <f>MID('paste from garc here'!$C$1,1+(('table for research'!$B59-1)*36+HEX2DEC('table for research'!G$1))*2,2)</f>
        <v>00</v>
      </c>
      <c r="H59" t="str">
        <f>MID('paste from garc here'!$C$1,1+(('table for research'!$B59-1)*36+HEX2DEC('table for research'!H$1))*2,2)</f>
        <v>00</v>
      </c>
      <c r="I59" t="str">
        <f>MID('paste from garc here'!$C$1,1+(('table for research'!$B59-1)*36+HEX2DEC('table for research'!I$1))*2,2)</f>
        <v>1E</v>
      </c>
      <c r="J59" t="str">
        <f>MID('paste from garc here'!$C$1,1+(('table for research'!$B59-1)*36+HEX2DEC('table for research'!J$1))*2,2)</f>
        <v>00</v>
      </c>
      <c r="K59" t="str">
        <f>DEC2HEX(_xlfn.BITAND(HEX2DEC(MID('paste from garc here'!$C$1,1+(('table for research'!$B59-1)*36+HEX2DEC(8))*2,2)),31),2)</f>
        <v>1F</v>
      </c>
      <c r="L59" t="str">
        <f>DEC2HEX(_xlfn.BITAND(HEX2DEC(MID('paste from garc here'!$C$1,1+(('table for research'!$B59-1)*36+HEX2DEC(8))*2,2)),32),2)</f>
        <v>00</v>
      </c>
      <c r="M59" t="str">
        <f>DEC2HEX(_xlfn.BITAND(HEX2DEC(MID('paste from garc here'!$C$1,1+(('table for research'!$B59-1)*36+HEX2DEC(8))*2,2)),64),2)</f>
        <v>00</v>
      </c>
      <c r="N59" t="str">
        <f>DEC2HEX(_xlfn.BITRSHIFT(_xlfn.BITAND(HEX2DEC(MID('paste from garc here'!$C$1,1+(('table for research'!$B59-1)*36+HEX2DEC(9))*2,2)&amp;MID('paste from garc here'!$C$1,1+(('table for research'!$B59-1)*36+HEX2DEC(8))*2,2)),1920),7),2)</f>
        <v>00</v>
      </c>
      <c r="O59" t="str">
        <f>DEC2HEX(_xlfn.BITRSHIFT(HEX2DEC(MID('paste from garc here'!$C$1,1+(('table for research'!$B59-1)*36+HEX2DEC(9))*2,2)&amp;MID('paste from garc here'!$C$1,1+(('table for research'!$B59-1)*36+HEX2DEC(8))*2,2)),11),2)</f>
        <v>02</v>
      </c>
      <c r="P59" t="str">
        <f>MID('paste from garc here'!$C$1,1+(('table for research'!$B59-1)*36+HEX2DEC('table for research'!P$1))*2,2)</f>
        <v>00</v>
      </c>
      <c r="Q59" t="str">
        <f>MID('paste from garc here'!$C$1,1+(('table for research'!$B59-1)*36+HEX2DEC('table for research'!Q$1))*2,2)</f>
        <v>00</v>
      </c>
      <c r="R59" t="str">
        <f>MID('paste from garc here'!$C$1,1+(('table for research'!$B59-1)*36+HEX2DEC('table for research'!R$1))*2,2)</f>
        <v>01</v>
      </c>
      <c r="S59" t="str">
        <f>MID('paste from garc here'!$C$1,1+(('table for research'!$B59-1)*36+HEX2DEC('table for research'!S$1))*2,2)</f>
        <v>03</v>
      </c>
      <c r="T59" t="str">
        <f>MID('paste from garc here'!$C$1,1+(('table for research'!$B59-1)*36+HEX2DEC('table for research'!T$1))*2,2)</f>
        <v>00</v>
      </c>
      <c r="U59" t="str">
        <f>MID('paste from garc here'!$C$1,1+(('table for research'!$B59-1)*36+HEX2DEC('table for research'!U$1))*2,2)</f>
        <v>00</v>
      </c>
      <c r="V59" t="str">
        <f>MID('paste from garc here'!$C$1,1+(('table for research'!$B59-1)*36+HEX2DEC('table for research'!V$1))*2,2)</f>
        <v>00</v>
      </c>
      <c r="W59" t="str">
        <f>MID('paste from garc here'!$C$1,1+(('table for research'!$B59-1)*36+HEX2DEC('table for research'!W$1))*2,2)</f>
        <v>20</v>
      </c>
      <c r="X59" t="str">
        <f>MID('paste from garc here'!$C$1,1+(('table for research'!$B59-1)*36+HEX2DEC('table for research'!X$1))*2,2)</f>
        <v>00</v>
      </c>
      <c r="Y59" t="str">
        <f>MID('paste from garc here'!$C$1,1+(('table for research'!$B59-1)*36+HEX2DEC('table for research'!Y$1))*2,2)</f>
        <v>00</v>
      </c>
      <c r="Z59" t="str">
        <f>MID('paste from garc here'!$C$1,1+(('table for research'!$B59-1)*36+HEX2DEC('table for research'!Z$1))*2,2)</f>
        <v>00</v>
      </c>
      <c r="AA59" t="str">
        <f>MID('paste from garc here'!$C$1,1+(('table for research'!$B59-1)*36+HEX2DEC('table for research'!AA$1))*2,2)</f>
        <v>00</v>
      </c>
      <c r="AB59" t="str">
        <f>MID('paste from garc here'!$C$1,1+(('table for research'!$B59-1)*36+HEX2DEC('table for research'!AB$1))*2,2)</f>
        <v>0C</v>
      </c>
      <c r="AC59" t="str">
        <f>MID('paste from garc here'!$C$1,1+(('table for research'!$B59-1)*36+HEX2DEC('table for research'!AC$1))*2,2)</f>
        <v>00</v>
      </c>
      <c r="AD59" t="str">
        <f>MID('paste from garc here'!$C$1,1+(('table for research'!$B59-1)*36+HEX2DEC('table for research'!AD$1))*2,2)</f>
        <v>00</v>
      </c>
      <c r="AE59" t="str">
        <f>MID('paste from garc here'!$C$1,1+(('table for research'!$B59-1)*36+HEX2DEC('table for research'!AE$1))*2,2)</f>
        <v>00</v>
      </c>
      <c r="AF59" t="str">
        <f>MID('paste from garc here'!$C$1,1+(('table for research'!$B59-1)*36+HEX2DEC('table for research'!AF$1))*2,2)</f>
        <v>00</v>
      </c>
      <c r="AG59" t="str">
        <f>MID('paste from garc here'!$C$1,1+(('table for research'!$B59-1)*36+HEX2DEC('table for research'!AG$1))*2,2)</f>
        <v>00</v>
      </c>
      <c r="AH59" t="str">
        <f>MID('paste from garc here'!$C$1,1+(('table for research'!$B59-1)*36+HEX2DEC('table for research'!AH$1))*2,2)</f>
        <v>00</v>
      </c>
      <c r="AI59" t="str">
        <f>MID('paste from garc here'!$C$1,1+(('table for research'!$B59-1)*36+HEX2DEC('table for research'!AI$1))*2,2)</f>
        <v>00</v>
      </c>
      <c r="AJ59" t="str">
        <f>MID('paste from garc here'!$C$1,1+(('table for research'!$B59-1)*36+HEX2DEC('table for research'!AJ$1))*2,2)</f>
        <v>00</v>
      </c>
      <c r="AK59" t="str">
        <f>MID('paste from garc here'!$C$1,1+(('table for research'!$B59-1)*36+HEX2DEC('table for research'!AK$1))*2,2)</f>
        <v>01</v>
      </c>
      <c r="AL59" t="str">
        <f>MID('paste from garc here'!$C$1,1+(('table for research'!$B59-1)*36+HEX2DEC('table for research'!AL$1))*2,2)</f>
        <v>01</v>
      </c>
      <c r="AM59" t="str">
        <f>MID('paste from garc here'!$C$1,1+(('table for research'!$B59-1)*36+HEX2DEC('table for research'!AM$1))*2,2)</f>
        <v>00</v>
      </c>
      <c r="AN59" t="str">
        <f>MID('paste from garc here'!$C$1,1+(('table for research'!$B59-1)*36+HEX2DEC('table for research'!AN$1))*2,2)</f>
        <v>00</v>
      </c>
      <c r="AO59" t="str">
        <f>MID('paste from garc here'!$C$1,1+(('table for research'!$B59-1)*36+HEX2DEC('table for research'!AO$1))*2,2)</f>
        <v>00</v>
      </c>
    </row>
    <row r="60" spans="1:41" x14ac:dyDescent="0.4">
      <c r="A60" t="s">
        <v>72</v>
      </c>
      <c r="B60">
        <f>B59+1</f>
        <v>58</v>
      </c>
      <c r="C60" t="str">
        <f>MID('paste from garc here'!$C$1,1+(('table for research'!$B60-1)*36+HEX2DEC('table for research'!C$1))*2,2)</f>
        <v>F4</v>
      </c>
      <c r="D60" t="str">
        <f>MID('paste from garc here'!$C$1,1+(('table for research'!$B60-1)*36+HEX2DEC('table for research'!D$1))*2,2)</f>
        <v>01</v>
      </c>
      <c r="E60" t="str">
        <f>MID('paste from garc here'!$C$1,1+(('table for research'!$B60-1)*36+HEX2DEC('table for research'!E$1))*2,2)</f>
        <v>00</v>
      </c>
      <c r="F60" t="str">
        <f>MID('paste from garc here'!$C$1,1+(('table for research'!$B60-1)*36+HEX2DEC('table for research'!F$1))*2,2)</f>
        <v>00</v>
      </c>
      <c r="G60" t="str">
        <f>MID('paste from garc here'!$C$1,1+(('table for research'!$B60-1)*36+HEX2DEC('table for research'!G$1))*2,2)</f>
        <v>00</v>
      </c>
      <c r="H60" t="str">
        <f>MID('paste from garc here'!$C$1,1+(('table for research'!$B60-1)*36+HEX2DEC('table for research'!H$1))*2,2)</f>
        <v>00</v>
      </c>
      <c r="I60" t="str">
        <f>MID('paste from garc here'!$C$1,1+(('table for research'!$B60-1)*36+HEX2DEC('table for research'!I$1))*2,2)</f>
        <v>1E</v>
      </c>
      <c r="J60" t="str">
        <f>MID('paste from garc here'!$C$1,1+(('table for research'!$B60-1)*36+HEX2DEC('table for research'!J$1))*2,2)</f>
        <v>00</v>
      </c>
      <c r="K60" t="str">
        <f>DEC2HEX(_xlfn.BITAND(HEX2DEC(MID('paste from garc here'!$C$1,1+(('table for research'!$B60-1)*36+HEX2DEC(8))*2,2)),31),2)</f>
        <v>1F</v>
      </c>
      <c r="L60" t="str">
        <f>DEC2HEX(_xlfn.BITAND(HEX2DEC(MID('paste from garc here'!$C$1,1+(('table for research'!$B60-1)*36+HEX2DEC(8))*2,2)),32),2)</f>
        <v>00</v>
      </c>
      <c r="M60" t="str">
        <f>DEC2HEX(_xlfn.BITAND(HEX2DEC(MID('paste from garc here'!$C$1,1+(('table for research'!$B60-1)*36+HEX2DEC(8))*2,2)),64),2)</f>
        <v>00</v>
      </c>
      <c r="N60" t="str">
        <f>DEC2HEX(_xlfn.BITRSHIFT(_xlfn.BITAND(HEX2DEC(MID('paste from garc here'!$C$1,1+(('table for research'!$B60-1)*36+HEX2DEC(9))*2,2)&amp;MID('paste from garc here'!$C$1,1+(('table for research'!$B60-1)*36+HEX2DEC(8))*2,2)),1920),7),2)</f>
        <v>00</v>
      </c>
      <c r="O60" t="str">
        <f>DEC2HEX(_xlfn.BITRSHIFT(HEX2DEC(MID('paste from garc here'!$C$1,1+(('table for research'!$B60-1)*36+HEX2DEC(9))*2,2)&amp;MID('paste from garc here'!$C$1,1+(('table for research'!$B60-1)*36+HEX2DEC(8))*2,2)),11),2)</f>
        <v>02</v>
      </c>
      <c r="P60" t="str">
        <f>MID('paste from garc here'!$C$1,1+(('table for research'!$B60-1)*36+HEX2DEC('table for research'!P$1))*2,2)</f>
        <v>00</v>
      </c>
      <c r="Q60" t="str">
        <f>MID('paste from garc here'!$C$1,1+(('table for research'!$B60-1)*36+HEX2DEC('table for research'!Q$1))*2,2)</f>
        <v>00</v>
      </c>
      <c r="R60" t="str">
        <f>MID('paste from garc here'!$C$1,1+(('table for research'!$B60-1)*36+HEX2DEC('table for research'!R$1))*2,2)</f>
        <v>01</v>
      </c>
      <c r="S60" t="str">
        <f>MID('paste from garc here'!$C$1,1+(('table for research'!$B60-1)*36+HEX2DEC('table for research'!S$1))*2,2)</f>
        <v>03</v>
      </c>
      <c r="T60" t="str">
        <f>MID('paste from garc here'!$C$1,1+(('table for research'!$B60-1)*36+HEX2DEC('table for research'!T$1))*2,2)</f>
        <v>00</v>
      </c>
      <c r="U60" t="str">
        <f>MID('paste from garc here'!$C$1,1+(('table for research'!$B60-1)*36+HEX2DEC('table for research'!U$1))*2,2)</f>
        <v>01</v>
      </c>
      <c r="V60" t="str">
        <f>MID('paste from garc here'!$C$1,1+(('table for research'!$B60-1)*36+HEX2DEC('table for research'!V$1))*2,2)</f>
        <v>00</v>
      </c>
      <c r="W60" t="str">
        <f>MID('paste from garc here'!$C$1,1+(('table for research'!$B60-1)*36+HEX2DEC('table for research'!W$1))*2,2)</f>
        <v>00</v>
      </c>
      <c r="X60" t="str">
        <f>MID('paste from garc here'!$C$1,1+(('table for research'!$B60-1)*36+HEX2DEC('table for research'!X$1))*2,2)</f>
        <v>02</v>
      </c>
      <c r="Y60" t="str">
        <f>MID('paste from garc here'!$C$1,1+(('table for research'!$B60-1)*36+HEX2DEC('table for research'!Y$1))*2,2)</f>
        <v>00</v>
      </c>
      <c r="Z60" t="str">
        <f>MID('paste from garc here'!$C$1,1+(('table for research'!$B60-1)*36+HEX2DEC('table for research'!Z$1))*2,2)</f>
        <v>00</v>
      </c>
      <c r="AA60" t="str">
        <f>MID('paste from garc here'!$C$1,1+(('table for research'!$B60-1)*36+HEX2DEC('table for research'!AA$1))*2,2)</f>
        <v>00</v>
      </c>
      <c r="AB60" t="str">
        <f>MID('paste from garc here'!$C$1,1+(('table for research'!$B60-1)*36+HEX2DEC('table for research'!AB$1))*2,2)</f>
        <v>0C</v>
      </c>
      <c r="AC60" t="str">
        <f>MID('paste from garc here'!$C$1,1+(('table for research'!$B60-1)*36+HEX2DEC('table for research'!AC$1))*2,2)</f>
        <v>00</v>
      </c>
      <c r="AD60" t="str">
        <f>MID('paste from garc here'!$C$1,1+(('table for research'!$B60-1)*36+HEX2DEC('table for research'!AD$1))*2,2)</f>
        <v>00</v>
      </c>
      <c r="AE60" t="str">
        <f>MID('paste from garc here'!$C$1,1+(('table for research'!$B60-1)*36+HEX2DEC('table for research'!AE$1))*2,2)</f>
        <v>00</v>
      </c>
      <c r="AF60" t="str">
        <f>MID('paste from garc here'!$C$1,1+(('table for research'!$B60-1)*36+HEX2DEC('table for research'!AF$1))*2,2)</f>
        <v>00</v>
      </c>
      <c r="AG60" t="str">
        <f>MID('paste from garc here'!$C$1,1+(('table for research'!$B60-1)*36+HEX2DEC('table for research'!AG$1))*2,2)</f>
        <v>00</v>
      </c>
      <c r="AH60" t="str">
        <f>MID('paste from garc here'!$C$1,1+(('table for research'!$B60-1)*36+HEX2DEC('table for research'!AH$1))*2,2)</f>
        <v>00</v>
      </c>
      <c r="AI60" t="str">
        <f>MID('paste from garc here'!$C$1,1+(('table for research'!$B60-1)*36+HEX2DEC('table for research'!AI$1))*2,2)</f>
        <v>00</v>
      </c>
      <c r="AJ60" t="str">
        <f>MID('paste from garc here'!$C$1,1+(('table for research'!$B60-1)*36+HEX2DEC('table for research'!AJ$1))*2,2)</f>
        <v>00</v>
      </c>
      <c r="AK60" t="str">
        <f>MID('paste from garc here'!$C$1,1+(('table for research'!$B60-1)*36+HEX2DEC('table for research'!AK$1))*2,2)</f>
        <v>01</v>
      </c>
      <c r="AL60" t="str">
        <f>MID('paste from garc here'!$C$1,1+(('table for research'!$B60-1)*36+HEX2DEC('table for research'!AL$1))*2,2)</f>
        <v>01</v>
      </c>
      <c r="AM60" t="str">
        <f>MID('paste from garc here'!$C$1,1+(('table for research'!$B60-1)*36+HEX2DEC('table for research'!AM$1))*2,2)</f>
        <v>00</v>
      </c>
      <c r="AN60" t="str">
        <f>MID('paste from garc here'!$C$1,1+(('table for research'!$B60-1)*36+HEX2DEC('table for research'!AN$1))*2,2)</f>
        <v>00</v>
      </c>
      <c r="AO60" t="str">
        <f>MID('paste from garc here'!$C$1,1+(('table for research'!$B60-1)*36+HEX2DEC('table for research'!AO$1))*2,2)</f>
        <v>00</v>
      </c>
    </row>
    <row r="61" spans="1:41" x14ac:dyDescent="0.4">
      <c r="A61" t="s">
        <v>73</v>
      </c>
      <c r="B61">
        <f>B60+1</f>
        <v>59</v>
      </c>
      <c r="C61" t="str">
        <f>MID('paste from garc here'!$C$1,1+(('table for research'!$B61-1)*36+HEX2DEC('table for research'!C$1))*2,2)</f>
        <v>F4</v>
      </c>
      <c r="D61" t="str">
        <f>MID('paste from garc here'!$C$1,1+(('table for research'!$B61-1)*36+HEX2DEC('table for research'!D$1))*2,2)</f>
        <v>01</v>
      </c>
      <c r="E61" t="str">
        <f>MID('paste from garc here'!$C$1,1+(('table for research'!$B61-1)*36+HEX2DEC('table for research'!E$1))*2,2)</f>
        <v>00</v>
      </c>
      <c r="F61" t="str">
        <f>MID('paste from garc here'!$C$1,1+(('table for research'!$B61-1)*36+HEX2DEC('table for research'!F$1))*2,2)</f>
        <v>00</v>
      </c>
      <c r="G61" t="str">
        <f>MID('paste from garc here'!$C$1,1+(('table for research'!$B61-1)*36+HEX2DEC('table for research'!G$1))*2,2)</f>
        <v>00</v>
      </c>
      <c r="H61" t="str">
        <f>MID('paste from garc here'!$C$1,1+(('table for research'!$B61-1)*36+HEX2DEC('table for research'!H$1))*2,2)</f>
        <v>00</v>
      </c>
      <c r="I61" t="str">
        <f>MID('paste from garc here'!$C$1,1+(('table for research'!$B61-1)*36+HEX2DEC('table for research'!I$1))*2,2)</f>
        <v>1E</v>
      </c>
      <c r="J61" t="str">
        <f>MID('paste from garc here'!$C$1,1+(('table for research'!$B61-1)*36+HEX2DEC('table for research'!J$1))*2,2)</f>
        <v>00</v>
      </c>
      <c r="K61" t="str">
        <f>DEC2HEX(_xlfn.BITAND(HEX2DEC(MID('paste from garc here'!$C$1,1+(('table for research'!$B61-1)*36+HEX2DEC(8))*2,2)),31),2)</f>
        <v>1F</v>
      </c>
      <c r="L61" t="str">
        <f>DEC2HEX(_xlfn.BITAND(HEX2DEC(MID('paste from garc here'!$C$1,1+(('table for research'!$B61-1)*36+HEX2DEC(8))*2,2)),32),2)</f>
        <v>00</v>
      </c>
      <c r="M61" t="str">
        <f>DEC2HEX(_xlfn.BITAND(HEX2DEC(MID('paste from garc here'!$C$1,1+(('table for research'!$B61-1)*36+HEX2DEC(8))*2,2)),64),2)</f>
        <v>00</v>
      </c>
      <c r="N61" t="str">
        <f>DEC2HEX(_xlfn.BITRSHIFT(_xlfn.BITAND(HEX2DEC(MID('paste from garc here'!$C$1,1+(('table for research'!$B61-1)*36+HEX2DEC(9))*2,2)&amp;MID('paste from garc here'!$C$1,1+(('table for research'!$B61-1)*36+HEX2DEC(8))*2,2)),1920),7),2)</f>
        <v>00</v>
      </c>
      <c r="O61" t="str">
        <f>DEC2HEX(_xlfn.BITRSHIFT(HEX2DEC(MID('paste from garc here'!$C$1,1+(('table for research'!$B61-1)*36+HEX2DEC(9))*2,2)&amp;MID('paste from garc here'!$C$1,1+(('table for research'!$B61-1)*36+HEX2DEC(8))*2,2)),11),2)</f>
        <v>02</v>
      </c>
      <c r="P61" t="str">
        <f>MID('paste from garc here'!$C$1,1+(('table for research'!$B61-1)*36+HEX2DEC('table for research'!P$1))*2,2)</f>
        <v>00</v>
      </c>
      <c r="Q61" t="str">
        <f>MID('paste from garc here'!$C$1,1+(('table for research'!$B61-1)*36+HEX2DEC('table for research'!Q$1))*2,2)</f>
        <v>00</v>
      </c>
      <c r="R61" t="str">
        <f>MID('paste from garc here'!$C$1,1+(('table for research'!$B61-1)*36+HEX2DEC('table for research'!R$1))*2,2)</f>
        <v>01</v>
      </c>
      <c r="S61" t="str">
        <f>MID('paste from garc here'!$C$1,1+(('table for research'!$B61-1)*36+HEX2DEC('table for research'!S$1))*2,2)</f>
        <v>03</v>
      </c>
      <c r="T61" t="str">
        <f>MID('paste from garc here'!$C$1,1+(('table for research'!$B61-1)*36+HEX2DEC('table for research'!T$1))*2,2)</f>
        <v>00</v>
      </c>
      <c r="U61" t="str">
        <f>MID('paste from garc here'!$C$1,1+(('table for research'!$B61-1)*36+HEX2DEC('table for research'!U$1))*2,2)</f>
        <v>02</v>
      </c>
      <c r="V61" t="str">
        <f>MID('paste from garc here'!$C$1,1+(('table for research'!$B61-1)*36+HEX2DEC('table for research'!V$1))*2,2)</f>
        <v>00</v>
      </c>
      <c r="W61" t="str">
        <f>MID('paste from garc here'!$C$1,1+(('table for research'!$B61-1)*36+HEX2DEC('table for research'!W$1))*2,2)</f>
        <v>00</v>
      </c>
      <c r="X61" t="str">
        <f>MID('paste from garc here'!$C$1,1+(('table for research'!$B61-1)*36+HEX2DEC('table for research'!X$1))*2,2)</f>
        <v>00</v>
      </c>
      <c r="Y61" t="str">
        <f>MID('paste from garc here'!$C$1,1+(('table for research'!$B61-1)*36+HEX2DEC('table for research'!Y$1))*2,2)</f>
        <v>20</v>
      </c>
      <c r="Z61" t="str">
        <f>MID('paste from garc here'!$C$1,1+(('table for research'!$B61-1)*36+HEX2DEC('table for research'!Z$1))*2,2)</f>
        <v>00</v>
      </c>
      <c r="AA61" t="str">
        <f>MID('paste from garc here'!$C$1,1+(('table for research'!$B61-1)*36+HEX2DEC('table for research'!AA$1))*2,2)</f>
        <v>00</v>
      </c>
      <c r="AB61" t="str">
        <f>MID('paste from garc here'!$C$1,1+(('table for research'!$B61-1)*36+HEX2DEC('table for research'!AB$1))*2,2)</f>
        <v>0C</v>
      </c>
      <c r="AC61" t="str">
        <f>MID('paste from garc here'!$C$1,1+(('table for research'!$B61-1)*36+HEX2DEC('table for research'!AC$1))*2,2)</f>
        <v>00</v>
      </c>
      <c r="AD61" t="str">
        <f>MID('paste from garc here'!$C$1,1+(('table for research'!$B61-1)*36+HEX2DEC('table for research'!AD$1))*2,2)</f>
        <v>00</v>
      </c>
      <c r="AE61" t="str">
        <f>MID('paste from garc here'!$C$1,1+(('table for research'!$B61-1)*36+HEX2DEC('table for research'!AE$1))*2,2)</f>
        <v>00</v>
      </c>
      <c r="AF61" t="str">
        <f>MID('paste from garc here'!$C$1,1+(('table for research'!$B61-1)*36+HEX2DEC('table for research'!AF$1))*2,2)</f>
        <v>00</v>
      </c>
      <c r="AG61" t="str">
        <f>MID('paste from garc here'!$C$1,1+(('table for research'!$B61-1)*36+HEX2DEC('table for research'!AG$1))*2,2)</f>
        <v>00</v>
      </c>
      <c r="AH61" t="str">
        <f>MID('paste from garc here'!$C$1,1+(('table for research'!$B61-1)*36+HEX2DEC('table for research'!AH$1))*2,2)</f>
        <v>00</v>
      </c>
      <c r="AI61" t="str">
        <f>MID('paste from garc here'!$C$1,1+(('table for research'!$B61-1)*36+HEX2DEC('table for research'!AI$1))*2,2)</f>
        <v>00</v>
      </c>
      <c r="AJ61" t="str">
        <f>MID('paste from garc here'!$C$1,1+(('table for research'!$B61-1)*36+HEX2DEC('table for research'!AJ$1))*2,2)</f>
        <v>00</v>
      </c>
      <c r="AK61" t="str">
        <f>MID('paste from garc here'!$C$1,1+(('table for research'!$B61-1)*36+HEX2DEC('table for research'!AK$1))*2,2)</f>
        <v>01</v>
      </c>
      <c r="AL61" t="str">
        <f>MID('paste from garc here'!$C$1,1+(('table for research'!$B61-1)*36+HEX2DEC('table for research'!AL$1))*2,2)</f>
        <v>01</v>
      </c>
      <c r="AM61" t="str">
        <f>MID('paste from garc here'!$C$1,1+(('table for research'!$B61-1)*36+HEX2DEC('table for research'!AM$1))*2,2)</f>
        <v>00</v>
      </c>
      <c r="AN61" t="str">
        <f>MID('paste from garc here'!$C$1,1+(('table for research'!$B61-1)*36+HEX2DEC('table for research'!AN$1))*2,2)</f>
        <v>00</v>
      </c>
      <c r="AO61" t="str">
        <f>MID('paste from garc here'!$C$1,1+(('table for research'!$B61-1)*36+HEX2DEC('table for research'!AO$1))*2,2)</f>
        <v>00</v>
      </c>
    </row>
    <row r="62" spans="1:41" x14ac:dyDescent="0.4">
      <c r="A62" t="s">
        <v>74</v>
      </c>
      <c r="B62">
        <f>B61+1</f>
        <v>60</v>
      </c>
      <c r="C62" t="str">
        <f>MID('paste from garc here'!$C$1,1+(('table for research'!$B62-1)*36+HEX2DEC('table for research'!C$1))*2,2)</f>
        <v>F4</v>
      </c>
      <c r="D62" t="str">
        <f>MID('paste from garc here'!$C$1,1+(('table for research'!$B62-1)*36+HEX2DEC('table for research'!D$1))*2,2)</f>
        <v>01</v>
      </c>
      <c r="E62" t="str">
        <f>MID('paste from garc here'!$C$1,1+(('table for research'!$B62-1)*36+HEX2DEC('table for research'!E$1))*2,2)</f>
        <v>00</v>
      </c>
      <c r="F62" t="str">
        <f>MID('paste from garc here'!$C$1,1+(('table for research'!$B62-1)*36+HEX2DEC('table for research'!F$1))*2,2)</f>
        <v>00</v>
      </c>
      <c r="G62" t="str">
        <f>MID('paste from garc here'!$C$1,1+(('table for research'!$B62-1)*36+HEX2DEC('table for research'!G$1))*2,2)</f>
        <v>00</v>
      </c>
      <c r="H62" t="str">
        <f>MID('paste from garc here'!$C$1,1+(('table for research'!$B62-1)*36+HEX2DEC('table for research'!H$1))*2,2)</f>
        <v>00</v>
      </c>
      <c r="I62" t="str">
        <f>MID('paste from garc here'!$C$1,1+(('table for research'!$B62-1)*36+HEX2DEC('table for research'!I$1))*2,2)</f>
        <v>1E</v>
      </c>
      <c r="J62" t="str">
        <f>MID('paste from garc here'!$C$1,1+(('table for research'!$B62-1)*36+HEX2DEC('table for research'!J$1))*2,2)</f>
        <v>00</v>
      </c>
      <c r="K62" t="str">
        <f>DEC2HEX(_xlfn.BITAND(HEX2DEC(MID('paste from garc here'!$C$1,1+(('table for research'!$B62-1)*36+HEX2DEC(8))*2,2)),31),2)</f>
        <v>1F</v>
      </c>
      <c r="L62" t="str">
        <f>DEC2HEX(_xlfn.BITAND(HEX2DEC(MID('paste from garc here'!$C$1,1+(('table for research'!$B62-1)*36+HEX2DEC(8))*2,2)),32),2)</f>
        <v>00</v>
      </c>
      <c r="M62" t="str">
        <f>DEC2HEX(_xlfn.BITAND(HEX2DEC(MID('paste from garc here'!$C$1,1+(('table for research'!$B62-1)*36+HEX2DEC(8))*2,2)),64),2)</f>
        <v>00</v>
      </c>
      <c r="N62" t="str">
        <f>DEC2HEX(_xlfn.BITRSHIFT(_xlfn.BITAND(HEX2DEC(MID('paste from garc here'!$C$1,1+(('table for research'!$B62-1)*36+HEX2DEC(9))*2,2)&amp;MID('paste from garc here'!$C$1,1+(('table for research'!$B62-1)*36+HEX2DEC(8))*2,2)),1920),7),2)</f>
        <v>00</v>
      </c>
      <c r="O62" t="str">
        <f>DEC2HEX(_xlfn.BITRSHIFT(HEX2DEC(MID('paste from garc here'!$C$1,1+(('table for research'!$B62-1)*36+HEX2DEC(9))*2,2)&amp;MID('paste from garc here'!$C$1,1+(('table for research'!$B62-1)*36+HEX2DEC(8))*2,2)),11),2)</f>
        <v>02</v>
      </c>
      <c r="P62" t="str">
        <f>MID('paste from garc here'!$C$1,1+(('table for research'!$B62-1)*36+HEX2DEC('table for research'!P$1))*2,2)</f>
        <v>00</v>
      </c>
      <c r="Q62" t="str">
        <f>MID('paste from garc here'!$C$1,1+(('table for research'!$B62-1)*36+HEX2DEC('table for research'!Q$1))*2,2)</f>
        <v>00</v>
      </c>
      <c r="R62" t="str">
        <f>MID('paste from garc here'!$C$1,1+(('table for research'!$B62-1)*36+HEX2DEC('table for research'!R$1))*2,2)</f>
        <v>01</v>
      </c>
      <c r="S62" t="str">
        <f>MID('paste from garc here'!$C$1,1+(('table for research'!$B62-1)*36+HEX2DEC('table for research'!S$1))*2,2)</f>
        <v>03</v>
      </c>
      <c r="T62" t="str">
        <f>MID('paste from garc here'!$C$1,1+(('table for research'!$B62-1)*36+HEX2DEC('table for research'!T$1))*2,2)</f>
        <v>00</v>
      </c>
      <c r="U62" t="str">
        <f>MID('paste from garc here'!$C$1,1+(('table for research'!$B62-1)*36+HEX2DEC('table for research'!U$1))*2,2)</f>
        <v>05</v>
      </c>
      <c r="V62" t="str">
        <f>MID('paste from garc here'!$C$1,1+(('table for research'!$B62-1)*36+HEX2DEC('table for research'!V$1))*2,2)</f>
        <v>00</v>
      </c>
      <c r="W62" t="str">
        <f>MID('paste from garc here'!$C$1,1+(('table for research'!$B62-1)*36+HEX2DEC('table for research'!W$1))*2,2)</f>
        <v>00</v>
      </c>
      <c r="X62" t="str">
        <f>MID('paste from garc here'!$C$1,1+(('table for research'!$B62-1)*36+HEX2DEC('table for research'!X$1))*2,2)</f>
        <v>00</v>
      </c>
      <c r="Y62" t="str">
        <f>MID('paste from garc here'!$C$1,1+(('table for research'!$B62-1)*36+HEX2DEC('table for research'!Y$1))*2,2)</f>
        <v>00</v>
      </c>
      <c r="Z62" t="str">
        <f>MID('paste from garc here'!$C$1,1+(('table for research'!$B62-1)*36+HEX2DEC('table for research'!Z$1))*2,2)</f>
        <v>02</v>
      </c>
      <c r="AA62" t="str">
        <f>MID('paste from garc here'!$C$1,1+(('table for research'!$B62-1)*36+HEX2DEC('table for research'!AA$1))*2,2)</f>
        <v>00</v>
      </c>
      <c r="AB62" t="str">
        <f>MID('paste from garc here'!$C$1,1+(('table for research'!$B62-1)*36+HEX2DEC('table for research'!AB$1))*2,2)</f>
        <v>0C</v>
      </c>
      <c r="AC62" t="str">
        <f>MID('paste from garc here'!$C$1,1+(('table for research'!$B62-1)*36+HEX2DEC('table for research'!AC$1))*2,2)</f>
        <v>00</v>
      </c>
      <c r="AD62" t="str">
        <f>MID('paste from garc here'!$C$1,1+(('table for research'!$B62-1)*36+HEX2DEC('table for research'!AD$1))*2,2)</f>
        <v>00</v>
      </c>
      <c r="AE62" t="str">
        <f>MID('paste from garc here'!$C$1,1+(('table for research'!$B62-1)*36+HEX2DEC('table for research'!AE$1))*2,2)</f>
        <v>00</v>
      </c>
      <c r="AF62" t="str">
        <f>MID('paste from garc here'!$C$1,1+(('table for research'!$B62-1)*36+HEX2DEC('table for research'!AF$1))*2,2)</f>
        <v>00</v>
      </c>
      <c r="AG62" t="str">
        <f>MID('paste from garc here'!$C$1,1+(('table for research'!$B62-1)*36+HEX2DEC('table for research'!AG$1))*2,2)</f>
        <v>00</v>
      </c>
      <c r="AH62" t="str">
        <f>MID('paste from garc here'!$C$1,1+(('table for research'!$B62-1)*36+HEX2DEC('table for research'!AH$1))*2,2)</f>
        <v>00</v>
      </c>
      <c r="AI62" t="str">
        <f>MID('paste from garc here'!$C$1,1+(('table for research'!$B62-1)*36+HEX2DEC('table for research'!AI$1))*2,2)</f>
        <v>00</v>
      </c>
      <c r="AJ62" t="str">
        <f>MID('paste from garc here'!$C$1,1+(('table for research'!$B62-1)*36+HEX2DEC('table for research'!AJ$1))*2,2)</f>
        <v>00</v>
      </c>
      <c r="AK62" t="str">
        <f>MID('paste from garc here'!$C$1,1+(('table for research'!$B62-1)*36+HEX2DEC('table for research'!AK$1))*2,2)</f>
        <v>01</v>
      </c>
      <c r="AL62" t="str">
        <f>MID('paste from garc here'!$C$1,1+(('table for research'!$B62-1)*36+HEX2DEC('table for research'!AL$1))*2,2)</f>
        <v>01</v>
      </c>
      <c r="AM62" t="str">
        <f>MID('paste from garc here'!$C$1,1+(('table for research'!$B62-1)*36+HEX2DEC('table for research'!AM$1))*2,2)</f>
        <v>00</v>
      </c>
      <c r="AN62" t="str">
        <f>MID('paste from garc here'!$C$1,1+(('table for research'!$B62-1)*36+HEX2DEC('table for research'!AN$1))*2,2)</f>
        <v>00</v>
      </c>
      <c r="AO62" t="str">
        <f>MID('paste from garc here'!$C$1,1+(('table for research'!$B62-1)*36+HEX2DEC('table for research'!AO$1))*2,2)</f>
        <v>00</v>
      </c>
    </row>
    <row r="63" spans="1:41" x14ac:dyDescent="0.4">
      <c r="A63" t="s">
        <v>75</v>
      </c>
      <c r="B63">
        <f>B62+1</f>
        <v>61</v>
      </c>
      <c r="C63" t="str">
        <f>MID('paste from garc here'!$C$1,1+(('table for research'!$B63-1)*36+HEX2DEC('table for research'!C$1))*2,2)</f>
        <v>F4</v>
      </c>
      <c r="D63" t="str">
        <f>MID('paste from garc here'!$C$1,1+(('table for research'!$B63-1)*36+HEX2DEC('table for research'!D$1))*2,2)</f>
        <v>01</v>
      </c>
      <c r="E63" t="str">
        <f>MID('paste from garc here'!$C$1,1+(('table for research'!$B63-1)*36+HEX2DEC('table for research'!E$1))*2,2)</f>
        <v>00</v>
      </c>
      <c r="F63" t="str">
        <f>MID('paste from garc here'!$C$1,1+(('table for research'!$B63-1)*36+HEX2DEC('table for research'!F$1))*2,2)</f>
        <v>00</v>
      </c>
      <c r="G63" t="str">
        <f>MID('paste from garc here'!$C$1,1+(('table for research'!$B63-1)*36+HEX2DEC('table for research'!G$1))*2,2)</f>
        <v>00</v>
      </c>
      <c r="H63" t="str">
        <f>MID('paste from garc here'!$C$1,1+(('table for research'!$B63-1)*36+HEX2DEC('table for research'!H$1))*2,2)</f>
        <v>00</v>
      </c>
      <c r="I63" t="str">
        <f>MID('paste from garc here'!$C$1,1+(('table for research'!$B63-1)*36+HEX2DEC('table for research'!I$1))*2,2)</f>
        <v>1E</v>
      </c>
      <c r="J63" t="str">
        <f>MID('paste from garc here'!$C$1,1+(('table for research'!$B63-1)*36+HEX2DEC('table for research'!J$1))*2,2)</f>
        <v>00</v>
      </c>
      <c r="K63" t="str">
        <f>DEC2HEX(_xlfn.BITAND(HEX2DEC(MID('paste from garc here'!$C$1,1+(('table for research'!$B63-1)*36+HEX2DEC(8))*2,2)),31),2)</f>
        <v>1F</v>
      </c>
      <c r="L63" t="str">
        <f>DEC2HEX(_xlfn.BITAND(HEX2DEC(MID('paste from garc here'!$C$1,1+(('table for research'!$B63-1)*36+HEX2DEC(8))*2,2)),32),2)</f>
        <v>00</v>
      </c>
      <c r="M63" t="str">
        <f>DEC2HEX(_xlfn.BITAND(HEX2DEC(MID('paste from garc here'!$C$1,1+(('table for research'!$B63-1)*36+HEX2DEC(8))*2,2)),64),2)</f>
        <v>00</v>
      </c>
      <c r="N63" t="str">
        <f>DEC2HEX(_xlfn.BITRSHIFT(_xlfn.BITAND(HEX2DEC(MID('paste from garc here'!$C$1,1+(('table for research'!$B63-1)*36+HEX2DEC(9))*2,2)&amp;MID('paste from garc here'!$C$1,1+(('table for research'!$B63-1)*36+HEX2DEC(8))*2,2)),1920),7),2)</f>
        <v>00</v>
      </c>
      <c r="O63" t="str">
        <f>DEC2HEX(_xlfn.BITRSHIFT(HEX2DEC(MID('paste from garc here'!$C$1,1+(('table for research'!$B63-1)*36+HEX2DEC(9))*2,2)&amp;MID('paste from garc here'!$C$1,1+(('table for research'!$B63-1)*36+HEX2DEC(8))*2,2)),11),2)</f>
        <v>02</v>
      </c>
      <c r="P63" t="str">
        <f>MID('paste from garc here'!$C$1,1+(('table for research'!$B63-1)*36+HEX2DEC('table for research'!P$1))*2,2)</f>
        <v>00</v>
      </c>
      <c r="Q63" t="str">
        <f>MID('paste from garc here'!$C$1,1+(('table for research'!$B63-1)*36+HEX2DEC('table for research'!Q$1))*2,2)</f>
        <v>00</v>
      </c>
      <c r="R63" t="str">
        <f>MID('paste from garc here'!$C$1,1+(('table for research'!$B63-1)*36+HEX2DEC('table for research'!R$1))*2,2)</f>
        <v>01</v>
      </c>
      <c r="S63" t="str">
        <f>MID('paste from garc here'!$C$1,1+(('table for research'!$B63-1)*36+HEX2DEC('table for research'!S$1))*2,2)</f>
        <v>03</v>
      </c>
      <c r="T63" t="str">
        <f>MID('paste from garc here'!$C$1,1+(('table for research'!$B63-1)*36+HEX2DEC('table for research'!T$1))*2,2)</f>
        <v>00</v>
      </c>
      <c r="U63" t="str">
        <f>MID('paste from garc here'!$C$1,1+(('table for research'!$B63-1)*36+HEX2DEC('table for research'!U$1))*2,2)</f>
        <v>03</v>
      </c>
      <c r="V63" t="str">
        <f>MID('paste from garc here'!$C$1,1+(('table for research'!$B63-1)*36+HEX2DEC('table for research'!V$1))*2,2)</f>
        <v>00</v>
      </c>
      <c r="W63" t="str">
        <f>MID('paste from garc here'!$C$1,1+(('table for research'!$B63-1)*36+HEX2DEC('table for research'!W$1))*2,2)</f>
        <v>00</v>
      </c>
      <c r="X63" t="str">
        <f>MID('paste from garc here'!$C$1,1+(('table for research'!$B63-1)*36+HEX2DEC('table for research'!X$1))*2,2)</f>
        <v>20</v>
      </c>
      <c r="Y63" t="str">
        <f>MID('paste from garc here'!$C$1,1+(('table for research'!$B63-1)*36+HEX2DEC('table for research'!Y$1))*2,2)</f>
        <v>00</v>
      </c>
      <c r="Z63" t="str">
        <f>MID('paste from garc here'!$C$1,1+(('table for research'!$B63-1)*36+HEX2DEC('table for research'!Z$1))*2,2)</f>
        <v>00</v>
      </c>
      <c r="AA63" t="str">
        <f>MID('paste from garc here'!$C$1,1+(('table for research'!$B63-1)*36+HEX2DEC('table for research'!AA$1))*2,2)</f>
        <v>00</v>
      </c>
      <c r="AB63" t="str">
        <f>MID('paste from garc here'!$C$1,1+(('table for research'!$B63-1)*36+HEX2DEC('table for research'!AB$1))*2,2)</f>
        <v>0C</v>
      </c>
      <c r="AC63" t="str">
        <f>MID('paste from garc here'!$C$1,1+(('table for research'!$B63-1)*36+HEX2DEC('table for research'!AC$1))*2,2)</f>
        <v>00</v>
      </c>
      <c r="AD63" t="str">
        <f>MID('paste from garc here'!$C$1,1+(('table for research'!$B63-1)*36+HEX2DEC('table for research'!AD$1))*2,2)</f>
        <v>00</v>
      </c>
      <c r="AE63" t="str">
        <f>MID('paste from garc here'!$C$1,1+(('table for research'!$B63-1)*36+HEX2DEC('table for research'!AE$1))*2,2)</f>
        <v>00</v>
      </c>
      <c r="AF63" t="str">
        <f>MID('paste from garc here'!$C$1,1+(('table for research'!$B63-1)*36+HEX2DEC('table for research'!AF$1))*2,2)</f>
        <v>00</v>
      </c>
      <c r="AG63" t="str">
        <f>MID('paste from garc here'!$C$1,1+(('table for research'!$B63-1)*36+HEX2DEC('table for research'!AG$1))*2,2)</f>
        <v>00</v>
      </c>
      <c r="AH63" t="str">
        <f>MID('paste from garc here'!$C$1,1+(('table for research'!$B63-1)*36+HEX2DEC('table for research'!AH$1))*2,2)</f>
        <v>00</v>
      </c>
      <c r="AI63" t="str">
        <f>MID('paste from garc here'!$C$1,1+(('table for research'!$B63-1)*36+HEX2DEC('table for research'!AI$1))*2,2)</f>
        <v>00</v>
      </c>
      <c r="AJ63" t="str">
        <f>MID('paste from garc here'!$C$1,1+(('table for research'!$B63-1)*36+HEX2DEC('table for research'!AJ$1))*2,2)</f>
        <v>00</v>
      </c>
      <c r="AK63" t="str">
        <f>MID('paste from garc here'!$C$1,1+(('table for research'!$B63-1)*36+HEX2DEC('table for research'!AK$1))*2,2)</f>
        <v>01</v>
      </c>
      <c r="AL63" t="str">
        <f>MID('paste from garc here'!$C$1,1+(('table for research'!$B63-1)*36+HEX2DEC('table for research'!AL$1))*2,2)</f>
        <v>01</v>
      </c>
      <c r="AM63" t="str">
        <f>MID('paste from garc here'!$C$1,1+(('table for research'!$B63-1)*36+HEX2DEC('table for research'!AM$1))*2,2)</f>
        <v>00</v>
      </c>
      <c r="AN63" t="str">
        <f>MID('paste from garc here'!$C$1,1+(('table for research'!$B63-1)*36+HEX2DEC('table for research'!AN$1))*2,2)</f>
        <v>00</v>
      </c>
      <c r="AO63" t="str">
        <f>MID('paste from garc here'!$C$1,1+(('table for research'!$B63-1)*36+HEX2DEC('table for research'!AO$1))*2,2)</f>
        <v>00</v>
      </c>
    </row>
    <row r="64" spans="1:41" x14ac:dyDescent="0.4">
      <c r="A64" t="s">
        <v>76</v>
      </c>
      <c r="B64">
        <f>B63+1</f>
        <v>62</v>
      </c>
      <c r="C64" t="str">
        <f>MID('paste from garc here'!$C$1,1+(('table for research'!$B64-1)*36+HEX2DEC('table for research'!C$1))*2,2)</f>
        <v>F4</v>
      </c>
      <c r="D64" t="str">
        <f>MID('paste from garc here'!$C$1,1+(('table for research'!$B64-1)*36+HEX2DEC('table for research'!D$1))*2,2)</f>
        <v>01</v>
      </c>
      <c r="E64" t="str">
        <f>MID('paste from garc here'!$C$1,1+(('table for research'!$B64-1)*36+HEX2DEC('table for research'!E$1))*2,2)</f>
        <v>00</v>
      </c>
      <c r="F64" t="str">
        <f>MID('paste from garc here'!$C$1,1+(('table for research'!$B64-1)*36+HEX2DEC('table for research'!F$1))*2,2)</f>
        <v>00</v>
      </c>
      <c r="G64" t="str">
        <f>MID('paste from garc here'!$C$1,1+(('table for research'!$B64-1)*36+HEX2DEC('table for research'!G$1))*2,2)</f>
        <v>00</v>
      </c>
      <c r="H64" t="str">
        <f>MID('paste from garc here'!$C$1,1+(('table for research'!$B64-1)*36+HEX2DEC('table for research'!H$1))*2,2)</f>
        <v>00</v>
      </c>
      <c r="I64" t="str">
        <f>MID('paste from garc here'!$C$1,1+(('table for research'!$B64-1)*36+HEX2DEC('table for research'!I$1))*2,2)</f>
        <v>1E</v>
      </c>
      <c r="J64" t="str">
        <f>MID('paste from garc here'!$C$1,1+(('table for research'!$B64-1)*36+HEX2DEC('table for research'!J$1))*2,2)</f>
        <v>00</v>
      </c>
      <c r="K64" t="str">
        <f>DEC2HEX(_xlfn.BITAND(HEX2DEC(MID('paste from garc here'!$C$1,1+(('table for research'!$B64-1)*36+HEX2DEC(8))*2,2)),31),2)</f>
        <v>1F</v>
      </c>
      <c r="L64" t="str">
        <f>DEC2HEX(_xlfn.BITAND(HEX2DEC(MID('paste from garc here'!$C$1,1+(('table for research'!$B64-1)*36+HEX2DEC(8))*2,2)),32),2)</f>
        <v>00</v>
      </c>
      <c r="M64" t="str">
        <f>DEC2HEX(_xlfn.BITAND(HEX2DEC(MID('paste from garc here'!$C$1,1+(('table for research'!$B64-1)*36+HEX2DEC(8))*2,2)),64),2)</f>
        <v>00</v>
      </c>
      <c r="N64" t="str">
        <f>DEC2HEX(_xlfn.BITRSHIFT(_xlfn.BITAND(HEX2DEC(MID('paste from garc here'!$C$1,1+(('table for research'!$B64-1)*36+HEX2DEC(9))*2,2)&amp;MID('paste from garc here'!$C$1,1+(('table for research'!$B64-1)*36+HEX2DEC(8))*2,2)),1920),7),2)</f>
        <v>00</v>
      </c>
      <c r="O64" t="str">
        <f>DEC2HEX(_xlfn.BITRSHIFT(HEX2DEC(MID('paste from garc here'!$C$1,1+(('table for research'!$B64-1)*36+HEX2DEC(9))*2,2)&amp;MID('paste from garc here'!$C$1,1+(('table for research'!$B64-1)*36+HEX2DEC(8))*2,2)),11),2)</f>
        <v>02</v>
      </c>
      <c r="P64" t="str">
        <f>MID('paste from garc here'!$C$1,1+(('table for research'!$B64-1)*36+HEX2DEC('table for research'!P$1))*2,2)</f>
        <v>00</v>
      </c>
      <c r="Q64" t="str">
        <f>MID('paste from garc here'!$C$1,1+(('table for research'!$B64-1)*36+HEX2DEC('table for research'!Q$1))*2,2)</f>
        <v>00</v>
      </c>
      <c r="R64" t="str">
        <f>MID('paste from garc here'!$C$1,1+(('table for research'!$B64-1)*36+HEX2DEC('table for research'!R$1))*2,2)</f>
        <v>01</v>
      </c>
      <c r="S64" t="str">
        <f>MID('paste from garc here'!$C$1,1+(('table for research'!$B64-1)*36+HEX2DEC('table for research'!S$1))*2,2)</f>
        <v>03</v>
      </c>
      <c r="T64" t="str">
        <f>MID('paste from garc here'!$C$1,1+(('table for research'!$B64-1)*36+HEX2DEC('table for research'!T$1))*2,2)</f>
        <v>00</v>
      </c>
      <c r="U64" t="str">
        <f>MID('paste from garc here'!$C$1,1+(('table for research'!$B64-1)*36+HEX2DEC('table for research'!U$1))*2,2)</f>
        <v>04</v>
      </c>
      <c r="V64" t="str">
        <f>MID('paste from garc here'!$C$1,1+(('table for research'!$B64-1)*36+HEX2DEC('table for research'!V$1))*2,2)</f>
        <v>00</v>
      </c>
      <c r="W64" t="str">
        <f>MID('paste from garc here'!$C$1,1+(('table for research'!$B64-1)*36+HEX2DEC('table for research'!W$1))*2,2)</f>
        <v>00</v>
      </c>
      <c r="X64" t="str">
        <f>MID('paste from garc here'!$C$1,1+(('table for research'!$B64-1)*36+HEX2DEC('table for research'!X$1))*2,2)</f>
        <v>00</v>
      </c>
      <c r="Y64" t="str">
        <f>MID('paste from garc here'!$C$1,1+(('table for research'!$B64-1)*36+HEX2DEC('table for research'!Y$1))*2,2)</f>
        <v>02</v>
      </c>
      <c r="Z64" t="str">
        <f>MID('paste from garc here'!$C$1,1+(('table for research'!$B64-1)*36+HEX2DEC('table for research'!Z$1))*2,2)</f>
        <v>00</v>
      </c>
      <c r="AA64" t="str">
        <f>MID('paste from garc here'!$C$1,1+(('table for research'!$B64-1)*36+HEX2DEC('table for research'!AA$1))*2,2)</f>
        <v>00</v>
      </c>
      <c r="AB64" t="str">
        <f>MID('paste from garc here'!$C$1,1+(('table for research'!$B64-1)*36+HEX2DEC('table for research'!AB$1))*2,2)</f>
        <v>0C</v>
      </c>
      <c r="AC64" t="str">
        <f>MID('paste from garc here'!$C$1,1+(('table for research'!$B64-1)*36+HEX2DEC('table for research'!AC$1))*2,2)</f>
        <v>00</v>
      </c>
      <c r="AD64" t="str">
        <f>MID('paste from garc here'!$C$1,1+(('table for research'!$B64-1)*36+HEX2DEC('table for research'!AD$1))*2,2)</f>
        <v>00</v>
      </c>
      <c r="AE64" t="str">
        <f>MID('paste from garc here'!$C$1,1+(('table for research'!$B64-1)*36+HEX2DEC('table for research'!AE$1))*2,2)</f>
        <v>00</v>
      </c>
      <c r="AF64" t="str">
        <f>MID('paste from garc here'!$C$1,1+(('table for research'!$B64-1)*36+HEX2DEC('table for research'!AF$1))*2,2)</f>
        <v>00</v>
      </c>
      <c r="AG64" t="str">
        <f>MID('paste from garc here'!$C$1,1+(('table for research'!$B64-1)*36+HEX2DEC('table for research'!AG$1))*2,2)</f>
        <v>00</v>
      </c>
      <c r="AH64" t="str">
        <f>MID('paste from garc here'!$C$1,1+(('table for research'!$B64-1)*36+HEX2DEC('table for research'!AH$1))*2,2)</f>
        <v>00</v>
      </c>
      <c r="AI64" t="str">
        <f>MID('paste from garc here'!$C$1,1+(('table for research'!$B64-1)*36+HEX2DEC('table for research'!AI$1))*2,2)</f>
        <v>00</v>
      </c>
      <c r="AJ64" t="str">
        <f>MID('paste from garc here'!$C$1,1+(('table for research'!$B64-1)*36+HEX2DEC('table for research'!AJ$1))*2,2)</f>
        <v>00</v>
      </c>
      <c r="AK64" t="str">
        <f>MID('paste from garc here'!$C$1,1+(('table for research'!$B64-1)*36+HEX2DEC('table for research'!AK$1))*2,2)</f>
        <v>01</v>
      </c>
      <c r="AL64" t="str">
        <f>MID('paste from garc here'!$C$1,1+(('table for research'!$B64-1)*36+HEX2DEC('table for research'!AL$1))*2,2)</f>
        <v>01</v>
      </c>
      <c r="AM64" t="str">
        <f>MID('paste from garc here'!$C$1,1+(('table for research'!$B64-1)*36+HEX2DEC('table for research'!AM$1))*2,2)</f>
        <v>00</v>
      </c>
      <c r="AN64" t="str">
        <f>MID('paste from garc here'!$C$1,1+(('table for research'!$B64-1)*36+HEX2DEC('table for research'!AN$1))*2,2)</f>
        <v>00</v>
      </c>
      <c r="AO64" t="str">
        <f>MID('paste from garc here'!$C$1,1+(('table for research'!$B64-1)*36+HEX2DEC('table for research'!AO$1))*2,2)</f>
        <v>00</v>
      </c>
    </row>
    <row r="65" spans="1:41" x14ac:dyDescent="0.4">
      <c r="A65" t="s">
        <v>77</v>
      </c>
      <c r="B65">
        <f>B64+1</f>
        <v>63</v>
      </c>
      <c r="C65" t="str">
        <f>MID('paste from garc here'!$C$1,1+(('table for research'!$B65-1)*36+HEX2DEC('table for research'!C$1))*2,2)</f>
        <v>0A</v>
      </c>
      <c r="D65" t="str">
        <f>MID('paste from garc here'!$C$1,1+(('table for research'!$B65-1)*36+HEX2DEC('table for research'!D$1))*2,2)</f>
        <v>00</v>
      </c>
      <c r="E65" t="str">
        <f>MID('paste from garc here'!$C$1,1+(('table for research'!$B65-1)*36+HEX2DEC('table for research'!E$1))*2,2)</f>
        <v>00</v>
      </c>
      <c r="F65" t="str">
        <f>MID('paste from garc here'!$C$1,1+(('table for research'!$B65-1)*36+HEX2DEC('table for research'!F$1))*2,2)</f>
        <v>00</v>
      </c>
      <c r="G65" t="str">
        <f>MID('paste from garc here'!$C$1,1+(('table for research'!$B65-1)*36+HEX2DEC('table for research'!G$1))*2,2)</f>
        <v>00</v>
      </c>
      <c r="H65" t="str">
        <f>MID('paste from garc here'!$C$1,1+(('table for research'!$B65-1)*36+HEX2DEC('table for research'!H$1))*2,2)</f>
        <v>00</v>
      </c>
      <c r="I65" t="str">
        <f>MID('paste from garc here'!$C$1,1+(('table for research'!$B65-1)*36+HEX2DEC('table for research'!I$1))*2,2)</f>
        <v>1E</v>
      </c>
      <c r="J65" t="str">
        <f>MID('paste from garc here'!$C$1,1+(('table for research'!$B65-1)*36+HEX2DEC('table for research'!J$1))*2,2)</f>
        <v>00</v>
      </c>
      <c r="K65" t="str">
        <f>DEC2HEX(_xlfn.BITAND(HEX2DEC(MID('paste from garc here'!$C$1,1+(('table for research'!$B65-1)*36+HEX2DEC(8))*2,2)),31),2)</f>
        <v>1F</v>
      </c>
      <c r="L65" t="str">
        <f>DEC2HEX(_xlfn.BITAND(HEX2DEC(MID('paste from garc here'!$C$1,1+(('table for research'!$B65-1)*36+HEX2DEC(8))*2,2)),32),2)</f>
        <v>00</v>
      </c>
      <c r="M65" t="str">
        <f>DEC2HEX(_xlfn.BITAND(HEX2DEC(MID('paste from garc here'!$C$1,1+(('table for research'!$B65-1)*36+HEX2DEC(8))*2,2)),64),2)</f>
        <v>00</v>
      </c>
      <c r="N65" t="str">
        <f>DEC2HEX(_xlfn.BITRSHIFT(_xlfn.BITAND(HEX2DEC(MID('paste from garc here'!$C$1,1+(('table for research'!$B65-1)*36+HEX2DEC(9))*2,2)&amp;MID('paste from garc here'!$C$1,1+(('table for research'!$B65-1)*36+HEX2DEC(8))*2,2)),1920),7),2)</f>
        <v>00</v>
      </c>
      <c r="O65" t="str">
        <f>DEC2HEX(_xlfn.BITRSHIFT(HEX2DEC(MID('paste from garc here'!$C$1,1+(('table for research'!$B65-1)*36+HEX2DEC(9))*2,2)&amp;MID('paste from garc here'!$C$1,1+(('table for research'!$B65-1)*36+HEX2DEC(8))*2,2)),11),2)</f>
        <v>02</v>
      </c>
      <c r="P65" t="str">
        <f>MID('paste from garc here'!$C$1,1+(('table for research'!$B65-1)*36+HEX2DEC('table for research'!P$1))*2,2)</f>
        <v>00</v>
      </c>
      <c r="Q65" t="str">
        <f>MID('paste from garc here'!$C$1,1+(('table for research'!$B65-1)*36+HEX2DEC('table for research'!Q$1))*2,2)</f>
        <v>03</v>
      </c>
      <c r="R65" t="str">
        <f>MID('paste from garc here'!$C$1,1+(('table for research'!$B65-1)*36+HEX2DEC('table for research'!R$1))*2,2)</f>
        <v>01</v>
      </c>
      <c r="S65" t="str">
        <f>MID('paste from garc here'!$C$1,1+(('table for research'!$B65-1)*36+HEX2DEC('table for research'!S$1))*2,2)</f>
        <v>03</v>
      </c>
      <c r="T65" t="str">
        <f>MID('paste from garc here'!$C$1,1+(('table for research'!$B65-1)*36+HEX2DEC('table for research'!T$1))*2,2)</f>
        <v>00</v>
      </c>
      <c r="U65" t="str">
        <f>MID('paste from garc here'!$C$1,1+(('table for research'!$B65-1)*36+HEX2DEC('table for research'!U$1))*2,2)</f>
        <v>08</v>
      </c>
      <c r="V65" t="str">
        <f>MID('paste from garc here'!$C$1,1+(('table for research'!$B65-1)*36+HEX2DEC('table for research'!V$1))*2,2)</f>
        <v>00</v>
      </c>
      <c r="W65" t="str">
        <f>MID('paste from garc here'!$C$1,1+(('table for research'!$B65-1)*36+HEX2DEC('table for research'!W$1))*2,2)</f>
        <v>00</v>
      </c>
      <c r="X65" t="str">
        <f>MID('paste from garc here'!$C$1,1+(('table for research'!$B65-1)*36+HEX2DEC('table for research'!X$1))*2,2)</f>
        <v>00</v>
      </c>
      <c r="Y65" t="str">
        <f>MID('paste from garc here'!$C$1,1+(('table for research'!$B65-1)*36+HEX2DEC('table for research'!Y$1))*2,2)</f>
        <v>00</v>
      </c>
      <c r="Z65" t="str">
        <f>MID('paste from garc here'!$C$1,1+(('table for research'!$B65-1)*36+HEX2DEC('table for research'!Z$1))*2,2)</f>
        <v>00</v>
      </c>
      <c r="AA65" t="str">
        <f>MID('paste from garc here'!$C$1,1+(('table for research'!$B65-1)*36+HEX2DEC('table for research'!AA$1))*2,2)</f>
        <v>00</v>
      </c>
      <c r="AB65" t="str">
        <f>MID('paste from garc here'!$C$1,1+(('table for research'!$B65-1)*36+HEX2DEC('table for research'!AB$1))*2,2)</f>
        <v>00</v>
      </c>
      <c r="AC65" t="str">
        <f>MID('paste from garc here'!$C$1,1+(('table for research'!$B65-1)*36+HEX2DEC('table for research'!AC$1))*2,2)</f>
        <v>00</v>
      </c>
      <c r="AD65" t="str">
        <f>MID('paste from garc here'!$C$1,1+(('table for research'!$B65-1)*36+HEX2DEC('table for research'!AD$1))*2,2)</f>
        <v>00</v>
      </c>
      <c r="AE65" t="str">
        <f>MID('paste from garc here'!$C$1,1+(('table for research'!$B65-1)*36+HEX2DEC('table for research'!AE$1))*2,2)</f>
        <v>00</v>
      </c>
      <c r="AF65" t="str">
        <f>MID('paste from garc here'!$C$1,1+(('table for research'!$B65-1)*36+HEX2DEC('table for research'!AF$1))*2,2)</f>
        <v>00</v>
      </c>
      <c r="AG65" t="str">
        <f>MID('paste from garc here'!$C$1,1+(('table for research'!$B65-1)*36+HEX2DEC('table for research'!AG$1))*2,2)</f>
        <v>00</v>
      </c>
      <c r="AH65" t="str">
        <f>MID('paste from garc here'!$C$1,1+(('table for research'!$B65-1)*36+HEX2DEC('table for research'!AH$1))*2,2)</f>
        <v>00</v>
      </c>
      <c r="AI65" t="str">
        <f>MID('paste from garc here'!$C$1,1+(('table for research'!$B65-1)*36+HEX2DEC('table for research'!AI$1))*2,2)</f>
        <v>00</v>
      </c>
      <c r="AJ65" t="str">
        <f>MID('paste from garc here'!$C$1,1+(('table for research'!$B65-1)*36+HEX2DEC('table for research'!AJ$1))*2,2)</f>
        <v>00</v>
      </c>
      <c r="AK65" t="str">
        <f>MID('paste from garc here'!$C$1,1+(('table for research'!$B65-1)*36+HEX2DEC('table for research'!AK$1))*2,2)</f>
        <v>00</v>
      </c>
      <c r="AL65" t="str">
        <f>MID('paste from garc here'!$C$1,1+(('table for research'!$B65-1)*36+HEX2DEC('table for research'!AL$1))*2,2)</f>
        <v>00</v>
      </c>
      <c r="AM65" t="str">
        <f>MID('paste from garc here'!$C$1,1+(('table for research'!$B65-1)*36+HEX2DEC('table for research'!AM$1))*2,2)</f>
        <v>00</v>
      </c>
      <c r="AN65" t="str">
        <f>MID('paste from garc here'!$C$1,1+(('table for research'!$B65-1)*36+HEX2DEC('table for research'!AN$1))*2,2)</f>
        <v>00</v>
      </c>
      <c r="AO65" t="str">
        <f>MID('paste from garc here'!$C$1,1+(('table for research'!$B65-1)*36+HEX2DEC('table for research'!AO$1))*2,2)</f>
        <v>00</v>
      </c>
    </row>
    <row r="66" spans="1:41" x14ac:dyDescent="0.4">
      <c r="A66" t="s">
        <v>78</v>
      </c>
      <c r="B66">
        <f>B65+1</f>
        <v>64</v>
      </c>
      <c r="C66" t="str">
        <f>MID('paste from garc here'!$C$1,1+(('table for research'!$B66-1)*36+HEX2DEC('table for research'!C$1))*2,2)</f>
        <v>0A</v>
      </c>
      <c r="D66" t="str">
        <f>MID('paste from garc here'!$C$1,1+(('table for research'!$B66-1)*36+HEX2DEC('table for research'!D$1))*2,2)</f>
        <v>00</v>
      </c>
      <c r="E66" t="str">
        <f>MID('paste from garc here'!$C$1,1+(('table for research'!$B66-1)*36+HEX2DEC('table for research'!E$1))*2,2)</f>
        <v>00</v>
      </c>
      <c r="F66" t="str">
        <f>MID('paste from garc here'!$C$1,1+(('table for research'!$B66-1)*36+HEX2DEC('table for research'!F$1))*2,2)</f>
        <v>00</v>
      </c>
      <c r="G66" t="str">
        <f>MID('paste from garc here'!$C$1,1+(('table for research'!$B66-1)*36+HEX2DEC('table for research'!G$1))*2,2)</f>
        <v>00</v>
      </c>
      <c r="H66" t="str">
        <f>MID('paste from garc here'!$C$1,1+(('table for research'!$B66-1)*36+HEX2DEC('table for research'!H$1))*2,2)</f>
        <v>00</v>
      </c>
      <c r="I66" t="str">
        <f>MID('paste from garc here'!$C$1,1+(('table for research'!$B66-1)*36+HEX2DEC('table for research'!I$1))*2,2)</f>
        <v>1E</v>
      </c>
      <c r="J66" t="str">
        <f>MID('paste from garc here'!$C$1,1+(('table for research'!$B66-1)*36+HEX2DEC('table for research'!J$1))*2,2)</f>
        <v>00</v>
      </c>
      <c r="K66" t="str">
        <f>DEC2HEX(_xlfn.BITAND(HEX2DEC(MID('paste from garc here'!$C$1,1+(('table for research'!$B66-1)*36+HEX2DEC(8))*2,2)),31),2)</f>
        <v>1F</v>
      </c>
      <c r="L66" t="str">
        <f>DEC2HEX(_xlfn.BITAND(HEX2DEC(MID('paste from garc here'!$C$1,1+(('table for research'!$B66-1)*36+HEX2DEC(8))*2,2)),32),2)</f>
        <v>00</v>
      </c>
      <c r="M66" t="str">
        <f>DEC2HEX(_xlfn.BITAND(HEX2DEC(MID('paste from garc here'!$C$1,1+(('table for research'!$B66-1)*36+HEX2DEC(8))*2,2)),64),2)</f>
        <v>00</v>
      </c>
      <c r="N66" t="str">
        <f>DEC2HEX(_xlfn.BITRSHIFT(_xlfn.BITAND(HEX2DEC(MID('paste from garc here'!$C$1,1+(('table for research'!$B66-1)*36+HEX2DEC(9))*2,2)&amp;MID('paste from garc here'!$C$1,1+(('table for research'!$B66-1)*36+HEX2DEC(8))*2,2)),1920),7),2)</f>
        <v>00</v>
      </c>
      <c r="O66" t="str">
        <f>DEC2HEX(_xlfn.BITRSHIFT(HEX2DEC(MID('paste from garc here'!$C$1,1+(('table for research'!$B66-1)*36+HEX2DEC(9))*2,2)&amp;MID('paste from garc here'!$C$1,1+(('table for research'!$B66-1)*36+HEX2DEC(8))*2,2)),11),2)</f>
        <v>02</v>
      </c>
      <c r="P66" t="str">
        <f>MID('paste from garc here'!$C$1,1+(('table for research'!$B66-1)*36+HEX2DEC('table for research'!P$1))*2,2)</f>
        <v>00</v>
      </c>
      <c r="Q66" t="str">
        <f>MID('paste from garc here'!$C$1,1+(('table for research'!$B66-1)*36+HEX2DEC('table for research'!Q$1))*2,2)</f>
        <v>03</v>
      </c>
      <c r="R66" t="str">
        <f>MID('paste from garc here'!$C$1,1+(('table for research'!$B66-1)*36+HEX2DEC('table for research'!R$1))*2,2)</f>
        <v>01</v>
      </c>
      <c r="S66" t="str">
        <f>MID('paste from garc here'!$C$1,1+(('table for research'!$B66-1)*36+HEX2DEC('table for research'!S$1))*2,2)</f>
        <v>03</v>
      </c>
      <c r="T66" t="str">
        <f>MID('paste from garc here'!$C$1,1+(('table for research'!$B66-1)*36+HEX2DEC('table for research'!T$1))*2,2)</f>
        <v>00</v>
      </c>
      <c r="U66" t="str">
        <f>MID('paste from garc here'!$C$1,1+(('table for research'!$B66-1)*36+HEX2DEC('table for research'!U$1))*2,2)</f>
        <v>09</v>
      </c>
      <c r="V66" t="str">
        <f>MID('paste from garc here'!$C$1,1+(('table for research'!$B66-1)*36+HEX2DEC('table for research'!V$1))*2,2)</f>
        <v>00</v>
      </c>
      <c r="W66" t="str">
        <f>MID('paste from garc here'!$C$1,1+(('table for research'!$B66-1)*36+HEX2DEC('table for research'!W$1))*2,2)</f>
        <v>00</v>
      </c>
      <c r="X66" t="str">
        <f>MID('paste from garc here'!$C$1,1+(('table for research'!$B66-1)*36+HEX2DEC('table for research'!X$1))*2,2)</f>
        <v>00</v>
      </c>
      <c r="Y66" t="str">
        <f>MID('paste from garc here'!$C$1,1+(('table for research'!$B66-1)*36+HEX2DEC('table for research'!Y$1))*2,2)</f>
        <v>00</v>
      </c>
      <c r="Z66" t="str">
        <f>MID('paste from garc here'!$C$1,1+(('table for research'!$B66-1)*36+HEX2DEC('table for research'!Z$1))*2,2)</f>
        <v>00</v>
      </c>
      <c r="AA66" t="str">
        <f>MID('paste from garc here'!$C$1,1+(('table for research'!$B66-1)*36+HEX2DEC('table for research'!AA$1))*2,2)</f>
        <v>00</v>
      </c>
      <c r="AB66" t="str">
        <f>MID('paste from garc here'!$C$1,1+(('table for research'!$B66-1)*36+HEX2DEC('table for research'!AB$1))*2,2)</f>
        <v>00</v>
      </c>
      <c r="AC66" t="str">
        <f>MID('paste from garc here'!$C$1,1+(('table for research'!$B66-1)*36+HEX2DEC('table for research'!AC$1))*2,2)</f>
        <v>00</v>
      </c>
      <c r="AD66" t="str">
        <f>MID('paste from garc here'!$C$1,1+(('table for research'!$B66-1)*36+HEX2DEC('table for research'!AD$1))*2,2)</f>
        <v>00</v>
      </c>
      <c r="AE66" t="str">
        <f>MID('paste from garc here'!$C$1,1+(('table for research'!$B66-1)*36+HEX2DEC('table for research'!AE$1))*2,2)</f>
        <v>00</v>
      </c>
      <c r="AF66" t="str">
        <f>MID('paste from garc here'!$C$1,1+(('table for research'!$B66-1)*36+HEX2DEC('table for research'!AF$1))*2,2)</f>
        <v>00</v>
      </c>
      <c r="AG66" t="str">
        <f>MID('paste from garc here'!$C$1,1+(('table for research'!$B66-1)*36+HEX2DEC('table for research'!AG$1))*2,2)</f>
        <v>00</v>
      </c>
      <c r="AH66" t="str">
        <f>MID('paste from garc here'!$C$1,1+(('table for research'!$B66-1)*36+HEX2DEC('table for research'!AH$1))*2,2)</f>
        <v>00</v>
      </c>
      <c r="AI66" t="str">
        <f>MID('paste from garc here'!$C$1,1+(('table for research'!$B66-1)*36+HEX2DEC('table for research'!AI$1))*2,2)</f>
        <v>00</v>
      </c>
      <c r="AJ66" t="str">
        <f>MID('paste from garc here'!$C$1,1+(('table for research'!$B66-1)*36+HEX2DEC('table for research'!AJ$1))*2,2)</f>
        <v>00</v>
      </c>
      <c r="AK66" t="str">
        <f>MID('paste from garc here'!$C$1,1+(('table for research'!$B66-1)*36+HEX2DEC('table for research'!AK$1))*2,2)</f>
        <v>00</v>
      </c>
      <c r="AL66" t="str">
        <f>MID('paste from garc here'!$C$1,1+(('table for research'!$B66-1)*36+HEX2DEC('table for research'!AL$1))*2,2)</f>
        <v>00</v>
      </c>
      <c r="AM66" t="str">
        <f>MID('paste from garc here'!$C$1,1+(('table for research'!$B66-1)*36+HEX2DEC('table for research'!AM$1))*2,2)</f>
        <v>00</v>
      </c>
      <c r="AN66" t="str">
        <f>MID('paste from garc here'!$C$1,1+(('table for research'!$B66-1)*36+HEX2DEC('table for research'!AN$1))*2,2)</f>
        <v>00</v>
      </c>
      <c r="AO66" t="str">
        <f>MID('paste from garc here'!$C$1,1+(('table for research'!$B66-1)*36+HEX2DEC('table for research'!AO$1))*2,2)</f>
        <v>00</v>
      </c>
    </row>
    <row r="67" spans="1:41" x14ac:dyDescent="0.4">
      <c r="A67" t="s">
        <v>79</v>
      </c>
      <c r="B67">
        <f>B66+1</f>
        <v>65</v>
      </c>
      <c r="C67" t="str">
        <f>MID('paste from garc here'!$C$1,1+(('table for research'!$B67-1)*36+HEX2DEC('table for research'!C$1))*2,2)</f>
        <v>02</v>
      </c>
      <c r="D67" t="str">
        <f>MID('paste from garc here'!$C$1,1+(('table for research'!$B67-1)*36+HEX2DEC('table for research'!D$1))*2,2)</f>
        <v>00</v>
      </c>
      <c r="E67" t="str">
        <f>MID('paste from garc here'!$C$1,1+(('table for research'!$B67-1)*36+HEX2DEC('table for research'!E$1))*2,2)</f>
        <v>00</v>
      </c>
      <c r="F67" t="str">
        <f>MID('paste from garc here'!$C$1,1+(('table for research'!$B67-1)*36+HEX2DEC('table for research'!F$1))*2,2)</f>
        <v>00</v>
      </c>
      <c r="G67" t="str">
        <f>MID('paste from garc here'!$C$1,1+(('table for research'!$B67-1)*36+HEX2DEC('table for research'!G$1))*2,2)</f>
        <v>00</v>
      </c>
      <c r="H67" t="str">
        <f>MID('paste from garc here'!$C$1,1+(('table for research'!$B67-1)*36+HEX2DEC('table for research'!H$1))*2,2)</f>
        <v>00</v>
      </c>
      <c r="I67" t="str">
        <f>MID('paste from garc here'!$C$1,1+(('table for research'!$B67-1)*36+HEX2DEC('table for research'!I$1))*2,2)</f>
        <v>1E</v>
      </c>
      <c r="J67" t="str">
        <f>MID('paste from garc here'!$C$1,1+(('table for research'!$B67-1)*36+HEX2DEC('table for research'!J$1))*2,2)</f>
        <v>00</v>
      </c>
      <c r="K67" t="str">
        <f>DEC2HEX(_xlfn.BITAND(HEX2DEC(MID('paste from garc here'!$C$1,1+(('table for research'!$B67-1)*36+HEX2DEC(8))*2,2)),31),2)</f>
        <v>1F</v>
      </c>
      <c r="L67" t="str">
        <f>DEC2HEX(_xlfn.BITAND(HEX2DEC(MID('paste from garc here'!$C$1,1+(('table for research'!$B67-1)*36+HEX2DEC(8))*2,2)),32),2)</f>
        <v>00</v>
      </c>
      <c r="M67" t="str">
        <f>DEC2HEX(_xlfn.BITAND(HEX2DEC(MID('paste from garc here'!$C$1,1+(('table for research'!$B67-1)*36+HEX2DEC(8))*2,2)),64),2)</f>
        <v>00</v>
      </c>
      <c r="N67" t="str">
        <f>DEC2HEX(_xlfn.BITRSHIFT(_xlfn.BITAND(HEX2DEC(MID('paste from garc here'!$C$1,1+(('table for research'!$B67-1)*36+HEX2DEC(9))*2,2)&amp;MID('paste from garc here'!$C$1,1+(('table for research'!$B67-1)*36+HEX2DEC(8))*2,2)),1920),7),2)</f>
        <v>01</v>
      </c>
      <c r="O67" t="str">
        <f>DEC2HEX(_xlfn.BITRSHIFT(HEX2DEC(MID('paste from garc here'!$C$1,1+(('table for research'!$B67-1)*36+HEX2DEC(9))*2,2)&amp;MID('paste from garc here'!$C$1,1+(('table for research'!$B67-1)*36+HEX2DEC(8))*2,2)),11),2)</f>
        <v>08</v>
      </c>
      <c r="P67" t="str">
        <f>MID('paste from garc here'!$C$1,1+(('table for research'!$B67-1)*36+HEX2DEC('table for research'!P$1))*2,2)</f>
        <v>01</v>
      </c>
      <c r="Q67" t="str">
        <f>MID('paste from garc here'!$C$1,1+(('table for research'!$B67-1)*36+HEX2DEC('table for research'!Q$1))*2,2)</f>
        <v>02</v>
      </c>
      <c r="R67" t="str">
        <f>MID('paste from garc here'!$C$1,1+(('table for research'!$B67-1)*36+HEX2DEC('table for research'!R$1))*2,2)</f>
        <v>01</v>
      </c>
      <c r="S67" t="str">
        <f>MID('paste from garc here'!$C$1,1+(('table for research'!$B67-1)*36+HEX2DEC('table for research'!S$1))*2,2)</f>
        <v>03</v>
      </c>
      <c r="T67" t="str">
        <f>MID('paste from garc here'!$C$1,1+(('table for research'!$B67-1)*36+HEX2DEC('table for research'!T$1))*2,2)</f>
        <v>10</v>
      </c>
      <c r="U67" t="str">
        <f>MID('paste from garc here'!$C$1,1+(('table for research'!$B67-1)*36+HEX2DEC('table for research'!U$1))*2,2)</f>
        <v>16</v>
      </c>
      <c r="V67" t="str">
        <f>MID('paste from garc here'!$C$1,1+(('table for research'!$B67-1)*36+HEX2DEC('table for research'!V$1))*2,2)</f>
        <v>01</v>
      </c>
      <c r="W67" t="str">
        <f>MID('paste from garc here'!$C$1,1+(('table for research'!$B67-1)*36+HEX2DEC('table for research'!W$1))*2,2)</f>
        <v>00</v>
      </c>
      <c r="X67" t="str">
        <f>MID('paste from garc here'!$C$1,1+(('table for research'!$B67-1)*36+HEX2DEC('table for research'!X$1))*2,2)</f>
        <v>00</v>
      </c>
      <c r="Y67" t="str">
        <f>MID('paste from garc here'!$C$1,1+(('table for research'!$B67-1)*36+HEX2DEC('table for research'!Y$1))*2,2)</f>
        <v>00</v>
      </c>
      <c r="Z67" t="str">
        <f>MID('paste from garc here'!$C$1,1+(('table for research'!$B67-1)*36+HEX2DEC('table for research'!Z$1))*2,2)</f>
        <v>00</v>
      </c>
      <c r="AA67" t="str">
        <f>MID('paste from garc here'!$C$1,1+(('table for research'!$B67-1)*36+HEX2DEC('table for research'!AA$1))*2,2)</f>
        <v>00</v>
      </c>
      <c r="AB67" t="str">
        <f>MID('paste from garc here'!$C$1,1+(('table for research'!$B67-1)*36+HEX2DEC('table for research'!AB$1))*2,2)</f>
        <v>00</v>
      </c>
      <c r="AC67" t="str">
        <f>MID('paste from garc here'!$C$1,1+(('table for research'!$B67-1)*36+HEX2DEC('table for research'!AC$1))*2,2)</f>
        <v>00</v>
      </c>
      <c r="AD67" t="str">
        <f>MID('paste from garc here'!$C$1,1+(('table for research'!$B67-1)*36+HEX2DEC('table for research'!AD$1))*2,2)</f>
        <v>00</v>
      </c>
      <c r="AE67" t="str">
        <f>MID('paste from garc here'!$C$1,1+(('table for research'!$B67-1)*36+HEX2DEC('table for research'!AE$1))*2,2)</f>
        <v>00</v>
      </c>
      <c r="AF67" t="str">
        <f>MID('paste from garc here'!$C$1,1+(('table for research'!$B67-1)*36+HEX2DEC('table for research'!AF$1))*2,2)</f>
        <v>00</v>
      </c>
      <c r="AG67" t="str">
        <f>MID('paste from garc here'!$C$1,1+(('table for research'!$B67-1)*36+HEX2DEC('table for research'!AG$1))*2,2)</f>
        <v>00</v>
      </c>
      <c r="AH67" t="str">
        <f>MID('paste from garc here'!$C$1,1+(('table for research'!$B67-1)*36+HEX2DEC('table for research'!AH$1))*2,2)</f>
        <v>00</v>
      </c>
      <c r="AI67" t="str">
        <f>MID('paste from garc here'!$C$1,1+(('table for research'!$B67-1)*36+HEX2DEC('table for research'!AI$1))*2,2)</f>
        <v>00</v>
      </c>
      <c r="AJ67" t="str">
        <f>MID('paste from garc here'!$C$1,1+(('table for research'!$B67-1)*36+HEX2DEC('table for research'!AJ$1))*2,2)</f>
        <v>00</v>
      </c>
      <c r="AK67" t="str">
        <f>MID('paste from garc here'!$C$1,1+(('table for research'!$B67-1)*36+HEX2DEC('table for research'!AK$1))*2,2)</f>
        <v>00</v>
      </c>
      <c r="AL67" t="str">
        <f>MID('paste from garc here'!$C$1,1+(('table for research'!$B67-1)*36+HEX2DEC('table for research'!AL$1))*2,2)</f>
        <v>00</v>
      </c>
      <c r="AM67" t="str">
        <f>MID('paste from garc here'!$C$1,1+(('table for research'!$B67-1)*36+HEX2DEC('table for research'!AM$1))*2,2)</f>
        <v>00</v>
      </c>
      <c r="AN67" t="str">
        <f>MID('paste from garc here'!$C$1,1+(('table for research'!$B67-1)*36+HEX2DEC('table for research'!AN$1))*2,2)</f>
        <v>00</v>
      </c>
      <c r="AO67" t="str">
        <f>MID('paste from garc here'!$C$1,1+(('table for research'!$B67-1)*36+HEX2DEC('table for research'!AO$1))*2,2)</f>
        <v>00</v>
      </c>
    </row>
    <row r="68" spans="1:41" x14ac:dyDescent="0.4">
      <c r="A68" t="s">
        <v>80</v>
      </c>
      <c r="B68">
        <f>B67+1</f>
        <v>66</v>
      </c>
      <c r="C68" t="str">
        <f>MID('paste from garc here'!$C$1,1+(('table for research'!$B68-1)*36+HEX2DEC('table for research'!C$1))*2,2)</f>
        <v>02</v>
      </c>
      <c r="D68" t="str">
        <f>MID('paste from garc here'!$C$1,1+(('table for research'!$B68-1)*36+HEX2DEC('table for research'!D$1))*2,2)</f>
        <v>00</v>
      </c>
      <c r="E68" t="str">
        <f>MID('paste from garc here'!$C$1,1+(('table for research'!$B68-1)*36+HEX2DEC('table for research'!E$1))*2,2)</f>
        <v>00</v>
      </c>
      <c r="F68" t="str">
        <f>MID('paste from garc here'!$C$1,1+(('table for research'!$B68-1)*36+HEX2DEC('table for research'!F$1))*2,2)</f>
        <v>00</v>
      </c>
      <c r="G68" t="str">
        <f>MID('paste from garc here'!$C$1,1+(('table for research'!$B68-1)*36+HEX2DEC('table for research'!G$1))*2,2)</f>
        <v>00</v>
      </c>
      <c r="H68" t="str">
        <f>MID('paste from garc here'!$C$1,1+(('table for research'!$B68-1)*36+HEX2DEC('table for research'!H$1))*2,2)</f>
        <v>00</v>
      </c>
      <c r="I68" t="str">
        <f>MID('paste from garc here'!$C$1,1+(('table for research'!$B68-1)*36+HEX2DEC('table for research'!I$1))*2,2)</f>
        <v>1E</v>
      </c>
      <c r="J68" t="str">
        <f>MID('paste from garc here'!$C$1,1+(('table for research'!$B68-1)*36+HEX2DEC('table for research'!J$1))*2,2)</f>
        <v>00</v>
      </c>
      <c r="K68" t="str">
        <f>DEC2HEX(_xlfn.BITAND(HEX2DEC(MID('paste from garc here'!$C$1,1+(('table for research'!$B68-1)*36+HEX2DEC(8))*2,2)),31),2)</f>
        <v>1F</v>
      </c>
      <c r="L68" t="str">
        <f>DEC2HEX(_xlfn.BITAND(HEX2DEC(MID('paste from garc here'!$C$1,1+(('table for research'!$B68-1)*36+HEX2DEC(8))*2,2)),32),2)</f>
        <v>00</v>
      </c>
      <c r="M68" t="str">
        <f>DEC2HEX(_xlfn.BITAND(HEX2DEC(MID('paste from garc here'!$C$1,1+(('table for research'!$B68-1)*36+HEX2DEC(8))*2,2)),64),2)</f>
        <v>00</v>
      </c>
      <c r="N68" t="str">
        <f>DEC2HEX(_xlfn.BITRSHIFT(_xlfn.BITAND(HEX2DEC(MID('paste from garc here'!$C$1,1+(('table for research'!$B68-1)*36+HEX2DEC(9))*2,2)&amp;MID('paste from garc here'!$C$1,1+(('table for research'!$B68-1)*36+HEX2DEC(8))*2,2)),1920),7),2)</f>
        <v>01</v>
      </c>
      <c r="O68" t="str">
        <f>DEC2HEX(_xlfn.BITRSHIFT(HEX2DEC(MID('paste from garc here'!$C$1,1+(('table for research'!$B68-1)*36+HEX2DEC(9))*2,2)&amp;MID('paste from garc here'!$C$1,1+(('table for research'!$B68-1)*36+HEX2DEC(8))*2,2)),11),2)</f>
        <v>08</v>
      </c>
      <c r="P68" t="str">
        <f>MID('paste from garc here'!$C$1,1+(('table for research'!$B68-1)*36+HEX2DEC('table for research'!P$1))*2,2)</f>
        <v>00</v>
      </c>
      <c r="Q68" t="str">
        <f>MID('paste from garc here'!$C$1,1+(('table for research'!$B68-1)*36+HEX2DEC('table for research'!Q$1))*2,2)</f>
        <v>02</v>
      </c>
      <c r="R68" t="str">
        <f>MID('paste from garc here'!$C$1,1+(('table for research'!$B68-1)*36+HEX2DEC('table for research'!R$1))*2,2)</f>
        <v>01</v>
      </c>
      <c r="S68" t="str">
        <f>MID('paste from garc here'!$C$1,1+(('table for research'!$B68-1)*36+HEX2DEC('table for research'!S$1))*2,2)</f>
        <v>03</v>
      </c>
      <c r="T68" t="str">
        <f>MID('paste from garc here'!$C$1,1+(('table for research'!$B68-1)*36+HEX2DEC('table for research'!T$1))*2,2)</f>
        <v>10</v>
      </c>
      <c r="U68" t="str">
        <f>MID('paste from garc here'!$C$1,1+(('table for research'!$B68-1)*36+HEX2DEC('table for research'!U$1))*2,2)</f>
        <v>17</v>
      </c>
      <c r="V68" t="str">
        <f>MID('paste from garc here'!$C$1,1+(('table for research'!$B68-1)*36+HEX2DEC('table for research'!V$1))*2,2)</f>
        <v>20</v>
      </c>
      <c r="W68" t="str">
        <f>MID('paste from garc here'!$C$1,1+(('table for research'!$B68-1)*36+HEX2DEC('table for research'!W$1))*2,2)</f>
        <v>00</v>
      </c>
      <c r="X68" t="str">
        <f>MID('paste from garc here'!$C$1,1+(('table for research'!$B68-1)*36+HEX2DEC('table for research'!X$1))*2,2)</f>
        <v>00</v>
      </c>
      <c r="Y68" t="str">
        <f>MID('paste from garc here'!$C$1,1+(('table for research'!$B68-1)*36+HEX2DEC('table for research'!Y$1))*2,2)</f>
        <v>00</v>
      </c>
      <c r="Z68" t="str">
        <f>MID('paste from garc here'!$C$1,1+(('table for research'!$B68-1)*36+HEX2DEC('table for research'!Z$1))*2,2)</f>
        <v>00</v>
      </c>
      <c r="AA68" t="str">
        <f>MID('paste from garc here'!$C$1,1+(('table for research'!$B68-1)*36+HEX2DEC('table for research'!AA$1))*2,2)</f>
        <v>00</v>
      </c>
      <c r="AB68" t="str">
        <f>MID('paste from garc here'!$C$1,1+(('table for research'!$B68-1)*36+HEX2DEC('table for research'!AB$1))*2,2)</f>
        <v>00</v>
      </c>
      <c r="AC68" t="str">
        <f>MID('paste from garc here'!$C$1,1+(('table for research'!$B68-1)*36+HEX2DEC('table for research'!AC$1))*2,2)</f>
        <v>00</v>
      </c>
      <c r="AD68" t="str">
        <f>MID('paste from garc here'!$C$1,1+(('table for research'!$B68-1)*36+HEX2DEC('table for research'!AD$1))*2,2)</f>
        <v>00</v>
      </c>
      <c r="AE68" t="str">
        <f>MID('paste from garc here'!$C$1,1+(('table for research'!$B68-1)*36+HEX2DEC('table for research'!AE$1))*2,2)</f>
        <v>00</v>
      </c>
      <c r="AF68" t="str">
        <f>MID('paste from garc here'!$C$1,1+(('table for research'!$B68-1)*36+HEX2DEC('table for research'!AF$1))*2,2)</f>
        <v>00</v>
      </c>
      <c r="AG68" t="str">
        <f>MID('paste from garc here'!$C$1,1+(('table for research'!$B68-1)*36+HEX2DEC('table for research'!AG$1))*2,2)</f>
        <v>00</v>
      </c>
      <c r="AH68" t="str">
        <f>MID('paste from garc here'!$C$1,1+(('table for research'!$B68-1)*36+HEX2DEC('table for research'!AH$1))*2,2)</f>
        <v>00</v>
      </c>
      <c r="AI68" t="str">
        <f>MID('paste from garc here'!$C$1,1+(('table for research'!$B68-1)*36+HEX2DEC('table for research'!AI$1))*2,2)</f>
        <v>00</v>
      </c>
      <c r="AJ68" t="str">
        <f>MID('paste from garc here'!$C$1,1+(('table for research'!$B68-1)*36+HEX2DEC('table for research'!AJ$1))*2,2)</f>
        <v>00</v>
      </c>
      <c r="AK68" t="str">
        <f>MID('paste from garc here'!$C$1,1+(('table for research'!$B68-1)*36+HEX2DEC('table for research'!AK$1))*2,2)</f>
        <v>00</v>
      </c>
      <c r="AL68" t="str">
        <f>MID('paste from garc here'!$C$1,1+(('table for research'!$B68-1)*36+HEX2DEC('table for research'!AL$1))*2,2)</f>
        <v>00</v>
      </c>
      <c r="AM68" t="str">
        <f>MID('paste from garc here'!$C$1,1+(('table for research'!$B68-1)*36+HEX2DEC('table for research'!AM$1))*2,2)</f>
        <v>00</v>
      </c>
      <c r="AN68" t="str">
        <f>MID('paste from garc here'!$C$1,1+(('table for research'!$B68-1)*36+HEX2DEC('table for research'!AN$1))*2,2)</f>
        <v>00</v>
      </c>
      <c r="AO68" t="str">
        <f>MID('paste from garc here'!$C$1,1+(('table for research'!$B68-1)*36+HEX2DEC('table for research'!AO$1))*2,2)</f>
        <v>00</v>
      </c>
    </row>
    <row r="69" spans="1:41" x14ac:dyDescent="0.4">
      <c r="A69" t="s">
        <v>81</v>
      </c>
      <c r="B69">
        <f>B68+1</f>
        <v>67</v>
      </c>
      <c r="C69" t="str">
        <f>MID('paste from garc here'!$C$1,1+(('table for research'!$B69-1)*36+HEX2DEC('table for research'!C$1))*2,2)</f>
        <v>02</v>
      </c>
      <c r="D69" t="str">
        <f>MID('paste from garc here'!$C$1,1+(('table for research'!$B69-1)*36+HEX2DEC('table for research'!D$1))*2,2)</f>
        <v>00</v>
      </c>
      <c r="E69" t="str">
        <f>MID('paste from garc here'!$C$1,1+(('table for research'!$B69-1)*36+HEX2DEC('table for research'!E$1))*2,2)</f>
        <v>00</v>
      </c>
      <c r="F69" t="str">
        <f>MID('paste from garc here'!$C$1,1+(('table for research'!$B69-1)*36+HEX2DEC('table for research'!F$1))*2,2)</f>
        <v>00</v>
      </c>
      <c r="G69" t="str">
        <f>MID('paste from garc here'!$C$1,1+(('table for research'!$B69-1)*36+HEX2DEC('table for research'!G$1))*2,2)</f>
        <v>00</v>
      </c>
      <c r="H69" t="str">
        <f>MID('paste from garc here'!$C$1,1+(('table for research'!$B69-1)*36+HEX2DEC('table for research'!H$1))*2,2)</f>
        <v>00</v>
      </c>
      <c r="I69" t="str">
        <f>MID('paste from garc here'!$C$1,1+(('table for research'!$B69-1)*36+HEX2DEC('table for research'!I$1))*2,2)</f>
        <v>1E</v>
      </c>
      <c r="J69" t="str">
        <f>MID('paste from garc here'!$C$1,1+(('table for research'!$B69-1)*36+HEX2DEC('table for research'!J$1))*2,2)</f>
        <v>00</v>
      </c>
      <c r="K69" t="str">
        <f>DEC2HEX(_xlfn.BITAND(HEX2DEC(MID('paste from garc here'!$C$1,1+(('table for research'!$B69-1)*36+HEX2DEC(8))*2,2)),31),2)</f>
        <v>1F</v>
      </c>
      <c r="L69" t="str">
        <f>DEC2HEX(_xlfn.BITAND(HEX2DEC(MID('paste from garc here'!$C$1,1+(('table for research'!$B69-1)*36+HEX2DEC(8))*2,2)),32),2)</f>
        <v>00</v>
      </c>
      <c r="M69" t="str">
        <f>DEC2HEX(_xlfn.BITAND(HEX2DEC(MID('paste from garc here'!$C$1,1+(('table for research'!$B69-1)*36+HEX2DEC(8))*2,2)),64),2)</f>
        <v>00</v>
      </c>
      <c r="N69" t="str">
        <f>DEC2HEX(_xlfn.BITRSHIFT(_xlfn.BITAND(HEX2DEC(MID('paste from garc here'!$C$1,1+(('table for research'!$B69-1)*36+HEX2DEC(9))*2,2)&amp;MID('paste from garc here'!$C$1,1+(('table for research'!$B69-1)*36+HEX2DEC(8))*2,2)),1920),7),2)</f>
        <v>01</v>
      </c>
      <c r="O69" t="str">
        <f>DEC2HEX(_xlfn.BITRSHIFT(HEX2DEC(MID('paste from garc here'!$C$1,1+(('table for research'!$B69-1)*36+HEX2DEC(9))*2,2)&amp;MID('paste from garc here'!$C$1,1+(('table for research'!$B69-1)*36+HEX2DEC(8))*2,2)),11),2)</f>
        <v>08</v>
      </c>
      <c r="P69" t="str">
        <f>MID('paste from garc here'!$C$1,1+(('table for research'!$B69-1)*36+HEX2DEC('table for research'!P$1))*2,2)</f>
        <v>00</v>
      </c>
      <c r="Q69" t="str">
        <f>MID('paste from garc here'!$C$1,1+(('table for research'!$B69-1)*36+HEX2DEC('table for research'!Q$1))*2,2)</f>
        <v>02</v>
      </c>
      <c r="R69" t="str">
        <f>MID('paste from garc here'!$C$1,1+(('table for research'!$B69-1)*36+HEX2DEC('table for research'!R$1))*2,2)</f>
        <v>01</v>
      </c>
      <c r="S69" t="str">
        <f>MID('paste from garc here'!$C$1,1+(('table for research'!$B69-1)*36+HEX2DEC('table for research'!S$1))*2,2)</f>
        <v>03</v>
      </c>
      <c r="T69" t="str">
        <f>MID('paste from garc here'!$C$1,1+(('table for research'!$B69-1)*36+HEX2DEC('table for research'!T$1))*2,2)</f>
        <v>10</v>
      </c>
      <c r="U69" t="str">
        <f>MID('paste from garc here'!$C$1,1+(('table for research'!$B69-1)*36+HEX2DEC('table for research'!U$1))*2,2)</f>
        <v>18</v>
      </c>
      <c r="V69" t="str">
        <f>MID('paste from garc here'!$C$1,1+(('table for research'!$B69-1)*36+HEX2DEC('table for research'!V$1))*2,2)</f>
        <v>40</v>
      </c>
      <c r="W69" t="str">
        <f>MID('paste from garc here'!$C$1,1+(('table for research'!$B69-1)*36+HEX2DEC('table for research'!W$1))*2,2)</f>
        <v>00</v>
      </c>
      <c r="X69" t="str">
        <f>MID('paste from garc here'!$C$1,1+(('table for research'!$B69-1)*36+HEX2DEC('table for research'!X$1))*2,2)</f>
        <v>00</v>
      </c>
      <c r="Y69" t="str">
        <f>MID('paste from garc here'!$C$1,1+(('table for research'!$B69-1)*36+HEX2DEC('table for research'!Y$1))*2,2)</f>
        <v>00</v>
      </c>
      <c r="Z69" t="str">
        <f>MID('paste from garc here'!$C$1,1+(('table for research'!$B69-1)*36+HEX2DEC('table for research'!Z$1))*2,2)</f>
        <v>00</v>
      </c>
      <c r="AA69" t="str">
        <f>MID('paste from garc here'!$C$1,1+(('table for research'!$B69-1)*36+HEX2DEC('table for research'!AA$1))*2,2)</f>
        <v>00</v>
      </c>
      <c r="AB69" t="str">
        <f>MID('paste from garc here'!$C$1,1+(('table for research'!$B69-1)*36+HEX2DEC('table for research'!AB$1))*2,2)</f>
        <v>00</v>
      </c>
      <c r="AC69" t="str">
        <f>MID('paste from garc here'!$C$1,1+(('table for research'!$B69-1)*36+HEX2DEC('table for research'!AC$1))*2,2)</f>
        <v>00</v>
      </c>
      <c r="AD69" t="str">
        <f>MID('paste from garc here'!$C$1,1+(('table for research'!$B69-1)*36+HEX2DEC('table for research'!AD$1))*2,2)</f>
        <v>00</v>
      </c>
      <c r="AE69" t="str">
        <f>MID('paste from garc here'!$C$1,1+(('table for research'!$B69-1)*36+HEX2DEC('table for research'!AE$1))*2,2)</f>
        <v>00</v>
      </c>
      <c r="AF69" t="str">
        <f>MID('paste from garc here'!$C$1,1+(('table for research'!$B69-1)*36+HEX2DEC('table for research'!AF$1))*2,2)</f>
        <v>00</v>
      </c>
      <c r="AG69" t="str">
        <f>MID('paste from garc here'!$C$1,1+(('table for research'!$B69-1)*36+HEX2DEC('table for research'!AG$1))*2,2)</f>
        <v>00</v>
      </c>
      <c r="AH69" t="str">
        <f>MID('paste from garc here'!$C$1,1+(('table for research'!$B69-1)*36+HEX2DEC('table for research'!AH$1))*2,2)</f>
        <v>00</v>
      </c>
      <c r="AI69" t="str">
        <f>MID('paste from garc here'!$C$1,1+(('table for research'!$B69-1)*36+HEX2DEC('table for research'!AI$1))*2,2)</f>
        <v>00</v>
      </c>
      <c r="AJ69" t="str">
        <f>MID('paste from garc here'!$C$1,1+(('table for research'!$B69-1)*36+HEX2DEC('table for research'!AJ$1))*2,2)</f>
        <v>00</v>
      </c>
      <c r="AK69" t="str">
        <f>MID('paste from garc here'!$C$1,1+(('table for research'!$B69-1)*36+HEX2DEC('table for research'!AK$1))*2,2)</f>
        <v>00</v>
      </c>
      <c r="AL69" t="str">
        <f>MID('paste from garc here'!$C$1,1+(('table for research'!$B69-1)*36+HEX2DEC('table for research'!AL$1))*2,2)</f>
        <v>00</v>
      </c>
      <c r="AM69" t="str">
        <f>MID('paste from garc here'!$C$1,1+(('table for research'!$B69-1)*36+HEX2DEC('table for research'!AM$1))*2,2)</f>
        <v>00</v>
      </c>
      <c r="AN69" t="str">
        <f>MID('paste from garc here'!$C$1,1+(('table for research'!$B69-1)*36+HEX2DEC('table for research'!AN$1))*2,2)</f>
        <v>00</v>
      </c>
      <c r="AO69" t="str">
        <f>MID('paste from garc here'!$C$1,1+(('table for research'!$B69-1)*36+HEX2DEC('table for research'!AO$1))*2,2)</f>
        <v>00</v>
      </c>
    </row>
    <row r="70" spans="1:41" x14ac:dyDescent="0.4">
      <c r="A70" t="s">
        <v>82</v>
      </c>
      <c r="B70">
        <f>B69+1</f>
        <v>68</v>
      </c>
      <c r="C70" t="str">
        <f>MID('paste from garc here'!$C$1,1+(('table for research'!$B70-1)*36+HEX2DEC('table for research'!C$1))*2,2)</f>
        <v>02</v>
      </c>
      <c r="D70" t="str">
        <f>MID('paste from garc here'!$C$1,1+(('table for research'!$B70-1)*36+HEX2DEC('table for research'!D$1))*2,2)</f>
        <v>00</v>
      </c>
      <c r="E70" t="str">
        <f>MID('paste from garc here'!$C$1,1+(('table for research'!$B70-1)*36+HEX2DEC('table for research'!E$1))*2,2)</f>
        <v>00</v>
      </c>
      <c r="F70" t="str">
        <f>MID('paste from garc here'!$C$1,1+(('table for research'!$B70-1)*36+HEX2DEC('table for research'!F$1))*2,2)</f>
        <v>00</v>
      </c>
      <c r="G70" t="str">
        <f>MID('paste from garc here'!$C$1,1+(('table for research'!$B70-1)*36+HEX2DEC('table for research'!G$1))*2,2)</f>
        <v>00</v>
      </c>
      <c r="H70" t="str">
        <f>MID('paste from garc here'!$C$1,1+(('table for research'!$B70-1)*36+HEX2DEC('table for research'!H$1))*2,2)</f>
        <v>00</v>
      </c>
      <c r="I70" t="str">
        <f>MID('paste from garc here'!$C$1,1+(('table for research'!$B70-1)*36+HEX2DEC('table for research'!I$1))*2,2)</f>
        <v>1E</v>
      </c>
      <c r="J70" t="str">
        <f>MID('paste from garc here'!$C$1,1+(('table for research'!$B70-1)*36+HEX2DEC('table for research'!J$1))*2,2)</f>
        <v>00</v>
      </c>
      <c r="K70" t="str">
        <f>DEC2HEX(_xlfn.BITAND(HEX2DEC(MID('paste from garc here'!$C$1,1+(('table for research'!$B70-1)*36+HEX2DEC(8))*2,2)),31),2)</f>
        <v>1F</v>
      </c>
      <c r="L70" t="str">
        <f>DEC2HEX(_xlfn.BITAND(HEX2DEC(MID('paste from garc here'!$C$1,1+(('table for research'!$B70-1)*36+HEX2DEC(8))*2,2)),32),2)</f>
        <v>00</v>
      </c>
      <c r="M70" t="str">
        <f>DEC2HEX(_xlfn.BITAND(HEX2DEC(MID('paste from garc here'!$C$1,1+(('table for research'!$B70-1)*36+HEX2DEC(8))*2,2)),64),2)</f>
        <v>00</v>
      </c>
      <c r="N70" t="str">
        <f>DEC2HEX(_xlfn.BITRSHIFT(_xlfn.BITAND(HEX2DEC(MID('paste from garc here'!$C$1,1+(('table for research'!$B70-1)*36+HEX2DEC(9))*2,2)&amp;MID('paste from garc here'!$C$1,1+(('table for research'!$B70-1)*36+HEX2DEC(8))*2,2)),1920),7),2)</f>
        <v>00</v>
      </c>
      <c r="O70" t="str">
        <f>DEC2HEX(_xlfn.BITRSHIFT(HEX2DEC(MID('paste from garc here'!$C$1,1+(('table for research'!$B70-1)*36+HEX2DEC(9))*2,2)&amp;MID('paste from garc here'!$C$1,1+(('table for research'!$B70-1)*36+HEX2DEC(8))*2,2)),11),2)</f>
        <v>00</v>
      </c>
      <c r="P70" t="str">
        <f>MID('paste from garc here'!$C$1,1+(('table for research'!$B70-1)*36+HEX2DEC('table for research'!P$1))*2,2)</f>
        <v>0A</v>
      </c>
      <c r="Q70" t="str">
        <f>MID('paste from garc here'!$C$1,1+(('table for research'!$B70-1)*36+HEX2DEC('table for research'!Q$1))*2,2)</f>
        <v>00</v>
      </c>
      <c r="R70" t="str">
        <f>MID('paste from garc here'!$C$1,1+(('table for research'!$B70-1)*36+HEX2DEC('table for research'!R$1))*2,2)</f>
        <v>01</v>
      </c>
      <c r="S70" t="str">
        <f>MID('paste from garc here'!$C$1,1+(('table for research'!$B70-1)*36+HEX2DEC('table for research'!S$1))*2,2)</f>
        <v>02</v>
      </c>
      <c r="T70" t="str">
        <f>MID('paste from garc here'!$C$1,1+(('table for research'!$B70-1)*36+HEX2DEC('table for research'!T$1))*2,2)</f>
        <v>10</v>
      </c>
      <c r="U70" t="str">
        <f>MID('paste from garc here'!$C$1,1+(('table for research'!$B70-1)*36+HEX2DEC('table for research'!U$1))*2,2)</f>
        <v>78</v>
      </c>
      <c r="V70" t="str">
        <f>MID('paste from garc here'!$C$1,1+(('table for research'!$B70-1)*36+HEX2DEC('table for research'!V$1))*2,2)</f>
        <v>00</v>
      </c>
      <c r="W70" t="str">
        <f>MID('paste from garc here'!$C$1,1+(('table for research'!$B70-1)*36+HEX2DEC('table for research'!W$1))*2,2)</f>
        <v>00</v>
      </c>
      <c r="X70" t="str">
        <f>MID('paste from garc here'!$C$1,1+(('table for research'!$B70-1)*36+HEX2DEC('table for research'!X$1))*2,2)</f>
        <v>00</v>
      </c>
      <c r="Y70" t="str">
        <f>MID('paste from garc here'!$C$1,1+(('table for research'!$B70-1)*36+HEX2DEC('table for research'!Y$1))*2,2)</f>
        <v>00</v>
      </c>
      <c r="Z70" t="str">
        <f>MID('paste from garc here'!$C$1,1+(('table for research'!$B70-1)*36+HEX2DEC('table for research'!Z$1))*2,2)</f>
        <v>00</v>
      </c>
      <c r="AA70" t="str">
        <f>MID('paste from garc here'!$C$1,1+(('table for research'!$B70-1)*36+HEX2DEC('table for research'!AA$1))*2,2)</f>
        <v>00</v>
      </c>
      <c r="AB70" t="str">
        <f>MID('paste from garc here'!$C$1,1+(('table for research'!$B70-1)*36+HEX2DEC('table for research'!AB$1))*2,2)</f>
        <v>00</v>
      </c>
      <c r="AC70" t="str">
        <f>MID('paste from garc here'!$C$1,1+(('table for research'!$B70-1)*36+HEX2DEC('table for research'!AC$1))*2,2)</f>
        <v>00</v>
      </c>
      <c r="AD70" t="str">
        <f>MID('paste from garc here'!$C$1,1+(('table for research'!$B70-1)*36+HEX2DEC('table for research'!AD$1))*2,2)</f>
        <v>00</v>
      </c>
      <c r="AE70" t="str">
        <f>MID('paste from garc here'!$C$1,1+(('table for research'!$B70-1)*36+HEX2DEC('table for research'!AE$1))*2,2)</f>
        <v>00</v>
      </c>
      <c r="AF70" t="str">
        <f>MID('paste from garc here'!$C$1,1+(('table for research'!$B70-1)*36+HEX2DEC('table for research'!AF$1))*2,2)</f>
        <v>00</v>
      </c>
      <c r="AG70" t="str">
        <f>MID('paste from garc here'!$C$1,1+(('table for research'!$B70-1)*36+HEX2DEC('table for research'!AG$1))*2,2)</f>
        <v>00</v>
      </c>
      <c r="AH70" t="str">
        <f>MID('paste from garc here'!$C$1,1+(('table for research'!$B70-1)*36+HEX2DEC('table for research'!AH$1))*2,2)</f>
        <v>00</v>
      </c>
      <c r="AI70" t="str">
        <f>MID('paste from garc here'!$C$1,1+(('table for research'!$B70-1)*36+HEX2DEC('table for research'!AI$1))*2,2)</f>
        <v>00</v>
      </c>
      <c r="AJ70" t="str">
        <f>MID('paste from garc here'!$C$1,1+(('table for research'!$B70-1)*36+HEX2DEC('table for research'!AJ$1))*2,2)</f>
        <v>00</v>
      </c>
      <c r="AK70" t="str">
        <f>MID('paste from garc here'!$C$1,1+(('table for research'!$B70-1)*36+HEX2DEC('table for research'!AK$1))*2,2)</f>
        <v>00</v>
      </c>
      <c r="AL70" t="str">
        <f>MID('paste from garc here'!$C$1,1+(('table for research'!$B70-1)*36+HEX2DEC('table for research'!AL$1))*2,2)</f>
        <v>00</v>
      </c>
      <c r="AM70" t="str">
        <f>MID('paste from garc here'!$C$1,1+(('table for research'!$B70-1)*36+HEX2DEC('table for research'!AM$1))*2,2)</f>
        <v>00</v>
      </c>
      <c r="AN70" t="str">
        <f>MID('paste from garc here'!$C$1,1+(('table for research'!$B70-1)*36+HEX2DEC('table for research'!AN$1))*2,2)</f>
        <v>00</v>
      </c>
      <c r="AO70" t="str">
        <f>MID('paste from garc here'!$C$1,1+(('table for research'!$B70-1)*36+HEX2DEC('table for research'!AO$1))*2,2)</f>
        <v>00</v>
      </c>
    </row>
    <row r="71" spans="1:41" x14ac:dyDescent="0.4">
      <c r="A71" t="s">
        <v>83</v>
      </c>
      <c r="B71">
        <f>B70+1</f>
        <v>69</v>
      </c>
      <c r="C71" t="str">
        <f>MID('paste from garc here'!$C$1,1+(('table for research'!$B71-1)*36+HEX2DEC('table for research'!C$1))*2,2)</f>
        <v>02</v>
      </c>
      <c r="D71" t="str">
        <f>MID('paste from garc here'!$C$1,1+(('table for research'!$B71-1)*36+HEX2DEC('table for research'!D$1))*2,2)</f>
        <v>00</v>
      </c>
      <c r="E71" t="str">
        <f>MID('paste from garc here'!$C$1,1+(('table for research'!$B71-1)*36+HEX2DEC('table for research'!E$1))*2,2)</f>
        <v>00</v>
      </c>
      <c r="F71" t="str">
        <f>MID('paste from garc here'!$C$1,1+(('table for research'!$B71-1)*36+HEX2DEC('table for research'!F$1))*2,2)</f>
        <v>00</v>
      </c>
      <c r="G71" t="str">
        <f>MID('paste from garc here'!$C$1,1+(('table for research'!$B71-1)*36+HEX2DEC('table for research'!G$1))*2,2)</f>
        <v>00</v>
      </c>
      <c r="H71" t="str">
        <f>MID('paste from garc here'!$C$1,1+(('table for research'!$B71-1)*36+HEX2DEC('table for research'!H$1))*2,2)</f>
        <v>00</v>
      </c>
      <c r="I71" t="str">
        <f>MID('paste from garc here'!$C$1,1+(('table for research'!$B71-1)*36+HEX2DEC('table for research'!I$1))*2,2)</f>
        <v>1E</v>
      </c>
      <c r="J71" t="str">
        <f>MID('paste from garc here'!$C$1,1+(('table for research'!$B71-1)*36+HEX2DEC('table for research'!J$1))*2,2)</f>
        <v>00</v>
      </c>
      <c r="K71" t="str">
        <f>DEC2HEX(_xlfn.BITAND(HEX2DEC(MID('paste from garc here'!$C$1,1+(('table for research'!$B71-1)*36+HEX2DEC(8))*2,2)),31),2)</f>
        <v>1F</v>
      </c>
      <c r="L71" t="str">
        <f>DEC2HEX(_xlfn.BITAND(HEX2DEC(MID('paste from garc here'!$C$1,1+(('table for research'!$B71-1)*36+HEX2DEC(8))*2,2)),32),2)</f>
        <v>00</v>
      </c>
      <c r="M71" t="str">
        <f>DEC2HEX(_xlfn.BITAND(HEX2DEC(MID('paste from garc here'!$C$1,1+(('table for research'!$B71-1)*36+HEX2DEC(8))*2,2)),64),2)</f>
        <v>00</v>
      </c>
      <c r="N71" t="str">
        <f>DEC2HEX(_xlfn.BITRSHIFT(_xlfn.BITAND(HEX2DEC(MID('paste from garc here'!$C$1,1+(('table for research'!$B71-1)*36+HEX2DEC(9))*2,2)&amp;MID('paste from garc here'!$C$1,1+(('table for research'!$B71-1)*36+HEX2DEC(8))*2,2)),1920),7),2)</f>
        <v>00</v>
      </c>
      <c r="O71" t="str">
        <f>DEC2HEX(_xlfn.BITRSHIFT(HEX2DEC(MID('paste from garc here'!$C$1,1+(('table for research'!$B71-1)*36+HEX2DEC(9))*2,2)&amp;MID('paste from garc here'!$C$1,1+(('table for research'!$B71-1)*36+HEX2DEC(8))*2,2)),11),2)</f>
        <v>00</v>
      </c>
      <c r="P71" t="str">
        <f>MID('paste from garc here'!$C$1,1+(('table for research'!$B71-1)*36+HEX2DEC('table for research'!P$1))*2,2)</f>
        <v>0A</v>
      </c>
      <c r="Q71" t="str">
        <f>MID('paste from garc here'!$C$1,1+(('table for research'!$B71-1)*36+HEX2DEC('table for research'!Q$1))*2,2)</f>
        <v>00</v>
      </c>
      <c r="R71" t="str">
        <f>MID('paste from garc here'!$C$1,1+(('table for research'!$B71-1)*36+HEX2DEC('table for research'!R$1))*2,2)</f>
        <v>01</v>
      </c>
      <c r="S71" t="str">
        <f>MID('paste from garc here'!$C$1,1+(('table for research'!$B71-1)*36+HEX2DEC('table for research'!S$1))*2,2)</f>
        <v>02</v>
      </c>
      <c r="T71" t="str">
        <f>MID('paste from garc here'!$C$1,1+(('table for research'!$B71-1)*36+HEX2DEC('table for research'!T$1))*2,2)</f>
        <v>10</v>
      </c>
      <c r="U71" t="str">
        <f>MID('paste from garc here'!$C$1,1+(('table for research'!$B71-1)*36+HEX2DEC('table for research'!U$1))*2,2)</f>
        <v>79</v>
      </c>
      <c r="V71" t="str">
        <f>MID('paste from garc here'!$C$1,1+(('table for research'!$B71-1)*36+HEX2DEC('table for research'!V$1))*2,2)</f>
        <v>00</v>
      </c>
      <c r="W71" t="str">
        <f>MID('paste from garc here'!$C$1,1+(('table for research'!$B71-1)*36+HEX2DEC('table for research'!W$1))*2,2)</f>
        <v>00</v>
      </c>
      <c r="X71" t="str">
        <f>MID('paste from garc here'!$C$1,1+(('table for research'!$B71-1)*36+HEX2DEC('table for research'!X$1))*2,2)</f>
        <v>00</v>
      </c>
      <c r="Y71" t="str">
        <f>MID('paste from garc here'!$C$1,1+(('table for research'!$B71-1)*36+HEX2DEC('table for research'!Y$1))*2,2)</f>
        <v>00</v>
      </c>
      <c r="Z71" t="str">
        <f>MID('paste from garc here'!$C$1,1+(('table for research'!$B71-1)*36+HEX2DEC('table for research'!Z$1))*2,2)</f>
        <v>00</v>
      </c>
      <c r="AA71" t="str">
        <f>MID('paste from garc here'!$C$1,1+(('table for research'!$B71-1)*36+HEX2DEC('table for research'!AA$1))*2,2)</f>
        <v>00</v>
      </c>
      <c r="AB71" t="str">
        <f>MID('paste from garc here'!$C$1,1+(('table for research'!$B71-1)*36+HEX2DEC('table for research'!AB$1))*2,2)</f>
        <v>00</v>
      </c>
      <c r="AC71" t="str">
        <f>MID('paste from garc here'!$C$1,1+(('table for research'!$B71-1)*36+HEX2DEC('table for research'!AC$1))*2,2)</f>
        <v>00</v>
      </c>
      <c r="AD71" t="str">
        <f>MID('paste from garc here'!$C$1,1+(('table for research'!$B71-1)*36+HEX2DEC('table for research'!AD$1))*2,2)</f>
        <v>00</v>
      </c>
      <c r="AE71" t="str">
        <f>MID('paste from garc here'!$C$1,1+(('table for research'!$B71-1)*36+HEX2DEC('table for research'!AE$1))*2,2)</f>
        <v>00</v>
      </c>
      <c r="AF71" t="str">
        <f>MID('paste from garc here'!$C$1,1+(('table for research'!$B71-1)*36+HEX2DEC('table for research'!AF$1))*2,2)</f>
        <v>00</v>
      </c>
      <c r="AG71" t="str">
        <f>MID('paste from garc here'!$C$1,1+(('table for research'!$B71-1)*36+HEX2DEC('table for research'!AG$1))*2,2)</f>
        <v>00</v>
      </c>
      <c r="AH71" t="str">
        <f>MID('paste from garc here'!$C$1,1+(('table for research'!$B71-1)*36+HEX2DEC('table for research'!AH$1))*2,2)</f>
        <v>00</v>
      </c>
      <c r="AI71" t="str">
        <f>MID('paste from garc here'!$C$1,1+(('table for research'!$B71-1)*36+HEX2DEC('table for research'!AI$1))*2,2)</f>
        <v>00</v>
      </c>
      <c r="AJ71" t="str">
        <f>MID('paste from garc here'!$C$1,1+(('table for research'!$B71-1)*36+HEX2DEC('table for research'!AJ$1))*2,2)</f>
        <v>00</v>
      </c>
      <c r="AK71" t="str">
        <f>MID('paste from garc here'!$C$1,1+(('table for research'!$B71-1)*36+HEX2DEC('table for research'!AK$1))*2,2)</f>
        <v>00</v>
      </c>
      <c r="AL71" t="str">
        <f>MID('paste from garc here'!$C$1,1+(('table for research'!$B71-1)*36+HEX2DEC('table for research'!AL$1))*2,2)</f>
        <v>00</v>
      </c>
      <c r="AM71" t="str">
        <f>MID('paste from garc here'!$C$1,1+(('table for research'!$B71-1)*36+HEX2DEC('table for research'!AM$1))*2,2)</f>
        <v>00</v>
      </c>
      <c r="AN71" t="str">
        <f>MID('paste from garc here'!$C$1,1+(('table for research'!$B71-1)*36+HEX2DEC('table for research'!AN$1))*2,2)</f>
        <v>00</v>
      </c>
      <c r="AO71" t="str">
        <f>MID('paste from garc here'!$C$1,1+(('table for research'!$B71-1)*36+HEX2DEC('table for research'!AO$1))*2,2)</f>
        <v>00</v>
      </c>
    </row>
    <row r="72" spans="1:41" x14ac:dyDescent="0.4">
      <c r="A72" t="s">
        <v>84</v>
      </c>
      <c r="B72">
        <f>B71+1</f>
        <v>70</v>
      </c>
      <c r="C72" t="str">
        <f>MID('paste from garc here'!$C$1,1+(('table for research'!$B72-1)*36+HEX2DEC('table for research'!C$1))*2,2)</f>
        <v>02</v>
      </c>
      <c r="D72" t="str">
        <f>MID('paste from garc here'!$C$1,1+(('table for research'!$B72-1)*36+HEX2DEC('table for research'!D$1))*2,2)</f>
        <v>00</v>
      </c>
      <c r="E72" t="str">
        <f>MID('paste from garc here'!$C$1,1+(('table for research'!$B72-1)*36+HEX2DEC('table for research'!E$1))*2,2)</f>
        <v>00</v>
      </c>
      <c r="F72" t="str">
        <f>MID('paste from garc here'!$C$1,1+(('table for research'!$B72-1)*36+HEX2DEC('table for research'!F$1))*2,2)</f>
        <v>00</v>
      </c>
      <c r="G72" t="str">
        <f>MID('paste from garc here'!$C$1,1+(('table for research'!$B72-1)*36+HEX2DEC('table for research'!G$1))*2,2)</f>
        <v>00</v>
      </c>
      <c r="H72" t="str">
        <f>MID('paste from garc here'!$C$1,1+(('table for research'!$B72-1)*36+HEX2DEC('table for research'!H$1))*2,2)</f>
        <v>00</v>
      </c>
      <c r="I72" t="str">
        <f>MID('paste from garc here'!$C$1,1+(('table for research'!$B72-1)*36+HEX2DEC('table for research'!I$1))*2,2)</f>
        <v>1E</v>
      </c>
      <c r="J72" t="str">
        <f>MID('paste from garc here'!$C$1,1+(('table for research'!$B72-1)*36+HEX2DEC('table for research'!J$1))*2,2)</f>
        <v>00</v>
      </c>
      <c r="K72" t="str">
        <f>DEC2HEX(_xlfn.BITAND(HEX2DEC(MID('paste from garc here'!$C$1,1+(('table for research'!$B72-1)*36+HEX2DEC(8))*2,2)),31),2)</f>
        <v>1F</v>
      </c>
      <c r="L72" t="str">
        <f>DEC2HEX(_xlfn.BITAND(HEX2DEC(MID('paste from garc here'!$C$1,1+(('table for research'!$B72-1)*36+HEX2DEC(8))*2,2)),32),2)</f>
        <v>00</v>
      </c>
      <c r="M72" t="str">
        <f>DEC2HEX(_xlfn.BITAND(HEX2DEC(MID('paste from garc here'!$C$1,1+(('table for research'!$B72-1)*36+HEX2DEC(8))*2,2)),64),2)</f>
        <v>00</v>
      </c>
      <c r="N72" t="str">
        <f>DEC2HEX(_xlfn.BITRSHIFT(_xlfn.BITAND(HEX2DEC(MID('paste from garc here'!$C$1,1+(('table for research'!$B72-1)*36+HEX2DEC(9))*2,2)&amp;MID('paste from garc here'!$C$1,1+(('table for research'!$B72-1)*36+HEX2DEC(8))*2,2)),1920),7),2)</f>
        <v>00</v>
      </c>
      <c r="O72" t="str">
        <f>DEC2HEX(_xlfn.BITRSHIFT(HEX2DEC(MID('paste from garc here'!$C$1,1+(('table for research'!$B72-1)*36+HEX2DEC(9))*2,2)&amp;MID('paste from garc here'!$C$1,1+(('table for research'!$B72-1)*36+HEX2DEC(8))*2,2)),11),2)</f>
        <v>00</v>
      </c>
      <c r="P72" t="str">
        <f>MID('paste from garc here'!$C$1,1+(('table for research'!$B72-1)*36+HEX2DEC('table for research'!P$1))*2,2)</f>
        <v>00</v>
      </c>
      <c r="Q72" t="str">
        <f>MID('paste from garc here'!$C$1,1+(('table for research'!$B72-1)*36+HEX2DEC('table for research'!Q$1))*2,2)</f>
        <v>00</v>
      </c>
      <c r="R72" t="str">
        <f>MID('paste from garc here'!$C$1,1+(('table for research'!$B72-1)*36+HEX2DEC('table for research'!R$1))*2,2)</f>
        <v>01</v>
      </c>
      <c r="S72" t="str">
        <f>MID('paste from garc here'!$C$1,1+(('table for research'!$B72-1)*36+HEX2DEC('table for research'!S$1))*2,2)</f>
        <v>02</v>
      </c>
      <c r="T72" t="str">
        <f>MID('paste from garc here'!$C$1,1+(('table for research'!$B72-1)*36+HEX2DEC('table for research'!T$1))*2,2)</f>
        <v>00</v>
      </c>
      <c r="U72" t="str">
        <f>MID('paste from garc here'!$C$1,1+(('table for research'!$B72-1)*36+HEX2DEC('table for research'!U$1))*2,2)</f>
        <v>18</v>
      </c>
      <c r="V72" t="str">
        <f>MID('paste from garc here'!$C$1,1+(('table for research'!$B72-1)*36+HEX2DEC('table for research'!V$1))*2,2)</f>
        <v>00</v>
      </c>
      <c r="W72" t="str">
        <f>MID('paste from garc here'!$C$1,1+(('table for research'!$B72-1)*36+HEX2DEC('table for research'!W$1))*2,2)</f>
        <v>00</v>
      </c>
      <c r="X72" t="str">
        <f>MID('paste from garc here'!$C$1,1+(('table for research'!$B72-1)*36+HEX2DEC('table for research'!X$1))*2,2)</f>
        <v>00</v>
      </c>
      <c r="Y72" t="str">
        <f>MID('paste from garc here'!$C$1,1+(('table for research'!$B72-1)*36+HEX2DEC('table for research'!Y$1))*2,2)</f>
        <v>00</v>
      </c>
      <c r="Z72" t="str">
        <f>MID('paste from garc here'!$C$1,1+(('table for research'!$B72-1)*36+HEX2DEC('table for research'!Z$1))*2,2)</f>
        <v>00</v>
      </c>
      <c r="AA72" t="str">
        <f>MID('paste from garc here'!$C$1,1+(('table for research'!$B72-1)*36+HEX2DEC('table for research'!AA$1))*2,2)</f>
        <v>00</v>
      </c>
      <c r="AB72" t="str">
        <f>MID('paste from garc here'!$C$1,1+(('table for research'!$B72-1)*36+HEX2DEC('table for research'!AB$1))*2,2)</f>
        <v>00</v>
      </c>
      <c r="AC72" t="str">
        <f>MID('paste from garc here'!$C$1,1+(('table for research'!$B72-1)*36+HEX2DEC('table for research'!AC$1))*2,2)</f>
        <v>00</v>
      </c>
      <c r="AD72" t="str">
        <f>MID('paste from garc here'!$C$1,1+(('table for research'!$B72-1)*36+HEX2DEC('table for research'!AD$1))*2,2)</f>
        <v>00</v>
      </c>
      <c r="AE72" t="str">
        <f>MID('paste from garc here'!$C$1,1+(('table for research'!$B72-1)*36+HEX2DEC('table for research'!AE$1))*2,2)</f>
        <v>00</v>
      </c>
      <c r="AF72" t="str">
        <f>MID('paste from garc here'!$C$1,1+(('table for research'!$B72-1)*36+HEX2DEC('table for research'!AF$1))*2,2)</f>
        <v>00</v>
      </c>
      <c r="AG72" t="str">
        <f>MID('paste from garc here'!$C$1,1+(('table for research'!$B72-1)*36+HEX2DEC('table for research'!AG$1))*2,2)</f>
        <v>00</v>
      </c>
      <c r="AH72" t="str">
        <f>MID('paste from garc here'!$C$1,1+(('table for research'!$B72-1)*36+HEX2DEC('table for research'!AH$1))*2,2)</f>
        <v>00</v>
      </c>
      <c r="AI72" t="str">
        <f>MID('paste from garc here'!$C$1,1+(('table for research'!$B72-1)*36+HEX2DEC('table for research'!AI$1))*2,2)</f>
        <v>00</v>
      </c>
      <c r="AJ72" t="str">
        <f>MID('paste from garc here'!$C$1,1+(('table for research'!$B72-1)*36+HEX2DEC('table for research'!AJ$1))*2,2)</f>
        <v>00</v>
      </c>
      <c r="AK72" t="str">
        <f>MID('paste from garc here'!$C$1,1+(('table for research'!$B72-1)*36+HEX2DEC('table for research'!AK$1))*2,2)</f>
        <v>00</v>
      </c>
      <c r="AL72" t="str">
        <f>MID('paste from garc here'!$C$1,1+(('table for research'!$B72-1)*36+HEX2DEC('table for research'!AL$1))*2,2)</f>
        <v>00</v>
      </c>
      <c r="AM72" t="str">
        <f>MID('paste from garc here'!$C$1,1+(('table for research'!$B72-1)*36+HEX2DEC('table for research'!AM$1))*2,2)</f>
        <v>00</v>
      </c>
      <c r="AN72" t="str">
        <f>MID('paste from garc here'!$C$1,1+(('table for research'!$B72-1)*36+HEX2DEC('table for research'!AN$1))*2,2)</f>
        <v>00</v>
      </c>
      <c r="AO72" t="str">
        <f>MID('paste from garc here'!$C$1,1+(('table for research'!$B72-1)*36+HEX2DEC('table for research'!AO$1))*2,2)</f>
        <v>00</v>
      </c>
    </row>
    <row r="73" spans="1:41" x14ac:dyDescent="0.4">
      <c r="A73" t="s">
        <v>85</v>
      </c>
      <c r="B73">
        <f>B72+1</f>
        <v>71</v>
      </c>
      <c r="C73" t="str">
        <f>MID('paste from garc here'!$C$1,1+(('table for research'!$B73-1)*36+HEX2DEC('table for research'!C$1))*2,2)</f>
        <v>02</v>
      </c>
      <c r="D73" t="str">
        <f>MID('paste from garc here'!$C$1,1+(('table for research'!$B73-1)*36+HEX2DEC('table for research'!D$1))*2,2)</f>
        <v>00</v>
      </c>
      <c r="E73" t="str">
        <f>MID('paste from garc here'!$C$1,1+(('table for research'!$B73-1)*36+HEX2DEC('table for research'!E$1))*2,2)</f>
        <v>00</v>
      </c>
      <c r="F73" t="str">
        <f>MID('paste from garc here'!$C$1,1+(('table for research'!$B73-1)*36+HEX2DEC('table for research'!F$1))*2,2)</f>
        <v>00</v>
      </c>
      <c r="G73" t="str">
        <f>MID('paste from garc here'!$C$1,1+(('table for research'!$B73-1)*36+HEX2DEC('table for research'!G$1))*2,2)</f>
        <v>00</v>
      </c>
      <c r="H73" t="str">
        <f>MID('paste from garc here'!$C$1,1+(('table for research'!$B73-1)*36+HEX2DEC('table for research'!H$1))*2,2)</f>
        <v>00</v>
      </c>
      <c r="I73" t="str">
        <f>MID('paste from garc here'!$C$1,1+(('table for research'!$B73-1)*36+HEX2DEC('table for research'!I$1))*2,2)</f>
        <v>1E</v>
      </c>
      <c r="J73" t="str">
        <f>MID('paste from garc here'!$C$1,1+(('table for research'!$B73-1)*36+HEX2DEC('table for research'!J$1))*2,2)</f>
        <v>00</v>
      </c>
      <c r="K73" t="str">
        <f>DEC2HEX(_xlfn.BITAND(HEX2DEC(MID('paste from garc here'!$C$1,1+(('table for research'!$B73-1)*36+HEX2DEC(8))*2,2)),31),2)</f>
        <v>1F</v>
      </c>
      <c r="L73" t="str">
        <f>DEC2HEX(_xlfn.BITAND(HEX2DEC(MID('paste from garc here'!$C$1,1+(('table for research'!$B73-1)*36+HEX2DEC(8))*2,2)),32),2)</f>
        <v>00</v>
      </c>
      <c r="M73" t="str">
        <f>DEC2HEX(_xlfn.BITAND(HEX2DEC(MID('paste from garc here'!$C$1,1+(('table for research'!$B73-1)*36+HEX2DEC(8))*2,2)),64),2)</f>
        <v>00</v>
      </c>
      <c r="N73" t="str">
        <f>DEC2HEX(_xlfn.BITRSHIFT(_xlfn.BITAND(HEX2DEC(MID('paste from garc here'!$C$1,1+(('table for research'!$B73-1)*36+HEX2DEC(9))*2,2)&amp;MID('paste from garc here'!$C$1,1+(('table for research'!$B73-1)*36+HEX2DEC(8))*2,2)),1920),7),2)</f>
        <v>00</v>
      </c>
      <c r="O73" t="str">
        <f>DEC2HEX(_xlfn.BITRSHIFT(HEX2DEC(MID('paste from garc here'!$C$1,1+(('table for research'!$B73-1)*36+HEX2DEC(9))*2,2)&amp;MID('paste from garc here'!$C$1,1+(('table for research'!$B73-1)*36+HEX2DEC(8))*2,2)),11),2)</f>
        <v>00</v>
      </c>
      <c r="P73" t="str">
        <f>MID('paste from garc here'!$C$1,1+(('table for research'!$B73-1)*36+HEX2DEC('table for research'!P$1))*2,2)</f>
        <v>00</v>
      </c>
      <c r="Q73" t="str">
        <f>MID('paste from garc here'!$C$1,1+(('table for research'!$B73-1)*36+HEX2DEC('table for research'!Q$1))*2,2)</f>
        <v>00</v>
      </c>
      <c r="R73" t="str">
        <f>MID('paste from garc here'!$C$1,1+(('table for research'!$B73-1)*36+HEX2DEC('table for research'!R$1))*2,2)</f>
        <v>01</v>
      </c>
      <c r="S73" t="str">
        <f>MID('paste from garc here'!$C$1,1+(('table for research'!$B73-1)*36+HEX2DEC('table for research'!S$1))*2,2)</f>
        <v>02</v>
      </c>
      <c r="T73" t="str">
        <f>MID('paste from garc here'!$C$1,1+(('table for research'!$B73-1)*36+HEX2DEC('table for research'!T$1))*2,2)</f>
        <v>00</v>
      </c>
      <c r="U73" t="str">
        <f>MID('paste from garc here'!$C$1,1+(('table for research'!$B73-1)*36+HEX2DEC('table for research'!U$1))*2,2)</f>
        <v>19</v>
      </c>
      <c r="V73" t="str">
        <f>MID('paste from garc here'!$C$1,1+(('table for research'!$B73-1)*36+HEX2DEC('table for research'!V$1))*2,2)</f>
        <v>00</v>
      </c>
      <c r="W73" t="str">
        <f>MID('paste from garc here'!$C$1,1+(('table for research'!$B73-1)*36+HEX2DEC('table for research'!W$1))*2,2)</f>
        <v>00</v>
      </c>
      <c r="X73" t="str">
        <f>MID('paste from garc here'!$C$1,1+(('table for research'!$B73-1)*36+HEX2DEC('table for research'!X$1))*2,2)</f>
        <v>00</v>
      </c>
      <c r="Y73" t="str">
        <f>MID('paste from garc here'!$C$1,1+(('table for research'!$B73-1)*36+HEX2DEC('table for research'!Y$1))*2,2)</f>
        <v>00</v>
      </c>
      <c r="Z73" t="str">
        <f>MID('paste from garc here'!$C$1,1+(('table for research'!$B73-1)*36+HEX2DEC('table for research'!Z$1))*2,2)</f>
        <v>00</v>
      </c>
      <c r="AA73" t="str">
        <f>MID('paste from garc here'!$C$1,1+(('table for research'!$B73-1)*36+HEX2DEC('table for research'!AA$1))*2,2)</f>
        <v>00</v>
      </c>
      <c r="AB73" t="str">
        <f>MID('paste from garc here'!$C$1,1+(('table for research'!$B73-1)*36+HEX2DEC('table for research'!AB$1))*2,2)</f>
        <v>00</v>
      </c>
      <c r="AC73" t="str">
        <f>MID('paste from garc here'!$C$1,1+(('table for research'!$B73-1)*36+HEX2DEC('table for research'!AC$1))*2,2)</f>
        <v>00</v>
      </c>
      <c r="AD73" t="str">
        <f>MID('paste from garc here'!$C$1,1+(('table for research'!$B73-1)*36+HEX2DEC('table for research'!AD$1))*2,2)</f>
        <v>00</v>
      </c>
      <c r="AE73" t="str">
        <f>MID('paste from garc here'!$C$1,1+(('table for research'!$B73-1)*36+HEX2DEC('table for research'!AE$1))*2,2)</f>
        <v>00</v>
      </c>
      <c r="AF73" t="str">
        <f>MID('paste from garc here'!$C$1,1+(('table for research'!$B73-1)*36+HEX2DEC('table for research'!AF$1))*2,2)</f>
        <v>00</v>
      </c>
      <c r="AG73" t="str">
        <f>MID('paste from garc here'!$C$1,1+(('table for research'!$B73-1)*36+HEX2DEC('table for research'!AG$1))*2,2)</f>
        <v>00</v>
      </c>
      <c r="AH73" t="str">
        <f>MID('paste from garc here'!$C$1,1+(('table for research'!$B73-1)*36+HEX2DEC('table for research'!AH$1))*2,2)</f>
        <v>00</v>
      </c>
      <c r="AI73" t="str">
        <f>MID('paste from garc here'!$C$1,1+(('table for research'!$B73-1)*36+HEX2DEC('table for research'!AI$1))*2,2)</f>
        <v>00</v>
      </c>
      <c r="AJ73" t="str">
        <f>MID('paste from garc here'!$C$1,1+(('table for research'!$B73-1)*36+HEX2DEC('table for research'!AJ$1))*2,2)</f>
        <v>00</v>
      </c>
      <c r="AK73" t="str">
        <f>MID('paste from garc here'!$C$1,1+(('table for research'!$B73-1)*36+HEX2DEC('table for research'!AK$1))*2,2)</f>
        <v>00</v>
      </c>
      <c r="AL73" t="str">
        <f>MID('paste from garc here'!$C$1,1+(('table for research'!$B73-1)*36+HEX2DEC('table for research'!AL$1))*2,2)</f>
        <v>00</v>
      </c>
      <c r="AM73" t="str">
        <f>MID('paste from garc here'!$C$1,1+(('table for research'!$B73-1)*36+HEX2DEC('table for research'!AM$1))*2,2)</f>
        <v>00</v>
      </c>
      <c r="AN73" t="str">
        <f>MID('paste from garc here'!$C$1,1+(('table for research'!$B73-1)*36+HEX2DEC('table for research'!AN$1))*2,2)</f>
        <v>00</v>
      </c>
      <c r="AO73" t="str">
        <f>MID('paste from garc here'!$C$1,1+(('table for research'!$B73-1)*36+HEX2DEC('table for research'!AO$1))*2,2)</f>
        <v>00</v>
      </c>
    </row>
    <row r="74" spans="1:41" x14ac:dyDescent="0.4">
      <c r="A74" t="s">
        <v>86</v>
      </c>
      <c r="B74">
        <f>B73+1</f>
        <v>72</v>
      </c>
      <c r="C74" t="str">
        <f>MID('paste from garc here'!$C$1,1+(('table for research'!$B74-1)*36+HEX2DEC('table for research'!C$1))*2,2)</f>
        <v>64</v>
      </c>
      <c r="D74" t="str">
        <f>MID('paste from garc here'!$C$1,1+(('table for research'!$B74-1)*36+HEX2DEC('table for research'!D$1))*2,2)</f>
        <v>00</v>
      </c>
      <c r="E74" t="str">
        <f>MID('paste from garc here'!$C$1,1+(('table for research'!$B74-1)*36+HEX2DEC('table for research'!E$1))*2,2)</f>
        <v>00</v>
      </c>
      <c r="F74" t="str">
        <f>MID('paste from garc here'!$C$1,1+(('table for research'!$B74-1)*36+HEX2DEC('table for research'!F$1))*2,2)</f>
        <v>00</v>
      </c>
      <c r="G74" t="str">
        <f>MID('paste from garc here'!$C$1,1+(('table for research'!$B74-1)*36+HEX2DEC('table for research'!G$1))*2,2)</f>
        <v>00</v>
      </c>
      <c r="H74" t="str">
        <f>MID('paste from garc here'!$C$1,1+(('table for research'!$B74-1)*36+HEX2DEC('table for research'!H$1))*2,2)</f>
        <v>00</v>
      </c>
      <c r="I74" t="str">
        <f>MID('paste from garc here'!$C$1,1+(('table for research'!$B74-1)*36+HEX2DEC('table for research'!I$1))*2,2)</f>
        <v>1E</v>
      </c>
      <c r="J74" t="str">
        <f>MID('paste from garc here'!$C$1,1+(('table for research'!$B74-1)*36+HEX2DEC('table for research'!J$1))*2,2)</f>
        <v>00</v>
      </c>
      <c r="K74" t="str">
        <f>DEC2HEX(_xlfn.BITAND(HEX2DEC(MID('paste from garc here'!$C$1,1+(('table for research'!$B74-1)*36+HEX2DEC(8))*2,2)),31),2)</f>
        <v>1F</v>
      </c>
      <c r="L74" t="str">
        <f>DEC2HEX(_xlfn.BITAND(HEX2DEC(MID('paste from garc here'!$C$1,1+(('table for research'!$B74-1)*36+HEX2DEC(8))*2,2)),32),2)</f>
        <v>00</v>
      </c>
      <c r="M74" t="str">
        <f>DEC2HEX(_xlfn.BITAND(HEX2DEC(MID('paste from garc here'!$C$1,1+(('table for research'!$B74-1)*36+HEX2DEC(8))*2,2)),64),2)</f>
        <v>00</v>
      </c>
      <c r="N74" t="str">
        <f>DEC2HEX(_xlfn.BITRSHIFT(_xlfn.BITAND(HEX2DEC(MID('paste from garc here'!$C$1,1+(('table for research'!$B74-1)*36+HEX2DEC(9))*2,2)&amp;MID('paste from garc here'!$C$1,1+(('table for research'!$B74-1)*36+HEX2DEC(8))*2,2)),1920),7),2)</f>
        <v>00</v>
      </c>
      <c r="O74" t="str">
        <f>DEC2HEX(_xlfn.BITRSHIFT(HEX2DEC(MID('paste from garc here'!$C$1,1+(('table for research'!$B74-1)*36+HEX2DEC(9))*2,2)&amp;MID('paste from garc here'!$C$1,1+(('table for research'!$B74-1)*36+HEX2DEC(8))*2,2)),11),2)</f>
        <v>00</v>
      </c>
      <c r="P74" t="str">
        <f>MID('paste from garc here'!$C$1,1+(('table for research'!$B74-1)*36+HEX2DEC('table for research'!P$1))*2,2)</f>
        <v>00</v>
      </c>
      <c r="Q74" t="str">
        <f>MID('paste from garc here'!$C$1,1+(('table for research'!$B74-1)*36+HEX2DEC('table for research'!Q$1))*2,2)</f>
        <v>00</v>
      </c>
      <c r="R74" t="str">
        <f>MID('paste from garc here'!$C$1,1+(('table for research'!$B74-1)*36+HEX2DEC('table for research'!R$1))*2,2)</f>
        <v>01</v>
      </c>
      <c r="S74" t="str">
        <f>MID('paste from garc here'!$C$1,1+(('table for research'!$B74-1)*36+HEX2DEC('table for research'!S$1))*2,2)</f>
        <v>02</v>
      </c>
      <c r="T74" t="str">
        <f>MID('paste from garc here'!$C$1,1+(('table for research'!$B74-1)*36+HEX2DEC('table for research'!T$1))*2,2)</f>
        <v>00</v>
      </c>
      <c r="U74" t="str">
        <f>MID('paste from garc here'!$C$1,1+(('table for research'!$B74-1)*36+HEX2DEC('table for research'!U$1))*2,2)</f>
        <v>64</v>
      </c>
      <c r="V74" t="str">
        <f>MID('paste from garc here'!$C$1,1+(('table for research'!$B74-1)*36+HEX2DEC('table for research'!V$1))*2,2)</f>
        <v>00</v>
      </c>
      <c r="W74" t="str">
        <f>MID('paste from garc here'!$C$1,1+(('table for research'!$B74-1)*36+HEX2DEC('table for research'!W$1))*2,2)</f>
        <v>00</v>
      </c>
      <c r="X74" t="str">
        <f>MID('paste from garc here'!$C$1,1+(('table for research'!$B74-1)*36+HEX2DEC('table for research'!X$1))*2,2)</f>
        <v>00</v>
      </c>
      <c r="Y74" t="str">
        <f>MID('paste from garc here'!$C$1,1+(('table for research'!$B74-1)*36+HEX2DEC('table for research'!Y$1))*2,2)</f>
        <v>00</v>
      </c>
      <c r="Z74" t="str">
        <f>MID('paste from garc here'!$C$1,1+(('table for research'!$B74-1)*36+HEX2DEC('table for research'!Z$1))*2,2)</f>
        <v>00</v>
      </c>
      <c r="AA74" t="str">
        <f>MID('paste from garc here'!$C$1,1+(('table for research'!$B74-1)*36+HEX2DEC('table for research'!AA$1))*2,2)</f>
        <v>00</v>
      </c>
      <c r="AB74" t="str">
        <f>MID('paste from garc here'!$C$1,1+(('table for research'!$B74-1)*36+HEX2DEC('table for research'!AB$1))*2,2)</f>
        <v>00</v>
      </c>
      <c r="AC74" t="str">
        <f>MID('paste from garc here'!$C$1,1+(('table for research'!$B74-1)*36+HEX2DEC('table for research'!AC$1))*2,2)</f>
        <v>00</v>
      </c>
      <c r="AD74" t="str">
        <f>MID('paste from garc here'!$C$1,1+(('table for research'!$B74-1)*36+HEX2DEC('table for research'!AD$1))*2,2)</f>
        <v>00</v>
      </c>
      <c r="AE74" t="str">
        <f>MID('paste from garc here'!$C$1,1+(('table for research'!$B74-1)*36+HEX2DEC('table for research'!AE$1))*2,2)</f>
        <v>00</v>
      </c>
      <c r="AF74" t="str">
        <f>MID('paste from garc here'!$C$1,1+(('table for research'!$B74-1)*36+HEX2DEC('table for research'!AF$1))*2,2)</f>
        <v>00</v>
      </c>
      <c r="AG74" t="str">
        <f>MID('paste from garc here'!$C$1,1+(('table for research'!$B74-1)*36+HEX2DEC('table for research'!AG$1))*2,2)</f>
        <v>00</v>
      </c>
      <c r="AH74" t="str">
        <f>MID('paste from garc here'!$C$1,1+(('table for research'!$B74-1)*36+HEX2DEC('table for research'!AH$1))*2,2)</f>
        <v>00</v>
      </c>
      <c r="AI74" t="str">
        <f>MID('paste from garc here'!$C$1,1+(('table for research'!$B74-1)*36+HEX2DEC('table for research'!AI$1))*2,2)</f>
        <v>00</v>
      </c>
      <c r="AJ74" t="str">
        <f>MID('paste from garc here'!$C$1,1+(('table for research'!$B74-1)*36+HEX2DEC('table for research'!AJ$1))*2,2)</f>
        <v>00</v>
      </c>
      <c r="AK74" t="str">
        <f>MID('paste from garc here'!$C$1,1+(('table for research'!$B74-1)*36+HEX2DEC('table for research'!AK$1))*2,2)</f>
        <v>00</v>
      </c>
      <c r="AL74" t="str">
        <f>MID('paste from garc here'!$C$1,1+(('table for research'!$B74-1)*36+HEX2DEC('table for research'!AL$1))*2,2)</f>
        <v>00</v>
      </c>
      <c r="AM74" t="str">
        <f>MID('paste from garc here'!$C$1,1+(('table for research'!$B74-1)*36+HEX2DEC('table for research'!AM$1))*2,2)</f>
        <v>00</v>
      </c>
      <c r="AN74" t="str">
        <f>MID('paste from garc here'!$C$1,1+(('table for research'!$B74-1)*36+HEX2DEC('table for research'!AN$1))*2,2)</f>
        <v>00</v>
      </c>
      <c r="AO74" t="str">
        <f>MID('paste from garc here'!$C$1,1+(('table for research'!$B74-1)*36+HEX2DEC('table for research'!AO$1))*2,2)</f>
        <v>00</v>
      </c>
    </row>
    <row r="75" spans="1:41" x14ac:dyDescent="0.4">
      <c r="A75" t="s">
        <v>87</v>
      </c>
      <c r="B75">
        <f>B74+1</f>
        <v>73</v>
      </c>
      <c r="C75" t="str">
        <f>MID('paste from garc here'!$C$1,1+(('table for research'!$B75-1)*36+HEX2DEC('table for research'!C$1))*2,2)</f>
        <v>64</v>
      </c>
      <c r="D75" t="str">
        <f>MID('paste from garc here'!$C$1,1+(('table for research'!$B75-1)*36+HEX2DEC('table for research'!D$1))*2,2)</f>
        <v>00</v>
      </c>
      <c r="E75" t="str">
        <f>MID('paste from garc here'!$C$1,1+(('table for research'!$B75-1)*36+HEX2DEC('table for research'!E$1))*2,2)</f>
        <v>00</v>
      </c>
      <c r="F75" t="str">
        <f>MID('paste from garc here'!$C$1,1+(('table for research'!$B75-1)*36+HEX2DEC('table for research'!F$1))*2,2)</f>
        <v>00</v>
      </c>
      <c r="G75" t="str">
        <f>MID('paste from garc here'!$C$1,1+(('table for research'!$B75-1)*36+HEX2DEC('table for research'!G$1))*2,2)</f>
        <v>00</v>
      </c>
      <c r="H75" t="str">
        <f>MID('paste from garc here'!$C$1,1+(('table for research'!$B75-1)*36+HEX2DEC('table for research'!H$1))*2,2)</f>
        <v>00</v>
      </c>
      <c r="I75" t="str">
        <f>MID('paste from garc here'!$C$1,1+(('table for research'!$B75-1)*36+HEX2DEC('table for research'!I$1))*2,2)</f>
        <v>1E</v>
      </c>
      <c r="J75" t="str">
        <f>MID('paste from garc here'!$C$1,1+(('table for research'!$B75-1)*36+HEX2DEC('table for research'!J$1))*2,2)</f>
        <v>00</v>
      </c>
      <c r="K75" t="str">
        <f>DEC2HEX(_xlfn.BITAND(HEX2DEC(MID('paste from garc here'!$C$1,1+(('table for research'!$B75-1)*36+HEX2DEC(8))*2,2)),31),2)</f>
        <v>1F</v>
      </c>
      <c r="L75" t="str">
        <f>DEC2HEX(_xlfn.BITAND(HEX2DEC(MID('paste from garc here'!$C$1,1+(('table for research'!$B75-1)*36+HEX2DEC(8))*2,2)),32),2)</f>
        <v>00</v>
      </c>
      <c r="M75" t="str">
        <f>DEC2HEX(_xlfn.BITAND(HEX2DEC(MID('paste from garc here'!$C$1,1+(('table for research'!$B75-1)*36+HEX2DEC(8))*2,2)),64),2)</f>
        <v>00</v>
      </c>
      <c r="N75" t="str">
        <f>DEC2HEX(_xlfn.BITRSHIFT(_xlfn.BITAND(HEX2DEC(MID('paste from garc here'!$C$1,1+(('table for research'!$B75-1)*36+HEX2DEC(9))*2,2)&amp;MID('paste from garc here'!$C$1,1+(('table for research'!$B75-1)*36+HEX2DEC(8))*2,2)),1920),7),2)</f>
        <v>00</v>
      </c>
      <c r="O75" t="str">
        <f>DEC2HEX(_xlfn.BITRSHIFT(HEX2DEC(MID('paste from garc here'!$C$1,1+(('table for research'!$B75-1)*36+HEX2DEC(9))*2,2)&amp;MID('paste from garc here'!$C$1,1+(('table for research'!$B75-1)*36+HEX2DEC(8))*2,2)),11),2)</f>
        <v>00</v>
      </c>
      <c r="P75" t="str">
        <f>MID('paste from garc here'!$C$1,1+(('table for research'!$B75-1)*36+HEX2DEC('table for research'!P$1))*2,2)</f>
        <v>00</v>
      </c>
      <c r="Q75" t="str">
        <f>MID('paste from garc here'!$C$1,1+(('table for research'!$B75-1)*36+HEX2DEC('table for research'!Q$1))*2,2)</f>
        <v>00</v>
      </c>
      <c r="R75" t="str">
        <f>MID('paste from garc here'!$C$1,1+(('table for research'!$B75-1)*36+HEX2DEC('table for research'!R$1))*2,2)</f>
        <v>01</v>
      </c>
      <c r="S75" t="str">
        <f>MID('paste from garc here'!$C$1,1+(('table for research'!$B75-1)*36+HEX2DEC('table for research'!S$1))*2,2)</f>
        <v>02</v>
      </c>
      <c r="T75" t="str">
        <f>MID('paste from garc here'!$C$1,1+(('table for research'!$B75-1)*36+HEX2DEC('table for research'!T$1))*2,2)</f>
        <v>00</v>
      </c>
      <c r="U75" t="str">
        <f>MID('paste from garc here'!$C$1,1+(('table for research'!$B75-1)*36+HEX2DEC('table for research'!U$1))*2,2)</f>
        <v>65</v>
      </c>
      <c r="V75" t="str">
        <f>MID('paste from garc here'!$C$1,1+(('table for research'!$B75-1)*36+HEX2DEC('table for research'!V$1))*2,2)</f>
        <v>00</v>
      </c>
      <c r="W75" t="str">
        <f>MID('paste from garc here'!$C$1,1+(('table for research'!$B75-1)*36+HEX2DEC('table for research'!W$1))*2,2)</f>
        <v>00</v>
      </c>
      <c r="X75" t="str">
        <f>MID('paste from garc here'!$C$1,1+(('table for research'!$B75-1)*36+HEX2DEC('table for research'!X$1))*2,2)</f>
        <v>00</v>
      </c>
      <c r="Y75" t="str">
        <f>MID('paste from garc here'!$C$1,1+(('table for research'!$B75-1)*36+HEX2DEC('table for research'!Y$1))*2,2)</f>
        <v>00</v>
      </c>
      <c r="Z75" t="str">
        <f>MID('paste from garc here'!$C$1,1+(('table for research'!$B75-1)*36+HEX2DEC('table for research'!Z$1))*2,2)</f>
        <v>00</v>
      </c>
      <c r="AA75" t="str">
        <f>MID('paste from garc here'!$C$1,1+(('table for research'!$B75-1)*36+HEX2DEC('table for research'!AA$1))*2,2)</f>
        <v>00</v>
      </c>
      <c r="AB75" t="str">
        <f>MID('paste from garc here'!$C$1,1+(('table for research'!$B75-1)*36+HEX2DEC('table for research'!AB$1))*2,2)</f>
        <v>00</v>
      </c>
      <c r="AC75" t="str">
        <f>MID('paste from garc here'!$C$1,1+(('table for research'!$B75-1)*36+HEX2DEC('table for research'!AC$1))*2,2)</f>
        <v>00</v>
      </c>
      <c r="AD75" t="str">
        <f>MID('paste from garc here'!$C$1,1+(('table for research'!$B75-1)*36+HEX2DEC('table for research'!AD$1))*2,2)</f>
        <v>00</v>
      </c>
      <c r="AE75" t="str">
        <f>MID('paste from garc here'!$C$1,1+(('table for research'!$B75-1)*36+HEX2DEC('table for research'!AE$1))*2,2)</f>
        <v>00</v>
      </c>
      <c r="AF75" t="str">
        <f>MID('paste from garc here'!$C$1,1+(('table for research'!$B75-1)*36+HEX2DEC('table for research'!AF$1))*2,2)</f>
        <v>00</v>
      </c>
      <c r="AG75" t="str">
        <f>MID('paste from garc here'!$C$1,1+(('table for research'!$B75-1)*36+HEX2DEC('table for research'!AG$1))*2,2)</f>
        <v>00</v>
      </c>
      <c r="AH75" t="str">
        <f>MID('paste from garc here'!$C$1,1+(('table for research'!$B75-1)*36+HEX2DEC('table for research'!AH$1))*2,2)</f>
        <v>00</v>
      </c>
      <c r="AI75" t="str">
        <f>MID('paste from garc here'!$C$1,1+(('table for research'!$B75-1)*36+HEX2DEC('table for research'!AI$1))*2,2)</f>
        <v>00</v>
      </c>
      <c r="AJ75" t="str">
        <f>MID('paste from garc here'!$C$1,1+(('table for research'!$B75-1)*36+HEX2DEC('table for research'!AJ$1))*2,2)</f>
        <v>00</v>
      </c>
      <c r="AK75" t="str">
        <f>MID('paste from garc here'!$C$1,1+(('table for research'!$B75-1)*36+HEX2DEC('table for research'!AK$1))*2,2)</f>
        <v>00</v>
      </c>
      <c r="AL75" t="str">
        <f>MID('paste from garc here'!$C$1,1+(('table for research'!$B75-1)*36+HEX2DEC('table for research'!AL$1))*2,2)</f>
        <v>00</v>
      </c>
      <c r="AM75" t="str">
        <f>MID('paste from garc here'!$C$1,1+(('table for research'!$B75-1)*36+HEX2DEC('table for research'!AM$1))*2,2)</f>
        <v>00</v>
      </c>
      <c r="AN75" t="str">
        <f>MID('paste from garc here'!$C$1,1+(('table for research'!$B75-1)*36+HEX2DEC('table for research'!AN$1))*2,2)</f>
        <v>00</v>
      </c>
      <c r="AO75" t="str">
        <f>MID('paste from garc here'!$C$1,1+(('table for research'!$B75-1)*36+HEX2DEC('table for research'!AO$1))*2,2)</f>
        <v>00</v>
      </c>
    </row>
    <row r="76" spans="1:41" x14ac:dyDescent="0.4">
      <c r="A76" t="s">
        <v>88</v>
      </c>
      <c r="B76">
        <f>B75+1</f>
        <v>74</v>
      </c>
      <c r="C76" t="str">
        <f>MID('paste from garc here'!$C$1,1+(('table for research'!$B76-1)*36+HEX2DEC('table for research'!C$1))*2,2)</f>
        <v>64</v>
      </c>
      <c r="D76" t="str">
        <f>MID('paste from garc here'!$C$1,1+(('table for research'!$B76-1)*36+HEX2DEC('table for research'!D$1))*2,2)</f>
        <v>00</v>
      </c>
      <c r="E76" t="str">
        <f>MID('paste from garc here'!$C$1,1+(('table for research'!$B76-1)*36+HEX2DEC('table for research'!E$1))*2,2)</f>
        <v>00</v>
      </c>
      <c r="F76" t="str">
        <f>MID('paste from garc here'!$C$1,1+(('table for research'!$B76-1)*36+HEX2DEC('table for research'!F$1))*2,2)</f>
        <v>00</v>
      </c>
      <c r="G76" t="str">
        <f>MID('paste from garc here'!$C$1,1+(('table for research'!$B76-1)*36+HEX2DEC('table for research'!G$1))*2,2)</f>
        <v>00</v>
      </c>
      <c r="H76" t="str">
        <f>MID('paste from garc here'!$C$1,1+(('table for research'!$B76-1)*36+HEX2DEC('table for research'!H$1))*2,2)</f>
        <v>00</v>
      </c>
      <c r="I76" t="str">
        <f>MID('paste from garc here'!$C$1,1+(('table for research'!$B76-1)*36+HEX2DEC('table for research'!I$1))*2,2)</f>
        <v>1E</v>
      </c>
      <c r="J76" t="str">
        <f>MID('paste from garc here'!$C$1,1+(('table for research'!$B76-1)*36+HEX2DEC('table for research'!J$1))*2,2)</f>
        <v>00</v>
      </c>
      <c r="K76" t="str">
        <f>DEC2HEX(_xlfn.BITAND(HEX2DEC(MID('paste from garc here'!$C$1,1+(('table for research'!$B76-1)*36+HEX2DEC(8))*2,2)),31),2)</f>
        <v>1F</v>
      </c>
      <c r="L76" t="str">
        <f>DEC2HEX(_xlfn.BITAND(HEX2DEC(MID('paste from garc here'!$C$1,1+(('table for research'!$B76-1)*36+HEX2DEC(8))*2,2)),32),2)</f>
        <v>00</v>
      </c>
      <c r="M76" t="str">
        <f>DEC2HEX(_xlfn.BITAND(HEX2DEC(MID('paste from garc here'!$C$1,1+(('table for research'!$B76-1)*36+HEX2DEC(8))*2,2)),64),2)</f>
        <v>00</v>
      </c>
      <c r="N76" t="str">
        <f>DEC2HEX(_xlfn.BITRSHIFT(_xlfn.BITAND(HEX2DEC(MID('paste from garc here'!$C$1,1+(('table for research'!$B76-1)*36+HEX2DEC(9))*2,2)&amp;MID('paste from garc here'!$C$1,1+(('table for research'!$B76-1)*36+HEX2DEC(8))*2,2)),1920),7),2)</f>
        <v>00</v>
      </c>
      <c r="O76" t="str">
        <f>DEC2HEX(_xlfn.BITRSHIFT(HEX2DEC(MID('paste from garc here'!$C$1,1+(('table for research'!$B76-1)*36+HEX2DEC(9))*2,2)&amp;MID('paste from garc here'!$C$1,1+(('table for research'!$B76-1)*36+HEX2DEC(8))*2,2)),11),2)</f>
        <v>00</v>
      </c>
      <c r="P76" t="str">
        <f>MID('paste from garc here'!$C$1,1+(('table for research'!$B76-1)*36+HEX2DEC('table for research'!P$1))*2,2)</f>
        <v>00</v>
      </c>
      <c r="Q76" t="str">
        <f>MID('paste from garc here'!$C$1,1+(('table for research'!$B76-1)*36+HEX2DEC('table for research'!Q$1))*2,2)</f>
        <v>00</v>
      </c>
      <c r="R76" t="str">
        <f>MID('paste from garc here'!$C$1,1+(('table for research'!$B76-1)*36+HEX2DEC('table for research'!R$1))*2,2)</f>
        <v>01</v>
      </c>
      <c r="S76" t="str">
        <f>MID('paste from garc here'!$C$1,1+(('table for research'!$B76-1)*36+HEX2DEC('table for research'!S$1))*2,2)</f>
        <v>02</v>
      </c>
      <c r="T76" t="str">
        <f>MID('paste from garc here'!$C$1,1+(('table for research'!$B76-1)*36+HEX2DEC('table for research'!T$1))*2,2)</f>
        <v>00</v>
      </c>
      <c r="U76" t="str">
        <f>MID('paste from garc here'!$C$1,1+(('table for research'!$B76-1)*36+HEX2DEC('table for research'!U$1))*2,2)</f>
        <v>66</v>
      </c>
      <c r="V76" t="str">
        <f>MID('paste from garc here'!$C$1,1+(('table for research'!$B76-1)*36+HEX2DEC('table for research'!V$1))*2,2)</f>
        <v>00</v>
      </c>
      <c r="W76" t="str">
        <f>MID('paste from garc here'!$C$1,1+(('table for research'!$B76-1)*36+HEX2DEC('table for research'!W$1))*2,2)</f>
        <v>00</v>
      </c>
      <c r="X76" t="str">
        <f>MID('paste from garc here'!$C$1,1+(('table for research'!$B76-1)*36+HEX2DEC('table for research'!X$1))*2,2)</f>
        <v>00</v>
      </c>
      <c r="Y76" t="str">
        <f>MID('paste from garc here'!$C$1,1+(('table for research'!$B76-1)*36+HEX2DEC('table for research'!Y$1))*2,2)</f>
        <v>00</v>
      </c>
      <c r="Z76" t="str">
        <f>MID('paste from garc here'!$C$1,1+(('table for research'!$B76-1)*36+HEX2DEC('table for research'!Z$1))*2,2)</f>
        <v>00</v>
      </c>
      <c r="AA76" t="str">
        <f>MID('paste from garc here'!$C$1,1+(('table for research'!$B76-1)*36+HEX2DEC('table for research'!AA$1))*2,2)</f>
        <v>00</v>
      </c>
      <c r="AB76" t="str">
        <f>MID('paste from garc here'!$C$1,1+(('table for research'!$B76-1)*36+HEX2DEC('table for research'!AB$1))*2,2)</f>
        <v>00</v>
      </c>
      <c r="AC76" t="str">
        <f>MID('paste from garc here'!$C$1,1+(('table for research'!$B76-1)*36+HEX2DEC('table for research'!AC$1))*2,2)</f>
        <v>00</v>
      </c>
      <c r="AD76" t="str">
        <f>MID('paste from garc here'!$C$1,1+(('table for research'!$B76-1)*36+HEX2DEC('table for research'!AD$1))*2,2)</f>
        <v>00</v>
      </c>
      <c r="AE76" t="str">
        <f>MID('paste from garc here'!$C$1,1+(('table for research'!$B76-1)*36+HEX2DEC('table for research'!AE$1))*2,2)</f>
        <v>00</v>
      </c>
      <c r="AF76" t="str">
        <f>MID('paste from garc here'!$C$1,1+(('table for research'!$B76-1)*36+HEX2DEC('table for research'!AF$1))*2,2)</f>
        <v>00</v>
      </c>
      <c r="AG76" t="str">
        <f>MID('paste from garc here'!$C$1,1+(('table for research'!$B76-1)*36+HEX2DEC('table for research'!AG$1))*2,2)</f>
        <v>00</v>
      </c>
      <c r="AH76" t="str">
        <f>MID('paste from garc here'!$C$1,1+(('table for research'!$B76-1)*36+HEX2DEC('table for research'!AH$1))*2,2)</f>
        <v>00</v>
      </c>
      <c r="AI76" t="str">
        <f>MID('paste from garc here'!$C$1,1+(('table for research'!$B76-1)*36+HEX2DEC('table for research'!AI$1))*2,2)</f>
        <v>00</v>
      </c>
      <c r="AJ76" t="str">
        <f>MID('paste from garc here'!$C$1,1+(('table for research'!$B76-1)*36+HEX2DEC('table for research'!AJ$1))*2,2)</f>
        <v>00</v>
      </c>
      <c r="AK76" t="str">
        <f>MID('paste from garc here'!$C$1,1+(('table for research'!$B76-1)*36+HEX2DEC('table for research'!AK$1))*2,2)</f>
        <v>00</v>
      </c>
      <c r="AL76" t="str">
        <f>MID('paste from garc here'!$C$1,1+(('table for research'!$B76-1)*36+HEX2DEC('table for research'!AL$1))*2,2)</f>
        <v>00</v>
      </c>
      <c r="AM76" t="str">
        <f>MID('paste from garc here'!$C$1,1+(('table for research'!$B76-1)*36+HEX2DEC('table for research'!AM$1))*2,2)</f>
        <v>00</v>
      </c>
      <c r="AN76" t="str">
        <f>MID('paste from garc here'!$C$1,1+(('table for research'!$B76-1)*36+HEX2DEC('table for research'!AN$1))*2,2)</f>
        <v>00</v>
      </c>
      <c r="AO76" t="str">
        <f>MID('paste from garc here'!$C$1,1+(('table for research'!$B76-1)*36+HEX2DEC('table for research'!AO$1))*2,2)</f>
        <v>00</v>
      </c>
    </row>
    <row r="77" spans="1:41" x14ac:dyDescent="0.4">
      <c r="A77" t="s">
        <v>89</v>
      </c>
      <c r="B77">
        <f>B76+1</f>
        <v>75</v>
      </c>
      <c r="C77" t="str">
        <f>MID('paste from garc here'!$C$1,1+(('table for research'!$B77-1)*36+HEX2DEC('table for research'!C$1))*2,2)</f>
        <v>64</v>
      </c>
      <c r="D77" t="str">
        <f>MID('paste from garc here'!$C$1,1+(('table for research'!$B77-1)*36+HEX2DEC('table for research'!D$1))*2,2)</f>
        <v>00</v>
      </c>
      <c r="E77" t="str">
        <f>MID('paste from garc here'!$C$1,1+(('table for research'!$B77-1)*36+HEX2DEC('table for research'!E$1))*2,2)</f>
        <v>00</v>
      </c>
      <c r="F77" t="str">
        <f>MID('paste from garc here'!$C$1,1+(('table for research'!$B77-1)*36+HEX2DEC('table for research'!F$1))*2,2)</f>
        <v>00</v>
      </c>
      <c r="G77" t="str">
        <f>MID('paste from garc here'!$C$1,1+(('table for research'!$B77-1)*36+HEX2DEC('table for research'!G$1))*2,2)</f>
        <v>00</v>
      </c>
      <c r="H77" t="str">
        <f>MID('paste from garc here'!$C$1,1+(('table for research'!$B77-1)*36+HEX2DEC('table for research'!H$1))*2,2)</f>
        <v>00</v>
      </c>
      <c r="I77" t="str">
        <f>MID('paste from garc here'!$C$1,1+(('table for research'!$B77-1)*36+HEX2DEC('table for research'!I$1))*2,2)</f>
        <v>1E</v>
      </c>
      <c r="J77" t="str">
        <f>MID('paste from garc here'!$C$1,1+(('table for research'!$B77-1)*36+HEX2DEC('table for research'!J$1))*2,2)</f>
        <v>00</v>
      </c>
      <c r="K77" t="str">
        <f>DEC2HEX(_xlfn.BITAND(HEX2DEC(MID('paste from garc here'!$C$1,1+(('table for research'!$B77-1)*36+HEX2DEC(8))*2,2)),31),2)</f>
        <v>1F</v>
      </c>
      <c r="L77" t="str">
        <f>DEC2HEX(_xlfn.BITAND(HEX2DEC(MID('paste from garc here'!$C$1,1+(('table for research'!$B77-1)*36+HEX2DEC(8))*2,2)),32),2)</f>
        <v>00</v>
      </c>
      <c r="M77" t="str">
        <f>DEC2HEX(_xlfn.BITAND(HEX2DEC(MID('paste from garc here'!$C$1,1+(('table for research'!$B77-1)*36+HEX2DEC(8))*2,2)),64),2)</f>
        <v>00</v>
      </c>
      <c r="N77" t="str">
        <f>DEC2HEX(_xlfn.BITRSHIFT(_xlfn.BITAND(HEX2DEC(MID('paste from garc here'!$C$1,1+(('table for research'!$B77-1)*36+HEX2DEC(9))*2,2)&amp;MID('paste from garc here'!$C$1,1+(('table for research'!$B77-1)*36+HEX2DEC(8))*2,2)),1920),7),2)</f>
        <v>00</v>
      </c>
      <c r="O77" t="str">
        <f>DEC2HEX(_xlfn.BITRSHIFT(HEX2DEC(MID('paste from garc here'!$C$1,1+(('table for research'!$B77-1)*36+HEX2DEC(9))*2,2)&amp;MID('paste from garc here'!$C$1,1+(('table for research'!$B77-1)*36+HEX2DEC(8))*2,2)),11),2)</f>
        <v>00</v>
      </c>
      <c r="P77" t="str">
        <f>MID('paste from garc here'!$C$1,1+(('table for research'!$B77-1)*36+HEX2DEC('table for research'!P$1))*2,2)</f>
        <v>00</v>
      </c>
      <c r="Q77" t="str">
        <f>MID('paste from garc here'!$C$1,1+(('table for research'!$B77-1)*36+HEX2DEC('table for research'!Q$1))*2,2)</f>
        <v>00</v>
      </c>
      <c r="R77" t="str">
        <f>MID('paste from garc here'!$C$1,1+(('table for research'!$B77-1)*36+HEX2DEC('table for research'!R$1))*2,2)</f>
        <v>01</v>
      </c>
      <c r="S77" t="str">
        <f>MID('paste from garc here'!$C$1,1+(('table for research'!$B77-1)*36+HEX2DEC('table for research'!S$1))*2,2)</f>
        <v>02</v>
      </c>
      <c r="T77" t="str">
        <f>MID('paste from garc here'!$C$1,1+(('table for research'!$B77-1)*36+HEX2DEC('table for research'!T$1))*2,2)</f>
        <v>00</v>
      </c>
      <c r="U77" t="str">
        <f>MID('paste from garc here'!$C$1,1+(('table for research'!$B77-1)*36+HEX2DEC('table for research'!U$1))*2,2)</f>
        <v>67</v>
      </c>
      <c r="V77" t="str">
        <f>MID('paste from garc here'!$C$1,1+(('table for research'!$B77-1)*36+HEX2DEC('table for research'!V$1))*2,2)</f>
        <v>00</v>
      </c>
      <c r="W77" t="str">
        <f>MID('paste from garc here'!$C$1,1+(('table for research'!$B77-1)*36+HEX2DEC('table for research'!W$1))*2,2)</f>
        <v>00</v>
      </c>
      <c r="X77" t="str">
        <f>MID('paste from garc here'!$C$1,1+(('table for research'!$B77-1)*36+HEX2DEC('table for research'!X$1))*2,2)</f>
        <v>00</v>
      </c>
      <c r="Y77" t="str">
        <f>MID('paste from garc here'!$C$1,1+(('table for research'!$B77-1)*36+HEX2DEC('table for research'!Y$1))*2,2)</f>
        <v>00</v>
      </c>
      <c r="Z77" t="str">
        <f>MID('paste from garc here'!$C$1,1+(('table for research'!$B77-1)*36+HEX2DEC('table for research'!Z$1))*2,2)</f>
        <v>00</v>
      </c>
      <c r="AA77" t="str">
        <f>MID('paste from garc here'!$C$1,1+(('table for research'!$B77-1)*36+HEX2DEC('table for research'!AA$1))*2,2)</f>
        <v>00</v>
      </c>
      <c r="AB77" t="str">
        <f>MID('paste from garc here'!$C$1,1+(('table for research'!$B77-1)*36+HEX2DEC('table for research'!AB$1))*2,2)</f>
        <v>00</v>
      </c>
      <c r="AC77" t="str">
        <f>MID('paste from garc here'!$C$1,1+(('table for research'!$B77-1)*36+HEX2DEC('table for research'!AC$1))*2,2)</f>
        <v>00</v>
      </c>
      <c r="AD77" t="str">
        <f>MID('paste from garc here'!$C$1,1+(('table for research'!$B77-1)*36+HEX2DEC('table for research'!AD$1))*2,2)</f>
        <v>00</v>
      </c>
      <c r="AE77" t="str">
        <f>MID('paste from garc here'!$C$1,1+(('table for research'!$B77-1)*36+HEX2DEC('table for research'!AE$1))*2,2)</f>
        <v>00</v>
      </c>
      <c r="AF77" t="str">
        <f>MID('paste from garc here'!$C$1,1+(('table for research'!$B77-1)*36+HEX2DEC('table for research'!AF$1))*2,2)</f>
        <v>00</v>
      </c>
      <c r="AG77" t="str">
        <f>MID('paste from garc here'!$C$1,1+(('table for research'!$B77-1)*36+HEX2DEC('table for research'!AG$1))*2,2)</f>
        <v>00</v>
      </c>
      <c r="AH77" t="str">
        <f>MID('paste from garc here'!$C$1,1+(('table for research'!$B77-1)*36+HEX2DEC('table for research'!AH$1))*2,2)</f>
        <v>00</v>
      </c>
      <c r="AI77" t="str">
        <f>MID('paste from garc here'!$C$1,1+(('table for research'!$B77-1)*36+HEX2DEC('table for research'!AI$1))*2,2)</f>
        <v>00</v>
      </c>
      <c r="AJ77" t="str">
        <f>MID('paste from garc here'!$C$1,1+(('table for research'!$B77-1)*36+HEX2DEC('table for research'!AJ$1))*2,2)</f>
        <v>00</v>
      </c>
      <c r="AK77" t="str">
        <f>MID('paste from garc here'!$C$1,1+(('table for research'!$B77-1)*36+HEX2DEC('table for research'!AK$1))*2,2)</f>
        <v>00</v>
      </c>
      <c r="AL77" t="str">
        <f>MID('paste from garc here'!$C$1,1+(('table for research'!$B77-1)*36+HEX2DEC('table for research'!AL$1))*2,2)</f>
        <v>00</v>
      </c>
      <c r="AM77" t="str">
        <f>MID('paste from garc here'!$C$1,1+(('table for research'!$B77-1)*36+HEX2DEC('table for research'!AM$1))*2,2)</f>
        <v>00</v>
      </c>
      <c r="AN77" t="str">
        <f>MID('paste from garc here'!$C$1,1+(('table for research'!$B77-1)*36+HEX2DEC('table for research'!AN$1))*2,2)</f>
        <v>00</v>
      </c>
      <c r="AO77" t="str">
        <f>MID('paste from garc here'!$C$1,1+(('table for research'!$B77-1)*36+HEX2DEC('table for research'!AO$1))*2,2)</f>
        <v>00</v>
      </c>
    </row>
    <row r="78" spans="1:41" x14ac:dyDescent="0.4">
      <c r="A78" t="s">
        <v>90</v>
      </c>
      <c r="B78">
        <f>B77+1</f>
        <v>76</v>
      </c>
      <c r="C78" t="str">
        <f>MID('paste from garc here'!$C$1,1+(('table for research'!$B78-1)*36+HEX2DEC('table for research'!C$1))*2,2)</f>
        <v>46</v>
      </c>
      <c r="D78" t="str">
        <f>MID('paste from garc here'!$C$1,1+(('table for research'!$B78-1)*36+HEX2DEC('table for research'!D$1))*2,2)</f>
        <v>00</v>
      </c>
      <c r="E78" t="str">
        <f>MID('paste from garc here'!$C$1,1+(('table for research'!$B78-1)*36+HEX2DEC('table for research'!E$1))*2,2)</f>
        <v>00</v>
      </c>
      <c r="F78" t="str">
        <f>MID('paste from garc here'!$C$1,1+(('table for research'!$B78-1)*36+HEX2DEC('table for research'!F$1))*2,2)</f>
        <v>28</v>
      </c>
      <c r="G78" t="str">
        <f>MID('paste from garc here'!$C$1,1+(('table for research'!$B78-1)*36+HEX2DEC('table for research'!G$1))*2,2)</f>
        <v>00</v>
      </c>
      <c r="H78" t="str">
        <f>MID('paste from garc here'!$C$1,1+(('table for research'!$B78-1)*36+HEX2DEC('table for research'!H$1))*2,2)</f>
        <v>00</v>
      </c>
      <c r="I78" t="str">
        <f>MID('paste from garc here'!$C$1,1+(('table for research'!$B78-1)*36+HEX2DEC('table for research'!I$1))*2,2)</f>
        <v>1E</v>
      </c>
      <c r="J78" t="str">
        <f>MID('paste from garc here'!$C$1,1+(('table for research'!$B78-1)*36+HEX2DEC('table for research'!J$1))*2,2)</f>
        <v>00</v>
      </c>
      <c r="K78" t="str">
        <f>DEC2HEX(_xlfn.BITAND(HEX2DEC(MID('paste from garc here'!$C$1,1+(('table for research'!$B78-1)*36+HEX2DEC(8))*2,2)),31),2)</f>
        <v>1F</v>
      </c>
      <c r="L78" t="str">
        <f>DEC2HEX(_xlfn.BITAND(HEX2DEC(MID('paste from garc here'!$C$1,1+(('table for research'!$B78-1)*36+HEX2DEC(8))*2,2)),32),2)</f>
        <v>00</v>
      </c>
      <c r="M78" t="str">
        <f>DEC2HEX(_xlfn.BITAND(HEX2DEC(MID('paste from garc here'!$C$1,1+(('table for research'!$B78-1)*36+HEX2DEC(8))*2,2)),64),2)</f>
        <v>00</v>
      </c>
      <c r="N78" t="str">
        <f>DEC2HEX(_xlfn.BITRSHIFT(_xlfn.BITAND(HEX2DEC(MID('paste from garc here'!$C$1,1+(('table for research'!$B78-1)*36+HEX2DEC(9))*2,2)&amp;MID('paste from garc here'!$C$1,1+(('table for research'!$B78-1)*36+HEX2DEC(8))*2,2)),1920),7),2)</f>
        <v>00</v>
      </c>
      <c r="O78" t="str">
        <f>DEC2HEX(_xlfn.BITRSHIFT(HEX2DEC(MID('paste from garc here'!$C$1,1+(('table for research'!$B78-1)*36+HEX2DEC(9))*2,2)&amp;MID('paste from garc here'!$C$1,1+(('table for research'!$B78-1)*36+HEX2DEC(8))*2,2)),11),2)</f>
        <v>00</v>
      </c>
      <c r="P78" t="str">
        <f>MID('paste from garc here'!$C$1,1+(('table for research'!$B78-1)*36+HEX2DEC('table for research'!P$1))*2,2)</f>
        <v>05</v>
      </c>
      <c r="Q78" t="str">
        <f>MID('paste from garc here'!$C$1,1+(('table for research'!$B78-1)*36+HEX2DEC('table for research'!Q$1))*2,2)</f>
        <v>00</v>
      </c>
      <c r="R78" t="str">
        <f>MID('paste from garc here'!$C$1,1+(('table for research'!$B78-1)*36+HEX2DEC('table for research'!R$1))*2,2)</f>
        <v>01</v>
      </c>
      <c r="S78" t="str">
        <f>MID('paste from garc here'!$C$1,1+(('table for research'!$B78-1)*36+HEX2DEC('table for research'!S$1))*2,2)</f>
        <v>02</v>
      </c>
      <c r="T78" t="str">
        <f>MID('paste from garc here'!$C$1,1+(('table for research'!$B78-1)*36+HEX2DEC('table for research'!T$1))*2,2)</f>
        <v>00</v>
      </c>
      <c r="U78" t="str">
        <f>MID('paste from garc here'!$C$1,1+(('table for research'!$B78-1)*36+HEX2DEC('table for research'!U$1))*2,2)</f>
        <v>01</v>
      </c>
      <c r="V78" t="str">
        <f>MID('paste from garc here'!$C$1,1+(('table for research'!$B78-1)*36+HEX2DEC('table for research'!V$1))*2,2)</f>
        <v>00</v>
      </c>
      <c r="W78" t="str">
        <f>MID('paste from garc here'!$C$1,1+(('table for research'!$B78-1)*36+HEX2DEC('table for research'!W$1))*2,2)</f>
        <v>00</v>
      </c>
      <c r="X78" t="str">
        <f>MID('paste from garc here'!$C$1,1+(('table for research'!$B78-1)*36+HEX2DEC('table for research'!X$1))*2,2)</f>
        <v>00</v>
      </c>
      <c r="Y78" t="str">
        <f>MID('paste from garc here'!$C$1,1+(('table for research'!$B78-1)*36+HEX2DEC('table for research'!Y$1))*2,2)</f>
        <v>00</v>
      </c>
      <c r="Z78" t="str">
        <f>MID('paste from garc here'!$C$1,1+(('table for research'!$B78-1)*36+HEX2DEC('table for research'!Z$1))*2,2)</f>
        <v>00</v>
      </c>
      <c r="AA78" t="str">
        <f>MID('paste from garc here'!$C$1,1+(('table for research'!$B78-1)*36+HEX2DEC('table for research'!AA$1))*2,2)</f>
        <v>00</v>
      </c>
      <c r="AB78" t="str">
        <f>MID('paste from garc here'!$C$1,1+(('table for research'!$B78-1)*36+HEX2DEC('table for research'!AB$1))*2,2)</f>
        <v>00</v>
      </c>
      <c r="AC78" t="str">
        <f>MID('paste from garc here'!$C$1,1+(('table for research'!$B78-1)*36+HEX2DEC('table for research'!AC$1))*2,2)</f>
        <v>00</v>
      </c>
      <c r="AD78" t="str">
        <f>MID('paste from garc here'!$C$1,1+(('table for research'!$B78-1)*36+HEX2DEC('table for research'!AD$1))*2,2)</f>
        <v>00</v>
      </c>
      <c r="AE78" t="str">
        <f>MID('paste from garc here'!$C$1,1+(('table for research'!$B78-1)*36+HEX2DEC('table for research'!AE$1))*2,2)</f>
        <v>00</v>
      </c>
      <c r="AF78" t="str">
        <f>MID('paste from garc here'!$C$1,1+(('table for research'!$B78-1)*36+HEX2DEC('table for research'!AF$1))*2,2)</f>
        <v>00</v>
      </c>
      <c r="AG78" t="str">
        <f>MID('paste from garc here'!$C$1,1+(('table for research'!$B78-1)*36+HEX2DEC('table for research'!AG$1))*2,2)</f>
        <v>00</v>
      </c>
      <c r="AH78" t="str">
        <f>MID('paste from garc here'!$C$1,1+(('table for research'!$B78-1)*36+HEX2DEC('table for research'!AH$1))*2,2)</f>
        <v>00</v>
      </c>
      <c r="AI78" t="str">
        <f>MID('paste from garc here'!$C$1,1+(('table for research'!$B78-1)*36+HEX2DEC('table for research'!AI$1))*2,2)</f>
        <v>00</v>
      </c>
      <c r="AJ78" t="str">
        <f>MID('paste from garc here'!$C$1,1+(('table for research'!$B78-1)*36+HEX2DEC('table for research'!AJ$1))*2,2)</f>
        <v>00</v>
      </c>
      <c r="AK78" t="str">
        <f>MID('paste from garc here'!$C$1,1+(('table for research'!$B78-1)*36+HEX2DEC('table for research'!AK$1))*2,2)</f>
        <v>00</v>
      </c>
      <c r="AL78" t="str">
        <f>MID('paste from garc here'!$C$1,1+(('table for research'!$B78-1)*36+HEX2DEC('table for research'!AL$1))*2,2)</f>
        <v>00</v>
      </c>
      <c r="AM78" t="str">
        <f>MID('paste from garc here'!$C$1,1+(('table for research'!$B78-1)*36+HEX2DEC('table for research'!AM$1))*2,2)</f>
        <v>00</v>
      </c>
      <c r="AN78" t="str">
        <f>MID('paste from garc here'!$C$1,1+(('table for research'!$B78-1)*36+HEX2DEC('table for research'!AN$1))*2,2)</f>
        <v>00</v>
      </c>
      <c r="AO78" t="str">
        <f>MID('paste from garc here'!$C$1,1+(('table for research'!$B78-1)*36+HEX2DEC('table for research'!AO$1))*2,2)</f>
        <v>00</v>
      </c>
    </row>
    <row r="79" spans="1:41" x14ac:dyDescent="0.4">
      <c r="A79" t="s">
        <v>91</v>
      </c>
      <c r="B79">
        <f>B78+1</f>
        <v>77</v>
      </c>
      <c r="C79" t="str">
        <f>MID('paste from garc here'!$C$1,1+(('table for research'!$B79-1)*36+HEX2DEC('table for research'!C$1))*2,2)</f>
        <v>32</v>
      </c>
      <c r="D79" t="str">
        <f>MID('paste from garc here'!$C$1,1+(('table for research'!$B79-1)*36+HEX2DEC('table for research'!D$1))*2,2)</f>
        <v>00</v>
      </c>
      <c r="E79" t="str">
        <f>MID('paste from garc here'!$C$1,1+(('table for research'!$B79-1)*36+HEX2DEC('table for research'!E$1))*2,2)</f>
        <v>00</v>
      </c>
      <c r="F79" t="str">
        <f>MID('paste from garc here'!$C$1,1+(('table for research'!$B79-1)*36+HEX2DEC('table for research'!F$1))*2,2)</f>
        <v>64</v>
      </c>
      <c r="G79" t="str">
        <f>MID('paste from garc here'!$C$1,1+(('table for research'!$B79-1)*36+HEX2DEC('table for research'!G$1))*2,2)</f>
        <v>00</v>
      </c>
      <c r="H79" t="str">
        <f>MID('paste from garc here'!$C$1,1+(('table for research'!$B79-1)*36+HEX2DEC('table for research'!H$1))*2,2)</f>
        <v>00</v>
      </c>
      <c r="I79" t="str">
        <f>MID('paste from garc here'!$C$1,1+(('table for research'!$B79-1)*36+HEX2DEC('table for research'!I$1))*2,2)</f>
        <v>1E</v>
      </c>
      <c r="J79" t="str">
        <f>MID('paste from garc here'!$C$1,1+(('table for research'!$B79-1)*36+HEX2DEC('table for research'!J$1))*2,2)</f>
        <v>00</v>
      </c>
      <c r="K79" t="str">
        <f>DEC2HEX(_xlfn.BITAND(HEX2DEC(MID('paste from garc here'!$C$1,1+(('table for research'!$B79-1)*36+HEX2DEC(8))*2,2)),31),2)</f>
        <v>1F</v>
      </c>
      <c r="L79" t="str">
        <f>DEC2HEX(_xlfn.BITAND(HEX2DEC(MID('paste from garc here'!$C$1,1+(('table for research'!$B79-1)*36+HEX2DEC(8))*2,2)),32),2)</f>
        <v>00</v>
      </c>
      <c r="M79" t="str">
        <f>DEC2HEX(_xlfn.BITAND(HEX2DEC(MID('paste from garc here'!$C$1,1+(('table for research'!$B79-1)*36+HEX2DEC(8))*2,2)),64),2)</f>
        <v>00</v>
      </c>
      <c r="N79" t="str">
        <f>DEC2HEX(_xlfn.BITRSHIFT(_xlfn.BITAND(HEX2DEC(MID('paste from garc here'!$C$1,1+(('table for research'!$B79-1)*36+HEX2DEC(9))*2,2)&amp;MID('paste from garc here'!$C$1,1+(('table for research'!$B79-1)*36+HEX2DEC(8))*2,2)),1920),7),2)</f>
        <v>00</v>
      </c>
      <c r="O79" t="str">
        <f>DEC2HEX(_xlfn.BITRSHIFT(HEX2DEC(MID('paste from garc here'!$C$1,1+(('table for research'!$B79-1)*36+HEX2DEC(9))*2,2)&amp;MID('paste from garc here'!$C$1,1+(('table for research'!$B79-1)*36+HEX2DEC(8))*2,2)),11),2)</f>
        <v>00</v>
      </c>
      <c r="P79" t="str">
        <f>MID('paste from garc here'!$C$1,1+(('table for research'!$B79-1)*36+HEX2DEC('table for research'!P$1))*2,2)</f>
        <v>05</v>
      </c>
      <c r="Q79" t="str">
        <f>MID('paste from garc here'!$C$1,1+(('table for research'!$B79-1)*36+HEX2DEC('table for research'!Q$1))*2,2)</f>
        <v>00</v>
      </c>
      <c r="R79" t="str">
        <f>MID('paste from garc here'!$C$1,1+(('table for research'!$B79-1)*36+HEX2DEC('table for research'!R$1))*2,2)</f>
        <v>01</v>
      </c>
      <c r="S79" t="str">
        <f>MID('paste from garc here'!$C$1,1+(('table for research'!$B79-1)*36+HEX2DEC('table for research'!S$1))*2,2)</f>
        <v>02</v>
      </c>
      <c r="T79" t="str">
        <f>MID('paste from garc here'!$C$1,1+(('table for research'!$B79-1)*36+HEX2DEC('table for research'!T$1))*2,2)</f>
        <v>00</v>
      </c>
      <c r="U79" t="str">
        <f>MID('paste from garc here'!$C$1,1+(('table for research'!$B79-1)*36+HEX2DEC('table for research'!U$1))*2,2)</f>
        <v>00</v>
      </c>
      <c r="V79" t="str">
        <f>MID('paste from garc here'!$C$1,1+(('table for research'!$B79-1)*36+HEX2DEC('table for research'!V$1))*2,2)</f>
        <v>00</v>
      </c>
      <c r="W79" t="str">
        <f>MID('paste from garc here'!$C$1,1+(('table for research'!$B79-1)*36+HEX2DEC('table for research'!W$1))*2,2)</f>
        <v>00</v>
      </c>
      <c r="X79" t="str">
        <f>MID('paste from garc here'!$C$1,1+(('table for research'!$B79-1)*36+HEX2DEC('table for research'!X$1))*2,2)</f>
        <v>00</v>
      </c>
      <c r="Y79" t="str">
        <f>MID('paste from garc here'!$C$1,1+(('table for research'!$B79-1)*36+HEX2DEC('table for research'!Y$1))*2,2)</f>
        <v>00</v>
      </c>
      <c r="Z79" t="str">
        <f>MID('paste from garc here'!$C$1,1+(('table for research'!$B79-1)*36+HEX2DEC('table for research'!Z$1))*2,2)</f>
        <v>00</v>
      </c>
      <c r="AA79" t="str">
        <f>MID('paste from garc here'!$C$1,1+(('table for research'!$B79-1)*36+HEX2DEC('table for research'!AA$1))*2,2)</f>
        <v>00</v>
      </c>
      <c r="AB79" t="str">
        <f>MID('paste from garc here'!$C$1,1+(('table for research'!$B79-1)*36+HEX2DEC('table for research'!AB$1))*2,2)</f>
        <v>00</v>
      </c>
      <c r="AC79" t="str">
        <f>MID('paste from garc here'!$C$1,1+(('table for research'!$B79-1)*36+HEX2DEC('table for research'!AC$1))*2,2)</f>
        <v>00</v>
      </c>
      <c r="AD79" t="str">
        <f>MID('paste from garc here'!$C$1,1+(('table for research'!$B79-1)*36+HEX2DEC('table for research'!AD$1))*2,2)</f>
        <v>00</v>
      </c>
      <c r="AE79" t="str">
        <f>MID('paste from garc here'!$C$1,1+(('table for research'!$B79-1)*36+HEX2DEC('table for research'!AE$1))*2,2)</f>
        <v>00</v>
      </c>
      <c r="AF79" t="str">
        <f>MID('paste from garc here'!$C$1,1+(('table for research'!$B79-1)*36+HEX2DEC('table for research'!AF$1))*2,2)</f>
        <v>00</v>
      </c>
      <c r="AG79" t="str">
        <f>MID('paste from garc here'!$C$1,1+(('table for research'!$B79-1)*36+HEX2DEC('table for research'!AG$1))*2,2)</f>
        <v>00</v>
      </c>
      <c r="AH79" t="str">
        <f>MID('paste from garc here'!$C$1,1+(('table for research'!$B79-1)*36+HEX2DEC('table for research'!AH$1))*2,2)</f>
        <v>00</v>
      </c>
      <c r="AI79" t="str">
        <f>MID('paste from garc here'!$C$1,1+(('table for research'!$B79-1)*36+HEX2DEC('table for research'!AI$1))*2,2)</f>
        <v>00</v>
      </c>
      <c r="AJ79" t="str">
        <f>MID('paste from garc here'!$C$1,1+(('table for research'!$B79-1)*36+HEX2DEC('table for research'!AJ$1))*2,2)</f>
        <v>00</v>
      </c>
      <c r="AK79" t="str">
        <f>MID('paste from garc here'!$C$1,1+(('table for research'!$B79-1)*36+HEX2DEC('table for research'!AK$1))*2,2)</f>
        <v>00</v>
      </c>
      <c r="AL79" t="str">
        <f>MID('paste from garc here'!$C$1,1+(('table for research'!$B79-1)*36+HEX2DEC('table for research'!AL$1))*2,2)</f>
        <v>00</v>
      </c>
      <c r="AM79" t="str">
        <f>MID('paste from garc here'!$C$1,1+(('table for research'!$B79-1)*36+HEX2DEC('table for research'!AM$1))*2,2)</f>
        <v>00</v>
      </c>
      <c r="AN79" t="str">
        <f>MID('paste from garc here'!$C$1,1+(('table for research'!$B79-1)*36+HEX2DEC('table for research'!AN$1))*2,2)</f>
        <v>00</v>
      </c>
      <c r="AO79" t="str">
        <f>MID('paste from garc here'!$C$1,1+(('table for research'!$B79-1)*36+HEX2DEC('table for research'!AO$1))*2,2)</f>
        <v>00</v>
      </c>
    </row>
    <row r="80" spans="1:41" x14ac:dyDescent="0.4">
      <c r="A80" t="s">
        <v>92</v>
      </c>
      <c r="B80">
        <f>B79+1</f>
        <v>78</v>
      </c>
      <c r="C80" t="str">
        <f>MID('paste from garc here'!$C$1,1+(('table for research'!$B80-1)*36+HEX2DEC('table for research'!C$1))*2,2)</f>
        <v>64</v>
      </c>
      <c r="D80" t="str">
        <f>MID('paste from garc here'!$C$1,1+(('table for research'!$B80-1)*36+HEX2DEC('table for research'!D$1))*2,2)</f>
        <v>00</v>
      </c>
      <c r="E80" t="str">
        <f>MID('paste from garc here'!$C$1,1+(('table for research'!$B80-1)*36+HEX2DEC('table for research'!E$1))*2,2)</f>
        <v>00</v>
      </c>
      <c r="F80" t="str">
        <f>MID('paste from garc here'!$C$1,1+(('table for research'!$B80-1)*36+HEX2DEC('table for research'!F$1))*2,2)</f>
        <v>00</v>
      </c>
      <c r="G80" t="str">
        <f>MID('paste from garc here'!$C$1,1+(('table for research'!$B80-1)*36+HEX2DEC('table for research'!G$1))*2,2)</f>
        <v>00</v>
      </c>
      <c r="H80" t="str">
        <f>MID('paste from garc here'!$C$1,1+(('table for research'!$B80-1)*36+HEX2DEC('table for research'!H$1))*2,2)</f>
        <v>00</v>
      </c>
      <c r="I80" t="str">
        <f>MID('paste from garc here'!$C$1,1+(('table for research'!$B80-1)*36+HEX2DEC('table for research'!I$1))*2,2)</f>
        <v>1E</v>
      </c>
      <c r="J80" t="str">
        <f>MID('paste from garc here'!$C$1,1+(('table for research'!$B80-1)*36+HEX2DEC('table for research'!J$1))*2,2)</f>
        <v>00</v>
      </c>
      <c r="K80" t="str">
        <f>DEC2HEX(_xlfn.BITAND(HEX2DEC(MID('paste from garc here'!$C$1,1+(('table for research'!$B80-1)*36+HEX2DEC(8))*2,2)),31),2)</f>
        <v>1F</v>
      </c>
      <c r="L80" t="str">
        <f>DEC2HEX(_xlfn.BITAND(HEX2DEC(MID('paste from garc here'!$C$1,1+(('table for research'!$B80-1)*36+HEX2DEC(8))*2,2)),32),2)</f>
        <v>00</v>
      </c>
      <c r="M80" t="str">
        <f>DEC2HEX(_xlfn.BITAND(HEX2DEC(MID('paste from garc here'!$C$1,1+(('table for research'!$B80-1)*36+HEX2DEC(8))*2,2)),64),2)</f>
        <v>00</v>
      </c>
      <c r="N80" t="str">
        <f>DEC2HEX(_xlfn.BITRSHIFT(_xlfn.BITAND(HEX2DEC(MID('paste from garc here'!$C$1,1+(('table for research'!$B80-1)*36+HEX2DEC(9))*2,2)&amp;MID('paste from garc here'!$C$1,1+(('table for research'!$B80-1)*36+HEX2DEC(8))*2,2)),1920),7),2)</f>
        <v>00</v>
      </c>
      <c r="O80" t="str">
        <f>DEC2HEX(_xlfn.BITRSHIFT(HEX2DEC(MID('paste from garc here'!$C$1,1+(('table for research'!$B80-1)*36+HEX2DEC(9))*2,2)&amp;MID('paste from garc here'!$C$1,1+(('table for research'!$B80-1)*36+HEX2DEC(8))*2,2)),11),2)</f>
        <v>00</v>
      </c>
      <c r="P80" t="str">
        <f>MID('paste from garc here'!$C$1,1+(('table for research'!$B80-1)*36+HEX2DEC('table for research'!P$1))*2,2)</f>
        <v>07</v>
      </c>
      <c r="Q80" t="str">
        <f>MID('paste from garc here'!$C$1,1+(('table for research'!$B80-1)*36+HEX2DEC('table for research'!Q$1))*2,2)</f>
        <v>00</v>
      </c>
      <c r="R80" t="str">
        <f>MID('paste from garc here'!$C$1,1+(('table for research'!$B80-1)*36+HEX2DEC('table for research'!R$1))*2,2)</f>
        <v>01</v>
      </c>
      <c r="S80" t="str">
        <f>MID('paste from garc here'!$C$1,1+(('table for research'!$B80-1)*36+HEX2DEC('table for research'!S$1))*2,2)</f>
        <v>02</v>
      </c>
      <c r="T80" t="str">
        <f>MID('paste from garc here'!$C$1,1+(('table for research'!$B80-1)*36+HEX2DEC('table for research'!T$1))*2,2)</f>
        <v>00</v>
      </c>
      <c r="U80" t="str">
        <f>MID('paste from garc here'!$C$1,1+(('table for research'!$B80-1)*36+HEX2DEC('table for research'!U$1))*2,2)</f>
        <v>03</v>
      </c>
      <c r="V80" t="str">
        <f>MID('paste from garc here'!$C$1,1+(('table for research'!$B80-1)*36+HEX2DEC('table for research'!V$1))*2,2)</f>
        <v>00</v>
      </c>
      <c r="W80" t="str">
        <f>MID('paste from garc here'!$C$1,1+(('table for research'!$B80-1)*36+HEX2DEC('table for research'!W$1))*2,2)</f>
        <v>00</v>
      </c>
      <c r="X80" t="str">
        <f>MID('paste from garc here'!$C$1,1+(('table for research'!$B80-1)*36+HEX2DEC('table for research'!X$1))*2,2)</f>
        <v>00</v>
      </c>
      <c r="Y80" t="str">
        <f>MID('paste from garc here'!$C$1,1+(('table for research'!$B80-1)*36+HEX2DEC('table for research'!Y$1))*2,2)</f>
        <v>00</v>
      </c>
      <c r="Z80" t="str">
        <f>MID('paste from garc here'!$C$1,1+(('table for research'!$B80-1)*36+HEX2DEC('table for research'!Z$1))*2,2)</f>
        <v>00</v>
      </c>
      <c r="AA80" t="str">
        <f>MID('paste from garc here'!$C$1,1+(('table for research'!$B80-1)*36+HEX2DEC('table for research'!AA$1))*2,2)</f>
        <v>00</v>
      </c>
      <c r="AB80" t="str">
        <f>MID('paste from garc here'!$C$1,1+(('table for research'!$B80-1)*36+HEX2DEC('table for research'!AB$1))*2,2)</f>
        <v>00</v>
      </c>
      <c r="AC80" t="str">
        <f>MID('paste from garc here'!$C$1,1+(('table for research'!$B80-1)*36+HEX2DEC('table for research'!AC$1))*2,2)</f>
        <v>00</v>
      </c>
      <c r="AD80" t="str">
        <f>MID('paste from garc here'!$C$1,1+(('table for research'!$B80-1)*36+HEX2DEC('table for research'!AD$1))*2,2)</f>
        <v>00</v>
      </c>
      <c r="AE80" t="str">
        <f>MID('paste from garc here'!$C$1,1+(('table for research'!$B80-1)*36+HEX2DEC('table for research'!AE$1))*2,2)</f>
        <v>00</v>
      </c>
      <c r="AF80" t="str">
        <f>MID('paste from garc here'!$C$1,1+(('table for research'!$B80-1)*36+HEX2DEC('table for research'!AF$1))*2,2)</f>
        <v>00</v>
      </c>
      <c r="AG80" t="str">
        <f>MID('paste from garc here'!$C$1,1+(('table for research'!$B80-1)*36+HEX2DEC('table for research'!AG$1))*2,2)</f>
        <v>00</v>
      </c>
      <c r="AH80" t="str">
        <f>MID('paste from garc here'!$C$1,1+(('table for research'!$B80-1)*36+HEX2DEC('table for research'!AH$1))*2,2)</f>
        <v>00</v>
      </c>
      <c r="AI80" t="str">
        <f>MID('paste from garc here'!$C$1,1+(('table for research'!$B80-1)*36+HEX2DEC('table for research'!AI$1))*2,2)</f>
        <v>00</v>
      </c>
      <c r="AJ80" t="str">
        <f>MID('paste from garc here'!$C$1,1+(('table for research'!$B80-1)*36+HEX2DEC('table for research'!AJ$1))*2,2)</f>
        <v>00</v>
      </c>
      <c r="AK80" t="str">
        <f>MID('paste from garc here'!$C$1,1+(('table for research'!$B80-1)*36+HEX2DEC('table for research'!AK$1))*2,2)</f>
        <v>00</v>
      </c>
      <c r="AL80" t="str">
        <f>MID('paste from garc here'!$C$1,1+(('table for research'!$B80-1)*36+HEX2DEC('table for research'!AL$1))*2,2)</f>
        <v>00</v>
      </c>
      <c r="AM80" t="str">
        <f>MID('paste from garc here'!$C$1,1+(('table for research'!$B80-1)*36+HEX2DEC('table for research'!AM$1))*2,2)</f>
        <v>00</v>
      </c>
      <c r="AN80" t="str">
        <f>MID('paste from garc here'!$C$1,1+(('table for research'!$B80-1)*36+HEX2DEC('table for research'!AN$1))*2,2)</f>
        <v>00</v>
      </c>
      <c r="AO80" t="str">
        <f>MID('paste from garc here'!$C$1,1+(('table for research'!$B80-1)*36+HEX2DEC('table for research'!AO$1))*2,2)</f>
        <v>00</v>
      </c>
    </row>
    <row r="81" spans="1:41" x14ac:dyDescent="0.4">
      <c r="A81" t="s">
        <v>93</v>
      </c>
      <c r="B81">
        <f>B80+1</f>
        <v>79</v>
      </c>
      <c r="C81" t="str">
        <f>MID('paste from garc here'!$C$1,1+(('table for research'!$B81-1)*36+HEX2DEC('table for research'!C$1))*2,2)</f>
        <v>28</v>
      </c>
      <c r="D81" t="str">
        <f>MID('paste from garc here'!$C$1,1+(('table for research'!$B81-1)*36+HEX2DEC('table for research'!D$1))*2,2)</f>
        <v>00</v>
      </c>
      <c r="E81" t="str">
        <f>MID('paste from garc here'!$C$1,1+(('table for research'!$B81-1)*36+HEX2DEC('table for research'!E$1))*2,2)</f>
        <v>00</v>
      </c>
      <c r="F81" t="str">
        <f>MID('paste from garc here'!$C$1,1+(('table for research'!$B81-1)*36+HEX2DEC('table for research'!F$1))*2,2)</f>
        <v>14</v>
      </c>
      <c r="G81" t="str">
        <f>MID('paste from garc here'!$C$1,1+(('table for research'!$B81-1)*36+HEX2DEC('table for research'!G$1))*2,2)</f>
        <v>00</v>
      </c>
      <c r="H81" t="str">
        <f>MID('paste from garc here'!$C$1,1+(('table for research'!$B81-1)*36+HEX2DEC('table for research'!H$1))*2,2)</f>
        <v>00</v>
      </c>
      <c r="I81" t="str">
        <f>MID('paste from garc here'!$C$1,1+(('table for research'!$B81-1)*36+HEX2DEC('table for research'!I$1))*2,2)</f>
        <v>1E</v>
      </c>
      <c r="J81" t="str">
        <f>MID('paste from garc here'!$C$1,1+(('table for research'!$B81-1)*36+HEX2DEC('table for research'!J$1))*2,2)</f>
        <v>00</v>
      </c>
      <c r="K81" t="str">
        <f>DEC2HEX(_xlfn.BITAND(HEX2DEC(MID('paste from garc here'!$C$1,1+(('table for research'!$B81-1)*36+HEX2DEC(8))*2,2)),31),2)</f>
        <v>1F</v>
      </c>
      <c r="L81" t="str">
        <f>DEC2HEX(_xlfn.BITAND(HEX2DEC(MID('paste from garc here'!$C$1,1+(('table for research'!$B81-1)*36+HEX2DEC(8))*2,2)),32),2)</f>
        <v>00</v>
      </c>
      <c r="M81" t="str">
        <f>DEC2HEX(_xlfn.BITAND(HEX2DEC(MID('paste from garc here'!$C$1,1+(('table for research'!$B81-1)*36+HEX2DEC(8))*2,2)),64),2)</f>
        <v>00</v>
      </c>
      <c r="N81" t="str">
        <f>DEC2HEX(_xlfn.BITRSHIFT(_xlfn.BITAND(HEX2DEC(MID('paste from garc here'!$C$1,1+(('table for research'!$B81-1)*36+HEX2DEC(9))*2,2)&amp;MID('paste from garc here'!$C$1,1+(('table for research'!$B81-1)*36+HEX2DEC(8))*2,2)),1920),7),2)</f>
        <v>00</v>
      </c>
      <c r="O81" t="str">
        <f>DEC2HEX(_xlfn.BITRSHIFT(HEX2DEC(MID('paste from garc here'!$C$1,1+(('table for research'!$B81-1)*36+HEX2DEC(9))*2,2)&amp;MID('paste from garc here'!$C$1,1+(('table for research'!$B81-1)*36+HEX2DEC(8))*2,2)),11),2)</f>
        <v>00</v>
      </c>
      <c r="P81" t="str">
        <f>MID('paste from garc here'!$C$1,1+(('table for research'!$B81-1)*36+HEX2DEC('table for research'!P$1))*2,2)</f>
        <v>05</v>
      </c>
      <c r="Q81" t="str">
        <f>MID('paste from garc here'!$C$1,1+(('table for research'!$B81-1)*36+HEX2DEC('table for research'!Q$1))*2,2)</f>
        <v>00</v>
      </c>
      <c r="R81" t="str">
        <f>MID('paste from garc here'!$C$1,1+(('table for research'!$B81-1)*36+HEX2DEC('table for research'!R$1))*2,2)</f>
        <v>01</v>
      </c>
      <c r="S81" t="str">
        <f>MID('paste from garc here'!$C$1,1+(('table for research'!$B81-1)*36+HEX2DEC('table for research'!S$1))*2,2)</f>
        <v>02</v>
      </c>
      <c r="T81" t="str">
        <f>MID('paste from garc here'!$C$1,1+(('table for research'!$B81-1)*36+HEX2DEC('table for research'!T$1))*2,2)</f>
        <v>00</v>
      </c>
      <c r="U81" t="str">
        <f>MID('paste from garc here'!$C$1,1+(('table for research'!$B81-1)*36+HEX2DEC('table for research'!U$1))*2,2)</f>
        <v>02</v>
      </c>
      <c r="V81" t="str">
        <f>MID('paste from garc here'!$C$1,1+(('table for research'!$B81-1)*36+HEX2DEC('table for research'!V$1))*2,2)</f>
        <v>00</v>
      </c>
      <c r="W81" t="str">
        <f>MID('paste from garc here'!$C$1,1+(('table for research'!$B81-1)*36+HEX2DEC('table for research'!W$1))*2,2)</f>
        <v>00</v>
      </c>
      <c r="X81" t="str">
        <f>MID('paste from garc here'!$C$1,1+(('table for research'!$B81-1)*36+HEX2DEC('table for research'!X$1))*2,2)</f>
        <v>00</v>
      </c>
      <c r="Y81" t="str">
        <f>MID('paste from garc here'!$C$1,1+(('table for research'!$B81-1)*36+HEX2DEC('table for research'!Y$1))*2,2)</f>
        <v>00</v>
      </c>
      <c r="Z81" t="str">
        <f>MID('paste from garc here'!$C$1,1+(('table for research'!$B81-1)*36+HEX2DEC('table for research'!Z$1))*2,2)</f>
        <v>00</v>
      </c>
      <c r="AA81" t="str">
        <f>MID('paste from garc here'!$C$1,1+(('table for research'!$B81-1)*36+HEX2DEC('table for research'!AA$1))*2,2)</f>
        <v>00</v>
      </c>
      <c r="AB81" t="str">
        <f>MID('paste from garc here'!$C$1,1+(('table for research'!$B81-1)*36+HEX2DEC('table for research'!AB$1))*2,2)</f>
        <v>00</v>
      </c>
      <c r="AC81" t="str">
        <f>MID('paste from garc here'!$C$1,1+(('table for research'!$B81-1)*36+HEX2DEC('table for research'!AC$1))*2,2)</f>
        <v>00</v>
      </c>
      <c r="AD81" t="str">
        <f>MID('paste from garc here'!$C$1,1+(('table for research'!$B81-1)*36+HEX2DEC('table for research'!AD$1))*2,2)</f>
        <v>00</v>
      </c>
      <c r="AE81" t="str">
        <f>MID('paste from garc here'!$C$1,1+(('table for research'!$B81-1)*36+HEX2DEC('table for research'!AE$1))*2,2)</f>
        <v>00</v>
      </c>
      <c r="AF81" t="str">
        <f>MID('paste from garc here'!$C$1,1+(('table for research'!$B81-1)*36+HEX2DEC('table for research'!AF$1))*2,2)</f>
        <v>00</v>
      </c>
      <c r="AG81" t="str">
        <f>MID('paste from garc here'!$C$1,1+(('table for research'!$B81-1)*36+HEX2DEC('table for research'!AG$1))*2,2)</f>
        <v>00</v>
      </c>
      <c r="AH81" t="str">
        <f>MID('paste from garc here'!$C$1,1+(('table for research'!$B81-1)*36+HEX2DEC('table for research'!AH$1))*2,2)</f>
        <v>00</v>
      </c>
      <c r="AI81" t="str">
        <f>MID('paste from garc here'!$C$1,1+(('table for research'!$B81-1)*36+HEX2DEC('table for research'!AI$1))*2,2)</f>
        <v>00</v>
      </c>
      <c r="AJ81" t="str">
        <f>MID('paste from garc here'!$C$1,1+(('table for research'!$B81-1)*36+HEX2DEC('table for research'!AJ$1))*2,2)</f>
        <v>00</v>
      </c>
      <c r="AK81" t="str">
        <f>MID('paste from garc here'!$C$1,1+(('table for research'!$B81-1)*36+HEX2DEC('table for research'!AK$1))*2,2)</f>
        <v>00</v>
      </c>
      <c r="AL81" t="str">
        <f>MID('paste from garc here'!$C$1,1+(('table for research'!$B81-1)*36+HEX2DEC('table for research'!AL$1))*2,2)</f>
        <v>00</v>
      </c>
      <c r="AM81" t="str">
        <f>MID('paste from garc here'!$C$1,1+(('table for research'!$B81-1)*36+HEX2DEC('table for research'!AM$1))*2,2)</f>
        <v>00</v>
      </c>
      <c r="AN81" t="str">
        <f>MID('paste from garc here'!$C$1,1+(('table for research'!$B81-1)*36+HEX2DEC('table for research'!AN$1))*2,2)</f>
        <v>00</v>
      </c>
      <c r="AO81" t="str">
        <f>MID('paste from garc here'!$C$1,1+(('table for research'!$B81-1)*36+HEX2DEC('table for research'!AO$1))*2,2)</f>
        <v>00</v>
      </c>
    </row>
    <row r="82" spans="1:41" x14ac:dyDescent="0.4">
      <c r="A82" t="s">
        <v>94</v>
      </c>
      <c r="B82">
        <f>B81+1</f>
        <v>80</v>
      </c>
      <c r="C82" t="str">
        <f>MID('paste from garc here'!$C$1,1+(('table for research'!$B82-1)*36+HEX2DEC('table for research'!C$1))*2,2)</f>
        <v>2C</v>
      </c>
      <c r="D82" t="str">
        <f>MID('paste from garc here'!$C$1,1+(('table for research'!$B82-1)*36+HEX2DEC('table for research'!D$1))*2,2)</f>
        <v>01</v>
      </c>
      <c r="E82" t="str">
        <f>MID('paste from garc here'!$C$1,1+(('table for research'!$B82-1)*36+HEX2DEC('table for research'!E$1))*2,2)</f>
        <v>00</v>
      </c>
      <c r="F82" t="str">
        <f>MID('paste from garc here'!$C$1,1+(('table for research'!$B82-1)*36+HEX2DEC('table for research'!F$1))*2,2)</f>
        <v>00</v>
      </c>
      <c r="G82" t="str">
        <f>MID('paste from garc here'!$C$1,1+(('table for research'!$B82-1)*36+HEX2DEC('table for research'!G$1))*2,2)</f>
        <v>00</v>
      </c>
      <c r="H82" t="str">
        <f>MID('paste from garc here'!$C$1,1+(('table for research'!$B82-1)*36+HEX2DEC('table for research'!H$1))*2,2)</f>
        <v>00</v>
      </c>
      <c r="I82" t="str">
        <f>MID('paste from garc here'!$C$1,1+(('table for research'!$B82-1)*36+HEX2DEC('table for research'!I$1))*2,2)</f>
        <v>1E</v>
      </c>
      <c r="J82" t="str">
        <f>MID('paste from garc here'!$C$1,1+(('table for research'!$B82-1)*36+HEX2DEC('table for research'!J$1))*2,2)</f>
        <v>00</v>
      </c>
      <c r="K82" t="str">
        <f>DEC2HEX(_xlfn.BITAND(HEX2DEC(MID('paste from garc here'!$C$1,1+(('table for research'!$B82-1)*36+HEX2DEC(8))*2,2)),31),2)</f>
        <v>1F</v>
      </c>
      <c r="L82" t="str">
        <f>DEC2HEX(_xlfn.BITAND(HEX2DEC(MID('paste from garc here'!$C$1,1+(('table for research'!$B82-1)*36+HEX2DEC(8))*2,2)),32),2)</f>
        <v>00</v>
      </c>
      <c r="M82" t="str">
        <f>DEC2HEX(_xlfn.BITAND(HEX2DEC(MID('paste from garc here'!$C$1,1+(('table for research'!$B82-1)*36+HEX2DEC(8))*2,2)),64),2)</f>
        <v>00</v>
      </c>
      <c r="N82" t="str">
        <f>DEC2HEX(_xlfn.BITRSHIFT(_xlfn.BITAND(HEX2DEC(MID('paste from garc here'!$C$1,1+(('table for research'!$B82-1)*36+HEX2DEC(9))*2,2)&amp;MID('paste from garc here'!$C$1,1+(('table for research'!$B82-1)*36+HEX2DEC(8))*2,2)),1920),7),2)</f>
        <v>00</v>
      </c>
      <c r="O82" t="str">
        <f>DEC2HEX(_xlfn.BITRSHIFT(HEX2DEC(MID('paste from garc here'!$C$1,1+(('table for research'!$B82-1)*36+HEX2DEC(9))*2,2)&amp;MID('paste from garc here'!$C$1,1+(('table for research'!$B82-1)*36+HEX2DEC(8))*2,2)),11),2)</f>
        <v>00</v>
      </c>
      <c r="P82" t="str">
        <f>MID('paste from garc here'!$C$1,1+(('table for research'!$B82-1)*36+HEX2DEC('table for research'!P$1))*2,2)</f>
        <v>06</v>
      </c>
      <c r="Q82" t="str">
        <f>MID('paste from garc here'!$C$1,1+(('table for research'!$B82-1)*36+HEX2DEC('table for research'!Q$1))*2,2)</f>
        <v>00</v>
      </c>
      <c r="R82" t="str">
        <f>MID('paste from garc here'!$C$1,1+(('table for research'!$B82-1)*36+HEX2DEC('table for research'!R$1))*2,2)</f>
        <v>01</v>
      </c>
      <c r="S82" t="str">
        <f>MID('paste from garc here'!$C$1,1+(('table for research'!$B82-1)*36+HEX2DEC('table for research'!S$1))*2,2)</f>
        <v>02</v>
      </c>
      <c r="T82" t="str">
        <f>MID('paste from garc here'!$C$1,1+(('table for research'!$B82-1)*36+HEX2DEC('table for research'!T$1))*2,2)</f>
        <v>00</v>
      </c>
      <c r="U82" t="str">
        <f>MID('paste from garc here'!$C$1,1+(('table for research'!$B82-1)*36+HEX2DEC('table for research'!U$1))*2,2)</f>
        <v>4C</v>
      </c>
      <c r="V82" t="str">
        <f>MID('paste from garc here'!$C$1,1+(('table for research'!$B82-1)*36+HEX2DEC('table for research'!V$1))*2,2)</f>
        <v>00</v>
      </c>
      <c r="W82" t="str">
        <f>MID('paste from garc here'!$C$1,1+(('table for research'!$B82-1)*36+HEX2DEC('table for research'!W$1))*2,2)</f>
        <v>08</v>
      </c>
      <c r="X82" t="str">
        <f>MID('paste from garc here'!$C$1,1+(('table for research'!$B82-1)*36+HEX2DEC('table for research'!X$1))*2,2)</f>
        <v>00</v>
      </c>
      <c r="Y82" t="str">
        <f>MID('paste from garc here'!$C$1,1+(('table for research'!$B82-1)*36+HEX2DEC('table for research'!Y$1))*2,2)</f>
        <v>00</v>
      </c>
      <c r="Z82" t="str">
        <f>MID('paste from garc here'!$C$1,1+(('table for research'!$B82-1)*36+HEX2DEC('table for research'!Z$1))*2,2)</f>
        <v>00</v>
      </c>
      <c r="AA82" t="str">
        <f>MID('paste from garc here'!$C$1,1+(('table for research'!$B82-1)*36+HEX2DEC('table for research'!AA$1))*2,2)</f>
        <v>00</v>
      </c>
      <c r="AB82" t="str">
        <f>MID('paste from garc here'!$C$1,1+(('table for research'!$B82-1)*36+HEX2DEC('table for research'!AB$1))*2,2)</f>
        <v>00</v>
      </c>
      <c r="AC82" t="str">
        <f>MID('paste from garc here'!$C$1,1+(('table for research'!$B82-1)*36+HEX2DEC('table for research'!AC$1))*2,2)</f>
        <v>00</v>
      </c>
      <c r="AD82" t="str">
        <f>MID('paste from garc here'!$C$1,1+(('table for research'!$B82-1)*36+HEX2DEC('table for research'!AD$1))*2,2)</f>
        <v>00</v>
      </c>
      <c r="AE82" t="str">
        <f>MID('paste from garc here'!$C$1,1+(('table for research'!$B82-1)*36+HEX2DEC('table for research'!AE$1))*2,2)</f>
        <v>00</v>
      </c>
      <c r="AF82" t="str">
        <f>MID('paste from garc here'!$C$1,1+(('table for research'!$B82-1)*36+HEX2DEC('table for research'!AF$1))*2,2)</f>
        <v>00</v>
      </c>
      <c r="AG82" t="str">
        <f>MID('paste from garc here'!$C$1,1+(('table for research'!$B82-1)*36+HEX2DEC('table for research'!AG$1))*2,2)</f>
        <v>00</v>
      </c>
      <c r="AH82" t="str">
        <f>MID('paste from garc here'!$C$1,1+(('table for research'!$B82-1)*36+HEX2DEC('table for research'!AH$1))*2,2)</f>
        <v>00</v>
      </c>
      <c r="AI82" t="str">
        <f>MID('paste from garc here'!$C$1,1+(('table for research'!$B82-1)*36+HEX2DEC('table for research'!AI$1))*2,2)</f>
        <v>00</v>
      </c>
      <c r="AJ82" t="str">
        <f>MID('paste from garc here'!$C$1,1+(('table for research'!$B82-1)*36+HEX2DEC('table for research'!AJ$1))*2,2)</f>
        <v>00</v>
      </c>
      <c r="AK82" t="str">
        <f>MID('paste from garc here'!$C$1,1+(('table for research'!$B82-1)*36+HEX2DEC('table for research'!AK$1))*2,2)</f>
        <v>00</v>
      </c>
      <c r="AL82" t="str">
        <f>MID('paste from garc here'!$C$1,1+(('table for research'!$B82-1)*36+HEX2DEC('table for research'!AL$1))*2,2)</f>
        <v>00</v>
      </c>
      <c r="AM82" t="str">
        <f>MID('paste from garc here'!$C$1,1+(('table for research'!$B82-1)*36+HEX2DEC('table for research'!AM$1))*2,2)</f>
        <v>00</v>
      </c>
      <c r="AN82" t="str">
        <f>MID('paste from garc here'!$C$1,1+(('table for research'!$B82-1)*36+HEX2DEC('table for research'!AN$1))*2,2)</f>
        <v>00</v>
      </c>
      <c r="AO82" t="str">
        <f>MID('paste from garc here'!$C$1,1+(('table for research'!$B82-1)*36+HEX2DEC('table for research'!AO$1))*2,2)</f>
        <v>00</v>
      </c>
    </row>
    <row r="83" spans="1:41" x14ac:dyDescent="0.4">
      <c r="A83" t="s">
        <v>95</v>
      </c>
      <c r="B83">
        <f>B82+1</f>
        <v>81</v>
      </c>
      <c r="C83" t="str">
        <f>MID('paste from garc here'!$C$1,1+(('table for research'!$B83-1)*36+HEX2DEC('table for research'!C$1))*2,2)</f>
        <v>2C</v>
      </c>
      <c r="D83" t="str">
        <f>MID('paste from garc here'!$C$1,1+(('table for research'!$B83-1)*36+HEX2DEC('table for research'!D$1))*2,2)</f>
        <v>01</v>
      </c>
      <c r="E83" t="str">
        <f>MID('paste from garc here'!$C$1,1+(('table for research'!$B83-1)*36+HEX2DEC('table for research'!E$1))*2,2)</f>
        <v>00</v>
      </c>
      <c r="F83" t="str">
        <f>MID('paste from garc here'!$C$1,1+(('table for research'!$B83-1)*36+HEX2DEC('table for research'!F$1))*2,2)</f>
        <v>00</v>
      </c>
      <c r="G83" t="str">
        <f>MID('paste from garc here'!$C$1,1+(('table for research'!$B83-1)*36+HEX2DEC('table for research'!G$1))*2,2)</f>
        <v>00</v>
      </c>
      <c r="H83" t="str">
        <f>MID('paste from garc here'!$C$1,1+(('table for research'!$B83-1)*36+HEX2DEC('table for research'!H$1))*2,2)</f>
        <v>00</v>
      </c>
      <c r="I83" t="str">
        <f>MID('paste from garc here'!$C$1,1+(('table for research'!$B83-1)*36+HEX2DEC('table for research'!I$1))*2,2)</f>
        <v>1E</v>
      </c>
      <c r="J83" t="str">
        <f>MID('paste from garc here'!$C$1,1+(('table for research'!$B83-1)*36+HEX2DEC('table for research'!J$1))*2,2)</f>
        <v>00</v>
      </c>
      <c r="K83" t="str">
        <f>DEC2HEX(_xlfn.BITAND(HEX2DEC(MID('paste from garc here'!$C$1,1+(('table for research'!$B83-1)*36+HEX2DEC(8))*2,2)),31),2)</f>
        <v>1F</v>
      </c>
      <c r="L83" t="str">
        <f>DEC2HEX(_xlfn.BITAND(HEX2DEC(MID('paste from garc here'!$C$1,1+(('table for research'!$B83-1)*36+HEX2DEC(8))*2,2)),32),2)</f>
        <v>00</v>
      </c>
      <c r="M83" t="str">
        <f>DEC2HEX(_xlfn.BITAND(HEX2DEC(MID('paste from garc here'!$C$1,1+(('table for research'!$B83-1)*36+HEX2DEC(8))*2,2)),64),2)</f>
        <v>00</v>
      </c>
      <c r="N83" t="str">
        <f>DEC2HEX(_xlfn.BITRSHIFT(_xlfn.BITAND(HEX2DEC(MID('paste from garc here'!$C$1,1+(('table for research'!$B83-1)*36+HEX2DEC(9))*2,2)&amp;MID('paste from garc here'!$C$1,1+(('table for research'!$B83-1)*36+HEX2DEC(8))*2,2)),1920),7),2)</f>
        <v>00</v>
      </c>
      <c r="O83" t="str">
        <f>DEC2HEX(_xlfn.BITRSHIFT(HEX2DEC(MID('paste from garc here'!$C$1,1+(('table for research'!$B83-1)*36+HEX2DEC(9))*2,2)&amp;MID('paste from garc here'!$C$1,1+(('table for research'!$B83-1)*36+HEX2DEC(8))*2,2)),11),2)</f>
        <v>00</v>
      </c>
      <c r="P83" t="str">
        <f>MID('paste from garc here'!$C$1,1+(('table for research'!$B83-1)*36+HEX2DEC('table for research'!P$1))*2,2)</f>
        <v>06</v>
      </c>
      <c r="Q83" t="str">
        <f>MID('paste from garc here'!$C$1,1+(('table for research'!$B83-1)*36+HEX2DEC('table for research'!Q$1))*2,2)</f>
        <v>00</v>
      </c>
      <c r="R83" t="str">
        <f>MID('paste from garc here'!$C$1,1+(('table for research'!$B83-1)*36+HEX2DEC('table for research'!R$1))*2,2)</f>
        <v>01</v>
      </c>
      <c r="S83" t="str">
        <f>MID('paste from garc here'!$C$1,1+(('table for research'!$B83-1)*36+HEX2DEC('table for research'!S$1))*2,2)</f>
        <v>02</v>
      </c>
      <c r="T83" t="str">
        <f>MID('paste from garc here'!$C$1,1+(('table for research'!$B83-1)*36+HEX2DEC('table for research'!T$1))*2,2)</f>
        <v>00</v>
      </c>
      <c r="U83" t="str">
        <f>MID('paste from garc here'!$C$1,1+(('table for research'!$B83-1)*36+HEX2DEC('table for research'!U$1))*2,2)</f>
        <v>4D</v>
      </c>
      <c r="V83" t="str">
        <f>MID('paste from garc here'!$C$1,1+(('table for research'!$B83-1)*36+HEX2DEC('table for research'!V$1))*2,2)</f>
        <v>00</v>
      </c>
      <c r="W83" t="str">
        <f>MID('paste from garc here'!$C$1,1+(('table for research'!$B83-1)*36+HEX2DEC('table for research'!W$1))*2,2)</f>
        <v>08</v>
      </c>
      <c r="X83" t="str">
        <f>MID('paste from garc here'!$C$1,1+(('table for research'!$B83-1)*36+HEX2DEC('table for research'!X$1))*2,2)</f>
        <v>00</v>
      </c>
      <c r="Y83" t="str">
        <f>MID('paste from garc here'!$C$1,1+(('table for research'!$B83-1)*36+HEX2DEC('table for research'!Y$1))*2,2)</f>
        <v>00</v>
      </c>
      <c r="Z83" t="str">
        <f>MID('paste from garc here'!$C$1,1+(('table for research'!$B83-1)*36+HEX2DEC('table for research'!Z$1))*2,2)</f>
        <v>00</v>
      </c>
      <c r="AA83" t="str">
        <f>MID('paste from garc here'!$C$1,1+(('table for research'!$B83-1)*36+HEX2DEC('table for research'!AA$1))*2,2)</f>
        <v>00</v>
      </c>
      <c r="AB83" t="str">
        <f>MID('paste from garc here'!$C$1,1+(('table for research'!$B83-1)*36+HEX2DEC('table for research'!AB$1))*2,2)</f>
        <v>00</v>
      </c>
      <c r="AC83" t="str">
        <f>MID('paste from garc here'!$C$1,1+(('table for research'!$B83-1)*36+HEX2DEC('table for research'!AC$1))*2,2)</f>
        <v>00</v>
      </c>
      <c r="AD83" t="str">
        <f>MID('paste from garc here'!$C$1,1+(('table for research'!$B83-1)*36+HEX2DEC('table for research'!AD$1))*2,2)</f>
        <v>00</v>
      </c>
      <c r="AE83" t="str">
        <f>MID('paste from garc here'!$C$1,1+(('table for research'!$B83-1)*36+HEX2DEC('table for research'!AE$1))*2,2)</f>
        <v>00</v>
      </c>
      <c r="AF83" t="str">
        <f>MID('paste from garc here'!$C$1,1+(('table for research'!$B83-1)*36+HEX2DEC('table for research'!AF$1))*2,2)</f>
        <v>00</v>
      </c>
      <c r="AG83" t="str">
        <f>MID('paste from garc here'!$C$1,1+(('table for research'!$B83-1)*36+HEX2DEC('table for research'!AG$1))*2,2)</f>
        <v>00</v>
      </c>
      <c r="AH83" t="str">
        <f>MID('paste from garc here'!$C$1,1+(('table for research'!$B83-1)*36+HEX2DEC('table for research'!AH$1))*2,2)</f>
        <v>00</v>
      </c>
      <c r="AI83" t="str">
        <f>MID('paste from garc here'!$C$1,1+(('table for research'!$B83-1)*36+HEX2DEC('table for research'!AI$1))*2,2)</f>
        <v>00</v>
      </c>
      <c r="AJ83" t="str">
        <f>MID('paste from garc here'!$C$1,1+(('table for research'!$B83-1)*36+HEX2DEC('table for research'!AJ$1))*2,2)</f>
        <v>00</v>
      </c>
      <c r="AK83" t="str">
        <f>MID('paste from garc here'!$C$1,1+(('table for research'!$B83-1)*36+HEX2DEC('table for research'!AK$1))*2,2)</f>
        <v>00</v>
      </c>
      <c r="AL83" t="str">
        <f>MID('paste from garc here'!$C$1,1+(('table for research'!$B83-1)*36+HEX2DEC('table for research'!AL$1))*2,2)</f>
        <v>00</v>
      </c>
      <c r="AM83" t="str">
        <f>MID('paste from garc here'!$C$1,1+(('table for research'!$B83-1)*36+HEX2DEC('table for research'!AM$1))*2,2)</f>
        <v>00</v>
      </c>
      <c r="AN83" t="str">
        <f>MID('paste from garc here'!$C$1,1+(('table for research'!$B83-1)*36+HEX2DEC('table for research'!AN$1))*2,2)</f>
        <v>00</v>
      </c>
      <c r="AO83" t="str">
        <f>MID('paste from garc here'!$C$1,1+(('table for research'!$B83-1)*36+HEX2DEC('table for research'!AO$1))*2,2)</f>
        <v>00</v>
      </c>
    </row>
    <row r="84" spans="1:41" x14ac:dyDescent="0.4">
      <c r="A84" t="s">
        <v>96</v>
      </c>
      <c r="B84">
        <f>B83+1</f>
        <v>82</v>
      </c>
      <c r="C84" t="str">
        <f>MID('paste from garc here'!$C$1,1+(('table for research'!$B84-1)*36+HEX2DEC('table for research'!C$1))*2,2)</f>
        <v>2C</v>
      </c>
      <c r="D84" t="str">
        <f>MID('paste from garc here'!$C$1,1+(('table for research'!$B84-1)*36+HEX2DEC('table for research'!D$1))*2,2)</f>
        <v>01</v>
      </c>
      <c r="E84" t="str">
        <f>MID('paste from garc here'!$C$1,1+(('table for research'!$B84-1)*36+HEX2DEC('table for research'!E$1))*2,2)</f>
        <v>00</v>
      </c>
      <c r="F84" t="str">
        <f>MID('paste from garc here'!$C$1,1+(('table for research'!$B84-1)*36+HEX2DEC('table for research'!F$1))*2,2)</f>
        <v>00</v>
      </c>
      <c r="G84" t="str">
        <f>MID('paste from garc here'!$C$1,1+(('table for research'!$B84-1)*36+HEX2DEC('table for research'!G$1))*2,2)</f>
        <v>00</v>
      </c>
      <c r="H84" t="str">
        <f>MID('paste from garc here'!$C$1,1+(('table for research'!$B84-1)*36+HEX2DEC('table for research'!H$1))*2,2)</f>
        <v>00</v>
      </c>
      <c r="I84" t="str">
        <f>MID('paste from garc here'!$C$1,1+(('table for research'!$B84-1)*36+HEX2DEC('table for research'!I$1))*2,2)</f>
        <v>1E</v>
      </c>
      <c r="J84" t="str">
        <f>MID('paste from garc here'!$C$1,1+(('table for research'!$B84-1)*36+HEX2DEC('table for research'!J$1))*2,2)</f>
        <v>00</v>
      </c>
      <c r="K84" t="str">
        <f>DEC2HEX(_xlfn.BITAND(HEX2DEC(MID('paste from garc here'!$C$1,1+(('table for research'!$B84-1)*36+HEX2DEC(8))*2,2)),31),2)</f>
        <v>1F</v>
      </c>
      <c r="L84" t="str">
        <f>DEC2HEX(_xlfn.BITAND(HEX2DEC(MID('paste from garc here'!$C$1,1+(('table for research'!$B84-1)*36+HEX2DEC(8))*2,2)),32),2)</f>
        <v>00</v>
      </c>
      <c r="M84" t="str">
        <f>DEC2HEX(_xlfn.BITAND(HEX2DEC(MID('paste from garc here'!$C$1,1+(('table for research'!$B84-1)*36+HEX2DEC(8))*2,2)),64),2)</f>
        <v>00</v>
      </c>
      <c r="N84" t="str">
        <f>DEC2HEX(_xlfn.BITRSHIFT(_xlfn.BITAND(HEX2DEC(MID('paste from garc here'!$C$1,1+(('table for research'!$B84-1)*36+HEX2DEC(9))*2,2)&amp;MID('paste from garc here'!$C$1,1+(('table for research'!$B84-1)*36+HEX2DEC(8))*2,2)),1920),7),2)</f>
        <v>00</v>
      </c>
      <c r="O84" t="str">
        <f>DEC2HEX(_xlfn.BITRSHIFT(HEX2DEC(MID('paste from garc here'!$C$1,1+(('table for research'!$B84-1)*36+HEX2DEC(9))*2,2)&amp;MID('paste from garc here'!$C$1,1+(('table for research'!$B84-1)*36+HEX2DEC(8))*2,2)),11),2)</f>
        <v>00</v>
      </c>
      <c r="P84" t="str">
        <f>MID('paste from garc here'!$C$1,1+(('table for research'!$B84-1)*36+HEX2DEC('table for research'!P$1))*2,2)</f>
        <v>06</v>
      </c>
      <c r="Q84" t="str">
        <f>MID('paste from garc here'!$C$1,1+(('table for research'!$B84-1)*36+HEX2DEC('table for research'!Q$1))*2,2)</f>
        <v>00</v>
      </c>
      <c r="R84" t="str">
        <f>MID('paste from garc here'!$C$1,1+(('table for research'!$B84-1)*36+HEX2DEC('table for research'!R$1))*2,2)</f>
        <v>01</v>
      </c>
      <c r="S84" t="str">
        <f>MID('paste from garc here'!$C$1,1+(('table for research'!$B84-1)*36+HEX2DEC('table for research'!S$1))*2,2)</f>
        <v>02</v>
      </c>
      <c r="T84" t="str">
        <f>MID('paste from garc here'!$C$1,1+(('table for research'!$B84-1)*36+HEX2DEC('table for research'!T$1))*2,2)</f>
        <v>00</v>
      </c>
      <c r="U84" t="str">
        <f>MID('paste from garc here'!$C$1,1+(('table for research'!$B84-1)*36+HEX2DEC('table for research'!U$1))*2,2)</f>
        <v>47</v>
      </c>
      <c r="V84" t="str">
        <f>MID('paste from garc here'!$C$1,1+(('table for research'!$B84-1)*36+HEX2DEC('table for research'!V$1))*2,2)</f>
        <v>00</v>
      </c>
      <c r="W84" t="str">
        <f>MID('paste from garc here'!$C$1,1+(('table for research'!$B84-1)*36+HEX2DEC('table for research'!W$1))*2,2)</f>
        <v>08</v>
      </c>
      <c r="X84" t="str">
        <f>MID('paste from garc here'!$C$1,1+(('table for research'!$B84-1)*36+HEX2DEC('table for research'!X$1))*2,2)</f>
        <v>00</v>
      </c>
      <c r="Y84" t="str">
        <f>MID('paste from garc here'!$C$1,1+(('table for research'!$B84-1)*36+HEX2DEC('table for research'!Y$1))*2,2)</f>
        <v>00</v>
      </c>
      <c r="Z84" t="str">
        <f>MID('paste from garc here'!$C$1,1+(('table for research'!$B84-1)*36+HEX2DEC('table for research'!Z$1))*2,2)</f>
        <v>00</v>
      </c>
      <c r="AA84" t="str">
        <f>MID('paste from garc here'!$C$1,1+(('table for research'!$B84-1)*36+HEX2DEC('table for research'!AA$1))*2,2)</f>
        <v>00</v>
      </c>
      <c r="AB84" t="str">
        <f>MID('paste from garc here'!$C$1,1+(('table for research'!$B84-1)*36+HEX2DEC('table for research'!AB$1))*2,2)</f>
        <v>00</v>
      </c>
      <c r="AC84" t="str">
        <f>MID('paste from garc here'!$C$1,1+(('table for research'!$B84-1)*36+HEX2DEC('table for research'!AC$1))*2,2)</f>
        <v>00</v>
      </c>
      <c r="AD84" t="str">
        <f>MID('paste from garc here'!$C$1,1+(('table for research'!$B84-1)*36+HEX2DEC('table for research'!AD$1))*2,2)</f>
        <v>00</v>
      </c>
      <c r="AE84" t="str">
        <f>MID('paste from garc here'!$C$1,1+(('table for research'!$B84-1)*36+HEX2DEC('table for research'!AE$1))*2,2)</f>
        <v>00</v>
      </c>
      <c r="AF84" t="str">
        <f>MID('paste from garc here'!$C$1,1+(('table for research'!$B84-1)*36+HEX2DEC('table for research'!AF$1))*2,2)</f>
        <v>00</v>
      </c>
      <c r="AG84" t="str">
        <f>MID('paste from garc here'!$C$1,1+(('table for research'!$B84-1)*36+HEX2DEC('table for research'!AG$1))*2,2)</f>
        <v>00</v>
      </c>
      <c r="AH84" t="str">
        <f>MID('paste from garc here'!$C$1,1+(('table for research'!$B84-1)*36+HEX2DEC('table for research'!AH$1))*2,2)</f>
        <v>00</v>
      </c>
      <c r="AI84" t="str">
        <f>MID('paste from garc here'!$C$1,1+(('table for research'!$B84-1)*36+HEX2DEC('table for research'!AI$1))*2,2)</f>
        <v>00</v>
      </c>
      <c r="AJ84" t="str">
        <f>MID('paste from garc here'!$C$1,1+(('table for research'!$B84-1)*36+HEX2DEC('table for research'!AJ$1))*2,2)</f>
        <v>00</v>
      </c>
      <c r="AK84" t="str">
        <f>MID('paste from garc here'!$C$1,1+(('table for research'!$B84-1)*36+HEX2DEC('table for research'!AK$1))*2,2)</f>
        <v>00</v>
      </c>
      <c r="AL84" t="str">
        <f>MID('paste from garc here'!$C$1,1+(('table for research'!$B84-1)*36+HEX2DEC('table for research'!AL$1))*2,2)</f>
        <v>00</v>
      </c>
      <c r="AM84" t="str">
        <f>MID('paste from garc here'!$C$1,1+(('table for research'!$B84-1)*36+HEX2DEC('table for research'!AM$1))*2,2)</f>
        <v>00</v>
      </c>
      <c r="AN84" t="str">
        <f>MID('paste from garc here'!$C$1,1+(('table for research'!$B84-1)*36+HEX2DEC('table for research'!AN$1))*2,2)</f>
        <v>00</v>
      </c>
      <c r="AO84" t="str">
        <f>MID('paste from garc here'!$C$1,1+(('table for research'!$B84-1)*36+HEX2DEC('table for research'!AO$1))*2,2)</f>
        <v>00</v>
      </c>
    </row>
    <row r="85" spans="1:41" x14ac:dyDescent="0.4">
      <c r="A85" t="s">
        <v>97</v>
      </c>
      <c r="B85">
        <f>B84+1</f>
        <v>83</v>
      </c>
      <c r="C85" t="str">
        <f>MID('paste from garc here'!$C$1,1+(('table for research'!$B85-1)*36+HEX2DEC('table for research'!C$1))*2,2)</f>
        <v>2C</v>
      </c>
      <c r="D85" t="str">
        <f>MID('paste from garc here'!$C$1,1+(('table for research'!$B85-1)*36+HEX2DEC('table for research'!D$1))*2,2)</f>
        <v>01</v>
      </c>
      <c r="E85" t="str">
        <f>MID('paste from garc here'!$C$1,1+(('table for research'!$B85-1)*36+HEX2DEC('table for research'!E$1))*2,2)</f>
        <v>00</v>
      </c>
      <c r="F85" t="str">
        <f>MID('paste from garc here'!$C$1,1+(('table for research'!$B85-1)*36+HEX2DEC('table for research'!F$1))*2,2)</f>
        <v>00</v>
      </c>
      <c r="G85" t="str">
        <f>MID('paste from garc here'!$C$1,1+(('table for research'!$B85-1)*36+HEX2DEC('table for research'!G$1))*2,2)</f>
        <v>00</v>
      </c>
      <c r="H85" t="str">
        <f>MID('paste from garc here'!$C$1,1+(('table for research'!$B85-1)*36+HEX2DEC('table for research'!H$1))*2,2)</f>
        <v>00</v>
      </c>
      <c r="I85" t="str">
        <f>MID('paste from garc here'!$C$1,1+(('table for research'!$B85-1)*36+HEX2DEC('table for research'!I$1))*2,2)</f>
        <v>1E</v>
      </c>
      <c r="J85" t="str">
        <f>MID('paste from garc here'!$C$1,1+(('table for research'!$B85-1)*36+HEX2DEC('table for research'!J$1))*2,2)</f>
        <v>00</v>
      </c>
      <c r="K85" t="str">
        <f>DEC2HEX(_xlfn.BITAND(HEX2DEC(MID('paste from garc here'!$C$1,1+(('table for research'!$B85-1)*36+HEX2DEC(8))*2,2)),31),2)</f>
        <v>1F</v>
      </c>
      <c r="L85" t="str">
        <f>DEC2HEX(_xlfn.BITAND(HEX2DEC(MID('paste from garc here'!$C$1,1+(('table for research'!$B85-1)*36+HEX2DEC(8))*2,2)),32),2)</f>
        <v>00</v>
      </c>
      <c r="M85" t="str">
        <f>DEC2HEX(_xlfn.BITAND(HEX2DEC(MID('paste from garc here'!$C$1,1+(('table for research'!$B85-1)*36+HEX2DEC(8))*2,2)),64),2)</f>
        <v>00</v>
      </c>
      <c r="N85" t="str">
        <f>DEC2HEX(_xlfn.BITRSHIFT(_xlfn.BITAND(HEX2DEC(MID('paste from garc here'!$C$1,1+(('table for research'!$B85-1)*36+HEX2DEC(9))*2,2)&amp;MID('paste from garc here'!$C$1,1+(('table for research'!$B85-1)*36+HEX2DEC(8))*2,2)),1920),7),2)</f>
        <v>00</v>
      </c>
      <c r="O85" t="str">
        <f>DEC2HEX(_xlfn.BITRSHIFT(HEX2DEC(MID('paste from garc here'!$C$1,1+(('table for research'!$B85-1)*36+HEX2DEC(9))*2,2)&amp;MID('paste from garc here'!$C$1,1+(('table for research'!$B85-1)*36+HEX2DEC(8))*2,2)),11),2)</f>
        <v>00</v>
      </c>
      <c r="P85" t="str">
        <f>MID('paste from garc here'!$C$1,1+(('table for research'!$B85-1)*36+HEX2DEC('table for research'!P$1))*2,2)</f>
        <v>06</v>
      </c>
      <c r="Q85" t="str">
        <f>MID('paste from garc here'!$C$1,1+(('table for research'!$B85-1)*36+HEX2DEC('table for research'!Q$1))*2,2)</f>
        <v>00</v>
      </c>
      <c r="R85" t="str">
        <f>MID('paste from garc here'!$C$1,1+(('table for research'!$B85-1)*36+HEX2DEC('table for research'!R$1))*2,2)</f>
        <v>01</v>
      </c>
      <c r="S85" t="str">
        <f>MID('paste from garc here'!$C$1,1+(('table for research'!$B85-1)*36+HEX2DEC('table for research'!S$1))*2,2)</f>
        <v>02</v>
      </c>
      <c r="T85" t="str">
        <f>MID('paste from garc here'!$C$1,1+(('table for research'!$B85-1)*36+HEX2DEC('table for research'!T$1))*2,2)</f>
        <v>00</v>
      </c>
      <c r="U85" t="str">
        <f>MID('paste from garc here'!$C$1,1+(('table for research'!$B85-1)*36+HEX2DEC('table for research'!U$1))*2,2)</f>
        <v>49</v>
      </c>
      <c r="V85" t="str">
        <f>MID('paste from garc here'!$C$1,1+(('table for research'!$B85-1)*36+HEX2DEC('table for research'!V$1))*2,2)</f>
        <v>00</v>
      </c>
      <c r="W85" t="str">
        <f>MID('paste from garc here'!$C$1,1+(('table for research'!$B85-1)*36+HEX2DEC('table for research'!W$1))*2,2)</f>
        <v>08</v>
      </c>
      <c r="X85" t="str">
        <f>MID('paste from garc here'!$C$1,1+(('table for research'!$B85-1)*36+HEX2DEC('table for research'!X$1))*2,2)</f>
        <v>00</v>
      </c>
      <c r="Y85" t="str">
        <f>MID('paste from garc here'!$C$1,1+(('table for research'!$B85-1)*36+HEX2DEC('table for research'!Y$1))*2,2)</f>
        <v>00</v>
      </c>
      <c r="Z85" t="str">
        <f>MID('paste from garc here'!$C$1,1+(('table for research'!$B85-1)*36+HEX2DEC('table for research'!Z$1))*2,2)</f>
        <v>00</v>
      </c>
      <c r="AA85" t="str">
        <f>MID('paste from garc here'!$C$1,1+(('table for research'!$B85-1)*36+HEX2DEC('table for research'!AA$1))*2,2)</f>
        <v>00</v>
      </c>
      <c r="AB85" t="str">
        <f>MID('paste from garc here'!$C$1,1+(('table for research'!$B85-1)*36+HEX2DEC('table for research'!AB$1))*2,2)</f>
        <v>00</v>
      </c>
      <c r="AC85" t="str">
        <f>MID('paste from garc here'!$C$1,1+(('table for research'!$B85-1)*36+HEX2DEC('table for research'!AC$1))*2,2)</f>
        <v>00</v>
      </c>
      <c r="AD85" t="str">
        <f>MID('paste from garc here'!$C$1,1+(('table for research'!$B85-1)*36+HEX2DEC('table for research'!AD$1))*2,2)</f>
        <v>00</v>
      </c>
      <c r="AE85" t="str">
        <f>MID('paste from garc here'!$C$1,1+(('table for research'!$B85-1)*36+HEX2DEC('table for research'!AE$1))*2,2)</f>
        <v>00</v>
      </c>
      <c r="AF85" t="str">
        <f>MID('paste from garc here'!$C$1,1+(('table for research'!$B85-1)*36+HEX2DEC('table for research'!AF$1))*2,2)</f>
        <v>00</v>
      </c>
      <c r="AG85" t="str">
        <f>MID('paste from garc here'!$C$1,1+(('table for research'!$B85-1)*36+HEX2DEC('table for research'!AG$1))*2,2)</f>
        <v>00</v>
      </c>
      <c r="AH85" t="str">
        <f>MID('paste from garc here'!$C$1,1+(('table for research'!$B85-1)*36+HEX2DEC('table for research'!AH$1))*2,2)</f>
        <v>00</v>
      </c>
      <c r="AI85" t="str">
        <f>MID('paste from garc here'!$C$1,1+(('table for research'!$B85-1)*36+HEX2DEC('table for research'!AI$1))*2,2)</f>
        <v>00</v>
      </c>
      <c r="AJ85" t="str">
        <f>MID('paste from garc here'!$C$1,1+(('table for research'!$B85-1)*36+HEX2DEC('table for research'!AJ$1))*2,2)</f>
        <v>00</v>
      </c>
      <c r="AK85" t="str">
        <f>MID('paste from garc here'!$C$1,1+(('table for research'!$B85-1)*36+HEX2DEC('table for research'!AK$1))*2,2)</f>
        <v>00</v>
      </c>
      <c r="AL85" t="str">
        <f>MID('paste from garc here'!$C$1,1+(('table for research'!$B85-1)*36+HEX2DEC('table for research'!AL$1))*2,2)</f>
        <v>00</v>
      </c>
      <c r="AM85" t="str">
        <f>MID('paste from garc here'!$C$1,1+(('table for research'!$B85-1)*36+HEX2DEC('table for research'!AM$1))*2,2)</f>
        <v>00</v>
      </c>
      <c r="AN85" t="str">
        <f>MID('paste from garc here'!$C$1,1+(('table for research'!$B85-1)*36+HEX2DEC('table for research'!AN$1))*2,2)</f>
        <v>00</v>
      </c>
      <c r="AO85" t="str">
        <f>MID('paste from garc here'!$C$1,1+(('table for research'!$B85-1)*36+HEX2DEC('table for research'!AO$1))*2,2)</f>
        <v>00</v>
      </c>
    </row>
    <row r="86" spans="1:41" x14ac:dyDescent="0.4">
      <c r="A86" t="s">
        <v>98</v>
      </c>
      <c r="B86">
        <f>B85+1</f>
        <v>84</v>
      </c>
      <c r="C86" t="str">
        <f>MID('paste from garc here'!$C$1,1+(('table for research'!$B86-1)*36+HEX2DEC('table for research'!C$1))*2,2)</f>
        <v>2C</v>
      </c>
      <c r="D86" t="str">
        <f>MID('paste from garc here'!$C$1,1+(('table for research'!$B86-1)*36+HEX2DEC('table for research'!D$1))*2,2)</f>
        <v>01</v>
      </c>
      <c r="E86" t="str">
        <f>MID('paste from garc here'!$C$1,1+(('table for research'!$B86-1)*36+HEX2DEC('table for research'!E$1))*2,2)</f>
        <v>00</v>
      </c>
      <c r="F86" t="str">
        <f>MID('paste from garc here'!$C$1,1+(('table for research'!$B86-1)*36+HEX2DEC('table for research'!F$1))*2,2)</f>
        <v>00</v>
      </c>
      <c r="G86" t="str">
        <f>MID('paste from garc here'!$C$1,1+(('table for research'!$B86-1)*36+HEX2DEC('table for research'!G$1))*2,2)</f>
        <v>00</v>
      </c>
      <c r="H86" t="str">
        <f>MID('paste from garc here'!$C$1,1+(('table for research'!$B86-1)*36+HEX2DEC('table for research'!H$1))*2,2)</f>
        <v>00</v>
      </c>
      <c r="I86" t="str">
        <f>MID('paste from garc here'!$C$1,1+(('table for research'!$B86-1)*36+HEX2DEC('table for research'!I$1))*2,2)</f>
        <v>1E</v>
      </c>
      <c r="J86" t="str">
        <f>MID('paste from garc here'!$C$1,1+(('table for research'!$B86-1)*36+HEX2DEC('table for research'!J$1))*2,2)</f>
        <v>00</v>
      </c>
      <c r="K86" t="str">
        <f>DEC2HEX(_xlfn.BITAND(HEX2DEC(MID('paste from garc here'!$C$1,1+(('table for research'!$B86-1)*36+HEX2DEC(8))*2,2)),31),2)</f>
        <v>1F</v>
      </c>
      <c r="L86" t="str">
        <f>DEC2HEX(_xlfn.BITAND(HEX2DEC(MID('paste from garc here'!$C$1,1+(('table for research'!$B86-1)*36+HEX2DEC(8))*2,2)),32),2)</f>
        <v>00</v>
      </c>
      <c r="M86" t="str">
        <f>DEC2HEX(_xlfn.BITAND(HEX2DEC(MID('paste from garc here'!$C$1,1+(('table for research'!$B86-1)*36+HEX2DEC(8))*2,2)),64),2)</f>
        <v>00</v>
      </c>
      <c r="N86" t="str">
        <f>DEC2HEX(_xlfn.BITRSHIFT(_xlfn.BITAND(HEX2DEC(MID('paste from garc here'!$C$1,1+(('table for research'!$B86-1)*36+HEX2DEC(9))*2,2)&amp;MID('paste from garc here'!$C$1,1+(('table for research'!$B86-1)*36+HEX2DEC(8))*2,2)),1920),7),2)</f>
        <v>00</v>
      </c>
      <c r="O86" t="str">
        <f>DEC2HEX(_xlfn.BITRSHIFT(HEX2DEC(MID('paste from garc here'!$C$1,1+(('table for research'!$B86-1)*36+HEX2DEC(9))*2,2)&amp;MID('paste from garc here'!$C$1,1+(('table for research'!$B86-1)*36+HEX2DEC(8))*2,2)),11),2)</f>
        <v>00</v>
      </c>
      <c r="P86" t="str">
        <f>MID('paste from garc here'!$C$1,1+(('table for research'!$B86-1)*36+HEX2DEC('table for research'!P$1))*2,2)</f>
        <v>06</v>
      </c>
      <c r="Q86" t="str">
        <f>MID('paste from garc here'!$C$1,1+(('table for research'!$B86-1)*36+HEX2DEC('table for research'!Q$1))*2,2)</f>
        <v>00</v>
      </c>
      <c r="R86" t="str">
        <f>MID('paste from garc here'!$C$1,1+(('table for research'!$B86-1)*36+HEX2DEC('table for research'!R$1))*2,2)</f>
        <v>01</v>
      </c>
      <c r="S86" t="str">
        <f>MID('paste from garc here'!$C$1,1+(('table for research'!$B86-1)*36+HEX2DEC('table for research'!S$1))*2,2)</f>
        <v>02</v>
      </c>
      <c r="T86" t="str">
        <f>MID('paste from garc here'!$C$1,1+(('table for research'!$B86-1)*36+HEX2DEC('table for research'!T$1))*2,2)</f>
        <v>00</v>
      </c>
      <c r="U86" t="str">
        <f>MID('paste from garc here'!$C$1,1+(('table for research'!$B86-1)*36+HEX2DEC('table for research'!U$1))*2,2)</f>
        <v>48</v>
      </c>
      <c r="V86" t="str">
        <f>MID('paste from garc here'!$C$1,1+(('table for research'!$B86-1)*36+HEX2DEC('table for research'!V$1))*2,2)</f>
        <v>00</v>
      </c>
      <c r="W86" t="str">
        <f>MID('paste from garc here'!$C$1,1+(('table for research'!$B86-1)*36+HEX2DEC('table for research'!W$1))*2,2)</f>
        <v>08</v>
      </c>
      <c r="X86" t="str">
        <f>MID('paste from garc here'!$C$1,1+(('table for research'!$B86-1)*36+HEX2DEC('table for research'!X$1))*2,2)</f>
        <v>00</v>
      </c>
      <c r="Y86" t="str">
        <f>MID('paste from garc here'!$C$1,1+(('table for research'!$B86-1)*36+HEX2DEC('table for research'!Y$1))*2,2)</f>
        <v>00</v>
      </c>
      <c r="Z86" t="str">
        <f>MID('paste from garc here'!$C$1,1+(('table for research'!$B86-1)*36+HEX2DEC('table for research'!Z$1))*2,2)</f>
        <v>00</v>
      </c>
      <c r="AA86" t="str">
        <f>MID('paste from garc here'!$C$1,1+(('table for research'!$B86-1)*36+HEX2DEC('table for research'!AA$1))*2,2)</f>
        <v>00</v>
      </c>
      <c r="AB86" t="str">
        <f>MID('paste from garc here'!$C$1,1+(('table for research'!$B86-1)*36+HEX2DEC('table for research'!AB$1))*2,2)</f>
        <v>00</v>
      </c>
      <c r="AC86" t="str">
        <f>MID('paste from garc here'!$C$1,1+(('table for research'!$B86-1)*36+HEX2DEC('table for research'!AC$1))*2,2)</f>
        <v>00</v>
      </c>
      <c r="AD86" t="str">
        <f>MID('paste from garc here'!$C$1,1+(('table for research'!$B86-1)*36+HEX2DEC('table for research'!AD$1))*2,2)</f>
        <v>00</v>
      </c>
      <c r="AE86" t="str">
        <f>MID('paste from garc here'!$C$1,1+(('table for research'!$B86-1)*36+HEX2DEC('table for research'!AE$1))*2,2)</f>
        <v>00</v>
      </c>
      <c r="AF86" t="str">
        <f>MID('paste from garc here'!$C$1,1+(('table for research'!$B86-1)*36+HEX2DEC('table for research'!AF$1))*2,2)</f>
        <v>00</v>
      </c>
      <c r="AG86" t="str">
        <f>MID('paste from garc here'!$C$1,1+(('table for research'!$B86-1)*36+HEX2DEC('table for research'!AG$1))*2,2)</f>
        <v>00</v>
      </c>
      <c r="AH86" t="str">
        <f>MID('paste from garc here'!$C$1,1+(('table for research'!$B86-1)*36+HEX2DEC('table for research'!AH$1))*2,2)</f>
        <v>00</v>
      </c>
      <c r="AI86" t="str">
        <f>MID('paste from garc here'!$C$1,1+(('table for research'!$B86-1)*36+HEX2DEC('table for research'!AI$1))*2,2)</f>
        <v>00</v>
      </c>
      <c r="AJ86" t="str">
        <f>MID('paste from garc here'!$C$1,1+(('table for research'!$B86-1)*36+HEX2DEC('table for research'!AJ$1))*2,2)</f>
        <v>00</v>
      </c>
      <c r="AK86" t="str">
        <f>MID('paste from garc here'!$C$1,1+(('table for research'!$B86-1)*36+HEX2DEC('table for research'!AK$1))*2,2)</f>
        <v>00</v>
      </c>
      <c r="AL86" t="str">
        <f>MID('paste from garc here'!$C$1,1+(('table for research'!$B86-1)*36+HEX2DEC('table for research'!AL$1))*2,2)</f>
        <v>00</v>
      </c>
      <c r="AM86" t="str">
        <f>MID('paste from garc here'!$C$1,1+(('table for research'!$B86-1)*36+HEX2DEC('table for research'!AM$1))*2,2)</f>
        <v>00</v>
      </c>
      <c r="AN86" t="str">
        <f>MID('paste from garc here'!$C$1,1+(('table for research'!$B86-1)*36+HEX2DEC('table for research'!AN$1))*2,2)</f>
        <v>00</v>
      </c>
      <c r="AO86" t="str">
        <f>MID('paste from garc here'!$C$1,1+(('table for research'!$B86-1)*36+HEX2DEC('table for research'!AO$1))*2,2)</f>
        <v>00</v>
      </c>
    </row>
    <row r="87" spans="1:41" x14ac:dyDescent="0.4">
      <c r="A87" t="s">
        <v>99</v>
      </c>
      <c r="B87">
        <f>B86+1</f>
        <v>85</v>
      </c>
      <c r="C87" t="str">
        <f>MID('paste from garc here'!$C$1,1+(('table for research'!$B87-1)*36+HEX2DEC('table for research'!C$1))*2,2)</f>
        <v>2C</v>
      </c>
      <c r="D87" t="str">
        <f>MID('paste from garc here'!$C$1,1+(('table for research'!$B87-1)*36+HEX2DEC('table for research'!D$1))*2,2)</f>
        <v>01</v>
      </c>
      <c r="E87" t="str">
        <f>MID('paste from garc here'!$C$1,1+(('table for research'!$B87-1)*36+HEX2DEC('table for research'!E$1))*2,2)</f>
        <v>00</v>
      </c>
      <c r="F87" t="str">
        <f>MID('paste from garc here'!$C$1,1+(('table for research'!$B87-1)*36+HEX2DEC('table for research'!F$1))*2,2)</f>
        <v>00</v>
      </c>
      <c r="G87" t="str">
        <f>MID('paste from garc here'!$C$1,1+(('table for research'!$B87-1)*36+HEX2DEC('table for research'!G$1))*2,2)</f>
        <v>00</v>
      </c>
      <c r="H87" t="str">
        <f>MID('paste from garc here'!$C$1,1+(('table for research'!$B87-1)*36+HEX2DEC('table for research'!H$1))*2,2)</f>
        <v>00</v>
      </c>
      <c r="I87" t="str">
        <f>MID('paste from garc here'!$C$1,1+(('table for research'!$B87-1)*36+HEX2DEC('table for research'!I$1))*2,2)</f>
        <v>1E</v>
      </c>
      <c r="J87" t="str">
        <f>MID('paste from garc here'!$C$1,1+(('table for research'!$B87-1)*36+HEX2DEC('table for research'!J$1))*2,2)</f>
        <v>00</v>
      </c>
      <c r="K87" t="str">
        <f>DEC2HEX(_xlfn.BITAND(HEX2DEC(MID('paste from garc here'!$C$1,1+(('table for research'!$B87-1)*36+HEX2DEC(8))*2,2)),31),2)</f>
        <v>1F</v>
      </c>
      <c r="L87" t="str">
        <f>DEC2HEX(_xlfn.BITAND(HEX2DEC(MID('paste from garc here'!$C$1,1+(('table for research'!$B87-1)*36+HEX2DEC(8))*2,2)),32),2)</f>
        <v>00</v>
      </c>
      <c r="M87" t="str">
        <f>DEC2HEX(_xlfn.BITAND(HEX2DEC(MID('paste from garc here'!$C$1,1+(('table for research'!$B87-1)*36+HEX2DEC(8))*2,2)),64),2)</f>
        <v>00</v>
      </c>
      <c r="N87" t="str">
        <f>DEC2HEX(_xlfn.BITRSHIFT(_xlfn.BITAND(HEX2DEC(MID('paste from garc here'!$C$1,1+(('table for research'!$B87-1)*36+HEX2DEC(9))*2,2)&amp;MID('paste from garc here'!$C$1,1+(('table for research'!$B87-1)*36+HEX2DEC(8))*2,2)),1920),7),2)</f>
        <v>00</v>
      </c>
      <c r="O87" t="str">
        <f>DEC2HEX(_xlfn.BITRSHIFT(HEX2DEC(MID('paste from garc here'!$C$1,1+(('table for research'!$B87-1)*36+HEX2DEC(9))*2,2)&amp;MID('paste from garc here'!$C$1,1+(('table for research'!$B87-1)*36+HEX2DEC(8))*2,2)),11),2)</f>
        <v>00</v>
      </c>
      <c r="P87" t="str">
        <f>MID('paste from garc here'!$C$1,1+(('table for research'!$B87-1)*36+HEX2DEC('table for research'!P$1))*2,2)</f>
        <v>06</v>
      </c>
      <c r="Q87" t="str">
        <f>MID('paste from garc here'!$C$1,1+(('table for research'!$B87-1)*36+HEX2DEC('table for research'!Q$1))*2,2)</f>
        <v>00</v>
      </c>
      <c r="R87" t="str">
        <f>MID('paste from garc here'!$C$1,1+(('table for research'!$B87-1)*36+HEX2DEC('table for research'!R$1))*2,2)</f>
        <v>01</v>
      </c>
      <c r="S87" t="str">
        <f>MID('paste from garc here'!$C$1,1+(('table for research'!$B87-1)*36+HEX2DEC('table for research'!S$1))*2,2)</f>
        <v>02</v>
      </c>
      <c r="T87" t="str">
        <f>MID('paste from garc here'!$C$1,1+(('table for research'!$B87-1)*36+HEX2DEC('table for research'!T$1))*2,2)</f>
        <v>00</v>
      </c>
      <c r="U87" t="str">
        <f>MID('paste from garc here'!$C$1,1+(('table for research'!$B87-1)*36+HEX2DEC('table for research'!U$1))*2,2)</f>
        <v>4A</v>
      </c>
      <c r="V87" t="str">
        <f>MID('paste from garc here'!$C$1,1+(('table for research'!$B87-1)*36+HEX2DEC('table for research'!V$1))*2,2)</f>
        <v>00</v>
      </c>
      <c r="W87" t="str">
        <f>MID('paste from garc here'!$C$1,1+(('table for research'!$B87-1)*36+HEX2DEC('table for research'!W$1))*2,2)</f>
        <v>08</v>
      </c>
      <c r="X87" t="str">
        <f>MID('paste from garc here'!$C$1,1+(('table for research'!$B87-1)*36+HEX2DEC('table for research'!X$1))*2,2)</f>
        <v>00</v>
      </c>
      <c r="Y87" t="str">
        <f>MID('paste from garc here'!$C$1,1+(('table for research'!$B87-1)*36+HEX2DEC('table for research'!Y$1))*2,2)</f>
        <v>00</v>
      </c>
      <c r="Z87" t="str">
        <f>MID('paste from garc here'!$C$1,1+(('table for research'!$B87-1)*36+HEX2DEC('table for research'!Z$1))*2,2)</f>
        <v>00</v>
      </c>
      <c r="AA87" t="str">
        <f>MID('paste from garc here'!$C$1,1+(('table for research'!$B87-1)*36+HEX2DEC('table for research'!AA$1))*2,2)</f>
        <v>00</v>
      </c>
      <c r="AB87" t="str">
        <f>MID('paste from garc here'!$C$1,1+(('table for research'!$B87-1)*36+HEX2DEC('table for research'!AB$1))*2,2)</f>
        <v>00</v>
      </c>
      <c r="AC87" t="str">
        <f>MID('paste from garc here'!$C$1,1+(('table for research'!$B87-1)*36+HEX2DEC('table for research'!AC$1))*2,2)</f>
        <v>00</v>
      </c>
      <c r="AD87" t="str">
        <f>MID('paste from garc here'!$C$1,1+(('table for research'!$B87-1)*36+HEX2DEC('table for research'!AD$1))*2,2)</f>
        <v>00</v>
      </c>
      <c r="AE87" t="str">
        <f>MID('paste from garc here'!$C$1,1+(('table for research'!$B87-1)*36+HEX2DEC('table for research'!AE$1))*2,2)</f>
        <v>00</v>
      </c>
      <c r="AF87" t="str">
        <f>MID('paste from garc here'!$C$1,1+(('table for research'!$B87-1)*36+HEX2DEC('table for research'!AF$1))*2,2)</f>
        <v>00</v>
      </c>
      <c r="AG87" t="str">
        <f>MID('paste from garc here'!$C$1,1+(('table for research'!$B87-1)*36+HEX2DEC('table for research'!AG$1))*2,2)</f>
        <v>00</v>
      </c>
      <c r="AH87" t="str">
        <f>MID('paste from garc here'!$C$1,1+(('table for research'!$B87-1)*36+HEX2DEC('table for research'!AH$1))*2,2)</f>
        <v>00</v>
      </c>
      <c r="AI87" t="str">
        <f>MID('paste from garc here'!$C$1,1+(('table for research'!$B87-1)*36+HEX2DEC('table for research'!AI$1))*2,2)</f>
        <v>00</v>
      </c>
      <c r="AJ87" t="str">
        <f>MID('paste from garc here'!$C$1,1+(('table for research'!$B87-1)*36+HEX2DEC('table for research'!AJ$1))*2,2)</f>
        <v>00</v>
      </c>
      <c r="AK87" t="str">
        <f>MID('paste from garc here'!$C$1,1+(('table for research'!$B87-1)*36+HEX2DEC('table for research'!AK$1))*2,2)</f>
        <v>00</v>
      </c>
      <c r="AL87" t="str">
        <f>MID('paste from garc here'!$C$1,1+(('table for research'!$B87-1)*36+HEX2DEC('table for research'!AL$1))*2,2)</f>
        <v>00</v>
      </c>
      <c r="AM87" t="str">
        <f>MID('paste from garc here'!$C$1,1+(('table for research'!$B87-1)*36+HEX2DEC('table for research'!AM$1))*2,2)</f>
        <v>00</v>
      </c>
      <c r="AN87" t="str">
        <f>MID('paste from garc here'!$C$1,1+(('table for research'!$B87-1)*36+HEX2DEC('table for research'!AN$1))*2,2)</f>
        <v>00</v>
      </c>
      <c r="AO87" t="str">
        <f>MID('paste from garc here'!$C$1,1+(('table for research'!$B87-1)*36+HEX2DEC('table for research'!AO$1))*2,2)</f>
        <v>00</v>
      </c>
    </row>
    <row r="88" spans="1:41" x14ac:dyDescent="0.4">
      <c r="A88" t="s">
        <v>100</v>
      </c>
      <c r="B88">
        <f>B87+1</f>
        <v>86</v>
      </c>
      <c r="C88" t="str">
        <f>MID('paste from garc here'!$C$1,1+(('table for research'!$B88-1)*36+HEX2DEC('table for research'!C$1))*2,2)</f>
        <v>C8</v>
      </c>
      <c r="D88" t="str">
        <f>MID('paste from garc here'!$C$1,1+(('table for research'!$B88-1)*36+HEX2DEC('table for research'!D$1))*2,2)</f>
        <v>00</v>
      </c>
      <c r="E88" t="str">
        <f>MID('paste from garc here'!$C$1,1+(('table for research'!$B88-1)*36+HEX2DEC('table for research'!E$1))*2,2)</f>
        <v>00</v>
      </c>
      <c r="F88" t="str">
        <f>MID('paste from garc here'!$C$1,1+(('table for research'!$B88-1)*36+HEX2DEC('table for research'!F$1))*2,2)</f>
        <v>00</v>
      </c>
      <c r="G88" t="str">
        <f>MID('paste from garc here'!$C$1,1+(('table for research'!$B88-1)*36+HEX2DEC('table for research'!G$1))*2,2)</f>
        <v>00</v>
      </c>
      <c r="H88" t="str">
        <f>MID('paste from garc here'!$C$1,1+(('table for research'!$B88-1)*36+HEX2DEC('table for research'!H$1))*2,2)</f>
        <v>00</v>
      </c>
      <c r="I88" t="str">
        <f>MID('paste from garc here'!$C$1,1+(('table for research'!$B88-1)*36+HEX2DEC('table for research'!I$1))*2,2)</f>
        <v>1E</v>
      </c>
      <c r="J88" t="str">
        <f>MID('paste from garc here'!$C$1,1+(('table for research'!$B88-1)*36+HEX2DEC('table for research'!J$1))*2,2)</f>
        <v>00</v>
      </c>
      <c r="K88" t="str">
        <f>DEC2HEX(_xlfn.BITAND(HEX2DEC(MID('paste from garc here'!$C$1,1+(('table for research'!$B88-1)*36+HEX2DEC(8))*2,2)),31),2)</f>
        <v>1F</v>
      </c>
      <c r="L88" t="str">
        <f>DEC2HEX(_xlfn.BITAND(HEX2DEC(MID('paste from garc here'!$C$1,1+(('table for research'!$B88-1)*36+HEX2DEC(8))*2,2)),32),2)</f>
        <v>00</v>
      </c>
      <c r="M88" t="str">
        <f>DEC2HEX(_xlfn.BITAND(HEX2DEC(MID('paste from garc here'!$C$1,1+(('table for research'!$B88-1)*36+HEX2DEC(8))*2,2)),64),2)</f>
        <v>00</v>
      </c>
      <c r="N88" t="str">
        <f>DEC2HEX(_xlfn.BITRSHIFT(_xlfn.BITAND(HEX2DEC(MID('paste from garc here'!$C$1,1+(('table for research'!$B88-1)*36+HEX2DEC(9))*2,2)&amp;MID('paste from garc here'!$C$1,1+(('table for research'!$B88-1)*36+HEX2DEC(8))*2,2)),1920),7),2)</f>
        <v>00</v>
      </c>
      <c r="O88" t="str">
        <f>DEC2HEX(_xlfn.BITRSHIFT(HEX2DEC(MID('paste from garc here'!$C$1,1+(('table for research'!$B88-1)*36+HEX2DEC(9))*2,2)&amp;MID('paste from garc here'!$C$1,1+(('table for research'!$B88-1)*36+HEX2DEC(8))*2,2)),11),2)</f>
        <v>00</v>
      </c>
      <c r="P88" t="str">
        <f>MID('paste from garc here'!$C$1,1+(('table for research'!$B88-1)*36+HEX2DEC('table for research'!P$1))*2,2)</f>
        <v>00</v>
      </c>
      <c r="Q88" t="str">
        <f>MID('paste from garc here'!$C$1,1+(('table for research'!$B88-1)*36+HEX2DEC('table for research'!Q$1))*2,2)</f>
        <v>00</v>
      </c>
      <c r="R88" t="str">
        <f>MID('paste from garc here'!$C$1,1+(('table for research'!$B88-1)*36+HEX2DEC('table for research'!R$1))*2,2)</f>
        <v>01</v>
      </c>
      <c r="S88" t="str">
        <f>MID('paste from garc here'!$C$1,1+(('table for research'!$B88-1)*36+HEX2DEC('table for research'!S$1))*2,2)</f>
        <v>02</v>
      </c>
      <c r="T88" t="str">
        <f>MID('paste from garc here'!$C$1,1+(('table for research'!$B88-1)*36+HEX2DEC('table for research'!T$1))*2,2)</f>
        <v>00</v>
      </c>
      <c r="U88" t="str">
        <f>MID('paste from garc here'!$C$1,1+(('table for research'!$B88-1)*36+HEX2DEC('table for research'!U$1))*2,2)</f>
        <v>11</v>
      </c>
      <c r="V88" t="str">
        <f>MID('paste from garc here'!$C$1,1+(('table for research'!$B88-1)*36+HEX2DEC('table for research'!V$1))*2,2)</f>
        <v>00</v>
      </c>
      <c r="W88" t="str">
        <f>MID('paste from garc here'!$C$1,1+(('table for research'!$B88-1)*36+HEX2DEC('table for research'!W$1))*2,2)</f>
        <v>00</v>
      </c>
      <c r="X88" t="str">
        <f>MID('paste from garc here'!$C$1,1+(('table for research'!$B88-1)*36+HEX2DEC('table for research'!X$1))*2,2)</f>
        <v>00</v>
      </c>
      <c r="Y88" t="str">
        <f>MID('paste from garc here'!$C$1,1+(('table for research'!$B88-1)*36+HEX2DEC('table for research'!Y$1))*2,2)</f>
        <v>00</v>
      </c>
      <c r="Z88" t="str">
        <f>MID('paste from garc here'!$C$1,1+(('table for research'!$B88-1)*36+HEX2DEC('table for research'!Z$1))*2,2)</f>
        <v>00</v>
      </c>
      <c r="AA88" t="str">
        <f>MID('paste from garc here'!$C$1,1+(('table for research'!$B88-1)*36+HEX2DEC('table for research'!AA$1))*2,2)</f>
        <v>00</v>
      </c>
      <c r="AB88" t="str">
        <f>MID('paste from garc here'!$C$1,1+(('table for research'!$B88-1)*36+HEX2DEC('table for research'!AB$1))*2,2)</f>
        <v>00</v>
      </c>
      <c r="AC88" t="str">
        <f>MID('paste from garc here'!$C$1,1+(('table for research'!$B88-1)*36+HEX2DEC('table for research'!AC$1))*2,2)</f>
        <v>00</v>
      </c>
      <c r="AD88" t="str">
        <f>MID('paste from garc here'!$C$1,1+(('table for research'!$B88-1)*36+HEX2DEC('table for research'!AD$1))*2,2)</f>
        <v>00</v>
      </c>
      <c r="AE88" t="str">
        <f>MID('paste from garc here'!$C$1,1+(('table for research'!$B88-1)*36+HEX2DEC('table for research'!AE$1))*2,2)</f>
        <v>00</v>
      </c>
      <c r="AF88" t="str">
        <f>MID('paste from garc here'!$C$1,1+(('table for research'!$B88-1)*36+HEX2DEC('table for research'!AF$1))*2,2)</f>
        <v>00</v>
      </c>
      <c r="AG88" t="str">
        <f>MID('paste from garc here'!$C$1,1+(('table for research'!$B88-1)*36+HEX2DEC('table for research'!AG$1))*2,2)</f>
        <v>00</v>
      </c>
      <c r="AH88" t="str">
        <f>MID('paste from garc here'!$C$1,1+(('table for research'!$B88-1)*36+HEX2DEC('table for research'!AH$1))*2,2)</f>
        <v>00</v>
      </c>
      <c r="AI88" t="str">
        <f>MID('paste from garc here'!$C$1,1+(('table for research'!$B88-1)*36+HEX2DEC('table for research'!AI$1))*2,2)</f>
        <v>00</v>
      </c>
      <c r="AJ88" t="str">
        <f>MID('paste from garc here'!$C$1,1+(('table for research'!$B88-1)*36+HEX2DEC('table for research'!AJ$1))*2,2)</f>
        <v>00</v>
      </c>
      <c r="AK88" t="str">
        <f>MID('paste from garc here'!$C$1,1+(('table for research'!$B88-1)*36+HEX2DEC('table for research'!AK$1))*2,2)</f>
        <v>00</v>
      </c>
      <c r="AL88" t="str">
        <f>MID('paste from garc here'!$C$1,1+(('table for research'!$B88-1)*36+HEX2DEC('table for research'!AL$1))*2,2)</f>
        <v>00</v>
      </c>
      <c r="AM88" t="str">
        <f>MID('paste from garc here'!$C$1,1+(('table for research'!$B88-1)*36+HEX2DEC('table for research'!AM$1))*2,2)</f>
        <v>00</v>
      </c>
      <c r="AN88" t="str">
        <f>MID('paste from garc here'!$C$1,1+(('table for research'!$B88-1)*36+HEX2DEC('table for research'!AN$1))*2,2)</f>
        <v>00</v>
      </c>
      <c r="AO88" t="str">
        <f>MID('paste from garc here'!$C$1,1+(('table for research'!$B88-1)*36+HEX2DEC('table for research'!AO$1))*2,2)</f>
        <v>00</v>
      </c>
    </row>
    <row r="89" spans="1:41" x14ac:dyDescent="0.4">
      <c r="A89" t="s">
        <v>101</v>
      </c>
      <c r="B89">
        <f>B88+1</f>
        <v>87</v>
      </c>
      <c r="C89" t="str">
        <f>MID('paste from garc here'!$C$1,1+(('table for research'!$B89-1)*36+HEX2DEC('table for research'!C$1))*2,2)</f>
        <v>E8</v>
      </c>
      <c r="D89" t="str">
        <f>MID('paste from garc here'!$C$1,1+(('table for research'!$B89-1)*36+HEX2DEC('table for research'!D$1))*2,2)</f>
        <v>03</v>
      </c>
      <c r="E89" t="str">
        <f>MID('paste from garc here'!$C$1,1+(('table for research'!$B89-1)*36+HEX2DEC('table for research'!E$1))*2,2)</f>
        <v>00</v>
      </c>
      <c r="F89" t="str">
        <f>MID('paste from garc here'!$C$1,1+(('table for research'!$B89-1)*36+HEX2DEC('table for research'!F$1))*2,2)</f>
        <v>00</v>
      </c>
      <c r="G89" t="str">
        <f>MID('paste from garc here'!$C$1,1+(('table for research'!$B89-1)*36+HEX2DEC('table for research'!G$1))*2,2)</f>
        <v>00</v>
      </c>
      <c r="H89" t="str">
        <f>MID('paste from garc here'!$C$1,1+(('table for research'!$B89-1)*36+HEX2DEC('table for research'!H$1))*2,2)</f>
        <v>00</v>
      </c>
      <c r="I89" t="str">
        <f>MID('paste from garc here'!$C$1,1+(('table for research'!$B89-1)*36+HEX2DEC('table for research'!I$1))*2,2)</f>
        <v>1E</v>
      </c>
      <c r="J89" t="str">
        <f>MID('paste from garc here'!$C$1,1+(('table for research'!$B89-1)*36+HEX2DEC('table for research'!J$1))*2,2)</f>
        <v>00</v>
      </c>
      <c r="K89" t="str">
        <f>DEC2HEX(_xlfn.BITAND(HEX2DEC(MID('paste from garc here'!$C$1,1+(('table for research'!$B89-1)*36+HEX2DEC(8))*2,2)),31),2)</f>
        <v>1F</v>
      </c>
      <c r="L89" t="str">
        <f>DEC2HEX(_xlfn.BITAND(HEX2DEC(MID('paste from garc here'!$C$1,1+(('table for research'!$B89-1)*36+HEX2DEC(8))*2,2)),32),2)</f>
        <v>00</v>
      </c>
      <c r="M89" t="str">
        <f>DEC2HEX(_xlfn.BITAND(HEX2DEC(MID('paste from garc here'!$C$1,1+(('table for research'!$B89-1)*36+HEX2DEC(8))*2,2)),64),2)</f>
        <v>00</v>
      </c>
      <c r="N89" t="str">
        <f>DEC2HEX(_xlfn.BITRSHIFT(_xlfn.BITAND(HEX2DEC(MID('paste from garc here'!$C$1,1+(('table for research'!$B89-1)*36+HEX2DEC(9))*2,2)&amp;MID('paste from garc here'!$C$1,1+(('table for research'!$B89-1)*36+HEX2DEC(8))*2,2)),1920),7),2)</f>
        <v>00</v>
      </c>
      <c r="O89" t="str">
        <f>DEC2HEX(_xlfn.BITRSHIFT(HEX2DEC(MID('paste from garc here'!$C$1,1+(('table for research'!$B89-1)*36+HEX2DEC(9))*2,2)&amp;MID('paste from garc here'!$C$1,1+(('table for research'!$B89-1)*36+HEX2DEC(8))*2,2)),11),2)</f>
        <v>00</v>
      </c>
      <c r="P89" t="str">
        <f>MID('paste from garc here'!$C$1,1+(('table for research'!$B89-1)*36+HEX2DEC('table for research'!P$1))*2,2)</f>
        <v>00</v>
      </c>
      <c r="Q89" t="str">
        <f>MID('paste from garc here'!$C$1,1+(('table for research'!$B89-1)*36+HEX2DEC('table for research'!Q$1))*2,2)</f>
        <v>00</v>
      </c>
      <c r="R89" t="str">
        <f>MID('paste from garc here'!$C$1,1+(('table for research'!$B89-1)*36+HEX2DEC('table for research'!R$1))*2,2)</f>
        <v>01</v>
      </c>
      <c r="S89" t="str">
        <f>MID('paste from garc here'!$C$1,1+(('table for research'!$B89-1)*36+HEX2DEC('table for research'!S$1))*2,2)</f>
        <v>02</v>
      </c>
      <c r="T89" t="str">
        <f>MID('paste from garc here'!$C$1,1+(('table for research'!$B89-1)*36+HEX2DEC('table for research'!T$1))*2,2)</f>
        <v>00</v>
      </c>
      <c r="U89" t="str">
        <f>MID('paste from garc here'!$C$1,1+(('table for research'!$B89-1)*36+HEX2DEC('table for research'!U$1))*2,2)</f>
        <v>0A</v>
      </c>
      <c r="V89" t="str">
        <f>MID('paste from garc here'!$C$1,1+(('table for research'!$B89-1)*36+HEX2DEC('table for research'!V$1))*2,2)</f>
        <v>00</v>
      </c>
      <c r="W89" t="str">
        <f>MID('paste from garc here'!$C$1,1+(('table for research'!$B89-1)*36+HEX2DEC('table for research'!W$1))*2,2)</f>
        <v>00</v>
      </c>
      <c r="X89" t="str">
        <f>MID('paste from garc here'!$C$1,1+(('table for research'!$B89-1)*36+HEX2DEC('table for research'!X$1))*2,2)</f>
        <v>00</v>
      </c>
      <c r="Y89" t="str">
        <f>MID('paste from garc here'!$C$1,1+(('table for research'!$B89-1)*36+HEX2DEC('table for research'!Y$1))*2,2)</f>
        <v>00</v>
      </c>
      <c r="Z89" t="str">
        <f>MID('paste from garc here'!$C$1,1+(('table for research'!$B89-1)*36+HEX2DEC('table for research'!Z$1))*2,2)</f>
        <v>00</v>
      </c>
      <c r="AA89" t="str">
        <f>MID('paste from garc here'!$C$1,1+(('table for research'!$B89-1)*36+HEX2DEC('table for research'!AA$1))*2,2)</f>
        <v>00</v>
      </c>
      <c r="AB89" t="str">
        <f>MID('paste from garc here'!$C$1,1+(('table for research'!$B89-1)*36+HEX2DEC('table for research'!AB$1))*2,2)</f>
        <v>00</v>
      </c>
      <c r="AC89" t="str">
        <f>MID('paste from garc here'!$C$1,1+(('table for research'!$B89-1)*36+HEX2DEC('table for research'!AC$1))*2,2)</f>
        <v>00</v>
      </c>
      <c r="AD89" t="str">
        <f>MID('paste from garc here'!$C$1,1+(('table for research'!$B89-1)*36+HEX2DEC('table for research'!AD$1))*2,2)</f>
        <v>00</v>
      </c>
      <c r="AE89" t="str">
        <f>MID('paste from garc here'!$C$1,1+(('table for research'!$B89-1)*36+HEX2DEC('table for research'!AE$1))*2,2)</f>
        <v>00</v>
      </c>
      <c r="AF89" t="str">
        <f>MID('paste from garc here'!$C$1,1+(('table for research'!$B89-1)*36+HEX2DEC('table for research'!AF$1))*2,2)</f>
        <v>00</v>
      </c>
      <c r="AG89" t="str">
        <f>MID('paste from garc here'!$C$1,1+(('table for research'!$B89-1)*36+HEX2DEC('table for research'!AG$1))*2,2)</f>
        <v>00</v>
      </c>
      <c r="AH89" t="str">
        <f>MID('paste from garc here'!$C$1,1+(('table for research'!$B89-1)*36+HEX2DEC('table for research'!AH$1))*2,2)</f>
        <v>00</v>
      </c>
      <c r="AI89" t="str">
        <f>MID('paste from garc here'!$C$1,1+(('table for research'!$B89-1)*36+HEX2DEC('table for research'!AI$1))*2,2)</f>
        <v>00</v>
      </c>
      <c r="AJ89" t="str">
        <f>MID('paste from garc here'!$C$1,1+(('table for research'!$B89-1)*36+HEX2DEC('table for research'!AJ$1))*2,2)</f>
        <v>00</v>
      </c>
      <c r="AK89" t="str">
        <f>MID('paste from garc here'!$C$1,1+(('table for research'!$B89-1)*36+HEX2DEC('table for research'!AK$1))*2,2)</f>
        <v>00</v>
      </c>
      <c r="AL89" t="str">
        <f>MID('paste from garc here'!$C$1,1+(('table for research'!$B89-1)*36+HEX2DEC('table for research'!AL$1))*2,2)</f>
        <v>00</v>
      </c>
      <c r="AM89" t="str">
        <f>MID('paste from garc here'!$C$1,1+(('table for research'!$B89-1)*36+HEX2DEC('table for research'!AM$1))*2,2)</f>
        <v>00</v>
      </c>
      <c r="AN89" t="str">
        <f>MID('paste from garc here'!$C$1,1+(('table for research'!$B89-1)*36+HEX2DEC('table for research'!AN$1))*2,2)</f>
        <v>00</v>
      </c>
      <c r="AO89" t="str">
        <f>MID('paste from garc here'!$C$1,1+(('table for research'!$B89-1)*36+HEX2DEC('table for research'!AO$1))*2,2)</f>
        <v>00</v>
      </c>
    </row>
    <row r="90" spans="1:41" x14ac:dyDescent="0.4">
      <c r="A90" t="s">
        <v>102</v>
      </c>
      <c r="B90">
        <f>B89+1</f>
        <v>88</v>
      </c>
      <c r="C90" t="str">
        <f>MID('paste from garc here'!$C$1,1+(('table for research'!$B90-1)*36+HEX2DEC('table for research'!C$1))*2,2)</f>
        <v>90</v>
      </c>
      <c r="D90" t="str">
        <f>MID('paste from garc here'!$C$1,1+(('table for research'!$B90-1)*36+HEX2DEC('table for research'!D$1))*2,2)</f>
        <v>01</v>
      </c>
      <c r="E90" t="str">
        <f>MID('paste from garc here'!$C$1,1+(('table for research'!$B90-1)*36+HEX2DEC('table for research'!E$1))*2,2)</f>
        <v>00</v>
      </c>
      <c r="F90" t="str">
        <f>MID('paste from garc here'!$C$1,1+(('table for research'!$B90-1)*36+HEX2DEC('table for research'!F$1))*2,2)</f>
        <v>00</v>
      </c>
      <c r="G90" t="str">
        <f>MID('paste from garc here'!$C$1,1+(('table for research'!$B90-1)*36+HEX2DEC('table for research'!G$1))*2,2)</f>
        <v>00</v>
      </c>
      <c r="H90" t="str">
        <f>MID('paste from garc here'!$C$1,1+(('table for research'!$B90-1)*36+HEX2DEC('table for research'!H$1))*2,2)</f>
        <v>00</v>
      </c>
      <c r="I90" t="str">
        <f>MID('paste from garc here'!$C$1,1+(('table for research'!$B90-1)*36+HEX2DEC('table for research'!I$1))*2,2)</f>
        <v>1E</v>
      </c>
      <c r="J90" t="str">
        <f>MID('paste from garc here'!$C$1,1+(('table for research'!$B90-1)*36+HEX2DEC('table for research'!J$1))*2,2)</f>
        <v>00</v>
      </c>
      <c r="K90" t="str">
        <f>DEC2HEX(_xlfn.BITAND(HEX2DEC(MID('paste from garc here'!$C$1,1+(('table for research'!$B90-1)*36+HEX2DEC(8))*2,2)),31),2)</f>
        <v>1F</v>
      </c>
      <c r="L90" t="str">
        <f>DEC2HEX(_xlfn.BITAND(HEX2DEC(MID('paste from garc here'!$C$1,1+(('table for research'!$B90-1)*36+HEX2DEC(8))*2,2)),32),2)</f>
        <v>00</v>
      </c>
      <c r="M90" t="str">
        <f>DEC2HEX(_xlfn.BITAND(HEX2DEC(MID('paste from garc here'!$C$1,1+(('table for research'!$B90-1)*36+HEX2DEC(8))*2,2)),64),2)</f>
        <v>00</v>
      </c>
      <c r="N90" t="str">
        <f>DEC2HEX(_xlfn.BITRSHIFT(_xlfn.BITAND(HEX2DEC(MID('paste from garc here'!$C$1,1+(('table for research'!$B90-1)*36+HEX2DEC(9))*2,2)&amp;MID('paste from garc here'!$C$1,1+(('table for research'!$B90-1)*36+HEX2DEC(8))*2,2)),1920),7),2)</f>
        <v>00</v>
      </c>
      <c r="O90" t="str">
        <f>DEC2HEX(_xlfn.BITRSHIFT(HEX2DEC(MID('paste from garc here'!$C$1,1+(('table for research'!$B90-1)*36+HEX2DEC(9))*2,2)&amp;MID('paste from garc here'!$C$1,1+(('table for research'!$B90-1)*36+HEX2DEC(8))*2,2)),11),2)</f>
        <v>00</v>
      </c>
      <c r="P90" t="str">
        <f>MID('paste from garc here'!$C$1,1+(('table for research'!$B90-1)*36+HEX2DEC('table for research'!P$1))*2,2)</f>
        <v>00</v>
      </c>
      <c r="Q90" t="str">
        <f>MID('paste from garc here'!$C$1,1+(('table for research'!$B90-1)*36+HEX2DEC('table for research'!Q$1))*2,2)</f>
        <v>00</v>
      </c>
      <c r="R90" t="str">
        <f>MID('paste from garc here'!$C$1,1+(('table for research'!$B90-1)*36+HEX2DEC('table for research'!R$1))*2,2)</f>
        <v>01</v>
      </c>
      <c r="S90" t="str">
        <f>MID('paste from garc here'!$C$1,1+(('table for research'!$B90-1)*36+HEX2DEC('table for research'!S$1))*2,2)</f>
        <v>02</v>
      </c>
      <c r="T90" t="str">
        <f>MID('paste from garc here'!$C$1,1+(('table for research'!$B90-1)*36+HEX2DEC('table for research'!T$1))*2,2)</f>
        <v>00</v>
      </c>
      <c r="U90" t="str">
        <f>MID('paste from garc here'!$C$1,1+(('table for research'!$B90-1)*36+HEX2DEC('table for research'!U$1))*2,2)</f>
        <v>10</v>
      </c>
      <c r="V90" t="str">
        <f>MID('paste from garc here'!$C$1,1+(('table for research'!$B90-1)*36+HEX2DEC('table for research'!V$1))*2,2)</f>
        <v>00</v>
      </c>
      <c r="W90" t="str">
        <f>MID('paste from garc here'!$C$1,1+(('table for research'!$B90-1)*36+HEX2DEC('table for research'!W$1))*2,2)</f>
        <v>00</v>
      </c>
      <c r="X90" t="str">
        <f>MID('paste from garc here'!$C$1,1+(('table for research'!$B90-1)*36+HEX2DEC('table for research'!X$1))*2,2)</f>
        <v>00</v>
      </c>
      <c r="Y90" t="str">
        <f>MID('paste from garc here'!$C$1,1+(('table for research'!$B90-1)*36+HEX2DEC('table for research'!Y$1))*2,2)</f>
        <v>00</v>
      </c>
      <c r="Z90" t="str">
        <f>MID('paste from garc here'!$C$1,1+(('table for research'!$B90-1)*36+HEX2DEC('table for research'!Z$1))*2,2)</f>
        <v>00</v>
      </c>
      <c r="AA90" t="str">
        <f>MID('paste from garc here'!$C$1,1+(('table for research'!$B90-1)*36+HEX2DEC('table for research'!AA$1))*2,2)</f>
        <v>00</v>
      </c>
      <c r="AB90" t="str">
        <f>MID('paste from garc here'!$C$1,1+(('table for research'!$B90-1)*36+HEX2DEC('table for research'!AB$1))*2,2)</f>
        <v>00</v>
      </c>
      <c r="AC90" t="str">
        <f>MID('paste from garc here'!$C$1,1+(('table for research'!$B90-1)*36+HEX2DEC('table for research'!AC$1))*2,2)</f>
        <v>00</v>
      </c>
      <c r="AD90" t="str">
        <f>MID('paste from garc here'!$C$1,1+(('table for research'!$B90-1)*36+HEX2DEC('table for research'!AD$1))*2,2)</f>
        <v>00</v>
      </c>
      <c r="AE90" t="str">
        <f>MID('paste from garc here'!$C$1,1+(('table for research'!$B90-1)*36+HEX2DEC('table for research'!AE$1))*2,2)</f>
        <v>00</v>
      </c>
      <c r="AF90" t="str">
        <f>MID('paste from garc here'!$C$1,1+(('table for research'!$B90-1)*36+HEX2DEC('table for research'!AF$1))*2,2)</f>
        <v>00</v>
      </c>
      <c r="AG90" t="str">
        <f>MID('paste from garc here'!$C$1,1+(('table for research'!$B90-1)*36+HEX2DEC('table for research'!AG$1))*2,2)</f>
        <v>00</v>
      </c>
      <c r="AH90" t="str">
        <f>MID('paste from garc here'!$C$1,1+(('table for research'!$B90-1)*36+HEX2DEC('table for research'!AH$1))*2,2)</f>
        <v>00</v>
      </c>
      <c r="AI90" t="str">
        <f>MID('paste from garc here'!$C$1,1+(('table for research'!$B90-1)*36+HEX2DEC('table for research'!AI$1))*2,2)</f>
        <v>00</v>
      </c>
      <c r="AJ90" t="str">
        <f>MID('paste from garc here'!$C$1,1+(('table for research'!$B90-1)*36+HEX2DEC('table for research'!AJ$1))*2,2)</f>
        <v>00</v>
      </c>
      <c r="AK90" t="str">
        <f>MID('paste from garc here'!$C$1,1+(('table for research'!$B90-1)*36+HEX2DEC('table for research'!AK$1))*2,2)</f>
        <v>00</v>
      </c>
      <c r="AL90" t="str">
        <f>MID('paste from garc here'!$C$1,1+(('table for research'!$B90-1)*36+HEX2DEC('table for research'!AL$1))*2,2)</f>
        <v>00</v>
      </c>
      <c r="AM90" t="str">
        <f>MID('paste from garc here'!$C$1,1+(('table for research'!$B90-1)*36+HEX2DEC('table for research'!AM$1))*2,2)</f>
        <v>00</v>
      </c>
      <c r="AN90" t="str">
        <f>MID('paste from garc here'!$C$1,1+(('table for research'!$B90-1)*36+HEX2DEC('table for research'!AN$1))*2,2)</f>
        <v>00</v>
      </c>
      <c r="AO90" t="str">
        <f>MID('paste from garc here'!$C$1,1+(('table for research'!$B90-1)*36+HEX2DEC('table for research'!AO$1))*2,2)</f>
        <v>00</v>
      </c>
    </row>
    <row r="91" spans="1:41" x14ac:dyDescent="0.4">
      <c r="A91" t="s">
        <v>103</v>
      </c>
      <c r="B91">
        <f>B90+1</f>
        <v>89</v>
      </c>
      <c r="C91" t="str">
        <f>MID('paste from garc here'!$C$1,1+(('table for research'!$B91-1)*36+HEX2DEC('table for research'!C$1))*2,2)</f>
        <v>80</v>
      </c>
      <c r="D91" t="str">
        <f>MID('paste from garc here'!$C$1,1+(('table for research'!$B91-1)*36+HEX2DEC('table for research'!D$1))*2,2)</f>
        <v>0C</v>
      </c>
      <c r="E91" t="str">
        <f>MID('paste from garc here'!$C$1,1+(('table for research'!$B91-1)*36+HEX2DEC('table for research'!E$1))*2,2)</f>
        <v>00</v>
      </c>
      <c r="F91" t="str">
        <f>MID('paste from garc here'!$C$1,1+(('table for research'!$B91-1)*36+HEX2DEC('table for research'!F$1))*2,2)</f>
        <v>00</v>
      </c>
      <c r="G91" t="str">
        <f>MID('paste from garc here'!$C$1,1+(('table for research'!$B91-1)*36+HEX2DEC('table for research'!G$1))*2,2)</f>
        <v>00</v>
      </c>
      <c r="H91" t="str">
        <f>MID('paste from garc here'!$C$1,1+(('table for research'!$B91-1)*36+HEX2DEC('table for research'!H$1))*2,2)</f>
        <v>00</v>
      </c>
      <c r="I91" t="str">
        <f>MID('paste from garc here'!$C$1,1+(('table for research'!$B91-1)*36+HEX2DEC('table for research'!I$1))*2,2)</f>
        <v>1E</v>
      </c>
      <c r="J91" t="str">
        <f>MID('paste from garc here'!$C$1,1+(('table for research'!$B91-1)*36+HEX2DEC('table for research'!J$1))*2,2)</f>
        <v>00</v>
      </c>
      <c r="K91" t="str">
        <f>DEC2HEX(_xlfn.BITAND(HEX2DEC(MID('paste from garc here'!$C$1,1+(('table for research'!$B91-1)*36+HEX2DEC(8))*2,2)),31),2)</f>
        <v>1F</v>
      </c>
      <c r="L91" t="str">
        <f>DEC2HEX(_xlfn.BITAND(HEX2DEC(MID('paste from garc here'!$C$1,1+(('table for research'!$B91-1)*36+HEX2DEC(8))*2,2)),32),2)</f>
        <v>00</v>
      </c>
      <c r="M91" t="str">
        <f>DEC2HEX(_xlfn.BITAND(HEX2DEC(MID('paste from garc here'!$C$1,1+(('table for research'!$B91-1)*36+HEX2DEC(8))*2,2)),64),2)</f>
        <v>00</v>
      </c>
      <c r="N91" t="str">
        <f>DEC2HEX(_xlfn.BITRSHIFT(_xlfn.BITAND(HEX2DEC(MID('paste from garc here'!$C$1,1+(('table for research'!$B91-1)*36+HEX2DEC(9))*2,2)&amp;MID('paste from garc here'!$C$1,1+(('table for research'!$B91-1)*36+HEX2DEC(8))*2,2)),1920),7),2)</f>
        <v>00</v>
      </c>
      <c r="O91" t="str">
        <f>DEC2HEX(_xlfn.BITRSHIFT(HEX2DEC(MID('paste from garc here'!$C$1,1+(('table for research'!$B91-1)*36+HEX2DEC(9))*2,2)&amp;MID('paste from garc here'!$C$1,1+(('table for research'!$B91-1)*36+HEX2DEC(8))*2,2)),11),2)</f>
        <v>00</v>
      </c>
      <c r="P91" t="str">
        <f>MID('paste from garc here'!$C$1,1+(('table for research'!$B91-1)*36+HEX2DEC('table for research'!P$1))*2,2)</f>
        <v>00</v>
      </c>
      <c r="Q91" t="str">
        <f>MID('paste from garc here'!$C$1,1+(('table for research'!$B91-1)*36+HEX2DEC('table for research'!Q$1))*2,2)</f>
        <v>00</v>
      </c>
      <c r="R91" t="str">
        <f>MID('paste from garc here'!$C$1,1+(('table for research'!$B91-1)*36+HEX2DEC('table for research'!R$1))*2,2)</f>
        <v>01</v>
      </c>
      <c r="S91" t="str">
        <f>MID('paste from garc here'!$C$1,1+(('table for research'!$B91-1)*36+HEX2DEC('table for research'!S$1))*2,2)</f>
        <v>02</v>
      </c>
      <c r="T91" t="str">
        <f>MID('paste from garc here'!$C$1,1+(('table for research'!$B91-1)*36+HEX2DEC('table for research'!T$1))*2,2)</f>
        <v>00</v>
      </c>
      <c r="U91" t="str">
        <f>MID('paste from garc here'!$C$1,1+(('table for research'!$B91-1)*36+HEX2DEC('table for research'!U$1))*2,2)</f>
        <v>0B</v>
      </c>
      <c r="V91" t="str">
        <f>MID('paste from garc here'!$C$1,1+(('table for research'!$B91-1)*36+HEX2DEC('table for research'!V$1))*2,2)</f>
        <v>00</v>
      </c>
      <c r="W91" t="str">
        <f>MID('paste from garc here'!$C$1,1+(('table for research'!$B91-1)*36+HEX2DEC('table for research'!W$1))*2,2)</f>
        <v>00</v>
      </c>
      <c r="X91" t="str">
        <f>MID('paste from garc here'!$C$1,1+(('table for research'!$B91-1)*36+HEX2DEC('table for research'!X$1))*2,2)</f>
        <v>00</v>
      </c>
      <c r="Y91" t="str">
        <f>MID('paste from garc here'!$C$1,1+(('table for research'!$B91-1)*36+HEX2DEC('table for research'!Y$1))*2,2)</f>
        <v>00</v>
      </c>
      <c r="Z91" t="str">
        <f>MID('paste from garc here'!$C$1,1+(('table for research'!$B91-1)*36+HEX2DEC('table for research'!Z$1))*2,2)</f>
        <v>00</v>
      </c>
      <c r="AA91" t="str">
        <f>MID('paste from garc here'!$C$1,1+(('table for research'!$B91-1)*36+HEX2DEC('table for research'!AA$1))*2,2)</f>
        <v>00</v>
      </c>
      <c r="AB91" t="str">
        <f>MID('paste from garc here'!$C$1,1+(('table for research'!$B91-1)*36+HEX2DEC('table for research'!AB$1))*2,2)</f>
        <v>00</v>
      </c>
      <c r="AC91" t="str">
        <f>MID('paste from garc here'!$C$1,1+(('table for research'!$B91-1)*36+HEX2DEC('table for research'!AC$1))*2,2)</f>
        <v>00</v>
      </c>
      <c r="AD91" t="str">
        <f>MID('paste from garc here'!$C$1,1+(('table for research'!$B91-1)*36+HEX2DEC('table for research'!AD$1))*2,2)</f>
        <v>00</v>
      </c>
      <c r="AE91" t="str">
        <f>MID('paste from garc here'!$C$1,1+(('table for research'!$B91-1)*36+HEX2DEC('table for research'!AE$1))*2,2)</f>
        <v>00</v>
      </c>
      <c r="AF91" t="str">
        <f>MID('paste from garc here'!$C$1,1+(('table for research'!$B91-1)*36+HEX2DEC('table for research'!AF$1))*2,2)</f>
        <v>00</v>
      </c>
      <c r="AG91" t="str">
        <f>MID('paste from garc here'!$C$1,1+(('table for research'!$B91-1)*36+HEX2DEC('table for research'!AG$1))*2,2)</f>
        <v>00</v>
      </c>
      <c r="AH91" t="str">
        <f>MID('paste from garc here'!$C$1,1+(('table for research'!$B91-1)*36+HEX2DEC('table for research'!AH$1))*2,2)</f>
        <v>00</v>
      </c>
      <c r="AI91" t="str">
        <f>MID('paste from garc here'!$C$1,1+(('table for research'!$B91-1)*36+HEX2DEC('table for research'!AI$1))*2,2)</f>
        <v>00</v>
      </c>
      <c r="AJ91" t="str">
        <f>MID('paste from garc here'!$C$1,1+(('table for research'!$B91-1)*36+HEX2DEC('table for research'!AJ$1))*2,2)</f>
        <v>00</v>
      </c>
      <c r="AK91" t="str">
        <f>MID('paste from garc here'!$C$1,1+(('table for research'!$B91-1)*36+HEX2DEC('table for research'!AK$1))*2,2)</f>
        <v>00</v>
      </c>
      <c r="AL91" t="str">
        <f>MID('paste from garc here'!$C$1,1+(('table for research'!$B91-1)*36+HEX2DEC('table for research'!AL$1))*2,2)</f>
        <v>00</v>
      </c>
      <c r="AM91" t="str">
        <f>MID('paste from garc here'!$C$1,1+(('table for research'!$B91-1)*36+HEX2DEC('table for research'!AM$1))*2,2)</f>
        <v>00</v>
      </c>
      <c r="AN91" t="str">
        <f>MID('paste from garc here'!$C$1,1+(('table for research'!$B91-1)*36+HEX2DEC('table for research'!AN$1))*2,2)</f>
        <v>00</v>
      </c>
      <c r="AO91" t="str">
        <f>MID('paste from garc here'!$C$1,1+(('table for research'!$B91-1)*36+HEX2DEC('table for research'!AO$1))*2,2)</f>
        <v>00</v>
      </c>
    </row>
    <row r="92" spans="1:41" x14ac:dyDescent="0.4">
      <c r="A92" t="s">
        <v>104</v>
      </c>
      <c r="B92">
        <f>B91+1</f>
        <v>90</v>
      </c>
      <c r="C92" t="str">
        <f>MID('paste from garc here'!$C$1,1+(('table for research'!$B92-1)*36+HEX2DEC('table for research'!C$1))*2,2)</f>
        <v>58</v>
      </c>
      <c r="D92" t="str">
        <f>MID('paste from garc here'!$C$1,1+(('table for research'!$B92-1)*36+HEX2DEC('table for research'!D$1))*2,2)</f>
        <v>02</v>
      </c>
      <c r="E92" t="str">
        <f>MID('paste from garc here'!$C$1,1+(('table for research'!$B92-1)*36+HEX2DEC('table for research'!E$1))*2,2)</f>
        <v>00</v>
      </c>
      <c r="F92" t="str">
        <f>MID('paste from garc here'!$C$1,1+(('table for research'!$B92-1)*36+HEX2DEC('table for research'!F$1))*2,2)</f>
        <v>00</v>
      </c>
      <c r="G92" t="str">
        <f>MID('paste from garc here'!$C$1,1+(('table for research'!$B92-1)*36+HEX2DEC('table for research'!G$1))*2,2)</f>
        <v>00</v>
      </c>
      <c r="H92" t="str">
        <f>MID('paste from garc here'!$C$1,1+(('table for research'!$B92-1)*36+HEX2DEC('table for research'!H$1))*2,2)</f>
        <v>00</v>
      </c>
      <c r="I92" t="str">
        <f>MID('paste from garc here'!$C$1,1+(('table for research'!$B92-1)*36+HEX2DEC('table for research'!I$1))*2,2)</f>
        <v>1E</v>
      </c>
      <c r="J92" t="str">
        <f>MID('paste from garc here'!$C$1,1+(('table for research'!$B92-1)*36+HEX2DEC('table for research'!J$1))*2,2)</f>
        <v>00</v>
      </c>
      <c r="K92" t="str">
        <f>DEC2HEX(_xlfn.BITAND(HEX2DEC(MID('paste from garc here'!$C$1,1+(('table for research'!$B92-1)*36+HEX2DEC(8))*2,2)),31),2)</f>
        <v>1F</v>
      </c>
      <c r="L92" t="str">
        <f>DEC2HEX(_xlfn.BITAND(HEX2DEC(MID('paste from garc here'!$C$1,1+(('table for research'!$B92-1)*36+HEX2DEC(8))*2,2)),32),2)</f>
        <v>00</v>
      </c>
      <c r="M92" t="str">
        <f>DEC2HEX(_xlfn.BITAND(HEX2DEC(MID('paste from garc here'!$C$1,1+(('table for research'!$B92-1)*36+HEX2DEC(8))*2,2)),64),2)</f>
        <v>00</v>
      </c>
      <c r="N92" t="str">
        <f>DEC2HEX(_xlfn.BITRSHIFT(_xlfn.BITAND(HEX2DEC(MID('paste from garc here'!$C$1,1+(('table for research'!$B92-1)*36+HEX2DEC(9))*2,2)&amp;MID('paste from garc here'!$C$1,1+(('table for research'!$B92-1)*36+HEX2DEC(8))*2,2)),1920),7),2)</f>
        <v>00</v>
      </c>
      <c r="O92" t="str">
        <f>DEC2HEX(_xlfn.BITRSHIFT(HEX2DEC(MID('paste from garc here'!$C$1,1+(('table for research'!$B92-1)*36+HEX2DEC(9))*2,2)&amp;MID('paste from garc here'!$C$1,1+(('table for research'!$B92-1)*36+HEX2DEC(8))*2,2)),11),2)</f>
        <v>00</v>
      </c>
      <c r="P92" t="str">
        <f>MID('paste from garc here'!$C$1,1+(('table for research'!$B92-1)*36+HEX2DEC('table for research'!P$1))*2,2)</f>
        <v>00</v>
      </c>
      <c r="Q92" t="str">
        <f>MID('paste from garc here'!$C$1,1+(('table for research'!$B92-1)*36+HEX2DEC('table for research'!Q$1))*2,2)</f>
        <v>00</v>
      </c>
      <c r="R92" t="str">
        <f>MID('paste from garc here'!$C$1,1+(('table for research'!$B92-1)*36+HEX2DEC('table for research'!R$1))*2,2)</f>
        <v>01</v>
      </c>
      <c r="S92" t="str">
        <f>MID('paste from garc here'!$C$1,1+(('table for research'!$B92-1)*36+HEX2DEC('table for research'!S$1))*2,2)</f>
        <v>02</v>
      </c>
      <c r="T92" t="str">
        <f>MID('paste from garc here'!$C$1,1+(('table for research'!$B92-1)*36+HEX2DEC('table for research'!T$1))*2,2)</f>
        <v>00</v>
      </c>
      <c r="U92" t="str">
        <f>MID('paste from garc here'!$C$1,1+(('table for research'!$B92-1)*36+HEX2DEC('table for research'!U$1))*2,2)</f>
        <v>13</v>
      </c>
      <c r="V92" t="str">
        <f>MID('paste from garc here'!$C$1,1+(('table for research'!$B92-1)*36+HEX2DEC('table for research'!V$1))*2,2)</f>
        <v>00</v>
      </c>
      <c r="W92" t="str">
        <f>MID('paste from garc here'!$C$1,1+(('table for research'!$B92-1)*36+HEX2DEC('table for research'!W$1))*2,2)</f>
        <v>00</v>
      </c>
      <c r="X92" t="str">
        <f>MID('paste from garc here'!$C$1,1+(('table for research'!$B92-1)*36+HEX2DEC('table for research'!X$1))*2,2)</f>
        <v>00</v>
      </c>
      <c r="Y92" t="str">
        <f>MID('paste from garc here'!$C$1,1+(('table for research'!$B92-1)*36+HEX2DEC('table for research'!Y$1))*2,2)</f>
        <v>00</v>
      </c>
      <c r="Z92" t="str">
        <f>MID('paste from garc here'!$C$1,1+(('table for research'!$B92-1)*36+HEX2DEC('table for research'!Z$1))*2,2)</f>
        <v>00</v>
      </c>
      <c r="AA92" t="str">
        <f>MID('paste from garc here'!$C$1,1+(('table for research'!$B92-1)*36+HEX2DEC('table for research'!AA$1))*2,2)</f>
        <v>00</v>
      </c>
      <c r="AB92" t="str">
        <f>MID('paste from garc here'!$C$1,1+(('table for research'!$B92-1)*36+HEX2DEC('table for research'!AB$1))*2,2)</f>
        <v>00</v>
      </c>
      <c r="AC92" t="str">
        <f>MID('paste from garc here'!$C$1,1+(('table for research'!$B92-1)*36+HEX2DEC('table for research'!AC$1))*2,2)</f>
        <v>00</v>
      </c>
      <c r="AD92" t="str">
        <f>MID('paste from garc here'!$C$1,1+(('table for research'!$B92-1)*36+HEX2DEC('table for research'!AD$1))*2,2)</f>
        <v>00</v>
      </c>
      <c r="AE92" t="str">
        <f>MID('paste from garc here'!$C$1,1+(('table for research'!$B92-1)*36+HEX2DEC('table for research'!AE$1))*2,2)</f>
        <v>00</v>
      </c>
      <c r="AF92" t="str">
        <f>MID('paste from garc here'!$C$1,1+(('table for research'!$B92-1)*36+HEX2DEC('table for research'!AF$1))*2,2)</f>
        <v>00</v>
      </c>
      <c r="AG92" t="str">
        <f>MID('paste from garc here'!$C$1,1+(('table for research'!$B92-1)*36+HEX2DEC('table for research'!AG$1))*2,2)</f>
        <v>00</v>
      </c>
      <c r="AH92" t="str">
        <f>MID('paste from garc here'!$C$1,1+(('table for research'!$B92-1)*36+HEX2DEC('table for research'!AH$1))*2,2)</f>
        <v>00</v>
      </c>
      <c r="AI92" t="str">
        <f>MID('paste from garc here'!$C$1,1+(('table for research'!$B92-1)*36+HEX2DEC('table for research'!AI$1))*2,2)</f>
        <v>00</v>
      </c>
      <c r="AJ92" t="str">
        <f>MID('paste from garc here'!$C$1,1+(('table for research'!$B92-1)*36+HEX2DEC('table for research'!AJ$1))*2,2)</f>
        <v>00</v>
      </c>
      <c r="AK92" t="str">
        <f>MID('paste from garc here'!$C$1,1+(('table for research'!$B92-1)*36+HEX2DEC('table for research'!AK$1))*2,2)</f>
        <v>00</v>
      </c>
      <c r="AL92" t="str">
        <f>MID('paste from garc here'!$C$1,1+(('table for research'!$B92-1)*36+HEX2DEC('table for research'!AL$1))*2,2)</f>
        <v>00</v>
      </c>
      <c r="AM92" t="str">
        <f>MID('paste from garc here'!$C$1,1+(('table for research'!$B92-1)*36+HEX2DEC('table for research'!AM$1))*2,2)</f>
        <v>00</v>
      </c>
      <c r="AN92" t="str">
        <f>MID('paste from garc here'!$C$1,1+(('table for research'!$B92-1)*36+HEX2DEC('table for research'!AN$1))*2,2)</f>
        <v>00</v>
      </c>
      <c r="AO92" t="str">
        <f>MID('paste from garc here'!$C$1,1+(('table for research'!$B92-1)*36+HEX2DEC('table for research'!AO$1))*2,2)</f>
        <v>00</v>
      </c>
    </row>
    <row r="93" spans="1:41" x14ac:dyDescent="0.4">
      <c r="A93" t="s">
        <v>105</v>
      </c>
      <c r="B93">
        <f>B92+1</f>
        <v>91</v>
      </c>
      <c r="C93" t="str">
        <f>MID('paste from garc here'!$C$1,1+(('table for research'!$B93-1)*36+HEX2DEC('table for research'!C$1))*2,2)</f>
        <v>98</v>
      </c>
      <c r="D93" t="str">
        <f>MID('paste from garc here'!$C$1,1+(('table for research'!$B93-1)*36+HEX2DEC('table for research'!D$1))*2,2)</f>
        <v>08</v>
      </c>
      <c r="E93" t="str">
        <f>MID('paste from garc here'!$C$1,1+(('table for research'!$B93-1)*36+HEX2DEC('table for research'!E$1))*2,2)</f>
        <v>00</v>
      </c>
      <c r="F93" t="str">
        <f>MID('paste from garc here'!$C$1,1+(('table for research'!$B93-1)*36+HEX2DEC('table for research'!F$1))*2,2)</f>
        <v>00</v>
      </c>
      <c r="G93" t="str">
        <f>MID('paste from garc here'!$C$1,1+(('table for research'!$B93-1)*36+HEX2DEC('table for research'!G$1))*2,2)</f>
        <v>00</v>
      </c>
      <c r="H93" t="str">
        <f>MID('paste from garc here'!$C$1,1+(('table for research'!$B93-1)*36+HEX2DEC('table for research'!H$1))*2,2)</f>
        <v>00</v>
      </c>
      <c r="I93" t="str">
        <f>MID('paste from garc here'!$C$1,1+(('table for research'!$B93-1)*36+HEX2DEC('table for research'!I$1))*2,2)</f>
        <v>1E</v>
      </c>
      <c r="J93" t="str">
        <f>MID('paste from garc here'!$C$1,1+(('table for research'!$B93-1)*36+HEX2DEC('table for research'!J$1))*2,2)</f>
        <v>00</v>
      </c>
      <c r="K93" t="str">
        <f>DEC2HEX(_xlfn.BITAND(HEX2DEC(MID('paste from garc here'!$C$1,1+(('table for research'!$B93-1)*36+HEX2DEC(8))*2,2)),31),2)</f>
        <v>1F</v>
      </c>
      <c r="L93" t="str">
        <f>DEC2HEX(_xlfn.BITAND(HEX2DEC(MID('paste from garc here'!$C$1,1+(('table for research'!$B93-1)*36+HEX2DEC(8))*2,2)),32),2)</f>
        <v>00</v>
      </c>
      <c r="M93" t="str">
        <f>DEC2HEX(_xlfn.BITAND(HEX2DEC(MID('paste from garc here'!$C$1,1+(('table for research'!$B93-1)*36+HEX2DEC(8))*2,2)),64),2)</f>
        <v>00</v>
      </c>
      <c r="N93" t="str">
        <f>DEC2HEX(_xlfn.BITRSHIFT(_xlfn.BITAND(HEX2DEC(MID('paste from garc here'!$C$1,1+(('table for research'!$B93-1)*36+HEX2DEC(9))*2,2)&amp;MID('paste from garc here'!$C$1,1+(('table for research'!$B93-1)*36+HEX2DEC(8))*2,2)),1920),7),2)</f>
        <v>00</v>
      </c>
      <c r="O93" t="str">
        <f>DEC2HEX(_xlfn.BITRSHIFT(HEX2DEC(MID('paste from garc here'!$C$1,1+(('table for research'!$B93-1)*36+HEX2DEC(9))*2,2)&amp;MID('paste from garc here'!$C$1,1+(('table for research'!$B93-1)*36+HEX2DEC(8))*2,2)),11),2)</f>
        <v>00</v>
      </c>
      <c r="P93" t="str">
        <f>MID('paste from garc here'!$C$1,1+(('table for research'!$B93-1)*36+HEX2DEC('table for research'!P$1))*2,2)</f>
        <v>00</v>
      </c>
      <c r="Q93" t="str">
        <f>MID('paste from garc here'!$C$1,1+(('table for research'!$B93-1)*36+HEX2DEC('table for research'!Q$1))*2,2)</f>
        <v>00</v>
      </c>
      <c r="R93" t="str">
        <f>MID('paste from garc here'!$C$1,1+(('table for research'!$B93-1)*36+HEX2DEC('table for research'!R$1))*2,2)</f>
        <v>01</v>
      </c>
      <c r="S93" t="str">
        <f>MID('paste from garc here'!$C$1,1+(('table for research'!$B93-1)*36+HEX2DEC('table for research'!S$1))*2,2)</f>
        <v>02</v>
      </c>
      <c r="T93" t="str">
        <f>MID('paste from garc here'!$C$1,1+(('table for research'!$B93-1)*36+HEX2DEC('table for research'!T$1))*2,2)</f>
        <v>00</v>
      </c>
      <c r="U93" t="str">
        <f>MID('paste from garc here'!$C$1,1+(('table for research'!$B93-1)*36+HEX2DEC('table for research'!U$1))*2,2)</f>
        <v>12</v>
      </c>
      <c r="V93" t="str">
        <f>MID('paste from garc here'!$C$1,1+(('table for research'!$B93-1)*36+HEX2DEC('table for research'!V$1))*2,2)</f>
        <v>00</v>
      </c>
      <c r="W93" t="str">
        <f>MID('paste from garc here'!$C$1,1+(('table for research'!$B93-1)*36+HEX2DEC('table for research'!W$1))*2,2)</f>
        <v>00</v>
      </c>
      <c r="X93" t="str">
        <f>MID('paste from garc here'!$C$1,1+(('table for research'!$B93-1)*36+HEX2DEC('table for research'!X$1))*2,2)</f>
        <v>00</v>
      </c>
      <c r="Y93" t="str">
        <f>MID('paste from garc here'!$C$1,1+(('table for research'!$B93-1)*36+HEX2DEC('table for research'!Y$1))*2,2)</f>
        <v>00</v>
      </c>
      <c r="Z93" t="str">
        <f>MID('paste from garc here'!$C$1,1+(('table for research'!$B93-1)*36+HEX2DEC('table for research'!Z$1))*2,2)</f>
        <v>00</v>
      </c>
      <c r="AA93" t="str">
        <f>MID('paste from garc here'!$C$1,1+(('table for research'!$B93-1)*36+HEX2DEC('table for research'!AA$1))*2,2)</f>
        <v>00</v>
      </c>
      <c r="AB93" t="str">
        <f>MID('paste from garc here'!$C$1,1+(('table for research'!$B93-1)*36+HEX2DEC('table for research'!AB$1))*2,2)</f>
        <v>00</v>
      </c>
      <c r="AC93" t="str">
        <f>MID('paste from garc here'!$C$1,1+(('table for research'!$B93-1)*36+HEX2DEC('table for research'!AC$1))*2,2)</f>
        <v>00</v>
      </c>
      <c r="AD93" t="str">
        <f>MID('paste from garc here'!$C$1,1+(('table for research'!$B93-1)*36+HEX2DEC('table for research'!AD$1))*2,2)</f>
        <v>00</v>
      </c>
      <c r="AE93" t="str">
        <f>MID('paste from garc here'!$C$1,1+(('table for research'!$B93-1)*36+HEX2DEC('table for research'!AE$1))*2,2)</f>
        <v>00</v>
      </c>
      <c r="AF93" t="str">
        <f>MID('paste from garc here'!$C$1,1+(('table for research'!$B93-1)*36+HEX2DEC('table for research'!AF$1))*2,2)</f>
        <v>00</v>
      </c>
      <c r="AG93" t="str">
        <f>MID('paste from garc here'!$C$1,1+(('table for research'!$B93-1)*36+HEX2DEC('table for research'!AG$1))*2,2)</f>
        <v>00</v>
      </c>
      <c r="AH93" t="str">
        <f>MID('paste from garc here'!$C$1,1+(('table for research'!$B93-1)*36+HEX2DEC('table for research'!AH$1))*2,2)</f>
        <v>00</v>
      </c>
      <c r="AI93" t="str">
        <f>MID('paste from garc here'!$C$1,1+(('table for research'!$B93-1)*36+HEX2DEC('table for research'!AI$1))*2,2)</f>
        <v>00</v>
      </c>
      <c r="AJ93" t="str">
        <f>MID('paste from garc here'!$C$1,1+(('table for research'!$B93-1)*36+HEX2DEC('table for research'!AJ$1))*2,2)</f>
        <v>00</v>
      </c>
      <c r="AK93" t="str">
        <f>MID('paste from garc here'!$C$1,1+(('table for research'!$B93-1)*36+HEX2DEC('table for research'!AK$1))*2,2)</f>
        <v>00</v>
      </c>
      <c r="AL93" t="str">
        <f>MID('paste from garc here'!$C$1,1+(('table for research'!$B93-1)*36+HEX2DEC('table for research'!AL$1))*2,2)</f>
        <v>00</v>
      </c>
      <c r="AM93" t="str">
        <f>MID('paste from garc here'!$C$1,1+(('table for research'!$B93-1)*36+HEX2DEC('table for research'!AM$1))*2,2)</f>
        <v>00</v>
      </c>
      <c r="AN93" t="str">
        <f>MID('paste from garc here'!$C$1,1+(('table for research'!$B93-1)*36+HEX2DEC('table for research'!AN$1))*2,2)</f>
        <v>00</v>
      </c>
      <c r="AO93" t="str">
        <f>MID('paste from garc here'!$C$1,1+(('table for research'!$B93-1)*36+HEX2DEC('table for research'!AO$1))*2,2)</f>
        <v>00</v>
      </c>
    </row>
    <row r="94" spans="1:41" x14ac:dyDescent="0.4">
      <c r="A94" t="s">
        <v>106</v>
      </c>
      <c r="B94">
        <f>B93+1</f>
        <v>92</v>
      </c>
      <c r="C94" t="str">
        <f>MID('paste from garc here'!$C$1,1+(('table for research'!$B94-1)*36+HEX2DEC('table for research'!C$1))*2,2)</f>
        <v>D0</v>
      </c>
      <c r="D94" t="str">
        <f>MID('paste from garc here'!$C$1,1+(('table for research'!$B94-1)*36+HEX2DEC('table for research'!D$1))*2,2)</f>
        <v>07</v>
      </c>
      <c r="E94" t="str">
        <f>MID('paste from garc here'!$C$1,1+(('table for research'!$B94-1)*36+HEX2DEC('table for research'!E$1))*2,2)</f>
        <v>00</v>
      </c>
      <c r="F94" t="str">
        <f>MID('paste from garc here'!$C$1,1+(('table for research'!$B94-1)*36+HEX2DEC('table for research'!F$1))*2,2)</f>
        <v>00</v>
      </c>
      <c r="G94" t="str">
        <f>MID('paste from garc here'!$C$1,1+(('table for research'!$B94-1)*36+HEX2DEC('table for research'!G$1))*2,2)</f>
        <v>00</v>
      </c>
      <c r="H94" t="str">
        <f>MID('paste from garc here'!$C$1,1+(('table for research'!$B94-1)*36+HEX2DEC('table for research'!H$1))*2,2)</f>
        <v>00</v>
      </c>
      <c r="I94" t="str">
        <f>MID('paste from garc here'!$C$1,1+(('table for research'!$B94-1)*36+HEX2DEC('table for research'!I$1))*2,2)</f>
        <v>1E</v>
      </c>
      <c r="J94" t="str">
        <f>MID('paste from garc here'!$C$1,1+(('table for research'!$B94-1)*36+HEX2DEC('table for research'!J$1))*2,2)</f>
        <v>00</v>
      </c>
      <c r="K94" t="str">
        <f>DEC2HEX(_xlfn.BITAND(HEX2DEC(MID('paste from garc here'!$C$1,1+(('table for research'!$B94-1)*36+HEX2DEC(8))*2,2)),31),2)</f>
        <v>1F</v>
      </c>
      <c r="L94" t="str">
        <f>DEC2HEX(_xlfn.BITAND(HEX2DEC(MID('paste from garc here'!$C$1,1+(('table for research'!$B94-1)*36+HEX2DEC(8))*2,2)),32),2)</f>
        <v>00</v>
      </c>
      <c r="M94" t="str">
        <f>DEC2HEX(_xlfn.BITAND(HEX2DEC(MID('paste from garc here'!$C$1,1+(('table for research'!$B94-1)*36+HEX2DEC(8))*2,2)),64),2)</f>
        <v>00</v>
      </c>
      <c r="N94" t="str">
        <f>DEC2HEX(_xlfn.BITRSHIFT(_xlfn.BITAND(HEX2DEC(MID('paste from garc here'!$C$1,1+(('table for research'!$B94-1)*36+HEX2DEC(9))*2,2)&amp;MID('paste from garc here'!$C$1,1+(('table for research'!$B94-1)*36+HEX2DEC(8))*2,2)),1920),7),2)</f>
        <v>00</v>
      </c>
      <c r="O94" t="str">
        <f>DEC2HEX(_xlfn.BITRSHIFT(HEX2DEC(MID('paste from garc here'!$C$1,1+(('table for research'!$B94-1)*36+HEX2DEC(9))*2,2)&amp;MID('paste from garc here'!$C$1,1+(('table for research'!$B94-1)*36+HEX2DEC(8))*2,2)),11),2)</f>
        <v>00</v>
      </c>
      <c r="P94" t="str">
        <f>MID('paste from garc here'!$C$1,1+(('table for research'!$B94-1)*36+HEX2DEC('table for research'!P$1))*2,2)</f>
        <v>00</v>
      </c>
      <c r="Q94" t="str">
        <f>MID('paste from garc here'!$C$1,1+(('table for research'!$B94-1)*36+HEX2DEC('table for research'!Q$1))*2,2)</f>
        <v>00</v>
      </c>
      <c r="R94" t="str">
        <f>MID('paste from garc here'!$C$1,1+(('table for research'!$B94-1)*36+HEX2DEC('table for research'!R$1))*2,2)</f>
        <v>01</v>
      </c>
      <c r="S94" t="str">
        <f>MID('paste from garc here'!$C$1,1+(('table for research'!$B94-1)*36+HEX2DEC('table for research'!S$1))*2,2)</f>
        <v>02</v>
      </c>
      <c r="T94" t="str">
        <f>MID('paste from garc here'!$C$1,1+(('table for research'!$B94-1)*36+HEX2DEC('table for research'!T$1))*2,2)</f>
        <v>00</v>
      </c>
      <c r="U94" t="str">
        <f>MID('paste from garc here'!$C$1,1+(('table for research'!$B94-1)*36+HEX2DEC('table for research'!U$1))*2,2)</f>
        <v>0F</v>
      </c>
      <c r="V94" t="str">
        <f>MID('paste from garc here'!$C$1,1+(('table for research'!$B94-1)*36+HEX2DEC('table for research'!V$1))*2,2)</f>
        <v>00</v>
      </c>
      <c r="W94" t="str">
        <f>MID('paste from garc here'!$C$1,1+(('table for research'!$B94-1)*36+HEX2DEC('table for research'!W$1))*2,2)</f>
        <v>00</v>
      </c>
      <c r="X94" t="str">
        <f>MID('paste from garc here'!$C$1,1+(('table for research'!$B94-1)*36+HEX2DEC('table for research'!X$1))*2,2)</f>
        <v>00</v>
      </c>
      <c r="Y94" t="str">
        <f>MID('paste from garc here'!$C$1,1+(('table for research'!$B94-1)*36+HEX2DEC('table for research'!Y$1))*2,2)</f>
        <v>00</v>
      </c>
      <c r="Z94" t="str">
        <f>MID('paste from garc here'!$C$1,1+(('table for research'!$B94-1)*36+HEX2DEC('table for research'!Z$1))*2,2)</f>
        <v>00</v>
      </c>
      <c r="AA94" t="str">
        <f>MID('paste from garc here'!$C$1,1+(('table for research'!$B94-1)*36+HEX2DEC('table for research'!AA$1))*2,2)</f>
        <v>00</v>
      </c>
      <c r="AB94" t="str">
        <f>MID('paste from garc here'!$C$1,1+(('table for research'!$B94-1)*36+HEX2DEC('table for research'!AB$1))*2,2)</f>
        <v>00</v>
      </c>
      <c r="AC94" t="str">
        <f>MID('paste from garc here'!$C$1,1+(('table for research'!$B94-1)*36+HEX2DEC('table for research'!AC$1))*2,2)</f>
        <v>00</v>
      </c>
      <c r="AD94" t="str">
        <f>MID('paste from garc here'!$C$1,1+(('table for research'!$B94-1)*36+HEX2DEC('table for research'!AD$1))*2,2)</f>
        <v>00</v>
      </c>
      <c r="AE94" t="str">
        <f>MID('paste from garc here'!$C$1,1+(('table for research'!$B94-1)*36+HEX2DEC('table for research'!AE$1))*2,2)</f>
        <v>00</v>
      </c>
      <c r="AF94" t="str">
        <f>MID('paste from garc here'!$C$1,1+(('table for research'!$B94-1)*36+HEX2DEC('table for research'!AF$1))*2,2)</f>
        <v>00</v>
      </c>
      <c r="AG94" t="str">
        <f>MID('paste from garc here'!$C$1,1+(('table for research'!$B94-1)*36+HEX2DEC('table for research'!AG$1))*2,2)</f>
        <v>00</v>
      </c>
      <c r="AH94" t="str">
        <f>MID('paste from garc here'!$C$1,1+(('table for research'!$B94-1)*36+HEX2DEC('table for research'!AH$1))*2,2)</f>
        <v>00</v>
      </c>
      <c r="AI94" t="str">
        <f>MID('paste from garc here'!$C$1,1+(('table for research'!$B94-1)*36+HEX2DEC('table for research'!AI$1))*2,2)</f>
        <v>00</v>
      </c>
      <c r="AJ94" t="str">
        <f>MID('paste from garc here'!$C$1,1+(('table for research'!$B94-1)*36+HEX2DEC('table for research'!AJ$1))*2,2)</f>
        <v>00</v>
      </c>
      <c r="AK94" t="str">
        <f>MID('paste from garc here'!$C$1,1+(('table for research'!$B94-1)*36+HEX2DEC('table for research'!AK$1))*2,2)</f>
        <v>00</v>
      </c>
      <c r="AL94" t="str">
        <f>MID('paste from garc here'!$C$1,1+(('table for research'!$B94-1)*36+HEX2DEC('table for research'!AL$1))*2,2)</f>
        <v>00</v>
      </c>
      <c r="AM94" t="str">
        <f>MID('paste from garc here'!$C$1,1+(('table for research'!$B94-1)*36+HEX2DEC('table for research'!AM$1))*2,2)</f>
        <v>00</v>
      </c>
      <c r="AN94" t="str">
        <f>MID('paste from garc here'!$C$1,1+(('table for research'!$B94-1)*36+HEX2DEC('table for research'!AN$1))*2,2)</f>
        <v>00</v>
      </c>
      <c r="AO94" t="str">
        <f>MID('paste from garc here'!$C$1,1+(('table for research'!$B94-1)*36+HEX2DEC('table for research'!AO$1))*2,2)</f>
        <v>00</v>
      </c>
    </row>
    <row r="95" spans="1:41" x14ac:dyDescent="0.4">
      <c r="A95" t="s">
        <v>107</v>
      </c>
      <c r="B95">
        <f>B94+1</f>
        <v>93</v>
      </c>
      <c r="C95" t="str">
        <f>MID('paste from garc here'!$C$1,1+(('table for research'!$B95-1)*36+HEX2DEC('table for research'!C$1))*2,2)</f>
        <v>32</v>
      </c>
      <c r="D95" t="str">
        <f>MID('paste from garc here'!$C$1,1+(('table for research'!$B95-1)*36+HEX2DEC('table for research'!D$1))*2,2)</f>
        <v>00</v>
      </c>
      <c r="E95" t="str">
        <f>MID('paste from garc here'!$C$1,1+(('table for research'!$B95-1)*36+HEX2DEC('table for research'!E$1))*2,2)</f>
        <v>00</v>
      </c>
      <c r="F95" t="str">
        <f>MID('paste from garc here'!$C$1,1+(('table for research'!$B95-1)*36+HEX2DEC('table for research'!F$1))*2,2)</f>
        <v>00</v>
      </c>
      <c r="G95" t="str">
        <f>MID('paste from garc here'!$C$1,1+(('table for research'!$B95-1)*36+HEX2DEC('table for research'!G$1))*2,2)</f>
        <v>00</v>
      </c>
      <c r="H95" t="str">
        <f>MID('paste from garc here'!$C$1,1+(('table for research'!$B95-1)*36+HEX2DEC('table for research'!H$1))*2,2)</f>
        <v>00</v>
      </c>
      <c r="I95" t="str">
        <f>MID('paste from garc here'!$C$1,1+(('table for research'!$B95-1)*36+HEX2DEC('table for research'!I$1))*2,2)</f>
        <v>1E</v>
      </c>
      <c r="J95" t="str">
        <f>MID('paste from garc here'!$C$1,1+(('table for research'!$B95-1)*36+HEX2DEC('table for research'!J$1))*2,2)</f>
        <v>00</v>
      </c>
      <c r="K95" t="str">
        <f>DEC2HEX(_xlfn.BITAND(HEX2DEC(MID('paste from garc here'!$C$1,1+(('table for research'!$B95-1)*36+HEX2DEC(8))*2,2)),31),2)</f>
        <v>1F</v>
      </c>
      <c r="L95" t="str">
        <f>DEC2HEX(_xlfn.BITAND(HEX2DEC(MID('paste from garc here'!$C$1,1+(('table for research'!$B95-1)*36+HEX2DEC(8))*2,2)),32),2)</f>
        <v>00</v>
      </c>
      <c r="M95" t="str">
        <f>DEC2HEX(_xlfn.BITAND(HEX2DEC(MID('paste from garc here'!$C$1,1+(('table for research'!$B95-1)*36+HEX2DEC(8))*2,2)),64),2)</f>
        <v>00</v>
      </c>
      <c r="N95" t="str">
        <f>DEC2HEX(_xlfn.BITRSHIFT(_xlfn.BITAND(HEX2DEC(MID('paste from garc here'!$C$1,1+(('table for research'!$B95-1)*36+HEX2DEC(9))*2,2)&amp;MID('paste from garc here'!$C$1,1+(('table for research'!$B95-1)*36+HEX2DEC(8))*2,2)),1920),7),2)</f>
        <v>00</v>
      </c>
      <c r="O95" t="str">
        <f>DEC2HEX(_xlfn.BITRSHIFT(HEX2DEC(MID('paste from garc here'!$C$1,1+(('table for research'!$B95-1)*36+HEX2DEC(9))*2,2)&amp;MID('paste from garc here'!$C$1,1+(('table for research'!$B95-1)*36+HEX2DEC(8))*2,2)),11),2)</f>
        <v>00</v>
      </c>
      <c r="P95" t="str">
        <f>MID('paste from garc here'!$C$1,1+(('table for research'!$B95-1)*36+HEX2DEC('table for research'!P$1))*2,2)</f>
        <v>00</v>
      </c>
      <c r="Q95" t="str">
        <f>MID('paste from garc here'!$C$1,1+(('table for research'!$B95-1)*36+HEX2DEC('table for research'!Q$1))*2,2)</f>
        <v>00</v>
      </c>
      <c r="R95" t="str">
        <f>MID('paste from garc here'!$C$1,1+(('table for research'!$B95-1)*36+HEX2DEC('table for research'!R$1))*2,2)</f>
        <v>01</v>
      </c>
      <c r="S95" t="str">
        <f>MID('paste from garc here'!$C$1,1+(('table for research'!$B95-1)*36+HEX2DEC('table for research'!S$1))*2,2)</f>
        <v>02</v>
      </c>
      <c r="T95" t="str">
        <f>MID('paste from garc here'!$C$1,1+(('table for research'!$B95-1)*36+HEX2DEC('table for research'!T$1))*2,2)</f>
        <v>00</v>
      </c>
      <c r="U95" t="str">
        <f>MID('paste from garc here'!$C$1,1+(('table for research'!$B95-1)*36+HEX2DEC('table for research'!U$1))*2,2)</f>
        <v>82</v>
      </c>
      <c r="V95" t="str">
        <f>MID('paste from garc here'!$C$1,1+(('table for research'!$B95-1)*36+HEX2DEC('table for research'!V$1))*2,2)</f>
        <v>00</v>
      </c>
      <c r="W95" t="str">
        <f>MID('paste from garc here'!$C$1,1+(('table for research'!$B95-1)*36+HEX2DEC('table for research'!W$1))*2,2)</f>
        <v>00</v>
      </c>
      <c r="X95" t="str">
        <f>MID('paste from garc here'!$C$1,1+(('table for research'!$B95-1)*36+HEX2DEC('table for research'!X$1))*2,2)</f>
        <v>00</v>
      </c>
      <c r="Y95" t="str">
        <f>MID('paste from garc here'!$C$1,1+(('table for research'!$B95-1)*36+HEX2DEC('table for research'!Y$1))*2,2)</f>
        <v>00</v>
      </c>
      <c r="Z95" t="str">
        <f>MID('paste from garc here'!$C$1,1+(('table for research'!$B95-1)*36+HEX2DEC('table for research'!Z$1))*2,2)</f>
        <v>00</v>
      </c>
      <c r="AA95" t="str">
        <f>MID('paste from garc here'!$C$1,1+(('table for research'!$B95-1)*36+HEX2DEC('table for research'!AA$1))*2,2)</f>
        <v>00</v>
      </c>
      <c r="AB95" t="str">
        <f>MID('paste from garc here'!$C$1,1+(('table for research'!$B95-1)*36+HEX2DEC('table for research'!AB$1))*2,2)</f>
        <v>00</v>
      </c>
      <c r="AC95" t="str">
        <f>MID('paste from garc here'!$C$1,1+(('table for research'!$B95-1)*36+HEX2DEC('table for research'!AC$1))*2,2)</f>
        <v>00</v>
      </c>
      <c r="AD95" t="str">
        <f>MID('paste from garc here'!$C$1,1+(('table for research'!$B95-1)*36+HEX2DEC('table for research'!AD$1))*2,2)</f>
        <v>00</v>
      </c>
      <c r="AE95" t="str">
        <f>MID('paste from garc here'!$C$1,1+(('table for research'!$B95-1)*36+HEX2DEC('table for research'!AE$1))*2,2)</f>
        <v>00</v>
      </c>
      <c r="AF95" t="str">
        <f>MID('paste from garc here'!$C$1,1+(('table for research'!$B95-1)*36+HEX2DEC('table for research'!AF$1))*2,2)</f>
        <v>00</v>
      </c>
      <c r="AG95" t="str">
        <f>MID('paste from garc here'!$C$1,1+(('table for research'!$B95-1)*36+HEX2DEC('table for research'!AG$1))*2,2)</f>
        <v>00</v>
      </c>
      <c r="AH95" t="str">
        <f>MID('paste from garc here'!$C$1,1+(('table for research'!$B95-1)*36+HEX2DEC('table for research'!AH$1))*2,2)</f>
        <v>00</v>
      </c>
      <c r="AI95" t="str">
        <f>MID('paste from garc here'!$C$1,1+(('table for research'!$B95-1)*36+HEX2DEC('table for research'!AI$1))*2,2)</f>
        <v>00</v>
      </c>
      <c r="AJ95" t="str">
        <f>MID('paste from garc here'!$C$1,1+(('table for research'!$B95-1)*36+HEX2DEC('table for research'!AJ$1))*2,2)</f>
        <v>00</v>
      </c>
      <c r="AK95" t="str">
        <f>MID('paste from garc here'!$C$1,1+(('table for research'!$B95-1)*36+HEX2DEC('table for research'!AK$1))*2,2)</f>
        <v>00</v>
      </c>
      <c r="AL95" t="str">
        <f>MID('paste from garc here'!$C$1,1+(('table for research'!$B95-1)*36+HEX2DEC('table for research'!AL$1))*2,2)</f>
        <v>00</v>
      </c>
      <c r="AM95" t="str">
        <f>MID('paste from garc here'!$C$1,1+(('table for research'!$B95-1)*36+HEX2DEC('table for research'!AM$1))*2,2)</f>
        <v>00</v>
      </c>
      <c r="AN95" t="str">
        <f>MID('paste from garc here'!$C$1,1+(('table for research'!$B95-1)*36+HEX2DEC('table for research'!AN$1))*2,2)</f>
        <v>00</v>
      </c>
      <c r="AO95" t="str">
        <f>MID('paste from garc here'!$C$1,1+(('table for research'!$B95-1)*36+HEX2DEC('table for research'!AO$1))*2,2)</f>
        <v>00</v>
      </c>
    </row>
    <row r="96" spans="1:41" x14ac:dyDescent="0.4">
      <c r="A96" t="s">
        <v>108</v>
      </c>
      <c r="B96">
        <f>B95+1</f>
        <v>94</v>
      </c>
      <c r="C96" t="str">
        <f>MID('paste from garc here'!$C$1,1+(('table for research'!$B96-1)*36+HEX2DEC('table for research'!C$1))*2,2)</f>
        <v>1E</v>
      </c>
      <c r="D96" t="str">
        <f>MID('paste from garc here'!$C$1,1+(('table for research'!$B96-1)*36+HEX2DEC('table for research'!D$1))*2,2)</f>
        <v>00</v>
      </c>
      <c r="E96" t="str">
        <f>MID('paste from garc here'!$C$1,1+(('table for research'!$B96-1)*36+HEX2DEC('table for research'!E$1))*2,2)</f>
        <v>00</v>
      </c>
      <c r="F96" t="str">
        <f>MID('paste from garc here'!$C$1,1+(('table for research'!$B96-1)*36+HEX2DEC('table for research'!F$1))*2,2)</f>
        <v>00</v>
      </c>
      <c r="G96" t="str">
        <f>MID('paste from garc here'!$C$1,1+(('table for research'!$B96-1)*36+HEX2DEC('table for research'!G$1))*2,2)</f>
        <v>00</v>
      </c>
      <c r="H96" t="str">
        <f>MID('paste from garc here'!$C$1,1+(('table for research'!$B96-1)*36+HEX2DEC('table for research'!H$1))*2,2)</f>
        <v>00</v>
      </c>
      <c r="I96" t="str">
        <f>MID('paste from garc here'!$C$1,1+(('table for research'!$B96-1)*36+HEX2DEC('table for research'!I$1))*2,2)</f>
        <v>1E</v>
      </c>
      <c r="J96" t="str">
        <f>MID('paste from garc here'!$C$1,1+(('table for research'!$B96-1)*36+HEX2DEC('table for research'!J$1))*2,2)</f>
        <v>00</v>
      </c>
      <c r="K96" t="str">
        <f>DEC2HEX(_xlfn.BITAND(HEX2DEC(MID('paste from garc here'!$C$1,1+(('table for research'!$B96-1)*36+HEX2DEC(8))*2,2)),31),2)</f>
        <v>1F</v>
      </c>
      <c r="L96" t="str">
        <f>DEC2HEX(_xlfn.BITAND(HEX2DEC(MID('paste from garc here'!$C$1,1+(('table for research'!$B96-1)*36+HEX2DEC(8))*2,2)),32),2)</f>
        <v>00</v>
      </c>
      <c r="M96" t="str">
        <f>DEC2HEX(_xlfn.BITAND(HEX2DEC(MID('paste from garc here'!$C$1,1+(('table for research'!$B96-1)*36+HEX2DEC(8))*2,2)),64),2)</f>
        <v>00</v>
      </c>
      <c r="N96" t="str">
        <f>DEC2HEX(_xlfn.BITRSHIFT(_xlfn.BITAND(HEX2DEC(MID('paste from garc here'!$C$1,1+(('table for research'!$B96-1)*36+HEX2DEC(9))*2,2)&amp;MID('paste from garc here'!$C$1,1+(('table for research'!$B96-1)*36+HEX2DEC(8))*2,2)),1920),7),2)</f>
        <v>00</v>
      </c>
      <c r="O96" t="str">
        <f>DEC2HEX(_xlfn.BITRSHIFT(HEX2DEC(MID('paste from garc here'!$C$1,1+(('table for research'!$B96-1)*36+HEX2DEC(9))*2,2)&amp;MID('paste from garc here'!$C$1,1+(('table for research'!$B96-1)*36+HEX2DEC(8))*2,2)),11),2)</f>
        <v>00</v>
      </c>
      <c r="P96" t="str">
        <f>MID('paste from garc here'!$C$1,1+(('table for research'!$B96-1)*36+HEX2DEC('table for research'!P$1))*2,2)</f>
        <v>04</v>
      </c>
      <c r="Q96" t="str">
        <f>MID('paste from garc here'!$C$1,1+(('table for research'!$B96-1)*36+HEX2DEC('table for research'!Q$1))*2,2)</f>
        <v>00</v>
      </c>
      <c r="R96" t="str">
        <f>MID('paste from garc here'!$C$1,1+(('table for research'!$B96-1)*36+HEX2DEC('table for research'!R$1))*2,2)</f>
        <v>01</v>
      </c>
      <c r="S96" t="str">
        <f>MID('paste from garc here'!$C$1,1+(('table for research'!$B96-1)*36+HEX2DEC('table for research'!S$1))*2,2)</f>
        <v>02</v>
      </c>
      <c r="T96" t="str">
        <f>MID('paste from garc here'!$C$1,1+(('table for research'!$B96-1)*36+HEX2DEC('table for research'!T$1))*2,2)</f>
        <v>00</v>
      </c>
      <c r="U96" t="str">
        <f>MID('paste from garc here'!$C$1,1+(('table for research'!$B96-1)*36+HEX2DEC('table for research'!U$1))*2,2)</f>
        <v>AB</v>
      </c>
      <c r="V96" t="str">
        <f>MID('paste from garc here'!$C$1,1+(('table for research'!$B96-1)*36+HEX2DEC('table for research'!V$1))*2,2)</f>
        <v>00</v>
      </c>
      <c r="W96" t="str">
        <f>MID('paste from garc here'!$C$1,1+(('table for research'!$B96-1)*36+HEX2DEC('table for research'!W$1))*2,2)</f>
        <v>00</v>
      </c>
      <c r="X96" t="str">
        <f>MID('paste from garc here'!$C$1,1+(('table for research'!$B96-1)*36+HEX2DEC('table for research'!X$1))*2,2)</f>
        <v>00</v>
      </c>
      <c r="Y96" t="str">
        <f>MID('paste from garc here'!$C$1,1+(('table for research'!$B96-1)*36+HEX2DEC('table for research'!Y$1))*2,2)</f>
        <v>00</v>
      </c>
      <c r="Z96" t="str">
        <f>MID('paste from garc here'!$C$1,1+(('table for research'!$B96-1)*36+HEX2DEC('table for research'!Z$1))*2,2)</f>
        <v>00</v>
      </c>
      <c r="AA96" t="str">
        <f>MID('paste from garc here'!$C$1,1+(('table for research'!$B96-1)*36+HEX2DEC('table for research'!AA$1))*2,2)</f>
        <v>00</v>
      </c>
      <c r="AB96" t="str">
        <f>MID('paste from garc here'!$C$1,1+(('table for research'!$B96-1)*36+HEX2DEC('table for research'!AB$1))*2,2)</f>
        <v>00</v>
      </c>
      <c r="AC96" t="str">
        <f>MID('paste from garc here'!$C$1,1+(('table for research'!$B96-1)*36+HEX2DEC('table for research'!AC$1))*2,2)</f>
        <v>00</v>
      </c>
      <c r="AD96" t="str">
        <f>MID('paste from garc here'!$C$1,1+(('table for research'!$B96-1)*36+HEX2DEC('table for research'!AD$1))*2,2)</f>
        <v>00</v>
      </c>
      <c r="AE96" t="str">
        <f>MID('paste from garc here'!$C$1,1+(('table for research'!$B96-1)*36+HEX2DEC('table for research'!AE$1))*2,2)</f>
        <v>00</v>
      </c>
      <c r="AF96" t="str">
        <f>MID('paste from garc here'!$C$1,1+(('table for research'!$B96-1)*36+HEX2DEC('table for research'!AF$1))*2,2)</f>
        <v>00</v>
      </c>
      <c r="AG96" t="str">
        <f>MID('paste from garc here'!$C$1,1+(('table for research'!$B96-1)*36+HEX2DEC('table for research'!AG$1))*2,2)</f>
        <v>00</v>
      </c>
      <c r="AH96" t="str">
        <f>MID('paste from garc here'!$C$1,1+(('table for research'!$B96-1)*36+HEX2DEC('table for research'!AH$1))*2,2)</f>
        <v>00</v>
      </c>
      <c r="AI96" t="str">
        <f>MID('paste from garc here'!$C$1,1+(('table for research'!$B96-1)*36+HEX2DEC('table for research'!AI$1))*2,2)</f>
        <v>00</v>
      </c>
      <c r="AJ96" t="str">
        <f>MID('paste from garc here'!$C$1,1+(('table for research'!$B96-1)*36+HEX2DEC('table for research'!AJ$1))*2,2)</f>
        <v>00</v>
      </c>
      <c r="AK96" t="str">
        <f>MID('paste from garc here'!$C$1,1+(('table for research'!$B96-1)*36+HEX2DEC('table for research'!AK$1))*2,2)</f>
        <v>00</v>
      </c>
      <c r="AL96" t="str">
        <f>MID('paste from garc here'!$C$1,1+(('table for research'!$B96-1)*36+HEX2DEC('table for research'!AL$1))*2,2)</f>
        <v>00</v>
      </c>
      <c r="AM96" t="str">
        <f>MID('paste from garc here'!$C$1,1+(('table for research'!$B96-1)*36+HEX2DEC('table for research'!AM$1))*2,2)</f>
        <v>00</v>
      </c>
      <c r="AN96" t="str">
        <f>MID('paste from garc here'!$C$1,1+(('table for research'!$B96-1)*36+HEX2DEC('table for research'!AN$1))*2,2)</f>
        <v>00</v>
      </c>
      <c r="AO96" t="str">
        <f>MID('paste from garc here'!$C$1,1+(('table for research'!$B96-1)*36+HEX2DEC('table for research'!AO$1))*2,2)</f>
        <v>00</v>
      </c>
    </row>
    <row r="97" spans="1:41" x14ac:dyDescent="0.4">
      <c r="A97" t="s">
        <v>109</v>
      </c>
      <c r="B97">
        <f>B96+1</f>
        <v>95</v>
      </c>
      <c r="C97" t="str">
        <f>MID('paste from garc here'!$C$1,1+(('table for research'!$B97-1)*36+HEX2DEC('table for research'!C$1))*2,2)</f>
        <v>14</v>
      </c>
      <c r="D97" t="str">
        <f>MID('paste from garc here'!$C$1,1+(('table for research'!$B97-1)*36+HEX2DEC('table for research'!D$1))*2,2)</f>
        <v>00</v>
      </c>
      <c r="E97" t="str">
        <f>MID('paste from garc here'!$C$1,1+(('table for research'!$B97-1)*36+HEX2DEC('table for research'!E$1))*2,2)</f>
        <v>00</v>
      </c>
      <c r="F97" t="str">
        <f>MID('paste from garc here'!$C$1,1+(('table for research'!$B97-1)*36+HEX2DEC('table for research'!F$1))*2,2)</f>
        <v>00</v>
      </c>
      <c r="G97" t="str">
        <f>MID('paste from garc here'!$C$1,1+(('table for research'!$B97-1)*36+HEX2DEC('table for research'!G$1))*2,2)</f>
        <v>00</v>
      </c>
      <c r="H97" t="str">
        <f>MID('paste from garc here'!$C$1,1+(('table for research'!$B97-1)*36+HEX2DEC('table for research'!H$1))*2,2)</f>
        <v>00</v>
      </c>
      <c r="I97" t="str">
        <f>MID('paste from garc here'!$C$1,1+(('table for research'!$B97-1)*36+HEX2DEC('table for research'!I$1))*2,2)</f>
        <v>1E</v>
      </c>
      <c r="J97" t="str">
        <f>MID('paste from garc here'!$C$1,1+(('table for research'!$B97-1)*36+HEX2DEC('table for research'!J$1))*2,2)</f>
        <v>00</v>
      </c>
      <c r="K97" t="str">
        <f>DEC2HEX(_xlfn.BITAND(HEX2DEC(MID('paste from garc here'!$C$1,1+(('table for research'!$B97-1)*36+HEX2DEC(8))*2,2)),31),2)</f>
        <v>1F</v>
      </c>
      <c r="L97" t="str">
        <f>DEC2HEX(_xlfn.BITAND(HEX2DEC(MID('paste from garc here'!$C$1,1+(('table for research'!$B97-1)*36+HEX2DEC(8))*2,2)),32),2)</f>
        <v>00</v>
      </c>
      <c r="M97" t="str">
        <f>DEC2HEX(_xlfn.BITAND(HEX2DEC(MID('paste from garc here'!$C$1,1+(('table for research'!$B97-1)*36+HEX2DEC(8))*2,2)),64),2)</f>
        <v>00</v>
      </c>
      <c r="N97" t="str">
        <f>DEC2HEX(_xlfn.BITRSHIFT(_xlfn.BITAND(HEX2DEC(MID('paste from garc here'!$C$1,1+(('table for research'!$B97-1)*36+HEX2DEC(9))*2,2)&amp;MID('paste from garc here'!$C$1,1+(('table for research'!$B97-1)*36+HEX2DEC(8))*2,2)),1920),7),2)</f>
        <v>00</v>
      </c>
      <c r="O97" t="str">
        <f>DEC2HEX(_xlfn.BITRSHIFT(HEX2DEC(MID('paste from garc here'!$C$1,1+(('table for research'!$B97-1)*36+HEX2DEC(9))*2,2)&amp;MID('paste from garc here'!$C$1,1+(('table for research'!$B97-1)*36+HEX2DEC(8))*2,2)),11),2)</f>
        <v>00</v>
      </c>
      <c r="P97" t="str">
        <f>MID('paste from garc here'!$C$1,1+(('table for research'!$B97-1)*36+HEX2DEC('table for research'!P$1))*2,2)</f>
        <v>00</v>
      </c>
      <c r="Q97" t="str">
        <f>MID('paste from garc here'!$C$1,1+(('table for research'!$B97-1)*36+HEX2DEC('table for research'!Q$1))*2,2)</f>
        <v>00</v>
      </c>
      <c r="R97" t="str">
        <f>MID('paste from garc here'!$C$1,1+(('table for research'!$B97-1)*36+HEX2DEC('table for research'!R$1))*2,2)</f>
        <v>01</v>
      </c>
      <c r="S97" t="str">
        <f>MID('paste from garc here'!$C$1,1+(('table for research'!$B97-1)*36+HEX2DEC('table for research'!S$1))*2,2)</f>
        <v>02</v>
      </c>
      <c r="T97" t="str">
        <f>MID('paste from garc here'!$C$1,1+(('table for research'!$B97-1)*36+HEX2DEC('table for research'!T$1))*2,2)</f>
        <v>00</v>
      </c>
      <c r="U97" t="str">
        <f>MID('paste from garc here'!$C$1,1+(('table for research'!$B97-1)*36+HEX2DEC('table for research'!U$1))*2,2)</f>
        <v>FF</v>
      </c>
      <c r="V97" t="str">
        <f>MID('paste from garc here'!$C$1,1+(('table for research'!$B97-1)*36+HEX2DEC('table for research'!V$1))*2,2)</f>
        <v>00</v>
      </c>
      <c r="W97" t="str">
        <f>MID('paste from garc here'!$C$1,1+(('table for research'!$B97-1)*36+HEX2DEC('table for research'!W$1))*2,2)</f>
        <v>00</v>
      </c>
      <c r="X97" t="str">
        <f>MID('paste from garc here'!$C$1,1+(('table for research'!$B97-1)*36+HEX2DEC('table for research'!X$1))*2,2)</f>
        <v>00</v>
      </c>
      <c r="Y97" t="str">
        <f>MID('paste from garc here'!$C$1,1+(('table for research'!$B97-1)*36+HEX2DEC('table for research'!Y$1))*2,2)</f>
        <v>00</v>
      </c>
      <c r="Z97" t="str">
        <f>MID('paste from garc here'!$C$1,1+(('table for research'!$B97-1)*36+HEX2DEC('table for research'!Z$1))*2,2)</f>
        <v>00</v>
      </c>
      <c r="AA97" t="str">
        <f>MID('paste from garc here'!$C$1,1+(('table for research'!$B97-1)*36+HEX2DEC('table for research'!AA$1))*2,2)</f>
        <v>00</v>
      </c>
      <c r="AB97" t="str">
        <f>MID('paste from garc here'!$C$1,1+(('table for research'!$B97-1)*36+HEX2DEC('table for research'!AB$1))*2,2)</f>
        <v>00</v>
      </c>
      <c r="AC97" t="str">
        <f>MID('paste from garc here'!$C$1,1+(('table for research'!$B97-1)*36+HEX2DEC('table for research'!AC$1))*2,2)</f>
        <v>00</v>
      </c>
      <c r="AD97" t="str">
        <f>MID('paste from garc here'!$C$1,1+(('table for research'!$B97-1)*36+HEX2DEC('table for research'!AD$1))*2,2)</f>
        <v>00</v>
      </c>
      <c r="AE97" t="str">
        <f>MID('paste from garc here'!$C$1,1+(('table for research'!$B97-1)*36+HEX2DEC('table for research'!AE$1))*2,2)</f>
        <v>00</v>
      </c>
      <c r="AF97" t="str">
        <f>MID('paste from garc here'!$C$1,1+(('table for research'!$B97-1)*36+HEX2DEC('table for research'!AF$1))*2,2)</f>
        <v>00</v>
      </c>
      <c r="AG97" t="str">
        <f>MID('paste from garc here'!$C$1,1+(('table for research'!$B97-1)*36+HEX2DEC('table for research'!AG$1))*2,2)</f>
        <v>00</v>
      </c>
      <c r="AH97" t="str">
        <f>MID('paste from garc here'!$C$1,1+(('table for research'!$B97-1)*36+HEX2DEC('table for research'!AH$1))*2,2)</f>
        <v>00</v>
      </c>
      <c r="AI97" t="str">
        <f>MID('paste from garc here'!$C$1,1+(('table for research'!$B97-1)*36+HEX2DEC('table for research'!AI$1))*2,2)</f>
        <v>00</v>
      </c>
      <c r="AJ97" t="str">
        <f>MID('paste from garc here'!$C$1,1+(('table for research'!$B97-1)*36+HEX2DEC('table for research'!AJ$1))*2,2)</f>
        <v>00</v>
      </c>
      <c r="AK97" t="str">
        <f>MID('paste from garc here'!$C$1,1+(('table for research'!$B97-1)*36+HEX2DEC('table for research'!AK$1))*2,2)</f>
        <v>00</v>
      </c>
      <c r="AL97" t="str">
        <f>MID('paste from garc here'!$C$1,1+(('table for research'!$B97-1)*36+HEX2DEC('table for research'!AL$1))*2,2)</f>
        <v>00</v>
      </c>
      <c r="AM97" t="str">
        <f>MID('paste from garc here'!$C$1,1+(('table for research'!$B97-1)*36+HEX2DEC('table for research'!AM$1))*2,2)</f>
        <v>00</v>
      </c>
      <c r="AN97" t="str">
        <f>MID('paste from garc here'!$C$1,1+(('table for research'!$B97-1)*36+HEX2DEC('table for research'!AN$1))*2,2)</f>
        <v>00</v>
      </c>
      <c r="AO97" t="str">
        <f>MID('paste from garc here'!$C$1,1+(('table for research'!$B97-1)*36+HEX2DEC('table for research'!AO$1))*2,2)</f>
        <v>00</v>
      </c>
    </row>
    <row r="98" spans="1:41" x14ac:dyDescent="0.4">
      <c r="A98" t="s">
        <v>110</v>
      </c>
      <c r="B98">
        <f>B97+1</f>
        <v>96</v>
      </c>
      <c r="C98" t="str">
        <f>MID('paste from garc here'!$C$1,1+(('table for research'!$B98-1)*36+HEX2DEC('table for research'!C$1))*2,2)</f>
        <v>14</v>
      </c>
      <c r="D98" t="str">
        <f>MID('paste from garc here'!$C$1,1+(('table for research'!$B98-1)*36+HEX2DEC('table for research'!D$1))*2,2)</f>
        <v>00</v>
      </c>
      <c r="E98" t="str">
        <f>MID('paste from garc here'!$C$1,1+(('table for research'!$B98-1)*36+HEX2DEC('table for research'!E$1))*2,2)</f>
        <v>00</v>
      </c>
      <c r="F98" t="str">
        <f>MID('paste from garc here'!$C$1,1+(('table for research'!$B98-1)*36+HEX2DEC('table for research'!F$1))*2,2)</f>
        <v>00</v>
      </c>
      <c r="G98" t="str">
        <f>MID('paste from garc here'!$C$1,1+(('table for research'!$B98-1)*36+HEX2DEC('table for research'!G$1))*2,2)</f>
        <v>00</v>
      </c>
      <c r="H98" t="str">
        <f>MID('paste from garc here'!$C$1,1+(('table for research'!$B98-1)*36+HEX2DEC('table for research'!H$1))*2,2)</f>
        <v>00</v>
      </c>
      <c r="I98" t="str">
        <f>MID('paste from garc here'!$C$1,1+(('table for research'!$B98-1)*36+HEX2DEC('table for research'!I$1))*2,2)</f>
        <v>1E</v>
      </c>
      <c r="J98" t="str">
        <f>MID('paste from garc here'!$C$1,1+(('table for research'!$B98-1)*36+HEX2DEC('table for research'!J$1))*2,2)</f>
        <v>00</v>
      </c>
      <c r="K98" t="str">
        <f>DEC2HEX(_xlfn.BITAND(HEX2DEC(MID('paste from garc here'!$C$1,1+(('table for research'!$B98-1)*36+HEX2DEC(8))*2,2)),31),2)</f>
        <v>1F</v>
      </c>
      <c r="L98" t="str">
        <f>DEC2HEX(_xlfn.BITAND(HEX2DEC(MID('paste from garc here'!$C$1,1+(('table for research'!$B98-1)*36+HEX2DEC(8))*2,2)),32),2)</f>
        <v>00</v>
      </c>
      <c r="M98" t="str">
        <f>DEC2HEX(_xlfn.BITAND(HEX2DEC(MID('paste from garc here'!$C$1,1+(('table for research'!$B98-1)*36+HEX2DEC(8))*2,2)),64),2)</f>
        <v>00</v>
      </c>
      <c r="N98" t="str">
        <f>DEC2HEX(_xlfn.BITRSHIFT(_xlfn.BITAND(HEX2DEC(MID('paste from garc here'!$C$1,1+(('table for research'!$B98-1)*36+HEX2DEC(9))*2,2)&amp;MID('paste from garc here'!$C$1,1+(('table for research'!$B98-1)*36+HEX2DEC(8))*2,2)),1920),7),2)</f>
        <v>00</v>
      </c>
      <c r="O98" t="str">
        <f>DEC2HEX(_xlfn.BITRSHIFT(HEX2DEC(MID('paste from garc here'!$C$1,1+(('table for research'!$B98-1)*36+HEX2DEC(9))*2,2)&amp;MID('paste from garc here'!$C$1,1+(('table for research'!$B98-1)*36+HEX2DEC(8))*2,2)),11),2)</f>
        <v>00</v>
      </c>
      <c r="P98" t="str">
        <f>MID('paste from garc here'!$C$1,1+(('table for research'!$B98-1)*36+HEX2DEC('table for research'!P$1))*2,2)</f>
        <v>00</v>
      </c>
      <c r="Q98" t="str">
        <f>MID('paste from garc here'!$C$1,1+(('table for research'!$B98-1)*36+HEX2DEC('table for research'!Q$1))*2,2)</f>
        <v>00</v>
      </c>
      <c r="R98" t="str">
        <f>MID('paste from garc here'!$C$1,1+(('table for research'!$B98-1)*36+HEX2DEC('table for research'!R$1))*2,2)</f>
        <v>01</v>
      </c>
      <c r="S98" t="str">
        <f>MID('paste from garc here'!$C$1,1+(('table for research'!$B98-1)*36+HEX2DEC('table for research'!S$1))*2,2)</f>
        <v>02</v>
      </c>
      <c r="T98" t="str">
        <f>MID('paste from garc here'!$C$1,1+(('table for research'!$B98-1)*36+HEX2DEC('table for research'!T$1))*2,2)</f>
        <v>00</v>
      </c>
      <c r="U98" t="str">
        <f>MID('paste from garc here'!$C$1,1+(('table for research'!$B98-1)*36+HEX2DEC('table for research'!U$1))*2,2)</f>
        <v>FF</v>
      </c>
      <c r="V98" t="str">
        <f>MID('paste from garc here'!$C$1,1+(('table for research'!$B98-1)*36+HEX2DEC('table for research'!V$1))*2,2)</f>
        <v>00</v>
      </c>
      <c r="W98" t="str">
        <f>MID('paste from garc here'!$C$1,1+(('table for research'!$B98-1)*36+HEX2DEC('table for research'!W$1))*2,2)</f>
        <v>00</v>
      </c>
      <c r="X98" t="str">
        <f>MID('paste from garc here'!$C$1,1+(('table for research'!$B98-1)*36+HEX2DEC('table for research'!X$1))*2,2)</f>
        <v>00</v>
      </c>
      <c r="Y98" t="str">
        <f>MID('paste from garc here'!$C$1,1+(('table for research'!$B98-1)*36+HEX2DEC('table for research'!Y$1))*2,2)</f>
        <v>00</v>
      </c>
      <c r="Z98" t="str">
        <f>MID('paste from garc here'!$C$1,1+(('table for research'!$B98-1)*36+HEX2DEC('table for research'!Z$1))*2,2)</f>
        <v>00</v>
      </c>
      <c r="AA98" t="str">
        <f>MID('paste from garc here'!$C$1,1+(('table for research'!$B98-1)*36+HEX2DEC('table for research'!AA$1))*2,2)</f>
        <v>00</v>
      </c>
      <c r="AB98" t="str">
        <f>MID('paste from garc here'!$C$1,1+(('table for research'!$B98-1)*36+HEX2DEC('table for research'!AB$1))*2,2)</f>
        <v>00</v>
      </c>
      <c r="AC98" t="str">
        <f>MID('paste from garc here'!$C$1,1+(('table for research'!$B98-1)*36+HEX2DEC('table for research'!AC$1))*2,2)</f>
        <v>00</v>
      </c>
      <c r="AD98" t="str">
        <f>MID('paste from garc here'!$C$1,1+(('table for research'!$B98-1)*36+HEX2DEC('table for research'!AD$1))*2,2)</f>
        <v>00</v>
      </c>
      <c r="AE98" t="str">
        <f>MID('paste from garc here'!$C$1,1+(('table for research'!$B98-1)*36+HEX2DEC('table for research'!AE$1))*2,2)</f>
        <v>00</v>
      </c>
      <c r="AF98" t="str">
        <f>MID('paste from garc here'!$C$1,1+(('table for research'!$B98-1)*36+HEX2DEC('table for research'!AF$1))*2,2)</f>
        <v>00</v>
      </c>
      <c r="AG98" t="str">
        <f>MID('paste from garc here'!$C$1,1+(('table for research'!$B98-1)*36+HEX2DEC('table for research'!AG$1))*2,2)</f>
        <v>00</v>
      </c>
      <c r="AH98" t="str">
        <f>MID('paste from garc here'!$C$1,1+(('table for research'!$B98-1)*36+HEX2DEC('table for research'!AH$1))*2,2)</f>
        <v>00</v>
      </c>
      <c r="AI98" t="str">
        <f>MID('paste from garc here'!$C$1,1+(('table for research'!$B98-1)*36+HEX2DEC('table for research'!AI$1))*2,2)</f>
        <v>00</v>
      </c>
      <c r="AJ98" t="str">
        <f>MID('paste from garc here'!$C$1,1+(('table for research'!$B98-1)*36+HEX2DEC('table for research'!AJ$1))*2,2)</f>
        <v>00</v>
      </c>
      <c r="AK98" t="str">
        <f>MID('paste from garc here'!$C$1,1+(('table for research'!$B98-1)*36+HEX2DEC('table for research'!AK$1))*2,2)</f>
        <v>00</v>
      </c>
      <c r="AL98" t="str">
        <f>MID('paste from garc here'!$C$1,1+(('table for research'!$B98-1)*36+HEX2DEC('table for research'!AL$1))*2,2)</f>
        <v>00</v>
      </c>
      <c r="AM98" t="str">
        <f>MID('paste from garc here'!$C$1,1+(('table for research'!$B98-1)*36+HEX2DEC('table for research'!AM$1))*2,2)</f>
        <v>00</v>
      </c>
      <c r="AN98" t="str">
        <f>MID('paste from garc here'!$C$1,1+(('table for research'!$B98-1)*36+HEX2DEC('table for research'!AN$1))*2,2)</f>
        <v>00</v>
      </c>
      <c r="AO98" t="str">
        <f>MID('paste from garc here'!$C$1,1+(('table for research'!$B98-1)*36+HEX2DEC('table for research'!AO$1))*2,2)</f>
        <v>00</v>
      </c>
    </row>
    <row r="99" spans="1:41" x14ac:dyDescent="0.4">
      <c r="A99" t="s">
        <v>111</v>
      </c>
      <c r="B99">
        <f>B98+1</f>
        <v>97</v>
      </c>
      <c r="C99" t="str">
        <f>MID('paste from garc here'!$C$1,1+(('table for research'!$B99-1)*36+HEX2DEC('table for research'!C$1))*2,2)</f>
        <v>14</v>
      </c>
      <c r="D99" t="str">
        <f>MID('paste from garc here'!$C$1,1+(('table for research'!$B99-1)*36+HEX2DEC('table for research'!D$1))*2,2)</f>
        <v>00</v>
      </c>
      <c r="E99" t="str">
        <f>MID('paste from garc here'!$C$1,1+(('table for research'!$B99-1)*36+HEX2DEC('table for research'!E$1))*2,2)</f>
        <v>00</v>
      </c>
      <c r="F99" t="str">
        <f>MID('paste from garc here'!$C$1,1+(('table for research'!$B99-1)*36+HEX2DEC('table for research'!F$1))*2,2)</f>
        <v>00</v>
      </c>
      <c r="G99" t="str">
        <f>MID('paste from garc here'!$C$1,1+(('table for research'!$B99-1)*36+HEX2DEC('table for research'!G$1))*2,2)</f>
        <v>00</v>
      </c>
      <c r="H99" t="str">
        <f>MID('paste from garc here'!$C$1,1+(('table for research'!$B99-1)*36+HEX2DEC('table for research'!H$1))*2,2)</f>
        <v>00</v>
      </c>
      <c r="I99" t="str">
        <f>MID('paste from garc here'!$C$1,1+(('table for research'!$B99-1)*36+HEX2DEC('table for research'!I$1))*2,2)</f>
        <v>1E</v>
      </c>
      <c r="J99" t="str">
        <f>MID('paste from garc here'!$C$1,1+(('table for research'!$B99-1)*36+HEX2DEC('table for research'!J$1))*2,2)</f>
        <v>00</v>
      </c>
      <c r="K99" t="str">
        <f>DEC2HEX(_xlfn.BITAND(HEX2DEC(MID('paste from garc here'!$C$1,1+(('table for research'!$B99-1)*36+HEX2DEC(8))*2,2)),31),2)</f>
        <v>1F</v>
      </c>
      <c r="L99" t="str">
        <f>DEC2HEX(_xlfn.BITAND(HEX2DEC(MID('paste from garc here'!$C$1,1+(('table for research'!$B99-1)*36+HEX2DEC(8))*2,2)),32),2)</f>
        <v>00</v>
      </c>
      <c r="M99" t="str">
        <f>DEC2HEX(_xlfn.BITAND(HEX2DEC(MID('paste from garc here'!$C$1,1+(('table for research'!$B99-1)*36+HEX2DEC(8))*2,2)),64),2)</f>
        <v>00</v>
      </c>
      <c r="N99" t="str">
        <f>DEC2HEX(_xlfn.BITRSHIFT(_xlfn.BITAND(HEX2DEC(MID('paste from garc here'!$C$1,1+(('table for research'!$B99-1)*36+HEX2DEC(9))*2,2)&amp;MID('paste from garc here'!$C$1,1+(('table for research'!$B99-1)*36+HEX2DEC(8))*2,2)),1920),7),2)</f>
        <v>00</v>
      </c>
      <c r="O99" t="str">
        <f>DEC2HEX(_xlfn.BITRSHIFT(HEX2DEC(MID('paste from garc here'!$C$1,1+(('table for research'!$B99-1)*36+HEX2DEC(9))*2,2)&amp;MID('paste from garc here'!$C$1,1+(('table for research'!$B99-1)*36+HEX2DEC(8))*2,2)),11),2)</f>
        <v>00</v>
      </c>
      <c r="P99" t="str">
        <f>MID('paste from garc here'!$C$1,1+(('table for research'!$B99-1)*36+HEX2DEC('table for research'!P$1))*2,2)</f>
        <v>00</v>
      </c>
      <c r="Q99" t="str">
        <f>MID('paste from garc here'!$C$1,1+(('table for research'!$B99-1)*36+HEX2DEC('table for research'!Q$1))*2,2)</f>
        <v>00</v>
      </c>
      <c r="R99" t="str">
        <f>MID('paste from garc here'!$C$1,1+(('table for research'!$B99-1)*36+HEX2DEC('table for research'!R$1))*2,2)</f>
        <v>01</v>
      </c>
      <c r="S99" t="str">
        <f>MID('paste from garc here'!$C$1,1+(('table for research'!$B99-1)*36+HEX2DEC('table for research'!S$1))*2,2)</f>
        <v>02</v>
      </c>
      <c r="T99" t="str">
        <f>MID('paste from garc here'!$C$1,1+(('table for research'!$B99-1)*36+HEX2DEC('table for research'!T$1))*2,2)</f>
        <v>00</v>
      </c>
      <c r="U99" t="str">
        <f>MID('paste from garc here'!$C$1,1+(('table for research'!$B99-1)*36+HEX2DEC('table for research'!U$1))*2,2)</f>
        <v>FF</v>
      </c>
      <c r="V99" t="str">
        <f>MID('paste from garc here'!$C$1,1+(('table for research'!$B99-1)*36+HEX2DEC('table for research'!V$1))*2,2)</f>
        <v>00</v>
      </c>
      <c r="W99" t="str">
        <f>MID('paste from garc here'!$C$1,1+(('table for research'!$B99-1)*36+HEX2DEC('table for research'!W$1))*2,2)</f>
        <v>00</v>
      </c>
      <c r="X99" t="str">
        <f>MID('paste from garc here'!$C$1,1+(('table for research'!$B99-1)*36+HEX2DEC('table for research'!X$1))*2,2)</f>
        <v>00</v>
      </c>
      <c r="Y99" t="str">
        <f>MID('paste from garc here'!$C$1,1+(('table for research'!$B99-1)*36+HEX2DEC('table for research'!Y$1))*2,2)</f>
        <v>00</v>
      </c>
      <c r="Z99" t="str">
        <f>MID('paste from garc here'!$C$1,1+(('table for research'!$B99-1)*36+HEX2DEC('table for research'!Z$1))*2,2)</f>
        <v>00</v>
      </c>
      <c r="AA99" t="str">
        <f>MID('paste from garc here'!$C$1,1+(('table for research'!$B99-1)*36+HEX2DEC('table for research'!AA$1))*2,2)</f>
        <v>00</v>
      </c>
      <c r="AB99" t="str">
        <f>MID('paste from garc here'!$C$1,1+(('table for research'!$B99-1)*36+HEX2DEC('table for research'!AB$1))*2,2)</f>
        <v>00</v>
      </c>
      <c r="AC99" t="str">
        <f>MID('paste from garc here'!$C$1,1+(('table for research'!$B99-1)*36+HEX2DEC('table for research'!AC$1))*2,2)</f>
        <v>00</v>
      </c>
      <c r="AD99" t="str">
        <f>MID('paste from garc here'!$C$1,1+(('table for research'!$B99-1)*36+HEX2DEC('table for research'!AD$1))*2,2)</f>
        <v>00</v>
      </c>
      <c r="AE99" t="str">
        <f>MID('paste from garc here'!$C$1,1+(('table for research'!$B99-1)*36+HEX2DEC('table for research'!AE$1))*2,2)</f>
        <v>00</v>
      </c>
      <c r="AF99" t="str">
        <f>MID('paste from garc here'!$C$1,1+(('table for research'!$B99-1)*36+HEX2DEC('table for research'!AF$1))*2,2)</f>
        <v>00</v>
      </c>
      <c r="AG99" t="str">
        <f>MID('paste from garc here'!$C$1,1+(('table for research'!$B99-1)*36+HEX2DEC('table for research'!AG$1))*2,2)</f>
        <v>00</v>
      </c>
      <c r="AH99" t="str">
        <f>MID('paste from garc here'!$C$1,1+(('table for research'!$B99-1)*36+HEX2DEC('table for research'!AH$1))*2,2)</f>
        <v>00</v>
      </c>
      <c r="AI99" t="str">
        <f>MID('paste from garc here'!$C$1,1+(('table for research'!$B99-1)*36+HEX2DEC('table for research'!AI$1))*2,2)</f>
        <v>00</v>
      </c>
      <c r="AJ99" t="str">
        <f>MID('paste from garc here'!$C$1,1+(('table for research'!$B99-1)*36+HEX2DEC('table for research'!AJ$1))*2,2)</f>
        <v>00</v>
      </c>
      <c r="AK99" t="str">
        <f>MID('paste from garc here'!$C$1,1+(('table for research'!$B99-1)*36+HEX2DEC('table for research'!AK$1))*2,2)</f>
        <v>00</v>
      </c>
      <c r="AL99" t="str">
        <f>MID('paste from garc here'!$C$1,1+(('table for research'!$B99-1)*36+HEX2DEC('table for research'!AL$1))*2,2)</f>
        <v>00</v>
      </c>
      <c r="AM99" t="str">
        <f>MID('paste from garc here'!$C$1,1+(('table for research'!$B99-1)*36+HEX2DEC('table for research'!AM$1))*2,2)</f>
        <v>00</v>
      </c>
      <c r="AN99" t="str">
        <f>MID('paste from garc here'!$C$1,1+(('table for research'!$B99-1)*36+HEX2DEC('table for research'!AN$1))*2,2)</f>
        <v>00</v>
      </c>
      <c r="AO99" t="str">
        <f>MID('paste from garc here'!$C$1,1+(('table for research'!$B99-1)*36+HEX2DEC('table for research'!AO$1))*2,2)</f>
        <v>00</v>
      </c>
    </row>
    <row r="100" spans="1:41" x14ac:dyDescent="0.4">
      <c r="A100" t="s">
        <v>112</v>
      </c>
      <c r="B100">
        <f>B99+1</f>
        <v>98</v>
      </c>
      <c r="C100" t="str">
        <f>MID('paste from garc here'!$C$1,1+(('table for research'!$B100-1)*36+HEX2DEC('table for research'!C$1))*2,2)</f>
        <v>14</v>
      </c>
      <c r="D100" t="str">
        <f>MID('paste from garc here'!$C$1,1+(('table for research'!$B100-1)*36+HEX2DEC('table for research'!D$1))*2,2)</f>
        <v>00</v>
      </c>
      <c r="E100" t="str">
        <f>MID('paste from garc here'!$C$1,1+(('table for research'!$B100-1)*36+HEX2DEC('table for research'!E$1))*2,2)</f>
        <v>00</v>
      </c>
      <c r="F100" t="str">
        <f>MID('paste from garc here'!$C$1,1+(('table for research'!$B100-1)*36+HEX2DEC('table for research'!F$1))*2,2)</f>
        <v>00</v>
      </c>
      <c r="G100" t="str">
        <f>MID('paste from garc here'!$C$1,1+(('table for research'!$B100-1)*36+HEX2DEC('table for research'!G$1))*2,2)</f>
        <v>00</v>
      </c>
      <c r="H100" t="str">
        <f>MID('paste from garc here'!$C$1,1+(('table for research'!$B100-1)*36+HEX2DEC('table for research'!H$1))*2,2)</f>
        <v>00</v>
      </c>
      <c r="I100" t="str">
        <f>MID('paste from garc here'!$C$1,1+(('table for research'!$B100-1)*36+HEX2DEC('table for research'!I$1))*2,2)</f>
        <v>1E</v>
      </c>
      <c r="J100" t="str">
        <f>MID('paste from garc here'!$C$1,1+(('table for research'!$B100-1)*36+HEX2DEC('table for research'!J$1))*2,2)</f>
        <v>00</v>
      </c>
      <c r="K100" t="str">
        <f>DEC2HEX(_xlfn.BITAND(HEX2DEC(MID('paste from garc here'!$C$1,1+(('table for research'!$B100-1)*36+HEX2DEC(8))*2,2)),31),2)</f>
        <v>1F</v>
      </c>
      <c r="L100" t="str">
        <f>DEC2HEX(_xlfn.BITAND(HEX2DEC(MID('paste from garc here'!$C$1,1+(('table for research'!$B100-1)*36+HEX2DEC(8))*2,2)),32),2)</f>
        <v>00</v>
      </c>
      <c r="M100" t="str">
        <f>DEC2HEX(_xlfn.BITAND(HEX2DEC(MID('paste from garc here'!$C$1,1+(('table for research'!$B100-1)*36+HEX2DEC(8))*2,2)),64),2)</f>
        <v>00</v>
      </c>
      <c r="N100" t="str">
        <f>DEC2HEX(_xlfn.BITRSHIFT(_xlfn.BITAND(HEX2DEC(MID('paste from garc here'!$C$1,1+(('table for research'!$B100-1)*36+HEX2DEC(9))*2,2)&amp;MID('paste from garc here'!$C$1,1+(('table for research'!$B100-1)*36+HEX2DEC(8))*2,2)),1920),7),2)</f>
        <v>00</v>
      </c>
      <c r="O100" t="str">
        <f>DEC2HEX(_xlfn.BITRSHIFT(HEX2DEC(MID('paste from garc here'!$C$1,1+(('table for research'!$B100-1)*36+HEX2DEC(9))*2,2)&amp;MID('paste from garc here'!$C$1,1+(('table for research'!$B100-1)*36+HEX2DEC(8))*2,2)),11),2)</f>
        <v>00</v>
      </c>
      <c r="P100" t="str">
        <f>MID('paste from garc here'!$C$1,1+(('table for research'!$B100-1)*36+HEX2DEC('table for research'!P$1))*2,2)</f>
        <v>00</v>
      </c>
      <c r="Q100" t="str">
        <f>MID('paste from garc here'!$C$1,1+(('table for research'!$B100-1)*36+HEX2DEC('table for research'!Q$1))*2,2)</f>
        <v>00</v>
      </c>
      <c r="R100" t="str">
        <f>MID('paste from garc here'!$C$1,1+(('table for research'!$B100-1)*36+HEX2DEC('table for research'!R$1))*2,2)</f>
        <v>01</v>
      </c>
      <c r="S100" t="str">
        <f>MID('paste from garc here'!$C$1,1+(('table for research'!$B100-1)*36+HEX2DEC('table for research'!S$1))*2,2)</f>
        <v>02</v>
      </c>
      <c r="T100" t="str">
        <f>MID('paste from garc here'!$C$1,1+(('table for research'!$B100-1)*36+HEX2DEC('table for research'!T$1))*2,2)</f>
        <v>00</v>
      </c>
      <c r="U100" t="str">
        <f>MID('paste from garc here'!$C$1,1+(('table for research'!$B100-1)*36+HEX2DEC('table for research'!U$1))*2,2)</f>
        <v>FF</v>
      </c>
      <c r="V100" t="str">
        <f>MID('paste from garc here'!$C$1,1+(('table for research'!$B100-1)*36+HEX2DEC('table for research'!V$1))*2,2)</f>
        <v>00</v>
      </c>
      <c r="W100" t="str">
        <f>MID('paste from garc here'!$C$1,1+(('table for research'!$B100-1)*36+HEX2DEC('table for research'!W$1))*2,2)</f>
        <v>00</v>
      </c>
      <c r="X100" t="str">
        <f>MID('paste from garc here'!$C$1,1+(('table for research'!$B100-1)*36+HEX2DEC('table for research'!X$1))*2,2)</f>
        <v>00</v>
      </c>
      <c r="Y100" t="str">
        <f>MID('paste from garc here'!$C$1,1+(('table for research'!$B100-1)*36+HEX2DEC('table for research'!Y$1))*2,2)</f>
        <v>00</v>
      </c>
      <c r="Z100" t="str">
        <f>MID('paste from garc here'!$C$1,1+(('table for research'!$B100-1)*36+HEX2DEC('table for research'!Z$1))*2,2)</f>
        <v>00</v>
      </c>
      <c r="AA100" t="str">
        <f>MID('paste from garc here'!$C$1,1+(('table for research'!$B100-1)*36+HEX2DEC('table for research'!AA$1))*2,2)</f>
        <v>00</v>
      </c>
      <c r="AB100" t="str">
        <f>MID('paste from garc here'!$C$1,1+(('table for research'!$B100-1)*36+HEX2DEC('table for research'!AB$1))*2,2)</f>
        <v>00</v>
      </c>
      <c r="AC100" t="str">
        <f>MID('paste from garc here'!$C$1,1+(('table for research'!$B100-1)*36+HEX2DEC('table for research'!AC$1))*2,2)</f>
        <v>00</v>
      </c>
      <c r="AD100" t="str">
        <f>MID('paste from garc here'!$C$1,1+(('table for research'!$B100-1)*36+HEX2DEC('table for research'!AD$1))*2,2)</f>
        <v>00</v>
      </c>
      <c r="AE100" t="str">
        <f>MID('paste from garc here'!$C$1,1+(('table for research'!$B100-1)*36+HEX2DEC('table for research'!AE$1))*2,2)</f>
        <v>00</v>
      </c>
      <c r="AF100" t="str">
        <f>MID('paste from garc here'!$C$1,1+(('table for research'!$B100-1)*36+HEX2DEC('table for research'!AF$1))*2,2)</f>
        <v>00</v>
      </c>
      <c r="AG100" t="str">
        <f>MID('paste from garc here'!$C$1,1+(('table for research'!$B100-1)*36+HEX2DEC('table for research'!AG$1))*2,2)</f>
        <v>00</v>
      </c>
      <c r="AH100" t="str">
        <f>MID('paste from garc here'!$C$1,1+(('table for research'!$B100-1)*36+HEX2DEC('table for research'!AH$1))*2,2)</f>
        <v>00</v>
      </c>
      <c r="AI100" t="str">
        <f>MID('paste from garc here'!$C$1,1+(('table for research'!$B100-1)*36+HEX2DEC('table for research'!AI$1))*2,2)</f>
        <v>00</v>
      </c>
      <c r="AJ100" t="str">
        <f>MID('paste from garc here'!$C$1,1+(('table for research'!$B100-1)*36+HEX2DEC('table for research'!AJ$1))*2,2)</f>
        <v>00</v>
      </c>
      <c r="AK100" t="str">
        <f>MID('paste from garc here'!$C$1,1+(('table for research'!$B100-1)*36+HEX2DEC('table for research'!AK$1))*2,2)</f>
        <v>00</v>
      </c>
      <c r="AL100" t="str">
        <f>MID('paste from garc here'!$C$1,1+(('table for research'!$B100-1)*36+HEX2DEC('table for research'!AL$1))*2,2)</f>
        <v>00</v>
      </c>
      <c r="AM100" t="str">
        <f>MID('paste from garc here'!$C$1,1+(('table for research'!$B100-1)*36+HEX2DEC('table for research'!AM$1))*2,2)</f>
        <v>00</v>
      </c>
      <c r="AN100" t="str">
        <f>MID('paste from garc here'!$C$1,1+(('table for research'!$B100-1)*36+HEX2DEC('table for research'!AN$1))*2,2)</f>
        <v>00</v>
      </c>
      <c r="AO100" t="str">
        <f>MID('paste from garc here'!$C$1,1+(('table for research'!$B100-1)*36+HEX2DEC('table for research'!AO$1))*2,2)</f>
        <v>00</v>
      </c>
    </row>
    <row r="101" spans="1:41" x14ac:dyDescent="0.4">
      <c r="A101" t="s">
        <v>113</v>
      </c>
      <c r="B101">
        <f>B100+1</f>
        <v>99</v>
      </c>
      <c r="C101" t="str">
        <f>MID('paste from garc here'!$C$1,1+(('table for research'!$B101-1)*36+HEX2DEC('table for research'!C$1))*2,2)</f>
        <v>BC</v>
      </c>
      <c r="D101" t="str">
        <f>MID('paste from garc here'!$C$1,1+(('table for research'!$B101-1)*36+HEX2DEC('table for research'!D$1))*2,2)</f>
        <v>02</v>
      </c>
      <c r="E101" t="str">
        <f>MID('paste from garc here'!$C$1,1+(('table for research'!$B101-1)*36+HEX2DEC('table for research'!E$1))*2,2)</f>
        <v>00</v>
      </c>
      <c r="F101" t="str">
        <f>MID('paste from garc here'!$C$1,1+(('table for research'!$B101-1)*36+HEX2DEC('table for research'!F$1))*2,2)</f>
        <v>00</v>
      </c>
      <c r="G101" t="str">
        <f>MID('paste from garc here'!$C$1,1+(('table for research'!$B101-1)*36+HEX2DEC('table for research'!G$1))*2,2)</f>
        <v>00</v>
      </c>
      <c r="H101" t="str">
        <f>MID('paste from garc here'!$C$1,1+(('table for research'!$B101-1)*36+HEX2DEC('table for research'!H$1))*2,2)</f>
        <v>00</v>
      </c>
      <c r="I101" t="str">
        <f>MID('paste from garc here'!$C$1,1+(('table for research'!$B101-1)*36+HEX2DEC('table for research'!I$1))*2,2)</f>
        <v>64</v>
      </c>
      <c r="J101" t="str">
        <f>MID('paste from garc here'!$C$1,1+(('table for research'!$B101-1)*36+HEX2DEC('table for research'!J$1))*2,2)</f>
        <v>00</v>
      </c>
      <c r="K101" t="str">
        <f>DEC2HEX(_xlfn.BITAND(HEX2DEC(MID('paste from garc here'!$C$1,1+(('table for research'!$B101-1)*36+HEX2DEC(8))*2,2)),31),2)</f>
        <v>1F</v>
      </c>
      <c r="L101" t="str">
        <f>DEC2HEX(_xlfn.BITAND(HEX2DEC(MID('paste from garc here'!$C$1,1+(('table for research'!$B101-1)*36+HEX2DEC(8))*2,2)),32),2)</f>
        <v>00</v>
      </c>
      <c r="M101" t="str">
        <f>DEC2HEX(_xlfn.BITAND(HEX2DEC(MID('paste from garc here'!$C$1,1+(('table for research'!$B101-1)*36+HEX2DEC(8))*2,2)),64),2)</f>
        <v>00</v>
      </c>
      <c r="N101" t="str">
        <f>DEC2HEX(_xlfn.BITRSHIFT(_xlfn.BITAND(HEX2DEC(MID('paste from garc here'!$C$1,1+(('table for research'!$B101-1)*36+HEX2DEC(9))*2,2)&amp;MID('paste from garc here'!$C$1,1+(('table for research'!$B101-1)*36+HEX2DEC(8))*2,2)),1920),7),2)</f>
        <v>00</v>
      </c>
      <c r="O101" t="str">
        <f>DEC2HEX(_xlfn.BITRSHIFT(HEX2DEC(MID('paste from garc here'!$C$1,1+(('table for research'!$B101-1)*36+HEX2DEC(9))*2,2)&amp;MID('paste from garc here'!$C$1,1+(('table for research'!$B101-1)*36+HEX2DEC(8))*2,2)),11),2)</f>
        <v>00</v>
      </c>
      <c r="P101" t="str">
        <f>MID('paste from garc here'!$C$1,1+(('table for research'!$B101-1)*36+HEX2DEC('table for research'!P$1))*2,2)</f>
        <v>00</v>
      </c>
      <c r="Q101" t="str">
        <f>MID('paste from garc here'!$C$1,1+(('table for research'!$B101-1)*36+HEX2DEC('table for research'!Q$1))*2,2)</f>
        <v>00</v>
      </c>
      <c r="R101" t="str">
        <f>MID('paste from garc here'!$C$1,1+(('table for research'!$B101-1)*36+HEX2DEC('table for research'!R$1))*2,2)</f>
        <v>01</v>
      </c>
      <c r="S101" t="str">
        <f>MID('paste from garc here'!$C$1,1+(('table for research'!$B101-1)*36+HEX2DEC('table for research'!S$1))*2,2)</f>
        <v>02</v>
      </c>
      <c r="T101" t="str">
        <f>MID('paste from garc here'!$C$1,1+(('table for research'!$B101-1)*36+HEX2DEC('table for research'!T$1))*2,2)</f>
        <v>00</v>
      </c>
      <c r="U101" t="str">
        <f>MID('paste from garc here'!$C$1,1+(('table for research'!$B101-1)*36+HEX2DEC('table for research'!U$1))*2,2)</f>
        <v>99</v>
      </c>
      <c r="V101" t="str">
        <f>MID('paste from garc here'!$C$1,1+(('table for research'!$B101-1)*36+HEX2DEC('table for research'!V$1))*2,2)</f>
        <v>00</v>
      </c>
      <c r="W101" t="str">
        <f>MID('paste from garc here'!$C$1,1+(('table for research'!$B101-1)*36+HEX2DEC('table for research'!W$1))*2,2)</f>
        <v>00</v>
      </c>
      <c r="X101" t="str">
        <f>MID('paste from garc here'!$C$1,1+(('table for research'!$B101-1)*36+HEX2DEC('table for research'!X$1))*2,2)</f>
        <v>00</v>
      </c>
      <c r="Y101" t="str">
        <f>MID('paste from garc here'!$C$1,1+(('table for research'!$B101-1)*36+HEX2DEC('table for research'!Y$1))*2,2)</f>
        <v>00</v>
      </c>
      <c r="Z101" t="str">
        <f>MID('paste from garc here'!$C$1,1+(('table for research'!$B101-1)*36+HEX2DEC('table for research'!Z$1))*2,2)</f>
        <v>00</v>
      </c>
      <c r="AA101" t="str">
        <f>MID('paste from garc here'!$C$1,1+(('table for research'!$B101-1)*36+HEX2DEC('table for research'!AA$1))*2,2)</f>
        <v>00</v>
      </c>
      <c r="AB101" t="str">
        <f>MID('paste from garc here'!$C$1,1+(('table for research'!$B101-1)*36+HEX2DEC('table for research'!AB$1))*2,2)</f>
        <v>00</v>
      </c>
      <c r="AC101" t="str">
        <f>MID('paste from garc here'!$C$1,1+(('table for research'!$B101-1)*36+HEX2DEC('table for research'!AC$1))*2,2)</f>
        <v>00</v>
      </c>
      <c r="AD101" t="str">
        <f>MID('paste from garc here'!$C$1,1+(('table for research'!$B101-1)*36+HEX2DEC('table for research'!AD$1))*2,2)</f>
        <v>00</v>
      </c>
      <c r="AE101" t="str">
        <f>MID('paste from garc here'!$C$1,1+(('table for research'!$B101-1)*36+HEX2DEC('table for research'!AE$1))*2,2)</f>
        <v>00</v>
      </c>
      <c r="AF101" t="str">
        <f>MID('paste from garc here'!$C$1,1+(('table for research'!$B101-1)*36+HEX2DEC('table for research'!AF$1))*2,2)</f>
        <v>00</v>
      </c>
      <c r="AG101" t="str">
        <f>MID('paste from garc here'!$C$1,1+(('table for research'!$B101-1)*36+HEX2DEC('table for research'!AG$1))*2,2)</f>
        <v>00</v>
      </c>
      <c r="AH101" t="str">
        <f>MID('paste from garc here'!$C$1,1+(('table for research'!$B101-1)*36+HEX2DEC('table for research'!AH$1))*2,2)</f>
        <v>00</v>
      </c>
      <c r="AI101" t="str">
        <f>MID('paste from garc here'!$C$1,1+(('table for research'!$B101-1)*36+HEX2DEC('table for research'!AI$1))*2,2)</f>
        <v>00</v>
      </c>
      <c r="AJ101" t="str">
        <f>MID('paste from garc here'!$C$1,1+(('table for research'!$B101-1)*36+HEX2DEC('table for research'!AJ$1))*2,2)</f>
        <v>00</v>
      </c>
      <c r="AK101" t="str">
        <f>MID('paste from garc here'!$C$1,1+(('table for research'!$B101-1)*36+HEX2DEC('table for research'!AK$1))*2,2)</f>
        <v>00</v>
      </c>
      <c r="AL101" t="str">
        <f>MID('paste from garc here'!$C$1,1+(('table for research'!$B101-1)*36+HEX2DEC('table for research'!AL$1))*2,2)</f>
        <v>00</v>
      </c>
      <c r="AM101" t="str">
        <f>MID('paste from garc here'!$C$1,1+(('table for research'!$B101-1)*36+HEX2DEC('table for research'!AM$1))*2,2)</f>
        <v>00</v>
      </c>
      <c r="AN101" t="str">
        <f>MID('paste from garc here'!$C$1,1+(('table for research'!$B101-1)*36+HEX2DEC('table for research'!AN$1))*2,2)</f>
        <v>00</v>
      </c>
      <c r="AO101" t="str">
        <f>MID('paste from garc here'!$C$1,1+(('table for research'!$B101-1)*36+HEX2DEC('table for research'!AO$1))*2,2)</f>
        <v>00</v>
      </c>
    </row>
    <row r="102" spans="1:41" x14ac:dyDescent="0.4">
      <c r="A102" t="s">
        <v>114</v>
      </c>
      <c r="B102">
        <f>B101+1</f>
        <v>100</v>
      </c>
      <c r="C102" t="str">
        <f>MID('paste from garc here'!$C$1,1+(('table for research'!$B102-1)*36+HEX2DEC('table for research'!C$1))*2,2)</f>
        <v>BC</v>
      </c>
      <c r="D102" t="str">
        <f>MID('paste from garc here'!$C$1,1+(('table for research'!$B102-1)*36+HEX2DEC('table for research'!D$1))*2,2)</f>
        <v>02</v>
      </c>
      <c r="E102" t="str">
        <f>MID('paste from garc here'!$C$1,1+(('table for research'!$B102-1)*36+HEX2DEC('table for research'!E$1))*2,2)</f>
        <v>00</v>
      </c>
      <c r="F102" t="str">
        <f>MID('paste from garc here'!$C$1,1+(('table for research'!$B102-1)*36+HEX2DEC('table for research'!F$1))*2,2)</f>
        <v>00</v>
      </c>
      <c r="G102" t="str">
        <f>MID('paste from garc here'!$C$1,1+(('table for research'!$B102-1)*36+HEX2DEC('table for research'!G$1))*2,2)</f>
        <v>00</v>
      </c>
      <c r="H102" t="str">
        <f>MID('paste from garc here'!$C$1,1+(('table for research'!$B102-1)*36+HEX2DEC('table for research'!H$1))*2,2)</f>
        <v>00</v>
      </c>
      <c r="I102" t="str">
        <f>MID('paste from garc here'!$C$1,1+(('table for research'!$B102-1)*36+HEX2DEC('table for research'!I$1))*2,2)</f>
        <v>64</v>
      </c>
      <c r="J102" t="str">
        <f>MID('paste from garc here'!$C$1,1+(('table for research'!$B102-1)*36+HEX2DEC('table for research'!J$1))*2,2)</f>
        <v>00</v>
      </c>
      <c r="K102" t="str">
        <f>DEC2HEX(_xlfn.BITAND(HEX2DEC(MID('paste from garc here'!$C$1,1+(('table for research'!$B102-1)*36+HEX2DEC(8))*2,2)),31),2)</f>
        <v>1F</v>
      </c>
      <c r="L102" t="str">
        <f>DEC2HEX(_xlfn.BITAND(HEX2DEC(MID('paste from garc here'!$C$1,1+(('table for research'!$B102-1)*36+HEX2DEC(8))*2,2)),32),2)</f>
        <v>00</v>
      </c>
      <c r="M102" t="str">
        <f>DEC2HEX(_xlfn.BITAND(HEX2DEC(MID('paste from garc here'!$C$1,1+(('table for research'!$B102-1)*36+HEX2DEC(8))*2,2)),64),2)</f>
        <v>00</v>
      </c>
      <c r="N102" t="str">
        <f>DEC2HEX(_xlfn.BITRSHIFT(_xlfn.BITAND(HEX2DEC(MID('paste from garc here'!$C$1,1+(('table for research'!$B102-1)*36+HEX2DEC(9))*2,2)&amp;MID('paste from garc here'!$C$1,1+(('table for research'!$B102-1)*36+HEX2DEC(8))*2,2)),1920),7),2)</f>
        <v>00</v>
      </c>
      <c r="O102" t="str">
        <f>DEC2HEX(_xlfn.BITRSHIFT(HEX2DEC(MID('paste from garc here'!$C$1,1+(('table for research'!$B102-1)*36+HEX2DEC(9))*2,2)&amp;MID('paste from garc here'!$C$1,1+(('table for research'!$B102-1)*36+HEX2DEC(8))*2,2)),11),2)</f>
        <v>00</v>
      </c>
      <c r="P102" t="str">
        <f>MID('paste from garc here'!$C$1,1+(('table for research'!$B102-1)*36+HEX2DEC('table for research'!P$1))*2,2)</f>
        <v>00</v>
      </c>
      <c r="Q102" t="str">
        <f>MID('paste from garc here'!$C$1,1+(('table for research'!$B102-1)*36+HEX2DEC('table for research'!Q$1))*2,2)</f>
        <v>00</v>
      </c>
      <c r="R102" t="str">
        <f>MID('paste from garc here'!$C$1,1+(('table for research'!$B102-1)*36+HEX2DEC('table for research'!R$1))*2,2)</f>
        <v>01</v>
      </c>
      <c r="S102" t="str">
        <f>MID('paste from garc here'!$C$1,1+(('table for research'!$B102-1)*36+HEX2DEC('table for research'!S$1))*2,2)</f>
        <v>02</v>
      </c>
      <c r="T102" t="str">
        <f>MID('paste from garc here'!$C$1,1+(('table for research'!$B102-1)*36+HEX2DEC('table for research'!T$1))*2,2)</f>
        <v>00</v>
      </c>
      <c r="U102" t="str">
        <f>MID('paste from garc here'!$C$1,1+(('table for research'!$B102-1)*36+HEX2DEC('table for research'!U$1))*2,2)</f>
        <v>9A</v>
      </c>
      <c r="V102" t="str">
        <f>MID('paste from garc here'!$C$1,1+(('table for research'!$B102-1)*36+HEX2DEC('table for research'!V$1))*2,2)</f>
        <v>00</v>
      </c>
      <c r="W102" t="str">
        <f>MID('paste from garc here'!$C$1,1+(('table for research'!$B102-1)*36+HEX2DEC('table for research'!W$1))*2,2)</f>
        <v>00</v>
      </c>
      <c r="X102" t="str">
        <f>MID('paste from garc here'!$C$1,1+(('table for research'!$B102-1)*36+HEX2DEC('table for research'!X$1))*2,2)</f>
        <v>00</v>
      </c>
      <c r="Y102" t="str">
        <f>MID('paste from garc here'!$C$1,1+(('table for research'!$B102-1)*36+HEX2DEC('table for research'!Y$1))*2,2)</f>
        <v>00</v>
      </c>
      <c r="Z102" t="str">
        <f>MID('paste from garc here'!$C$1,1+(('table for research'!$B102-1)*36+HEX2DEC('table for research'!Z$1))*2,2)</f>
        <v>00</v>
      </c>
      <c r="AA102" t="str">
        <f>MID('paste from garc here'!$C$1,1+(('table for research'!$B102-1)*36+HEX2DEC('table for research'!AA$1))*2,2)</f>
        <v>00</v>
      </c>
      <c r="AB102" t="str">
        <f>MID('paste from garc here'!$C$1,1+(('table for research'!$B102-1)*36+HEX2DEC('table for research'!AB$1))*2,2)</f>
        <v>00</v>
      </c>
      <c r="AC102" t="str">
        <f>MID('paste from garc here'!$C$1,1+(('table for research'!$B102-1)*36+HEX2DEC('table for research'!AC$1))*2,2)</f>
        <v>00</v>
      </c>
      <c r="AD102" t="str">
        <f>MID('paste from garc here'!$C$1,1+(('table for research'!$B102-1)*36+HEX2DEC('table for research'!AD$1))*2,2)</f>
        <v>00</v>
      </c>
      <c r="AE102" t="str">
        <f>MID('paste from garc here'!$C$1,1+(('table for research'!$B102-1)*36+HEX2DEC('table for research'!AE$1))*2,2)</f>
        <v>00</v>
      </c>
      <c r="AF102" t="str">
        <f>MID('paste from garc here'!$C$1,1+(('table for research'!$B102-1)*36+HEX2DEC('table for research'!AF$1))*2,2)</f>
        <v>00</v>
      </c>
      <c r="AG102" t="str">
        <f>MID('paste from garc here'!$C$1,1+(('table for research'!$B102-1)*36+HEX2DEC('table for research'!AG$1))*2,2)</f>
        <v>00</v>
      </c>
      <c r="AH102" t="str">
        <f>MID('paste from garc here'!$C$1,1+(('table for research'!$B102-1)*36+HEX2DEC('table for research'!AH$1))*2,2)</f>
        <v>00</v>
      </c>
      <c r="AI102" t="str">
        <f>MID('paste from garc here'!$C$1,1+(('table for research'!$B102-1)*36+HEX2DEC('table for research'!AI$1))*2,2)</f>
        <v>00</v>
      </c>
      <c r="AJ102" t="str">
        <f>MID('paste from garc here'!$C$1,1+(('table for research'!$B102-1)*36+HEX2DEC('table for research'!AJ$1))*2,2)</f>
        <v>00</v>
      </c>
      <c r="AK102" t="str">
        <f>MID('paste from garc here'!$C$1,1+(('table for research'!$B102-1)*36+HEX2DEC('table for research'!AK$1))*2,2)</f>
        <v>00</v>
      </c>
      <c r="AL102" t="str">
        <f>MID('paste from garc here'!$C$1,1+(('table for research'!$B102-1)*36+HEX2DEC('table for research'!AL$1))*2,2)</f>
        <v>00</v>
      </c>
      <c r="AM102" t="str">
        <f>MID('paste from garc here'!$C$1,1+(('table for research'!$B102-1)*36+HEX2DEC('table for research'!AM$1))*2,2)</f>
        <v>00</v>
      </c>
      <c r="AN102" t="str">
        <f>MID('paste from garc here'!$C$1,1+(('table for research'!$B102-1)*36+HEX2DEC('table for research'!AN$1))*2,2)</f>
        <v>00</v>
      </c>
      <c r="AO102" t="str">
        <f>MID('paste from garc here'!$C$1,1+(('table for research'!$B102-1)*36+HEX2DEC('table for research'!AO$1))*2,2)</f>
        <v>00</v>
      </c>
    </row>
    <row r="103" spans="1:41" x14ac:dyDescent="0.4">
      <c r="A103" t="s">
        <v>115</v>
      </c>
      <c r="B103">
        <f>B102+1</f>
        <v>101</v>
      </c>
      <c r="C103" t="str">
        <f>MID('paste from garc here'!$C$1,1+(('table for research'!$B103-1)*36+HEX2DEC('table for research'!C$1))*2,2)</f>
        <v>BC</v>
      </c>
      <c r="D103" t="str">
        <f>MID('paste from garc here'!$C$1,1+(('table for research'!$B103-1)*36+HEX2DEC('table for research'!D$1))*2,2)</f>
        <v>02</v>
      </c>
      <c r="E103" t="str">
        <f>MID('paste from garc here'!$C$1,1+(('table for research'!$B103-1)*36+HEX2DEC('table for research'!E$1))*2,2)</f>
        <v>00</v>
      </c>
      <c r="F103" t="str">
        <f>MID('paste from garc here'!$C$1,1+(('table for research'!$B103-1)*36+HEX2DEC('table for research'!F$1))*2,2)</f>
        <v>00</v>
      </c>
      <c r="G103" t="str">
        <f>MID('paste from garc here'!$C$1,1+(('table for research'!$B103-1)*36+HEX2DEC('table for research'!G$1))*2,2)</f>
        <v>00</v>
      </c>
      <c r="H103" t="str">
        <f>MID('paste from garc here'!$C$1,1+(('table for research'!$B103-1)*36+HEX2DEC('table for research'!H$1))*2,2)</f>
        <v>00</v>
      </c>
      <c r="I103" t="str">
        <f>MID('paste from garc here'!$C$1,1+(('table for research'!$B103-1)*36+HEX2DEC('table for research'!I$1))*2,2)</f>
        <v>64</v>
      </c>
      <c r="J103" t="str">
        <f>MID('paste from garc here'!$C$1,1+(('table for research'!$B103-1)*36+HEX2DEC('table for research'!J$1))*2,2)</f>
        <v>00</v>
      </c>
      <c r="K103" t="str">
        <f>DEC2HEX(_xlfn.BITAND(HEX2DEC(MID('paste from garc here'!$C$1,1+(('table for research'!$B103-1)*36+HEX2DEC(8))*2,2)),31),2)</f>
        <v>1F</v>
      </c>
      <c r="L103" t="str">
        <f>DEC2HEX(_xlfn.BITAND(HEX2DEC(MID('paste from garc here'!$C$1,1+(('table for research'!$B103-1)*36+HEX2DEC(8))*2,2)),32),2)</f>
        <v>00</v>
      </c>
      <c r="M103" t="str">
        <f>DEC2HEX(_xlfn.BITAND(HEX2DEC(MID('paste from garc here'!$C$1,1+(('table for research'!$B103-1)*36+HEX2DEC(8))*2,2)),64),2)</f>
        <v>00</v>
      </c>
      <c r="N103" t="str">
        <f>DEC2HEX(_xlfn.BITRSHIFT(_xlfn.BITAND(HEX2DEC(MID('paste from garc here'!$C$1,1+(('table for research'!$B103-1)*36+HEX2DEC(9))*2,2)&amp;MID('paste from garc here'!$C$1,1+(('table for research'!$B103-1)*36+HEX2DEC(8))*2,2)),1920),7),2)</f>
        <v>00</v>
      </c>
      <c r="O103" t="str">
        <f>DEC2HEX(_xlfn.BITRSHIFT(HEX2DEC(MID('paste from garc here'!$C$1,1+(('table for research'!$B103-1)*36+HEX2DEC(9))*2,2)&amp;MID('paste from garc here'!$C$1,1+(('table for research'!$B103-1)*36+HEX2DEC(8))*2,2)),11),2)</f>
        <v>00</v>
      </c>
      <c r="P103" t="str">
        <f>MID('paste from garc here'!$C$1,1+(('table for research'!$B103-1)*36+HEX2DEC('table for research'!P$1))*2,2)</f>
        <v>00</v>
      </c>
      <c r="Q103" t="str">
        <f>MID('paste from garc here'!$C$1,1+(('table for research'!$B103-1)*36+HEX2DEC('table for research'!Q$1))*2,2)</f>
        <v>00</v>
      </c>
      <c r="R103" t="str">
        <f>MID('paste from garc here'!$C$1,1+(('table for research'!$B103-1)*36+HEX2DEC('table for research'!R$1))*2,2)</f>
        <v>01</v>
      </c>
      <c r="S103" t="str">
        <f>MID('paste from garc here'!$C$1,1+(('table for research'!$B103-1)*36+HEX2DEC('table for research'!S$1))*2,2)</f>
        <v>02</v>
      </c>
      <c r="T103" t="str">
        <f>MID('paste from garc here'!$C$1,1+(('table for research'!$B103-1)*36+HEX2DEC('table for research'!T$1))*2,2)</f>
        <v>00</v>
      </c>
      <c r="U103" t="str">
        <f>MID('paste from garc here'!$C$1,1+(('table for research'!$B103-1)*36+HEX2DEC('table for research'!U$1))*2,2)</f>
        <v>96</v>
      </c>
      <c r="V103" t="str">
        <f>MID('paste from garc here'!$C$1,1+(('table for research'!$B103-1)*36+HEX2DEC('table for research'!V$1))*2,2)</f>
        <v>00</v>
      </c>
      <c r="W103" t="str">
        <f>MID('paste from garc here'!$C$1,1+(('table for research'!$B103-1)*36+HEX2DEC('table for research'!W$1))*2,2)</f>
        <v>00</v>
      </c>
      <c r="X103" t="str">
        <f>MID('paste from garc here'!$C$1,1+(('table for research'!$B103-1)*36+HEX2DEC('table for research'!X$1))*2,2)</f>
        <v>00</v>
      </c>
      <c r="Y103" t="str">
        <f>MID('paste from garc here'!$C$1,1+(('table for research'!$B103-1)*36+HEX2DEC('table for research'!Y$1))*2,2)</f>
        <v>00</v>
      </c>
      <c r="Z103" t="str">
        <f>MID('paste from garc here'!$C$1,1+(('table for research'!$B103-1)*36+HEX2DEC('table for research'!Z$1))*2,2)</f>
        <v>00</v>
      </c>
      <c r="AA103" t="str">
        <f>MID('paste from garc here'!$C$1,1+(('table for research'!$B103-1)*36+HEX2DEC('table for research'!AA$1))*2,2)</f>
        <v>00</v>
      </c>
      <c r="AB103" t="str">
        <f>MID('paste from garc here'!$C$1,1+(('table for research'!$B103-1)*36+HEX2DEC('table for research'!AB$1))*2,2)</f>
        <v>00</v>
      </c>
      <c r="AC103" t="str">
        <f>MID('paste from garc here'!$C$1,1+(('table for research'!$B103-1)*36+HEX2DEC('table for research'!AC$1))*2,2)</f>
        <v>00</v>
      </c>
      <c r="AD103" t="str">
        <f>MID('paste from garc here'!$C$1,1+(('table for research'!$B103-1)*36+HEX2DEC('table for research'!AD$1))*2,2)</f>
        <v>00</v>
      </c>
      <c r="AE103" t="str">
        <f>MID('paste from garc here'!$C$1,1+(('table for research'!$B103-1)*36+HEX2DEC('table for research'!AE$1))*2,2)</f>
        <v>00</v>
      </c>
      <c r="AF103" t="str">
        <f>MID('paste from garc here'!$C$1,1+(('table for research'!$B103-1)*36+HEX2DEC('table for research'!AF$1))*2,2)</f>
        <v>00</v>
      </c>
      <c r="AG103" t="str">
        <f>MID('paste from garc here'!$C$1,1+(('table for research'!$B103-1)*36+HEX2DEC('table for research'!AG$1))*2,2)</f>
        <v>00</v>
      </c>
      <c r="AH103" t="str">
        <f>MID('paste from garc here'!$C$1,1+(('table for research'!$B103-1)*36+HEX2DEC('table for research'!AH$1))*2,2)</f>
        <v>00</v>
      </c>
      <c r="AI103" t="str">
        <f>MID('paste from garc here'!$C$1,1+(('table for research'!$B103-1)*36+HEX2DEC('table for research'!AI$1))*2,2)</f>
        <v>00</v>
      </c>
      <c r="AJ103" t="str">
        <f>MID('paste from garc here'!$C$1,1+(('table for research'!$B103-1)*36+HEX2DEC('table for research'!AJ$1))*2,2)</f>
        <v>00</v>
      </c>
      <c r="AK103" t="str">
        <f>MID('paste from garc here'!$C$1,1+(('table for research'!$B103-1)*36+HEX2DEC('table for research'!AK$1))*2,2)</f>
        <v>00</v>
      </c>
      <c r="AL103" t="str">
        <f>MID('paste from garc here'!$C$1,1+(('table for research'!$B103-1)*36+HEX2DEC('table for research'!AL$1))*2,2)</f>
        <v>00</v>
      </c>
      <c r="AM103" t="str">
        <f>MID('paste from garc here'!$C$1,1+(('table for research'!$B103-1)*36+HEX2DEC('table for research'!AM$1))*2,2)</f>
        <v>00</v>
      </c>
      <c r="AN103" t="str">
        <f>MID('paste from garc here'!$C$1,1+(('table for research'!$B103-1)*36+HEX2DEC('table for research'!AN$1))*2,2)</f>
        <v>00</v>
      </c>
      <c r="AO103" t="str">
        <f>MID('paste from garc here'!$C$1,1+(('table for research'!$B103-1)*36+HEX2DEC('table for research'!AO$1))*2,2)</f>
        <v>00</v>
      </c>
    </row>
    <row r="104" spans="1:41" x14ac:dyDescent="0.4">
      <c r="A104" t="s">
        <v>116</v>
      </c>
      <c r="B104">
        <f>B103+1</f>
        <v>102</v>
      </c>
      <c r="C104" t="str">
        <f>MID('paste from garc here'!$C$1,1+(('table for research'!$B104-1)*36+HEX2DEC('table for research'!C$1))*2,2)</f>
        <v>BC</v>
      </c>
      <c r="D104" t="str">
        <f>MID('paste from garc here'!$C$1,1+(('table for research'!$B104-1)*36+HEX2DEC('table for research'!D$1))*2,2)</f>
        <v>02</v>
      </c>
      <c r="E104" t="str">
        <f>MID('paste from garc here'!$C$1,1+(('table for research'!$B104-1)*36+HEX2DEC('table for research'!E$1))*2,2)</f>
        <v>00</v>
      </c>
      <c r="F104" t="str">
        <f>MID('paste from garc here'!$C$1,1+(('table for research'!$B104-1)*36+HEX2DEC('table for research'!F$1))*2,2)</f>
        <v>00</v>
      </c>
      <c r="G104" t="str">
        <f>MID('paste from garc here'!$C$1,1+(('table for research'!$B104-1)*36+HEX2DEC('table for research'!G$1))*2,2)</f>
        <v>00</v>
      </c>
      <c r="H104" t="str">
        <f>MID('paste from garc here'!$C$1,1+(('table for research'!$B104-1)*36+HEX2DEC('table for research'!H$1))*2,2)</f>
        <v>00</v>
      </c>
      <c r="I104" t="str">
        <f>MID('paste from garc here'!$C$1,1+(('table for research'!$B104-1)*36+HEX2DEC('table for research'!I$1))*2,2)</f>
        <v>64</v>
      </c>
      <c r="J104" t="str">
        <f>MID('paste from garc here'!$C$1,1+(('table for research'!$B104-1)*36+HEX2DEC('table for research'!J$1))*2,2)</f>
        <v>00</v>
      </c>
      <c r="K104" t="str">
        <f>DEC2HEX(_xlfn.BITAND(HEX2DEC(MID('paste from garc here'!$C$1,1+(('table for research'!$B104-1)*36+HEX2DEC(8))*2,2)),31),2)</f>
        <v>1F</v>
      </c>
      <c r="L104" t="str">
        <f>DEC2HEX(_xlfn.BITAND(HEX2DEC(MID('paste from garc here'!$C$1,1+(('table for research'!$B104-1)*36+HEX2DEC(8))*2,2)),32),2)</f>
        <v>00</v>
      </c>
      <c r="M104" t="str">
        <f>DEC2HEX(_xlfn.BITAND(HEX2DEC(MID('paste from garc here'!$C$1,1+(('table for research'!$B104-1)*36+HEX2DEC(8))*2,2)),64),2)</f>
        <v>00</v>
      </c>
      <c r="N104" t="str">
        <f>DEC2HEX(_xlfn.BITRSHIFT(_xlfn.BITAND(HEX2DEC(MID('paste from garc here'!$C$1,1+(('table for research'!$B104-1)*36+HEX2DEC(9))*2,2)&amp;MID('paste from garc here'!$C$1,1+(('table for research'!$B104-1)*36+HEX2DEC(8))*2,2)),1920),7),2)</f>
        <v>00</v>
      </c>
      <c r="O104" t="str">
        <f>DEC2HEX(_xlfn.BITRSHIFT(HEX2DEC(MID('paste from garc here'!$C$1,1+(('table for research'!$B104-1)*36+HEX2DEC(9))*2,2)&amp;MID('paste from garc here'!$C$1,1+(('table for research'!$B104-1)*36+HEX2DEC(8))*2,2)),11),2)</f>
        <v>00</v>
      </c>
      <c r="P104" t="str">
        <f>MID('paste from garc here'!$C$1,1+(('table for research'!$B104-1)*36+HEX2DEC('table for research'!P$1))*2,2)</f>
        <v>00</v>
      </c>
      <c r="Q104" t="str">
        <f>MID('paste from garc here'!$C$1,1+(('table for research'!$B104-1)*36+HEX2DEC('table for research'!Q$1))*2,2)</f>
        <v>00</v>
      </c>
      <c r="R104" t="str">
        <f>MID('paste from garc here'!$C$1,1+(('table for research'!$B104-1)*36+HEX2DEC('table for research'!R$1))*2,2)</f>
        <v>01</v>
      </c>
      <c r="S104" t="str">
        <f>MID('paste from garc here'!$C$1,1+(('table for research'!$B104-1)*36+HEX2DEC('table for research'!S$1))*2,2)</f>
        <v>02</v>
      </c>
      <c r="T104" t="str">
        <f>MID('paste from garc here'!$C$1,1+(('table for research'!$B104-1)*36+HEX2DEC('table for research'!T$1))*2,2)</f>
        <v>00</v>
      </c>
      <c r="U104" t="str">
        <f>MID('paste from garc here'!$C$1,1+(('table for research'!$B104-1)*36+HEX2DEC('table for research'!U$1))*2,2)</f>
        <v>97</v>
      </c>
      <c r="V104" t="str">
        <f>MID('paste from garc here'!$C$1,1+(('table for research'!$B104-1)*36+HEX2DEC('table for research'!V$1))*2,2)</f>
        <v>00</v>
      </c>
      <c r="W104" t="str">
        <f>MID('paste from garc here'!$C$1,1+(('table for research'!$B104-1)*36+HEX2DEC('table for research'!W$1))*2,2)</f>
        <v>00</v>
      </c>
      <c r="X104" t="str">
        <f>MID('paste from garc here'!$C$1,1+(('table for research'!$B104-1)*36+HEX2DEC('table for research'!X$1))*2,2)</f>
        <v>00</v>
      </c>
      <c r="Y104" t="str">
        <f>MID('paste from garc here'!$C$1,1+(('table for research'!$B104-1)*36+HEX2DEC('table for research'!Y$1))*2,2)</f>
        <v>00</v>
      </c>
      <c r="Z104" t="str">
        <f>MID('paste from garc here'!$C$1,1+(('table for research'!$B104-1)*36+HEX2DEC('table for research'!Z$1))*2,2)</f>
        <v>00</v>
      </c>
      <c r="AA104" t="str">
        <f>MID('paste from garc here'!$C$1,1+(('table for research'!$B104-1)*36+HEX2DEC('table for research'!AA$1))*2,2)</f>
        <v>00</v>
      </c>
      <c r="AB104" t="str">
        <f>MID('paste from garc here'!$C$1,1+(('table for research'!$B104-1)*36+HEX2DEC('table for research'!AB$1))*2,2)</f>
        <v>00</v>
      </c>
      <c r="AC104" t="str">
        <f>MID('paste from garc here'!$C$1,1+(('table for research'!$B104-1)*36+HEX2DEC('table for research'!AC$1))*2,2)</f>
        <v>00</v>
      </c>
      <c r="AD104" t="str">
        <f>MID('paste from garc here'!$C$1,1+(('table for research'!$B104-1)*36+HEX2DEC('table for research'!AD$1))*2,2)</f>
        <v>00</v>
      </c>
      <c r="AE104" t="str">
        <f>MID('paste from garc here'!$C$1,1+(('table for research'!$B104-1)*36+HEX2DEC('table for research'!AE$1))*2,2)</f>
        <v>00</v>
      </c>
      <c r="AF104" t="str">
        <f>MID('paste from garc here'!$C$1,1+(('table for research'!$B104-1)*36+HEX2DEC('table for research'!AF$1))*2,2)</f>
        <v>00</v>
      </c>
      <c r="AG104" t="str">
        <f>MID('paste from garc here'!$C$1,1+(('table for research'!$B104-1)*36+HEX2DEC('table for research'!AG$1))*2,2)</f>
        <v>00</v>
      </c>
      <c r="AH104" t="str">
        <f>MID('paste from garc here'!$C$1,1+(('table for research'!$B104-1)*36+HEX2DEC('table for research'!AH$1))*2,2)</f>
        <v>00</v>
      </c>
      <c r="AI104" t="str">
        <f>MID('paste from garc here'!$C$1,1+(('table for research'!$B104-1)*36+HEX2DEC('table for research'!AI$1))*2,2)</f>
        <v>00</v>
      </c>
      <c r="AJ104" t="str">
        <f>MID('paste from garc here'!$C$1,1+(('table for research'!$B104-1)*36+HEX2DEC('table for research'!AJ$1))*2,2)</f>
        <v>00</v>
      </c>
      <c r="AK104" t="str">
        <f>MID('paste from garc here'!$C$1,1+(('table for research'!$B104-1)*36+HEX2DEC('table for research'!AK$1))*2,2)</f>
        <v>00</v>
      </c>
      <c r="AL104" t="str">
        <f>MID('paste from garc here'!$C$1,1+(('table for research'!$B104-1)*36+HEX2DEC('table for research'!AL$1))*2,2)</f>
        <v>00</v>
      </c>
      <c r="AM104" t="str">
        <f>MID('paste from garc here'!$C$1,1+(('table for research'!$B104-1)*36+HEX2DEC('table for research'!AM$1))*2,2)</f>
        <v>00</v>
      </c>
      <c r="AN104" t="str">
        <f>MID('paste from garc here'!$C$1,1+(('table for research'!$B104-1)*36+HEX2DEC('table for research'!AN$1))*2,2)</f>
        <v>00</v>
      </c>
      <c r="AO104" t="str">
        <f>MID('paste from garc here'!$C$1,1+(('table for research'!$B104-1)*36+HEX2DEC('table for research'!AO$1))*2,2)</f>
        <v>00</v>
      </c>
    </row>
    <row r="105" spans="1:41" x14ac:dyDescent="0.4">
      <c r="A105" t="s">
        <v>117</v>
      </c>
      <c r="B105">
        <f>B104+1</f>
        <v>103</v>
      </c>
      <c r="C105" t="str">
        <f>MID('paste from garc here'!$C$1,1+(('table for research'!$B105-1)*36+HEX2DEC('table for research'!C$1))*2,2)</f>
        <v>E8</v>
      </c>
      <c r="D105" t="str">
        <f>MID('paste from garc here'!$C$1,1+(('table for research'!$B105-1)*36+HEX2DEC('table for research'!D$1))*2,2)</f>
        <v>03</v>
      </c>
      <c r="E105" t="str">
        <f>MID('paste from garc here'!$C$1,1+(('table for research'!$B105-1)*36+HEX2DEC('table for research'!E$1))*2,2)</f>
        <v>00</v>
      </c>
      <c r="F105" t="str">
        <f>MID('paste from garc here'!$C$1,1+(('table for research'!$B105-1)*36+HEX2DEC('table for research'!F$1))*2,2)</f>
        <v>00</v>
      </c>
      <c r="G105" t="str">
        <f>MID('paste from garc here'!$C$1,1+(('table for research'!$B105-1)*36+HEX2DEC('table for research'!G$1))*2,2)</f>
        <v>00</v>
      </c>
      <c r="H105" t="str">
        <f>MID('paste from garc here'!$C$1,1+(('table for research'!$B105-1)*36+HEX2DEC('table for research'!H$1))*2,2)</f>
        <v>00</v>
      </c>
      <c r="I105" t="str">
        <f>MID('paste from garc here'!$C$1,1+(('table for research'!$B105-1)*36+HEX2DEC('table for research'!I$1))*2,2)</f>
        <v>64</v>
      </c>
      <c r="J105" t="str">
        <f>MID('paste from garc here'!$C$1,1+(('table for research'!$B105-1)*36+HEX2DEC('table for research'!J$1))*2,2)</f>
        <v>00</v>
      </c>
      <c r="K105" t="str">
        <f>DEC2HEX(_xlfn.BITAND(HEX2DEC(MID('paste from garc here'!$C$1,1+(('table for research'!$B105-1)*36+HEX2DEC(8))*2,2)),31),2)</f>
        <v>1F</v>
      </c>
      <c r="L105" t="str">
        <f>DEC2HEX(_xlfn.BITAND(HEX2DEC(MID('paste from garc here'!$C$1,1+(('table for research'!$B105-1)*36+HEX2DEC(8))*2,2)),32),2)</f>
        <v>00</v>
      </c>
      <c r="M105" t="str">
        <f>DEC2HEX(_xlfn.BITAND(HEX2DEC(MID('paste from garc here'!$C$1,1+(('table for research'!$B105-1)*36+HEX2DEC(8))*2,2)),64),2)</f>
        <v>00</v>
      </c>
      <c r="N105" t="str">
        <f>DEC2HEX(_xlfn.BITRSHIFT(_xlfn.BITAND(HEX2DEC(MID('paste from garc here'!$C$1,1+(('table for research'!$B105-1)*36+HEX2DEC(9))*2,2)&amp;MID('paste from garc here'!$C$1,1+(('table for research'!$B105-1)*36+HEX2DEC(8))*2,2)),1920),7),2)</f>
        <v>00</v>
      </c>
      <c r="O105" t="str">
        <f>DEC2HEX(_xlfn.BITRSHIFT(HEX2DEC(MID('paste from garc here'!$C$1,1+(('table for research'!$B105-1)*36+HEX2DEC(9))*2,2)&amp;MID('paste from garc here'!$C$1,1+(('table for research'!$B105-1)*36+HEX2DEC(8))*2,2)),11),2)</f>
        <v>00</v>
      </c>
      <c r="P105" t="str">
        <f>MID('paste from garc here'!$C$1,1+(('table for research'!$B105-1)*36+HEX2DEC('table for research'!P$1))*2,2)</f>
        <v>06</v>
      </c>
      <c r="Q105" t="str">
        <f>MID('paste from garc here'!$C$1,1+(('table for research'!$B105-1)*36+HEX2DEC('table for research'!Q$1))*2,2)</f>
        <v>00</v>
      </c>
      <c r="R105" t="str">
        <f>MID('paste from garc here'!$C$1,1+(('table for research'!$B105-1)*36+HEX2DEC('table for research'!R$1))*2,2)</f>
        <v>01</v>
      </c>
      <c r="S105" t="str">
        <f>MID('paste from garc here'!$C$1,1+(('table for research'!$B105-1)*36+HEX2DEC('table for research'!S$1))*2,2)</f>
        <v>02</v>
      </c>
      <c r="T105" t="str">
        <f>MID('paste from garc here'!$C$1,1+(('table for research'!$B105-1)*36+HEX2DEC('table for research'!T$1))*2,2)</f>
        <v>00</v>
      </c>
      <c r="U105" t="str">
        <f>MID('paste from garc here'!$C$1,1+(('table for research'!$B105-1)*36+HEX2DEC('table for research'!U$1))*2,2)</f>
        <v>98</v>
      </c>
      <c r="V105" t="str">
        <f>MID('paste from garc here'!$C$1,1+(('table for research'!$B105-1)*36+HEX2DEC('table for research'!V$1))*2,2)</f>
        <v>00</v>
      </c>
      <c r="W105" t="str">
        <f>MID('paste from garc here'!$C$1,1+(('table for research'!$B105-1)*36+HEX2DEC('table for research'!W$1))*2,2)</f>
        <v>08</v>
      </c>
      <c r="X105" t="str">
        <f>MID('paste from garc here'!$C$1,1+(('table for research'!$B105-1)*36+HEX2DEC('table for research'!X$1))*2,2)</f>
        <v>00</v>
      </c>
      <c r="Y105" t="str">
        <f>MID('paste from garc here'!$C$1,1+(('table for research'!$B105-1)*36+HEX2DEC('table for research'!Y$1))*2,2)</f>
        <v>00</v>
      </c>
      <c r="Z105" t="str">
        <f>MID('paste from garc here'!$C$1,1+(('table for research'!$B105-1)*36+HEX2DEC('table for research'!Z$1))*2,2)</f>
        <v>00</v>
      </c>
      <c r="AA105" t="str">
        <f>MID('paste from garc here'!$C$1,1+(('table for research'!$B105-1)*36+HEX2DEC('table for research'!AA$1))*2,2)</f>
        <v>00</v>
      </c>
      <c r="AB105" t="str">
        <f>MID('paste from garc here'!$C$1,1+(('table for research'!$B105-1)*36+HEX2DEC('table for research'!AB$1))*2,2)</f>
        <v>00</v>
      </c>
      <c r="AC105" t="str">
        <f>MID('paste from garc here'!$C$1,1+(('table for research'!$B105-1)*36+HEX2DEC('table for research'!AC$1))*2,2)</f>
        <v>00</v>
      </c>
      <c r="AD105" t="str">
        <f>MID('paste from garc here'!$C$1,1+(('table for research'!$B105-1)*36+HEX2DEC('table for research'!AD$1))*2,2)</f>
        <v>00</v>
      </c>
      <c r="AE105" t="str">
        <f>MID('paste from garc here'!$C$1,1+(('table for research'!$B105-1)*36+HEX2DEC('table for research'!AE$1))*2,2)</f>
        <v>00</v>
      </c>
      <c r="AF105" t="str">
        <f>MID('paste from garc here'!$C$1,1+(('table for research'!$B105-1)*36+HEX2DEC('table for research'!AF$1))*2,2)</f>
        <v>00</v>
      </c>
      <c r="AG105" t="str">
        <f>MID('paste from garc here'!$C$1,1+(('table for research'!$B105-1)*36+HEX2DEC('table for research'!AG$1))*2,2)</f>
        <v>00</v>
      </c>
      <c r="AH105" t="str">
        <f>MID('paste from garc here'!$C$1,1+(('table for research'!$B105-1)*36+HEX2DEC('table for research'!AH$1))*2,2)</f>
        <v>00</v>
      </c>
      <c r="AI105" t="str">
        <f>MID('paste from garc here'!$C$1,1+(('table for research'!$B105-1)*36+HEX2DEC('table for research'!AI$1))*2,2)</f>
        <v>00</v>
      </c>
      <c r="AJ105" t="str">
        <f>MID('paste from garc here'!$C$1,1+(('table for research'!$B105-1)*36+HEX2DEC('table for research'!AJ$1))*2,2)</f>
        <v>00</v>
      </c>
      <c r="AK105" t="str">
        <f>MID('paste from garc here'!$C$1,1+(('table for research'!$B105-1)*36+HEX2DEC('table for research'!AK$1))*2,2)</f>
        <v>00</v>
      </c>
      <c r="AL105" t="str">
        <f>MID('paste from garc here'!$C$1,1+(('table for research'!$B105-1)*36+HEX2DEC('table for research'!AL$1))*2,2)</f>
        <v>00</v>
      </c>
      <c r="AM105" t="str">
        <f>MID('paste from garc here'!$C$1,1+(('table for research'!$B105-1)*36+HEX2DEC('table for research'!AM$1))*2,2)</f>
        <v>00</v>
      </c>
      <c r="AN105" t="str">
        <f>MID('paste from garc here'!$C$1,1+(('table for research'!$B105-1)*36+HEX2DEC('table for research'!AN$1))*2,2)</f>
        <v>00</v>
      </c>
      <c r="AO105" t="str">
        <f>MID('paste from garc here'!$C$1,1+(('table for research'!$B105-1)*36+HEX2DEC('table for research'!AO$1))*2,2)</f>
        <v>00</v>
      </c>
    </row>
    <row r="106" spans="1:41" x14ac:dyDescent="0.4">
      <c r="A106" t="s">
        <v>118</v>
      </c>
      <c r="B106">
        <f>B105+1</f>
        <v>104</v>
      </c>
      <c r="C106" t="str">
        <f>MID('paste from garc here'!$C$1,1+(('table for research'!$B106-1)*36+HEX2DEC('table for research'!C$1))*2,2)</f>
        <v>BC</v>
      </c>
      <c r="D106" t="str">
        <f>MID('paste from garc here'!$C$1,1+(('table for research'!$B106-1)*36+HEX2DEC('table for research'!D$1))*2,2)</f>
        <v>02</v>
      </c>
      <c r="E106" t="str">
        <f>MID('paste from garc here'!$C$1,1+(('table for research'!$B106-1)*36+HEX2DEC('table for research'!E$1))*2,2)</f>
        <v>00</v>
      </c>
      <c r="F106" t="str">
        <f>MID('paste from garc here'!$C$1,1+(('table for research'!$B106-1)*36+HEX2DEC('table for research'!F$1))*2,2)</f>
        <v>00</v>
      </c>
      <c r="G106" t="str">
        <f>MID('paste from garc here'!$C$1,1+(('table for research'!$B106-1)*36+HEX2DEC('table for research'!G$1))*2,2)</f>
        <v>00</v>
      </c>
      <c r="H106" t="str">
        <f>MID('paste from garc here'!$C$1,1+(('table for research'!$B106-1)*36+HEX2DEC('table for research'!H$1))*2,2)</f>
        <v>00</v>
      </c>
      <c r="I106" t="str">
        <f>MID('paste from garc here'!$C$1,1+(('table for research'!$B106-1)*36+HEX2DEC('table for research'!I$1))*2,2)</f>
        <v>64</v>
      </c>
      <c r="J106" t="str">
        <f>MID('paste from garc here'!$C$1,1+(('table for research'!$B106-1)*36+HEX2DEC('table for research'!J$1))*2,2)</f>
        <v>00</v>
      </c>
      <c r="K106" t="str">
        <f>DEC2HEX(_xlfn.BITAND(HEX2DEC(MID('paste from garc here'!$C$1,1+(('table for research'!$B106-1)*36+HEX2DEC(8))*2,2)),31),2)</f>
        <v>1F</v>
      </c>
      <c r="L106" t="str">
        <f>DEC2HEX(_xlfn.BITAND(HEX2DEC(MID('paste from garc here'!$C$1,1+(('table for research'!$B106-1)*36+HEX2DEC(8))*2,2)),32),2)</f>
        <v>00</v>
      </c>
      <c r="M106" t="str">
        <f>DEC2HEX(_xlfn.BITAND(HEX2DEC(MID('paste from garc here'!$C$1,1+(('table for research'!$B106-1)*36+HEX2DEC(8))*2,2)),64),2)</f>
        <v>00</v>
      </c>
      <c r="N106" t="str">
        <f>DEC2HEX(_xlfn.BITRSHIFT(_xlfn.BITAND(HEX2DEC(MID('paste from garc here'!$C$1,1+(('table for research'!$B106-1)*36+HEX2DEC(9))*2,2)&amp;MID('paste from garc here'!$C$1,1+(('table for research'!$B106-1)*36+HEX2DEC(8))*2,2)),1920),7),2)</f>
        <v>00</v>
      </c>
      <c r="O106" t="str">
        <f>DEC2HEX(_xlfn.BITRSHIFT(HEX2DEC(MID('paste from garc here'!$C$1,1+(('table for research'!$B106-1)*36+HEX2DEC(9))*2,2)&amp;MID('paste from garc here'!$C$1,1+(('table for research'!$B106-1)*36+HEX2DEC(8))*2,2)),11),2)</f>
        <v>00</v>
      </c>
      <c r="P106" t="str">
        <f>MID('paste from garc here'!$C$1,1+(('table for research'!$B106-1)*36+HEX2DEC('table for research'!P$1))*2,2)</f>
        <v>00</v>
      </c>
      <c r="Q106" t="str">
        <f>MID('paste from garc here'!$C$1,1+(('table for research'!$B106-1)*36+HEX2DEC('table for research'!Q$1))*2,2)</f>
        <v>00</v>
      </c>
      <c r="R106" t="str">
        <f>MID('paste from garc here'!$C$1,1+(('table for research'!$B106-1)*36+HEX2DEC('table for research'!R$1))*2,2)</f>
        <v>01</v>
      </c>
      <c r="S106" t="str">
        <f>MID('paste from garc here'!$C$1,1+(('table for research'!$B106-1)*36+HEX2DEC('table for research'!S$1))*2,2)</f>
        <v>02</v>
      </c>
      <c r="T106" t="str">
        <f>MID('paste from garc here'!$C$1,1+(('table for research'!$B106-1)*36+HEX2DEC('table for research'!T$1))*2,2)</f>
        <v>00</v>
      </c>
      <c r="U106" t="str">
        <f>MID('paste from garc here'!$C$1,1+(('table for research'!$B106-1)*36+HEX2DEC('table for research'!U$1))*2,2)</f>
        <v>9B</v>
      </c>
      <c r="V106" t="str">
        <f>MID('paste from garc here'!$C$1,1+(('table for research'!$B106-1)*36+HEX2DEC('table for research'!V$1))*2,2)</f>
        <v>00</v>
      </c>
      <c r="W106" t="str">
        <f>MID('paste from garc here'!$C$1,1+(('table for research'!$B106-1)*36+HEX2DEC('table for research'!W$1))*2,2)</f>
        <v>00</v>
      </c>
      <c r="X106" t="str">
        <f>MID('paste from garc here'!$C$1,1+(('table for research'!$B106-1)*36+HEX2DEC('table for research'!X$1))*2,2)</f>
        <v>00</v>
      </c>
      <c r="Y106" t="str">
        <f>MID('paste from garc here'!$C$1,1+(('table for research'!$B106-1)*36+HEX2DEC('table for research'!Y$1))*2,2)</f>
        <v>00</v>
      </c>
      <c r="Z106" t="str">
        <f>MID('paste from garc here'!$C$1,1+(('table for research'!$B106-1)*36+HEX2DEC('table for research'!Z$1))*2,2)</f>
        <v>00</v>
      </c>
      <c r="AA106" t="str">
        <f>MID('paste from garc here'!$C$1,1+(('table for research'!$B106-1)*36+HEX2DEC('table for research'!AA$1))*2,2)</f>
        <v>00</v>
      </c>
      <c r="AB106" t="str">
        <f>MID('paste from garc here'!$C$1,1+(('table for research'!$B106-1)*36+HEX2DEC('table for research'!AB$1))*2,2)</f>
        <v>00</v>
      </c>
      <c r="AC106" t="str">
        <f>MID('paste from garc here'!$C$1,1+(('table for research'!$B106-1)*36+HEX2DEC('table for research'!AC$1))*2,2)</f>
        <v>00</v>
      </c>
      <c r="AD106" t="str">
        <f>MID('paste from garc here'!$C$1,1+(('table for research'!$B106-1)*36+HEX2DEC('table for research'!AD$1))*2,2)</f>
        <v>00</v>
      </c>
      <c r="AE106" t="str">
        <f>MID('paste from garc here'!$C$1,1+(('table for research'!$B106-1)*36+HEX2DEC('table for research'!AE$1))*2,2)</f>
        <v>00</v>
      </c>
      <c r="AF106" t="str">
        <f>MID('paste from garc here'!$C$1,1+(('table for research'!$B106-1)*36+HEX2DEC('table for research'!AF$1))*2,2)</f>
        <v>00</v>
      </c>
      <c r="AG106" t="str">
        <f>MID('paste from garc here'!$C$1,1+(('table for research'!$B106-1)*36+HEX2DEC('table for research'!AG$1))*2,2)</f>
        <v>00</v>
      </c>
      <c r="AH106" t="str">
        <f>MID('paste from garc here'!$C$1,1+(('table for research'!$B106-1)*36+HEX2DEC('table for research'!AH$1))*2,2)</f>
        <v>00</v>
      </c>
      <c r="AI106" t="str">
        <f>MID('paste from garc here'!$C$1,1+(('table for research'!$B106-1)*36+HEX2DEC('table for research'!AI$1))*2,2)</f>
        <v>00</v>
      </c>
      <c r="AJ106" t="str">
        <f>MID('paste from garc here'!$C$1,1+(('table for research'!$B106-1)*36+HEX2DEC('table for research'!AJ$1))*2,2)</f>
        <v>00</v>
      </c>
      <c r="AK106" t="str">
        <f>MID('paste from garc here'!$C$1,1+(('table for research'!$B106-1)*36+HEX2DEC('table for research'!AK$1))*2,2)</f>
        <v>00</v>
      </c>
      <c r="AL106" t="str">
        <f>MID('paste from garc here'!$C$1,1+(('table for research'!$B106-1)*36+HEX2DEC('table for research'!AL$1))*2,2)</f>
        <v>00</v>
      </c>
      <c r="AM106" t="str">
        <f>MID('paste from garc here'!$C$1,1+(('table for research'!$B106-1)*36+HEX2DEC('table for research'!AM$1))*2,2)</f>
        <v>00</v>
      </c>
      <c r="AN106" t="str">
        <f>MID('paste from garc here'!$C$1,1+(('table for research'!$B106-1)*36+HEX2DEC('table for research'!AN$1))*2,2)</f>
        <v>00</v>
      </c>
      <c r="AO106" t="str">
        <f>MID('paste from garc here'!$C$1,1+(('table for research'!$B106-1)*36+HEX2DEC('table for research'!AO$1))*2,2)</f>
        <v>00</v>
      </c>
    </row>
    <row r="107" spans="1:41" x14ac:dyDescent="0.4">
      <c r="A107" t="s">
        <v>119</v>
      </c>
      <c r="B107">
        <f>B106+1</f>
        <v>105</v>
      </c>
      <c r="C107" t="str">
        <f>MID('paste from garc here'!$C$1,1+(('table for research'!$B107-1)*36+HEX2DEC('table for research'!C$1))*2,2)</f>
        <v>BC</v>
      </c>
      <c r="D107" t="str">
        <f>MID('paste from garc here'!$C$1,1+(('table for research'!$B107-1)*36+HEX2DEC('table for research'!D$1))*2,2)</f>
        <v>02</v>
      </c>
      <c r="E107" t="str">
        <f>MID('paste from garc here'!$C$1,1+(('table for research'!$B107-1)*36+HEX2DEC('table for research'!E$1))*2,2)</f>
        <v>00</v>
      </c>
      <c r="F107" t="str">
        <f>MID('paste from garc here'!$C$1,1+(('table for research'!$B107-1)*36+HEX2DEC('table for research'!F$1))*2,2)</f>
        <v>00</v>
      </c>
      <c r="G107" t="str">
        <f>MID('paste from garc here'!$C$1,1+(('table for research'!$B107-1)*36+HEX2DEC('table for research'!G$1))*2,2)</f>
        <v>00</v>
      </c>
      <c r="H107" t="str">
        <f>MID('paste from garc here'!$C$1,1+(('table for research'!$B107-1)*36+HEX2DEC('table for research'!H$1))*2,2)</f>
        <v>00</v>
      </c>
      <c r="I107" t="str">
        <f>MID('paste from garc here'!$C$1,1+(('table for research'!$B107-1)*36+HEX2DEC('table for research'!I$1))*2,2)</f>
        <v>64</v>
      </c>
      <c r="J107" t="str">
        <f>MID('paste from garc here'!$C$1,1+(('table for research'!$B107-1)*36+HEX2DEC('table for research'!J$1))*2,2)</f>
        <v>00</v>
      </c>
      <c r="K107" t="str">
        <f>DEC2HEX(_xlfn.BITAND(HEX2DEC(MID('paste from garc here'!$C$1,1+(('table for research'!$B107-1)*36+HEX2DEC(8))*2,2)),31),2)</f>
        <v>1F</v>
      </c>
      <c r="L107" t="str">
        <f>DEC2HEX(_xlfn.BITAND(HEX2DEC(MID('paste from garc here'!$C$1,1+(('table for research'!$B107-1)*36+HEX2DEC(8))*2,2)),32),2)</f>
        <v>00</v>
      </c>
      <c r="M107" t="str">
        <f>DEC2HEX(_xlfn.BITAND(HEX2DEC(MID('paste from garc here'!$C$1,1+(('table for research'!$B107-1)*36+HEX2DEC(8))*2,2)),64),2)</f>
        <v>00</v>
      </c>
      <c r="N107" t="str">
        <f>DEC2HEX(_xlfn.BITRSHIFT(_xlfn.BITAND(HEX2DEC(MID('paste from garc here'!$C$1,1+(('table for research'!$B107-1)*36+HEX2DEC(9))*2,2)&amp;MID('paste from garc here'!$C$1,1+(('table for research'!$B107-1)*36+HEX2DEC(8))*2,2)),1920),7),2)</f>
        <v>00</v>
      </c>
      <c r="O107" t="str">
        <f>DEC2HEX(_xlfn.BITRSHIFT(HEX2DEC(MID('paste from garc here'!$C$1,1+(('table for research'!$B107-1)*36+HEX2DEC(9))*2,2)&amp;MID('paste from garc here'!$C$1,1+(('table for research'!$B107-1)*36+HEX2DEC(8))*2,2)),11),2)</f>
        <v>00</v>
      </c>
      <c r="P107" t="str">
        <f>MID('paste from garc here'!$C$1,1+(('table for research'!$B107-1)*36+HEX2DEC('table for research'!P$1))*2,2)</f>
        <v>00</v>
      </c>
      <c r="Q107" t="str">
        <f>MID('paste from garc here'!$C$1,1+(('table for research'!$B107-1)*36+HEX2DEC('table for research'!Q$1))*2,2)</f>
        <v>00</v>
      </c>
      <c r="R107" t="str">
        <f>MID('paste from garc here'!$C$1,1+(('table for research'!$B107-1)*36+HEX2DEC('table for research'!R$1))*2,2)</f>
        <v>01</v>
      </c>
      <c r="S107" t="str">
        <f>MID('paste from garc here'!$C$1,1+(('table for research'!$B107-1)*36+HEX2DEC('table for research'!S$1))*2,2)</f>
        <v>02</v>
      </c>
      <c r="T107" t="str">
        <f>MID('paste from garc here'!$C$1,1+(('table for research'!$B107-1)*36+HEX2DEC('table for research'!T$1))*2,2)</f>
        <v>00</v>
      </c>
      <c r="U107" t="str">
        <f>MID('paste from garc here'!$C$1,1+(('table for research'!$B107-1)*36+HEX2DEC('table for research'!U$1))*2,2)</f>
        <v>9C</v>
      </c>
      <c r="V107" t="str">
        <f>MID('paste from garc here'!$C$1,1+(('table for research'!$B107-1)*36+HEX2DEC('table for research'!V$1))*2,2)</f>
        <v>00</v>
      </c>
      <c r="W107" t="str">
        <f>MID('paste from garc here'!$C$1,1+(('table for research'!$B107-1)*36+HEX2DEC('table for research'!W$1))*2,2)</f>
        <v>00</v>
      </c>
      <c r="X107" t="str">
        <f>MID('paste from garc here'!$C$1,1+(('table for research'!$B107-1)*36+HEX2DEC('table for research'!X$1))*2,2)</f>
        <v>00</v>
      </c>
      <c r="Y107" t="str">
        <f>MID('paste from garc here'!$C$1,1+(('table for research'!$B107-1)*36+HEX2DEC('table for research'!Y$1))*2,2)</f>
        <v>00</v>
      </c>
      <c r="Z107" t="str">
        <f>MID('paste from garc here'!$C$1,1+(('table for research'!$B107-1)*36+HEX2DEC('table for research'!Z$1))*2,2)</f>
        <v>00</v>
      </c>
      <c r="AA107" t="str">
        <f>MID('paste from garc here'!$C$1,1+(('table for research'!$B107-1)*36+HEX2DEC('table for research'!AA$1))*2,2)</f>
        <v>00</v>
      </c>
      <c r="AB107" t="str">
        <f>MID('paste from garc here'!$C$1,1+(('table for research'!$B107-1)*36+HEX2DEC('table for research'!AB$1))*2,2)</f>
        <v>00</v>
      </c>
      <c r="AC107" t="str">
        <f>MID('paste from garc here'!$C$1,1+(('table for research'!$B107-1)*36+HEX2DEC('table for research'!AC$1))*2,2)</f>
        <v>00</v>
      </c>
      <c r="AD107" t="str">
        <f>MID('paste from garc here'!$C$1,1+(('table for research'!$B107-1)*36+HEX2DEC('table for research'!AD$1))*2,2)</f>
        <v>00</v>
      </c>
      <c r="AE107" t="str">
        <f>MID('paste from garc here'!$C$1,1+(('table for research'!$B107-1)*36+HEX2DEC('table for research'!AE$1))*2,2)</f>
        <v>00</v>
      </c>
      <c r="AF107" t="str">
        <f>MID('paste from garc here'!$C$1,1+(('table for research'!$B107-1)*36+HEX2DEC('table for research'!AF$1))*2,2)</f>
        <v>00</v>
      </c>
      <c r="AG107" t="str">
        <f>MID('paste from garc here'!$C$1,1+(('table for research'!$B107-1)*36+HEX2DEC('table for research'!AG$1))*2,2)</f>
        <v>00</v>
      </c>
      <c r="AH107" t="str">
        <f>MID('paste from garc here'!$C$1,1+(('table for research'!$B107-1)*36+HEX2DEC('table for research'!AH$1))*2,2)</f>
        <v>00</v>
      </c>
      <c r="AI107" t="str">
        <f>MID('paste from garc here'!$C$1,1+(('table for research'!$B107-1)*36+HEX2DEC('table for research'!AI$1))*2,2)</f>
        <v>00</v>
      </c>
      <c r="AJ107" t="str">
        <f>MID('paste from garc here'!$C$1,1+(('table for research'!$B107-1)*36+HEX2DEC('table for research'!AJ$1))*2,2)</f>
        <v>00</v>
      </c>
      <c r="AK107" t="str">
        <f>MID('paste from garc here'!$C$1,1+(('table for research'!$B107-1)*36+HEX2DEC('table for research'!AK$1))*2,2)</f>
        <v>00</v>
      </c>
      <c r="AL107" t="str">
        <f>MID('paste from garc here'!$C$1,1+(('table for research'!$B107-1)*36+HEX2DEC('table for research'!AL$1))*2,2)</f>
        <v>00</v>
      </c>
      <c r="AM107" t="str">
        <f>MID('paste from garc here'!$C$1,1+(('table for research'!$B107-1)*36+HEX2DEC('table for research'!AM$1))*2,2)</f>
        <v>00</v>
      </c>
      <c r="AN107" t="str">
        <f>MID('paste from garc here'!$C$1,1+(('table for research'!$B107-1)*36+HEX2DEC('table for research'!AN$1))*2,2)</f>
        <v>00</v>
      </c>
      <c r="AO107" t="str">
        <f>MID('paste from garc here'!$C$1,1+(('table for research'!$B107-1)*36+HEX2DEC('table for research'!AO$1))*2,2)</f>
        <v>00</v>
      </c>
    </row>
    <row r="108" spans="1:41" x14ac:dyDescent="0.4">
      <c r="A108" t="s">
        <v>120</v>
      </c>
      <c r="B108">
        <f>B107+1</f>
        <v>106</v>
      </c>
      <c r="C108" t="str">
        <f>MID('paste from garc here'!$C$1,1+(('table for research'!$B108-1)*36+HEX2DEC('table for research'!C$1))*2,2)</f>
        <v>D0</v>
      </c>
      <c r="D108" t="str">
        <f>MID('paste from garc here'!$C$1,1+(('table for research'!$B108-1)*36+HEX2DEC('table for research'!D$1))*2,2)</f>
        <v>07</v>
      </c>
      <c r="E108" t="str">
        <f>MID('paste from garc here'!$C$1,1+(('table for research'!$B108-1)*36+HEX2DEC('table for research'!E$1))*2,2)</f>
        <v>00</v>
      </c>
      <c r="F108" t="str">
        <f>MID('paste from garc here'!$C$1,1+(('table for research'!$B108-1)*36+HEX2DEC('table for research'!F$1))*2,2)</f>
        <v>00</v>
      </c>
      <c r="G108" t="str">
        <f>MID('paste from garc here'!$C$1,1+(('table for research'!$B108-1)*36+HEX2DEC('table for research'!G$1))*2,2)</f>
        <v>00</v>
      </c>
      <c r="H108" t="str">
        <f>MID('paste from garc here'!$C$1,1+(('table for research'!$B108-1)*36+HEX2DEC('table for research'!H$1))*2,2)</f>
        <v>00</v>
      </c>
      <c r="I108" t="str">
        <f>MID('paste from garc here'!$C$1,1+(('table for research'!$B108-1)*36+HEX2DEC('table for research'!I$1))*2,2)</f>
        <v>64</v>
      </c>
      <c r="J108" t="str">
        <f>MID('paste from garc here'!$C$1,1+(('table for research'!$B108-1)*36+HEX2DEC('table for research'!J$1))*2,2)</f>
        <v>00</v>
      </c>
      <c r="K108" t="str">
        <f>DEC2HEX(_xlfn.BITAND(HEX2DEC(MID('paste from garc here'!$C$1,1+(('table for research'!$B108-1)*36+HEX2DEC(8))*2,2)),31),2)</f>
        <v>1F</v>
      </c>
      <c r="L108" t="str">
        <f>DEC2HEX(_xlfn.BITAND(HEX2DEC(MID('paste from garc here'!$C$1,1+(('table for research'!$B108-1)*36+HEX2DEC(8))*2,2)),32),2)</f>
        <v>00</v>
      </c>
      <c r="M108" t="str">
        <f>DEC2HEX(_xlfn.BITAND(HEX2DEC(MID('paste from garc here'!$C$1,1+(('table for research'!$B108-1)*36+HEX2DEC(8))*2,2)),64),2)</f>
        <v>00</v>
      </c>
      <c r="N108" t="str">
        <f>DEC2HEX(_xlfn.BITRSHIFT(_xlfn.BITAND(HEX2DEC(MID('paste from garc here'!$C$1,1+(('table for research'!$B108-1)*36+HEX2DEC(9))*2,2)&amp;MID('paste from garc here'!$C$1,1+(('table for research'!$B108-1)*36+HEX2DEC(8))*2,2)),1920),7),2)</f>
        <v>00</v>
      </c>
      <c r="O108" t="str">
        <f>DEC2HEX(_xlfn.BITRSHIFT(HEX2DEC(MID('paste from garc here'!$C$1,1+(('table for research'!$B108-1)*36+HEX2DEC(9))*2,2)&amp;MID('paste from garc here'!$C$1,1+(('table for research'!$B108-1)*36+HEX2DEC(8))*2,2)),11),2)</f>
        <v>00</v>
      </c>
      <c r="P108" t="str">
        <f>MID('paste from garc here'!$C$1,1+(('table for research'!$B108-1)*36+HEX2DEC('table for research'!P$1))*2,2)</f>
        <v>00</v>
      </c>
      <c r="Q108" t="str">
        <f>MID('paste from garc here'!$C$1,1+(('table for research'!$B108-1)*36+HEX2DEC('table for research'!Q$1))*2,2)</f>
        <v>00</v>
      </c>
      <c r="R108" t="str">
        <f>MID('paste from garc here'!$C$1,1+(('table for research'!$B108-1)*36+HEX2DEC('table for research'!R$1))*2,2)</f>
        <v>01</v>
      </c>
      <c r="S108" t="str">
        <f>MID('paste from garc here'!$C$1,1+(('table for research'!$B108-1)*36+HEX2DEC('table for research'!S$1))*2,2)</f>
        <v>02</v>
      </c>
      <c r="T108" t="str">
        <f>MID('paste from garc here'!$C$1,1+(('table for research'!$B108-1)*36+HEX2DEC('table for research'!T$1))*2,2)</f>
        <v>00</v>
      </c>
      <c r="U108" t="str">
        <f>MID('paste from garc here'!$C$1,1+(('table for research'!$B108-1)*36+HEX2DEC('table for research'!U$1))*2,2)</f>
        <v>0D</v>
      </c>
      <c r="V108" t="str">
        <f>MID('paste from garc here'!$C$1,1+(('table for research'!$B108-1)*36+HEX2DEC('table for research'!V$1))*2,2)</f>
        <v>00</v>
      </c>
      <c r="W108" t="str">
        <f>MID('paste from garc here'!$C$1,1+(('table for research'!$B108-1)*36+HEX2DEC('table for research'!W$1))*2,2)</f>
        <v>00</v>
      </c>
      <c r="X108" t="str">
        <f>MID('paste from garc here'!$C$1,1+(('table for research'!$B108-1)*36+HEX2DEC('table for research'!X$1))*2,2)</f>
        <v>00</v>
      </c>
      <c r="Y108" t="str">
        <f>MID('paste from garc here'!$C$1,1+(('table for research'!$B108-1)*36+HEX2DEC('table for research'!Y$1))*2,2)</f>
        <v>00</v>
      </c>
      <c r="Z108" t="str">
        <f>MID('paste from garc here'!$C$1,1+(('table for research'!$B108-1)*36+HEX2DEC('table for research'!Z$1))*2,2)</f>
        <v>00</v>
      </c>
      <c r="AA108" t="str">
        <f>MID('paste from garc here'!$C$1,1+(('table for research'!$B108-1)*36+HEX2DEC('table for research'!AA$1))*2,2)</f>
        <v>00</v>
      </c>
      <c r="AB108" t="str">
        <f>MID('paste from garc here'!$C$1,1+(('table for research'!$B108-1)*36+HEX2DEC('table for research'!AB$1))*2,2)</f>
        <v>00</v>
      </c>
      <c r="AC108" t="str">
        <f>MID('paste from garc here'!$C$1,1+(('table for research'!$B108-1)*36+HEX2DEC('table for research'!AC$1))*2,2)</f>
        <v>00</v>
      </c>
      <c r="AD108" t="str">
        <f>MID('paste from garc here'!$C$1,1+(('table for research'!$B108-1)*36+HEX2DEC('table for research'!AD$1))*2,2)</f>
        <v>00</v>
      </c>
      <c r="AE108" t="str">
        <f>MID('paste from garc here'!$C$1,1+(('table for research'!$B108-1)*36+HEX2DEC('table for research'!AE$1))*2,2)</f>
        <v>00</v>
      </c>
      <c r="AF108" t="str">
        <f>MID('paste from garc here'!$C$1,1+(('table for research'!$B108-1)*36+HEX2DEC('table for research'!AF$1))*2,2)</f>
        <v>00</v>
      </c>
      <c r="AG108" t="str">
        <f>MID('paste from garc here'!$C$1,1+(('table for research'!$B108-1)*36+HEX2DEC('table for research'!AG$1))*2,2)</f>
        <v>00</v>
      </c>
      <c r="AH108" t="str">
        <f>MID('paste from garc here'!$C$1,1+(('table for research'!$B108-1)*36+HEX2DEC('table for research'!AH$1))*2,2)</f>
        <v>00</v>
      </c>
      <c r="AI108" t="str">
        <f>MID('paste from garc here'!$C$1,1+(('table for research'!$B108-1)*36+HEX2DEC('table for research'!AI$1))*2,2)</f>
        <v>00</v>
      </c>
      <c r="AJ108" t="str">
        <f>MID('paste from garc here'!$C$1,1+(('table for research'!$B108-1)*36+HEX2DEC('table for research'!AJ$1))*2,2)</f>
        <v>00</v>
      </c>
      <c r="AK108" t="str">
        <f>MID('paste from garc here'!$C$1,1+(('table for research'!$B108-1)*36+HEX2DEC('table for research'!AK$1))*2,2)</f>
        <v>00</v>
      </c>
      <c r="AL108" t="str">
        <f>MID('paste from garc here'!$C$1,1+(('table for research'!$B108-1)*36+HEX2DEC('table for research'!AL$1))*2,2)</f>
        <v>00</v>
      </c>
      <c r="AM108" t="str">
        <f>MID('paste from garc here'!$C$1,1+(('table for research'!$B108-1)*36+HEX2DEC('table for research'!AM$1))*2,2)</f>
        <v>00</v>
      </c>
      <c r="AN108" t="str">
        <f>MID('paste from garc here'!$C$1,1+(('table for research'!$B108-1)*36+HEX2DEC('table for research'!AN$1))*2,2)</f>
        <v>00</v>
      </c>
      <c r="AO108" t="str">
        <f>MID('paste from garc here'!$C$1,1+(('table for research'!$B108-1)*36+HEX2DEC('table for research'!AO$1))*2,2)</f>
        <v>00</v>
      </c>
    </row>
    <row r="109" spans="1:41" x14ac:dyDescent="0.4">
      <c r="A109" t="s">
        <v>121</v>
      </c>
      <c r="B109">
        <f>B108+1</f>
        <v>107</v>
      </c>
      <c r="C109" t="str">
        <f>MID('paste from garc here'!$C$1,1+(('table for research'!$B109-1)*36+HEX2DEC('table for research'!C$1))*2,2)</f>
        <v>2C</v>
      </c>
      <c r="D109" t="str">
        <f>MID('paste from garc here'!$C$1,1+(('table for research'!$B109-1)*36+HEX2DEC('table for research'!D$1))*2,2)</f>
        <v>01</v>
      </c>
      <c r="E109" t="str">
        <f>MID('paste from garc here'!$C$1,1+(('table for research'!$B109-1)*36+HEX2DEC('table for research'!E$1))*2,2)</f>
        <v>00</v>
      </c>
      <c r="F109" t="str">
        <f>MID('paste from garc here'!$C$1,1+(('table for research'!$B109-1)*36+HEX2DEC('table for research'!F$1))*2,2)</f>
        <v>00</v>
      </c>
      <c r="G109" t="str">
        <f>MID('paste from garc here'!$C$1,1+(('table for research'!$B109-1)*36+HEX2DEC('table for research'!G$1))*2,2)</f>
        <v>00</v>
      </c>
      <c r="H109" t="str">
        <f>MID('paste from garc here'!$C$1,1+(('table for research'!$B109-1)*36+HEX2DEC('table for research'!H$1))*2,2)</f>
        <v>00</v>
      </c>
      <c r="I109" t="str">
        <f>MID('paste from garc here'!$C$1,1+(('table for research'!$B109-1)*36+HEX2DEC('table for research'!I$1))*2,2)</f>
        <v>50</v>
      </c>
      <c r="J109" t="str">
        <f>MID('paste from garc here'!$C$1,1+(('table for research'!$B109-1)*36+HEX2DEC('table for research'!J$1))*2,2)</f>
        <v>00</v>
      </c>
      <c r="K109" t="str">
        <f>DEC2HEX(_xlfn.BITAND(HEX2DEC(MID('paste from garc here'!$C$1,1+(('table for research'!$B109-1)*36+HEX2DEC(8))*2,2)),31),2)</f>
        <v>1F</v>
      </c>
      <c r="L109" t="str">
        <f>DEC2HEX(_xlfn.BITAND(HEX2DEC(MID('paste from garc here'!$C$1,1+(('table for research'!$B109-1)*36+HEX2DEC(8))*2,2)),32),2)</f>
        <v>00</v>
      </c>
      <c r="M109" t="str">
        <f>DEC2HEX(_xlfn.BITAND(HEX2DEC(MID('paste from garc here'!$C$1,1+(('table for research'!$B109-1)*36+HEX2DEC(8))*2,2)),64),2)</f>
        <v>00</v>
      </c>
      <c r="N109" t="str">
        <f>DEC2HEX(_xlfn.BITRSHIFT(_xlfn.BITAND(HEX2DEC(MID('paste from garc here'!$C$1,1+(('table for research'!$B109-1)*36+HEX2DEC(9))*2,2)&amp;MID('paste from garc here'!$C$1,1+(('table for research'!$B109-1)*36+HEX2DEC(8))*2,2)),1920),7),2)</f>
        <v>00</v>
      </c>
      <c r="O109" t="str">
        <f>DEC2HEX(_xlfn.BITRSHIFT(HEX2DEC(MID('paste from garc here'!$C$1,1+(('table for research'!$B109-1)*36+HEX2DEC(9))*2,2)&amp;MID('paste from garc here'!$C$1,1+(('table for research'!$B109-1)*36+HEX2DEC(8))*2,2)),11),2)</f>
        <v>00</v>
      </c>
      <c r="P109" t="str">
        <f>MID('paste from garc here'!$C$1,1+(('table for research'!$B109-1)*36+HEX2DEC('table for research'!P$1))*2,2)</f>
        <v>06</v>
      </c>
      <c r="Q109" t="str">
        <f>MID('paste from garc here'!$C$1,1+(('table for research'!$B109-1)*36+HEX2DEC('table for research'!Q$1))*2,2)</f>
        <v>00</v>
      </c>
      <c r="R109" t="str">
        <f>MID('paste from garc here'!$C$1,1+(('table for research'!$B109-1)*36+HEX2DEC('table for research'!R$1))*2,2)</f>
        <v>01</v>
      </c>
      <c r="S109" t="str">
        <f>MID('paste from garc here'!$C$1,1+(('table for research'!$B109-1)*36+HEX2DEC('table for research'!S$1))*2,2)</f>
        <v>02</v>
      </c>
      <c r="T109" t="str">
        <f>MID('paste from garc here'!$C$1,1+(('table for research'!$B109-1)*36+HEX2DEC('table for research'!T$1))*2,2)</f>
        <v>00</v>
      </c>
      <c r="U109" t="str">
        <f>MID('paste from garc here'!$C$1,1+(('table for research'!$B109-1)*36+HEX2DEC('table for research'!U$1))*2,2)</f>
        <v>4E</v>
      </c>
      <c r="V109" t="str">
        <f>MID('paste from garc here'!$C$1,1+(('table for research'!$B109-1)*36+HEX2DEC('table for research'!V$1))*2,2)</f>
        <v>00</v>
      </c>
      <c r="W109" t="str">
        <f>MID('paste from garc here'!$C$1,1+(('table for research'!$B109-1)*36+HEX2DEC('table for research'!W$1))*2,2)</f>
        <v>08</v>
      </c>
      <c r="X109" t="str">
        <f>MID('paste from garc here'!$C$1,1+(('table for research'!$B109-1)*36+HEX2DEC('table for research'!X$1))*2,2)</f>
        <v>00</v>
      </c>
      <c r="Y109" t="str">
        <f>MID('paste from garc here'!$C$1,1+(('table for research'!$B109-1)*36+HEX2DEC('table for research'!Y$1))*2,2)</f>
        <v>00</v>
      </c>
      <c r="Z109" t="str">
        <f>MID('paste from garc here'!$C$1,1+(('table for research'!$B109-1)*36+HEX2DEC('table for research'!Z$1))*2,2)</f>
        <v>00</v>
      </c>
      <c r="AA109" t="str">
        <f>MID('paste from garc here'!$C$1,1+(('table for research'!$B109-1)*36+HEX2DEC('table for research'!AA$1))*2,2)</f>
        <v>00</v>
      </c>
      <c r="AB109" t="str">
        <f>MID('paste from garc here'!$C$1,1+(('table for research'!$B109-1)*36+HEX2DEC('table for research'!AB$1))*2,2)</f>
        <v>00</v>
      </c>
      <c r="AC109" t="str">
        <f>MID('paste from garc here'!$C$1,1+(('table for research'!$B109-1)*36+HEX2DEC('table for research'!AC$1))*2,2)</f>
        <v>00</v>
      </c>
      <c r="AD109" t="str">
        <f>MID('paste from garc here'!$C$1,1+(('table for research'!$B109-1)*36+HEX2DEC('table for research'!AD$1))*2,2)</f>
        <v>00</v>
      </c>
      <c r="AE109" t="str">
        <f>MID('paste from garc here'!$C$1,1+(('table for research'!$B109-1)*36+HEX2DEC('table for research'!AE$1))*2,2)</f>
        <v>00</v>
      </c>
      <c r="AF109" t="str">
        <f>MID('paste from garc here'!$C$1,1+(('table for research'!$B109-1)*36+HEX2DEC('table for research'!AF$1))*2,2)</f>
        <v>00</v>
      </c>
      <c r="AG109" t="str">
        <f>MID('paste from garc here'!$C$1,1+(('table for research'!$B109-1)*36+HEX2DEC('table for research'!AG$1))*2,2)</f>
        <v>00</v>
      </c>
      <c r="AH109" t="str">
        <f>MID('paste from garc here'!$C$1,1+(('table for research'!$B109-1)*36+HEX2DEC('table for research'!AH$1))*2,2)</f>
        <v>00</v>
      </c>
      <c r="AI109" t="str">
        <f>MID('paste from garc here'!$C$1,1+(('table for research'!$B109-1)*36+HEX2DEC('table for research'!AI$1))*2,2)</f>
        <v>00</v>
      </c>
      <c r="AJ109" t="str">
        <f>MID('paste from garc here'!$C$1,1+(('table for research'!$B109-1)*36+HEX2DEC('table for research'!AJ$1))*2,2)</f>
        <v>00</v>
      </c>
      <c r="AK109" t="str">
        <f>MID('paste from garc here'!$C$1,1+(('table for research'!$B109-1)*36+HEX2DEC('table for research'!AK$1))*2,2)</f>
        <v>00</v>
      </c>
      <c r="AL109" t="str">
        <f>MID('paste from garc here'!$C$1,1+(('table for research'!$B109-1)*36+HEX2DEC('table for research'!AL$1))*2,2)</f>
        <v>00</v>
      </c>
      <c r="AM109" t="str">
        <f>MID('paste from garc here'!$C$1,1+(('table for research'!$B109-1)*36+HEX2DEC('table for research'!AM$1))*2,2)</f>
        <v>00</v>
      </c>
      <c r="AN109" t="str">
        <f>MID('paste from garc here'!$C$1,1+(('table for research'!$B109-1)*36+HEX2DEC('table for research'!AN$1))*2,2)</f>
        <v>00</v>
      </c>
      <c r="AO109" t="str">
        <f>MID('paste from garc here'!$C$1,1+(('table for research'!$B109-1)*36+HEX2DEC('table for research'!AO$1))*2,2)</f>
        <v>00</v>
      </c>
    </row>
    <row r="110" spans="1:41" x14ac:dyDescent="0.4">
      <c r="A110" t="s">
        <v>122</v>
      </c>
      <c r="B110">
        <f>B109+1</f>
        <v>108</v>
      </c>
      <c r="C110" t="str">
        <f>MID('paste from garc here'!$C$1,1+(('table for research'!$B110-1)*36+HEX2DEC('table for research'!C$1))*2,2)</f>
        <v>2C</v>
      </c>
      <c r="D110" t="str">
        <f>MID('paste from garc here'!$C$1,1+(('table for research'!$B110-1)*36+HEX2DEC('table for research'!D$1))*2,2)</f>
        <v>01</v>
      </c>
      <c r="E110" t="str">
        <f>MID('paste from garc here'!$C$1,1+(('table for research'!$B110-1)*36+HEX2DEC('table for research'!E$1))*2,2)</f>
        <v>00</v>
      </c>
      <c r="F110" t="str">
        <f>MID('paste from garc here'!$C$1,1+(('table for research'!$B110-1)*36+HEX2DEC('table for research'!F$1))*2,2)</f>
        <v>00</v>
      </c>
      <c r="G110" t="str">
        <f>MID('paste from garc here'!$C$1,1+(('table for research'!$B110-1)*36+HEX2DEC('table for research'!G$1))*2,2)</f>
        <v>00</v>
      </c>
      <c r="H110" t="str">
        <f>MID('paste from garc here'!$C$1,1+(('table for research'!$B110-1)*36+HEX2DEC('table for research'!H$1))*2,2)</f>
        <v>00</v>
      </c>
      <c r="I110" t="str">
        <f>MID('paste from garc here'!$C$1,1+(('table for research'!$B110-1)*36+HEX2DEC('table for research'!I$1))*2,2)</f>
        <v>50</v>
      </c>
      <c r="J110" t="str">
        <f>MID('paste from garc here'!$C$1,1+(('table for research'!$B110-1)*36+HEX2DEC('table for research'!J$1))*2,2)</f>
        <v>00</v>
      </c>
      <c r="K110" t="str">
        <f>DEC2HEX(_xlfn.BITAND(HEX2DEC(MID('paste from garc here'!$C$1,1+(('table for research'!$B110-1)*36+HEX2DEC(8))*2,2)),31),2)</f>
        <v>1F</v>
      </c>
      <c r="L110" t="str">
        <f>DEC2HEX(_xlfn.BITAND(HEX2DEC(MID('paste from garc here'!$C$1,1+(('table for research'!$B110-1)*36+HEX2DEC(8))*2,2)),32),2)</f>
        <v>00</v>
      </c>
      <c r="M110" t="str">
        <f>DEC2HEX(_xlfn.BITAND(HEX2DEC(MID('paste from garc here'!$C$1,1+(('table for research'!$B110-1)*36+HEX2DEC(8))*2,2)),64),2)</f>
        <v>00</v>
      </c>
      <c r="N110" t="str">
        <f>DEC2HEX(_xlfn.BITRSHIFT(_xlfn.BITAND(HEX2DEC(MID('paste from garc here'!$C$1,1+(('table for research'!$B110-1)*36+HEX2DEC(9))*2,2)&amp;MID('paste from garc here'!$C$1,1+(('table for research'!$B110-1)*36+HEX2DEC(8))*2,2)),1920),7),2)</f>
        <v>00</v>
      </c>
      <c r="O110" t="str">
        <f>DEC2HEX(_xlfn.BITRSHIFT(HEX2DEC(MID('paste from garc here'!$C$1,1+(('table for research'!$B110-1)*36+HEX2DEC(9))*2,2)&amp;MID('paste from garc here'!$C$1,1+(('table for research'!$B110-1)*36+HEX2DEC(8))*2,2)),11),2)</f>
        <v>00</v>
      </c>
      <c r="P110" t="str">
        <f>MID('paste from garc here'!$C$1,1+(('table for research'!$B110-1)*36+HEX2DEC('table for research'!P$1))*2,2)</f>
        <v>06</v>
      </c>
      <c r="Q110" t="str">
        <f>MID('paste from garc here'!$C$1,1+(('table for research'!$B110-1)*36+HEX2DEC('table for research'!Q$1))*2,2)</f>
        <v>00</v>
      </c>
      <c r="R110" t="str">
        <f>MID('paste from garc here'!$C$1,1+(('table for research'!$B110-1)*36+HEX2DEC('table for research'!R$1))*2,2)</f>
        <v>01</v>
      </c>
      <c r="S110" t="str">
        <f>MID('paste from garc here'!$C$1,1+(('table for research'!$B110-1)*36+HEX2DEC('table for research'!S$1))*2,2)</f>
        <v>02</v>
      </c>
      <c r="T110" t="str">
        <f>MID('paste from garc here'!$C$1,1+(('table for research'!$B110-1)*36+HEX2DEC('table for research'!T$1))*2,2)</f>
        <v>00</v>
      </c>
      <c r="U110" t="str">
        <f>MID('paste from garc here'!$C$1,1+(('table for research'!$B110-1)*36+HEX2DEC('table for research'!U$1))*2,2)</f>
        <v>4F</v>
      </c>
      <c r="V110" t="str">
        <f>MID('paste from garc here'!$C$1,1+(('table for research'!$B110-1)*36+HEX2DEC('table for research'!V$1))*2,2)</f>
        <v>00</v>
      </c>
      <c r="W110" t="str">
        <f>MID('paste from garc here'!$C$1,1+(('table for research'!$B110-1)*36+HEX2DEC('table for research'!W$1))*2,2)</f>
        <v>08</v>
      </c>
      <c r="X110" t="str">
        <f>MID('paste from garc here'!$C$1,1+(('table for research'!$B110-1)*36+HEX2DEC('table for research'!X$1))*2,2)</f>
        <v>00</v>
      </c>
      <c r="Y110" t="str">
        <f>MID('paste from garc here'!$C$1,1+(('table for research'!$B110-1)*36+HEX2DEC('table for research'!Y$1))*2,2)</f>
        <v>00</v>
      </c>
      <c r="Z110" t="str">
        <f>MID('paste from garc here'!$C$1,1+(('table for research'!$B110-1)*36+HEX2DEC('table for research'!Z$1))*2,2)</f>
        <v>00</v>
      </c>
      <c r="AA110" t="str">
        <f>MID('paste from garc here'!$C$1,1+(('table for research'!$B110-1)*36+HEX2DEC('table for research'!AA$1))*2,2)</f>
        <v>00</v>
      </c>
      <c r="AB110" t="str">
        <f>MID('paste from garc here'!$C$1,1+(('table for research'!$B110-1)*36+HEX2DEC('table for research'!AB$1))*2,2)</f>
        <v>00</v>
      </c>
      <c r="AC110" t="str">
        <f>MID('paste from garc here'!$C$1,1+(('table for research'!$B110-1)*36+HEX2DEC('table for research'!AC$1))*2,2)</f>
        <v>00</v>
      </c>
      <c r="AD110" t="str">
        <f>MID('paste from garc here'!$C$1,1+(('table for research'!$B110-1)*36+HEX2DEC('table for research'!AD$1))*2,2)</f>
        <v>00</v>
      </c>
      <c r="AE110" t="str">
        <f>MID('paste from garc here'!$C$1,1+(('table for research'!$B110-1)*36+HEX2DEC('table for research'!AE$1))*2,2)</f>
        <v>00</v>
      </c>
      <c r="AF110" t="str">
        <f>MID('paste from garc here'!$C$1,1+(('table for research'!$B110-1)*36+HEX2DEC('table for research'!AF$1))*2,2)</f>
        <v>00</v>
      </c>
      <c r="AG110" t="str">
        <f>MID('paste from garc here'!$C$1,1+(('table for research'!$B110-1)*36+HEX2DEC('table for research'!AG$1))*2,2)</f>
        <v>00</v>
      </c>
      <c r="AH110" t="str">
        <f>MID('paste from garc here'!$C$1,1+(('table for research'!$B110-1)*36+HEX2DEC('table for research'!AH$1))*2,2)</f>
        <v>00</v>
      </c>
      <c r="AI110" t="str">
        <f>MID('paste from garc here'!$C$1,1+(('table for research'!$B110-1)*36+HEX2DEC('table for research'!AI$1))*2,2)</f>
        <v>00</v>
      </c>
      <c r="AJ110" t="str">
        <f>MID('paste from garc here'!$C$1,1+(('table for research'!$B110-1)*36+HEX2DEC('table for research'!AJ$1))*2,2)</f>
        <v>00</v>
      </c>
      <c r="AK110" t="str">
        <f>MID('paste from garc here'!$C$1,1+(('table for research'!$B110-1)*36+HEX2DEC('table for research'!AK$1))*2,2)</f>
        <v>00</v>
      </c>
      <c r="AL110" t="str">
        <f>MID('paste from garc here'!$C$1,1+(('table for research'!$B110-1)*36+HEX2DEC('table for research'!AL$1))*2,2)</f>
        <v>00</v>
      </c>
      <c r="AM110" t="str">
        <f>MID('paste from garc here'!$C$1,1+(('table for research'!$B110-1)*36+HEX2DEC('table for research'!AM$1))*2,2)</f>
        <v>00</v>
      </c>
      <c r="AN110" t="str">
        <f>MID('paste from garc here'!$C$1,1+(('table for research'!$B110-1)*36+HEX2DEC('table for research'!AN$1))*2,2)</f>
        <v>00</v>
      </c>
      <c r="AO110" t="str">
        <f>MID('paste from garc here'!$C$1,1+(('table for research'!$B110-1)*36+HEX2DEC('table for research'!AO$1))*2,2)</f>
        <v>00</v>
      </c>
    </row>
    <row r="111" spans="1:41" x14ac:dyDescent="0.4">
      <c r="A111" t="s">
        <v>123</v>
      </c>
      <c r="B111">
        <f>B110+1</f>
        <v>109</v>
      </c>
      <c r="C111" t="str">
        <f>MID('paste from garc here'!$C$1,1+(('table for research'!$B111-1)*36+HEX2DEC('table for research'!C$1))*2,2)</f>
        <v>2C</v>
      </c>
      <c r="D111" t="str">
        <f>MID('paste from garc here'!$C$1,1+(('table for research'!$B111-1)*36+HEX2DEC('table for research'!D$1))*2,2)</f>
        <v>01</v>
      </c>
      <c r="E111" t="str">
        <f>MID('paste from garc here'!$C$1,1+(('table for research'!$B111-1)*36+HEX2DEC('table for research'!E$1))*2,2)</f>
        <v>00</v>
      </c>
      <c r="F111" t="str">
        <f>MID('paste from garc here'!$C$1,1+(('table for research'!$B111-1)*36+HEX2DEC('table for research'!F$1))*2,2)</f>
        <v>00</v>
      </c>
      <c r="G111" t="str">
        <f>MID('paste from garc here'!$C$1,1+(('table for research'!$B111-1)*36+HEX2DEC('table for research'!G$1))*2,2)</f>
        <v>00</v>
      </c>
      <c r="H111" t="str">
        <f>MID('paste from garc here'!$C$1,1+(('table for research'!$B111-1)*36+HEX2DEC('table for research'!H$1))*2,2)</f>
        <v>00</v>
      </c>
      <c r="I111" t="str">
        <f>MID('paste from garc here'!$C$1,1+(('table for research'!$B111-1)*36+HEX2DEC('table for research'!I$1))*2,2)</f>
        <v>50</v>
      </c>
      <c r="J111" t="str">
        <f>MID('paste from garc here'!$C$1,1+(('table for research'!$B111-1)*36+HEX2DEC('table for research'!J$1))*2,2)</f>
        <v>00</v>
      </c>
      <c r="K111" t="str">
        <f>DEC2HEX(_xlfn.BITAND(HEX2DEC(MID('paste from garc here'!$C$1,1+(('table for research'!$B111-1)*36+HEX2DEC(8))*2,2)),31),2)</f>
        <v>1F</v>
      </c>
      <c r="L111" t="str">
        <f>DEC2HEX(_xlfn.BITAND(HEX2DEC(MID('paste from garc here'!$C$1,1+(('table for research'!$B111-1)*36+HEX2DEC(8))*2,2)),32),2)</f>
        <v>00</v>
      </c>
      <c r="M111" t="str">
        <f>DEC2HEX(_xlfn.BITAND(HEX2DEC(MID('paste from garc here'!$C$1,1+(('table for research'!$B111-1)*36+HEX2DEC(8))*2,2)),64),2)</f>
        <v>00</v>
      </c>
      <c r="N111" t="str">
        <f>DEC2HEX(_xlfn.BITRSHIFT(_xlfn.BITAND(HEX2DEC(MID('paste from garc here'!$C$1,1+(('table for research'!$B111-1)*36+HEX2DEC(9))*2,2)&amp;MID('paste from garc here'!$C$1,1+(('table for research'!$B111-1)*36+HEX2DEC(8))*2,2)),1920),7),2)</f>
        <v>00</v>
      </c>
      <c r="O111" t="str">
        <f>DEC2HEX(_xlfn.BITRSHIFT(HEX2DEC(MID('paste from garc here'!$C$1,1+(('table for research'!$B111-1)*36+HEX2DEC(9))*2,2)&amp;MID('paste from garc here'!$C$1,1+(('table for research'!$B111-1)*36+HEX2DEC(8))*2,2)),11),2)</f>
        <v>00</v>
      </c>
      <c r="P111" t="str">
        <f>MID('paste from garc here'!$C$1,1+(('table for research'!$B111-1)*36+HEX2DEC('table for research'!P$1))*2,2)</f>
        <v>06</v>
      </c>
      <c r="Q111" t="str">
        <f>MID('paste from garc here'!$C$1,1+(('table for research'!$B111-1)*36+HEX2DEC('table for research'!Q$1))*2,2)</f>
        <v>00</v>
      </c>
      <c r="R111" t="str">
        <f>MID('paste from garc here'!$C$1,1+(('table for research'!$B111-1)*36+HEX2DEC('table for research'!R$1))*2,2)</f>
        <v>01</v>
      </c>
      <c r="S111" t="str">
        <f>MID('paste from garc here'!$C$1,1+(('table for research'!$B111-1)*36+HEX2DEC('table for research'!S$1))*2,2)</f>
        <v>02</v>
      </c>
      <c r="T111" t="str">
        <f>MID('paste from garc here'!$C$1,1+(('table for research'!$B111-1)*36+HEX2DEC('table for research'!T$1))*2,2)</f>
        <v>00</v>
      </c>
      <c r="U111" t="str">
        <f>MID('paste from garc here'!$C$1,1+(('table for research'!$B111-1)*36+HEX2DEC('table for research'!U$1))*2,2)</f>
        <v>51</v>
      </c>
      <c r="V111" t="str">
        <f>MID('paste from garc here'!$C$1,1+(('table for research'!$B111-1)*36+HEX2DEC('table for research'!V$1))*2,2)</f>
        <v>00</v>
      </c>
      <c r="W111" t="str">
        <f>MID('paste from garc here'!$C$1,1+(('table for research'!$B111-1)*36+HEX2DEC('table for research'!W$1))*2,2)</f>
        <v>08</v>
      </c>
      <c r="X111" t="str">
        <f>MID('paste from garc here'!$C$1,1+(('table for research'!$B111-1)*36+HEX2DEC('table for research'!X$1))*2,2)</f>
        <v>00</v>
      </c>
      <c r="Y111" t="str">
        <f>MID('paste from garc here'!$C$1,1+(('table for research'!$B111-1)*36+HEX2DEC('table for research'!Y$1))*2,2)</f>
        <v>00</v>
      </c>
      <c r="Z111" t="str">
        <f>MID('paste from garc here'!$C$1,1+(('table for research'!$B111-1)*36+HEX2DEC('table for research'!Z$1))*2,2)</f>
        <v>00</v>
      </c>
      <c r="AA111" t="str">
        <f>MID('paste from garc here'!$C$1,1+(('table for research'!$B111-1)*36+HEX2DEC('table for research'!AA$1))*2,2)</f>
        <v>00</v>
      </c>
      <c r="AB111" t="str">
        <f>MID('paste from garc here'!$C$1,1+(('table for research'!$B111-1)*36+HEX2DEC('table for research'!AB$1))*2,2)</f>
        <v>00</v>
      </c>
      <c r="AC111" t="str">
        <f>MID('paste from garc here'!$C$1,1+(('table for research'!$B111-1)*36+HEX2DEC('table for research'!AC$1))*2,2)</f>
        <v>00</v>
      </c>
      <c r="AD111" t="str">
        <f>MID('paste from garc here'!$C$1,1+(('table for research'!$B111-1)*36+HEX2DEC('table for research'!AD$1))*2,2)</f>
        <v>00</v>
      </c>
      <c r="AE111" t="str">
        <f>MID('paste from garc here'!$C$1,1+(('table for research'!$B111-1)*36+HEX2DEC('table for research'!AE$1))*2,2)</f>
        <v>00</v>
      </c>
      <c r="AF111" t="str">
        <f>MID('paste from garc here'!$C$1,1+(('table for research'!$B111-1)*36+HEX2DEC('table for research'!AF$1))*2,2)</f>
        <v>00</v>
      </c>
      <c r="AG111" t="str">
        <f>MID('paste from garc here'!$C$1,1+(('table for research'!$B111-1)*36+HEX2DEC('table for research'!AG$1))*2,2)</f>
        <v>00</v>
      </c>
      <c r="AH111" t="str">
        <f>MID('paste from garc here'!$C$1,1+(('table for research'!$B111-1)*36+HEX2DEC('table for research'!AH$1))*2,2)</f>
        <v>00</v>
      </c>
      <c r="AI111" t="str">
        <f>MID('paste from garc here'!$C$1,1+(('table for research'!$B111-1)*36+HEX2DEC('table for research'!AI$1))*2,2)</f>
        <v>00</v>
      </c>
      <c r="AJ111" t="str">
        <f>MID('paste from garc here'!$C$1,1+(('table for research'!$B111-1)*36+HEX2DEC('table for research'!AJ$1))*2,2)</f>
        <v>00</v>
      </c>
      <c r="AK111" t="str">
        <f>MID('paste from garc here'!$C$1,1+(('table for research'!$B111-1)*36+HEX2DEC('table for research'!AK$1))*2,2)</f>
        <v>00</v>
      </c>
      <c r="AL111" t="str">
        <f>MID('paste from garc here'!$C$1,1+(('table for research'!$B111-1)*36+HEX2DEC('table for research'!AL$1))*2,2)</f>
        <v>00</v>
      </c>
      <c r="AM111" t="str">
        <f>MID('paste from garc here'!$C$1,1+(('table for research'!$B111-1)*36+HEX2DEC('table for research'!AM$1))*2,2)</f>
        <v>00</v>
      </c>
      <c r="AN111" t="str">
        <f>MID('paste from garc here'!$C$1,1+(('table for research'!$B111-1)*36+HEX2DEC('table for research'!AN$1))*2,2)</f>
        <v>00</v>
      </c>
      <c r="AO111" t="str">
        <f>MID('paste from garc here'!$C$1,1+(('table for research'!$B111-1)*36+HEX2DEC('table for research'!AO$1))*2,2)</f>
        <v>00</v>
      </c>
    </row>
    <row r="112" spans="1:41" x14ac:dyDescent="0.4">
      <c r="A112" t="s">
        <v>124</v>
      </c>
      <c r="B112">
        <f>B111+1</f>
        <v>110</v>
      </c>
      <c r="C112" t="str">
        <f>MID('paste from garc here'!$C$1,1+(('table for research'!$B112-1)*36+HEX2DEC('table for research'!C$1))*2,2)</f>
        <v>C8</v>
      </c>
      <c r="D112" t="str">
        <f>MID('paste from garc here'!$C$1,1+(('table for research'!$B112-1)*36+HEX2DEC('table for research'!D$1))*2,2)</f>
        <v>00</v>
      </c>
      <c r="E112" t="str">
        <f>MID('paste from garc here'!$C$1,1+(('table for research'!$B112-1)*36+HEX2DEC('table for research'!E$1))*2,2)</f>
        <v>00</v>
      </c>
      <c r="F112" t="str">
        <f>MID('paste from garc here'!$C$1,1+(('table for research'!$B112-1)*36+HEX2DEC('table for research'!F$1))*2,2)</f>
        <v>00</v>
      </c>
      <c r="G112" t="str">
        <f>MID('paste from garc here'!$C$1,1+(('table for research'!$B112-1)*36+HEX2DEC('table for research'!G$1))*2,2)</f>
        <v>00</v>
      </c>
      <c r="H112" t="str">
        <f>MID('paste from garc here'!$C$1,1+(('table for research'!$B112-1)*36+HEX2DEC('table for research'!H$1))*2,2)</f>
        <v>00</v>
      </c>
      <c r="I112" t="str">
        <f>MID('paste from garc here'!$C$1,1+(('table for research'!$B112-1)*36+HEX2DEC('table for research'!I$1))*2,2)</f>
        <v>50</v>
      </c>
      <c r="J112" t="str">
        <f>MID('paste from garc here'!$C$1,1+(('table for research'!$B112-1)*36+HEX2DEC('table for research'!J$1))*2,2)</f>
        <v>00</v>
      </c>
      <c r="K112" t="str">
        <f>DEC2HEX(_xlfn.BITAND(HEX2DEC(MID('paste from garc here'!$C$1,1+(('table for research'!$B112-1)*36+HEX2DEC(8))*2,2)),31),2)</f>
        <v>1F</v>
      </c>
      <c r="L112" t="str">
        <f>DEC2HEX(_xlfn.BITAND(HEX2DEC(MID('paste from garc here'!$C$1,1+(('table for research'!$B112-1)*36+HEX2DEC(8))*2,2)),32),2)</f>
        <v>00</v>
      </c>
      <c r="M112" t="str">
        <f>DEC2HEX(_xlfn.BITAND(HEX2DEC(MID('paste from garc here'!$C$1,1+(('table for research'!$B112-1)*36+HEX2DEC(8))*2,2)),64),2)</f>
        <v>00</v>
      </c>
      <c r="N112" t="str">
        <f>DEC2HEX(_xlfn.BITRSHIFT(_xlfn.BITAND(HEX2DEC(MID('paste from garc here'!$C$1,1+(('table for research'!$B112-1)*36+HEX2DEC(9))*2,2)&amp;MID('paste from garc here'!$C$1,1+(('table for research'!$B112-1)*36+HEX2DEC(8))*2,2)),1920),7),2)</f>
        <v>00</v>
      </c>
      <c r="O112" t="str">
        <f>DEC2HEX(_xlfn.BITRSHIFT(HEX2DEC(MID('paste from garc here'!$C$1,1+(('table for research'!$B112-1)*36+HEX2DEC(9))*2,2)&amp;MID('paste from garc here'!$C$1,1+(('table for research'!$B112-1)*36+HEX2DEC(8))*2,2)),11),2)</f>
        <v>00</v>
      </c>
      <c r="P112" t="str">
        <f>MID('paste from garc here'!$C$1,1+(('table for research'!$B112-1)*36+HEX2DEC('table for research'!P$1))*2,2)</f>
        <v>06</v>
      </c>
      <c r="Q112" t="str">
        <f>MID('paste from garc here'!$C$1,1+(('table for research'!$B112-1)*36+HEX2DEC('table for research'!Q$1))*2,2)</f>
        <v>00</v>
      </c>
      <c r="R112" t="str">
        <f>MID('paste from garc here'!$C$1,1+(('table for research'!$B112-1)*36+HEX2DEC('table for research'!R$1))*2,2)</f>
        <v>01</v>
      </c>
      <c r="S112" t="str">
        <f>MID('paste from garc here'!$C$1,1+(('table for research'!$B112-1)*36+HEX2DEC('table for research'!S$1))*2,2)</f>
        <v>02</v>
      </c>
      <c r="T112" t="str">
        <f>MID('paste from garc here'!$C$1,1+(('table for research'!$B112-1)*36+HEX2DEC('table for research'!T$1))*2,2)</f>
        <v>00</v>
      </c>
      <c r="U112" t="str">
        <f>MID('paste from garc here'!$C$1,1+(('table for research'!$B112-1)*36+HEX2DEC('table for research'!U$1))*2,2)</f>
        <v>50</v>
      </c>
      <c r="V112" t="str">
        <f>MID('paste from garc here'!$C$1,1+(('table for research'!$B112-1)*36+HEX2DEC('table for research'!V$1))*2,2)</f>
        <v>00</v>
      </c>
      <c r="W112" t="str">
        <f>MID('paste from garc here'!$C$1,1+(('table for research'!$B112-1)*36+HEX2DEC('table for research'!W$1))*2,2)</f>
        <v>08</v>
      </c>
      <c r="X112" t="str">
        <f>MID('paste from garc here'!$C$1,1+(('table for research'!$B112-1)*36+HEX2DEC('table for research'!X$1))*2,2)</f>
        <v>00</v>
      </c>
      <c r="Y112" t="str">
        <f>MID('paste from garc here'!$C$1,1+(('table for research'!$B112-1)*36+HEX2DEC('table for research'!Y$1))*2,2)</f>
        <v>00</v>
      </c>
      <c r="Z112" t="str">
        <f>MID('paste from garc here'!$C$1,1+(('table for research'!$B112-1)*36+HEX2DEC('table for research'!Z$1))*2,2)</f>
        <v>00</v>
      </c>
      <c r="AA112" t="str">
        <f>MID('paste from garc here'!$C$1,1+(('table for research'!$B112-1)*36+HEX2DEC('table for research'!AA$1))*2,2)</f>
        <v>00</v>
      </c>
      <c r="AB112" t="str">
        <f>MID('paste from garc here'!$C$1,1+(('table for research'!$B112-1)*36+HEX2DEC('table for research'!AB$1))*2,2)</f>
        <v>00</v>
      </c>
      <c r="AC112" t="str">
        <f>MID('paste from garc here'!$C$1,1+(('table for research'!$B112-1)*36+HEX2DEC('table for research'!AC$1))*2,2)</f>
        <v>00</v>
      </c>
      <c r="AD112" t="str">
        <f>MID('paste from garc here'!$C$1,1+(('table for research'!$B112-1)*36+HEX2DEC('table for research'!AD$1))*2,2)</f>
        <v>00</v>
      </c>
      <c r="AE112" t="str">
        <f>MID('paste from garc here'!$C$1,1+(('table for research'!$B112-1)*36+HEX2DEC('table for research'!AE$1))*2,2)</f>
        <v>00</v>
      </c>
      <c r="AF112" t="str">
        <f>MID('paste from garc here'!$C$1,1+(('table for research'!$B112-1)*36+HEX2DEC('table for research'!AF$1))*2,2)</f>
        <v>00</v>
      </c>
      <c r="AG112" t="str">
        <f>MID('paste from garc here'!$C$1,1+(('table for research'!$B112-1)*36+HEX2DEC('table for research'!AG$1))*2,2)</f>
        <v>00</v>
      </c>
      <c r="AH112" t="str">
        <f>MID('paste from garc here'!$C$1,1+(('table for research'!$B112-1)*36+HEX2DEC('table for research'!AH$1))*2,2)</f>
        <v>00</v>
      </c>
      <c r="AI112" t="str">
        <f>MID('paste from garc here'!$C$1,1+(('table for research'!$B112-1)*36+HEX2DEC('table for research'!AI$1))*2,2)</f>
        <v>00</v>
      </c>
      <c r="AJ112" t="str">
        <f>MID('paste from garc here'!$C$1,1+(('table for research'!$B112-1)*36+HEX2DEC('table for research'!AJ$1))*2,2)</f>
        <v>00</v>
      </c>
      <c r="AK112" t="str">
        <f>MID('paste from garc here'!$C$1,1+(('table for research'!$B112-1)*36+HEX2DEC('table for research'!AK$1))*2,2)</f>
        <v>00</v>
      </c>
      <c r="AL112" t="str">
        <f>MID('paste from garc here'!$C$1,1+(('table for research'!$B112-1)*36+HEX2DEC('table for research'!AL$1))*2,2)</f>
        <v>00</v>
      </c>
      <c r="AM112" t="str">
        <f>MID('paste from garc here'!$C$1,1+(('table for research'!$B112-1)*36+HEX2DEC('table for research'!AM$1))*2,2)</f>
        <v>00</v>
      </c>
      <c r="AN112" t="str">
        <f>MID('paste from garc here'!$C$1,1+(('table for research'!$B112-1)*36+HEX2DEC('table for research'!AN$1))*2,2)</f>
        <v>00</v>
      </c>
      <c r="AO112" t="str">
        <f>MID('paste from garc here'!$C$1,1+(('table for research'!$B112-1)*36+HEX2DEC('table for research'!AO$1))*2,2)</f>
        <v>00</v>
      </c>
    </row>
    <row r="113" spans="1:41" x14ac:dyDescent="0.4">
      <c r="A113" t="s">
        <v>125</v>
      </c>
      <c r="B113">
        <f>B112+1</f>
        <v>111</v>
      </c>
      <c r="C113" t="str">
        <f>MID('paste from garc here'!$C$1,1+(('table for research'!$B113-1)*36+HEX2DEC('table for research'!C$1))*2,2)</f>
        <v>D2</v>
      </c>
      <c r="D113" t="str">
        <f>MID('paste from garc here'!$C$1,1+(('table for research'!$B113-1)*36+HEX2DEC('table for research'!D$1))*2,2)</f>
        <v>00</v>
      </c>
      <c r="E113" t="str">
        <f>MID('paste from garc here'!$C$1,1+(('table for research'!$B113-1)*36+HEX2DEC('table for research'!E$1))*2,2)</f>
        <v>00</v>
      </c>
      <c r="F113" t="str">
        <f>MID('paste from garc here'!$C$1,1+(('table for research'!$B113-1)*36+HEX2DEC('table for research'!F$1))*2,2)</f>
        <v>00</v>
      </c>
      <c r="G113" t="str">
        <f>MID('paste from garc here'!$C$1,1+(('table for research'!$B113-1)*36+HEX2DEC('table for research'!G$1))*2,2)</f>
        <v>00</v>
      </c>
      <c r="H113" t="str">
        <f>MID('paste from garc here'!$C$1,1+(('table for research'!$B113-1)*36+HEX2DEC('table for research'!H$1))*2,2)</f>
        <v>00</v>
      </c>
      <c r="I113" t="str">
        <f>MID('paste from garc here'!$C$1,1+(('table for research'!$B113-1)*36+HEX2DEC('table for research'!I$1))*2,2)</f>
        <v>50</v>
      </c>
      <c r="J113" t="str">
        <f>MID('paste from garc here'!$C$1,1+(('table for research'!$B113-1)*36+HEX2DEC('table for research'!J$1))*2,2)</f>
        <v>00</v>
      </c>
      <c r="K113" t="str">
        <f>DEC2HEX(_xlfn.BITAND(HEX2DEC(MID('paste from garc here'!$C$1,1+(('table for research'!$B113-1)*36+HEX2DEC(8))*2,2)),31),2)</f>
        <v>1F</v>
      </c>
      <c r="L113" t="str">
        <f>DEC2HEX(_xlfn.BITAND(HEX2DEC(MID('paste from garc here'!$C$1,1+(('table for research'!$B113-1)*36+HEX2DEC(8))*2,2)),32),2)</f>
        <v>00</v>
      </c>
      <c r="M113" t="str">
        <f>DEC2HEX(_xlfn.BITAND(HEX2DEC(MID('paste from garc here'!$C$1,1+(('table for research'!$B113-1)*36+HEX2DEC(8))*2,2)),64),2)</f>
        <v>00</v>
      </c>
      <c r="N113" t="str">
        <f>DEC2HEX(_xlfn.BITRSHIFT(_xlfn.BITAND(HEX2DEC(MID('paste from garc here'!$C$1,1+(('table for research'!$B113-1)*36+HEX2DEC(9))*2,2)&amp;MID('paste from garc here'!$C$1,1+(('table for research'!$B113-1)*36+HEX2DEC(8))*2,2)),1920),7),2)</f>
        <v>00</v>
      </c>
      <c r="O113" t="str">
        <f>DEC2HEX(_xlfn.BITRSHIFT(HEX2DEC(MID('paste from garc here'!$C$1,1+(('table for research'!$B113-1)*36+HEX2DEC(9))*2,2)&amp;MID('paste from garc here'!$C$1,1+(('table for research'!$B113-1)*36+HEX2DEC(8))*2,2)),11),2)</f>
        <v>00</v>
      </c>
      <c r="P113" t="str">
        <f>MID('paste from garc here'!$C$1,1+(('table for research'!$B113-1)*36+HEX2DEC('table for research'!P$1))*2,2)</f>
        <v>00</v>
      </c>
      <c r="Q113" t="str">
        <f>MID('paste from garc here'!$C$1,1+(('table for research'!$B113-1)*36+HEX2DEC('table for research'!Q$1))*2,2)</f>
        <v>00</v>
      </c>
      <c r="R113" t="str">
        <f>MID('paste from garc here'!$C$1,1+(('table for research'!$B113-1)*36+HEX2DEC('table for research'!R$1))*2,2)</f>
        <v>01</v>
      </c>
      <c r="S113" t="str">
        <f>MID('paste from garc here'!$C$1,1+(('table for research'!$B113-1)*36+HEX2DEC('table for research'!S$1))*2,2)</f>
        <v>02</v>
      </c>
      <c r="T113" t="str">
        <f>MID('paste from garc here'!$C$1,1+(('table for research'!$B113-1)*36+HEX2DEC('table for research'!T$1))*2,2)</f>
        <v>00</v>
      </c>
      <c r="U113" t="str">
        <f>MID('paste from garc here'!$C$1,1+(('table for research'!$B113-1)*36+HEX2DEC('table for research'!U$1))*2,2)</f>
        <v>0C</v>
      </c>
      <c r="V113" t="str">
        <f>MID('paste from garc here'!$C$1,1+(('table for research'!$B113-1)*36+HEX2DEC('table for research'!V$1))*2,2)</f>
        <v>00</v>
      </c>
      <c r="W113" t="str">
        <f>MID('paste from garc here'!$C$1,1+(('table for research'!$B113-1)*36+HEX2DEC('table for research'!W$1))*2,2)</f>
        <v>00</v>
      </c>
      <c r="X113" t="str">
        <f>MID('paste from garc here'!$C$1,1+(('table for research'!$B113-1)*36+HEX2DEC('table for research'!X$1))*2,2)</f>
        <v>00</v>
      </c>
      <c r="Y113" t="str">
        <f>MID('paste from garc here'!$C$1,1+(('table for research'!$B113-1)*36+HEX2DEC('table for research'!Y$1))*2,2)</f>
        <v>00</v>
      </c>
      <c r="Z113" t="str">
        <f>MID('paste from garc here'!$C$1,1+(('table for research'!$B113-1)*36+HEX2DEC('table for research'!Z$1))*2,2)</f>
        <v>00</v>
      </c>
      <c r="AA113" t="str">
        <f>MID('paste from garc here'!$C$1,1+(('table for research'!$B113-1)*36+HEX2DEC('table for research'!AA$1))*2,2)</f>
        <v>00</v>
      </c>
      <c r="AB113" t="str">
        <f>MID('paste from garc here'!$C$1,1+(('table for research'!$B113-1)*36+HEX2DEC('table for research'!AB$1))*2,2)</f>
        <v>00</v>
      </c>
      <c r="AC113" t="str">
        <f>MID('paste from garc here'!$C$1,1+(('table for research'!$B113-1)*36+HEX2DEC('table for research'!AC$1))*2,2)</f>
        <v>00</v>
      </c>
      <c r="AD113" t="str">
        <f>MID('paste from garc here'!$C$1,1+(('table for research'!$B113-1)*36+HEX2DEC('table for research'!AD$1))*2,2)</f>
        <v>00</v>
      </c>
      <c r="AE113" t="str">
        <f>MID('paste from garc here'!$C$1,1+(('table for research'!$B113-1)*36+HEX2DEC('table for research'!AE$1))*2,2)</f>
        <v>00</v>
      </c>
      <c r="AF113" t="str">
        <f>MID('paste from garc here'!$C$1,1+(('table for research'!$B113-1)*36+HEX2DEC('table for research'!AF$1))*2,2)</f>
        <v>00</v>
      </c>
      <c r="AG113" t="str">
        <f>MID('paste from garc here'!$C$1,1+(('table for research'!$B113-1)*36+HEX2DEC('table for research'!AG$1))*2,2)</f>
        <v>00</v>
      </c>
      <c r="AH113" t="str">
        <f>MID('paste from garc here'!$C$1,1+(('table for research'!$B113-1)*36+HEX2DEC('table for research'!AH$1))*2,2)</f>
        <v>00</v>
      </c>
      <c r="AI113" t="str">
        <f>MID('paste from garc here'!$C$1,1+(('table for research'!$B113-1)*36+HEX2DEC('table for research'!AI$1))*2,2)</f>
        <v>00</v>
      </c>
      <c r="AJ113" t="str">
        <f>MID('paste from garc here'!$C$1,1+(('table for research'!$B113-1)*36+HEX2DEC('table for research'!AJ$1))*2,2)</f>
        <v>00</v>
      </c>
      <c r="AK113" t="str">
        <f>MID('paste from garc here'!$C$1,1+(('table for research'!$B113-1)*36+HEX2DEC('table for research'!AK$1))*2,2)</f>
        <v>00</v>
      </c>
      <c r="AL113" t="str">
        <f>MID('paste from garc here'!$C$1,1+(('table for research'!$B113-1)*36+HEX2DEC('table for research'!AL$1))*2,2)</f>
        <v>00</v>
      </c>
      <c r="AM113" t="str">
        <f>MID('paste from garc here'!$C$1,1+(('table for research'!$B113-1)*36+HEX2DEC('table for research'!AM$1))*2,2)</f>
        <v>00</v>
      </c>
      <c r="AN113" t="str">
        <f>MID('paste from garc here'!$C$1,1+(('table for research'!$B113-1)*36+HEX2DEC('table for research'!AN$1))*2,2)</f>
        <v>00</v>
      </c>
      <c r="AO113" t="str">
        <f>MID('paste from garc here'!$C$1,1+(('table for research'!$B113-1)*36+HEX2DEC('table for research'!AO$1))*2,2)</f>
        <v>00</v>
      </c>
    </row>
    <row r="114" spans="1:41" x14ac:dyDescent="0.4">
      <c r="A114" t="s">
        <v>126</v>
      </c>
      <c r="B114">
        <f>B113+1</f>
        <v>112</v>
      </c>
      <c r="C114" t="str">
        <f>MID('paste from garc here'!$C$1,1+(('table for research'!$B114-1)*36+HEX2DEC('table for research'!C$1))*2,2)</f>
        <v>00</v>
      </c>
      <c r="D114" t="str">
        <f>MID('paste from garc here'!$C$1,1+(('table for research'!$B114-1)*36+HEX2DEC('table for research'!D$1))*2,2)</f>
        <v>00</v>
      </c>
      <c r="E114" t="str">
        <f>MID('paste from garc here'!$C$1,1+(('table for research'!$B114-1)*36+HEX2DEC('table for research'!E$1))*2,2)</f>
        <v>02</v>
      </c>
      <c r="F114" t="str">
        <f>MID('paste from garc here'!$C$1,1+(('table for research'!$B114-1)*36+HEX2DEC('table for research'!F$1))*2,2)</f>
        <v>14</v>
      </c>
      <c r="G114" t="str">
        <f>MID('paste from garc here'!$C$1,1+(('table for research'!$B114-1)*36+HEX2DEC('table for research'!G$1))*2,2)</f>
        <v>00</v>
      </c>
      <c r="H114" t="str">
        <f>MID('paste from garc here'!$C$1,1+(('table for research'!$B114-1)*36+HEX2DEC('table for research'!H$1))*2,2)</f>
        <v>00</v>
      </c>
      <c r="I114" t="str">
        <f>MID('paste from garc here'!$C$1,1+(('table for research'!$B114-1)*36+HEX2DEC('table for research'!I$1))*2,2)</f>
        <v>3C</v>
      </c>
      <c r="J114" t="str">
        <f>MID('paste from garc here'!$C$1,1+(('table for research'!$B114-1)*36+HEX2DEC('table for research'!J$1))*2,2)</f>
        <v>00</v>
      </c>
      <c r="K114" t="str">
        <f>DEC2HEX(_xlfn.BITAND(HEX2DEC(MID('paste from garc here'!$C$1,1+(('table for research'!$B114-1)*36+HEX2DEC(8))*2,2)),31),2)</f>
        <v>1F</v>
      </c>
      <c r="L114" t="str">
        <f>DEC2HEX(_xlfn.BITAND(HEX2DEC(MID('paste from garc here'!$C$1,1+(('table for research'!$B114-1)*36+HEX2DEC(8))*2,2)),32),2)</f>
        <v>00</v>
      </c>
      <c r="M114" t="str">
        <f>DEC2HEX(_xlfn.BITAND(HEX2DEC(MID('paste from garc here'!$C$1,1+(('table for research'!$B114-1)*36+HEX2DEC(8))*2,2)),64),2)</f>
        <v>00</v>
      </c>
      <c r="N114" t="str">
        <f>DEC2HEX(_xlfn.BITRSHIFT(_xlfn.BITAND(HEX2DEC(MID('paste from garc here'!$C$1,1+(('table for research'!$B114-1)*36+HEX2DEC(9))*2,2)&amp;MID('paste from garc here'!$C$1,1+(('table for research'!$B114-1)*36+HEX2DEC(8))*2,2)),1920),7),2)</f>
        <v>00</v>
      </c>
      <c r="O114" t="str">
        <f>DEC2HEX(_xlfn.BITRSHIFT(HEX2DEC(MID('paste from garc here'!$C$1,1+(('table for research'!$B114-1)*36+HEX2DEC(9))*2,2)&amp;MID('paste from garc here'!$C$1,1+(('table for research'!$B114-1)*36+HEX2DEC(8))*2,2)),11),2)</f>
        <v>00</v>
      </c>
      <c r="P114" t="str">
        <f>MID('paste from garc here'!$C$1,1+(('table for research'!$B114-1)*36+HEX2DEC('table for research'!P$1))*2,2)</f>
        <v>00</v>
      </c>
      <c r="Q114" t="str">
        <f>MID('paste from garc here'!$C$1,1+(('table for research'!$B114-1)*36+HEX2DEC('table for research'!Q$1))*2,2)</f>
        <v>00</v>
      </c>
      <c r="R114" t="str">
        <f>MID('paste from garc here'!$C$1,1+(('table for research'!$B114-1)*36+HEX2DEC('table for research'!R$1))*2,2)</f>
        <v>00</v>
      </c>
      <c r="S114" t="str">
        <f>MID('paste from garc here'!$C$1,1+(('table for research'!$B114-1)*36+HEX2DEC('table for research'!S$1))*2,2)</f>
        <v>01</v>
      </c>
      <c r="T114" t="str">
        <f>MID('paste from garc here'!$C$1,1+(('table for research'!$B114-1)*36+HEX2DEC('table for research'!T$1))*2,2)</f>
        <v>00</v>
      </c>
      <c r="U114" t="str">
        <f>MID('paste from garc here'!$C$1,1+(('table for research'!$B114-1)*36+HEX2DEC('table for research'!U$1))*2,2)</f>
        <v>44</v>
      </c>
      <c r="V114" t="str">
        <f>MID('paste from garc here'!$C$1,1+(('table for research'!$B114-1)*36+HEX2DEC('table for research'!V$1))*2,2)</f>
        <v>00</v>
      </c>
      <c r="W114" t="str">
        <f>MID('paste from garc here'!$C$1,1+(('table for research'!$B114-1)*36+HEX2DEC('table for research'!W$1))*2,2)</f>
        <v>00</v>
      </c>
      <c r="X114" t="str">
        <f>MID('paste from garc here'!$C$1,1+(('table for research'!$B114-1)*36+HEX2DEC('table for research'!X$1))*2,2)</f>
        <v>00</v>
      </c>
      <c r="Y114" t="str">
        <f>MID('paste from garc here'!$C$1,1+(('table for research'!$B114-1)*36+HEX2DEC('table for research'!Y$1))*2,2)</f>
        <v>00</v>
      </c>
      <c r="Z114" t="str">
        <f>MID('paste from garc here'!$C$1,1+(('table for research'!$B114-1)*36+HEX2DEC('table for research'!Z$1))*2,2)</f>
        <v>00</v>
      </c>
      <c r="AA114" t="str">
        <f>MID('paste from garc here'!$C$1,1+(('table for research'!$B114-1)*36+HEX2DEC('table for research'!AA$1))*2,2)</f>
        <v>00</v>
      </c>
      <c r="AB114" t="str">
        <f>MID('paste from garc here'!$C$1,1+(('table for research'!$B114-1)*36+HEX2DEC('table for research'!AB$1))*2,2)</f>
        <v>00</v>
      </c>
      <c r="AC114" t="str">
        <f>MID('paste from garc here'!$C$1,1+(('table for research'!$B114-1)*36+HEX2DEC('table for research'!AC$1))*2,2)</f>
        <v>00</v>
      </c>
      <c r="AD114" t="str">
        <f>MID('paste from garc here'!$C$1,1+(('table for research'!$B114-1)*36+HEX2DEC('table for research'!AD$1))*2,2)</f>
        <v>00</v>
      </c>
      <c r="AE114" t="str">
        <f>MID('paste from garc here'!$C$1,1+(('table for research'!$B114-1)*36+HEX2DEC('table for research'!AE$1))*2,2)</f>
        <v>00</v>
      </c>
      <c r="AF114" t="str">
        <f>MID('paste from garc here'!$C$1,1+(('table for research'!$B114-1)*36+HEX2DEC('table for research'!AF$1))*2,2)</f>
        <v>00</v>
      </c>
      <c r="AG114" t="str">
        <f>MID('paste from garc here'!$C$1,1+(('table for research'!$B114-1)*36+HEX2DEC('table for research'!AG$1))*2,2)</f>
        <v>00</v>
      </c>
      <c r="AH114" t="str">
        <f>MID('paste from garc here'!$C$1,1+(('table for research'!$B114-1)*36+HEX2DEC('table for research'!AH$1))*2,2)</f>
        <v>00</v>
      </c>
      <c r="AI114" t="str">
        <f>MID('paste from garc here'!$C$1,1+(('table for research'!$B114-1)*36+HEX2DEC('table for research'!AI$1))*2,2)</f>
        <v>00</v>
      </c>
      <c r="AJ114" t="str">
        <f>MID('paste from garc here'!$C$1,1+(('table for research'!$B114-1)*36+HEX2DEC('table for research'!AJ$1))*2,2)</f>
        <v>00</v>
      </c>
      <c r="AK114" t="str">
        <f>MID('paste from garc here'!$C$1,1+(('table for research'!$B114-1)*36+HEX2DEC('table for research'!AK$1))*2,2)</f>
        <v>00</v>
      </c>
      <c r="AL114" t="str">
        <f>MID('paste from garc here'!$C$1,1+(('table for research'!$B114-1)*36+HEX2DEC('table for research'!AL$1))*2,2)</f>
        <v>00</v>
      </c>
      <c r="AM114" t="str">
        <f>MID('paste from garc here'!$C$1,1+(('table for research'!$B114-1)*36+HEX2DEC('table for research'!AM$1))*2,2)</f>
        <v>00</v>
      </c>
      <c r="AN114" t="str">
        <f>MID('paste from garc here'!$C$1,1+(('table for research'!$B114-1)*36+HEX2DEC('table for research'!AN$1))*2,2)</f>
        <v>00</v>
      </c>
      <c r="AO114" t="str">
        <f>MID('paste from garc here'!$C$1,1+(('table for research'!$B114-1)*36+HEX2DEC('table for research'!AO$1))*2,2)</f>
        <v>00</v>
      </c>
    </row>
    <row r="115" spans="1:41" x14ac:dyDescent="0.4">
      <c r="A115" t="s">
        <v>127</v>
      </c>
      <c r="B115">
        <f>B114+1</f>
        <v>113</v>
      </c>
      <c r="C115" t="str">
        <f>MID('paste from garc here'!$C$1,1+(('table for research'!$B115-1)*36+HEX2DEC('table for research'!C$1))*2,2)</f>
        <v>C4</v>
      </c>
      <c r="D115" t="str">
        <f>MID('paste from garc here'!$C$1,1+(('table for research'!$B115-1)*36+HEX2DEC('table for research'!D$1))*2,2)</f>
        <v>09</v>
      </c>
      <c r="E115" t="str">
        <f>MID('paste from garc here'!$C$1,1+(('table for research'!$B115-1)*36+HEX2DEC('table for research'!E$1))*2,2)</f>
        <v>00</v>
      </c>
      <c r="F115" t="str">
        <f>MID('paste from garc here'!$C$1,1+(('table for research'!$B115-1)*36+HEX2DEC('table for research'!F$1))*2,2)</f>
        <v>00</v>
      </c>
      <c r="G115" t="str">
        <f>MID('paste from garc here'!$C$1,1+(('table for research'!$B115-1)*36+HEX2DEC('table for research'!G$1))*2,2)</f>
        <v>00</v>
      </c>
      <c r="H115" t="str">
        <f>MID('paste from garc here'!$C$1,1+(('table for research'!$B115-1)*36+HEX2DEC('table for research'!H$1))*2,2)</f>
        <v>00</v>
      </c>
      <c r="I115" t="str">
        <f>MID('paste from garc here'!$C$1,1+(('table for research'!$B115-1)*36+HEX2DEC('table for research'!I$1))*2,2)</f>
        <v>50</v>
      </c>
      <c r="J115" t="str">
        <f>MID('paste from garc here'!$C$1,1+(('table for research'!$B115-1)*36+HEX2DEC('table for research'!J$1))*2,2)</f>
        <v>00</v>
      </c>
      <c r="K115" t="str">
        <f>DEC2HEX(_xlfn.BITAND(HEX2DEC(MID('paste from garc here'!$C$1,1+(('table for research'!$B115-1)*36+HEX2DEC(8))*2,2)),31),2)</f>
        <v>1F</v>
      </c>
      <c r="L115" t="str">
        <f>DEC2HEX(_xlfn.BITAND(HEX2DEC(MID('paste from garc here'!$C$1,1+(('table for research'!$B115-1)*36+HEX2DEC(8))*2,2)),32),2)</f>
        <v>00</v>
      </c>
      <c r="M115" t="str">
        <f>DEC2HEX(_xlfn.BITAND(HEX2DEC(MID('paste from garc here'!$C$1,1+(('table for research'!$B115-1)*36+HEX2DEC(8))*2,2)),64),2)</f>
        <v>00</v>
      </c>
      <c r="N115" t="str">
        <f>DEC2HEX(_xlfn.BITRSHIFT(_xlfn.BITAND(HEX2DEC(MID('paste from garc here'!$C$1,1+(('table for research'!$B115-1)*36+HEX2DEC(9))*2,2)&amp;MID('paste from garc here'!$C$1,1+(('table for research'!$B115-1)*36+HEX2DEC(8))*2,2)),1920),7),2)</f>
        <v>00</v>
      </c>
      <c r="O115" t="str">
        <f>DEC2HEX(_xlfn.BITRSHIFT(HEX2DEC(MID('paste from garc here'!$C$1,1+(('table for research'!$B115-1)*36+HEX2DEC(9))*2,2)&amp;MID('paste from garc here'!$C$1,1+(('table for research'!$B115-1)*36+HEX2DEC(8))*2,2)),11),2)</f>
        <v>00</v>
      </c>
      <c r="P115" t="str">
        <f>MID('paste from garc here'!$C$1,1+(('table for research'!$B115-1)*36+HEX2DEC('table for research'!P$1))*2,2)</f>
        <v>00</v>
      </c>
      <c r="Q115" t="str">
        <f>MID('paste from garc here'!$C$1,1+(('table for research'!$B115-1)*36+HEX2DEC('table for research'!Q$1))*2,2)</f>
        <v>00</v>
      </c>
      <c r="R115" t="str">
        <f>MID('paste from garc here'!$C$1,1+(('table for research'!$B115-1)*36+HEX2DEC('table for research'!R$1))*2,2)</f>
        <v>00</v>
      </c>
      <c r="S115" t="str">
        <f>MID('paste from garc here'!$C$1,1+(('table for research'!$B115-1)*36+HEX2DEC('table for research'!S$1))*2,2)</f>
        <v>01</v>
      </c>
      <c r="T115" t="str">
        <f>MID('paste from garc here'!$C$1,1+(('table for research'!$B115-1)*36+HEX2DEC('table for research'!T$1))*2,2)</f>
        <v>00</v>
      </c>
      <c r="U115" t="str">
        <f>MID('paste from garc here'!$C$1,1+(('table for research'!$B115-1)*36+HEX2DEC('table for research'!U$1))*2,2)</f>
        <v>35</v>
      </c>
      <c r="V115" t="str">
        <f>MID('paste from garc here'!$C$1,1+(('table for research'!$B115-1)*36+HEX2DEC('table for research'!V$1))*2,2)</f>
        <v>00</v>
      </c>
      <c r="W115" t="str">
        <f>MID('paste from garc here'!$C$1,1+(('table for research'!$B115-1)*36+HEX2DEC('table for research'!W$1))*2,2)</f>
        <v>00</v>
      </c>
      <c r="X115" t="str">
        <f>MID('paste from garc here'!$C$1,1+(('table for research'!$B115-1)*36+HEX2DEC('table for research'!X$1))*2,2)</f>
        <v>00</v>
      </c>
      <c r="Y115" t="str">
        <f>MID('paste from garc here'!$C$1,1+(('table for research'!$B115-1)*36+HEX2DEC('table for research'!Y$1))*2,2)</f>
        <v>00</v>
      </c>
      <c r="Z115" t="str">
        <f>MID('paste from garc here'!$C$1,1+(('table for research'!$B115-1)*36+HEX2DEC('table for research'!Z$1))*2,2)</f>
        <v>00</v>
      </c>
      <c r="AA115" t="str">
        <f>MID('paste from garc here'!$C$1,1+(('table for research'!$B115-1)*36+HEX2DEC('table for research'!AA$1))*2,2)</f>
        <v>00</v>
      </c>
      <c r="AB115" t="str">
        <f>MID('paste from garc here'!$C$1,1+(('table for research'!$B115-1)*36+HEX2DEC('table for research'!AB$1))*2,2)</f>
        <v>00</v>
      </c>
      <c r="AC115" t="str">
        <f>MID('paste from garc here'!$C$1,1+(('table for research'!$B115-1)*36+HEX2DEC('table for research'!AC$1))*2,2)</f>
        <v>00</v>
      </c>
      <c r="AD115" t="str">
        <f>MID('paste from garc here'!$C$1,1+(('table for research'!$B115-1)*36+HEX2DEC('table for research'!AD$1))*2,2)</f>
        <v>00</v>
      </c>
      <c r="AE115" t="str">
        <f>MID('paste from garc here'!$C$1,1+(('table for research'!$B115-1)*36+HEX2DEC('table for research'!AE$1))*2,2)</f>
        <v>00</v>
      </c>
      <c r="AF115" t="str">
        <f>MID('paste from garc here'!$C$1,1+(('table for research'!$B115-1)*36+HEX2DEC('table for research'!AF$1))*2,2)</f>
        <v>00</v>
      </c>
      <c r="AG115" t="str">
        <f>MID('paste from garc here'!$C$1,1+(('table for research'!$B115-1)*36+HEX2DEC('table for research'!AG$1))*2,2)</f>
        <v>00</v>
      </c>
      <c r="AH115" t="str">
        <f>MID('paste from garc here'!$C$1,1+(('table for research'!$B115-1)*36+HEX2DEC('table for research'!AH$1))*2,2)</f>
        <v>00</v>
      </c>
      <c r="AI115" t="str">
        <f>MID('paste from garc here'!$C$1,1+(('table for research'!$B115-1)*36+HEX2DEC('table for research'!AI$1))*2,2)</f>
        <v>00</v>
      </c>
      <c r="AJ115" t="str">
        <f>MID('paste from garc here'!$C$1,1+(('table for research'!$B115-1)*36+HEX2DEC('table for research'!AJ$1))*2,2)</f>
        <v>00</v>
      </c>
      <c r="AK115" t="str">
        <f>MID('paste from garc here'!$C$1,1+(('table for research'!$B115-1)*36+HEX2DEC('table for research'!AK$1))*2,2)</f>
        <v>00</v>
      </c>
      <c r="AL115" t="str">
        <f>MID('paste from garc here'!$C$1,1+(('table for research'!$B115-1)*36+HEX2DEC('table for research'!AL$1))*2,2)</f>
        <v>00</v>
      </c>
      <c r="AM115" t="str">
        <f>MID('paste from garc here'!$C$1,1+(('table for research'!$B115-1)*36+HEX2DEC('table for research'!AM$1))*2,2)</f>
        <v>00</v>
      </c>
      <c r="AN115" t="str">
        <f>MID('paste from garc here'!$C$1,1+(('table for research'!$B115-1)*36+HEX2DEC('table for research'!AN$1))*2,2)</f>
        <v>00</v>
      </c>
      <c r="AO115" t="str">
        <f>MID('paste from garc here'!$C$1,1+(('table for research'!$B115-1)*36+HEX2DEC('table for research'!AO$1))*2,2)</f>
        <v>00</v>
      </c>
    </row>
    <row r="116" spans="1:41" x14ac:dyDescent="0.4">
      <c r="A116" t="s">
        <v>128</v>
      </c>
      <c r="B116">
        <f>B115+1</f>
        <v>114</v>
      </c>
      <c r="C116" t="str">
        <f>MID('paste from garc here'!$C$1,1+(('table for research'!$B116-1)*36+HEX2DEC('table for research'!C$1))*2,2)</f>
        <v>DC</v>
      </c>
      <c r="D116" t="str">
        <f>MID('paste from garc here'!$C$1,1+(('table for research'!$B116-1)*36+HEX2DEC('table for research'!D$1))*2,2)</f>
        <v>05</v>
      </c>
      <c r="E116" t="str">
        <f>MID('paste from garc here'!$C$1,1+(('table for research'!$B116-1)*36+HEX2DEC('table for research'!E$1))*2,2)</f>
        <v>00</v>
      </c>
      <c r="F116" t="str">
        <f>MID('paste from garc here'!$C$1,1+(('table for research'!$B116-1)*36+HEX2DEC('table for research'!F$1))*2,2)</f>
        <v>00</v>
      </c>
      <c r="G116" t="str">
        <f>MID('paste from garc here'!$C$1,1+(('table for research'!$B116-1)*36+HEX2DEC('table for research'!G$1))*2,2)</f>
        <v>00</v>
      </c>
      <c r="H116" t="str">
        <f>MID('paste from garc here'!$C$1,1+(('table for research'!$B116-1)*36+HEX2DEC('table for research'!H$1))*2,2)</f>
        <v>00</v>
      </c>
      <c r="I116" t="str">
        <f>MID('paste from garc here'!$C$1,1+(('table for research'!$B116-1)*36+HEX2DEC('table for research'!I$1))*2,2)</f>
        <v>50</v>
      </c>
      <c r="J116" t="str">
        <f>MID('paste from garc here'!$C$1,1+(('table for research'!$B116-1)*36+HEX2DEC('table for research'!J$1))*2,2)</f>
        <v>00</v>
      </c>
      <c r="K116" t="str">
        <f>DEC2HEX(_xlfn.BITAND(HEX2DEC(MID('paste from garc here'!$C$1,1+(('table for research'!$B116-1)*36+HEX2DEC(8))*2,2)),31),2)</f>
        <v>1F</v>
      </c>
      <c r="L116" t="str">
        <f>DEC2HEX(_xlfn.BITAND(HEX2DEC(MID('paste from garc here'!$C$1,1+(('table for research'!$B116-1)*36+HEX2DEC(8))*2,2)),32),2)</f>
        <v>00</v>
      </c>
      <c r="M116" t="str">
        <f>DEC2HEX(_xlfn.BITAND(HEX2DEC(MID('paste from garc here'!$C$1,1+(('table for research'!$B116-1)*36+HEX2DEC(8))*2,2)),64),2)</f>
        <v>00</v>
      </c>
      <c r="N116" t="str">
        <f>DEC2HEX(_xlfn.BITRSHIFT(_xlfn.BITAND(HEX2DEC(MID('paste from garc here'!$C$1,1+(('table for research'!$B116-1)*36+HEX2DEC(9))*2,2)&amp;MID('paste from garc here'!$C$1,1+(('table for research'!$B116-1)*36+HEX2DEC(8))*2,2)),1920),7),2)</f>
        <v>00</v>
      </c>
      <c r="O116" t="str">
        <f>DEC2HEX(_xlfn.BITRSHIFT(HEX2DEC(MID('paste from garc here'!$C$1,1+(('table for research'!$B116-1)*36+HEX2DEC(9))*2,2)&amp;MID('paste from garc here'!$C$1,1+(('table for research'!$B116-1)*36+HEX2DEC(8))*2,2)),11),2)</f>
        <v>00</v>
      </c>
      <c r="P116" t="str">
        <f>MID('paste from garc here'!$C$1,1+(('table for research'!$B116-1)*36+HEX2DEC('table for research'!P$1))*2,2)</f>
        <v>00</v>
      </c>
      <c r="Q116" t="str">
        <f>MID('paste from garc here'!$C$1,1+(('table for research'!$B116-1)*36+HEX2DEC('table for research'!Q$1))*2,2)</f>
        <v>00</v>
      </c>
      <c r="R116" t="str">
        <f>MID('paste from garc here'!$C$1,1+(('table for research'!$B116-1)*36+HEX2DEC('table for research'!R$1))*2,2)</f>
        <v>00</v>
      </c>
      <c r="S116" t="str">
        <f>MID('paste from garc here'!$C$1,1+(('table for research'!$B116-1)*36+HEX2DEC('table for research'!S$1))*2,2)</f>
        <v>01</v>
      </c>
      <c r="T116" t="str">
        <f>MID('paste from garc here'!$C$1,1+(('table for research'!$B116-1)*36+HEX2DEC('table for research'!T$1))*2,2)</f>
        <v>00</v>
      </c>
      <c r="U116" t="str">
        <f>MID('paste from garc here'!$C$1,1+(('table for research'!$B116-1)*36+HEX2DEC('table for research'!U$1))*2,2)</f>
        <v>35</v>
      </c>
      <c r="V116" t="str">
        <f>MID('paste from garc here'!$C$1,1+(('table for research'!$B116-1)*36+HEX2DEC('table for research'!V$1))*2,2)</f>
        <v>00</v>
      </c>
      <c r="W116" t="str">
        <f>MID('paste from garc here'!$C$1,1+(('table for research'!$B116-1)*36+HEX2DEC('table for research'!W$1))*2,2)</f>
        <v>00</v>
      </c>
      <c r="X116" t="str">
        <f>MID('paste from garc here'!$C$1,1+(('table for research'!$B116-1)*36+HEX2DEC('table for research'!X$1))*2,2)</f>
        <v>00</v>
      </c>
      <c r="Y116" t="str">
        <f>MID('paste from garc here'!$C$1,1+(('table for research'!$B116-1)*36+HEX2DEC('table for research'!Y$1))*2,2)</f>
        <v>00</v>
      </c>
      <c r="Z116" t="str">
        <f>MID('paste from garc here'!$C$1,1+(('table for research'!$B116-1)*36+HEX2DEC('table for research'!Z$1))*2,2)</f>
        <v>00</v>
      </c>
      <c r="AA116" t="str">
        <f>MID('paste from garc here'!$C$1,1+(('table for research'!$B116-1)*36+HEX2DEC('table for research'!AA$1))*2,2)</f>
        <v>00</v>
      </c>
      <c r="AB116" t="str">
        <f>MID('paste from garc here'!$C$1,1+(('table for research'!$B116-1)*36+HEX2DEC('table for research'!AB$1))*2,2)</f>
        <v>00</v>
      </c>
      <c r="AC116" t="str">
        <f>MID('paste from garc here'!$C$1,1+(('table for research'!$B116-1)*36+HEX2DEC('table for research'!AC$1))*2,2)</f>
        <v>00</v>
      </c>
      <c r="AD116" t="str">
        <f>MID('paste from garc here'!$C$1,1+(('table for research'!$B116-1)*36+HEX2DEC('table for research'!AD$1))*2,2)</f>
        <v>00</v>
      </c>
      <c r="AE116" t="str">
        <f>MID('paste from garc here'!$C$1,1+(('table for research'!$B116-1)*36+HEX2DEC('table for research'!AE$1))*2,2)</f>
        <v>00</v>
      </c>
      <c r="AF116" t="str">
        <f>MID('paste from garc here'!$C$1,1+(('table for research'!$B116-1)*36+HEX2DEC('table for research'!AF$1))*2,2)</f>
        <v>00</v>
      </c>
      <c r="AG116" t="str">
        <f>MID('paste from garc here'!$C$1,1+(('table for research'!$B116-1)*36+HEX2DEC('table for research'!AG$1))*2,2)</f>
        <v>00</v>
      </c>
      <c r="AH116" t="str">
        <f>MID('paste from garc here'!$C$1,1+(('table for research'!$B116-1)*36+HEX2DEC('table for research'!AH$1))*2,2)</f>
        <v>00</v>
      </c>
      <c r="AI116" t="str">
        <f>MID('paste from garc here'!$C$1,1+(('table for research'!$B116-1)*36+HEX2DEC('table for research'!AI$1))*2,2)</f>
        <v>00</v>
      </c>
      <c r="AJ116" t="str">
        <f>MID('paste from garc here'!$C$1,1+(('table for research'!$B116-1)*36+HEX2DEC('table for research'!AJ$1))*2,2)</f>
        <v>00</v>
      </c>
      <c r="AK116" t="str">
        <f>MID('paste from garc here'!$C$1,1+(('table for research'!$B116-1)*36+HEX2DEC('table for research'!AK$1))*2,2)</f>
        <v>00</v>
      </c>
      <c r="AL116" t="str">
        <f>MID('paste from garc here'!$C$1,1+(('table for research'!$B116-1)*36+HEX2DEC('table for research'!AL$1))*2,2)</f>
        <v>00</v>
      </c>
      <c r="AM116" t="str">
        <f>MID('paste from garc here'!$C$1,1+(('table for research'!$B116-1)*36+HEX2DEC('table for research'!AM$1))*2,2)</f>
        <v>00</v>
      </c>
      <c r="AN116" t="str">
        <f>MID('paste from garc here'!$C$1,1+(('table for research'!$B116-1)*36+HEX2DEC('table for research'!AN$1))*2,2)</f>
        <v>00</v>
      </c>
      <c r="AO116" t="str">
        <f>MID('paste from garc here'!$C$1,1+(('table for research'!$B116-1)*36+HEX2DEC('table for research'!AO$1))*2,2)</f>
        <v>00</v>
      </c>
    </row>
    <row r="117" spans="1:41" x14ac:dyDescent="0.4">
      <c r="A117" t="s">
        <v>129</v>
      </c>
      <c r="B117">
        <f>B116+1</f>
        <v>115</v>
      </c>
      <c r="C117" t="str">
        <f>MID('paste from garc here'!$C$1,1+(('table for research'!$B117-1)*36+HEX2DEC('table for research'!C$1))*2,2)</f>
        <v>DC</v>
      </c>
      <c r="D117" t="str">
        <f>MID('paste from garc here'!$C$1,1+(('table for research'!$B117-1)*36+HEX2DEC('table for research'!D$1))*2,2)</f>
        <v>05</v>
      </c>
      <c r="E117" t="str">
        <f>MID('paste from garc here'!$C$1,1+(('table for research'!$B117-1)*36+HEX2DEC('table for research'!E$1))*2,2)</f>
        <v>00</v>
      </c>
      <c r="F117" t="str">
        <f>MID('paste from garc here'!$C$1,1+(('table for research'!$B117-1)*36+HEX2DEC('table for research'!F$1))*2,2)</f>
        <v>00</v>
      </c>
      <c r="G117" t="str">
        <f>MID('paste from garc here'!$C$1,1+(('table for research'!$B117-1)*36+HEX2DEC('table for research'!G$1))*2,2)</f>
        <v>00</v>
      </c>
      <c r="H117" t="str">
        <f>MID('paste from garc here'!$C$1,1+(('table for research'!$B117-1)*36+HEX2DEC('table for research'!H$1))*2,2)</f>
        <v>00</v>
      </c>
      <c r="I117" t="str">
        <f>MID('paste from garc here'!$C$1,1+(('table for research'!$B117-1)*36+HEX2DEC('table for research'!I$1))*2,2)</f>
        <v>00</v>
      </c>
      <c r="J117" t="str">
        <f>MID('paste from garc here'!$C$1,1+(('table for research'!$B117-1)*36+HEX2DEC('table for research'!J$1))*2,2)</f>
        <v>00</v>
      </c>
      <c r="K117" t="str">
        <f>DEC2HEX(_xlfn.BITAND(HEX2DEC(MID('paste from garc here'!$C$1,1+(('table for research'!$B117-1)*36+HEX2DEC(8))*2,2)),31),2)</f>
        <v>1F</v>
      </c>
      <c r="L117" t="str">
        <f>DEC2HEX(_xlfn.BITAND(HEX2DEC(MID('paste from garc here'!$C$1,1+(('table for research'!$B117-1)*36+HEX2DEC(8))*2,2)),32),2)</f>
        <v>00</v>
      </c>
      <c r="M117" t="str">
        <f>DEC2HEX(_xlfn.BITAND(HEX2DEC(MID('paste from garc here'!$C$1,1+(('table for research'!$B117-1)*36+HEX2DEC(8))*2,2)),64),2)</f>
        <v>00</v>
      </c>
      <c r="N117" t="str">
        <f>DEC2HEX(_xlfn.BITRSHIFT(_xlfn.BITAND(HEX2DEC(MID('paste from garc here'!$C$1,1+(('table for research'!$B117-1)*36+HEX2DEC(9))*2,2)&amp;MID('paste from garc here'!$C$1,1+(('table for research'!$B117-1)*36+HEX2DEC(8))*2,2)),1920),7),2)</f>
        <v>00</v>
      </c>
      <c r="O117" t="str">
        <f>DEC2HEX(_xlfn.BITRSHIFT(HEX2DEC(MID('paste from garc here'!$C$1,1+(('table for research'!$B117-1)*36+HEX2DEC(9))*2,2)&amp;MID('paste from garc here'!$C$1,1+(('table for research'!$B117-1)*36+HEX2DEC(8))*2,2)),11),2)</f>
        <v>00</v>
      </c>
      <c r="P117" t="str">
        <f>MID('paste from garc here'!$C$1,1+(('table for research'!$B117-1)*36+HEX2DEC('table for research'!P$1))*2,2)</f>
        <v>00</v>
      </c>
      <c r="Q117" t="str">
        <f>MID('paste from garc here'!$C$1,1+(('table for research'!$B117-1)*36+HEX2DEC('table for research'!Q$1))*2,2)</f>
        <v>00</v>
      </c>
      <c r="R117" t="str">
        <f>MID('paste from garc here'!$C$1,1+(('table for research'!$B117-1)*36+HEX2DEC('table for research'!R$1))*2,2)</f>
        <v>00</v>
      </c>
      <c r="S117" t="str">
        <f>MID('paste from garc here'!$C$1,1+(('table for research'!$B117-1)*36+HEX2DEC('table for research'!S$1))*2,2)</f>
        <v>00</v>
      </c>
      <c r="T117" t="str">
        <f>MID('paste from garc here'!$C$1,1+(('table for research'!$B117-1)*36+HEX2DEC('table for research'!T$1))*2,2)</f>
        <v>00</v>
      </c>
      <c r="U117" t="str">
        <f>MID('paste from garc here'!$C$1,1+(('table for research'!$B117-1)*36+HEX2DEC('table for research'!U$1))*2,2)</f>
        <v>35</v>
      </c>
      <c r="V117" t="str">
        <f>MID('paste from garc here'!$C$1,1+(('table for research'!$B117-1)*36+HEX2DEC('table for research'!V$1))*2,2)</f>
        <v>00</v>
      </c>
      <c r="W117" t="str">
        <f>MID('paste from garc here'!$C$1,1+(('table for research'!$B117-1)*36+HEX2DEC('table for research'!W$1))*2,2)</f>
        <v>00</v>
      </c>
      <c r="X117" t="str">
        <f>MID('paste from garc here'!$C$1,1+(('table for research'!$B117-1)*36+HEX2DEC('table for research'!X$1))*2,2)</f>
        <v>00</v>
      </c>
      <c r="Y117" t="str">
        <f>MID('paste from garc here'!$C$1,1+(('table for research'!$B117-1)*36+HEX2DEC('table for research'!Y$1))*2,2)</f>
        <v>00</v>
      </c>
      <c r="Z117" t="str">
        <f>MID('paste from garc here'!$C$1,1+(('table for research'!$B117-1)*36+HEX2DEC('table for research'!Z$1))*2,2)</f>
        <v>00</v>
      </c>
      <c r="AA117" t="str">
        <f>MID('paste from garc here'!$C$1,1+(('table for research'!$B117-1)*36+HEX2DEC('table for research'!AA$1))*2,2)</f>
        <v>00</v>
      </c>
      <c r="AB117" t="str">
        <f>MID('paste from garc here'!$C$1,1+(('table for research'!$B117-1)*36+HEX2DEC('table for research'!AB$1))*2,2)</f>
        <v>00</v>
      </c>
      <c r="AC117" t="str">
        <f>MID('paste from garc here'!$C$1,1+(('table for research'!$B117-1)*36+HEX2DEC('table for research'!AC$1))*2,2)</f>
        <v>00</v>
      </c>
      <c r="AD117" t="str">
        <f>MID('paste from garc here'!$C$1,1+(('table for research'!$B117-1)*36+HEX2DEC('table for research'!AD$1))*2,2)</f>
        <v>00</v>
      </c>
      <c r="AE117" t="str">
        <f>MID('paste from garc here'!$C$1,1+(('table for research'!$B117-1)*36+HEX2DEC('table for research'!AE$1))*2,2)</f>
        <v>00</v>
      </c>
      <c r="AF117" t="str">
        <f>MID('paste from garc here'!$C$1,1+(('table for research'!$B117-1)*36+HEX2DEC('table for research'!AF$1))*2,2)</f>
        <v>00</v>
      </c>
      <c r="AG117" t="str">
        <f>MID('paste from garc here'!$C$1,1+(('table for research'!$B117-1)*36+HEX2DEC('table for research'!AG$1))*2,2)</f>
        <v>00</v>
      </c>
      <c r="AH117" t="str">
        <f>MID('paste from garc here'!$C$1,1+(('table for research'!$B117-1)*36+HEX2DEC('table for research'!AH$1))*2,2)</f>
        <v>00</v>
      </c>
      <c r="AI117" t="str">
        <f>MID('paste from garc here'!$C$1,1+(('table for research'!$B117-1)*36+HEX2DEC('table for research'!AI$1))*2,2)</f>
        <v>00</v>
      </c>
      <c r="AJ117" t="str">
        <f>MID('paste from garc here'!$C$1,1+(('table for research'!$B117-1)*36+HEX2DEC('table for research'!AJ$1))*2,2)</f>
        <v>00</v>
      </c>
      <c r="AK117" t="str">
        <f>MID('paste from garc here'!$C$1,1+(('table for research'!$B117-1)*36+HEX2DEC('table for research'!AK$1))*2,2)</f>
        <v>00</v>
      </c>
      <c r="AL117" t="str">
        <f>MID('paste from garc here'!$C$1,1+(('table for research'!$B117-1)*36+HEX2DEC('table for research'!AL$1))*2,2)</f>
        <v>00</v>
      </c>
      <c r="AM117" t="str">
        <f>MID('paste from garc here'!$C$1,1+(('table for research'!$B117-1)*36+HEX2DEC('table for research'!AM$1))*2,2)</f>
        <v>00</v>
      </c>
      <c r="AN117" t="str">
        <f>MID('paste from garc here'!$C$1,1+(('table for research'!$B117-1)*36+HEX2DEC('table for research'!AN$1))*2,2)</f>
        <v>00</v>
      </c>
      <c r="AO117" t="str">
        <f>MID('paste from garc here'!$C$1,1+(('table for research'!$B117-1)*36+HEX2DEC('table for research'!AO$1))*2,2)</f>
        <v>00</v>
      </c>
    </row>
    <row r="118" spans="1:41" x14ac:dyDescent="0.4">
      <c r="A118" t="s">
        <v>130</v>
      </c>
      <c r="B118">
        <f>B117+1</f>
        <v>116</v>
      </c>
      <c r="C118" t="str">
        <f>MID('paste from garc here'!$C$1,1+(('table for research'!$B118-1)*36+HEX2DEC('table for research'!C$1))*2,2)</f>
        <v>00</v>
      </c>
      <c r="D118" t="str">
        <f>MID('paste from garc here'!$C$1,1+(('table for research'!$B118-1)*36+HEX2DEC('table for research'!D$1))*2,2)</f>
        <v>00</v>
      </c>
      <c r="E118" t="str">
        <f>MID('paste from garc here'!$C$1,1+(('table for research'!$B118-1)*36+HEX2DEC('table for research'!E$1))*2,2)</f>
        <v>03</v>
      </c>
      <c r="F118" t="str">
        <f>MID('paste from garc here'!$C$1,1+(('table for research'!$B118-1)*36+HEX2DEC('table for research'!F$1))*2,2)</f>
        <v>00</v>
      </c>
      <c r="G118" t="str">
        <f>MID('paste from garc here'!$C$1,1+(('table for research'!$B118-1)*36+HEX2DEC('table for research'!G$1))*2,2)</f>
        <v>00</v>
      </c>
      <c r="H118" t="str">
        <f>MID('paste from garc here'!$C$1,1+(('table for research'!$B118-1)*36+HEX2DEC('table for research'!H$1))*2,2)</f>
        <v>00</v>
      </c>
      <c r="I118" t="str">
        <f>MID('paste from garc here'!$C$1,1+(('table for research'!$B118-1)*36+HEX2DEC('table for research'!I$1))*2,2)</f>
        <v>46</v>
      </c>
      <c r="J118" t="str">
        <f>MID('paste from garc here'!$C$1,1+(('table for research'!$B118-1)*36+HEX2DEC('table for research'!J$1))*2,2)</f>
        <v>00</v>
      </c>
      <c r="K118" t="str">
        <f>DEC2HEX(_xlfn.BITAND(HEX2DEC(MID('paste from garc here'!$C$1,1+(('table for research'!$B118-1)*36+HEX2DEC(8))*2,2)),31),2)</f>
        <v>1F</v>
      </c>
      <c r="L118" t="str">
        <f>DEC2HEX(_xlfn.BITAND(HEX2DEC(MID('paste from garc here'!$C$1,1+(('table for research'!$B118-1)*36+HEX2DEC(8))*2,2)),32),2)</f>
        <v>00</v>
      </c>
      <c r="M118" t="str">
        <f>DEC2HEX(_xlfn.BITAND(HEX2DEC(MID('paste from garc here'!$C$1,1+(('table for research'!$B118-1)*36+HEX2DEC(8))*2,2)),64),2)</f>
        <v>00</v>
      </c>
      <c r="N118" t="str">
        <f>DEC2HEX(_xlfn.BITRSHIFT(_xlfn.BITAND(HEX2DEC(MID('paste from garc here'!$C$1,1+(('table for research'!$B118-1)*36+HEX2DEC(9))*2,2)&amp;MID('paste from garc here'!$C$1,1+(('table for research'!$B118-1)*36+HEX2DEC(8))*2,2)),1920),7),2)</f>
        <v>00</v>
      </c>
      <c r="O118" t="str">
        <f>DEC2HEX(_xlfn.BITRSHIFT(HEX2DEC(MID('paste from garc here'!$C$1,1+(('table for research'!$B118-1)*36+HEX2DEC(9))*2,2)&amp;MID('paste from garc here'!$C$1,1+(('table for research'!$B118-1)*36+HEX2DEC(8))*2,2)),11),2)</f>
        <v>00</v>
      </c>
      <c r="P118" t="str">
        <f>MID('paste from garc here'!$C$1,1+(('table for research'!$B118-1)*36+HEX2DEC('table for research'!P$1))*2,2)</f>
        <v>00</v>
      </c>
      <c r="Q118" t="str">
        <f>MID('paste from garc here'!$C$1,1+(('table for research'!$B118-1)*36+HEX2DEC('table for research'!Q$1))*2,2)</f>
        <v>00</v>
      </c>
      <c r="R118" t="str">
        <f>MID('paste from garc here'!$C$1,1+(('table for research'!$B118-1)*36+HEX2DEC('table for research'!R$1))*2,2)</f>
        <v>00</v>
      </c>
      <c r="S118" t="str">
        <f>MID('paste from garc here'!$C$1,1+(('table for research'!$B118-1)*36+HEX2DEC('table for research'!S$1))*2,2)</f>
        <v>01</v>
      </c>
      <c r="T118" t="str">
        <f>MID('paste from garc here'!$C$1,1+(('table for research'!$B118-1)*36+HEX2DEC('table for research'!T$1))*2,2)</f>
        <v>00</v>
      </c>
      <c r="U118" t="str">
        <f>MID('paste from garc here'!$C$1,1+(('table for research'!$B118-1)*36+HEX2DEC('table for research'!U$1))*2,2)</f>
        <v>45</v>
      </c>
      <c r="V118" t="str">
        <f>MID('paste from garc here'!$C$1,1+(('table for research'!$B118-1)*36+HEX2DEC('table for research'!V$1))*2,2)</f>
        <v>00</v>
      </c>
      <c r="W118" t="str">
        <f>MID('paste from garc here'!$C$1,1+(('table for research'!$B118-1)*36+HEX2DEC('table for research'!W$1))*2,2)</f>
        <v>00</v>
      </c>
      <c r="X118" t="str">
        <f>MID('paste from garc here'!$C$1,1+(('table for research'!$B118-1)*36+HEX2DEC('table for research'!X$1))*2,2)</f>
        <v>00</v>
      </c>
      <c r="Y118" t="str">
        <f>MID('paste from garc here'!$C$1,1+(('table for research'!$B118-1)*36+HEX2DEC('table for research'!Y$1))*2,2)</f>
        <v>00</v>
      </c>
      <c r="Z118" t="str">
        <f>MID('paste from garc here'!$C$1,1+(('table for research'!$B118-1)*36+HEX2DEC('table for research'!Z$1))*2,2)</f>
        <v>00</v>
      </c>
      <c r="AA118" t="str">
        <f>MID('paste from garc here'!$C$1,1+(('table for research'!$B118-1)*36+HEX2DEC('table for research'!AA$1))*2,2)</f>
        <v>00</v>
      </c>
      <c r="AB118" t="str">
        <f>MID('paste from garc here'!$C$1,1+(('table for research'!$B118-1)*36+HEX2DEC('table for research'!AB$1))*2,2)</f>
        <v>00</v>
      </c>
      <c r="AC118" t="str">
        <f>MID('paste from garc here'!$C$1,1+(('table for research'!$B118-1)*36+HEX2DEC('table for research'!AC$1))*2,2)</f>
        <v>00</v>
      </c>
      <c r="AD118" t="str">
        <f>MID('paste from garc here'!$C$1,1+(('table for research'!$B118-1)*36+HEX2DEC('table for research'!AD$1))*2,2)</f>
        <v>00</v>
      </c>
      <c r="AE118" t="str">
        <f>MID('paste from garc here'!$C$1,1+(('table for research'!$B118-1)*36+HEX2DEC('table for research'!AE$1))*2,2)</f>
        <v>00</v>
      </c>
      <c r="AF118" t="str">
        <f>MID('paste from garc here'!$C$1,1+(('table for research'!$B118-1)*36+HEX2DEC('table for research'!AF$1))*2,2)</f>
        <v>00</v>
      </c>
      <c r="AG118" t="str">
        <f>MID('paste from garc here'!$C$1,1+(('table for research'!$B118-1)*36+HEX2DEC('table for research'!AG$1))*2,2)</f>
        <v>00</v>
      </c>
      <c r="AH118" t="str">
        <f>MID('paste from garc here'!$C$1,1+(('table for research'!$B118-1)*36+HEX2DEC('table for research'!AH$1))*2,2)</f>
        <v>00</v>
      </c>
      <c r="AI118" t="str">
        <f>MID('paste from garc here'!$C$1,1+(('table for research'!$B118-1)*36+HEX2DEC('table for research'!AI$1))*2,2)</f>
        <v>00</v>
      </c>
      <c r="AJ118" t="str">
        <f>MID('paste from garc here'!$C$1,1+(('table for research'!$B118-1)*36+HEX2DEC('table for research'!AJ$1))*2,2)</f>
        <v>00</v>
      </c>
      <c r="AK118" t="str">
        <f>MID('paste from garc here'!$C$1,1+(('table for research'!$B118-1)*36+HEX2DEC('table for research'!AK$1))*2,2)</f>
        <v>00</v>
      </c>
      <c r="AL118" t="str">
        <f>MID('paste from garc here'!$C$1,1+(('table for research'!$B118-1)*36+HEX2DEC('table for research'!AL$1))*2,2)</f>
        <v>00</v>
      </c>
      <c r="AM118" t="str">
        <f>MID('paste from garc here'!$C$1,1+(('table for research'!$B118-1)*36+HEX2DEC('table for research'!AM$1))*2,2)</f>
        <v>00</v>
      </c>
      <c r="AN118" t="str">
        <f>MID('paste from garc here'!$C$1,1+(('table for research'!$B118-1)*36+HEX2DEC('table for research'!AN$1))*2,2)</f>
        <v>00</v>
      </c>
      <c r="AO118" t="str">
        <f>MID('paste from garc here'!$C$1,1+(('table for research'!$B118-1)*36+HEX2DEC('table for research'!AO$1))*2,2)</f>
        <v>00</v>
      </c>
    </row>
    <row r="119" spans="1:41" x14ac:dyDescent="0.4">
      <c r="A119" t="s">
        <v>131</v>
      </c>
      <c r="B119">
        <f>B118+1</f>
        <v>117</v>
      </c>
      <c r="C119" t="str">
        <f>MID('paste from garc here'!$C$1,1+(('table for research'!$B119-1)*36+HEX2DEC('table for research'!C$1))*2,2)</f>
        <v>00</v>
      </c>
      <c r="D119" t="str">
        <f>MID('paste from garc here'!$C$1,1+(('table for research'!$B119-1)*36+HEX2DEC('table for research'!D$1))*2,2)</f>
        <v>00</v>
      </c>
      <c r="E119" t="str">
        <f>MID('paste from garc here'!$C$1,1+(('table for research'!$B119-1)*36+HEX2DEC('table for research'!E$1))*2,2)</f>
        <v>03</v>
      </c>
      <c r="F119" t="str">
        <f>MID('paste from garc here'!$C$1,1+(('table for research'!$B119-1)*36+HEX2DEC('table for research'!F$1))*2,2)</f>
        <v>00</v>
      </c>
      <c r="G119" t="str">
        <f>MID('paste from garc here'!$C$1,1+(('table for research'!$B119-1)*36+HEX2DEC('table for research'!G$1))*2,2)</f>
        <v>00</v>
      </c>
      <c r="H119" t="str">
        <f>MID('paste from garc here'!$C$1,1+(('table for research'!$B119-1)*36+HEX2DEC('table for research'!H$1))*2,2)</f>
        <v>00</v>
      </c>
      <c r="I119" t="str">
        <f>MID('paste from garc here'!$C$1,1+(('table for research'!$B119-1)*36+HEX2DEC('table for research'!I$1))*2,2)</f>
        <v>46</v>
      </c>
      <c r="J119" t="str">
        <f>MID('paste from garc here'!$C$1,1+(('table for research'!$B119-1)*36+HEX2DEC('table for research'!J$1))*2,2)</f>
        <v>00</v>
      </c>
      <c r="K119" t="str">
        <f>DEC2HEX(_xlfn.BITAND(HEX2DEC(MID('paste from garc here'!$C$1,1+(('table for research'!$B119-1)*36+HEX2DEC(8))*2,2)),31),2)</f>
        <v>1F</v>
      </c>
      <c r="L119" t="str">
        <f>DEC2HEX(_xlfn.BITAND(HEX2DEC(MID('paste from garc here'!$C$1,1+(('table for research'!$B119-1)*36+HEX2DEC(8))*2,2)),32),2)</f>
        <v>00</v>
      </c>
      <c r="M119" t="str">
        <f>DEC2HEX(_xlfn.BITAND(HEX2DEC(MID('paste from garc here'!$C$1,1+(('table for research'!$B119-1)*36+HEX2DEC(8))*2,2)),64),2)</f>
        <v>00</v>
      </c>
      <c r="N119" t="str">
        <f>DEC2HEX(_xlfn.BITRSHIFT(_xlfn.BITAND(HEX2DEC(MID('paste from garc here'!$C$1,1+(('table for research'!$B119-1)*36+HEX2DEC(9))*2,2)&amp;MID('paste from garc here'!$C$1,1+(('table for research'!$B119-1)*36+HEX2DEC(8))*2,2)),1920),7),2)</f>
        <v>00</v>
      </c>
      <c r="O119" t="str">
        <f>DEC2HEX(_xlfn.BITRSHIFT(HEX2DEC(MID('paste from garc here'!$C$1,1+(('table for research'!$B119-1)*36+HEX2DEC(9))*2,2)&amp;MID('paste from garc here'!$C$1,1+(('table for research'!$B119-1)*36+HEX2DEC(8))*2,2)),11),2)</f>
        <v>00</v>
      </c>
      <c r="P119" t="str">
        <f>MID('paste from garc here'!$C$1,1+(('table for research'!$B119-1)*36+HEX2DEC('table for research'!P$1))*2,2)</f>
        <v>00</v>
      </c>
      <c r="Q119" t="str">
        <f>MID('paste from garc here'!$C$1,1+(('table for research'!$B119-1)*36+HEX2DEC('table for research'!Q$1))*2,2)</f>
        <v>00</v>
      </c>
      <c r="R119" t="str">
        <f>MID('paste from garc here'!$C$1,1+(('table for research'!$B119-1)*36+HEX2DEC('table for research'!R$1))*2,2)</f>
        <v>00</v>
      </c>
      <c r="S119" t="str">
        <f>MID('paste from garc here'!$C$1,1+(('table for research'!$B119-1)*36+HEX2DEC('table for research'!S$1))*2,2)</f>
        <v>01</v>
      </c>
      <c r="T119" t="str">
        <f>MID('paste from garc here'!$C$1,1+(('table for research'!$B119-1)*36+HEX2DEC('table for research'!T$1))*2,2)</f>
        <v>00</v>
      </c>
      <c r="U119" t="str">
        <f>MID('paste from garc here'!$C$1,1+(('table for research'!$B119-1)*36+HEX2DEC('table for research'!U$1))*2,2)</f>
        <v>45</v>
      </c>
      <c r="V119" t="str">
        <f>MID('paste from garc here'!$C$1,1+(('table for research'!$B119-1)*36+HEX2DEC('table for research'!V$1))*2,2)</f>
        <v>00</v>
      </c>
      <c r="W119" t="str">
        <f>MID('paste from garc here'!$C$1,1+(('table for research'!$B119-1)*36+HEX2DEC('table for research'!W$1))*2,2)</f>
        <v>00</v>
      </c>
      <c r="X119" t="str">
        <f>MID('paste from garc here'!$C$1,1+(('table for research'!$B119-1)*36+HEX2DEC('table for research'!X$1))*2,2)</f>
        <v>00</v>
      </c>
      <c r="Y119" t="str">
        <f>MID('paste from garc here'!$C$1,1+(('table for research'!$B119-1)*36+HEX2DEC('table for research'!Y$1))*2,2)</f>
        <v>00</v>
      </c>
      <c r="Z119" t="str">
        <f>MID('paste from garc here'!$C$1,1+(('table for research'!$B119-1)*36+HEX2DEC('table for research'!Z$1))*2,2)</f>
        <v>00</v>
      </c>
      <c r="AA119" t="str">
        <f>MID('paste from garc here'!$C$1,1+(('table for research'!$B119-1)*36+HEX2DEC('table for research'!AA$1))*2,2)</f>
        <v>00</v>
      </c>
      <c r="AB119" t="str">
        <f>MID('paste from garc here'!$C$1,1+(('table for research'!$B119-1)*36+HEX2DEC('table for research'!AB$1))*2,2)</f>
        <v>00</v>
      </c>
      <c r="AC119" t="str">
        <f>MID('paste from garc here'!$C$1,1+(('table for research'!$B119-1)*36+HEX2DEC('table for research'!AC$1))*2,2)</f>
        <v>00</v>
      </c>
      <c r="AD119" t="str">
        <f>MID('paste from garc here'!$C$1,1+(('table for research'!$B119-1)*36+HEX2DEC('table for research'!AD$1))*2,2)</f>
        <v>00</v>
      </c>
      <c r="AE119" t="str">
        <f>MID('paste from garc here'!$C$1,1+(('table for research'!$B119-1)*36+HEX2DEC('table for research'!AE$1))*2,2)</f>
        <v>00</v>
      </c>
      <c r="AF119" t="str">
        <f>MID('paste from garc here'!$C$1,1+(('table for research'!$B119-1)*36+HEX2DEC('table for research'!AF$1))*2,2)</f>
        <v>00</v>
      </c>
      <c r="AG119" t="str">
        <f>MID('paste from garc here'!$C$1,1+(('table for research'!$B119-1)*36+HEX2DEC('table for research'!AG$1))*2,2)</f>
        <v>00</v>
      </c>
      <c r="AH119" t="str">
        <f>MID('paste from garc here'!$C$1,1+(('table for research'!$B119-1)*36+HEX2DEC('table for research'!AH$1))*2,2)</f>
        <v>00</v>
      </c>
      <c r="AI119" t="str">
        <f>MID('paste from garc here'!$C$1,1+(('table for research'!$B119-1)*36+HEX2DEC('table for research'!AI$1))*2,2)</f>
        <v>00</v>
      </c>
      <c r="AJ119" t="str">
        <f>MID('paste from garc here'!$C$1,1+(('table for research'!$B119-1)*36+HEX2DEC('table for research'!AJ$1))*2,2)</f>
        <v>00</v>
      </c>
      <c r="AK119" t="str">
        <f>MID('paste from garc here'!$C$1,1+(('table for research'!$B119-1)*36+HEX2DEC('table for research'!AK$1))*2,2)</f>
        <v>00</v>
      </c>
      <c r="AL119" t="str">
        <f>MID('paste from garc here'!$C$1,1+(('table for research'!$B119-1)*36+HEX2DEC('table for research'!AL$1))*2,2)</f>
        <v>00</v>
      </c>
      <c r="AM119" t="str">
        <f>MID('paste from garc here'!$C$1,1+(('table for research'!$B119-1)*36+HEX2DEC('table for research'!AM$1))*2,2)</f>
        <v>00</v>
      </c>
      <c r="AN119" t="str">
        <f>MID('paste from garc here'!$C$1,1+(('table for research'!$B119-1)*36+HEX2DEC('table for research'!AN$1))*2,2)</f>
        <v>00</v>
      </c>
      <c r="AO119" t="str">
        <f>MID('paste from garc here'!$C$1,1+(('table for research'!$B119-1)*36+HEX2DEC('table for research'!AO$1))*2,2)</f>
        <v>00</v>
      </c>
    </row>
    <row r="120" spans="1:41" x14ac:dyDescent="0.4">
      <c r="A120" t="s">
        <v>132</v>
      </c>
      <c r="B120">
        <f>B119+1</f>
        <v>118</v>
      </c>
      <c r="C120" t="str">
        <f>MID('paste from garc here'!$C$1,1+(('table for research'!$B120-1)*36+HEX2DEC('table for research'!C$1))*2,2)</f>
        <v>00</v>
      </c>
      <c r="D120" t="str">
        <f>MID('paste from garc here'!$C$1,1+(('table for research'!$B120-1)*36+HEX2DEC('table for research'!D$1))*2,2)</f>
        <v>00</v>
      </c>
      <c r="E120" t="str">
        <f>MID('paste from garc here'!$C$1,1+(('table for research'!$B120-1)*36+HEX2DEC('table for research'!E$1))*2,2)</f>
        <v>03</v>
      </c>
      <c r="F120" t="str">
        <f>MID('paste from garc here'!$C$1,1+(('table for research'!$B120-1)*36+HEX2DEC('table for research'!F$1))*2,2)</f>
        <v>00</v>
      </c>
      <c r="G120" t="str">
        <f>MID('paste from garc here'!$C$1,1+(('table for research'!$B120-1)*36+HEX2DEC('table for research'!G$1))*2,2)</f>
        <v>00</v>
      </c>
      <c r="H120" t="str">
        <f>MID('paste from garc here'!$C$1,1+(('table for research'!$B120-1)*36+HEX2DEC('table for research'!H$1))*2,2)</f>
        <v>00</v>
      </c>
      <c r="I120" t="str">
        <f>MID('paste from garc here'!$C$1,1+(('table for research'!$B120-1)*36+HEX2DEC('table for research'!I$1))*2,2)</f>
        <v>46</v>
      </c>
      <c r="J120" t="str">
        <f>MID('paste from garc here'!$C$1,1+(('table for research'!$B120-1)*36+HEX2DEC('table for research'!J$1))*2,2)</f>
        <v>00</v>
      </c>
      <c r="K120" t="str">
        <f>DEC2HEX(_xlfn.BITAND(HEX2DEC(MID('paste from garc here'!$C$1,1+(('table for research'!$B120-1)*36+HEX2DEC(8))*2,2)),31),2)</f>
        <v>1F</v>
      </c>
      <c r="L120" t="str">
        <f>DEC2HEX(_xlfn.BITAND(HEX2DEC(MID('paste from garc here'!$C$1,1+(('table for research'!$B120-1)*36+HEX2DEC(8))*2,2)),32),2)</f>
        <v>00</v>
      </c>
      <c r="M120" t="str">
        <f>DEC2HEX(_xlfn.BITAND(HEX2DEC(MID('paste from garc here'!$C$1,1+(('table for research'!$B120-1)*36+HEX2DEC(8))*2,2)),64),2)</f>
        <v>00</v>
      </c>
      <c r="N120" t="str">
        <f>DEC2HEX(_xlfn.BITRSHIFT(_xlfn.BITAND(HEX2DEC(MID('paste from garc here'!$C$1,1+(('table for research'!$B120-1)*36+HEX2DEC(9))*2,2)&amp;MID('paste from garc here'!$C$1,1+(('table for research'!$B120-1)*36+HEX2DEC(8))*2,2)),1920),7),2)</f>
        <v>00</v>
      </c>
      <c r="O120" t="str">
        <f>DEC2HEX(_xlfn.BITRSHIFT(HEX2DEC(MID('paste from garc here'!$C$1,1+(('table for research'!$B120-1)*36+HEX2DEC(9))*2,2)&amp;MID('paste from garc here'!$C$1,1+(('table for research'!$B120-1)*36+HEX2DEC(8))*2,2)),11),2)</f>
        <v>00</v>
      </c>
      <c r="P120" t="str">
        <f>MID('paste from garc here'!$C$1,1+(('table for research'!$B120-1)*36+HEX2DEC('table for research'!P$1))*2,2)</f>
        <v>00</v>
      </c>
      <c r="Q120" t="str">
        <f>MID('paste from garc here'!$C$1,1+(('table for research'!$B120-1)*36+HEX2DEC('table for research'!Q$1))*2,2)</f>
        <v>00</v>
      </c>
      <c r="R120" t="str">
        <f>MID('paste from garc here'!$C$1,1+(('table for research'!$B120-1)*36+HEX2DEC('table for research'!R$1))*2,2)</f>
        <v>00</v>
      </c>
      <c r="S120" t="str">
        <f>MID('paste from garc here'!$C$1,1+(('table for research'!$B120-1)*36+HEX2DEC('table for research'!S$1))*2,2)</f>
        <v>01</v>
      </c>
      <c r="T120" t="str">
        <f>MID('paste from garc here'!$C$1,1+(('table for research'!$B120-1)*36+HEX2DEC('table for research'!T$1))*2,2)</f>
        <v>00</v>
      </c>
      <c r="U120" t="str">
        <f>MID('paste from garc here'!$C$1,1+(('table for research'!$B120-1)*36+HEX2DEC('table for research'!U$1))*2,2)</f>
        <v>45</v>
      </c>
      <c r="V120" t="str">
        <f>MID('paste from garc here'!$C$1,1+(('table for research'!$B120-1)*36+HEX2DEC('table for research'!V$1))*2,2)</f>
        <v>00</v>
      </c>
      <c r="W120" t="str">
        <f>MID('paste from garc here'!$C$1,1+(('table for research'!$B120-1)*36+HEX2DEC('table for research'!W$1))*2,2)</f>
        <v>00</v>
      </c>
      <c r="X120" t="str">
        <f>MID('paste from garc here'!$C$1,1+(('table for research'!$B120-1)*36+HEX2DEC('table for research'!X$1))*2,2)</f>
        <v>00</v>
      </c>
      <c r="Y120" t="str">
        <f>MID('paste from garc here'!$C$1,1+(('table for research'!$B120-1)*36+HEX2DEC('table for research'!Y$1))*2,2)</f>
        <v>00</v>
      </c>
      <c r="Z120" t="str">
        <f>MID('paste from garc here'!$C$1,1+(('table for research'!$B120-1)*36+HEX2DEC('table for research'!Z$1))*2,2)</f>
        <v>00</v>
      </c>
      <c r="AA120" t="str">
        <f>MID('paste from garc here'!$C$1,1+(('table for research'!$B120-1)*36+HEX2DEC('table for research'!AA$1))*2,2)</f>
        <v>00</v>
      </c>
      <c r="AB120" t="str">
        <f>MID('paste from garc here'!$C$1,1+(('table for research'!$B120-1)*36+HEX2DEC('table for research'!AB$1))*2,2)</f>
        <v>00</v>
      </c>
      <c r="AC120" t="str">
        <f>MID('paste from garc here'!$C$1,1+(('table for research'!$B120-1)*36+HEX2DEC('table for research'!AC$1))*2,2)</f>
        <v>00</v>
      </c>
      <c r="AD120" t="str">
        <f>MID('paste from garc here'!$C$1,1+(('table for research'!$B120-1)*36+HEX2DEC('table for research'!AD$1))*2,2)</f>
        <v>00</v>
      </c>
      <c r="AE120" t="str">
        <f>MID('paste from garc here'!$C$1,1+(('table for research'!$B120-1)*36+HEX2DEC('table for research'!AE$1))*2,2)</f>
        <v>00</v>
      </c>
      <c r="AF120" t="str">
        <f>MID('paste from garc here'!$C$1,1+(('table for research'!$B120-1)*36+HEX2DEC('table for research'!AF$1))*2,2)</f>
        <v>00</v>
      </c>
      <c r="AG120" t="str">
        <f>MID('paste from garc here'!$C$1,1+(('table for research'!$B120-1)*36+HEX2DEC('table for research'!AG$1))*2,2)</f>
        <v>00</v>
      </c>
      <c r="AH120" t="str">
        <f>MID('paste from garc here'!$C$1,1+(('table for research'!$B120-1)*36+HEX2DEC('table for research'!AH$1))*2,2)</f>
        <v>00</v>
      </c>
      <c r="AI120" t="str">
        <f>MID('paste from garc here'!$C$1,1+(('table for research'!$B120-1)*36+HEX2DEC('table for research'!AI$1))*2,2)</f>
        <v>00</v>
      </c>
      <c r="AJ120" t="str">
        <f>MID('paste from garc here'!$C$1,1+(('table for research'!$B120-1)*36+HEX2DEC('table for research'!AJ$1))*2,2)</f>
        <v>00</v>
      </c>
      <c r="AK120" t="str">
        <f>MID('paste from garc here'!$C$1,1+(('table for research'!$B120-1)*36+HEX2DEC('table for research'!AK$1))*2,2)</f>
        <v>00</v>
      </c>
      <c r="AL120" t="str">
        <f>MID('paste from garc here'!$C$1,1+(('table for research'!$B120-1)*36+HEX2DEC('table for research'!AL$1))*2,2)</f>
        <v>00</v>
      </c>
      <c r="AM120" t="str">
        <f>MID('paste from garc here'!$C$1,1+(('table for research'!$B120-1)*36+HEX2DEC('table for research'!AM$1))*2,2)</f>
        <v>00</v>
      </c>
      <c r="AN120" t="str">
        <f>MID('paste from garc here'!$C$1,1+(('table for research'!$B120-1)*36+HEX2DEC('table for research'!AN$1))*2,2)</f>
        <v>00</v>
      </c>
      <c r="AO120" t="str">
        <f>MID('paste from garc here'!$C$1,1+(('table for research'!$B120-1)*36+HEX2DEC('table for research'!AO$1))*2,2)</f>
        <v>00</v>
      </c>
    </row>
    <row r="121" spans="1:41" x14ac:dyDescent="0.4">
      <c r="A121" t="s">
        <v>133</v>
      </c>
      <c r="B121">
        <f>B120+1</f>
        <v>119</v>
      </c>
      <c r="C121" t="str">
        <f>MID('paste from garc here'!$C$1,1+(('table for research'!$B121-1)*36+HEX2DEC('table for research'!C$1))*2,2)</f>
        <v>00</v>
      </c>
      <c r="D121" t="str">
        <f>MID('paste from garc here'!$C$1,1+(('table for research'!$B121-1)*36+HEX2DEC('table for research'!D$1))*2,2)</f>
        <v>00</v>
      </c>
      <c r="E121" t="str">
        <f>MID('paste from garc here'!$C$1,1+(('table for research'!$B121-1)*36+HEX2DEC('table for research'!E$1))*2,2)</f>
        <v>03</v>
      </c>
      <c r="F121" t="str">
        <f>MID('paste from garc here'!$C$1,1+(('table for research'!$B121-1)*36+HEX2DEC('table for research'!F$1))*2,2)</f>
        <v>00</v>
      </c>
      <c r="G121" t="str">
        <f>MID('paste from garc here'!$C$1,1+(('table for research'!$B121-1)*36+HEX2DEC('table for research'!G$1))*2,2)</f>
        <v>00</v>
      </c>
      <c r="H121" t="str">
        <f>MID('paste from garc here'!$C$1,1+(('table for research'!$B121-1)*36+HEX2DEC('table for research'!H$1))*2,2)</f>
        <v>00</v>
      </c>
      <c r="I121" t="str">
        <f>MID('paste from garc here'!$C$1,1+(('table for research'!$B121-1)*36+HEX2DEC('table for research'!I$1))*2,2)</f>
        <v>46</v>
      </c>
      <c r="J121" t="str">
        <f>MID('paste from garc here'!$C$1,1+(('table for research'!$B121-1)*36+HEX2DEC('table for research'!J$1))*2,2)</f>
        <v>00</v>
      </c>
      <c r="K121" t="str">
        <f>DEC2HEX(_xlfn.BITAND(HEX2DEC(MID('paste from garc here'!$C$1,1+(('table for research'!$B121-1)*36+HEX2DEC(8))*2,2)),31),2)</f>
        <v>1F</v>
      </c>
      <c r="L121" t="str">
        <f>DEC2HEX(_xlfn.BITAND(HEX2DEC(MID('paste from garc here'!$C$1,1+(('table for research'!$B121-1)*36+HEX2DEC(8))*2,2)),32),2)</f>
        <v>00</v>
      </c>
      <c r="M121" t="str">
        <f>DEC2HEX(_xlfn.BITAND(HEX2DEC(MID('paste from garc here'!$C$1,1+(('table for research'!$B121-1)*36+HEX2DEC(8))*2,2)),64),2)</f>
        <v>00</v>
      </c>
      <c r="N121" t="str">
        <f>DEC2HEX(_xlfn.BITRSHIFT(_xlfn.BITAND(HEX2DEC(MID('paste from garc here'!$C$1,1+(('table for research'!$B121-1)*36+HEX2DEC(9))*2,2)&amp;MID('paste from garc here'!$C$1,1+(('table for research'!$B121-1)*36+HEX2DEC(8))*2,2)),1920),7),2)</f>
        <v>00</v>
      </c>
      <c r="O121" t="str">
        <f>DEC2HEX(_xlfn.BITRSHIFT(HEX2DEC(MID('paste from garc here'!$C$1,1+(('table for research'!$B121-1)*36+HEX2DEC(9))*2,2)&amp;MID('paste from garc here'!$C$1,1+(('table for research'!$B121-1)*36+HEX2DEC(8))*2,2)),11),2)</f>
        <v>00</v>
      </c>
      <c r="P121" t="str">
        <f>MID('paste from garc here'!$C$1,1+(('table for research'!$B121-1)*36+HEX2DEC('table for research'!P$1))*2,2)</f>
        <v>00</v>
      </c>
      <c r="Q121" t="str">
        <f>MID('paste from garc here'!$C$1,1+(('table for research'!$B121-1)*36+HEX2DEC('table for research'!Q$1))*2,2)</f>
        <v>00</v>
      </c>
      <c r="R121" t="str">
        <f>MID('paste from garc here'!$C$1,1+(('table for research'!$B121-1)*36+HEX2DEC('table for research'!R$1))*2,2)</f>
        <v>00</v>
      </c>
      <c r="S121" t="str">
        <f>MID('paste from garc here'!$C$1,1+(('table for research'!$B121-1)*36+HEX2DEC('table for research'!S$1))*2,2)</f>
        <v>01</v>
      </c>
      <c r="T121" t="str">
        <f>MID('paste from garc here'!$C$1,1+(('table for research'!$B121-1)*36+HEX2DEC('table for research'!T$1))*2,2)</f>
        <v>00</v>
      </c>
      <c r="U121" t="str">
        <f>MID('paste from garc here'!$C$1,1+(('table for research'!$B121-1)*36+HEX2DEC('table for research'!U$1))*2,2)</f>
        <v>45</v>
      </c>
      <c r="V121" t="str">
        <f>MID('paste from garc here'!$C$1,1+(('table for research'!$B121-1)*36+HEX2DEC('table for research'!V$1))*2,2)</f>
        <v>00</v>
      </c>
      <c r="W121" t="str">
        <f>MID('paste from garc here'!$C$1,1+(('table for research'!$B121-1)*36+HEX2DEC('table for research'!W$1))*2,2)</f>
        <v>00</v>
      </c>
      <c r="X121" t="str">
        <f>MID('paste from garc here'!$C$1,1+(('table for research'!$B121-1)*36+HEX2DEC('table for research'!X$1))*2,2)</f>
        <v>00</v>
      </c>
      <c r="Y121" t="str">
        <f>MID('paste from garc here'!$C$1,1+(('table for research'!$B121-1)*36+HEX2DEC('table for research'!Y$1))*2,2)</f>
        <v>00</v>
      </c>
      <c r="Z121" t="str">
        <f>MID('paste from garc here'!$C$1,1+(('table for research'!$B121-1)*36+HEX2DEC('table for research'!Z$1))*2,2)</f>
        <v>00</v>
      </c>
      <c r="AA121" t="str">
        <f>MID('paste from garc here'!$C$1,1+(('table for research'!$B121-1)*36+HEX2DEC('table for research'!AA$1))*2,2)</f>
        <v>00</v>
      </c>
      <c r="AB121" t="str">
        <f>MID('paste from garc here'!$C$1,1+(('table for research'!$B121-1)*36+HEX2DEC('table for research'!AB$1))*2,2)</f>
        <v>00</v>
      </c>
      <c r="AC121" t="str">
        <f>MID('paste from garc here'!$C$1,1+(('table for research'!$B121-1)*36+HEX2DEC('table for research'!AC$1))*2,2)</f>
        <v>00</v>
      </c>
      <c r="AD121" t="str">
        <f>MID('paste from garc here'!$C$1,1+(('table for research'!$B121-1)*36+HEX2DEC('table for research'!AD$1))*2,2)</f>
        <v>00</v>
      </c>
      <c r="AE121" t="str">
        <f>MID('paste from garc here'!$C$1,1+(('table for research'!$B121-1)*36+HEX2DEC('table for research'!AE$1))*2,2)</f>
        <v>00</v>
      </c>
      <c r="AF121" t="str">
        <f>MID('paste from garc here'!$C$1,1+(('table for research'!$B121-1)*36+HEX2DEC('table for research'!AF$1))*2,2)</f>
        <v>00</v>
      </c>
      <c r="AG121" t="str">
        <f>MID('paste from garc here'!$C$1,1+(('table for research'!$B121-1)*36+HEX2DEC('table for research'!AG$1))*2,2)</f>
        <v>00</v>
      </c>
      <c r="AH121" t="str">
        <f>MID('paste from garc here'!$C$1,1+(('table for research'!$B121-1)*36+HEX2DEC('table for research'!AH$1))*2,2)</f>
        <v>00</v>
      </c>
      <c r="AI121" t="str">
        <f>MID('paste from garc here'!$C$1,1+(('table for research'!$B121-1)*36+HEX2DEC('table for research'!AI$1))*2,2)</f>
        <v>00</v>
      </c>
      <c r="AJ121" t="str">
        <f>MID('paste from garc here'!$C$1,1+(('table for research'!$B121-1)*36+HEX2DEC('table for research'!AJ$1))*2,2)</f>
        <v>00</v>
      </c>
      <c r="AK121" t="str">
        <f>MID('paste from garc here'!$C$1,1+(('table for research'!$B121-1)*36+HEX2DEC('table for research'!AK$1))*2,2)</f>
        <v>00</v>
      </c>
      <c r="AL121" t="str">
        <f>MID('paste from garc here'!$C$1,1+(('table for research'!$B121-1)*36+HEX2DEC('table for research'!AL$1))*2,2)</f>
        <v>00</v>
      </c>
      <c r="AM121" t="str">
        <f>MID('paste from garc here'!$C$1,1+(('table for research'!$B121-1)*36+HEX2DEC('table for research'!AM$1))*2,2)</f>
        <v>00</v>
      </c>
      <c r="AN121" t="str">
        <f>MID('paste from garc here'!$C$1,1+(('table for research'!$B121-1)*36+HEX2DEC('table for research'!AN$1))*2,2)</f>
        <v>00</v>
      </c>
      <c r="AO121" t="str">
        <f>MID('paste from garc here'!$C$1,1+(('table for research'!$B121-1)*36+HEX2DEC('table for research'!AO$1))*2,2)</f>
        <v>00</v>
      </c>
    </row>
    <row r="122" spans="1:41" x14ac:dyDescent="0.4">
      <c r="A122" t="s">
        <v>134</v>
      </c>
      <c r="B122">
        <f>B121+1</f>
        <v>120</v>
      </c>
      <c r="C122" t="str">
        <f>MID('paste from garc here'!$C$1,1+(('table for research'!$B122-1)*36+HEX2DEC('table for research'!C$1))*2,2)</f>
        <v>DC</v>
      </c>
      <c r="D122" t="str">
        <f>MID('paste from garc here'!$C$1,1+(('table for research'!$B122-1)*36+HEX2DEC('table for research'!D$1))*2,2)</f>
        <v>05</v>
      </c>
      <c r="E122" t="str">
        <f>MID('paste from garc here'!$C$1,1+(('table for research'!$B122-1)*36+HEX2DEC('table for research'!E$1))*2,2)</f>
        <v>64</v>
      </c>
      <c r="F122" t="str">
        <f>MID('paste from garc here'!$C$1,1+(('table for research'!$B122-1)*36+HEX2DEC('table for research'!F$1))*2,2)</f>
        <v>00</v>
      </c>
      <c r="G122" t="str">
        <f>MID('paste from garc here'!$C$1,1+(('table for research'!$B122-1)*36+HEX2DEC('table for research'!G$1))*2,2)</f>
        <v>00</v>
      </c>
      <c r="H122" t="str">
        <f>MID('paste from garc here'!$C$1,1+(('table for research'!$B122-1)*36+HEX2DEC('table for research'!H$1))*2,2)</f>
        <v>1A</v>
      </c>
      <c r="I122" t="str">
        <f>MID('paste from garc here'!$C$1,1+(('table for research'!$B122-1)*36+HEX2DEC('table for research'!I$1))*2,2)</f>
        <v>1E</v>
      </c>
      <c r="J122" t="str">
        <f>MID('paste from garc here'!$C$1,1+(('table for research'!$B122-1)*36+HEX2DEC('table for research'!J$1))*2,2)</f>
        <v>00</v>
      </c>
      <c r="K122" t="str">
        <f>DEC2HEX(_xlfn.BITAND(HEX2DEC(MID('paste from garc here'!$C$1,1+(('table for research'!$B122-1)*36+HEX2DEC(8))*2,2)),31),2)</f>
        <v>1F</v>
      </c>
      <c r="L122" t="str">
        <f>DEC2HEX(_xlfn.BITAND(HEX2DEC(MID('paste from garc here'!$C$1,1+(('table for research'!$B122-1)*36+HEX2DEC(8))*2,2)),32),2)</f>
        <v>00</v>
      </c>
      <c r="M122" t="str">
        <f>DEC2HEX(_xlfn.BITAND(HEX2DEC(MID('paste from garc here'!$C$1,1+(('table for research'!$B122-1)*36+HEX2DEC(8))*2,2)),64),2)</f>
        <v>00</v>
      </c>
      <c r="N122" t="str">
        <f>DEC2HEX(_xlfn.BITRSHIFT(_xlfn.BITAND(HEX2DEC(MID('paste from garc here'!$C$1,1+(('table for research'!$B122-1)*36+HEX2DEC(9))*2,2)&amp;MID('paste from garc here'!$C$1,1+(('table for research'!$B122-1)*36+HEX2DEC(8))*2,2)),1920),7),2)</f>
        <v>00</v>
      </c>
      <c r="O122" t="str">
        <f>DEC2HEX(_xlfn.BITRSHIFT(HEX2DEC(MID('paste from garc here'!$C$1,1+(('table for research'!$B122-1)*36+HEX2DEC(9))*2,2)&amp;MID('paste from garc here'!$C$1,1+(('table for research'!$B122-1)*36+HEX2DEC(8))*2,2)),11),2)</f>
        <v>00</v>
      </c>
      <c r="P122" t="str">
        <f>MID('paste from garc here'!$C$1,1+(('table for research'!$B122-1)*36+HEX2DEC('table for research'!P$1))*2,2)</f>
        <v>00</v>
      </c>
      <c r="Q122" t="str">
        <f>MID('paste from garc here'!$C$1,1+(('table for research'!$B122-1)*36+HEX2DEC('table for research'!Q$1))*2,2)</f>
        <v>00</v>
      </c>
      <c r="R122" t="str">
        <f>MID('paste from garc here'!$C$1,1+(('table for research'!$B122-1)*36+HEX2DEC('table for research'!R$1))*2,2)</f>
        <v>00</v>
      </c>
      <c r="S122" t="str">
        <f>MID('paste from garc here'!$C$1,1+(('table for research'!$B122-1)*36+HEX2DEC('table for research'!S$1))*2,2)</f>
        <v>01</v>
      </c>
      <c r="T122" t="str">
        <f>MID('paste from garc here'!$C$1,1+(('table for research'!$B122-1)*36+HEX2DEC('table for research'!T$1))*2,2)</f>
        <v>00</v>
      </c>
      <c r="U122" t="str">
        <f>MID('paste from garc here'!$C$1,1+(('table for research'!$B122-1)*36+HEX2DEC('table for research'!U$1))*2,2)</f>
        <v>09</v>
      </c>
      <c r="V122" t="str">
        <f>MID('paste from garc here'!$C$1,1+(('table for research'!$B122-1)*36+HEX2DEC('table for research'!V$1))*2,2)</f>
        <v>00</v>
      </c>
      <c r="W122" t="str">
        <f>MID('paste from garc here'!$C$1,1+(('table for research'!$B122-1)*36+HEX2DEC('table for research'!W$1))*2,2)</f>
        <v>00</v>
      </c>
      <c r="X122" t="str">
        <f>MID('paste from garc here'!$C$1,1+(('table for research'!$B122-1)*36+HEX2DEC('table for research'!X$1))*2,2)</f>
        <v>00</v>
      </c>
      <c r="Y122" t="str">
        <f>MID('paste from garc here'!$C$1,1+(('table for research'!$B122-1)*36+HEX2DEC('table for research'!Y$1))*2,2)</f>
        <v>00</v>
      </c>
      <c r="Z122" t="str">
        <f>MID('paste from garc here'!$C$1,1+(('table for research'!$B122-1)*36+HEX2DEC('table for research'!Z$1))*2,2)</f>
        <v>00</v>
      </c>
      <c r="AA122" t="str">
        <f>MID('paste from garc here'!$C$1,1+(('table for research'!$B122-1)*36+HEX2DEC('table for research'!AA$1))*2,2)</f>
        <v>00</v>
      </c>
      <c r="AB122" t="str">
        <f>MID('paste from garc here'!$C$1,1+(('table for research'!$B122-1)*36+HEX2DEC('table for research'!AB$1))*2,2)</f>
        <v>00</v>
      </c>
      <c r="AC122" t="str">
        <f>MID('paste from garc here'!$C$1,1+(('table for research'!$B122-1)*36+HEX2DEC('table for research'!AC$1))*2,2)</f>
        <v>00</v>
      </c>
      <c r="AD122" t="str">
        <f>MID('paste from garc here'!$C$1,1+(('table for research'!$B122-1)*36+HEX2DEC('table for research'!AD$1))*2,2)</f>
        <v>00</v>
      </c>
      <c r="AE122" t="str">
        <f>MID('paste from garc here'!$C$1,1+(('table for research'!$B122-1)*36+HEX2DEC('table for research'!AE$1))*2,2)</f>
        <v>00</v>
      </c>
      <c r="AF122" t="str">
        <f>MID('paste from garc here'!$C$1,1+(('table for research'!$B122-1)*36+HEX2DEC('table for research'!AF$1))*2,2)</f>
        <v>00</v>
      </c>
      <c r="AG122" t="str">
        <f>MID('paste from garc here'!$C$1,1+(('table for research'!$B122-1)*36+HEX2DEC('table for research'!AG$1))*2,2)</f>
        <v>00</v>
      </c>
      <c r="AH122" t="str">
        <f>MID('paste from garc here'!$C$1,1+(('table for research'!$B122-1)*36+HEX2DEC('table for research'!AH$1))*2,2)</f>
        <v>00</v>
      </c>
      <c r="AI122" t="str">
        <f>MID('paste from garc here'!$C$1,1+(('table for research'!$B122-1)*36+HEX2DEC('table for research'!AI$1))*2,2)</f>
        <v>00</v>
      </c>
      <c r="AJ122" t="str">
        <f>MID('paste from garc here'!$C$1,1+(('table for research'!$B122-1)*36+HEX2DEC('table for research'!AJ$1))*2,2)</f>
        <v>00</v>
      </c>
      <c r="AK122" t="str">
        <f>MID('paste from garc here'!$C$1,1+(('table for research'!$B122-1)*36+HEX2DEC('table for research'!AK$1))*2,2)</f>
        <v>00</v>
      </c>
      <c r="AL122" t="str">
        <f>MID('paste from garc here'!$C$1,1+(('table for research'!$B122-1)*36+HEX2DEC('table for research'!AL$1))*2,2)</f>
        <v>00</v>
      </c>
      <c r="AM122" t="str">
        <f>MID('paste from garc here'!$C$1,1+(('table for research'!$B122-1)*36+HEX2DEC('table for research'!AM$1))*2,2)</f>
        <v>00</v>
      </c>
      <c r="AN122" t="str">
        <f>MID('paste from garc here'!$C$1,1+(('table for research'!$B122-1)*36+HEX2DEC('table for research'!AN$1))*2,2)</f>
        <v>00</v>
      </c>
      <c r="AO122" t="str">
        <f>MID('paste from garc here'!$C$1,1+(('table for research'!$B122-1)*36+HEX2DEC('table for research'!AO$1))*2,2)</f>
        <v>00</v>
      </c>
    </row>
    <row r="123" spans="1:41" x14ac:dyDescent="0.4">
      <c r="A123" t="s">
        <v>135</v>
      </c>
      <c r="B123">
        <f>B122+1</f>
        <v>121</v>
      </c>
      <c r="C123" t="str">
        <f>MID('paste from garc here'!$C$1,1+(('table for research'!$B123-1)*36+HEX2DEC('table for research'!C$1))*2,2)</f>
        <v>DC</v>
      </c>
      <c r="D123" t="str">
        <f>MID('paste from garc here'!$C$1,1+(('table for research'!$B123-1)*36+HEX2DEC('table for research'!D$1))*2,2)</f>
        <v>05</v>
      </c>
      <c r="E123" t="str">
        <f>MID('paste from garc here'!$C$1,1+(('table for research'!$B123-1)*36+HEX2DEC('table for research'!E$1))*2,2)</f>
        <v>64</v>
      </c>
      <c r="F123" t="str">
        <f>MID('paste from garc here'!$C$1,1+(('table for research'!$B123-1)*36+HEX2DEC('table for research'!F$1))*2,2)</f>
        <v>00</v>
      </c>
      <c r="G123" t="str">
        <f>MID('paste from garc here'!$C$1,1+(('table for research'!$B123-1)*36+HEX2DEC('table for research'!G$1))*2,2)</f>
        <v>00</v>
      </c>
      <c r="H123" t="str">
        <f>MID('paste from garc here'!$C$1,1+(('table for research'!$B123-1)*36+HEX2DEC('table for research'!H$1))*2,2)</f>
        <v>1B</v>
      </c>
      <c r="I123" t="str">
        <f>MID('paste from garc here'!$C$1,1+(('table for research'!$B123-1)*36+HEX2DEC('table for research'!I$1))*2,2)</f>
        <v>1E</v>
      </c>
      <c r="J123" t="str">
        <f>MID('paste from garc here'!$C$1,1+(('table for research'!$B123-1)*36+HEX2DEC('table for research'!J$1))*2,2)</f>
        <v>00</v>
      </c>
      <c r="K123" t="str">
        <f>DEC2HEX(_xlfn.BITAND(HEX2DEC(MID('paste from garc here'!$C$1,1+(('table for research'!$B123-1)*36+HEX2DEC(8))*2,2)),31),2)</f>
        <v>1F</v>
      </c>
      <c r="L123" t="str">
        <f>DEC2HEX(_xlfn.BITAND(HEX2DEC(MID('paste from garc here'!$C$1,1+(('table for research'!$B123-1)*36+HEX2DEC(8))*2,2)),32),2)</f>
        <v>00</v>
      </c>
      <c r="M123" t="str">
        <f>DEC2HEX(_xlfn.BITAND(HEX2DEC(MID('paste from garc here'!$C$1,1+(('table for research'!$B123-1)*36+HEX2DEC(8))*2,2)),64),2)</f>
        <v>00</v>
      </c>
      <c r="N123" t="str">
        <f>DEC2HEX(_xlfn.BITRSHIFT(_xlfn.BITAND(HEX2DEC(MID('paste from garc here'!$C$1,1+(('table for research'!$B123-1)*36+HEX2DEC(9))*2,2)&amp;MID('paste from garc here'!$C$1,1+(('table for research'!$B123-1)*36+HEX2DEC(8))*2,2)),1920),7),2)</f>
        <v>00</v>
      </c>
      <c r="O123" t="str">
        <f>DEC2HEX(_xlfn.BITRSHIFT(HEX2DEC(MID('paste from garc here'!$C$1,1+(('table for research'!$B123-1)*36+HEX2DEC(9))*2,2)&amp;MID('paste from garc here'!$C$1,1+(('table for research'!$B123-1)*36+HEX2DEC(8))*2,2)),11),2)</f>
        <v>00</v>
      </c>
      <c r="P123" t="str">
        <f>MID('paste from garc here'!$C$1,1+(('table for research'!$B123-1)*36+HEX2DEC('table for research'!P$1))*2,2)</f>
        <v>00</v>
      </c>
      <c r="Q123" t="str">
        <f>MID('paste from garc here'!$C$1,1+(('table for research'!$B123-1)*36+HEX2DEC('table for research'!Q$1))*2,2)</f>
        <v>00</v>
      </c>
      <c r="R123" t="str">
        <f>MID('paste from garc here'!$C$1,1+(('table for research'!$B123-1)*36+HEX2DEC('table for research'!R$1))*2,2)</f>
        <v>00</v>
      </c>
      <c r="S123" t="str">
        <f>MID('paste from garc here'!$C$1,1+(('table for research'!$B123-1)*36+HEX2DEC('table for research'!S$1))*2,2)</f>
        <v>01</v>
      </c>
      <c r="T123" t="str">
        <f>MID('paste from garc here'!$C$1,1+(('table for research'!$B123-1)*36+HEX2DEC('table for research'!T$1))*2,2)</f>
        <v>00</v>
      </c>
      <c r="U123" t="str">
        <f>MID('paste from garc here'!$C$1,1+(('table for research'!$B123-1)*36+HEX2DEC('table for research'!U$1))*2,2)</f>
        <v>09</v>
      </c>
      <c r="V123" t="str">
        <f>MID('paste from garc here'!$C$1,1+(('table for research'!$B123-1)*36+HEX2DEC('table for research'!V$1))*2,2)</f>
        <v>00</v>
      </c>
      <c r="W123" t="str">
        <f>MID('paste from garc here'!$C$1,1+(('table for research'!$B123-1)*36+HEX2DEC('table for research'!W$1))*2,2)</f>
        <v>00</v>
      </c>
      <c r="X123" t="str">
        <f>MID('paste from garc here'!$C$1,1+(('table for research'!$B123-1)*36+HEX2DEC('table for research'!X$1))*2,2)</f>
        <v>00</v>
      </c>
      <c r="Y123" t="str">
        <f>MID('paste from garc here'!$C$1,1+(('table for research'!$B123-1)*36+HEX2DEC('table for research'!Y$1))*2,2)</f>
        <v>00</v>
      </c>
      <c r="Z123" t="str">
        <f>MID('paste from garc here'!$C$1,1+(('table for research'!$B123-1)*36+HEX2DEC('table for research'!Z$1))*2,2)</f>
        <v>00</v>
      </c>
      <c r="AA123" t="str">
        <f>MID('paste from garc here'!$C$1,1+(('table for research'!$B123-1)*36+HEX2DEC('table for research'!AA$1))*2,2)</f>
        <v>00</v>
      </c>
      <c r="AB123" t="str">
        <f>MID('paste from garc here'!$C$1,1+(('table for research'!$B123-1)*36+HEX2DEC('table for research'!AB$1))*2,2)</f>
        <v>00</v>
      </c>
      <c r="AC123" t="str">
        <f>MID('paste from garc here'!$C$1,1+(('table for research'!$B123-1)*36+HEX2DEC('table for research'!AC$1))*2,2)</f>
        <v>00</v>
      </c>
      <c r="AD123" t="str">
        <f>MID('paste from garc here'!$C$1,1+(('table for research'!$B123-1)*36+HEX2DEC('table for research'!AD$1))*2,2)</f>
        <v>00</v>
      </c>
      <c r="AE123" t="str">
        <f>MID('paste from garc here'!$C$1,1+(('table for research'!$B123-1)*36+HEX2DEC('table for research'!AE$1))*2,2)</f>
        <v>00</v>
      </c>
      <c r="AF123" t="str">
        <f>MID('paste from garc here'!$C$1,1+(('table for research'!$B123-1)*36+HEX2DEC('table for research'!AF$1))*2,2)</f>
        <v>00</v>
      </c>
      <c r="AG123" t="str">
        <f>MID('paste from garc here'!$C$1,1+(('table for research'!$B123-1)*36+HEX2DEC('table for research'!AG$1))*2,2)</f>
        <v>00</v>
      </c>
      <c r="AH123" t="str">
        <f>MID('paste from garc here'!$C$1,1+(('table for research'!$B123-1)*36+HEX2DEC('table for research'!AH$1))*2,2)</f>
        <v>00</v>
      </c>
      <c r="AI123" t="str">
        <f>MID('paste from garc here'!$C$1,1+(('table for research'!$B123-1)*36+HEX2DEC('table for research'!AI$1))*2,2)</f>
        <v>00</v>
      </c>
      <c r="AJ123" t="str">
        <f>MID('paste from garc here'!$C$1,1+(('table for research'!$B123-1)*36+HEX2DEC('table for research'!AJ$1))*2,2)</f>
        <v>00</v>
      </c>
      <c r="AK123" t="str">
        <f>MID('paste from garc here'!$C$1,1+(('table for research'!$B123-1)*36+HEX2DEC('table for research'!AK$1))*2,2)</f>
        <v>00</v>
      </c>
      <c r="AL123" t="str">
        <f>MID('paste from garc here'!$C$1,1+(('table for research'!$B123-1)*36+HEX2DEC('table for research'!AL$1))*2,2)</f>
        <v>00</v>
      </c>
      <c r="AM123" t="str">
        <f>MID('paste from garc here'!$C$1,1+(('table for research'!$B123-1)*36+HEX2DEC('table for research'!AM$1))*2,2)</f>
        <v>00</v>
      </c>
      <c r="AN123" t="str">
        <f>MID('paste from garc here'!$C$1,1+(('table for research'!$B123-1)*36+HEX2DEC('table for research'!AN$1))*2,2)</f>
        <v>00</v>
      </c>
      <c r="AO123" t="str">
        <f>MID('paste from garc here'!$C$1,1+(('table for research'!$B123-1)*36+HEX2DEC('table for research'!AO$1))*2,2)</f>
        <v>00</v>
      </c>
    </row>
    <row r="124" spans="1:41" x14ac:dyDescent="0.4">
      <c r="A124" t="s">
        <v>136</v>
      </c>
      <c r="B124">
        <f>B123+1</f>
        <v>122</v>
      </c>
      <c r="C124" t="str">
        <f>MID('paste from garc here'!$C$1,1+(('table for research'!$B124-1)*36+HEX2DEC('table for research'!C$1))*2,2)</f>
        <v>B8</v>
      </c>
      <c r="D124" t="str">
        <f>MID('paste from garc here'!$C$1,1+(('table for research'!$B124-1)*36+HEX2DEC('table for research'!D$1))*2,2)</f>
        <v>0B</v>
      </c>
      <c r="E124" t="str">
        <f>MID('paste from garc here'!$C$1,1+(('table for research'!$B124-1)*36+HEX2DEC('table for research'!E$1))*2,2)</f>
        <v>95</v>
      </c>
      <c r="F124" t="str">
        <f>MID('paste from garc here'!$C$1,1+(('table for research'!$B124-1)*36+HEX2DEC('table for research'!F$1))*2,2)</f>
        <v>00</v>
      </c>
      <c r="G124" t="str">
        <f>MID('paste from garc here'!$C$1,1+(('table for research'!$B124-1)*36+HEX2DEC('table for research'!G$1))*2,2)</f>
        <v>00</v>
      </c>
      <c r="H124" t="str">
        <f>MID('paste from garc here'!$C$1,1+(('table for research'!$B124-1)*36+HEX2DEC('table for research'!H$1))*2,2)</f>
        <v>00</v>
      </c>
      <c r="I124" t="str">
        <f>MID('paste from garc here'!$C$1,1+(('table for research'!$B124-1)*36+HEX2DEC('table for research'!I$1))*2,2)</f>
        <v>3C</v>
      </c>
      <c r="J124" t="str">
        <f>MID('paste from garc here'!$C$1,1+(('table for research'!$B124-1)*36+HEX2DEC('table for research'!J$1))*2,2)</f>
        <v>00</v>
      </c>
      <c r="K124" t="str">
        <f>DEC2HEX(_xlfn.BITAND(HEX2DEC(MID('paste from garc here'!$C$1,1+(('table for research'!$B124-1)*36+HEX2DEC(8))*2,2)),31),2)</f>
        <v>1F</v>
      </c>
      <c r="L124" t="str">
        <f>DEC2HEX(_xlfn.BITAND(HEX2DEC(MID('paste from garc here'!$C$1,1+(('table for research'!$B124-1)*36+HEX2DEC(8))*2,2)),32),2)</f>
        <v>00</v>
      </c>
      <c r="M124" t="str">
        <f>DEC2HEX(_xlfn.BITAND(HEX2DEC(MID('paste from garc here'!$C$1,1+(('table for research'!$B124-1)*36+HEX2DEC(8))*2,2)),64),2)</f>
        <v>00</v>
      </c>
      <c r="N124" t="str">
        <f>DEC2HEX(_xlfn.BITRSHIFT(_xlfn.BITAND(HEX2DEC(MID('paste from garc here'!$C$1,1+(('table for research'!$B124-1)*36+HEX2DEC(9))*2,2)&amp;MID('paste from garc here'!$C$1,1+(('table for research'!$B124-1)*36+HEX2DEC(8))*2,2)),1920),7),2)</f>
        <v>00</v>
      </c>
      <c r="O124" t="str">
        <f>DEC2HEX(_xlfn.BITRSHIFT(HEX2DEC(MID('paste from garc here'!$C$1,1+(('table for research'!$B124-1)*36+HEX2DEC(9))*2,2)&amp;MID('paste from garc here'!$C$1,1+(('table for research'!$B124-1)*36+HEX2DEC(8))*2,2)),11),2)</f>
        <v>00</v>
      </c>
      <c r="P124" t="str">
        <f>MID('paste from garc here'!$C$1,1+(('table for research'!$B124-1)*36+HEX2DEC('table for research'!P$1))*2,2)</f>
        <v>00</v>
      </c>
      <c r="Q124" t="str">
        <f>MID('paste from garc here'!$C$1,1+(('table for research'!$B124-1)*36+HEX2DEC('table for research'!Q$1))*2,2)</f>
        <v>00</v>
      </c>
      <c r="R124" t="str">
        <f>MID('paste from garc here'!$C$1,1+(('table for research'!$B124-1)*36+HEX2DEC('table for research'!R$1))*2,2)</f>
        <v>00</v>
      </c>
      <c r="S124" t="str">
        <f>MID('paste from garc here'!$C$1,1+(('table for research'!$B124-1)*36+HEX2DEC('table for research'!S$1))*2,2)</f>
        <v>01</v>
      </c>
      <c r="T124" t="str">
        <f>MID('paste from garc here'!$C$1,1+(('table for research'!$B124-1)*36+HEX2DEC('table for research'!T$1))*2,2)</f>
        <v>00</v>
      </c>
      <c r="U124" t="str">
        <f>MID('paste from garc here'!$C$1,1+(('table for research'!$B124-1)*36+HEX2DEC('table for research'!U$1))*2,2)</f>
        <v>22</v>
      </c>
      <c r="V124" t="str">
        <f>MID('paste from garc here'!$C$1,1+(('table for research'!$B124-1)*36+HEX2DEC('table for research'!V$1))*2,2)</f>
        <v>00</v>
      </c>
      <c r="W124" t="str">
        <f>MID('paste from garc here'!$C$1,1+(('table for research'!$B124-1)*36+HEX2DEC('table for research'!W$1))*2,2)</f>
        <v>00</v>
      </c>
      <c r="X124" t="str">
        <f>MID('paste from garc here'!$C$1,1+(('table for research'!$B124-1)*36+HEX2DEC('table for research'!X$1))*2,2)</f>
        <v>00</v>
      </c>
      <c r="Y124" t="str">
        <f>MID('paste from garc here'!$C$1,1+(('table for research'!$B124-1)*36+HEX2DEC('table for research'!Y$1))*2,2)</f>
        <v>00</v>
      </c>
      <c r="Z124" t="str">
        <f>MID('paste from garc here'!$C$1,1+(('table for research'!$B124-1)*36+HEX2DEC('table for research'!Z$1))*2,2)</f>
        <v>00</v>
      </c>
      <c r="AA124" t="str">
        <f>MID('paste from garc here'!$C$1,1+(('table for research'!$B124-1)*36+HEX2DEC('table for research'!AA$1))*2,2)</f>
        <v>00</v>
      </c>
      <c r="AB124" t="str">
        <f>MID('paste from garc here'!$C$1,1+(('table for research'!$B124-1)*36+HEX2DEC('table for research'!AB$1))*2,2)</f>
        <v>00</v>
      </c>
      <c r="AC124" t="str">
        <f>MID('paste from garc here'!$C$1,1+(('table for research'!$B124-1)*36+HEX2DEC('table for research'!AC$1))*2,2)</f>
        <v>00</v>
      </c>
      <c r="AD124" t="str">
        <f>MID('paste from garc here'!$C$1,1+(('table for research'!$B124-1)*36+HEX2DEC('table for research'!AD$1))*2,2)</f>
        <v>00</v>
      </c>
      <c r="AE124" t="str">
        <f>MID('paste from garc here'!$C$1,1+(('table for research'!$B124-1)*36+HEX2DEC('table for research'!AE$1))*2,2)</f>
        <v>00</v>
      </c>
      <c r="AF124" t="str">
        <f>MID('paste from garc here'!$C$1,1+(('table for research'!$B124-1)*36+HEX2DEC('table for research'!AF$1))*2,2)</f>
        <v>00</v>
      </c>
      <c r="AG124" t="str">
        <f>MID('paste from garc here'!$C$1,1+(('table for research'!$B124-1)*36+HEX2DEC('table for research'!AG$1))*2,2)</f>
        <v>00</v>
      </c>
      <c r="AH124" t="str">
        <f>MID('paste from garc here'!$C$1,1+(('table for research'!$B124-1)*36+HEX2DEC('table for research'!AH$1))*2,2)</f>
        <v>00</v>
      </c>
      <c r="AI124" t="str">
        <f>MID('paste from garc here'!$C$1,1+(('table for research'!$B124-1)*36+HEX2DEC('table for research'!AI$1))*2,2)</f>
        <v>00</v>
      </c>
      <c r="AJ124" t="str">
        <f>MID('paste from garc here'!$C$1,1+(('table for research'!$B124-1)*36+HEX2DEC('table for research'!AJ$1))*2,2)</f>
        <v>00</v>
      </c>
      <c r="AK124" t="str">
        <f>MID('paste from garc here'!$C$1,1+(('table for research'!$B124-1)*36+HEX2DEC('table for research'!AK$1))*2,2)</f>
        <v>00</v>
      </c>
      <c r="AL124" t="str">
        <f>MID('paste from garc here'!$C$1,1+(('table for research'!$B124-1)*36+HEX2DEC('table for research'!AL$1))*2,2)</f>
        <v>00</v>
      </c>
      <c r="AM124" t="str">
        <f>MID('paste from garc here'!$C$1,1+(('table for research'!$B124-1)*36+HEX2DEC('table for research'!AM$1))*2,2)</f>
        <v>00</v>
      </c>
      <c r="AN124" t="str">
        <f>MID('paste from garc here'!$C$1,1+(('table for research'!$B124-1)*36+HEX2DEC('table for research'!AN$1))*2,2)</f>
        <v>00</v>
      </c>
      <c r="AO124" t="str">
        <f>MID('paste from garc here'!$C$1,1+(('table for research'!$B124-1)*36+HEX2DEC('table for research'!AO$1))*2,2)</f>
        <v>00</v>
      </c>
    </row>
    <row r="125" spans="1:41" x14ac:dyDescent="0.4">
      <c r="A125" t="s">
        <v>137</v>
      </c>
      <c r="B125">
        <f>B124+1</f>
        <v>123</v>
      </c>
      <c r="C125" t="str">
        <f>MID('paste from garc here'!$C$1,1+(('table for research'!$B125-1)*36+HEX2DEC('table for research'!C$1))*2,2)</f>
        <v>00</v>
      </c>
      <c r="D125" t="str">
        <f>MID('paste from garc here'!$C$1,1+(('table for research'!$B125-1)*36+HEX2DEC('table for research'!D$1))*2,2)</f>
        <v>00</v>
      </c>
      <c r="E125" t="str">
        <f>MID('paste from garc here'!$C$1,1+(('table for research'!$B125-1)*36+HEX2DEC('table for research'!E$1))*2,2)</f>
        <v>00</v>
      </c>
      <c r="F125" t="str">
        <f>MID('paste from garc here'!$C$1,1+(('table for research'!$B125-1)*36+HEX2DEC('table for research'!F$1))*2,2)</f>
        <v>00</v>
      </c>
      <c r="G125" t="str">
        <f>MID('paste from garc here'!$C$1,1+(('table for research'!$B125-1)*36+HEX2DEC('table for research'!G$1))*2,2)</f>
        <v>00</v>
      </c>
      <c r="H125" t="str">
        <f>MID('paste from garc here'!$C$1,1+(('table for research'!$B125-1)*36+HEX2DEC('table for research'!H$1))*2,2)</f>
        <v>00</v>
      </c>
      <c r="I125" t="str">
        <f>MID('paste from garc here'!$C$1,1+(('table for research'!$B125-1)*36+HEX2DEC('table for research'!I$1))*2,2)</f>
        <v>00</v>
      </c>
      <c r="J125" t="str">
        <f>MID('paste from garc here'!$C$1,1+(('table for research'!$B125-1)*36+HEX2DEC('table for research'!J$1))*2,2)</f>
        <v>00</v>
      </c>
      <c r="K125" t="str">
        <f>DEC2HEX(_xlfn.BITAND(HEX2DEC(MID('paste from garc here'!$C$1,1+(('table for research'!$B125-1)*36+HEX2DEC(8))*2,2)),31),2)</f>
        <v>1F</v>
      </c>
      <c r="L125" t="str">
        <f>DEC2HEX(_xlfn.BITAND(HEX2DEC(MID('paste from garc here'!$C$1,1+(('table for research'!$B125-1)*36+HEX2DEC(8))*2,2)),32),2)</f>
        <v>00</v>
      </c>
      <c r="M125" t="str">
        <f>DEC2HEX(_xlfn.BITAND(HEX2DEC(MID('paste from garc here'!$C$1,1+(('table for research'!$B125-1)*36+HEX2DEC(8))*2,2)),64),2)</f>
        <v>00</v>
      </c>
      <c r="N125" t="str">
        <f>DEC2HEX(_xlfn.BITRSHIFT(_xlfn.BITAND(HEX2DEC(MID('paste from garc here'!$C$1,1+(('table for research'!$B125-1)*36+HEX2DEC(9))*2,2)&amp;MID('paste from garc here'!$C$1,1+(('table for research'!$B125-1)*36+HEX2DEC(8))*2,2)),1920),7),2)</f>
        <v>00</v>
      </c>
      <c r="O125" t="str">
        <f>DEC2HEX(_xlfn.BITRSHIFT(HEX2DEC(MID('paste from garc here'!$C$1,1+(('table for research'!$B125-1)*36+HEX2DEC(9))*2,2)&amp;MID('paste from garc here'!$C$1,1+(('table for research'!$B125-1)*36+HEX2DEC(8))*2,2)),11),2)</f>
        <v>00</v>
      </c>
      <c r="P125" t="str">
        <f>MID('paste from garc here'!$C$1,1+(('table for research'!$B125-1)*36+HEX2DEC('table for research'!P$1))*2,2)</f>
        <v>00</v>
      </c>
      <c r="Q125" t="str">
        <f>MID('paste from garc here'!$C$1,1+(('table for research'!$B125-1)*36+HEX2DEC('table for research'!Q$1))*2,2)</f>
        <v>00</v>
      </c>
      <c r="R125" t="str">
        <f>MID('paste from garc here'!$C$1,1+(('table for research'!$B125-1)*36+HEX2DEC('table for research'!R$1))*2,2)</f>
        <v>00</v>
      </c>
      <c r="S125" t="str">
        <f>MID('paste from garc here'!$C$1,1+(('table for research'!$B125-1)*36+HEX2DEC('table for research'!S$1))*2,2)</f>
        <v>01</v>
      </c>
      <c r="T125" t="str">
        <f>MID('paste from garc here'!$C$1,1+(('table for research'!$B125-1)*36+HEX2DEC('table for research'!T$1))*2,2)</f>
        <v>00</v>
      </c>
      <c r="U125" t="str">
        <f>MID('paste from garc here'!$C$1,1+(('table for research'!$B125-1)*36+HEX2DEC('table for research'!U$1))*2,2)</f>
        <v>03</v>
      </c>
      <c r="V125" t="str">
        <f>MID('paste from garc here'!$C$1,1+(('table for research'!$B125-1)*36+HEX2DEC('table for research'!V$1))*2,2)</f>
        <v>03</v>
      </c>
      <c r="W125" t="str">
        <f>MID('paste from garc here'!$C$1,1+(('table for research'!$B125-1)*36+HEX2DEC('table for research'!W$1))*2,2)</f>
        <v>00</v>
      </c>
      <c r="X125" t="str">
        <f>MID('paste from garc here'!$C$1,1+(('table for research'!$B125-1)*36+HEX2DEC('table for research'!X$1))*2,2)</f>
        <v>00</v>
      </c>
      <c r="Y125" t="str">
        <f>MID('paste from garc here'!$C$1,1+(('table for research'!$B125-1)*36+HEX2DEC('table for research'!Y$1))*2,2)</f>
        <v>00</v>
      </c>
      <c r="Z125" t="str">
        <f>MID('paste from garc here'!$C$1,1+(('table for research'!$B125-1)*36+HEX2DEC('table for research'!Z$1))*2,2)</f>
        <v>00</v>
      </c>
      <c r="AA125" t="str">
        <f>MID('paste from garc here'!$C$1,1+(('table for research'!$B125-1)*36+HEX2DEC('table for research'!AA$1))*2,2)</f>
        <v>00</v>
      </c>
      <c r="AB125" t="str">
        <f>MID('paste from garc here'!$C$1,1+(('table for research'!$B125-1)*36+HEX2DEC('table for research'!AB$1))*2,2)</f>
        <v>00</v>
      </c>
      <c r="AC125" t="str">
        <f>MID('paste from garc here'!$C$1,1+(('table for research'!$B125-1)*36+HEX2DEC('table for research'!AC$1))*2,2)</f>
        <v>00</v>
      </c>
      <c r="AD125" t="str">
        <f>MID('paste from garc here'!$C$1,1+(('table for research'!$B125-1)*36+HEX2DEC('table for research'!AD$1))*2,2)</f>
        <v>00</v>
      </c>
      <c r="AE125" t="str">
        <f>MID('paste from garc here'!$C$1,1+(('table for research'!$B125-1)*36+HEX2DEC('table for research'!AE$1))*2,2)</f>
        <v>00</v>
      </c>
      <c r="AF125" t="str">
        <f>MID('paste from garc here'!$C$1,1+(('table for research'!$B125-1)*36+HEX2DEC('table for research'!AF$1))*2,2)</f>
        <v>00</v>
      </c>
      <c r="AG125" t="str">
        <f>MID('paste from garc here'!$C$1,1+(('table for research'!$B125-1)*36+HEX2DEC('table for research'!AG$1))*2,2)</f>
        <v>00</v>
      </c>
      <c r="AH125" t="str">
        <f>MID('paste from garc here'!$C$1,1+(('table for research'!$B125-1)*36+HEX2DEC('table for research'!AH$1))*2,2)</f>
        <v>00</v>
      </c>
      <c r="AI125" t="str">
        <f>MID('paste from garc here'!$C$1,1+(('table for research'!$B125-1)*36+HEX2DEC('table for research'!AI$1))*2,2)</f>
        <v>00</v>
      </c>
      <c r="AJ125" t="str">
        <f>MID('paste from garc here'!$C$1,1+(('table for research'!$B125-1)*36+HEX2DEC('table for research'!AJ$1))*2,2)</f>
        <v>00</v>
      </c>
      <c r="AK125" t="str">
        <f>MID('paste from garc here'!$C$1,1+(('table for research'!$B125-1)*36+HEX2DEC('table for research'!AK$1))*2,2)</f>
        <v>00</v>
      </c>
      <c r="AL125" t="str">
        <f>MID('paste from garc here'!$C$1,1+(('table for research'!$B125-1)*36+HEX2DEC('table for research'!AL$1))*2,2)</f>
        <v>00</v>
      </c>
      <c r="AM125" t="str">
        <f>MID('paste from garc here'!$C$1,1+(('table for research'!$B125-1)*36+HEX2DEC('table for research'!AM$1))*2,2)</f>
        <v>00</v>
      </c>
      <c r="AN125" t="str">
        <f>MID('paste from garc here'!$C$1,1+(('table for research'!$B125-1)*36+HEX2DEC('table for research'!AN$1))*2,2)</f>
        <v>00</v>
      </c>
      <c r="AO125" t="str">
        <f>MID('paste from garc here'!$C$1,1+(('table for research'!$B125-1)*36+HEX2DEC('table for research'!AO$1))*2,2)</f>
        <v>00</v>
      </c>
    </row>
    <row r="126" spans="1:41" x14ac:dyDescent="0.4">
      <c r="A126" t="s">
        <v>138</v>
      </c>
      <c r="B126">
        <f>B125+1</f>
        <v>124</v>
      </c>
      <c r="C126" t="str">
        <f>MID('paste from garc here'!$C$1,1+(('table for research'!$B126-1)*36+HEX2DEC('table for research'!C$1))*2,2)</f>
        <v>94</v>
      </c>
      <c r="D126" t="str">
        <f>MID('paste from garc here'!$C$1,1+(('table for research'!$B126-1)*36+HEX2DEC('table for research'!D$1))*2,2)</f>
        <v>11</v>
      </c>
      <c r="E126" t="str">
        <f>MID('paste from garc here'!$C$1,1+(('table for research'!$B126-1)*36+HEX2DEC('table for research'!E$1))*2,2)</f>
        <v>95</v>
      </c>
      <c r="F126" t="str">
        <f>MID('paste from garc here'!$C$1,1+(('table for research'!$B126-1)*36+HEX2DEC('table for research'!F$1))*2,2)</f>
        <v>00</v>
      </c>
      <c r="G126" t="str">
        <f>MID('paste from garc here'!$C$1,1+(('table for research'!$B126-1)*36+HEX2DEC('table for research'!G$1))*2,2)</f>
        <v>00</v>
      </c>
      <c r="H126" t="str">
        <f>MID('paste from garc here'!$C$1,1+(('table for research'!$B126-1)*36+HEX2DEC('table for research'!H$1))*2,2)</f>
        <v>00</v>
      </c>
      <c r="I126" t="str">
        <f>MID('paste from garc here'!$C$1,1+(('table for research'!$B126-1)*36+HEX2DEC('table for research'!I$1))*2,2)</f>
        <v>3C</v>
      </c>
      <c r="J126" t="str">
        <f>MID('paste from garc here'!$C$1,1+(('table for research'!$B126-1)*36+HEX2DEC('table for research'!J$1))*2,2)</f>
        <v>00</v>
      </c>
      <c r="K126" t="str">
        <f>DEC2HEX(_xlfn.BITAND(HEX2DEC(MID('paste from garc here'!$C$1,1+(('table for research'!$B126-1)*36+HEX2DEC(8))*2,2)),31),2)</f>
        <v>1F</v>
      </c>
      <c r="L126" t="str">
        <f>DEC2HEX(_xlfn.BITAND(HEX2DEC(MID('paste from garc here'!$C$1,1+(('table for research'!$B126-1)*36+HEX2DEC(8))*2,2)),32),2)</f>
        <v>00</v>
      </c>
      <c r="M126" t="str">
        <f>DEC2HEX(_xlfn.BITAND(HEX2DEC(MID('paste from garc here'!$C$1,1+(('table for research'!$B126-1)*36+HEX2DEC(8))*2,2)),64),2)</f>
        <v>00</v>
      </c>
      <c r="N126" t="str">
        <f>DEC2HEX(_xlfn.BITRSHIFT(_xlfn.BITAND(HEX2DEC(MID('paste from garc here'!$C$1,1+(('table for research'!$B126-1)*36+HEX2DEC(9))*2,2)&amp;MID('paste from garc here'!$C$1,1+(('table for research'!$B126-1)*36+HEX2DEC(8))*2,2)),1920),7),2)</f>
        <v>00</v>
      </c>
      <c r="O126" t="str">
        <f>DEC2HEX(_xlfn.BITRSHIFT(HEX2DEC(MID('paste from garc here'!$C$1,1+(('table for research'!$B126-1)*36+HEX2DEC(9))*2,2)&amp;MID('paste from garc here'!$C$1,1+(('table for research'!$B126-1)*36+HEX2DEC(8))*2,2)),11),2)</f>
        <v>00</v>
      </c>
      <c r="P126" t="str">
        <f>MID('paste from garc here'!$C$1,1+(('table for research'!$B126-1)*36+HEX2DEC('table for research'!P$1))*2,2)</f>
        <v>00</v>
      </c>
      <c r="Q126" t="str">
        <f>MID('paste from garc here'!$C$1,1+(('table for research'!$B126-1)*36+HEX2DEC('table for research'!Q$1))*2,2)</f>
        <v>00</v>
      </c>
      <c r="R126" t="str">
        <f>MID('paste from garc here'!$C$1,1+(('table for research'!$B126-1)*36+HEX2DEC('table for research'!R$1))*2,2)</f>
        <v>00</v>
      </c>
      <c r="S126" t="str">
        <f>MID('paste from garc here'!$C$1,1+(('table for research'!$B126-1)*36+HEX2DEC('table for research'!S$1))*2,2)</f>
        <v>01</v>
      </c>
      <c r="T126" t="str">
        <f>MID('paste from garc here'!$C$1,1+(('table for research'!$B126-1)*36+HEX2DEC('table for research'!T$1))*2,2)</f>
        <v>00</v>
      </c>
      <c r="U126" t="str">
        <f>MID('paste from garc here'!$C$1,1+(('table for research'!$B126-1)*36+HEX2DEC('table for research'!U$1))*2,2)</f>
        <v>22</v>
      </c>
      <c r="V126" t="str">
        <f>MID('paste from garc here'!$C$1,1+(('table for research'!$B126-1)*36+HEX2DEC('table for research'!V$1))*2,2)</f>
        <v>00</v>
      </c>
      <c r="W126" t="str">
        <f>MID('paste from garc here'!$C$1,1+(('table for research'!$B126-1)*36+HEX2DEC('table for research'!W$1))*2,2)</f>
        <v>00</v>
      </c>
      <c r="X126" t="str">
        <f>MID('paste from garc here'!$C$1,1+(('table for research'!$B126-1)*36+HEX2DEC('table for research'!X$1))*2,2)</f>
        <v>00</v>
      </c>
      <c r="Y126" t="str">
        <f>MID('paste from garc here'!$C$1,1+(('table for research'!$B126-1)*36+HEX2DEC('table for research'!Y$1))*2,2)</f>
        <v>00</v>
      </c>
      <c r="Z126" t="str">
        <f>MID('paste from garc here'!$C$1,1+(('table for research'!$B126-1)*36+HEX2DEC('table for research'!Z$1))*2,2)</f>
        <v>00</v>
      </c>
      <c r="AA126" t="str">
        <f>MID('paste from garc here'!$C$1,1+(('table for research'!$B126-1)*36+HEX2DEC('table for research'!AA$1))*2,2)</f>
        <v>00</v>
      </c>
      <c r="AB126" t="str">
        <f>MID('paste from garc here'!$C$1,1+(('table for research'!$B126-1)*36+HEX2DEC('table for research'!AB$1))*2,2)</f>
        <v>00</v>
      </c>
      <c r="AC126" t="str">
        <f>MID('paste from garc here'!$C$1,1+(('table for research'!$B126-1)*36+HEX2DEC('table for research'!AC$1))*2,2)</f>
        <v>00</v>
      </c>
      <c r="AD126" t="str">
        <f>MID('paste from garc here'!$C$1,1+(('table for research'!$B126-1)*36+HEX2DEC('table for research'!AD$1))*2,2)</f>
        <v>00</v>
      </c>
      <c r="AE126" t="str">
        <f>MID('paste from garc here'!$C$1,1+(('table for research'!$B126-1)*36+HEX2DEC('table for research'!AE$1))*2,2)</f>
        <v>00</v>
      </c>
      <c r="AF126" t="str">
        <f>MID('paste from garc here'!$C$1,1+(('table for research'!$B126-1)*36+HEX2DEC('table for research'!AF$1))*2,2)</f>
        <v>00</v>
      </c>
      <c r="AG126" t="str">
        <f>MID('paste from garc here'!$C$1,1+(('table for research'!$B126-1)*36+HEX2DEC('table for research'!AG$1))*2,2)</f>
        <v>00</v>
      </c>
      <c r="AH126" t="str">
        <f>MID('paste from garc here'!$C$1,1+(('table for research'!$B126-1)*36+HEX2DEC('table for research'!AH$1))*2,2)</f>
        <v>00</v>
      </c>
      <c r="AI126" t="str">
        <f>MID('paste from garc here'!$C$1,1+(('table for research'!$B126-1)*36+HEX2DEC('table for research'!AI$1))*2,2)</f>
        <v>00</v>
      </c>
      <c r="AJ126" t="str">
        <f>MID('paste from garc here'!$C$1,1+(('table for research'!$B126-1)*36+HEX2DEC('table for research'!AJ$1))*2,2)</f>
        <v>00</v>
      </c>
      <c r="AK126" t="str">
        <f>MID('paste from garc here'!$C$1,1+(('table for research'!$B126-1)*36+HEX2DEC('table for research'!AK$1))*2,2)</f>
        <v>00</v>
      </c>
      <c r="AL126" t="str">
        <f>MID('paste from garc here'!$C$1,1+(('table for research'!$B126-1)*36+HEX2DEC('table for research'!AL$1))*2,2)</f>
        <v>00</v>
      </c>
      <c r="AM126" t="str">
        <f>MID('paste from garc here'!$C$1,1+(('table for research'!$B126-1)*36+HEX2DEC('table for research'!AM$1))*2,2)</f>
        <v>00</v>
      </c>
      <c r="AN126" t="str">
        <f>MID('paste from garc here'!$C$1,1+(('table for research'!$B126-1)*36+HEX2DEC('table for research'!AN$1))*2,2)</f>
        <v>00</v>
      </c>
      <c r="AO126" t="str">
        <f>MID('paste from garc here'!$C$1,1+(('table for research'!$B126-1)*36+HEX2DEC('table for research'!AO$1))*2,2)</f>
        <v>00</v>
      </c>
    </row>
    <row r="127" spans="1:41" x14ac:dyDescent="0.4">
      <c r="A127" t="s">
        <v>138</v>
      </c>
      <c r="B127">
        <f>B126+1</f>
        <v>125</v>
      </c>
      <c r="C127" t="str">
        <f>MID('paste from garc here'!$C$1,1+(('table for research'!$B127-1)*36+HEX2DEC('table for research'!C$1))*2,2)</f>
        <v>00</v>
      </c>
      <c r="D127" t="str">
        <f>MID('paste from garc here'!$C$1,1+(('table for research'!$B127-1)*36+HEX2DEC('table for research'!D$1))*2,2)</f>
        <v>00</v>
      </c>
      <c r="E127" t="str">
        <f>MID('paste from garc here'!$C$1,1+(('table for research'!$B127-1)*36+HEX2DEC('table for research'!E$1))*2,2)</f>
        <v>00</v>
      </c>
      <c r="F127" t="str">
        <f>MID('paste from garc here'!$C$1,1+(('table for research'!$B127-1)*36+HEX2DEC('table for research'!F$1))*2,2)</f>
        <v>00</v>
      </c>
      <c r="G127" t="str">
        <f>MID('paste from garc here'!$C$1,1+(('table for research'!$B127-1)*36+HEX2DEC('table for research'!G$1))*2,2)</f>
        <v>00</v>
      </c>
      <c r="H127" t="str">
        <f>MID('paste from garc here'!$C$1,1+(('table for research'!$B127-1)*36+HEX2DEC('table for research'!H$1))*2,2)</f>
        <v>00</v>
      </c>
      <c r="I127" t="str">
        <f>MID('paste from garc here'!$C$1,1+(('table for research'!$B127-1)*36+HEX2DEC('table for research'!I$1))*2,2)</f>
        <v>00</v>
      </c>
      <c r="J127" t="str">
        <f>MID('paste from garc here'!$C$1,1+(('table for research'!$B127-1)*36+HEX2DEC('table for research'!J$1))*2,2)</f>
        <v>00</v>
      </c>
      <c r="K127" t="str">
        <f>DEC2HEX(_xlfn.BITAND(HEX2DEC(MID('paste from garc here'!$C$1,1+(('table for research'!$B127-1)*36+HEX2DEC(8))*2,2)),31),2)</f>
        <v>00</v>
      </c>
      <c r="L127" t="str">
        <f>DEC2HEX(_xlfn.BITAND(HEX2DEC(MID('paste from garc here'!$C$1,1+(('table for research'!$B127-1)*36+HEX2DEC(8))*2,2)),32),2)</f>
        <v>00</v>
      </c>
      <c r="M127" t="str">
        <f>DEC2HEX(_xlfn.BITAND(HEX2DEC(MID('paste from garc here'!$C$1,1+(('table for research'!$B127-1)*36+HEX2DEC(8))*2,2)),64),2)</f>
        <v>00</v>
      </c>
      <c r="N127" t="str">
        <f>DEC2HEX(_xlfn.BITRSHIFT(_xlfn.BITAND(HEX2DEC(MID('paste from garc here'!$C$1,1+(('table for research'!$B127-1)*36+HEX2DEC(9))*2,2)&amp;MID('paste from garc here'!$C$1,1+(('table for research'!$B127-1)*36+HEX2DEC(8))*2,2)),1920),7),2)</f>
        <v>00</v>
      </c>
      <c r="O127" t="str">
        <f>DEC2HEX(_xlfn.BITRSHIFT(HEX2DEC(MID('paste from garc here'!$C$1,1+(('table for research'!$B127-1)*36+HEX2DEC(9))*2,2)&amp;MID('paste from garc here'!$C$1,1+(('table for research'!$B127-1)*36+HEX2DEC(8))*2,2)),11),2)</f>
        <v>00</v>
      </c>
      <c r="P127" t="str">
        <f>MID('paste from garc here'!$C$1,1+(('table for research'!$B127-1)*36+HEX2DEC('table for research'!P$1))*2,2)</f>
        <v>00</v>
      </c>
      <c r="Q127" t="str">
        <f>MID('paste from garc here'!$C$1,1+(('table for research'!$B127-1)*36+HEX2DEC('table for research'!Q$1))*2,2)</f>
        <v>00</v>
      </c>
      <c r="R127" t="str">
        <f>MID('paste from garc here'!$C$1,1+(('table for research'!$B127-1)*36+HEX2DEC('table for research'!R$1))*2,2)</f>
        <v>00</v>
      </c>
      <c r="S127" t="str">
        <f>MID('paste from garc here'!$C$1,1+(('table for research'!$B127-1)*36+HEX2DEC('table for research'!S$1))*2,2)</f>
        <v>02</v>
      </c>
      <c r="T127" t="str">
        <f>MID('paste from garc here'!$C$1,1+(('table for research'!$B127-1)*36+HEX2DEC('table for research'!T$1))*2,2)</f>
        <v>00</v>
      </c>
      <c r="U127" t="str">
        <f>MID('paste from garc here'!$C$1,1+(('table for research'!$B127-1)*36+HEX2DEC('table for research'!U$1))*2,2)</f>
        <v>00</v>
      </c>
      <c r="V127" t="str">
        <f>MID('paste from garc here'!$C$1,1+(('table for research'!$B127-1)*36+HEX2DEC('table for research'!V$1))*2,2)</f>
        <v>00</v>
      </c>
      <c r="W127" t="str">
        <f>MID('paste from garc here'!$C$1,1+(('table for research'!$B127-1)*36+HEX2DEC('table for research'!W$1))*2,2)</f>
        <v>00</v>
      </c>
      <c r="X127" t="str">
        <f>MID('paste from garc here'!$C$1,1+(('table for research'!$B127-1)*36+HEX2DEC('table for research'!X$1))*2,2)</f>
        <v>00</v>
      </c>
      <c r="Y127" t="str">
        <f>MID('paste from garc here'!$C$1,1+(('table for research'!$B127-1)*36+HEX2DEC('table for research'!Y$1))*2,2)</f>
        <v>00</v>
      </c>
      <c r="Z127" t="str">
        <f>MID('paste from garc here'!$C$1,1+(('table for research'!$B127-1)*36+HEX2DEC('table for research'!Z$1))*2,2)</f>
        <v>00</v>
      </c>
      <c r="AA127" t="str">
        <f>MID('paste from garc here'!$C$1,1+(('table for research'!$B127-1)*36+HEX2DEC('table for research'!AA$1))*2,2)</f>
        <v>00</v>
      </c>
      <c r="AB127" t="str">
        <f>MID('paste from garc here'!$C$1,1+(('table for research'!$B127-1)*36+HEX2DEC('table for research'!AB$1))*2,2)</f>
        <v>00</v>
      </c>
      <c r="AC127" t="str">
        <f>MID('paste from garc here'!$C$1,1+(('table for research'!$B127-1)*36+HEX2DEC('table for research'!AC$1))*2,2)</f>
        <v>00</v>
      </c>
      <c r="AD127" t="str">
        <f>MID('paste from garc here'!$C$1,1+(('table for research'!$B127-1)*36+HEX2DEC('table for research'!AD$1))*2,2)</f>
        <v>00</v>
      </c>
      <c r="AE127" t="str">
        <f>MID('paste from garc here'!$C$1,1+(('table for research'!$B127-1)*36+HEX2DEC('table for research'!AE$1))*2,2)</f>
        <v>00</v>
      </c>
      <c r="AF127" t="str">
        <f>MID('paste from garc here'!$C$1,1+(('table for research'!$B127-1)*36+HEX2DEC('table for research'!AF$1))*2,2)</f>
        <v>00</v>
      </c>
      <c r="AG127" t="str">
        <f>MID('paste from garc here'!$C$1,1+(('table for research'!$B127-1)*36+HEX2DEC('table for research'!AG$1))*2,2)</f>
        <v>00</v>
      </c>
      <c r="AH127" t="str">
        <f>MID('paste from garc here'!$C$1,1+(('table for research'!$B127-1)*36+HEX2DEC('table for research'!AH$1))*2,2)</f>
        <v>00</v>
      </c>
      <c r="AI127" t="str">
        <f>MID('paste from garc here'!$C$1,1+(('table for research'!$B127-1)*36+HEX2DEC('table for research'!AI$1))*2,2)</f>
        <v>00</v>
      </c>
      <c r="AJ127" t="str">
        <f>MID('paste from garc here'!$C$1,1+(('table for research'!$B127-1)*36+HEX2DEC('table for research'!AJ$1))*2,2)</f>
        <v>00</v>
      </c>
      <c r="AK127" t="str">
        <f>MID('paste from garc here'!$C$1,1+(('table for research'!$B127-1)*36+HEX2DEC('table for research'!AK$1))*2,2)</f>
        <v>00</v>
      </c>
      <c r="AL127" t="str">
        <f>MID('paste from garc here'!$C$1,1+(('table for research'!$B127-1)*36+HEX2DEC('table for research'!AL$1))*2,2)</f>
        <v>00</v>
      </c>
      <c r="AM127" t="str">
        <f>MID('paste from garc here'!$C$1,1+(('table for research'!$B127-1)*36+HEX2DEC('table for research'!AM$1))*2,2)</f>
        <v>00</v>
      </c>
      <c r="AN127" t="str">
        <f>MID('paste from garc here'!$C$1,1+(('table for research'!$B127-1)*36+HEX2DEC('table for research'!AN$1))*2,2)</f>
        <v>00</v>
      </c>
      <c r="AO127" t="str">
        <f>MID('paste from garc here'!$C$1,1+(('table for research'!$B127-1)*36+HEX2DEC('table for research'!AO$1))*2,2)</f>
        <v>00</v>
      </c>
    </row>
    <row r="128" spans="1:41" x14ac:dyDescent="0.4">
      <c r="A128" t="s">
        <v>138</v>
      </c>
      <c r="B128">
        <f>B127+1</f>
        <v>126</v>
      </c>
      <c r="C128" t="str">
        <f>MID('paste from garc here'!$C$1,1+(('table for research'!$B128-1)*36+HEX2DEC('table for research'!C$1))*2,2)</f>
        <v>00</v>
      </c>
      <c r="D128" t="str">
        <f>MID('paste from garc here'!$C$1,1+(('table for research'!$B128-1)*36+HEX2DEC('table for research'!D$1))*2,2)</f>
        <v>00</v>
      </c>
      <c r="E128" t="str">
        <f>MID('paste from garc here'!$C$1,1+(('table for research'!$B128-1)*36+HEX2DEC('table for research'!E$1))*2,2)</f>
        <v>00</v>
      </c>
      <c r="F128" t="str">
        <f>MID('paste from garc here'!$C$1,1+(('table for research'!$B128-1)*36+HEX2DEC('table for research'!F$1))*2,2)</f>
        <v>00</v>
      </c>
      <c r="G128" t="str">
        <f>MID('paste from garc here'!$C$1,1+(('table for research'!$B128-1)*36+HEX2DEC('table for research'!G$1))*2,2)</f>
        <v>00</v>
      </c>
      <c r="H128" t="str">
        <f>MID('paste from garc here'!$C$1,1+(('table for research'!$B128-1)*36+HEX2DEC('table for research'!H$1))*2,2)</f>
        <v>00</v>
      </c>
      <c r="I128" t="str">
        <f>MID('paste from garc here'!$C$1,1+(('table for research'!$B128-1)*36+HEX2DEC('table for research'!I$1))*2,2)</f>
        <v>00</v>
      </c>
      <c r="J128" t="str">
        <f>MID('paste from garc here'!$C$1,1+(('table for research'!$B128-1)*36+HEX2DEC('table for research'!J$1))*2,2)</f>
        <v>00</v>
      </c>
      <c r="K128" t="str">
        <f>DEC2HEX(_xlfn.BITAND(HEX2DEC(MID('paste from garc here'!$C$1,1+(('table for research'!$B128-1)*36+HEX2DEC(8))*2,2)),31),2)</f>
        <v>00</v>
      </c>
      <c r="L128" t="str">
        <f>DEC2HEX(_xlfn.BITAND(HEX2DEC(MID('paste from garc here'!$C$1,1+(('table for research'!$B128-1)*36+HEX2DEC(8))*2,2)),32),2)</f>
        <v>00</v>
      </c>
      <c r="M128" t="str">
        <f>DEC2HEX(_xlfn.BITAND(HEX2DEC(MID('paste from garc here'!$C$1,1+(('table for research'!$B128-1)*36+HEX2DEC(8))*2,2)),64),2)</f>
        <v>00</v>
      </c>
      <c r="N128" t="str">
        <f>DEC2HEX(_xlfn.BITRSHIFT(_xlfn.BITAND(HEX2DEC(MID('paste from garc here'!$C$1,1+(('table for research'!$B128-1)*36+HEX2DEC(9))*2,2)&amp;MID('paste from garc here'!$C$1,1+(('table for research'!$B128-1)*36+HEX2DEC(8))*2,2)),1920),7),2)</f>
        <v>00</v>
      </c>
      <c r="O128" t="str">
        <f>DEC2HEX(_xlfn.BITRSHIFT(HEX2DEC(MID('paste from garc here'!$C$1,1+(('table for research'!$B128-1)*36+HEX2DEC(9))*2,2)&amp;MID('paste from garc here'!$C$1,1+(('table for research'!$B128-1)*36+HEX2DEC(8))*2,2)),11),2)</f>
        <v>00</v>
      </c>
      <c r="P128" t="str">
        <f>MID('paste from garc here'!$C$1,1+(('table for research'!$B128-1)*36+HEX2DEC('table for research'!P$1))*2,2)</f>
        <v>00</v>
      </c>
      <c r="Q128" t="str">
        <f>MID('paste from garc here'!$C$1,1+(('table for research'!$B128-1)*36+HEX2DEC('table for research'!Q$1))*2,2)</f>
        <v>00</v>
      </c>
      <c r="R128" t="str">
        <f>MID('paste from garc here'!$C$1,1+(('table for research'!$B128-1)*36+HEX2DEC('table for research'!R$1))*2,2)</f>
        <v>00</v>
      </c>
      <c r="S128" t="str">
        <f>MID('paste from garc here'!$C$1,1+(('table for research'!$B128-1)*36+HEX2DEC('table for research'!S$1))*2,2)</f>
        <v>00</v>
      </c>
      <c r="T128" t="str">
        <f>MID('paste from garc here'!$C$1,1+(('table for research'!$B128-1)*36+HEX2DEC('table for research'!T$1))*2,2)</f>
        <v>00</v>
      </c>
      <c r="U128" t="str">
        <f>MID('paste from garc here'!$C$1,1+(('table for research'!$B128-1)*36+HEX2DEC('table for research'!U$1))*2,2)</f>
        <v>00</v>
      </c>
      <c r="V128" t="str">
        <f>MID('paste from garc here'!$C$1,1+(('table for research'!$B128-1)*36+HEX2DEC('table for research'!V$1))*2,2)</f>
        <v>00</v>
      </c>
      <c r="W128" t="str">
        <f>MID('paste from garc here'!$C$1,1+(('table for research'!$B128-1)*36+HEX2DEC('table for research'!W$1))*2,2)</f>
        <v>00</v>
      </c>
      <c r="X128" t="str">
        <f>MID('paste from garc here'!$C$1,1+(('table for research'!$B128-1)*36+HEX2DEC('table for research'!X$1))*2,2)</f>
        <v>00</v>
      </c>
      <c r="Y128" t="str">
        <f>MID('paste from garc here'!$C$1,1+(('table for research'!$B128-1)*36+HEX2DEC('table for research'!Y$1))*2,2)</f>
        <v>00</v>
      </c>
      <c r="Z128" t="str">
        <f>MID('paste from garc here'!$C$1,1+(('table for research'!$B128-1)*36+HEX2DEC('table for research'!Z$1))*2,2)</f>
        <v>00</v>
      </c>
      <c r="AA128" t="str">
        <f>MID('paste from garc here'!$C$1,1+(('table for research'!$B128-1)*36+HEX2DEC('table for research'!AA$1))*2,2)</f>
        <v>00</v>
      </c>
      <c r="AB128" t="str">
        <f>MID('paste from garc here'!$C$1,1+(('table for research'!$B128-1)*36+HEX2DEC('table for research'!AB$1))*2,2)</f>
        <v>00</v>
      </c>
      <c r="AC128" t="str">
        <f>MID('paste from garc here'!$C$1,1+(('table for research'!$B128-1)*36+HEX2DEC('table for research'!AC$1))*2,2)</f>
        <v>00</v>
      </c>
      <c r="AD128" t="str">
        <f>MID('paste from garc here'!$C$1,1+(('table for research'!$B128-1)*36+HEX2DEC('table for research'!AD$1))*2,2)</f>
        <v>00</v>
      </c>
      <c r="AE128" t="str">
        <f>MID('paste from garc here'!$C$1,1+(('table for research'!$B128-1)*36+HEX2DEC('table for research'!AE$1))*2,2)</f>
        <v>00</v>
      </c>
      <c r="AF128" t="str">
        <f>MID('paste from garc here'!$C$1,1+(('table for research'!$B128-1)*36+HEX2DEC('table for research'!AF$1))*2,2)</f>
        <v>00</v>
      </c>
      <c r="AG128" t="str">
        <f>MID('paste from garc here'!$C$1,1+(('table for research'!$B128-1)*36+HEX2DEC('table for research'!AG$1))*2,2)</f>
        <v>00</v>
      </c>
      <c r="AH128" t="str">
        <f>MID('paste from garc here'!$C$1,1+(('table for research'!$B128-1)*36+HEX2DEC('table for research'!AH$1))*2,2)</f>
        <v>00</v>
      </c>
      <c r="AI128" t="str">
        <f>MID('paste from garc here'!$C$1,1+(('table for research'!$B128-1)*36+HEX2DEC('table for research'!AI$1))*2,2)</f>
        <v>00</v>
      </c>
      <c r="AJ128" t="str">
        <f>MID('paste from garc here'!$C$1,1+(('table for research'!$B128-1)*36+HEX2DEC('table for research'!AJ$1))*2,2)</f>
        <v>00</v>
      </c>
      <c r="AK128" t="str">
        <f>MID('paste from garc here'!$C$1,1+(('table for research'!$B128-1)*36+HEX2DEC('table for research'!AK$1))*2,2)</f>
        <v>00</v>
      </c>
      <c r="AL128" t="str">
        <f>MID('paste from garc here'!$C$1,1+(('table for research'!$B128-1)*36+HEX2DEC('table for research'!AL$1))*2,2)</f>
        <v>00</v>
      </c>
      <c r="AM128" t="str">
        <f>MID('paste from garc here'!$C$1,1+(('table for research'!$B128-1)*36+HEX2DEC('table for research'!AM$1))*2,2)</f>
        <v>00</v>
      </c>
      <c r="AN128" t="str">
        <f>MID('paste from garc here'!$C$1,1+(('table for research'!$B128-1)*36+HEX2DEC('table for research'!AN$1))*2,2)</f>
        <v>00</v>
      </c>
      <c r="AO128" t="str">
        <f>MID('paste from garc here'!$C$1,1+(('table for research'!$B128-1)*36+HEX2DEC('table for research'!AO$1))*2,2)</f>
        <v>00</v>
      </c>
    </row>
    <row r="129" spans="1:41" x14ac:dyDescent="0.4">
      <c r="A129" t="s">
        <v>138</v>
      </c>
      <c r="B129">
        <f>B128+1</f>
        <v>127</v>
      </c>
      <c r="C129" t="str">
        <f>MID('paste from garc here'!$C$1,1+(('table for research'!$B129-1)*36+HEX2DEC('table for research'!C$1))*2,2)</f>
        <v>00</v>
      </c>
      <c r="D129" t="str">
        <f>MID('paste from garc here'!$C$1,1+(('table for research'!$B129-1)*36+HEX2DEC('table for research'!D$1))*2,2)</f>
        <v>00</v>
      </c>
      <c r="E129" t="str">
        <f>MID('paste from garc here'!$C$1,1+(('table for research'!$B129-1)*36+HEX2DEC('table for research'!E$1))*2,2)</f>
        <v>00</v>
      </c>
      <c r="F129" t="str">
        <f>MID('paste from garc here'!$C$1,1+(('table for research'!$B129-1)*36+HEX2DEC('table for research'!F$1))*2,2)</f>
        <v>00</v>
      </c>
      <c r="G129" t="str">
        <f>MID('paste from garc here'!$C$1,1+(('table for research'!$B129-1)*36+HEX2DEC('table for research'!G$1))*2,2)</f>
        <v>00</v>
      </c>
      <c r="H129" t="str">
        <f>MID('paste from garc here'!$C$1,1+(('table for research'!$B129-1)*36+HEX2DEC('table for research'!H$1))*2,2)</f>
        <v>00</v>
      </c>
      <c r="I129" t="str">
        <f>MID('paste from garc here'!$C$1,1+(('table for research'!$B129-1)*36+HEX2DEC('table for research'!I$1))*2,2)</f>
        <v>00</v>
      </c>
      <c r="J129" t="str">
        <f>MID('paste from garc here'!$C$1,1+(('table for research'!$B129-1)*36+HEX2DEC('table for research'!J$1))*2,2)</f>
        <v>00</v>
      </c>
      <c r="K129" t="str">
        <f>DEC2HEX(_xlfn.BITAND(HEX2DEC(MID('paste from garc here'!$C$1,1+(('table for research'!$B129-1)*36+HEX2DEC(8))*2,2)),31),2)</f>
        <v>00</v>
      </c>
      <c r="L129" t="str">
        <f>DEC2HEX(_xlfn.BITAND(HEX2DEC(MID('paste from garc here'!$C$1,1+(('table for research'!$B129-1)*36+HEX2DEC(8))*2,2)),32),2)</f>
        <v>00</v>
      </c>
      <c r="M129" t="str">
        <f>DEC2HEX(_xlfn.BITAND(HEX2DEC(MID('paste from garc here'!$C$1,1+(('table for research'!$B129-1)*36+HEX2DEC(8))*2,2)),64),2)</f>
        <v>00</v>
      </c>
      <c r="N129" t="str">
        <f>DEC2HEX(_xlfn.BITRSHIFT(_xlfn.BITAND(HEX2DEC(MID('paste from garc here'!$C$1,1+(('table for research'!$B129-1)*36+HEX2DEC(9))*2,2)&amp;MID('paste from garc here'!$C$1,1+(('table for research'!$B129-1)*36+HEX2DEC(8))*2,2)),1920),7),2)</f>
        <v>00</v>
      </c>
      <c r="O129" t="str">
        <f>DEC2HEX(_xlfn.BITRSHIFT(HEX2DEC(MID('paste from garc here'!$C$1,1+(('table for research'!$B129-1)*36+HEX2DEC(9))*2,2)&amp;MID('paste from garc here'!$C$1,1+(('table for research'!$B129-1)*36+HEX2DEC(8))*2,2)),11),2)</f>
        <v>00</v>
      </c>
      <c r="P129" t="str">
        <f>MID('paste from garc here'!$C$1,1+(('table for research'!$B129-1)*36+HEX2DEC('table for research'!P$1))*2,2)</f>
        <v>00</v>
      </c>
      <c r="Q129" t="str">
        <f>MID('paste from garc here'!$C$1,1+(('table for research'!$B129-1)*36+HEX2DEC('table for research'!Q$1))*2,2)</f>
        <v>00</v>
      </c>
      <c r="R129" t="str">
        <f>MID('paste from garc here'!$C$1,1+(('table for research'!$B129-1)*36+HEX2DEC('table for research'!R$1))*2,2)</f>
        <v>00</v>
      </c>
      <c r="S129" t="str">
        <f>MID('paste from garc here'!$C$1,1+(('table for research'!$B129-1)*36+HEX2DEC('table for research'!S$1))*2,2)</f>
        <v>02</v>
      </c>
      <c r="T129" t="str">
        <f>MID('paste from garc here'!$C$1,1+(('table for research'!$B129-1)*36+HEX2DEC('table for research'!T$1))*2,2)</f>
        <v>00</v>
      </c>
      <c r="U129" t="str">
        <f>MID('paste from garc here'!$C$1,1+(('table for research'!$B129-1)*36+HEX2DEC('table for research'!U$1))*2,2)</f>
        <v>00</v>
      </c>
      <c r="V129" t="str">
        <f>MID('paste from garc here'!$C$1,1+(('table for research'!$B129-1)*36+HEX2DEC('table for research'!V$1))*2,2)</f>
        <v>00</v>
      </c>
      <c r="W129" t="str">
        <f>MID('paste from garc here'!$C$1,1+(('table for research'!$B129-1)*36+HEX2DEC('table for research'!W$1))*2,2)</f>
        <v>00</v>
      </c>
      <c r="X129" t="str">
        <f>MID('paste from garc here'!$C$1,1+(('table for research'!$B129-1)*36+HEX2DEC('table for research'!X$1))*2,2)</f>
        <v>00</v>
      </c>
      <c r="Y129" t="str">
        <f>MID('paste from garc here'!$C$1,1+(('table for research'!$B129-1)*36+HEX2DEC('table for research'!Y$1))*2,2)</f>
        <v>00</v>
      </c>
      <c r="Z129" t="str">
        <f>MID('paste from garc here'!$C$1,1+(('table for research'!$B129-1)*36+HEX2DEC('table for research'!Z$1))*2,2)</f>
        <v>00</v>
      </c>
      <c r="AA129" t="str">
        <f>MID('paste from garc here'!$C$1,1+(('table for research'!$B129-1)*36+HEX2DEC('table for research'!AA$1))*2,2)</f>
        <v>00</v>
      </c>
      <c r="AB129" t="str">
        <f>MID('paste from garc here'!$C$1,1+(('table for research'!$B129-1)*36+HEX2DEC('table for research'!AB$1))*2,2)</f>
        <v>00</v>
      </c>
      <c r="AC129" t="str">
        <f>MID('paste from garc here'!$C$1,1+(('table for research'!$B129-1)*36+HEX2DEC('table for research'!AC$1))*2,2)</f>
        <v>00</v>
      </c>
      <c r="AD129" t="str">
        <f>MID('paste from garc here'!$C$1,1+(('table for research'!$B129-1)*36+HEX2DEC('table for research'!AD$1))*2,2)</f>
        <v>00</v>
      </c>
      <c r="AE129" t="str">
        <f>MID('paste from garc here'!$C$1,1+(('table for research'!$B129-1)*36+HEX2DEC('table for research'!AE$1))*2,2)</f>
        <v>00</v>
      </c>
      <c r="AF129" t="str">
        <f>MID('paste from garc here'!$C$1,1+(('table for research'!$B129-1)*36+HEX2DEC('table for research'!AF$1))*2,2)</f>
        <v>00</v>
      </c>
      <c r="AG129" t="str">
        <f>MID('paste from garc here'!$C$1,1+(('table for research'!$B129-1)*36+HEX2DEC('table for research'!AG$1))*2,2)</f>
        <v>00</v>
      </c>
      <c r="AH129" t="str">
        <f>MID('paste from garc here'!$C$1,1+(('table for research'!$B129-1)*36+HEX2DEC('table for research'!AH$1))*2,2)</f>
        <v>00</v>
      </c>
      <c r="AI129" t="str">
        <f>MID('paste from garc here'!$C$1,1+(('table for research'!$B129-1)*36+HEX2DEC('table for research'!AI$1))*2,2)</f>
        <v>00</v>
      </c>
      <c r="AJ129" t="str">
        <f>MID('paste from garc here'!$C$1,1+(('table for research'!$B129-1)*36+HEX2DEC('table for research'!AJ$1))*2,2)</f>
        <v>00</v>
      </c>
      <c r="AK129" t="str">
        <f>MID('paste from garc here'!$C$1,1+(('table for research'!$B129-1)*36+HEX2DEC('table for research'!AK$1))*2,2)</f>
        <v>00</v>
      </c>
      <c r="AL129" t="str">
        <f>MID('paste from garc here'!$C$1,1+(('table for research'!$B129-1)*36+HEX2DEC('table for research'!AL$1))*2,2)</f>
        <v>00</v>
      </c>
      <c r="AM129" t="str">
        <f>MID('paste from garc here'!$C$1,1+(('table for research'!$B129-1)*36+HEX2DEC('table for research'!AM$1))*2,2)</f>
        <v>00</v>
      </c>
      <c r="AN129" t="str">
        <f>MID('paste from garc here'!$C$1,1+(('table for research'!$B129-1)*36+HEX2DEC('table for research'!AN$1))*2,2)</f>
        <v>00</v>
      </c>
      <c r="AO129" t="str">
        <f>MID('paste from garc here'!$C$1,1+(('table for research'!$B129-1)*36+HEX2DEC('table for research'!AO$1))*2,2)</f>
        <v>00</v>
      </c>
    </row>
    <row r="130" spans="1:41" x14ac:dyDescent="0.4">
      <c r="A130" t="s">
        <v>138</v>
      </c>
      <c r="B130">
        <f>B129+1</f>
        <v>128</v>
      </c>
      <c r="C130" t="str">
        <f>MID('paste from garc here'!$C$1,1+(('table for research'!$B130-1)*36+HEX2DEC('table for research'!C$1))*2,2)</f>
        <v>00</v>
      </c>
      <c r="D130" t="str">
        <f>MID('paste from garc here'!$C$1,1+(('table for research'!$B130-1)*36+HEX2DEC('table for research'!D$1))*2,2)</f>
        <v>00</v>
      </c>
      <c r="E130" t="str">
        <f>MID('paste from garc here'!$C$1,1+(('table for research'!$B130-1)*36+HEX2DEC('table for research'!E$1))*2,2)</f>
        <v>00</v>
      </c>
      <c r="F130" t="str">
        <f>MID('paste from garc here'!$C$1,1+(('table for research'!$B130-1)*36+HEX2DEC('table for research'!F$1))*2,2)</f>
        <v>00</v>
      </c>
      <c r="G130" t="str">
        <f>MID('paste from garc here'!$C$1,1+(('table for research'!$B130-1)*36+HEX2DEC('table for research'!G$1))*2,2)</f>
        <v>00</v>
      </c>
      <c r="H130" t="str">
        <f>MID('paste from garc here'!$C$1,1+(('table for research'!$B130-1)*36+HEX2DEC('table for research'!H$1))*2,2)</f>
        <v>00</v>
      </c>
      <c r="I130" t="str">
        <f>MID('paste from garc here'!$C$1,1+(('table for research'!$B130-1)*36+HEX2DEC('table for research'!I$1))*2,2)</f>
        <v>00</v>
      </c>
      <c r="J130" t="str">
        <f>MID('paste from garc here'!$C$1,1+(('table for research'!$B130-1)*36+HEX2DEC('table for research'!J$1))*2,2)</f>
        <v>00</v>
      </c>
      <c r="K130" t="str">
        <f>DEC2HEX(_xlfn.BITAND(HEX2DEC(MID('paste from garc here'!$C$1,1+(('table for research'!$B130-1)*36+HEX2DEC(8))*2,2)),31),2)</f>
        <v>00</v>
      </c>
      <c r="L130" t="str">
        <f>DEC2HEX(_xlfn.BITAND(HEX2DEC(MID('paste from garc here'!$C$1,1+(('table for research'!$B130-1)*36+HEX2DEC(8))*2,2)),32),2)</f>
        <v>00</v>
      </c>
      <c r="M130" t="str">
        <f>DEC2HEX(_xlfn.BITAND(HEX2DEC(MID('paste from garc here'!$C$1,1+(('table for research'!$B130-1)*36+HEX2DEC(8))*2,2)),64),2)</f>
        <v>00</v>
      </c>
      <c r="N130" t="str">
        <f>DEC2HEX(_xlfn.BITRSHIFT(_xlfn.BITAND(HEX2DEC(MID('paste from garc here'!$C$1,1+(('table for research'!$B130-1)*36+HEX2DEC(9))*2,2)&amp;MID('paste from garc here'!$C$1,1+(('table for research'!$B130-1)*36+HEX2DEC(8))*2,2)),1920),7),2)</f>
        <v>00</v>
      </c>
      <c r="O130" t="str">
        <f>DEC2HEX(_xlfn.BITRSHIFT(HEX2DEC(MID('paste from garc here'!$C$1,1+(('table for research'!$B130-1)*36+HEX2DEC(9))*2,2)&amp;MID('paste from garc here'!$C$1,1+(('table for research'!$B130-1)*36+HEX2DEC(8))*2,2)),11),2)</f>
        <v>00</v>
      </c>
      <c r="P130" t="str">
        <f>MID('paste from garc here'!$C$1,1+(('table for research'!$B130-1)*36+HEX2DEC('table for research'!P$1))*2,2)</f>
        <v>00</v>
      </c>
      <c r="Q130" t="str">
        <f>MID('paste from garc here'!$C$1,1+(('table for research'!$B130-1)*36+HEX2DEC('table for research'!Q$1))*2,2)</f>
        <v>00</v>
      </c>
      <c r="R130" t="str">
        <f>MID('paste from garc here'!$C$1,1+(('table for research'!$B130-1)*36+HEX2DEC('table for research'!R$1))*2,2)</f>
        <v>00</v>
      </c>
      <c r="S130" t="str">
        <f>MID('paste from garc here'!$C$1,1+(('table for research'!$B130-1)*36+HEX2DEC('table for research'!S$1))*2,2)</f>
        <v>02</v>
      </c>
      <c r="T130" t="str">
        <f>MID('paste from garc here'!$C$1,1+(('table for research'!$B130-1)*36+HEX2DEC('table for research'!T$1))*2,2)</f>
        <v>00</v>
      </c>
      <c r="U130" t="str">
        <f>MID('paste from garc here'!$C$1,1+(('table for research'!$B130-1)*36+HEX2DEC('table for research'!U$1))*2,2)</f>
        <v>00</v>
      </c>
      <c r="V130" t="str">
        <f>MID('paste from garc here'!$C$1,1+(('table for research'!$B130-1)*36+HEX2DEC('table for research'!V$1))*2,2)</f>
        <v>00</v>
      </c>
      <c r="W130" t="str">
        <f>MID('paste from garc here'!$C$1,1+(('table for research'!$B130-1)*36+HEX2DEC('table for research'!W$1))*2,2)</f>
        <v>00</v>
      </c>
      <c r="X130" t="str">
        <f>MID('paste from garc here'!$C$1,1+(('table for research'!$B130-1)*36+HEX2DEC('table for research'!X$1))*2,2)</f>
        <v>00</v>
      </c>
      <c r="Y130" t="str">
        <f>MID('paste from garc here'!$C$1,1+(('table for research'!$B130-1)*36+HEX2DEC('table for research'!Y$1))*2,2)</f>
        <v>00</v>
      </c>
      <c r="Z130" t="str">
        <f>MID('paste from garc here'!$C$1,1+(('table for research'!$B130-1)*36+HEX2DEC('table for research'!Z$1))*2,2)</f>
        <v>00</v>
      </c>
      <c r="AA130" t="str">
        <f>MID('paste from garc here'!$C$1,1+(('table for research'!$B130-1)*36+HEX2DEC('table for research'!AA$1))*2,2)</f>
        <v>00</v>
      </c>
      <c r="AB130" t="str">
        <f>MID('paste from garc here'!$C$1,1+(('table for research'!$B130-1)*36+HEX2DEC('table for research'!AB$1))*2,2)</f>
        <v>00</v>
      </c>
      <c r="AC130" t="str">
        <f>MID('paste from garc here'!$C$1,1+(('table for research'!$B130-1)*36+HEX2DEC('table for research'!AC$1))*2,2)</f>
        <v>00</v>
      </c>
      <c r="AD130" t="str">
        <f>MID('paste from garc here'!$C$1,1+(('table for research'!$B130-1)*36+HEX2DEC('table for research'!AD$1))*2,2)</f>
        <v>00</v>
      </c>
      <c r="AE130" t="str">
        <f>MID('paste from garc here'!$C$1,1+(('table for research'!$B130-1)*36+HEX2DEC('table for research'!AE$1))*2,2)</f>
        <v>00</v>
      </c>
      <c r="AF130" t="str">
        <f>MID('paste from garc here'!$C$1,1+(('table for research'!$B130-1)*36+HEX2DEC('table for research'!AF$1))*2,2)</f>
        <v>00</v>
      </c>
      <c r="AG130" t="str">
        <f>MID('paste from garc here'!$C$1,1+(('table for research'!$B130-1)*36+HEX2DEC('table for research'!AG$1))*2,2)</f>
        <v>00</v>
      </c>
      <c r="AH130" t="str">
        <f>MID('paste from garc here'!$C$1,1+(('table for research'!$B130-1)*36+HEX2DEC('table for research'!AH$1))*2,2)</f>
        <v>00</v>
      </c>
      <c r="AI130" t="str">
        <f>MID('paste from garc here'!$C$1,1+(('table for research'!$B130-1)*36+HEX2DEC('table for research'!AI$1))*2,2)</f>
        <v>00</v>
      </c>
      <c r="AJ130" t="str">
        <f>MID('paste from garc here'!$C$1,1+(('table for research'!$B130-1)*36+HEX2DEC('table for research'!AJ$1))*2,2)</f>
        <v>00</v>
      </c>
      <c r="AK130" t="str">
        <f>MID('paste from garc here'!$C$1,1+(('table for research'!$B130-1)*36+HEX2DEC('table for research'!AK$1))*2,2)</f>
        <v>00</v>
      </c>
      <c r="AL130" t="str">
        <f>MID('paste from garc here'!$C$1,1+(('table for research'!$B130-1)*36+HEX2DEC('table for research'!AL$1))*2,2)</f>
        <v>00</v>
      </c>
      <c r="AM130" t="str">
        <f>MID('paste from garc here'!$C$1,1+(('table for research'!$B130-1)*36+HEX2DEC('table for research'!AM$1))*2,2)</f>
        <v>00</v>
      </c>
      <c r="AN130" t="str">
        <f>MID('paste from garc here'!$C$1,1+(('table for research'!$B130-1)*36+HEX2DEC('table for research'!AN$1))*2,2)</f>
        <v>00</v>
      </c>
      <c r="AO130" t="str">
        <f>MID('paste from garc here'!$C$1,1+(('table for research'!$B130-1)*36+HEX2DEC('table for research'!AO$1))*2,2)</f>
        <v>00</v>
      </c>
    </row>
    <row r="131" spans="1:41" x14ac:dyDescent="0.4">
      <c r="A131" t="s">
        <v>138</v>
      </c>
      <c r="B131">
        <f>B130+1</f>
        <v>129</v>
      </c>
      <c r="C131" t="str">
        <f>MID('paste from garc here'!$C$1,1+(('table for research'!$B131-1)*36+HEX2DEC('table for research'!C$1))*2,2)</f>
        <v>00</v>
      </c>
      <c r="D131" t="str">
        <f>MID('paste from garc here'!$C$1,1+(('table for research'!$B131-1)*36+HEX2DEC('table for research'!D$1))*2,2)</f>
        <v>00</v>
      </c>
      <c r="E131" t="str">
        <f>MID('paste from garc here'!$C$1,1+(('table for research'!$B131-1)*36+HEX2DEC('table for research'!E$1))*2,2)</f>
        <v>00</v>
      </c>
      <c r="F131" t="str">
        <f>MID('paste from garc here'!$C$1,1+(('table for research'!$B131-1)*36+HEX2DEC('table for research'!F$1))*2,2)</f>
        <v>00</v>
      </c>
      <c r="G131" t="str">
        <f>MID('paste from garc here'!$C$1,1+(('table for research'!$B131-1)*36+HEX2DEC('table for research'!G$1))*2,2)</f>
        <v>00</v>
      </c>
      <c r="H131" t="str">
        <f>MID('paste from garc here'!$C$1,1+(('table for research'!$B131-1)*36+HEX2DEC('table for research'!H$1))*2,2)</f>
        <v>00</v>
      </c>
      <c r="I131" t="str">
        <f>MID('paste from garc here'!$C$1,1+(('table for research'!$B131-1)*36+HEX2DEC('table for research'!I$1))*2,2)</f>
        <v>00</v>
      </c>
      <c r="J131" t="str">
        <f>MID('paste from garc here'!$C$1,1+(('table for research'!$B131-1)*36+HEX2DEC('table for research'!J$1))*2,2)</f>
        <v>00</v>
      </c>
      <c r="K131" t="str">
        <f>DEC2HEX(_xlfn.BITAND(HEX2DEC(MID('paste from garc here'!$C$1,1+(('table for research'!$B131-1)*36+HEX2DEC(8))*2,2)),31),2)</f>
        <v>00</v>
      </c>
      <c r="L131" t="str">
        <f>DEC2HEX(_xlfn.BITAND(HEX2DEC(MID('paste from garc here'!$C$1,1+(('table for research'!$B131-1)*36+HEX2DEC(8))*2,2)),32),2)</f>
        <v>00</v>
      </c>
      <c r="M131" t="str">
        <f>DEC2HEX(_xlfn.BITAND(HEX2DEC(MID('paste from garc here'!$C$1,1+(('table for research'!$B131-1)*36+HEX2DEC(8))*2,2)),64),2)</f>
        <v>00</v>
      </c>
      <c r="N131" t="str">
        <f>DEC2HEX(_xlfn.BITRSHIFT(_xlfn.BITAND(HEX2DEC(MID('paste from garc here'!$C$1,1+(('table for research'!$B131-1)*36+HEX2DEC(9))*2,2)&amp;MID('paste from garc here'!$C$1,1+(('table for research'!$B131-1)*36+HEX2DEC(8))*2,2)),1920),7),2)</f>
        <v>00</v>
      </c>
      <c r="O131" t="str">
        <f>DEC2HEX(_xlfn.BITRSHIFT(HEX2DEC(MID('paste from garc here'!$C$1,1+(('table for research'!$B131-1)*36+HEX2DEC(9))*2,2)&amp;MID('paste from garc here'!$C$1,1+(('table for research'!$B131-1)*36+HEX2DEC(8))*2,2)),11),2)</f>
        <v>00</v>
      </c>
      <c r="P131" t="str">
        <f>MID('paste from garc here'!$C$1,1+(('table for research'!$B131-1)*36+HEX2DEC('table for research'!P$1))*2,2)</f>
        <v>00</v>
      </c>
      <c r="Q131" t="str">
        <f>MID('paste from garc here'!$C$1,1+(('table for research'!$B131-1)*36+HEX2DEC('table for research'!Q$1))*2,2)</f>
        <v>00</v>
      </c>
      <c r="R131" t="str">
        <f>MID('paste from garc here'!$C$1,1+(('table for research'!$B131-1)*36+HEX2DEC('table for research'!R$1))*2,2)</f>
        <v>00</v>
      </c>
      <c r="S131" t="str">
        <f>MID('paste from garc here'!$C$1,1+(('table for research'!$B131-1)*36+HEX2DEC('table for research'!S$1))*2,2)</f>
        <v>02</v>
      </c>
      <c r="T131" t="str">
        <f>MID('paste from garc here'!$C$1,1+(('table for research'!$B131-1)*36+HEX2DEC('table for research'!T$1))*2,2)</f>
        <v>00</v>
      </c>
      <c r="U131" t="str">
        <f>MID('paste from garc here'!$C$1,1+(('table for research'!$B131-1)*36+HEX2DEC('table for research'!U$1))*2,2)</f>
        <v>00</v>
      </c>
      <c r="V131" t="str">
        <f>MID('paste from garc here'!$C$1,1+(('table for research'!$B131-1)*36+HEX2DEC('table for research'!V$1))*2,2)</f>
        <v>00</v>
      </c>
      <c r="W131" t="str">
        <f>MID('paste from garc here'!$C$1,1+(('table for research'!$B131-1)*36+HEX2DEC('table for research'!W$1))*2,2)</f>
        <v>00</v>
      </c>
      <c r="X131" t="str">
        <f>MID('paste from garc here'!$C$1,1+(('table for research'!$B131-1)*36+HEX2DEC('table for research'!X$1))*2,2)</f>
        <v>00</v>
      </c>
      <c r="Y131" t="str">
        <f>MID('paste from garc here'!$C$1,1+(('table for research'!$B131-1)*36+HEX2DEC('table for research'!Y$1))*2,2)</f>
        <v>00</v>
      </c>
      <c r="Z131" t="str">
        <f>MID('paste from garc here'!$C$1,1+(('table for research'!$B131-1)*36+HEX2DEC('table for research'!Z$1))*2,2)</f>
        <v>00</v>
      </c>
      <c r="AA131" t="str">
        <f>MID('paste from garc here'!$C$1,1+(('table for research'!$B131-1)*36+HEX2DEC('table for research'!AA$1))*2,2)</f>
        <v>00</v>
      </c>
      <c r="AB131" t="str">
        <f>MID('paste from garc here'!$C$1,1+(('table for research'!$B131-1)*36+HEX2DEC('table for research'!AB$1))*2,2)</f>
        <v>00</v>
      </c>
      <c r="AC131" t="str">
        <f>MID('paste from garc here'!$C$1,1+(('table for research'!$B131-1)*36+HEX2DEC('table for research'!AC$1))*2,2)</f>
        <v>00</v>
      </c>
      <c r="AD131" t="str">
        <f>MID('paste from garc here'!$C$1,1+(('table for research'!$B131-1)*36+HEX2DEC('table for research'!AD$1))*2,2)</f>
        <v>00</v>
      </c>
      <c r="AE131" t="str">
        <f>MID('paste from garc here'!$C$1,1+(('table for research'!$B131-1)*36+HEX2DEC('table for research'!AE$1))*2,2)</f>
        <v>00</v>
      </c>
      <c r="AF131" t="str">
        <f>MID('paste from garc here'!$C$1,1+(('table for research'!$B131-1)*36+HEX2DEC('table for research'!AF$1))*2,2)</f>
        <v>00</v>
      </c>
      <c r="AG131" t="str">
        <f>MID('paste from garc here'!$C$1,1+(('table for research'!$B131-1)*36+HEX2DEC('table for research'!AG$1))*2,2)</f>
        <v>00</v>
      </c>
      <c r="AH131" t="str">
        <f>MID('paste from garc here'!$C$1,1+(('table for research'!$B131-1)*36+HEX2DEC('table for research'!AH$1))*2,2)</f>
        <v>00</v>
      </c>
      <c r="AI131" t="str">
        <f>MID('paste from garc here'!$C$1,1+(('table for research'!$B131-1)*36+HEX2DEC('table for research'!AI$1))*2,2)</f>
        <v>00</v>
      </c>
      <c r="AJ131" t="str">
        <f>MID('paste from garc here'!$C$1,1+(('table for research'!$B131-1)*36+HEX2DEC('table for research'!AJ$1))*2,2)</f>
        <v>00</v>
      </c>
      <c r="AK131" t="str">
        <f>MID('paste from garc here'!$C$1,1+(('table for research'!$B131-1)*36+HEX2DEC('table for research'!AK$1))*2,2)</f>
        <v>00</v>
      </c>
      <c r="AL131" t="str">
        <f>MID('paste from garc here'!$C$1,1+(('table for research'!$B131-1)*36+HEX2DEC('table for research'!AL$1))*2,2)</f>
        <v>00</v>
      </c>
      <c r="AM131" t="str">
        <f>MID('paste from garc here'!$C$1,1+(('table for research'!$B131-1)*36+HEX2DEC('table for research'!AM$1))*2,2)</f>
        <v>00</v>
      </c>
      <c r="AN131" t="str">
        <f>MID('paste from garc here'!$C$1,1+(('table for research'!$B131-1)*36+HEX2DEC('table for research'!AN$1))*2,2)</f>
        <v>00</v>
      </c>
      <c r="AO131" t="str">
        <f>MID('paste from garc here'!$C$1,1+(('table for research'!$B131-1)*36+HEX2DEC('table for research'!AO$1))*2,2)</f>
        <v>00</v>
      </c>
    </row>
    <row r="132" spans="1:41" x14ac:dyDescent="0.4">
      <c r="A132" t="s">
        <v>138</v>
      </c>
      <c r="B132">
        <f>B131+1</f>
        <v>130</v>
      </c>
      <c r="C132" t="str">
        <f>MID('paste from garc here'!$C$1,1+(('table for research'!$B132-1)*36+HEX2DEC('table for research'!C$1))*2,2)</f>
        <v>00</v>
      </c>
      <c r="D132" t="str">
        <f>MID('paste from garc here'!$C$1,1+(('table for research'!$B132-1)*36+HEX2DEC('table for research'!D$1))*2,2)</f>
        <v>00</v>
      </c>
      <c r="E132" t="str">
        <f>MID('paste from garc here'!$C$1,1+(('table for research'!$B132-1)*36+HEX2DEC('table for research'!E$1))*2,2)</f>
        <v>00</v>
      </c>
      <c r="F132" t="str">
        <f>MID('paste from garc here'!$C$1,1+(('table for research'!$B132-1)*36+HEX2DEC('table for research'!F$1))*2,2)</f>
        <v>00</v>
      </c>
      <c r="G132" t="str">
        <f>MID('paste from garc here'!$C$1,1+(('table for research'!$B132-1)*36+HEX2DEC('table for research'!G$1))*2,2)</f>
        <v>00</v>
      </c>
      <c r="H132" t="str">
        <f>MID('paste from garc here'!$C$1,1+(('table for research'!$B132-1)*36+HEX2DEC('table for research'!H$1))*2,2)</f>
        <v>00</v>
      </c>
      <c r="I132" t="str">
        <f>MID('paste from garc here'!$C$1,1+(('table for research'!$B132-1)*36+HEX2DEC('table for research'!I$1))*2,2)</f>
        <v>00</v>
      </c>
      <c r="J132" t="str">
        <f>MID('paste from garc here'!$C$1,1+(('table for research'!$B132-1)*36+HEX2DEC('table for research'!J$1))*2,2)</f>
        <v>00</v>
      </c>
      <c r="K132" t="str">
        <f>DEC2HEX(_xlfn.BITAND(HEX2DEC(MID('paste from garc here'!$C$1,1+(('table for research'!$B132-1)*36+HEX2DEC(8))*2,2)),31),2)</f>
        <v>00</v>
      </c>
      <c r="L132" t="str">
        <f>DEC2HEX(_xlfn.BITAND(HEX2DEC(MID('paste from garc here'!$C$1,1+(('table for research'!$B132-1)*36+HEX2DEC(8))*2,2)),32),2)</f>
        <v>00</v>
      </c>
      <c r="M132" t="str">
        <f>DEC2HEX(_xlfn.BITAND(HEX2DEC(MID('paste from garc here'!$C$1,1+(('table for research'!$B132-1)*36+HEX2DEC(8))*2,2)),64),2)</f>
        <v>00</v>
      </c>
      <c r="N132" t="str">
        <f>DEC2HEX(_xlfn.BITRSHIFT(_xlfn.BITAND(HEX2DEC(MID('paste from garc here'!$C$1,1+(('table for research'!$B132-1)*36+HEX2DEC(9))*2,2)&amp;MID('paste from garc here'!$C$1,1+(('table for research'!$B132-1)*36+HEX2DEC(8))*2,2)),1920),7),2)</f>
        <v>00</v>
      </c>
      <c r="O132" t="str">
        <f>DEC2HEX(_xlfn.BITRSHIFT(HEX2DEC(MID('paste from garc here'!$C$1,1+(('table for research'!$B132-1)*36+HEX2DEC(9))*2,2)&amp;MID('paste from garc here'!$C$1,1+(('table for research'!$B132-1)*36+HEX2DEC(8))*2,2)),11),2)</f>
        <v>00</v>
      </c>
      <c r="P132" t="str">
        <f>MID('paste from garc here'!$C$1,1+(('table for research'!$B132-1)*36+HEX2DEC('table for research'!P$1))*2,2)</f>
        <v>00</v>
      </c>
      <c r="Q132" t="str">
        <f>MID('paste from garc here'!$C$1,1+(('table for research'!$B132-1)*36+HEX2DEC('table for research'!Q$1))*2,2)</f>
        <v>00</v>
      </c>
      <c r="R132" t="str">
        <f>MID('paste from garc here'!$C$1,1+(('table for research'!$B132-1)*36+HEX2DEC('table for research'!R$1))*2,2)</f>
        <v>00</v>
      </c>
      <c r="S132" t="str">
        <f>MID('paste from garc here'!$C$1,1+(('table for research'!$B132-1)*36+HEX2DEC('table for research'!S$1))*2,2)</f>
        <v>02</v>
      </c>
      <c r="T132" t="str">
        <f>MID('paste from garc here'!$C$1,1+(('table for research'!$B132-1)*36+HEX2DEC('table for research'!T$1))*2,2)</f>
        <v>00</v>
      </c>
      <c r="U132" t="str">
        <f>MID('paste from garc here'!$C$1,1+(('table for research'!$B132-1)*36+HEX2DEC('table for research'!U$1))*2,2)</f>
        <v>00</v>
      </c>
      <c r="V132" t="str">
        <f>MID('paste from garc here'!$C$1,1+(('table for research'!$B132-1)*36+HEX2DEC('table for research'!V$1))*2,2)</f>
        <v>00</v>
      </c>
      <c r="W132" t="str">
        <f>MID('paste from garc here'!$C$1,1+(('table for research'!$B132-1)*36+HEX2DEC('table for research'!W$1))*2,2)</f>
        <v>00</v>
      </c>
      <c r="X132" t="str">
        <f>MID('paste from garc here'!$C$1,1+(('table for research'!$B132-1)*36+HEX2DEC('table for research'!X$1))*2,2)</f>
        <v>00</v>
      </c>
      <c r="Y132" t="str">
        <f>MID('paste from garc here'!$C$1,1+(('table for research'!$B132-1)*36+HEX2DEC('table for research'!Y$1))*2,2)</f>
        <v>00</v>
      </c>
      <c r="Z132" t="str">
        <f>MID('paste from garc here'!$C$1,1+(('table for research'!$B132-1)*36+HEX2DEC('table for research'!Z$1))*2,2)</f>
        <v>00</v>
      </c>
      <c r="AA132" t="str">
        <f>MID('paste from garc here'!$C$1,1+(('table for research'!$B132-1)*36+HEX2DEC('table for research'!AA$1))*2,2)</f>
        <v>00</v>
      </c>
      <c r="AB132" t="str">
        <f>MID('paste from garc here'!$C$1,1+(('table for research'!$B132-1)*36+HEX2DEC('table for research'!AB$1))*2,2)</f>
        <v>00</v>
      </c>
      <c r="AC132" t="str">
        <f>MID('paste from garc here'!$C$1,1+(('table for research'!$B132-1)*36+HEX2DEC('table for research'!AC$1))*2,2)</f>
        <v>00</v>
      </c>
      <c r="AD132" t="str">
        <f>MID('paste from garc here'!$C$1,1+(('table for research'!$B132-1)*36+HEX2DEC('table for research'!AD$1))*2,2)</f>
        <v>00</v>
      </c>
      <c r="AE132" t="str">
        <f>MID('paste from garc here'!$C$1,1+(('table for research'!$B132-1)*36+HEX2DEC('table for research'!AE$1))*2,2)</f>
        <v>00</v>
      </c>
      <c r="AF132" t="str">
        <f>MID('paste from garc here'!$C$1,1+(('table for research'!$B132-1)*36+HEX2DEC('table for research'!AF$1))*2,2)</f>
        <v>00</v>
      </c>
      <c r="AG132" t="str">
        <f>MID('paste from garc here'!$C$1,1+(('table for research'!$B132-1)*36+HEX2DEC('table for research'!AG$1))*2,2)</f>
        <v>00</v>
      </c>
      <c r="AH132" t="str">
        <f>MID('paste from garc here'!$C$1,1+(('table for research'!$B132-1)*36+HEX2DEC('table for research'!AH$1))*2,2)</f>
        <v>00</v>
      </c>
      <c r="AI132" t="str">
        <f>MID('paste from garc here'!$C$1,1+(('table for research'!$B132-1)*36+HEX2DEC('table for research'!AI$1))*2,2)</f>
        <v>00</v>
      </c>
      <c r="AJ132" t="str">
        <f>MID('paste from garc here'!$C$1,1+(('table for research'!$B132-1)*36+HEX2DEC('table for research'!AJ$1))*2,2)</f>
        <v>00</v>
      </c>
      <c r="AK132" t="str">
        <f>MID('paste from garc here'!$C$1,1+(('table for research'!$B132-1)*36+HEX2DEC('table for research'!AK$1))*2,2)</f>
        <v>00</v>
      </c>
      <c r="AL132" t="str">
        <f>MID('paste from garc here'!$C$1,1+(('table for research'!$B132-1)*36+HEX2DEC('table for research'!AL$1))*2,2)</f>
        <v>00</v>
      </c>
      <c r="AM132" t="str">
        <f>MID('paste from garc here'!$C$1,1+(('table for research'!$B132-1)*36+HEX2DEC('table for research'!AM$1))*2,2)</f>
        <v>00</v>
      </c>
      <c r="AN132" t="str">
        <f>MID('paste from garc here'!$C$1,1+(('table for research'!$B132-1)*36+HEX2DEC('table for research'!AN$1))*2,2)</f>
        <v>00</v>
      </c>
      <c r="AO132" t="str">
        <f>MID('paste from garc here'!$C$1,1+(('table for research'!$B132-1)*36+HEX2DEC('table for research'!AO$1))*2,2)</f>
        <v>00</v>
      </c>
    </row>
    <row r="133" spans="1:41" x14ac:dyDescent="0.4">
      <c r="A133" t="s">
        <v>138</v>
      </c>
      <c r="B133">
        <f>B132+1</f>
        <v>131</v>
      </c>
      <c r="C133" t="str">
        <f>MID('paste from garc here'!$C$1,1+(('table for research'!$B133-1)*36+HEX2DEC('table for research'!C$1))*2,2)</f>
        <v>00</v>
      </c>
      <c r="D133" t="str">
        <f>MID('paste from garc here'!$C$1,1+(('table for research'!$B133-1)*36+HEX2DEC('table for research'!D$1))*2,2)</f>
        <v>00</v>
      </c>
      <c r="E133" t="str">
        <f>MID('paste from garc here'!$C$1,1+(('table for research'!$B133-1)*36+HEX2DEC('table for research'!E$1))*2,2)</f>
        <v>00</v>
      </c>
      <c r="F133" t="str">
        <f>MID('paste from garc here'!$C$1,1+(('table for research'!$B133-1)*36+HEX2DEC('table for research'!F$1))*2,2)</f>
        <v>00</v>
      </c>
      <c r="G133" t="str">
        <f>MID('paste from garc here'!$C$1,1+(('table for research'!$B133-1)*36+HEX2DEC('table for research'!G$1))*2,2)</f>
        <v>00</v>
      </c>
      <c r="H133" t="str">
        <f>MID('paste from garc here'!$C$1,1+(('table for research'!$B133-1)*36+HEX2DEC('table for research'!H$1))*2,2)</f>
        <v>00</v>
      </c>
      <c r="I133" t="str">
        <f>MID('paste from garc here'!$C$1,1+(('table for research'!$B133-1)*36+HEX2DEC('table for research'!I$1))*2,2)</f>
        <v>00</v>
      </c>
      <c r="J133" t="str">
        <f>MID('paste from garc here'!$C$1,1+(('table for research'!$B133-1)*36+HEX2DEC('table for research'!J$1))*2,2)</f>
        <v>00</v>
      </c>
      <c r="K133" t="str">
        <f>DEC2HEX(_xlfn.BITAND(HEX2DEC(MID('paste from garc here'!$C$1,1+(('table for research'!$B133-1)*36+HEX2DEC(8))*2,2)),31),2)</f>
        <v>00</v>
      </c>
      <c r="L133" t="str">
        <f>DEC2HEX(_xlfn.BITAND(HEX2DEC(MID('paste from garc here'!$C$1,1+(('table for research'!$B133-1)*36+HEX2DEC(8))*2,2)),32),2)</f>
        <v>00</v>
      </c>
      <c r="M133" t="str">
        <f>DEC2HEX(_xlfn.BITAND(HEX2DEC(MID('paste from garc here'!$C$1,1+(('table for research'!$B133-1)*36+HEX2DEC(8))*2,2)),64),2)</f>
        <v>00</v>
      </c>
      <c r="N133" t="str">
        <f>DEC2HEX(_xlfn.BITRSHIFT(_xlfn.BITAND(HEX2DEC(MID('paste from garc here'!$C$1,1+(('table for research'!$B133-1)*36+HEX2DEC(9))*2,2)&amp;MID('paste from garc here'!$C$1,1+(('table for research'!$B133-1)*36+HEX2DEC(8))*2,2)),1920),7),2)</f>
        <v>00</v>
      </c>
      <c r="O133" t="str">
        <f>DEC2HEX(_xlfn.BITRSHIFT(HEX2DEC(MID('paste from garc here'!$C$1,1+(('table for research'!$B133-1)*36+HEX2DEC(9))*2,2)&amp;MID('paste from garc here'!$C$1,1+(('table for research'!$B133-1)*36+HEX2DEC(8))*2,2)),11),2)</f>
        <v>00</v>
      </c>
      <c r="P133" t="str">
        <f>MID('paste from garc here'!$C$1,1+(('table for research'!$B133-1)*36+HEX2DEC('table for research'!P$1))*2,2)</f>
        <v>00</v>
      </c>
      <c r="Q133" t="str">
        <f>MID('paste from garc here'!$C$1,1+(('table for research'!$B133-1)*36+HEX2DEC('table for research'!Q$1))*2,2)</f>
        <v>00</v>
      </c>
      <c r="R133" t="str">
        <f>MID('paste from garc here'!$C$1,1+(('table for research'!$B133-1)*36+HEX2DEC('table for research'!R$1))*2,2)</f>
        <v>00</v>
      </c>
      <c r="S133" t="str">
        <f>MID('paste from garc here'!$C$1,1+(('table for research'!$B133-1)*36+HEX2DEC('table for research'!S$1))*2,2)</f>
        <v>02</v>
      </c>
      <c r="T133" t="str">
        <f>MID('paste from garc here'!$C$1,1+(('table for research'!$B133-1)*36+HEX2DEC('table for research'!T$1))*2,2)</f>
        <v>00</v>
      </c>
      <c r="U133" t="str">
        <f>MID('paste from garc here'!$C$1,1+(('table for research'!$B133-1)*36+HEX2DEC('table for research'!U$1))*2,2)</f>
        <v>00</v>
      </c>
      <c r="V133" t="str">
        <f>MID('paste from garc here'!$C$1,1+(('table for research'!$B133-1)*36+HEX2DEC('table for research'!V$1))*2,2)</f>
        <v>00</v>
      </c>
      <c r="W133" t="str">
        <f>MID('paste from garc here'!$C$1,1+(('table for research'!$B133-1)*36+HEX2DEC('table for research'!W$1))*2,2)</f>
        <v>00</v>
      </c>
      <c r="X133" t="str">
        <f>MID('paste from garc here'!$C$1,1+(('table for research'!$B133-1)*36+HEX2DEC('table for research'!X$1))*2,2)</f>
        <v>00</v>
      </c>
      <c r="Y133" t="str">
        <f>MID('paste from garc here'!$C$1,1+(('table for research'!$B133-1)*36+HEX2DEC('table for research'!Y$1))*2,2)</f>
        <v>00</v>
      </c>
      <c r="Z133" t="str">
        <f>MID('paste from garc here'!$C$1,1+(('table for research'!$B133-1)*36+HEX2DEC('table for research'!Z$1))*2,2)</f>
        <v>00</v>
      </c>
      <c r="AA133" t="str">
        <f>MID('paste from garc here'!$C$1,1+(('table for research'!$B133-1)*36+HEX2DEC('table for research'!AA$1))*2,2)</f>
        <v>00</v>
      </c>
      <c r="AB133" t="str">
        <f>MID('paste from garc here'!$C$1,1+(('table for research'!$B133-1)*36+HEX2DEC('table for research'!AB$1))*2,2)</f>
        <v>00</v>
      </c>
      <c r="AC133" t="str">
        <f>MID('paste from garc here'!$C$1,1+(('table for research'!$B133-1)*36+HEX2DEC('table for research'!AC$1))*2,2)</f>
        <v>00</v>
      </c>
      <c r="AD133" t="str">
        <f>MID('paste from garc here'!$C$1,1+(('table for research'!$B133-1)*36+HEX2DEC('table for research'!AD$1))*2,2)</f>
        <v>00</v>
      </c>
      <c r="AE133" t="str">
        <f>MID('paste from garc here'!$C$1,1+(('table for research'!$B133-1)*36+HEX2DEC('table for research'!AE$1))*2,2)</f>
        <v>00</v>
      </c>
      <c r="AF133" t="str">
        <f>MID('paste from garc here'!$C$1,1+(('table for research'!$B133-1)*36+HEX2DEC('table for research'!AF$1))*2,2)</f>
        <v>00</v>
      </c>
      <c r="AG133" t="str">
        <f>MID('paste from garc here'!$C$1,1+(('table for research'!$B133-1)*36+HEX2DEC('table for research'!AG$1))*2,2)</f>
        <v>00</v>
      </c>
      <c r="AH133" t="str">
        <f>MID('paste from garc here'!$C$1,1+(('table for research'!$B133-1)*36+HEX2DEC('table for research'!AH$1))*2,2)</f>
        <v>00</v>
      </c>
      <c r="AI133" t="str">
        <f>MID('paste from garc here'!$C$1,1+(('table for research'!$B133-1)*36+HEX2DEC('table for research'!AI$1))*2,2)</f>
        <v>00</v>
      </c>
      <c r="AJ133" t="str">
        <f>MID('paste from garc here'!$C$1,1+(('table for research'!$B133-1)*36+HEX2DEC('table for research'!AJ$1))*2,2)</f>
        <v>00</v>
      </c>
      <c r="AK133" t="str">
        <f>MID('paste from garc here'!$C$1,1+(('table for research'!$B133-1)*36+HEX2DEC('table for research'!AK$1))*2,2)</f>
        <v>00</v>
      </c>
      <c r="AL133" t="str">
        <f>MID('paste from garc here'!$C$1,1+(('table for research'!$B133-1)*36+HEX2DEC('table for research'!AL$1))*2,2)</f>
        <v>00</v>
      </c>
      <c r="AM133" t="str">
        <f>MID('paste from garc here'!$C$1,1+(('table for research'!$B133-1)*36+HEX2DEC('table for research'!AM$1))*2,2)</f>
        <v>00</v>
      </c>
      <c r="AN133" t="str">
        <f>MID('paste from garc here'!$C$1,1+(('table for research'!$B133-1)*36+HEX2DEC('table for research'!AN$1))*2,2)</f>
        <v>00</v>
      </c>
      <c r="AO133" t="str">
        <f>MID('paste from garc here'!$C$1,1+(('table for research'!$B133-1)*36+HEX2DEC('table for research'!AO$1))*2,2)</f>
        <v>00</v>
      </c>
    </row>
    <row r="134" spans="1:41" x14ac:dyDescent="0.4">
      <c r="A134" t="s">
        <v>138</v>
      </c>
      <c r="B134">
        <f>B133+1</f>
        <v>132</v>
      </c>
      <c r="C134" t="str">
        <f>MID('paste from garc here'!$C$1,1+(('table for research'!$B134-1)*36+HEX2DEC('table for research'!C$1))*2,2)</f>
        <v>00</v>
      </c>
      <c r="D134" t="str">
        <f>MID('paste from garc here'!$C$1,1+(('table for research'!$B134-1)*36+HEX2DEC('table for research'!D$1))*2,2)</f>
        <v>00</v>
      </c>
      <c r="E134" t="str">
        <f>MID('paste from garc here'!$C$1,1+(('table for research'!$B134-1)*36+HEX2DEC('table for research'!E$1))*2,2)</f>
        <v>00</v>
      </c>
      <c r="F134" t="str">
        <f>MID('paste from garc here'!$C$1,1+(('table for research'!$B134-1)*36+HEX2DEC('table for research'!F$1))*2,2)</f>
        <v>00</v>
      </c>
      <c r="G134" t="str">
        <f>MID('paste from garc here'!$C$1,1+(('table for research'!$B134-1)*36+HEX2DEC('table for research'!G$1))*2,2)</f>
        <v>00</v>
      </c>
      <c r="H134" t="str">
        <f>MID('paste from garc here'!$C$1,1+(('table for research'!$B134-1)*36+HEX2DEC('table for research'!H$1))*2,2)</f>
        <v>00</v>
      </c>
      <c r="I134" t="str">
        <f>MID('paste from garc here'!$C$1,1+(('table for research'!$B134-1)*36+HEX2DEC('table for research'!I$1))*2,2)</f>
        <v>00</v>
      </c>
      <c r="J134" t="str">
        <f>MID('paste from garc here'!$C$1,1+(('table for research'!$B134-1)*36+HEX2DEC('table for research'!J$1))*2,2)</f>
        <v>00</v>
      </c>
      <c r="K134" t="str">
        <f>DEC2HEX(_xlfn.BITAND(HEX2DEC(MID('paste from garc here'!$C$1,1+(('table for research'!$B134-1)*36+HEX2DEC(8))*2,2)),31),2)</f>
        <v>00</v>
      </c>
      <c r="L134" t="str">
        <f>DEC2HEX(_xlfn.BITAND(HEX2DEC(MID('paste from garc here'!$C$1,1+(('table for research'!$B134-1)*36+HEX2DEC(8))*2,2)),32),2)</f>
        <v>00</v>
      </c>
      <c r="M134" t="str">
        <f>DEC2HEX(_xlfn.BITAND(HEX2DEC(MID('paste from garc here'!$C$1,1+(('table for research'!$B134-1)*36+HEX2DEC(8))*2,2)),64),2)</f>
        <v>00</v>
      </c>
      <c r="N134" t="str">
        <f>DEC2HEX(_xlfn.BITRSHIFT(_xlfn.BITAND(HEX2DEC(MID('paste from garc here'!$C$1,1+(('table for research'!$B134-1)*36+HEX2DEC(9))*2,2)&amp;MID('paste from garc here'!$C$1,1+(('table for research'!$B134-1)*36+HEX2DEC(8))*2,2)),1920),7),2)</f>
        <v>00</v>
      </c>
      <c r="O134" t="str">
        <f>DEC2HEX(_xlfn.BITRSHIFT(HEX2DEC(MID('paste from garc here'!$C$1,1+(('table for research'!$B134-1)*36+HEX2DEC(9))*2,2)&amp;MID('paste from garc here'!$C$1,1+(('table for research'!$B134-1)*36+HEX2DEC(8))*2,2)),11),2)</f>
        <v>00</v>
      </c>
      <c r="P134" t="str">
        <f>MID('paste from garc here'!$C$1,1+(('table for research'!$B134-1)*36+HEX2DEC('table for research'!P$1))*2,2)</f>
        <v>00</v>
      </c>
      <c r="Q134" t="str">
        <f>MID('paste from garc here'!$C$1,1+(('table for research'!$B134-1)*36+HEX2DEC('table for research'!Q$1))*2,2)</f>
        <v>00</v>
      </c>
      <c r="R134" t="str">
        <f>MID('paste from garc here'!$C$1,1+(('table for research'!$B134-1)*36+HEX2DEC('table for research'!R$1))*2,2)</f>
        <v>00</v>
      </c>
      <c r="S134" t="str">
        <f>MID('paste from garc here'!$C$1,1+(('table for research'!$B134-1)*36+HEX2DEC('table for research'!S$1))*2,2)</f>
        <v>02</v>
      </c>
      <c r="T134" t="str">
        <f>MID('paste from garc here'!$C$1,1+(('table for research'!$B134-1)*36+HEX2DEC('table for research'!T$1))*2,2)</f>
        <v>00</v>
      </c>
      <c r="U134" t="str">
        <f>MID('paste from garc here'!$C$1,1+(('table for research'!$B134-1)*36+HEX2DEC('table for research'!U$1))*2,2)</f>
        <v>00</v>
      </c>
      <c r="V134" t="str">
        <f>MID('paste from garc here'!$C$1,1+(('table for research'!$B134-1)*36+HEX2DEC('table for research'!V$1))*2,2)</f>
        <v>00</v>
      </c>
      <c r="W134" t="str">
        <f>MID('paste from garc here'!$C$1,1+(('table for research'!$B134-1)*36+HEX2DEC('table for research'!W$1))*2,2)</f>
        <v>00</v>
      </c>
      <c r="X134" t="str">
        <f>MID('paste from garc here'!$C$1,1+(('table for research'!$B134-1)*36+HEX2DEC('table for research'!X$1))*2,2)</f>
        <v>00</v>
      </c>
      <c r="Y134" t="str">
        <f>MID('paste from garc here'!$C$1,1+(('table for research'!$B134-1)*36+HEX2DEC('table for research'!Y$1))*2,2)</f>
        <v>00</v>
      </c>
      <c r="Z134" t="str">
        <f>MID('paste from garc here'!$C$1,1+(('table for research'!$B134-1)*36+HEX2DEC('table for research'!Z$1))*2,2)</f>
        <v>00</v>
      </c>
      <c r="AA134" t="str">
        <f>MID('paste from garc here'!$C$1,1+(('table for research'!$B134-1)*36+HEX2DEC('table for research'!AA$1))*2,2)</f>
        <v>00</v>
      </c>
      <c r="AB134" t="str">
        <f>MID('paste from garc here'!$C$1,1+(('table for research'!$B134-1)*36+HEX2DEC('table for research'!AB$1))*2,2)</f>
        <v>00</v>
      </c>
      <c r="AC134" t="str">
        <f>MID('paste from garc here'!$C$1,1+(('table for research'!$B134-1)*36+HEX2DEC('table for research'!AC$1))*2,2)</f>
        <v>00</v>
      </c>
      <c r="AD134" t="str">
        <f>MID('paste from garc here'!$C$1,1+(('table for research'!$B134-1)*36+HEX2DEC('table for research'!AD$1))*2,2)</f>
        <v>00</v>
      </c>
      <c r="AE134" t="str">
        <f>MID('paste from garc here'!$C$1,1+(('table for research'!$B134-1)*36+HEX2DEC('table for research'!AE$1))*2,2)</f>
        <v>00</v>
      </c>
      <c r="AF134" t="str">
        <f>MID('paste from garc here'!$C$1,1+(('table for research'!$B134-1)*36+HEX2DEC('table for research'!AF$1))*2,2)</f>
        <v>00</v>
      </c>
      <c r="AG134" t="str">
        <f>MID('paste from garc here'!$C$1,1+(('table for research'!$B134-1)*36+HEX2DEC('table for research'!AG$1))*2,2)</f>
        <v>00</v>
      </c>
      <c r="AH134" t="str">
        <f>MID('paste from garc here'!$C$1,1+(('table for research'!$B134-1)*36+HEX2DEC('table for research'!AH$1))*2,2)</f>
        <v>00</v>
      </c>
      <c r="AI134" t="str">
        <f>MID('paste from garc here'!$C$1,1+(('table for research'!$B134-1)*36+HEX2DEC('table for research'!AI$1))*2,2)</f>
        <v>00</v>
      </c>
      <c r="AJ134" t="str">
        <f>MID('paste from garc here'!$C$1,1+(('table for research'!$B134-1)*36+HEX2DEC('table for research'!AJ$1))*2,2)</f>
        <v>00</v>
      </c>
      <c r="AK134" t="str">
        <f>MID('paste from garc here'!$C$1,1+(('table for research'!$B134-1)*36+HEX2DEC('table for research'!AK$1))*2,2)</f>
        <v>00</v>
      </c>
      <c r="AL134" t="str">
        <f>MID('paste from garc here'!$C$1,1+(('table for research'!$B134-1)*36+HEX2DEC('table for research'!AL$1))*2,2)</f>
        <v>00</v>
      </c>
      <c r="AM134" t="str">
        <f>MID('paste from garc here'!$C$1,1+(('table for research'!$B134-1)*36+HEX2DEC('table for research'!AM$1))*2,2)</f>
        <v>00</v>
      </c>
      <c r="AN134" t="str">
        <f>MID('paste from garc here'!$C$1,1+(('table for research'!$B134-1)*36+HEX2DEC('table for research'!AN$1))*2,2)</f>
        <v>00</v>
      </c>
      <c r="AO134" t="str">
        <f>MID('paste from garc here'!$C$1,1+(('table for research'!$B134-1)*36+HEX2DEC('table for research'!AO$1))*2,2)</f>
        <v>00</v>
      </c>
    </row>
    <row r="135" spans="1:41" x14ac:dyDescent="0.4">
      <c r="A135" t="s">
        <v>138</v>
      </c>
      <c r="B135">
        <f>B134+1</f>
        <v>133</v>
      </c>
      <c r="C135" t="str">
        <f>MID('paste from garc here'!$C$1,1+(('table for research'!$B135-1)*36+HEX2DEC('table for research'!C$1))*2,2)</f>
        <v>00</v>
      </c>
      <c r="D135" t="str">
        <f>MID('paste from garc here'!$C$1,1+(('table for research'!$B135-1)*36+HEX2DEC('table for research'!D$1))*2,2)</f>
        <v>00</v>
      </c>
      <c r="E135" t="str">
        <f>MID('paste from garc here'!$C$1,1+(('table for research'!$B135-1)*36+HEX2DEC('table for research'!E$1))*2,2)</f>
        <v>00</v>
      </c>
      <c r="F135" t="str">
        <f>MID('paste from garc here'!$C$1,1+(('table for research'!$B135-1)*36+HEX2DEC('table for research'!F$1))*2,2)</f>
        <v>00</v>
      </c>
      <c r="G135" t="str">
        <f>MID('paste from garc here'!$C$1,1+(('table for research'!$B135-1)*36+HEX2DEC('table for research'!G$1))*2,2)</f>
        <v>00</v>
      </c>
      <c r="H135" t="str">
        <f>MID('paste from garc here'!$C$1,1+(('table for research'!$B135-1)*36+HEX2DEC('table for research'!H$1))*2,2)</f>
        <v>00</v>
      </c>
      <c r="I135" t="str">
        <f>MID('paste from garc here'!$C$1,1+(('table for research'!$B135-1)*36+HEX2DEC('table for research'!I$1))*2,2)</f>
        <v>00</v>
      </c>
      <c r="J135" t="str">
        <f>MID('paste from garc here'!$C$1,1+(('table for research'!$B135-1)*36+HEX2DEC('table for research'!J$1))*2,2)</f>
        <v>00</v>
      </c>
      <c r="K135" t="str">
        <f>DEC2HEX(_xlfn.BITAND(HEX2DEC(MID('paste from garc here'!$C$1,1+(('table for research'!$B135-1)*36+HEX2DEC(8))*2,2)),31),2)</f>
        <v>00</v>
      </c>
      <c r="L135" t="str">
        <f>DEC2HEX(_xlfn.BITAND(HEX2DEC(MID('paste from garc here'!$C$1,1+(('table for research'!$B135-1)*36+HEX2DEC(8))*2,2)),32),2)</f>
        <v>00</v>
      </c>
      <c r="M135" t="str">
        <f>DEC2HEX(_xlfn.BITAND(HEX2DEC(MID('paste from garc here'!$C$1,1+(('table for research'!$B135-1)*36+HEX2DEC(8))*2,2)),64),2)</f>
        <v>00</v>
      </c>
      <c r="N135" t="str">
        <f>DEC2HEX(_xlfn.BITRSHIFT(_xlfn.BITAND(HEX2DEC(MID('paste from garc here'!$C$1,1+(('table for research'!$B135-1)*36+HEX2DEC(9))*2,2)&amp;MID('paste from garc here'!$C$1,1+(('table for research'!$B135-1)*36+HEX2DEC(8))*2,2)),1920),7),2)</f>
        <v>00</v>
      </c>
      <c r="O135" t="str">
        <f>DEC2HEX(_xlfn.BITRSHIFT(HEX2DEC(MID('paste from garc here'!$C$1,1+(('table for research'!$B135-1)*36+HEX2DEC(9))*2,2)&amp;MID('paste from garc here'!$C$1,1+(('table for research'!$B135-1)*36+HEX2DEC(8))*2,2)),11),2)</f>
        <v>00</v>
      </c>
      <c r="P135" t="str">
        <f>MID('paste from garc here'!$C$1,1+(('table for research'!$B135-1)*36+HEX2DEC('table for research'!P$1))*2,2)</f>
        <v>00</v>
      </c>
      <c r="Q135" t="str">
        <f>MID('paste from garc here'!$C$1,1+(('table for research'!$B135-1)*36+HEX2DEC('table for research'!Q$1))*2,2)</f>
        <v>00</v>
      </c>
      <c r="R135" t="str">
        <f>MID('paste from garc here'!$C$1,1+(('table for research'!$B135-1)*36+HEX2DEC('table for research'!R$1))*2,2)</f>
        <v>00</v>
      </c>
      <c r="S135" t="str">
        <f>MID('paste from garc here'!$C$1,1+(('table for research'!$B135-1)*36+HEX2DEC('table for research'!S$1))*2,2)</f>
        <v>02</v>
      </c>
      <c r="T135" t="str">
        <f>MID('paste from garc here'!$C$1,1+(('table for research'!$B135-1)*36+HEX2DEC('table for research'!T$1))*2,2)</f>
        <v>00</v>
      </c>
      <c r="U135" t="str">
        <f>MID('paste from garc here'!$C$1,1+(('table for research'!$B135-1)*36+HEX2DEC('table for research'!U$1))*2,2)</f>
        <v>00</v>
      </c>
      <c r="V135" t="str">
        <f>MID('paste from garc here'!$C$1,1+(('table for research'!$B135-1)*36+HEX2DEC('table for research'!V$1))*2,2)</f>
        <v>00</v>
      </c>
      <c r="W135" t="str">
        <f>MID('paste from garc here'!$C$1,1+(('table for research'!$B135-1)*36+HEX2DEC('table for research'!W$1))*2,2)</f>
        <v>00</v>
      </c>
      <c r="X135" t="str">
        <f>MID('paste from garc here'!$C$1,1+(('table for research'!$B135-1)*36+HEX2DEC('table for research'!X$1))*2,2)</f>
        <v>00</v>
      </c>
      <c r="Y135" t="str">
        <f>MID('paste from garc here'!$C$1,1+(('table for research'!$B135-1)*36+HEX2DEC('table for research'!Y$1))*2,2)</f>
        <v>00</v>
      </c>
      <c r="Z135" t="str">
        <f>MID('paste from garc here'!$C$1,1+(('table for research'!$B135-1)*36+HEX2DEC('table for research'!Z$1))*2,2)</f>
        <v>00</v>
      </c>
      <c r="AA135" t="str">
        <f>MID('paste from garc here'!$C$1,1+(('table for research'!$B135-1)*36+HEX2DEC('table for research'!AA$1))*2,2)</f>
        <v>00</v>
      </c>
      <c r="AB135" t="str">
        <f>MID('paste from garc here'!$C$1,1+(('table for research'!$B135-1)*36+HEX2DEC('table for research'!AB$1))*2,2)</f>
        <v>00</v>
      </c>
      <c r="AC135" t="str">
        <f>MID('paste from garc here'!$C$1,1+(('table for research'!$B135-1)*36+HEX2DEC('table for research'!AC$1))*2,2)</f>
        <v>00</v>
      </c>
      <c r="AD135" t="str">
        <f>MID('paste from garc here'!$C$1,1+(('table for research'!$B135-1)*36+HEX2DEC('table for research'!AD$1))*2,2)</f>
        <v>00</v>
      </c>
      <c r="AE135" t="str">
        <f>MID('paste from garc here'!$C$1,1+(('table for research'!$B135-1)*36+HEX2DEC('table for research'!AE$1))*2,2)</f>
        <v>00</v>
      </c>
      <c r="AF135" t="str">
        <f>MID('paste from garc here'!$C$1,1+(('table for research'!$B135-1)*36+HEX2DEC('table for research'!AF$1))*2,2)</f>
        <v>00</v>
      </c>
      <c r="AG135" t="str">
        <f>MID('paste from garc here'!$C$1,1+(('table for research'!$B135-1)*36+HEX2DEC('table for research'!AG$1))*2,2)</f>
        <v>00</v>
      </c>
      <c r="AH135" t="str">
        <f>MID('paste from garc here'!$C$1,1+(('table for research'!$B135-1)*36+HEX2DEC('table for research'!AH$1))*2,2)</f>
        <v>00</v>
      </c>
      <c r="AI135" t="str">
        <f>MID('paste from garc here'!$C$1,1+(('table for research'!$B135-1)*36+HEX2DEC('table for research'!AI$1))*2,2)</f>
        <v>00</v>
      </c>
      <c r="AJ135" t="str">
        <f>MID('paste from garc here'!$C$1,1+(('table for research'!$B135-1)*36+HEX2DEC('table for research'!AJ$1))*2,2)</f>
        <v>00</v>
      </c>
      <c r="AK135" t="str">
        <f>MID('paste from garc here'!$C$1,1+(('table for research'!$B135-1)*36+HEX2DEC('table for research'!AK$1))*2,2)</f>
        <v>00</v>
      </c>
      <c r="AL135" t="str">
        <f>MID('paste from garc here'!$C$1,1+(('table for research'!$B135-1)*36+HEX2DEC('table for research'!AL$1))*2,2)</f>
        <v>00</v>
      </c>
      <c r="AM135" t="str">
        <f>MID('paste from garc here'!$C$1,1+(('table for research'!$B135-1)*36+HEX2DEC('table for research'!AM$1))*2,2)</f>
        <v>00</v>
      </c>
      <c r="AN135" t="str">
        <f>MID('paste from garc here'!$C$1,1+(('table for research'!$B135-1)*36+HEX2DEC('table for research'!AN$1))*2,2)</f>
        <v>00</v>
      </c>
      <c r="AO135" t="str">
        <f>MID('paste from garc here'!$C$1,1+(('table for research'!$B135-1)*36+HEX2DEC('table for research'!AO$1))*2,2)</f>
        <v>00</v>
      </c>
    </row>
    <row r="136" spans="1:41" x14ac:dyDescent="0.4">
      <c r="A136" t="s">
        <v>139</v>
      </c>
      <c r="B136">
        <f>B135+1</f>
        <v>134</v>
      </c>
      <c r="C136" t="str">
        <f>MID('paste from garc here'!$C$1,1+(('table for research'!$B136-1)*36+HEX2DEC('table for research'!C$1))*2,2)</f>
        <v>2C</v>
      </c>
      <c r="D136" t="str">
        <f>MID('paste from garc here'!$C$1,1+(('table for research'!$B136-1)*36+HEX2DEC('table for research'!D$1))*2,2)</f>
        <v>01</v>
      </c>
      <c r="E136" t="str">
        <f>MID('paste from garc here'!$C$1,1+(('table for research'!$B136-1)*36+HEX2DEC('table for research'!E$1))*2,2)</f>
        <v>00</v>
      </c>
      <c r="F136" t="str">
        <f>MID('paste from garc here'!$C$1,1+(('table for research'!$B136-1)*36+HEX2DEC('table for research'!F$1))*2,2)</f>
        <v>00</v>
      </c>
      <c r="G136" t="str">
        <f>MID('paste from garc here'!$C$1,1+(('table for research'!$B136-1)*36+HEX2DEC('table for research'!G$1))*2,2)</f>
        <v>00</v>
      </c>
      <c r="H136" t="str">
        <f>MID('paste from garc here'!$C$1,1+(('table for research'!$B136-1)*36+HEX2DEC('table for research'!H$1))*2,2)</f>
        <v>00</v>
      </c>
      <c r="I136" t="str">
        <f>MID('paste from garc here'!$C$1,1+(('table for research'!$B136-1)*36+HEX2DEC('table for research'!I$1))*2,2)</f>
        <v>1E</v>
      </c>
      <c r="J136" t="str">
        <f>MID('paste from garc here'!$C$1,1+(('table for research'!$B136-1)*36+HEX2DEC('table for research'!J$1))*2,2)</f>
        <v>00</v>
      </c>
      <c r="K136" t="str">
        <f>DEC2HEX(_xlfn.BITAND(HEX2DEC(MID('paste from garc here'!$C$1,1+(('table for research'!$B136-1)*36+HEX2DEC(8))*2,2)),31),2)</f>
        <v>1F</v>
      </c>
      <c r="L136" t="str">
        <f>DEC2HEX(_xlfn.BITAND(HEX2DEC(MID('paste from garc here'!$C$1,1+(('table for research'!$B136-1)*36+HEX2DEC(8))*2,2)),32),2)</f>
        <v>00</v>
      </c>
      <c r="M136" t="str">
        <f>DEC2HEX(_xlfn.BITAND(HEX2DEC(MID('paste from garc here'!$C$1,1+(('table for research'!$B136-1)*36+HEX2DEC(8))*2,2)),64),2)</f>
        <v>00</v>
      </c>
      <c r="N136" t="str">
        <f>DEC2HEX(_xlfn.BITRSHIFT(_xlfn.BITAND(HEX2DEC(MID('paste from garc here'!$C$1,1+(('table for research'!$B136-1)*36+HEX2DEC(9))*2,2)&amp;MID('paste from garc here'!$C$1,1+(('table for research'!$B136-1)*36+HEX2DEC(8))*2,2)),1920),7),2)</f>
        <v>01</v>
      </c>
      <c r="O136" t="str">
        <f>DEC2HEX(_xlfn.BITRSHIFT(HEX2DEC(MID('paste from garc here'!$C$1,1+(('table for research'!$B136-1)*36+HEX2DEC(9))*2,2)&amp;MID('paste from garc here'!$C$1,1+(('table for research'!$B136-1)*36+HEX2DEC(8))*2,2)),11),2)</f>
        <v>04</v>
      </c>
      <c r="P136" t="str">
        <f>MID('paste from garc here'!$C$1,1+(('table for research'!$B136-1)*36+HEX2DEC('table for research'!P$1))*2,2)</f>
        <v>01</v>
      </c>
      <c r="Q136" t="str">
        <f>MID('paste from garc here'!$C$1,1+(('table for research'!$B136-1)*36+HEX2DEC('table for research'!Q$1))*2,2)</f>
        <v>02</v>
      </c>
      <c r="R136" t="str">
        <f>MID('paste from garc here'!$C$1,1+(('table for research'!$B136-1)*36+HEX2DEC('table for research'!R$1))*2,2)</f>
        <v>01</v>
      </c>
      <c r="S136" t="str">
        <f>MID('paste from garc here'!$C$1,1+(('table for research'!$B136-1)*36+HEX2DEC('table for research'!S$1))*2,2)</f>
        <v>00</v>
      </c>
      <c r="T136" t="str">
        <f>MID('paste from garc here'!$C$1,1+(('table for research'!$B136-1)*36+HEX2DEC('table for research'!T$1))*2,2)</f>
        <v>00</v>
      </c>
      <c r="U136" t="str">
        <f>MID('paste from garc here'!$C$1,1+(('table for research'!$B136-1)*36+HEX2DEC('table for research'!U$1))*2,2)</f>
        <v>08</v>
      </c>
      <c r="V136" t="str">
        <f>MID('paste from garc here'!$C$1,1+(('table for research'!$B136-1)*36+HEX2DEC('table for research'!V$1))*2,2)</f>
        <v>00</v>
      </c>
      <c r="W136" t="str">
        <f>MID('paste from garc here'!$C$1,1+(('table for research'!$B136-1)*36+HEX2DEC('table for research'!W$1))*2,2)</f>
        <v>00</v>
      </c>
      <c r="X136" t="str">
        <f>MID('paste from garc here'!$C$1,1+(('table for research'!$B136-1)*36+HEX2DEC('table for research'!X$1))*2,2)</f>
        <v>00</v>
      </c>
      <c r="Y136" t="str">
        <f>MID('paste from garc here'!$C$1,1+(('table for research'!$B136-1)*36+HEX2DEC('table for research'!Y$1))*2,2)</f>
        <v>00</v>
      </c>
      <c r="Z136" t="str">
        <f>MID('paste from garc here'!$C$1,1+(('table for research'!$B136-1)*36+HEX2DEC('table for research'!Z$1))*2,2)</f>
        <v>00</v>
      </c>
      <c r="AA136" t="str">
        <f>MID('paste from garc here'!$C$1,1+(('table for research'!$B136-1)*36+HEX2DEC('table for research'!AA$1))*2,2)</f>
        <v>04</v>
      </c>
      <c r="AB136" t="str">
        <f>MID('paste from garc here'!$C$1,1+(('table for research'!$B136-1)*36+HEX2DEC('table for research'!AB$1))*2,2)</f>
        <v>1C</v>
      </c>
      <c r="AC136" t="str">
        <f>MID('paste from garc here'!$C$1,1+(('table for research'!$B136-1)*36+HEX2DEC('table for research'!AC$1))*2,2)</f>
        <v>00</v>
      </c>
      <c r="AD136" t="str">
        <f>MID('paste from garc here'!$C$1,1+(('table for research'!$B136-1)*36+HEX2DEC('table for research'!AD$1))*2,2)</f>
        <v>00</v>
      </c>
      <c r="AE136" t="str">
        <f>MID('paste from garc here'!$C$1,1+(('table for research'!$B136-1)*36+HEX2DEC('table for research'!AE$1))*2,2)</f>
        <v>00</v>
      </c>
      <c r="AF136" t="str">
        <f>MID('paste from garc here'!$C$1,1+(('table for research'!$B136-1)*36+HEX2DEC('table for research'!AF$1))*2,2)</f>
        <v>00</v>
      </c>
      <c r="AG136" t="str">
        <f>MID('paste from garc here'!$C$1,1+(('table for research'!$B136-1)*36+HEX2DEC('table for research'!AG$1))*2,2)</f>
        <v>00</v>
      </c>
      <c r="AH136" t="str">
        <f>MID('paste from garc here'!$C$1,1+(('table for research'!$B136-1)*36+HEX2DEC('table for research'!AH$1))*2,2)</f>
        <v>00</v>
      </c>
      <c r="AI136" t="str">
        <f>MID('paste from garc here'!$C$1,1+(('table for research'!$B136-1)*36+HEX2DEC('table for research'!AI$1))*2,2)</f>
        <v>14</v>
      </c>
      <c r="AJ136" t="str">
        <f>MID('paste from garc here'!$C$1,1+(('table for research'!$B136-1)*36+HEX2DEC('table for research'!AJ$1))*2,2)</f>
        <v>00</v>
      </c>
      <c r="AK136" t="str">
        <f>MID('paste from garc here'!$C$1,1+(('table for research'!$B136-1)*36+HEX2DEC('table for research'!AK$1))*2,2)</f>
        <v>03</v>
      </c>
      <c r="AL136" t="str">
        <f>MID('paste from garc here'!$C$1,1+(('table for research'!$B136-1)*36+HEX2DEC('table for research'!AL$1))*2,2)</f>
        <v>03</v>
      </c>
      <c r="AM136" t="str">
        <f>MID('paste from garc here'!$C$1,1+(('table for research'!$B136-1)*36+HEX2DEC('table for research'!AM$1))*2,2)</f>
        <v>03</v>
      </c>
      <c r="AN136" t="str">
        <f>MID('paste from garc here'!$C$1,1+(('table for research'!$B136-1)*36+HEX2DEC('table for research'!AN$1))*2,2)</f>
        <v>00</v>
      </c>
      <c r="AO136" t="str">
        <f>MID('paste from garc here'!$C$1,1+(('table for research'!$B136-1)*36+HEX2DEC('table for research'!AO$1))*2,2)</f>
        <v>00</v>
      </c>
    </row>
    <row r="137" spans="1:41" x14ac:dyDescent="0.4">
      <c r="A137" t="s">
        <v>140</v>
      </c>
      <c r="B137">
        <f>B136+1</f>
        <v>135</v>
      </c>
      <c r="C137" t="str">
        <f>MID('paste from garc here'!$C$1,1+(('table for research'!$B137-1)*36+HEX2DEC('table for research'!C$1))*2,2)</f>
        <v>00</v>
      </c>
      <c r="D137" t="str">
        <f>MID('paste from garc here'!$C$1,1+(('table for research'!$B137-1)*36+HEX2DEC('table for research'!D$1))*2,2)</f>
        <v>00</v>
      </c>
      <c r="E137" t="str">
        <f>MID('paste from garc here'!$C$1,1+(('table for research'!$B137-1)*36+HEX2DEC('table for research'!E$1))*2,2)</f>
        <v>03</v>
      </c>
      <c r="F137" t="str">
        <f>MID('paste from garc here'!$C$1,1+(('table for research'!$B137-1)*36+HEX2DEC('table for research'!F$1))*2,2)</f>
        <v>32</v>
      </c>
      <c r="G137" t="str">
        <f>MID('paste from garc here'!$C$1,1+(('table for research'!$B137-1)*36+HEX2DEC('table for research'!G$1))*2,2)</f>
        <v>00</v>
      </c>
      <c r="H137" t="str">
        <f>MID('paste from garc here'!$C$1,1+(('table for research'!$B137-1)*36+HEX2DEC('table for research'!H$1))*2,2)</f>
        <v>00</v>
      </c>
      <c r="I137" t="str">
        <f>MID('paste from garc here'!$C$1,1+(('table for research'!$B137-1)*36+HEX2DEC('table for research'!I$1))*2,2)</f>
        <v>3C</v>
      </c>
      <c r="J137" t="str">
        <f>MID('paste from garc here'!$C$1,1+(('table for research'!$B137-1)*36+HEX2DEC('table for research'!J$1))*2,2)</f>
        <v>00</v>
      </c>
      <c r="K137" t="str">
        <f>DEC2HEX(_xlfn.BITAND(HEX2DEC(MID('paste from garc here'!$C$1,1+(('table for research'!$B137-1)*36+HEX2DEC(8))*2,2)),31),2)</f>
        <v>1F</v>
      </c>
      <c r="L137" t="str">
        <f>DEC2HEX(_xlfn.BITAND(HEX2DEC(MID('paste from garc here'!$C$1,1+(('table for research'!$B137-1)*36+HEX2DEC(8))*2,2)),32),2)</f>
        <v>00</v>
      </c>
      <c r="M137" t="str">
        <f>DEC2HEX(_xlfn.BITAND(HEX2DEC(MID('paste from garc here'!$C$1,1+(('table for research'!$B137-1)*36+HEX2DEC(8))*2,2)),64),2)</f>
        <v>00</v>
      </c>
      <c r="N137" t="str">
        <f>DEC2HEX(_xlfn.BITRSHIFT(_xlfn.BITAND(HEX2DEC(MID('paste from garc here'!$C$1,1+(('table for research'!$B137-1)*36+HEX2DEC(9))*2,2)&amp;MID('paste from garc here'!$C$1,1+(('table for research'!$B137-1)*36+HEX2DEC(8))*2,2)),1920),7),2)</f>
        <v>00</v>
      </c>
      <c r="O137" t="str">
        <f>DEC2HEX(_xlfn.BITRSHIFT(HEX2DEC(MID('paste from garc here'!$C$1,1+(('table for research'!$B137-1)*36+HEX2DEC(9))*2,2)&amp;MID('paste from garc here'!$C$1,1+(('table for research'!$B137-1)*36+HEX2DEC(8))*2,2)),11),2)</f>
        <v>00</v>
      </c>
      <c r="P137" t="str">
        <f>MID('paste from garc here'!$C$1,1+(('table for research'!$B137-1)*36+HEX2DEC('table for research'!P$1))*2,2)</f>
        <v>00</v>
      </c>
      <c r="Q137" t="str">
        <f>MID('paste from garc here'!$C$1,1+(('table for research'!$B137-1)*36+HEX2DEC('table for research'!Q$1))*2,2)</f>
        <v>00</v>
      </c>
      <c r="R137" t="str">
        <f>MID('paste from garc here'!$C$1,1+(('table for research'!$B137-1)*36+HEX2DEC('table for research'!R$1))*2,2)</f>
        <v>00</v>
      </c>
      <c r="S137" t="str">
        <f>MID('paste from garc here'!$C$1,1+(('table for research'!$B137-1)*36+HEX2DEC('table for research'!S$1))*2,2)</f>
        <v>01</v>
      </c>
      <c r="T137" t="str">
        <f>MID('paste from garc here'!$C$1,1+(('table for research'!$B137-1)*36+HEX2DEC('table for research'!T$1))*2,2)</f>
        <v>00</v>
      </c>
      <c r="U137" t="str">
        <f>MID('paste from garc here'!$C$1,1+(('table for research'!$B137-1)*36+HEX2DEC('table for research'!U$1))*2,2)</f>
        <v>42</v>
      </c>
      <c r="V137" t="str">
        <f>MID('paste from garc here'!$C$1,1+(('table for research'!$B137-1)*36+HEX2DEC('table for research'!V$1))*2,2)</f>
        <v>00</v>
      </c>
      <c r="W137" t="str">
        <f>MID('paste from garc here'!$C$1,1+(('table for research'!$B137-1)*36+HEX2DEC('table for research'!W$1))*2,2)</f>
        <v>00</v>
      </c>
      <c r="X137" t="str">
        <f>MID('paste from garc here'!$C$1,1+(('table for research'!$B137-1)*36+HEX2DEC('table for research'!X$1))*2,2)</f>
        <v>00</v>
      </c>
      <c r="Y137" t="str">
        <f>MID('paste from garc here'!$C$1,1+(('table for research'!$B137-1)*36+HEX2DEC('table for research'!Y$1))*2,2)</f>
        <v>00</v>
      </c>
      <c r="Z137" t="str">
        <f>MID('paste from garc here'!$C$1,1+(('table for research'!$B137-1)*36+HEX2DEC('table for research'!Z$1))*2,2)</f>
        <v>00</v>
      </c>
      <c r="AA137" t="str">
        <f>MID('paste from garc here'!$C$1,1+(('table for research'!$B137-1)*36+HEX2DEC('table for research'!AA$1))*2,2)</f>
        <v>00</v>
      </c>
      <c r="AB137" t="str">
        <f>MID('paste from garc here'!$C$1,1+(('table for research'!$B137-1)*36+HEX2DEC('table for research'!AB$1))*2,2)</f>
        <v>00</v>
      </c>
      <c r="AC137" t="str">
        <f>MID('paste from garc here'!$C$1,1+(('table for research'!$B137-1)*36+HEX2DEC('table for research'!AC$1))*2,2)</f>
        <v>00</v>
      </c>
      <c r="AD137" t="str">
        <f>MID('paste from garc here'!$C$1,1+(('table for research'!$B137-1)*36+HEX2DEC('table for research'!AD$1))*2,2)</f>
        <v>00</v>
      </c>
      <c r="AE137" t="str">
        <f>MID('paste from garc here'!$C$1,1+(('table for research'!$B137-1)*36+HEX2DEC('table for research'!AE$1))*2,2)</f>
        <v>00</v>
      </c>
      <c r="AF137" t="str">
        <f>MID('paste from garc here'!$C$1,1+(('table for research'!$B137-1)*36+HEX2DEC('table for research'!AF$1))*2,2)</f>
        <v>00</v>
      </c>
      <c r="AG137" t="str">
        <f>MID('paste from garc here'!$C$1,1+(('table for research'!$B137-1)*36+HEX2DEC('table for research'!AG$1))*2,2)</f>
        <v>00</v>
      </c>
      <c r="AH137" t="str">
        <f>MID('paste from garc here'!$C$1,1+(('table for research'!$B137-1)*36+HEX2DEC('table for research'!AH$1))*2,2)</f>
        <v>00</v>
      </c>
      <c r="AI137" t="str">
        <f>MID('paste from garc here'!$C$1,1+(('table for research'!$B137-1)*36+HEX2DEC('table for research'!AI$1))*2,2)</f>
        <v>00</v>
      </c>
      <c r="AJ137" t="str">
        <f>MID('paste from garc here'!$C$1,1+(('table for research'!$B137-1)*36+HEX2DEC('table for research'!AJ$1))*2,2)</f>
        <v>00</v>
      </c>
      <c r="AK137" t="str">
        <f>MID('paste from garc here'!$C$1,1+(('table for research'!$B137-1)*36+HEX2DEC('table for research'!AK$1))*2,2)</f>
        <v>00</v>
      </c>
      <c r="AL137" t="str">
        <f>MID('paste from garc here'!$C$1,1+(('table for research'!$B137-1)*36+HEX2DEC('table for research'!AL$1))*2,2)</f>
        <v>00</v>
      </c>
      <c r="AM137" t="str">
        <f>MID('paste from garc here'!$C$1,1+(('table for research'!$B137-1)*36+HEX2DEC('table for research'!AM$1))*2,2)</f>
        <v>00</v>
      </c>
      <c r="AN137" t="str">
        <f>MID('paste from garc here'!$C$1,1+(('table for research'!$B137-1)*36+HEX2DEC('table for research'!AN$1))*2,2)</f>
        <v>00</v>
      </c>
      <c r="AO137" t="str">
        <f>MID('paste from garc here'!$C$1,1+(('table for research'!$B137-1)*36+HEX2DEC('table for research'!AO$1))*2,2)</f>
        <v>00</v>
      </c>
    </row>
    <row r="138" spans="1:41" x14ac:dyDescent="0.4">
      <c r="A138" t="s">
        <v>141</v>
      </c>
      <c r="B138">
        <f>B137+1</f>
        <v>136</v>
      </c>
      <c r="C138" t="str">
        <f>MID('paste from garc here'!$C$1,1+(('table for research'!$B138-1)*36+HEX2DEC('table for research'!C$1))*2,2)</f>
        <v>00</v>
      </c>
      <c r="D138" t="str">
        <f>MID('paste from garc here'!$C$1,1+(('table for research'!$B138-1)*36+HEX2DEC('table for research'!D$1))*2,2)</f>
        <v>00</v>
      </c>
      <c r="E138" t="str">
        <f>MID('paste from garc here'!$C$1,1+(('table for research'!$B138-1)*36+HEX2DEC('table for research'!E$1))*2,2)</f>
        <v>04</v>
      </c>
      <c r="F138" t="str">
        <f>MID('paste from garc here'!$C$1,1+(('table for research'!$B138-1)*36+HEX2DEC('table for research'!F$1))*2,2)</f>
        <v>32</v>
      </c>
      <c r="G138" t="str">
        <f>MID('paste from garc here'!$C$1,1+(('table for research'!$B138-1)*36+HEX2DEC('table for research'!G$1))*2,2)</f>
        <v>00</v>
      </c>
      <c r="H138" t="str">
        <f>MID('paste from garc here'!$C$1,1+(('table for research'!$B138-1)*36+HEX2DEC('table for research'!H$1))*2,2)</f>
        <v>00</v>
      </c>
      <c r="I138" t="str">
        <f>MID('paste from garc here'!$C$1,1+(('table for research'!$B138-1)*36+HEX2DEC('table for research'!I$1))*2,2)</f>
        <v>3C</v>
      </c>
      <c r="J138" t="str">
        <f>MID('paste from garc here'!$C$1,1+(('table for research'!$B138-1)*36+HEX2DEC('table for research'!J$1))*2,2)</f>
        <v>00</v>
      </c>
      <c r="K138" t="str">
        <f>DEC2HEX(_xlfn.BITAND(HEX2DEC(MID('paste from garc here'!$C$1,1+(('table for research'!$B138-1)*36+HEX2DEC(8))*2,2)),31),2)</f>
        <v>1F</v>
      </c>
      <c r="L138" t="str">
        <f>DEC2HEX(_xlfn.BITAND(HEX2DEC(MID('paste from garc here'!$C$1,1+(('table for research'!$B138-1)*36+HEX2DEC(8))*2,2)),32),2)</f>
        <v>00</v>
      </c>
      <c r="M138" t="str">
        <f>DEC2HEX(_xlfn.BITAND(HEX2DEC(MID('paste from garc here'!$C$1,1+(('table for research'!$B138-1)*36+HEX2DEC(8))*2,2)),64),2)</f>
        <v>00</v>
      </c>
      <c r="N138" t="str">
        <f>DEC2HEX(_xlfn.BITRSHIFT(_xlfn.BITAND(HEX2DEC(MID('paste from garc here'!$C$1,1+(('table for research'!$B138-1)*36+HEX2DEC(9))*2,2)&amp;MID('paste from garc here'!$C$1,1+(('table for research'!$B138-1)*36+HEX2DEC(8))*2,2)),1920),7),2)</f>
        <v>00</v>
      </c>
      <c r="O138" t="str">
        <f>DEC2HEX(_xlfn.BITRSHIFT(HEX2DEC(MID('paste from garc here'!$C$1,1+(('table for research'!$B138-1)*36+HEX2DEC(9))*2,2)&amp;MID('paste from garc here'!$C$1,1+(('table for research'!$B138-1)*36+HEX2DEC(8))*2,2)),11),2)</f>
        <v>00</v>
      </c>
      <c r="P138" t="str">
        <f>MID('paste from garc here'!$C$1,1+(('table for research'!$B138-1)*36+HEX2DEC('table for research'!P$1))*2,2)</f>
        <v>00</v>
      </c>
      <c r="Q138" t="str">
        <f>MID('paste from garc here'!$C$1,1+(('table for research'!$B138-1)*36+HEX2DEC('table for research'!Q$1))*2,2)</f>
        <v>00</v>
      </c>
      <c r="R138" t="str">
        <f>MID('paste from garc here'!$C$1,1+(('table for research'!$B138-1)*36+HEX2DEC('table for research'!R$1))*2,2)</f>
        <v>00</v>
      </c>
      <c r="S138" t="str">
        <f>MID('paste from garc here'!$C$1,1+(('table for research'!$B138-1)*36+HEX2DEC('table for research'!S$1))*2,2)</f>
        <v>01</v>
      </c>
      <c r="T138" t="str">
        <f>MID('paste from garc here'!$C$1,1+(('table for research'!$B138-1)*36+HEX2DEC('table for research'!T$1))*2,2)</f>
        <v>00</v>
      </c>
      <c r="U138" t="str">
        <f>MID('paste from garc here'!$C$1,1+(('table for research'!$B138-1)*36+HEX2DEC('table for research'!U$1))*2,2)</f>
        <v>43</v>
      </c>
      <c r="V138" t="str">
        <f>MID('paste from garc here'!$C$1,1+(('table for research'!$B138-1)*36+HEX2DEC('table for research'!V$1))*2,2)</f>
        <v>00</v>
      </c>
      <c r="W138" t="str">
        <f>MID('paste from garc here'!$C$1,1+(('table for research'!$B138-1)*36+HEX2DEC('table for research'!W$1))*2,2)</f>
        <v>00</v>
      </c>
      <c r="X138" t="str">
        <f>MID('paste from garc here'!$C$1,1+(('table for research'!$B138-1)*36+HEX2DEC('table for research'!X$1))*2,2)</f>
        <v>00</v>
      </c>
      <c r="Y138" t="str">
        <f>MID('paste from garc here'!$C$1,1+(('table for research'!$B138-1)*36+HEX2DEC('table for research'!Y$1))*2,2)</f>
        <v>00</v>
      </c>
      <c r="Z138" t="str">
        <f>MID('paste from garc here'!$C$1,1+(('table for research'!$B138-1)*36+HEX2DEC('table for research'!Z$1))*2,2)</f>
        <v>00</v>
      </c>
      <c r="AA138" t="str">
        <f>MID('paste from garc here'!$C$1,1+(('table for research'!$B138-1)*36+HEX2DEC('table for research'!AA$1))*2,2)</f>
        <v>00</v>
      </c>
      <c r="AB138" t="str">
        <f>MID('paste from garc here'!$C$1,1+(('table for research'!$B138-1)*36+HEX2DEC('table for research'!AB$1))*2,2)</f>
        <v>00</v>
      </c>
      <c r="AC138" t="str">
        <f>MID('paste from garc here'!$C$1,1+(('table for research'!$B138-1)*36+HEX2DEC('table for research'!AC$1))*2,2)</f>
        <v>00</v>
      </c>
      <c r="AD138" t="str">
        <f>MID('paste from garc here'!$C$1,1+(('table for research'!$B138-1)*36+HEX2DEC('table for research'!AD$1))*2,2)</f>
        <v>00</v>
      </c>
      <c r="AE138" t="str">
        <f>MID('paste from garc here'!$C$1,1+(('table for research'!$B138-1)*36+HEX2DEC('table for research'!AE$1))*2,2)</f>
        <v>00</v>
      </c>
      <c r="AF138" t="str">
        <f>MID('paste from garc here'!$C$1,1+(('table for research'!$B138-1)*36+HEX2DEC('table for research'!AF$1))*2,2)</f>
        <v>00</v>
      </c>
      <c r="AG138" t="str">
        <f>MID('paste from garc here'!$C$1,1+(('table for research'!$B138-1)*36+HEX2DEC('table for research'!AG$1))*2,2)</f>
        <v>00</v>
      </c>
      <c r="AH138" t="str">
        <f>MID('paste from garc here'!$C$1,1+(('table for research'!$B138-1)*36+HEX2DEC('table for research'!AH$1))*2,2)</f>
        <v>00</v>
      </c>
      <c r="AI138" t="str">
        <f>MID('paste from garc here'!$C$1,1+(('table for research'!$B138-1)*36+HEX2DEC('table for research'!AI$1))*2,2)</f>
        <v>00</v>
      </c>
      <c r="AJ138" t="str">
        <f>MID('paste from garc here'!$C$1,1+(('table for research'!$B138-1)*36+HEX2DEC('table for research'!AJ$1))*2,2)</f>
        <v>00</v>
      </c>
      <c r="AK138" t="str">
        <f>MID('paste from garc here'!$C$1,1+(('table for research'!$B138-1)*36+HEX2DEC('table for research'!AK$1))*2,2)</f>
        <v>00</v>
      </c>
      <c r="AL138" t="str">
        <f>MID('paste from garc here'!$C$1,1+(('table for research'!$B138-1)*36+HEX2DEC('table for research'!AL$1))*2,2)</f>
        <v>00</v>
      </c>
      <c r="AM138" t="str">
        <f>MID('paste from garc here'!$C$1,1+(('table for research'!$B138-1)*36+HEX2DEC('table for research'!AM$1))*2,2)</f>
        <v>00</v>
      </c>
      <c r="AN138" t="str">
        <f>MID('paste from garc here'!$C$1,1+(('table for research'!$B138-1)*36+HEX2DEC('table for research'!AN$1))*2,2)</f>
        <v>00</v>
      </c>
      <c r="AO138" t="str">
        <f>MID('paste from garc here'!$C$1,1+(('table for research'!$B138-1)*36+HEX2DEC('table for research'!AO$1))*2,2)</f>
        <v>00</v>
      </c>
    </row>
    <row r="139" spans="1:41" x14ac:dyDescent="0.4">
      <c r="A139" t="s">
        <v>142</v>
      </c>
      <c r="B139">
        <f>B138+1</f>
        <v>137</v>
      </c>
      <c r="C139" t="str">
        <f>MID('paste from garc here'!$C$1,1+(('table for research'!$B139-1)*36+HEX2DEC('table for research'!C$1))*2,2)</f>
        <v>05</v>
      </c>
      <c r="D139" t="str">
        <f>MID('paste from garc here'!$C$1,1+(('table for research'!$B139-1)*36+HEX2DEC('table for research'!D$1))*2,2)</f>
        <v>00</v>
      </c>
      <c r="E139" t="str">
        <f>MID('paste from garc here'!$C$1,1+(('table for research'!$B139-1)*36+HEX2DEC('table for research'!E$1))*2,2)</f>
        <v>00</v>
      </c>
      <c r="F139" t="str">
        <f>MID('paste from garc here'!$C$1,1+(('table for research'!$B139-1)*36+HEX2DEC('table for research'!F$1))*2,2)</f>
        <v>00</v>
      </c>
      <c r="G139" t="str">
        <f>MID('paste from garc here'!$C$1,1+(('table for research'!$B139-1)*36+HEX2DEC('table for research'!G$1))*2,2)</f>
        <v>00</v>
      </c>
      <c r="H139" t="str">
        <f>MID('paste from garc here'!$C$1,1+(('table for research'!$B139-1)*36+HEX2DEC('table for research'!H$1))*2,2)</f>
        <v>00</v>
      </c>
      <c r="I139" t="str">
        <f>MID('paste from garc here'!$C$1,1+(('table for research'!$B139-1)*36+HEX2DEC('table for research'!I$1))*2,2)</f>
        <v>00</v>
      </c>
      <c r="J139" t="str">
        <f>MID('paste from garc here'!$C$1,1+(('table for research'!$B139-1)*36+HEX2DEC('table for research'!J$1))*2,2)</f>
        <v>00</v>
      </c>
      <c r="K139" t="str">
        <f>DEC2HEX(_xlfn.BITAND(HEX2DEC(MID('paste from garc here'!$C$1,1+(('table for research'!$B139-1)*36+HEX2DEC(8))*2,2)),31),2)</f>
        <v>1F</v>
      </c>
      <c r="L139" t="str">
        <f>DEC2HEX(_xlfn.BITAND(HEX2DEC(MID('paste from garc here'!$C$1,1+(('table for research'!$B139-1)*36+HEX2DEC(8))*2,2)),32),2)</f>
        <v>00</v>
      </c>
      <c r="M139" t="str">
        <f>DEC2HEX(_xlfn.BITAND(HEX2DEC(MID('paste from garc here'!$C$1,1+(('table for research'!$B139-1)*36+HEX2DEC(8))*2,2)),64),2)</f>
        <v>00</v>
      </c>
      <c r="N139" t="str">
        <f>DEC2HEX(_xlfn.BITRSHIFT(_xlfn.BITAND(HEX2DEC(MID('paste from garc here'!$C$1,1+(('table for research'!$B139-1)*36+HEX2DEC(9))*2,2)&amp;MID('paste from garc here'!$C$1,1+(('table for research'!$B139-1)*36+HEX2DEC(8))*2,2)),1920),7),2)</f>
        <v>00</v>
      </c>
      <c r="O139" t="str">
        <f>DEC2HEX(_xlfn.BITRSHIFT(HEX2DEC(MID('paste from garc here'!$C$1,1+(('table for research'!$B139-1)*36+HEX2DEC(9))*2,2)&amp;MID('paste from garc here'!$C$1,1+(('table for research'!$B139-1)*36+HEX2DEC(8))*2,2)),11),2)</f>
        <v>00</v>
      </c>
      <c r="P139" t="str">
        <f>MID('paste from garc here'!$C$1,1+(('table for research'!$B139-1)*36+HEX2DEC('table for research'!P$1))*2,2)</f>
        <v>0B</v>
      </c>
      <c r="Q139" t="str">
        <f>MID('paste from garc here'!$C$1,1+(('table for research'!$B139-1)*36+HEX2DEC('table for research'!Q$1))*2,2)</f>
        <v>00</v>
      </c>
      <c r="R139" t="str">
        <f>MID('paste from garc here'!$C$1,1+(('table for research'!$B139-1)*36+HEX2DEC('table for research'!R$1))*2,2)</f>
        <v>00</v>
      </c>
      <c r="S139" t="str">
        <f>MID('paste from garc here'!$C$1,1+(('table for research'!$B139-1)*36+HEX2DEC('table for research'!S$1))*2,2)</f>
        <v>05</v>
      </c>
      <c r="T139" t="str">
        <f>MID('paste from garc here'!$C$1,1+(('table for research'!$B139-1)*36+HEX2DEC('table for research'!T$1))*2,2)</f>
        <v>00</v>
      </c>
      <c r="U139" t="str">
        <f>MID('paste from garc here'!$C$1,1+(('table for research'!$B139-1)*36+HEX2DEC('table for research'!U$1))*2,2)</f>
        <v>00</v>
      </c>
      <c r="V139" t="str">
        <f>MID('paste from garc here'!$C$1,1+(('table for research'!$B139-1)*36+HEX2DEC('table for research'!V$1))*2,2)</f>
        <v>00</v>
      </c>
      <c r="W139" t="str">
        <f>MID('paste from garc here'!$C$1,1+(('table for research'!$B139-1)*36+HEX2DEC('table for research'!W$1))*2,2)</f>
        <v>00</v>
      </c>
      <c r="X139" t="str">
        <f>MID('paste from garc here'!$C$1,1+(('table for research'!$B139-1)*36+HEX2DEC('table for research'!X$1))*2,2)</f>
        <v>00</v>
      </c>
      <c r="Y139" t="str">
        <f>MID('paste from garc here'!$C$1,1+(('table for research'!$B139-1)*36+HEX2DEC('table for research'!Y$1))*2,2)</f>
        <v>00</v>
      </c>
      <c r="Z139" t="str">
        <f>MID('paste from garc here'!$C$1,1+(('table for research'!$B139-1)*36+HEX2DEC('table for research'!Z$1))*2,2)</f>
        <v>00</v>
      </c>
      <c r="AA139" t="str">
        <f>MID('paste from garc here'!$C$1,1+(('table for research'!$B139-1)*36+HEX2DEC('table for research'!AA$1))*2,2)</f>
        <v>00</v>
      </c>
      <c r="AB139" t="str">
        <f>MID('paste from garc here'!$C$1,1+(('table for research'!$B139-1)*36+HEX2DEC('table for research'!AB$1))*2,2)</f>
        <v>00</v>
      </c>
      <c r="AC139" t="str">
        <f>MID('paste from garc here'!$C$1,1+(('table for research'!$B139-1)*36+HEX2DEC('table for research'!AC$1))*2,2)</f>
        <v>00</v>
      </c>
      <c r="AD139" t="str">
        <f>MID('paste from garc here'!$C$1,1+(('table for research'!$B139-1)*36+HEX2DEC('table for research'!AD$1))*2,2)</f>
        <v>00</v>
      </c>
      <c r="AE139" t="str">
        <f>MID('paste from garc here'!$C$1,1+(('table for research'!$B139-1)*36+HEX2DEC('table for research'!AE$1))*2,2)</f>
        <v>00</v>
      </c>
      <c r="AF139" t="str">
        <f>MID('paste from garc here'!$C$1,1+(('table for research'!$B139-1)*36+HEX2DEC('table for research'!AF$1))*2,2)</f>
        <v>00</v>
      </c>
      <c r="AG139" t="str">
        <f>MID('paste from garc here'!$C$1,1+(('table for research'!$B139-1)*36+HEX2DEC('table for research'!AG$1))*2,2)</f>
        <v>00</v>
      </c>
      <c r="AH139" t="str">
        <f>MID('paste from garc here'!$C$1,1+(('table for research'!$B139-1)*36+HEX2DEC('table for research'!AH$1))*2,2)</f>
        <v>00</v>
      </c>
      <c r="AI139" t="str">
        <f>MID('paste from garc here'!$C$1,1+(('table for research'!$B139-1)*36+HEX2DEC('table for research'!AI$1))*2,2)</f>
        <v>00</v>
      </c>
      <c r="AJ139" t="str">
        <f>MID('paste from garc here'!$C$1,1+(('table for research'!$B139-1)*36+HEX2DEC('table for research'!AJ$1))*2,2)</f>
        <v>00</v>
      </c>
      <c r="AK139" t="str">
        <f>MID('paste from garc here'!$C$1,1+(('table for research'!$B139-1)*36+HEX2DEC('table for research'!AK$1))*2,2)</f>
        <v>00</v>
      </c>
      <c r="AL139" t="str">
        <f>MID('paste from garc here'!$C$1,1+(('table for research'!$B139-1)*36+HEX2DEC('table for research'!AL$1))*2,2)</f>
        <v>00</v>
      </c>
      <c r="AM139" t="str">
        <f>MID('paste from garc here'!$C$1,1+(('table for research'!$B139-1)*36+HEX2DEC('table for research'!AM$1))*2,2)</f>
        <v>00</v>
      </c>
      <c r="AN139" t="str">
        <f>MID('paste from garc here'!$C$1,1+(('table for research'!$B139-1)*36+HEX2DEC('table for research'!AN$1))*2,2)</f>
        <v>00</v>
      </c>
      <c r="AO139" t="str">
        <f>MID('paste from garc here'!$C$1,1+(('table for research'!$B139-1)*36+HEX2DEC('table for research'!AO$1))*2,2)</f>
        <v>00</v>
      </c>
    </row>
    <row r="140" spans="1:41" x14ac:dyDescent="0.4">
      <c r="A140" t="s">
        <v>143</v>
      </c>
      <c r="B140">
        <f>B139+1</f>
        <v>138</v>
      </c>
      <c r="C140" t="str">
        <f>MID('paste from garc here'!$C$1,1+(('table for research'!$B140-1)*36+HEX2DEC('table for research'!C$1))*2,2)</f>
        <v>05</v>
      </c>
      <c r="D140" t="str">
        <f>MID('paste from garc here'!$C$1,1+(('table for research'!$B140-1)*36+HEX2DEC('table for research'!D$1))*2,2)</f>
        <v>00</v>
      </c>
      <c r="E140" t="str">
        <f>MID('paste from garc here'!$C$1,1+(('table for research'!$B140-1)*36+HEX2DEC('table for research'!E$1))*2,2)</f>
        <v>00</v>
      </c>
      <c r="F140" t="str">
        <f>MID('paste from garc here'!$C$1,1+(('table for research'!$B140-1)*36+HEX2DEC('table for research'!F$1))*2,2)</f>
        <v>00</v>
      </c>
      <c r="G140" t="str">
        <f>MID('paste from garc here'!$C$1,1+(('table for research'!$B140-1)*36+HEX2DEC('table for research'!G$1))*2,2)</f>
        <v>00</v>
      </c>
      <c r="H140" t="str">
        <f>MID('paste from garc here'!$C$1,1+(('table for research'!$B140-1)*36+HEX2DEC('table for research'!H$1))*2,2)</f>
        <v>00</v>
      </c>
      <c r="I140" t="str">
        <f>MID('paste from garc here'!$C$1,1+(('table for research'!$B140-1)*36+HEX2DEC('table for research'!I$1))*2,2)</f>
        <v>00</v>
      </c>
      <c r="J140" t="str">
        <f>MID('paste from garc here'!$C$1,1+(('table for research'!$B140-1)*36+HEX2DEC('table for research'!J$1))*2,2)</f>
        <v>00</v>
      </c>
      <c r="K140" t="str">
        <f>DEC2HEX(_xlfn.BITAND(HEX2DEC(MID('paste from garc here'!$C$1,1+(('table for research'!$B140-1)*36+HEX2DEC(8))*2,2)),31),2)</f>
        <v>1F</v>
      </c>
      <c r="L140" t="str">
        <f>DEC2HEX(_xlfn.BITAND(HEX2DEC(MID('paste from garc here'!$C$1,1+(('table for research'!$B140-1)*36+HEX2DEC(8))*2,2)),32),2)</f>
        <v>00</v>
      </c>
      <c r="M140" t="str">
        <f>DEC2HEX(_xlfn.BITAND(HEX2DEC(MID('paste from garc here'!$C$1,1+(('table for research'!$B140-1)*36+HEX2DEC(8))*2,2)),64),2)</f>
        <v>00</v>
      </c>
      <c r="N140" t="str">
        <f>DEC2HEX(_xlfn.BITRSHIFT(_xlfn.BITAND(HEX2DEC(MID('paste from garc here'!$C$1,1+(('table for research'!$B140-1)*36+HEX2DEC(9))*2,2)&amp;MID('paste from garc here'!$C$1,1+(('table for research'!$B140-1)*36+HEX2DEC(8))*2,2)),1920),7),2)</f>
        <v>00</v>
      </c>
      <c r="O140" t="str">
        <f>DEC2HEX(_xlfn.BITRSHIFT(HEX2DEC(MID('paste from garc here'!$C$1,1+(('table for research'!$B140-1)*36+HEX2DEC(9))*2,2)&amp;MID('paste from garc here'!$C$1,1+(('table for research'!$B140-1)*36+HEX2DEC(8))*2,2)),11),2)</f>
        <v>00</v>
      </c>
      <c r="P140" t="str">
        <f>MID('paste from garc here'!$C$1,1+(('table for research'!$B140-1)*36+HEX2DEC('table for research'!P$1))*2,2)</f>
        <v>0B</v>
      </c>
      <c r="Q140" t="str">
        <f>MID('paste from garc here'!$C$1,1+(('table for research'!$B140-1)*36+HEX2DEC('table for research'!Q$1))*2,2)</f>
        <v>00</v>
      </c>
      <c r="R140" t="str">
        <f>MID('paste from garc here'!$C$1,1+(('table for research'!$B140-1)*36+HEX2DEC('table for research'!R$1))*2,2)</f>
        <v>00</v>
      </c>
      <c r="S140" t="str">
        <f>MID('paste from garc here'!$C$1,1+(('table for research'!$B140-1)*36+HEX2DEC('table for research'!S$1))*2,2)</f>
        <v>05</v>
      </c>
      <c r="T140" t="str">
        <f>MID('paste from garc here'!$C$1,1+(('table for research'!$B140-1)*36+HEX2DEC('table for research'!T$1))*2,2)</f>
        <v>00</v>
      </c>
      <c r="U140" t="str">
        <f>MID('paste from garc here'!$C$1,1+(('table for research'!$B140-1)*36+HEX2DEC('table for research'!U$1))*2,2)</f>
        <v>FF</v>
      </c>
      <c r="V140" t="str">
        <f>MID('paste from garc here'!$C$1,1+(('table for research'!$B140-1)*36+HEX2DEC('table for research'!V$1))*2,2)</f>
        <v>01</v>
      </c>
      <c r="W140" t="str">
        <f>MID('paste from garc here'!$C$1,1+(('table for research'!$B140-1)*36+HEX2DEC('table for research'!W$1))*2,2)</f>
        <v>00</v>
      </c>
      <c r="X140" t="str">
        <f>MID('paste from garc here'!$C$1,1+(('table for research'!$B140-1)*36+HEX2DEC('table for research'!X$1))*2,2)</f>
        <v>00</v>
      </c>
      <c r="Y140" t="str">
        <f>MID('paste from garc here'!$C$1,1+(('table for research'!$B140-1)*36+HEX2DEC('table for research'!Y$1))*2,2)</f>
        <v>00</v>
      </c>
      <c r="Z140" t="str">
        <f>MID('paste from garc here'!$C$1,1+(('table for research'!$B140-1)*36+HEX2DEC('table for research'!Z$1))*2,2)</f>
        <v>00</v>
      </c>
      <c r="AA140" t="str">
        <f>MID('paste from garc here'!$C$1,1+(('table for research'!$B140-1)*36+HEX2DEC('table for research'!AA$1))*2,2)</f>
        <v>00</v>
      </c>
      <c r="AB140" t="str">
        <f>MID('paste from garc here'!$C$1,1+(('table for research'!$B140-1)*36+HEX2DEC('table for research'!AB$1))*2,2)</f>
        <v>00</v>
      </c>
      <c r="AC140" t="str">
        <f>MID('paste from garc here'!$C$1,1+(('table for research'!$B140-1)*36+HEX2DEC('table for research'!AC$1))*2,2)</f>
        <v>00</v>
      </c>
      <c r="AD140" t="str">
        <f>MID('paste from garc here'!$C$1,1+(('table for research'!$B140-1)*36+HEX2DEC('table for research'!AD$1))*2,2)</f>
        <v>00</v>
      </c>
      <c r="AE140" t="str">
        <f>MID('paste from garc here'!$C$1,1+(('table for research'!$B140-1)*36+HEX2DEC('table for research'!AE$1))*2,2)</f>
        <v>00</v>
      </c>
      <c r="AF140" t="str">
        <f>MID('paste from garc here'!$C$1,1+(('table for research'!$B140-1)*36+HEX2DEC('table for research'!AF$1))*2,2)</f>
        <v>00</v>
      </c>
      <c r="AG140" t="str">
        <f>MID('paste from garc here'!$C$1,1+(('table for research'!$B140-1)*36+HEX2DEC('table for research'!AG$1))*2,2)</f>
        <v>00</v>
      </c>
      <c r="AH140" t="str">
        <f>MID('paste from garc here'!$C$1,1+(('table for research'!$B140-1)*36+HEX2DEC('table for research'!AH$1))*2,2)</f>
        <v>00</v>
      </c>
      <c r="AI140" t="str">
        <f>MID('paste from garc here'!$C$1,1+(('table for research'!$B140-1)*36+HEX2DEC('table for research'!AI$1))*2,2)</f>
        <v>00</v>
      </c>
      <c r="AJ140" t="str">
        <f>MID('paste from garc here'!$C$1,1+(('table for research'!$B140-1)*36+HEX2DEC('table for research'!AJ$1))*2,2)</f>
        <v>00</v>
      </c>
      <c r="AK140" t="str">
        <f>MID('paste from garc here'!$C$1,1+(('table for research'!$B140-1)*36+HEX2DEC('table for research'!AK$1))*2,2)</f>
        <v>00</v>
      </c>
      <c r="AL140" t="str">
        <f>MID('paste from garc here'!$C$1,1+(('table for research'!$B140-1)*36+HEX2DEC('table for research'!AL$1))*2,2)</f>
        <v>00</v>
      </c>
      <c r="AM140" t="str">
        <f>MID('paste from garc here'!$C$1,1+(('table for research'!$B140-1)*36+HEX2DEC('table for research'!AM$1))*2,2)</f>
        <v>00</v>
      </c>
      <c r="AN140" t="str">
        <f>MID('paste from garc here'!$C$1,1+(('table for research'!$B140-1)*36+HEX2DEC('table for research'!AN$1))*2,2)</f>
        <v>00</v>
      </c>
      <c r="AO140" t="str">
        <f>MID('paste from garc here'!$C$1,1+(('table for research'!$B140-1)*36+HEX2DEC('table for research'!AO$1))*2,2)</f>
        <v>00</v>
      </c>
    </row>
    <row r="141" spans="1:41" x14ac:dyDescent="0.4">
      <c r="A141" t="s">
        <v>144</v>
      </c>
      <c r="B141">
        <f>B140+1</f>
        <v>139</v>
      </c>
      <c r="C141" t="str">
        <f>MID('paste from garc here'!$C$1,1+(('table for research'!$B141-1)*36+HEX2DEC('table for research'!C$1))*2,2)</f>
        <v>05</v>
      </c>
      <c r="D141" t="str">
        <f>MID('paste from garc here'!$C$1,1+(('table for research'!$B141-1)*36+HEX2DEC('table for research'!D$1))*2,2)</f>
        <v>00</v>
      </c>
      <c r="E141" t="str">
        <f>MID('paste from garc here'!$C$1,1+(('table for research'!$B141-1)*36+HEX2DEC('table for research'!E$1))*2,2)</f>
        <v>00</v>
      </c>
      <c r="F141" t="str">
        <f>MID('paste from garc here'!$C$1,1+(('table for research'!$B141-1)*36+HEX2DEC('table for research'!F$1))*2,2)</f>
        <v>00</v>
      </c>
      <c r="G141" t="str">
        <f>MID('paste from garc here'!$C$1,1+(('table for research'!$B141-1)*36+HEX2DEC('table for research'!G$1))*2,2)</f>
        <v>00</v>
      </c>
      <c r="H141" t="str">
        <f>MID('paste from garc here'!$C$1,1+(('table for research'!$B141-1)*36+HEX2DEC('table for research'!H$1))*2,2)</f>
        <v>00</v>
      </c>
      <c r="I141" t="str">
        <f>MID('paste from garc here'!$C$1,1+(('table for research'!$B141-1)*36+HEX2DEC('table for research'!I$1))*2,2)</f>
        <v>00</v>
      </c>
      <c r="J141" t="str">
        <f>MID('paste from garc here'!$C$1,1+(('table for research'!$B141-1)*36+HEX2DEC('table for research'!J$1))*2,2)</f>
        <v>00</v>
      </c>
      <c r="K141" t="str">
        <f>DEC2HEX(_xlfn.BITAND(HEX2DEC(MID('paste from garc here'!$C$1,1+(('table for research'!$B141-1)*36+HEX2DEC(8))*2,2)),31),2)</f>
        <v>1F</v>
      </c>
      <c r="L141" t="str">
        <f>DEC2HEX(_xlfn.BITAND(HEX2DEC(MID('paste from garc here'!$C$1,1+(('table for research'!$B141-1)*36+HEX2DEC(8))*2,2)),32),2)</f>
        <v>00</v>
      </c>
      <c r="M141" t="str">
        <f>DEC2HEX(_xlfn.BITAND(HEX2DEC(MID('paste from garc here'!$C$1,1+(('table for research'!$B141-1)*36+HEX2DEC(8))*2,2)),64),2)</f>
        <v>00</v>
      </c>
      <c r="N141" t="str">
        <f>DEC2HEX(_xlfn.BITRSHIFT(_xlfn.BITAND(HEX2DEC(MID('paste from garc here'!$C$1,1+(('table for research'!$B141-1)*36+HEX2DEC(9))*2,2)&amp;MID('paste from garc here'!$C$1,1+(('table for research'!$B141-1)*36+HEX2DEC(8))*2,2)),1920),7),2)</f>
        <v>00</v>
      </c>
      <c r="O141" t="str">
        <f>DEC2HEX(_xlfn.BITRSHIFT(HEX2DEC(MID('paste from garc here'!$C$1,1+(('table for research'!$B141-1)*36+HEX2DEC(9))*2,2)&amp;MID('paste from garc here'!$C$1,1+(('table for research'!$B141-1)*36+HEX2DEC(8))*2,2)),11),2)</f>
        <v>00</v>
      </c>
      <c r="P141" t="str">
        <f>MID('paste from garc here'!$C$1,1+(('table for research'!$B141-1)*36+HEX2DEC('table for research'!P$1))*2,2)</f>
        <v>0B</v>
      </c>
      <c r="Q141" t="str">
        <f>MID('paste from garc here'!$C$1,1+(('table for research'!$B141-1)*36+HEX2DEC('table for research'!Q$1))*2,2)</f>
        <v>00</v>
      </c>
      <c r="R141" t="str">
        <f>MID('paste from garc here'!$C$1,1+(('table for research'!$B141-1)*36+HEX2DEC('table for research'!R$1))*2,2)</f>
        <v>00</v>
      </c>
      <c r="S141" t="str">
        <f>MID('paste from garc here'!$C$1,1+(('table for research'!$B141-1)*36+HEX2DEC('table for research'!S$1))*2,2)</f>
        <v>05</v>
      </c>
      <c r="T141" t="str">
        <f>MID('paste from garc here'!$C$1,1+(('table for research'!$B141-1)*36+HEX2DEC('table for research'!T$1))*2,2)</f>
        <v>00</v>
      </c>
      <c r="U141" t="str">
        <f>MID('paste from garc here'!$C$1,1+(('table for research'!$B141-1)*36+HEX2DEC('table for research'!U$1))*2,2)</f>
        <v>FF</v>
      </c>
      <c r="V141" t="str">
        <f>MID('paste from garc here'!$C$1,1+(('table for research'!$B141-1)*36+HEX2DEC('table for research'!V$1))*2,2)</f>
        <v>02</v>
      </c>
      <c r="W141" t="str">
        <f>MID('paste from garc here'!$C$1,1+(('table for research'!$B141-1)*36+HEX2DEC('table for research'!W$1))*2,2)</f>
        <v>00</v>
      </c>
      <c r="X141" t="str">
        <f>MID('paste from garc here'!$C$1,1+(('table for research'!$B141-1)*36+HEX2DEC('table for research'!X$1))*2,2)</f>
        <v>00</v>
      </c>
      <c r="Y141" t="str">
        <f>MID('paste from garc here'!$C$1,1+(('table for research'!$B141-1)*36+HEX2DEC('table for research'!Y$1))*2,2)</f>
        <v>00</v>
      </c>
      <c r="Z141" t="str">
        <f>MID('paste from garc here'!$C$1,1+(('table for research'!$B141-1)*36+HEX2DEC('table for research'!Z$1))*2,2)</f>
        <v>00</v>
      </c>
      <c r="AA141" t="str">
        <f>MID('paste from garc here'!$C$1,1+(('table for research'!$B141-1)*36+HEX2DEC('table for research'!AA$1))*2,2)</f>
        <v>00</v>
      </c>
      <c r="AB141" t="str">
        <f>MID('paste from garc here'!$C$1,1+(('table for research'!$B141-1)*36+HEX2DEC('table for research'!AB$1))*2,2)</f>
        <v>00</v>
      </c>
      <c r="AC141" t="str">
        <f>MID('paste from garc here'!$C$1,1+(('table for research'!$B141-1)*36+HEX2DEC('table for research'!AC$1))*2,2)</f>
        <v>00</v>
      </c>
      <c r="AD141" t="str">
        <f>MID('paste from garc here'!$C$1,1+(('table for research'!$B141-1)*36+HEX2DEC('table for research'!AD$1))*2,2)</f>
        <v>00</v>
      </c>
      <c r="AE141" t="str">
        <f>MID('paste from garc here'!$C$1,1+(('table for research'!$B141-1)*36+HEX2DEC('table for research'!AE$1))*2,2)</f>
        <v>00</v>
      </c>
      <c r="AF141" t="str">
        <f>MID('paste from garc here'!$C$1,1+(('table for research'!$B141-1)*36+HEX2DEC('table for research'!AF$1))*2,2)</f>
        <v>00</v>
      </c>
      <c r="AG141" t="str">
        <f>MID('paste from garc here'!$C$1,1+(('table for research'!$B141-1)*36+HEX2DEC('table for research'!AG$1))*2,2)</f>
        <v>00</v>
      </c>
      <c r="AH141" t="str">
        <f>MID('paste from garc here'!$C$1,1+(('table for research'!$B141-1)*36+HEX2DEC('table for research'!AH$1))*2,2)</f>
        <v>00</v>
      </c>
      <c r="AI141" t="str">
        <f>MID('paste from garc here'!$C$1,1+(('table for research'!$B141-1)*36+HEX2DEC('table for research'!AI$1))*2,2)</f>
        <v>00</v>
      </c>
      <c r="AJ141" t="str">
        <f>MID('paste from garc here'!$C$1,1+(('table for research'!$B141-1)*36+HEX2DEC('table for research'!AJ$1))*2,2)</f>
        <v>00</v>
      </c>
      <c r="AK141" t="str">
        <f>MID('paste from garc here'!$C$1,1+(('table for research'!$B141-1)*36+HEX2DEC('table for research'!AK$1))*2,2)</f>
        <v>00</v>
      </c>
      <c r="AL141" t="str">
        <f>MID('paste from garc here'!$C$1,1+(('table for research'!$B141-1)*36+HEX2DEC('table for research'!AL$1))*2,2)</f>
        <v>00</v>
      </c>
      <c r="AM141" t="str">
        <f>MID('paste from garc here'!$C$1,1+(('table for research'!$B141-1)*36+HEX2DEC('table for research'!AM$1))*2,2)</f>
        <v>00</v>
      </c>
      <c r="AN141" t="str">
        <f>MID('paste from garc here'!$C$1,1+(('table for research'!$B141-1)*36+HEX2DEC('table for research'!AN$1))*2,2)</f>
        <v>00</v>
      </c>
      <c r="AO141" t="str">
        <f>MID('paste from garc here'!$C$1,1+(('table for research'!$B141-1)*36+HEX2DEC('table for research'!AO$1))*2,2)</f>
        <v>00</v>
      </c>
    </row>
    <row r="142" spans="1:41" x14ac:dyDescent="0.4">
      <c r="A142" t="s">
        <v>145</v>
      </c>
      <c r="B142">
        <f>B141+1</f>
        <v>140</v>
      </c>
      <c r="C142" t="str">
        <f>MID('paste from garc here'!$C$1,1+(('table for research'!$B142-1)*36+HEX2DEC('table for research'!C$1))*2,2)</f>
        <v>05</v>
      </c>
      <c r="D142" t="str">
        <f>MID('paste from garc here'!$C$1,1+(('table for research'!$B142-1)*36+HEX2DEC('table for research'!D$1))*2,2)</f>
        <v>00</v>
      </c>
      <c r="E142" t="str">
        <f>MID('paste from garc here'!$C$1,1+(('table for research'!$B142-1)*36+HEX2DEC('table for research'!E$1))*2,2)</f>
        <v>00</v>
      </c>
      <c r="F142" t="str">
        <f>MID('paste from garc here'!$C$1,1+(('table for research'!$B142-1)*36+HEX2DEC('table for research'!F$1))*2,2)</f>
        <v>00</v>
      </c>
      <c r="G142" t="str">
        <f>MID('paste from garc here'!$C$1,1+(('table for research'!$B142-1)*36+HEX2DEC('table for research'!G$1))*2,2)</f>
        <v>00</v>
      </c>
      <c r="H142" t="str">
        <f>MID('paste from garc here'!$C$1,1+(('table for research'!$B142-1)*36+HEX2DEC('table for research'!H$1))*2,2)</f>
        <v>00</v>
      </c>
      <c r="I142" t="str">
        <f>MID('paste from garc here'!$C$1,1+(('table for research'!$B142-1)*36+HEX2DEC('table for research'!I$1))*2,2)</f>
        <v>00</v>
      </c>
      <c r="J142" t="str">
        <f>MID('paste from garc here'!$C$1,1+(('table for research'!$B142-1)*36+HEX2DEC('table for research'!J$1))*2,2)</f>
        <v>00</v>
      </c>
      <c r="K142" t="str">
        <f>DEC2HEX(_xlfn.BITAND(HEX2DEC(MID('paste from garc here'!$C$1,1+(('table for research'!$B142-1)*36+HEX2DEC(8))*2,2)),31),2)</f>
        <v>1F</v>
      </c>
      <c r="L142" t="str">
        <f>DEC2HEX(_xlfn.BITAND(HEX2DEC(MID('paste from garc here'!$C$1,1+(('table for research'!$B142-1)*36+HEX2DEC(8))*2,2)),32),2)</f>
        <v>00</v>
      </c>
      <c r="M142" t="str">
        <f>DEC2HEX(_xlfn.BITAND(HEX2DEC(MID('paste from garc here'!$C$1,1+(('table for research'!$B142-1)*36+HEX2DEC(8))*2,2)),64),2)</f>
        <v>00</v>
      </c>
      <c r="N142" t="str">
        <f>DEC2HEX(_xlfn.BITRSHIFT(_xlfn.BITAND(HEX2DEC(MID('paste from garc here'!$C$1,1+(('table for research'!$B142-1)*36+HEX2DEC(9))*2,2)&amp;MID('paste from garc here'!$C$1,1+(('table for research'!$B142-1)*36+HEX2DEC(8))*2,2)),1920),7),2)</f>
        <v>00</v>
      </c>
      <c r="O142" t="str">
        <f>DEC2HEX(_xlfn.BITRSHIFT(HEX2DEC(MID('paste from garc here'!$C$1,1+(('table for research'!$B142-1)*36+HEX2DEC(9))*2,2)&amp;MID('paste from garc here'!$C$1,1+(('table for research'!$B142-1)*36+HEX2DEC(8))*2,2)),11),2)</f>
        <v>00</v>
      </c>
      <c r="P142" t="str">
        <f>MID('paste from garc here'!$C$1,1+(('table for research'!$B142-1)*36+HEX2DEC('table for research'!P$1))*2,2)</f>
        <v>0B</v>
      </c>
      <c r="Q142" t="str">
        <f>MID('paste from garc here'!$C$1,1+(('table for research'!$B142-1)*36+HEX2DEC('table for research'!Q$1))*2,2)</f>
        <v>00</v>
      </c>
      <c r="R142" t="str">
        <f>MID('paste from garc here'!$C$1,1+(('table for research'!$B142-1)*36+HEX2DEC('table for research'!R$1))*2,2)</f>
        <v>00</v>
      </c>
      <c r="S142" t="str">
        <f>MID('paste from garc here'!$C$1,1+(('table for research'!$B142-1)*36+HEX2DEC('table for research'!S$1))*2,2)</f>
        <v>05</v>
      </c>
      <c r="T142" t="str">
        <f>MID('paste from garc here'!$C$1,1+(('table for research'!$B142-1)*36+HEX2DEC('table for research'!T$1))*2,2)</f>
        <v>00</v>
      </c>
      <c r="U142" t="str">
        <f>MID('paste from garc here'!$C$1,1+(('table for research'!$B142-1)*36+HEX2DEC('table for research'!U$1))*2,2)</f>
        <v>FF</v>
      </c>
      <c r="V142" t="str">
        <f>MID('paste from garc here'!$C$1,1+(('table for research'!$B142-1)*36+HEX2DEC('table for research'!V$1))*2,2)</f>
        <v>03</v>
      </c>
      <c r="W142" t="str">
        <f>MID('paste from garc here'!$C$1,1+(('table for research'!$B142-1)*36+HEX2DEC('table for research'!W$1))*2,2)</f>
        <v>00</v>
      </c>
      <c r="X142" t="str">
        <f>MID('paste from garc here'!$C$1,1+(('table for research'!$B142-1)*36+HEX2DEC('table for research'!X$1))*2,2)</f>
        <v>00</v>
      </c>
      <c r="Y142" t="str">
        <f>MID('paste from garc here'!$C$1,1+(('table for research'!$B142-1)*36+HEX2DEC('table for research'!Y$1))*2,2)</f>
        <v>00</v>
      </c>
      <c r="Z142" t="str">
        <f>MID('paste from garc here'!$C$1,1+(('table for research'!$B142-1)*36+HEX2DEC('table for research'!Z$1))*2,2)</f>
        <v>00</v>
      </c>
      <c r="AA142" t="str">
        <f>MID('paste from garc here'!$C$1,1+(('table for research'!$B142-1)*36+HEX2DEC('table for research'!AA$1))*2,2)</f>
        <v>00</v>
      </c>
      <c r="AB142" t="str">
        <f>MID('paste from garc here'!$C$1,1+(('table for research'!$B142-1)*36+HEX2DEC('table for research'!AB$1))*2,2)</f>
        <v>00</v>
      </c>
      <c r="AC142" t="str">
        <f>MID('paste from garc here'!$C$1,1+(('table for research'!$B142-1)*36+HEX2DEC('table for research'!AC$1))*2,2)</f>
        <v>00</v>
      </c>
      <c r="AD142" t="str">
        <f>MID('paste from garc here'!$C$1,1+(('table for research'!$B142-1)*36+HEX2DEC('table for research'!AD$1))*2,2)</f>
        <v>00</v>
      </c>
      <c r="AE142" t="str">
        <f>MID('paste from garc here'!$C$1,1+(('table for research'!$B142-1)*36+HEX2DEC('table for research'!AE$1))*2,2)</f>
        <v>00</v>
      </c>
      <c r="AF142" t="str">
        <f>MID('paste from garc here'!$C$1,1+(('table for research'!$B142-1)*36+HEX2DEC('table for research'!AF$1))*2,2)</f>
        <v>00</v>
      </c>
      <c r="AG142" t="str">
        <f>MID('paste from garc here'!$C$1,1+(('table for research'!$B142-1)*36+HEX2DEC('table for research'!AG$1))*2,2)</f>
        <v>00</v>
      </c>
      <c r="AH142" t="str">
        <f>MID('paste from garc here'!$C$1,1+(('table for research'!$B142-1)*36+HEX2DEC('table for research'!AH$1))*2,2)</f>
        <v>00</v>
      </c>
      <c r="AI142" t="str">
        <f>MID('paste from garc here'!$C$1,1+(('table for research'!$B142-1)*36+HEX2DEC('table for research'!AI$1))*2,2)</f>
        <v>00</v>
      </c>
      <c r="AJ142" t="str">
        <f>MID('paste from garc here'!$C$1,1+(('table for research'!$B142-1)*36+HEX2DEC('table for research'!AJ$1))*2,2)</f>
        <v>00</v>
      </c>
      <c r="AK142" t="str">
        <f>MID('paste from garc here'!$C$1,1+(('table for research'!$B142-1)*36+HEX2DEC('table for research'!AK$1))*2,2)</f>
        <v>00</v>
      </c>
      <c r="AL142" t="str">
        <f>MID('paste from garc here'!$C$1,1+(('table for research'!$B142-1)*36+HEX2DEC('table for research'!AL$1))*2,2)</f>
        <v>00</v>
      </c>
      <c r="AM142" t="str">
        <f>MID('paste from garc here'!$C$1,1+(('table for research'!$B142-1)*36+HEX2DEC('table for research'!AM$1))*2,2)</f>
        <v>00</v>
      </c>
      <c r="AN142" t="str">
        <f>MID('paste from garc here'!$C$1,1+(('table for research'!$B142-1)*36+HEX2DEC('table for research'!AN$1))*2,2)</f>
        <v>00</v>
      </c>
      <c r="AO142" t="str">
        <f>MID('paste from garc here'!$C$1,1+(('table for research'!$B142-1)*36+HEX2DEC('table for research'!AO$1))*2,2)</f>
        <v>00</v>
      </c>
    </row>
    <row r="143" spans="1:41" x14ac:dyDescent="0.4">
      <c r="A143" t="s">
        <v>146</v>
      </c>
      <c r="B143">
        <f>B142+1</f>
        <v>141</v>
      </c>
      <c r="C143" t="str">
        <f>MID('paste from garc here'!$C$1,1+(('table for research'!$B143-1)*36+HEX2DEC('table for research'!C$1))*2,2)</f>
        <v>05</v>
      </c>
      <c r="D143" t="str">
        <f>MID('paste from garc here'!$C$1,1+(('table for research'!$B143-1)*36+HEX2DEC('table for research'!D$1))*2,2)</f>
        <v>00</v>
      </c>
      <c r="E143" t="str">
        <f>MID('paste from garc here'!$C$1,1+(('table for research'!$B143-1)*36+HEX2DEC('table for research'!E$1))*2,2)</f>
        <v>00</v>
      </c>
      <c r="F143" t="str">
        <f>MID('paste from garc here'!$C$1,1+(('table for research'!$B143-1)*36+HEX2DEC('table for research'!F$1))*2,2)</f>
        <v>00</v>
      </c>
      <c r="G143" t="str">
        <f>MID('paste from garc here'!$C$1,1+(('table for research'!$B143-1)*36+HEX2DEC('table for research'!G$1))*2,2)</f>
        <v>00</v>
      </c>
      <c r="H143" t="str">
        <f>MID('paste from garc here'!$C$1,1+(('table for research'!$B143-1)*36+HEX2DEC('table for research'!H$1))*2,2)</f>
        <v>00</v>
      </c>
      <c r="I143" t="str">
        <f>MID('paste from garc here'!$C$1,1+(('table for research'!$B143-1)*36+HEX2DEC('table for research'!I$1))*2,2)</f>
        <v>00</v>
      </c>
      <c r="J143" t="str">
        <f>MID('paste from garc here'!$C$1,1+(('table for research'!$B143-1)*36+HEX2DEC('table for research'!J$1))*2,2)</f>
        <v>00</v>
      </c>
      <c r="K143" t="str">
        <f>DEC2HEX(_xlfn.BITAND(HEX2DEC(MID('paste from garc here'!$C$1,1+(('table for research'!$B143-1)*36+HEX2DEC(8))*2,2)),31),2)</f>
        <v>1F</v>
      </c>
      <c r="L143" t="str">
        <f>DEC2HEX(_xlfn.BITAND(HEX2DEC(MID('paste from garc here'!$C$1,1+(('table for research'!$B143-1)*36+HEX2DEC(8))*2,2)),32),2)</f>
        <v>00</v>
      </c>
      <c r="M143" t="str">
        <f>DEC2HEX(_xlfn.BITAND(HEX2DEC(MID('paste from garc here'!$C$1,1+(('table for research'!$B143-1)*36+HEX2DEC(8))*2,2)),64),2)</f>
        <v>00</v>
      </c>
      <c r="N143" t="str">
        <f>DEC2HEX(_xlfn.BITRSHIFT(_xlfn.BITAND(HEX2DEC(MID('paste from garc here'!$C$1,1+(('table for research'!$B143-1)*36+HEX2DEC(9))*2,2)&amp;MID('paste from garc here'!$C$1,1+(('table for research'!$B143-1)*36+HEX2DEC(8))*2,2)),1920),7),2)</f>
        <v>00</v>
      </c>
      <c r="O143" t="str">
        <f>DEC2HEX(_xlfn.BITRSHIFT(HEX2DEC(MID('paste from garc here'!$C$1,1+(('table for research'!$B143-1)*36+HEX2DEC(9))*2,2)&amp;MID('paste from garc here'!$C$1,1+(('table for research'!$B143-1)*36+HEX2DEC(8))*2,2)),11),2)</f>
        <v>00</v>
      </c>
      <c r="P143" t="str">
        <f>MID('paste from garc here'!$C$1,1+(('table for research'!$B143-1)*36+HEX2DEC('table for research'!P$1))*2,2)</f>
        <v>0B</v>
      </c>
      <c r="Q143" t="str">
        <f>MID('paste from garc here'!$C$1,1+(('table for research'!$B143-1)*36+HEX2DEC('table for research'!Q$1))*2,2)</f>
        <v>00</v>
      </c>
      <c r="R143" t="str">
        <f>MID('paste from garc here'!$C$1,1+(('table for research'!$B143-1)*36+HEX2DEC('table for research'!R$1))*2,2)</f>
        <v>00</v>
      </c>
      <c r="S143" t="str">
        <f>MID('paste from garc here'!$C$1,1+(('table for research'!$B143-1)*36+HEX2DEC('table for research'!S$1))*2,2)</f>
        <v>05</v>
      </c>
      <c r="T143" t="str">
        <f>MID('paste from garc here'!$C$1,1+(('table for research'!$B143-1)*36+HEX2DEC('table for research'!T$1))*2,2)</f>
        <v>00</v>
      </c>
      <c r="U143" t="str">
        <f>MID('paste from garc here'!$C$1,1+(('table for research'!$B143-1)*36+HEX2DEC('table for research'!U$1))*2,2)</f>
        <v>FF</v>
      </c>
      <c r="V143" t="str">
        <f>MID('paste from garc here'!$C$1,1+(('table for research'!$B143-1)*36+HEX2DEC('table for research'!V$1))*2,2)</f>
        <v>04</v>
      </c>
      <c r="W143" t="str">
        <f>MID('paste from garc here'!$C$1,1+(('table for research'!$B143-1)*36+HEX2DEC('table for research'!W$1))*2,2)</f>
        <v>00</v>
      </c>
      <c r="X143" t="str">
        <f>MID('paste from garc here'!$C$1,1+(('table for research'!$B143-1)*36+HEX2DEC('table for research'!X$1))*2,2)</f>
        <v>00</v>
      </c>
      <c r="Y143" t="str">
        <f>MID('paste from garc here'!$C$1,1+(('table for research'!$B143-1)*36+HEX2DEC('table for research'!Y$1))*2,2)</f>
        <v>00</v>
      </c>
      <c r="Z143" t="str">
        <f>MID('paste from garc here'!$C$1,1+(('table for research'!$B143-1)*36+HEX2DEC('table for research'!Z$1))*2,2)</f>
        <v>00</v>
      </c>
      <c r="AA143" t="str">
        <f>MID('paste from garc here'!$C$1,1+(('table for research'!$B143-1)*36+HEX2DEC('table for research'!AA$1))*2,2)</f>
        <v>00</v>
      </c>
      <c r="AB143" t="str">
        <f>MID('paste from garc here'!$C$1,1+(('table for research'!$B143-1)*36+HEX2DEC('table for research'!AB$1))*2,2)</f>
        <v>00</v>
      </c>
      <c r="AC143" t="str">
        <f>MID('paste from garc here'!$C$1,1+(('table for research'!$B143-1)*36+HEX2DEC('table for research'!AC$1))*2,2)</f>
        <v>00</v>
      </c>
      <c r="AD143" t="str">
        <f>MID('paste from garc here'!$C$1,1+(('table for research'!$B143-1)*36+HEX2DEC('table for research'!AD$1))*2,2)</f>
        <v>00</v>
      </c>
      <c r="AE143" t="str">
        <f>MID('paste from garc here'!$C$1,1+(('table for research'!$B143-1)*36+HEX2DEC('table for research'!AE$1))*2,2)</f>
        <v>00</v>
      </c>
      <c r="AF143" t="str">
        <f>MID('paste from garc here'!$C$1,1+(('table for research'!$B143-1)*36+HEX2DEC('table for research'!AF$1))*2,2)</f>
        <v>00</v>
      </c>
      <c r="AG143" t="str">
        <f>MID('paste from garc here'!$C$1,1+(('table for research'!$B143-1)*36+HEX2DEC('table for research'!AG$1))*2,2)</f>
        <v>00</v>
      </c>
      <c r="AH143" t="str">
        <f>MID('paste from garc here'!$C$1,1+(('table for research'!$B143-1)*36+HEX2DEC('table for research'!AH$1))*2,2)</f>
        <v>00</v>
      </c>
      <c r="AI143" t="str">
        <f>MID('paste from garc here'!$C$1,1+(('table for research'!$B143-1)*36+HEX2DEC('table for research'!AI$1))*2,2)</f>
        <v>00</v>
      </c>
      <c r="AJ143" t="str">
        <f>MID('paste from garc here'!$C$1,1+(('table for research'!$B143-1)*36+HEX2DEC('table for research'!AJ$1))*2,2)</f>
        <v>00</v>
      </c>
      <c r="AK143" t="str">
        <f>MID('paste from garc here'!$C$1,1+(('table for research'!$B143-1)*36+HEX2DEC('table for research'!AK$1))*2,2)</f>
        <v>00</v>
      </c>
      <c r="AL143" t="str">
        <f>MID('paste from garc here'!$C$1,1+(('table for research'!$B143-1)*36+HEX2DEC('table for research'!AL$1))*2,2)</f>
        <v>00</v>
      </c>
      <c r="AM143" t="str">
        <f>MID('paste from garc here'!$C$1,1+(('table for research'!$B143-1)*36+HEX2DEC('table for research'!AM$1))*2,2)</f>
        <v>00</v>
      </c>
      <c r="AN143" t="str">
        <f>MID('paste from garc here'!$C$1,1+(('table for research'!$B143-1)*36+HEX2DEC('table for research'!AN$1))*2,2)</f>
        <v>00</v>
      </c>
      <c r="AO143" t="str">
        <f>MID('paste from garc here'!$C$1,1+(('table for research'!$B143-1)*36+HEX2DEC('table for research'!AO$1))*2,2)</f>
        <v>00</v>
      </c>
    </row>
    <row r="144" spans="1:41" x14ac:dyDescent="0.4">
      <c r="A144" t="s">
        <v>147</v>
      </c>
      <c r="B144">
        <f>B143+1</f>
        <v>142</v>
      </c>
      <c r="C144" t="str">
        <f>MID('paste from garc here'!$C$1,1+(('table for research'!$B144-1)*36+HEX2DEC('table for research'!C$1))*2,2)</f>
        <v>05</v>
      </c>
      <c r="D144" t="str">
        <f>MID('paste from garc here'!$C$1,1+(('table for research'!$B144-1)*36+HEX2DEC('table for research'!D$1))*2,2)</f>
        <v>00</v>
      </c>
      <c r="E144" t="str">
        <f>MID('paste from garc here'!$C$1,1+(('table for research'!$B144-1)*36+HEX2DEC('table for research'!E$1))*2,2)</f>
        <v>00</v>
      </c>
      <c r="F144" t="str">
        <f>MID('paste from garc here'!$C$1,1+(('table for research'!$B144-1)*36+HEX2DEC('table for research'!F$1))*2,2)</f>
        <v>00</v>
      </c>
      <c r="G144" t="str">
        <f>MID('paste from garc here'!$C$1,1+(('table for research'!$B144-1)*36+HEX2DEC('table for research'!G$1))*2,2)</f>
        <v>00</v>
      </c>
      <c r="H144" t="str">
        <f>MID('paste from garc here'!$C$1,1+(('table for research'!$B144-1)*36+HEX2DEC('table for research'!H$1))*2,2)</f>
        <v>00</v>
      </c>
      <c r="I144" t="str">
        <f>MID('paste from garc here'!$C$1,1+(('table for research'!$B144-1)*36+HEX2DEC('table for research'!I$1))*2,2)</f>
        <v>00</v>
      </c>
      <c r="J144" t="str">
        <f>MID('paste from garc here'!$C$1,1+(('table for research'!$B144-1)*36+HEX2DEC('table for research'!J$1))*2,2)</f>
        <v>00</v>
      </c>
      <c r="K144" t="str">
        <f>DEC2HEX(_xlfn.BITAND(HEX2DEC(MID('paste from garc here'!$C$1,1+(('table for research'!$B144-1)*36+HEX2DEC(8))*2,2)),31),2)</f>
        <v>1F</v>
      </c>
      <c r="L144" t="str">
        <f>DEC2HEX(_xlfn.BITAND(HEX2DEC(MID('paste from garc here'!$C$1,1+(('table for research'!$B144-1)*36+HEX2DEC(8))*2,2)),32),2)</f>
        <v>00</v>
      </c>
      <c r="M144" t="str">
        <f>DEC2HEX(_xlfn.BITAND(HEX2DEC(MID('paste from garc here'!$C$1,1+(('table for research'!$B144-1)*36+HEX2DEC(8))*2,2)),64),2)</f>
        <v>00</v>
      </c>
      <c r="N144" t="str">
        <f>DEC2HEX(_xlfn.BITRSHIFT(_xlfn.BITAND(HEX2DEC(MID('paste from garc here'!$C$1,1+(('table for research'!$B144-1)*36+HEX2DEC(9))*2,2)&amp;MID('paste from garc here'!$C$1,1+(('table for research'!$B144-1)*36+HEX2DEC(8))*2,2)),1920),7),2)</f>
        <v>00</v>
      </c>
      <c r="O144" t="str">
        <f>DEC2HEX(_xlfn.BITRSHIFT(HEX2DEC(MID('paste from garc here'!$C$1,1+(('table for research'!$B144-1)*36+HEX2DEC(9))*2,2)&amp;MID('paste from garc here'!$C$1,1+(('table for research'!$B144-1)*36+HEX2DEC(8))*2,2)),11),2)</f>
        <v>00</v>
      </c>
      <c r="P144" t="str">
        <f>MID('paste from garc here'!$C$1,1+(('table for research'!$B144-1)*36+HEX2DEC('table for research'!P$1))*2,2)</f>
        <v>0B</v>
      </c>
      <c r="Q144" t="str">
        <f>MID('paste from garc here'!$C$1,1+(('table for research'!$B144-1)*36+HEX2DEC('table for research'!Q$1))*2,2)</f>
        <v>00</v>
      </c>
      <c r="R144" t="str">
        <f>MID('paste from garc here'!$C$1,1+(('table for research'!$B144-1)*36+HEX2DEC('table for research'!R$1))*2,2)</f>
        <v>00</v>
      </c>
      <c r="S144" t="str">
        <f>MID('paste from garc here'!$C$1,1+(('table for research'!$B144-1)*36+HEX2DEC('table for research'!S$1))*2,2)</f>
        <v>05</v>
      </c>
      <c r="T144" t="str">
        <f>MID('paste from garc here'!$C$1,1+(('table for research'!$B144-1)*36+HEX2DEC('table for research'!T$1))*2,2)</f>
        <v>00</v>
      </c>
      <c r="U144" t="str">
        <f>MID('paste from garc here'!$C$1,1+(('table for research'!$B144-1)*36+HEX2DEC('table for research'!U$1))*2,2)</f>
        <v>FF</v>
      </c>
      <c r="V144" t="str">
        <f>MID('paste from garc here'!$C$1,1+(('table for research'!$B144-1)*36+HEX2DEC('table for research'!V$1))*2,2)</f>
        <v>05</v>
      </c>
      <c r="W144" t="str">
        <f>MID('paste from garc here'!$C$1,1+(('table for research'!$B144-1)*36+HEX2DEC('table for research'!W$1))*2,2)</f>
        <v>00</v>
      </c>
      <c r="X144" t="str">
        <f>MID('paste from garc here'!$C$1,1+(('table for research'!$B144-1)*36+HEX2DEC('table for research'!X$1))*2,2)</f>
        <v>00</v>
      </c>
      <c r="Y144" t="str">
        <f>MID('paste from garc here'!$C$1,1+(('table for research'!$B144-1)*36+HEX2DEC('table for research'!Y$1))*2,2)</f>
        <v>00</v>
      </c>
      <c r="Z144" t="str">
        <f>MID('paste from garc here'!$C$1,1+(('table for research'!$B144-1)*36+HEX2DEC('table for research'!Z$1))*2,2)</f>
        <v>00</v>
      </c>
      <c r="AA144" t="str">
        <f>MID('paste from garc here'!$C$1,1+(('table for research'!$B144-1)*36+HEX2DEC('table for research'!AA$1))*2,2)</f>
        <v>00</v>
      </c>
      <c r="AB144" t="str">
        <f>MID('paste from garc here'!$C$1,1+(('table for research'!$B144-1)*36+HEX2DEC('table for research'!AB$1))*2,2)</f>
        <v>00</v>
      </c>
      <c r="AC144" t="str">
        <f>MID('paste from garc here'!$C$1,1+(('table for research'!$B144-1)*36+HEX2DEC('table for research'!AC$1))*2,2)</f>
        <v>00</v>
      </c>
      <c r="AD144" t="str">
        <f>MID('paste from garc here'!$C$1,1+(('table for research'!$B144-1)*36+HEX2DEC('table for research'!AD$1))*2,2)</f>
        <v>00</v>
      </c>
      <c r="AE144" t="str">
        <f>MID('paste from garc here'!$C$1,1+(('table for research'!$B144-1)*36+HEX2DEC('table for research'!AE$1))*2,2)</f>
        <v>00</v>
      </c>
      <c r="AF144" t="str">
        <f>MID('paste from garc here'!$C$1,1+(('table for research'!$B144-1)*36+HEX2DEC('table for research'!AF$1))*2,2)</f>
        <v>00</v>
      </c>
      <c r="AG144" t="str">
        <f>MID('paste from garc here'!$C$1,1+(('table for research'!$B144-1)*36+HEX2DEC('table for research'!AG$1))*2,2)</f>
        <v>00</v>
      </c>
      <c r="AH144" t="str">
        <f>MID('paste from garc here'!$C$1,1+(('table for research'!$B144-1)*36+HEX2DEC('table for research'!AH$1))*2,2)</f>
        <v>00</v>
      </c>
      <c r="AI144" t="str">
        <f>MID('paste from garc here'!$C$1,1+(('table for research'!$B144-1)*36+HEX2DEC('table for research'!AI$1))*2,2)</f>
        <v>00</v>
      </c>
      <c r="AJ144" t="str">
        <f>MID('paste from garc here'!$C$1,1+(('table for research'!$B144-1)*36+HEX2DEC('table for research'!AJ$1))*2,2)</f>
        <v>00</v>
      </c>
      <c r="AK144" t="str">
        <f>MID('paste from garc here'!$C$1,1+(('table for research'!$B144-1)*36+HEX2DEC('table for research'!AK$1))*2,2)</f>
        <v>00</v>
      </c>
      <c r="AL144" t="str">
        <f>MID('paste from garc here'!$C$1,1+(('table for research'!$B144-1)*36+HEX2DEC('table for research'!AL$1))*2,2)</f>
        <v>00</v>
      </c>
      <c r="AM144" t="str">
        <f>MID('paste from garc here'!$C$1,1+(('table for research'!$B144-1)*36+HEX2DEC('table for research'!AM$1))*2,2)</f>
        <v>00</v>
      </c>
      <c r="AN144" t="str">
        <f>MID('paste from garc here'!$C$1,1+(('table for research'!$B144-1)*36+HEX2DEC('table for research'!AN$1))*2,2)</f>
        <v>00</v>
      </c>
      <c r="AO144" t="str">
        <f>MID('paste from garc here'!$C$1,1+(('table for research'!$B144-1)*36+HEX2DEC('table for research'!AO$1))*2,2)</f>
        <v>00</v>
      </c>
    </row>
    <row r="145" spans="1:41" x14ac:dyDescent="0.4">
      <c r="A145" t="s">
        <v>148</v>
      </c>
      <c r="B145">
        <f>B144+1</f>
        <v>143</v>
      </c>
      <c r="C145" t="str">
        <f>MID('paste from garc here'!$C$1,1+(('table for research'!$B145-1)*36+HEX2DEC('table for research'!C$1))*2,2)</f>
        <v>05</v>
      </c>
      <c r="D145" t="str">
        <f>MID('paste from garc here'!$C$1,1+(('table for research'!$B145-1)*36+HEX2DEC('table for research'!D$1))*2,2)</f>
        <v>00</v>
      </c>
      <c r="E145" t="str">
        <f>MID('paste from garc here'!$C$1,1+(('table for research'!$B145-1)*36+HEX2DEC('table for research'!E$1))*2,2)</f>
        <v>00</v>
      </c>
      <c r="F145" t="str">
        <f>MID('paste from garc here'!$C$1,1+(('table for research'!$B145-1)*36+HEX2DEC('table for research'!F$1))*2,2)</f>
        <v>00</v>
      </c>
      <c r="G145" t="str">
        <f>MID('paste from garc here'!$C$1,1+(('table for research'!$B145-1)*36+HEX2DEC('table for research'!G$1))*2,2)</f>
        <v>00</v>
      </c>
      <c r="H145" t="str">
        <f>MID('paste from garc here'!$C$1,1+(('table for research'!$B145-1)*36+HEX2DEC('table for research'!H$1))*2,2)</f>
        <v>00</v>
      </c>
      <c r="I145" t="str">
        <f>MID('paste from garc here'!$C$1,1+(('table for research'!$B145-1)*36+HEX2DEC('table for research'!I$1))*2,2)</f>
        <v>00</v>
      </c>
      <c r="J145" t="str">
        <f>MID('paste from garc here'!$C$1,1+(('table for research'!$B145-1)*36+HEX2DEC('table for research'!J$1))*2,2)</f>
        <v>00</v>
      </c>
      <c r="K145" t="str">
        <f>DEC2HEX(_xlfn.BITAND(HEX2DEC(MID('paste from garc here'!$C$1,1+(('table for research'!$B145-1)*36+HEX2DEC(8))*2,2)),31),2)</f>
        <v>1F</v>
      </c>
      <c r="L145" t="str">
        <f>DEC2HEX(_xlfn.BITAND(HEX2DEC(MID('paste from garc here'!$C$1,1+(('table for research'!$B145-1)*36+HEX2DEC(8))*2,2)),32),2)</f>
        <v>00</v>
      </c>
      <c r="M145" t="str">
        <f>DEC2HEX(_xlfn.BITAND(HEX2DEC(MID('paste from garc here'!$C$1,1+(('table for research'!$B145-1)*36+HEX2DEC(8))*2,2)),64),2)</f>
        <v>00</v>
      </c>
      <c r="N145" t="str">
        <f>DEC2HEX(_xlfn.BITRSHIFT(_xlfn.BITAND(HEX2DEC(MID('paste from garc here'!$C$1,1+(('table for research'!$B145-1)*36+HEX2DEC(9))*2,2)&amp;MID('paste from garc here'!$C$1,1+(('table for research'!$B145-1)*36+HEX2DEC(8))*2,2)),1920),7),2)</f>
        <v>00</v>
      </c>
      <c r="O145" t="str">
        <f>DEC2HEX(_xlfn.BITRSHIFT(HEX2DEC(MID('paste from garc here'!$C$1,1+(('table for research'!$B145-1)*36+HEX2DEC(9))*2,2)&amp;MID('paste from garc here'!$C$1,1+(('table for research'!$B145-1)*36+HEX2DEC(8))*2,2)),11),2)</f>
        <v>00</v>
      </c>
      <c r="P145" t="str">
        <f>MID('paste from garc here'!$C$1,1+(('table for research'!$B145-1)*36+HEX2DEC('table for research'!P$1))*2,2)</f>
        <v>0B</v>
      </c>
      <c r="Q145" t="str">
        <f>MID('paste from garc here'!$C$1,1+(('table for research'!$B145-1)*36+HEX2DEC('table for research'!Q$1))*2,2)</f>
        <v>00</v>
      </c>
      <c r="R145" t="str">
        <f>MID('paste from garc here'!$C$1,1+(('table for research'!$B145-1)*36+HEX2DEC('table for research'!R$1))*2,2)</f>
        <v>00</v>
      </c>
      <c r="S145" t="str">
        <f>MID('paste from garc here'!$C$1,1+(('table for research'!$B145-1)*36+HEX2DEC('table for research'!S$1))*2,2)</f>
        <v>05</v>
      </c>
      <c r="T145" t="str">
        <f>MID('paste from garc here'!$C$1,1+(('table for research'!$B145-1)*36+HEX2DEC('table for research'!T$1))*2,2)</f>
        <v>00</v>
      </c>
      <c r="U145" t="str">
        <f>MID('paste from garc here'!$C$1,1+(('table for research'!$B145-1)*36+HEX2DEC('table for research'!U$1))*2,2)</f>
        <v>FF</v>
      </c>
      <c r="V145" t="str">
        <f>MID('paste from garc here'!$C$1,1+(('table for research'!$B145-1)*36+HEX2DEC('table for research'!V$1))*2,2)</f>
        <v>06</v>
      </c>
      <c r="W145" t="str">
        <f>MID('paste from garc here'!$C$1,1+(('table for research'!$B145-1)*36+HEX2DEC('table for research'!W$1))*2,2)</f>
        <v>00</v>
      </c>
      <c r="X145" t="str">
        <f>MID('paste from garc here'!$C$1,1+(('table for research'!$B145-1)*36+HEX2DEC('table for research'!X$1))*2,2)</f>
        <v>00</v>
      </c>
      <c r="Y145" t="str">
        <f>MID('paste from garc here'!$C$1,1+(('table for research'!$B145-1)*36+HEX2DEC('table for research'!Y$1))*2,2)</f>
        <v>00</v>
      </c>
      <c r="Z145" t="str">
        <f>MID('paste from garc here'!$C$1,1+(('table for research'!$B145-1)*36+HEX2DEC('table for research'!Z$1))*2,2)</f>
        <v>00</v>
      </c>
      <c r="AA145" t="str">
        <f>MID('paste from garc here'!$C$1,1+(('table for research'!$B145-1)*36+HEX2DEC('table for research'!AA$1))*2,2)</f>
        <v>00</v>
      </c>
      <c r="AB145" t="str">
        <f>MID('paste from garc here'!$C$1,1+(('table for research'!$B145-1)*36+HEX2DEC('table for research'!AB$1))*2,2)</f>
        <v>00</v>
      </c>
      <c r="AC145" t="str">
        <f>MID('paste from garc here'!$C$1,1+(('table for research'!$B145-1)*36+HEX2DEC('table for research'!AC$1))*2,2)</f>
        <v>00</v>
      </c>
      <c r="AD145" t="str">
        <f>MID('paste from garc here'!$C$1,1+(('table for research'!$B145-1)*36+HEX2DEC('table for research'!AD$1))*2,2)</f>
        <v>00</v>
      </c>
      <c r="AE145" t="str">
        <f>MID('paste from garc here'!$C$1,1+(('table for research'!$B145-1)*36+HEX2DEC('table for research'!AE$1))*2,2)</f>
        <v>00</v>
      </c>
      <c r="AF145" t="str">
        <f>MID('paste from garc here'!$C$1,1+(('table for research'!$B145-1)*36+HEX2DEC('table for research'!AF$1))*2,2)</f>
        <v>00</v>
      </c>
      <c r="AG145" t="str">
        <f>MID('paste from garc here'!$C$1,1+(('table for research'!$B145-1)*36+HEX2DEC('table for research'!AG$1))*2,2)</f>
        <v>00</v>
      </c>
      <c r="AH145" t="str">
        <f>MID('paste from garc here'!$C$1,1+(('table for research'!$B145-1)*36+HEX2DEC('table for research'!AH$1))*2,2)</f>
        <v>00</v>
      </c>
      <c r="AI145" t="str">
        <f>MID('paste from garc here'!$C$1,1+(('table for research'!$B145-1)*36+HEX2DEC('table for research'!AI$1))*2,2)</f>
        <v>00</v>
      </c>
      <c r="AJ145" t="str">
        <f>MID('paste from garc here'!$C$1,1+(('table for research'!$B145-1)*36+HEX2DEC('table for research'!AJ$1))*2,2)</f>
        <v>00</v>
      </c>
      <c r="AK145" t="str">
        <f>MID('paste from garc here'!$C$1,1+(('table for research'!$B145-1)*36+HEX2DEC('table for research'!AK$1))*2,2)</f>
        <v>00</v>
      </c>
      <c r="AL145" t="str">
        <f>MID('paste from garc here'!$C$1,1+(('table for research'!$B145-1)*36+HEX2DEC('table for research'!AL$1))*2,2)</f>
        <v>00</v>
      </c>
      <c r="AM145" t="str">
        <f>MID('paste from garc here'!$C$1,1+(('table for research'!$B145-1)*36+HEX2DEC('table for research'!AM$1))*2,2)</f>
        <v>00</v>
      </c>
      <c r="AN145" t="str">
        <f>MID('paste from garc here'!$C$1,1+(('table for research'!$B145-1)*36+HEX2DEC('table for research'!AN$1))*2,2)</f>
        <v>00</v>
      </c>
      <c r="AO145" t="str">
        <f>MID('paste from garc here'!$C$1,1+(('table for research'!$B145-1)*36+HEX2DEC('table for research'!AO$1))*2,2)</f>
        <v>00</v>
      </c>
    </row>
    <row r="146" spans="1:41" x14ac:dyDescent="0.4">
      <c r="A146" t="s">
        <v>149</v>
      </c>
      <c r="B146">
        <f>B145+1</f>
        <v>144</v>
      </c>
      <c r="C146" t="str">
        <f>MID('paste from garc here'!$C$1,1+(('table for research'!$B146-1)*36+HEX2DEC('table for research'!C$1))*2,2)</f>
        <v>05</v>
      </c>
      <c r="D146" t="str">
        <f>MID('paste from garc here'!$C$1,1+(('table for research'!$B146-1)*36+HEX2DEC('table for research'!D$1))*2,2)</f>
        <v>00</v>
      </c>
      <c r="E146" t="str">
        <f>MID('paste from garc here'!$C$1,1+(('table for research'!$B146-1)*36+HEX2DEC('table for research'!E$1))*2,2)</f>
        <v>00</v>
      </c>
      <c r="F146" t="str">
        <f>MID('paste from garc here'!$C$1,1+(('table for research'!$B146-1)*36+HEX2DEC('table for research'!F$1))*2,2)</f>
        <v>00</v>
      </c>
      <c r="G146" t="str">
        <f>MID('paste from garc here'!$C$1,1+(('table for research'!$B146-1)*36+HEX2DEC('table for research'!G$1))*2,2)</f>
        <v>00</v>
      </c>
      <c r="H146" t="str">
        <f>MID('paste from garc here'!$C$1,1+(('table for research'!$B146-1)*36+HEX2DEC('table for research'!H$1))*2,2)</f>
        <v>00</v>
      </c>
      <c r="I146" t="str">
        <f>MID('paste from garc here'!$C$1,1+(('table for research'!$B146-1)*36+HEX2DEC('table for research'!I$1))*2,2)</f>
        <v>00</v>
      </c>
      <c r="J146" t="str">
        <f>MID('paste from garc here'!$C$1,1+(('table for research'!$B146-1)*36+HEX2DEC('table for research'!J$1))*2,2)</f>
        <v>00</v>
      </c>
      <c r="K146" t="str">
        <f>DEC2HEX(_xlfn.BITAND(HEX2DEC(MID('paste from garc here'!$C$1,1+(('table for research'!$B146-1)*36+HEX2DEC(8))*2,2)),31),2)</f>
        <v>1F</v>
      </c>
      <c r="L146" t="str">
        <f>DEC2HEX(_xlfn.BITAND(HEX2DEC(MID('paste from garc here'!$C$1,1+(('table for research'!$B146-1)*36+HEX2DEC(8))*2,2)),32),2)</f>
        <v>00</v>
      </c>
      <c r="M146" t="str">
        <f>DEC2HEX(_xlfn.BITAND(HEX2DEC(MID('paste from garc here'!$C$1,1+(('table for research'!$B146-1)*36+HEX2DEC(8))*2,2)),64),2)</f>
        <v>00</v>
      </c>
      <c r="N146" t="str">
        <f>DEC2HEX(_xlfn.BITRSHIFT(_xlfn.BITAND(HEX2DEC(MID('paste from garc here'!$C$1,1+(('table for research'!$B146-1)*36+HEX2DEC(9))*2,2)&amp;MID('paste from garc here'!$C$1,1+(('table for research'!$B146-1)*36+HEX2DEC(8))*2,2)),1920),7),2)</f>
        <v>00</v>
      </c>
      <c r="O146" t="str">
        <f>DEC2HEX(_xlfn.BITRSHIFT(HEX2DEC(MID('paste from garc here'!$C$1,1+(('table for research'!$B146-1)*36+HEX2DEC(9))*2,2)&amp;MID('paste from garc here'!$C$1,1+(('table for research'!$B146-1)*36+HEX2DEC(8))*2,2)),11),2)</f>
        <v>00</v>
      </c>
      <c r="P146" t="str">
        <f>MID('paste from garc here'!$C$1,1+(('table for research'!$B146-1)*36+HEX2DEC('table for research'!P$1))*2,2)</f>
        <v>0B</v>
      </c>
      <c r="Q146" t="str">
        <f>MID('paste from garc here'!$C$1,1+(('table for research'!$B146-1)*36+HEX2DEC('table for research'!Q$1))*2,2)</f>
        <v>00</v>
      </c>
      <c r="R146" t="str">
        <f>MID('paste from garc here'!$C$1,1+(('table for research'!$B146-1)*36+HEX2DEC('table for research'!R$1))*2,2)</f>
        <v>00</v>
      </c>
      <c r="S146" t="str">
        <f>MID('paste from garc here'!$C$1,1+(('table for research'!$B146-1)*36+HEX2DEC('table for research'!S$1))*2,2)</f>
        <v>05</v>
      </c>
      <c r="T146" t="str">
        <f>MID('paste from garc here'!$C$1,1+(('table for research'!$B146-1)*36+HEX2DEC('table for research'!T$1))*2,2)</f>
        <v>00</v>
      </c>
      <c r="U146" t="str">
        <f>MID('paste from garc here'!$C$1,1+(('table for research'!$B146-1)*36+HEX2DEC('table for research'!U$1))*2,2)</f>
        <v>FF</v>
      </c>
      <c r="V146" t="str">
        <f>MID('paste from garc here'!$C$1,1+(('table for research'!$B146-1)*36+HEX2DEC('table for research'!V$1))*2,2)</f>
        <v>07</v>
      </c>
      <c r="W146" t="str">
        <f>MID('paste from garc here'!$C$1,1+(('table for research'!$B146-1)*36+HEX2DEC('table for research'!W$1))*2,2)</f>
        <v>00</v>
      </c>
      <c r="X146" t="str">
        <f>MID('paste from garc here'!$C$1,1+(('table for research'!$B146-1)*36+HEX2DEC('table for research'!X$1))*2,2)</f>
        <v>00</v>
      </c>
      <c r="Y146" t="str">
        <f>MID('paste from garc here'!$C$1,1+(('table for research'!$B146-1)*36+HEX2DEC('table for research'!Y$1))*2,2)</f>
        <v>00</v>
      </c>
      <c r="Z146" t="str">
        <f>MID('paste from garc here'!$C$1,1+(('table for research'!$B146-1)*36+HEX2DEC('table for research'!Z$1))*2,2)</f>
        <v>00</v>
      </c>
      <c r="AA146" t="str">
        <f>MID('paste from garc here'!$C$1,1+(('table for research'!$B146-1)*36+HEX2DEC('table for research'!AA$1))*2,2)</f>
        <v>00</v>
      </c>
      <c r="AB146" t="str">
        <f>MID('paste from garc here'!$C$1,1+(('table for research'!$B146-1)*36+HEX2DEC('table for research'!AB$1))*2,2)</f>
        <v>00</v>
      </c>
      <c r="AC146" t="str">
        <f>MID('paste from garc here'!$C$1,1+(('table for research'!$B146-1)*36+HEX2DEC('table for research'!AC$1))*2,2)</f>
        <v>00</v>
      </c>
      <c r="AD146" t="str">
        <f>MID('paste from garc here'!$C$1,1+(('table for research'!$B146-1)*36+HEX2DEC('table for research'!AD$1))*2,2)</f>
        <v>00</v>
      </c>
      <c r="AE146" t="str">
        <f>MID('paste from garc here'!$C$1,1+(('table for research'!$B146-1)*36+HEX2DEC('table for research'!AE$1))*2,2)</f>
        <v>00</v>
      </c>
      <c r="AF146" t="str">
        <f>MID('paste from garc here'!$C$1,1+(('table for research'!$B146-1)*36+HEX2DEC('table for research'!AF$1))*2,2)</f>
        <v>00</v>
      </c>
      <c r="AG146" t="str">
        <f>MID('paste from garc here'!$C$1,1+(('table for research'!$B146-1)*36+HEX2DEC('table for research'!AG$1))*2,2)</f>
        <v>00</v>
      </c>
      <c r="AH146" t="str">
        <f>MID('paste from garc here'!$C$1,1+(('table for research'!$B146-1)*36+HEX2DEC('table for research'!AH$1))*2,2)</f>
        <v>00</v>
      </c>
      <c r="AI146" t="str">
        <f>MID('paste from garc here'!$C$1,1+(('table for research'!$B146-1)*36+HEX2DEC('table for research'!AI$1))*2,2)</f>
        <v>00</v>
      </c>
      <c r="AJ146" t="str">
        <f>MID('paste from garc here'!$C$1,1+(('table for research'!$B146-1)*36+HEX2DEC('table for research'!AJ$1))*2,2)</f>
        <v>00</v>
      </c>
      <c r="AK146" t="str">
        <f>MID('paste from garc here'!$C$1,1+(('table for research'!$B146-1)*36+HEX2DEC('table for research'!AK$1))*2,2)</f>
        <v>00</v>
      </c>
      <c r="AL146" t="str">
        <f>MID('paste from garc here'!$C$1,1+(('table for research'!$B146-1)*36+HEX2DEC('table for research'!AL$1))*2,2)</f>
        <v>00</v>
      </c>
      <c r="AM146" t="str">
        <f>MID('paste from garc here'!$C$1,1+(('table for research'!$B146-1)*36+HEX2DEC('table for research'!AM$1))*2,2)</f>
        <v>00</v>
      </c>
      <c r="AN146" t="str">
        <f>MID('paste from garc here'!$C$1,1+(('table for research'!$B146-1)*36+HEX2DEC('table for research'!AN$1))*2,2)</f>
        <v>00</v>
      </c>
      <c r="AO146" t="str">
        <f>MID('paste from garc here'!$C$1,1+(('table for research'!$B146-1)*36+HEX2DEC('table for research'!AO$1))*2,2)</f>
        <v>00</v>
      </c>
    </row>
    <row r="147" spans="1:41" x14ac:dyDescent="0.4">
      <c r="A147" t="s">
        <v>150</v>
      </c>
      <c r="B147">
        <f>B146+1</f>
        <v>145</v>
      </c>
      <c r="C147" t="str">
        <f>MID('paste from garc here'!$C$1,1+(('table for research'!$B147-1)*36+HEX2DEC('table for research'!C$1))*2,2)</f>
        <v>05</v>
      </c>
      <c r="D147" t="str">
        <f>MID('paste from garc here'!$C$1,1+(('table for research'!$B147-1)*36+HEX2DEC('table for research'!D$1))*2,2)</f>
        <v>00</v>
      </c>
      <c r="E147" t="str">
        <f>MID('paste from garc here'!$C$1,1+(('table for research'!$B147-1)*36+HEX2DEC('table for research'!E$1))*2,2)</f>
        <v>00</v>
      </c>
      <c r="F147" t="str">
        <f>MID('paste from garc here'!$C$1,1+(('table for research'!$B147-1)*36+HEX2DEC('table for research'!F$1))*2,2)</f>
        <v>00</v>
      </c>
      <c r="G147" t="str">
        <f>MID('paste from garc here'!$C$1,1+(('table for research'!$B147-1)*36+HEX2DEC('table for research'!G$1))*2,2)</f>
        <v>00</v>
      </c>
      <c r="H147" t="str">
        <f>MID('paste from garc here'!$C$1,1+(('table for research'!$B147-1)*36+HEX2DEC('table for research'!H$1))*2,2)</f>
        <v>00</v>
      </c>
      <c r="I147" t="str">
        <f>MID('paste from garc here'!$C$1,1+(('table for research'!$B147-1)*36+HEX2DEC('table for research'!I$1))*2,2)</f>
        <v>00</v>
      </c>
      <c r="J147" t="str">
        <f>MID('paste from garc here'!$C$1,1+(('table for research'!$B147-1)*36+HEX2DEC('table for research'!J$1))*2,2)</f>
        <v>00</v>
      </c>
      <c r="K147" t="str">
        <f>DEC2HEX(_xlfn.BITAND(HEX2DEC(MID('paste from garc here'!$C$1,1+(('table for research'!$B147-1)*36+HEX2DEC(8))*2,2)),31),2)</f>
        <v>1F</v>
      </c>
      <c r="L147" t="str">
        <f>DEC2HEX(_xlfn.BITAND(HEX2DEC(MID('paste from garc here'!$C$1,1+(('table for research'!$B147-1)*36+HEX2DEC(8))*2,2)),32),2)</f>
        <v>00</v>
      </c>
      <c r="M147" t="str">
        <f>DEC2HEX(_xlfn.BITAND(HEX2DEC(MID('paste from garc here'!$C$1,1+(('table for research'!$B147-1)*36+HEX2DEC(8))*2,2)),64),2)</f>
        <v>00</v>
      </c>
      <c r="N147" t="str">
        <f>DEC2HEX(_xlfn.BITRSHIFT(_xlfn.BITAND(HEX2DEC(MID('paste from garc here'!$C$1,1+(('table for research'!$B147-1)*36+HEX2DEC(9))*2,2)&amp;MID('paste from garc here'!$C$1,1+(('table for research'!$B147-1)*36+HEX2DEC(8))*2,2)),1920),7),2)</f>
        <v>00</v>
      </c>
      <c r="O147" t="str">
        <f>DEC2HEX(_xlfn.BITRSHIFT(HEX2DEC(MID('paste from garc here'!$C$1,1+(('table for research'!$B147-1)*36+HEX2DEC(9))*2,2)&amp;MID('paste from garc here'!$C$1,1+(('table for research'!$B147-1)*36+HEX2DEC(8))*2,2)),11),2)</f>
        <v>00</v>
      </c>
      <c r="P147" t="str">
        <f>MID('paste from garc here'!$C$1,1+(('table for research'!$B147-1)*36+HEX2DEC('table for research'!P$1))*2,2)</f>
        <v>0B</v>
      </c>
      <c r="Q147" t="str">
        <f>MID('paste from garc here'!$C$1,1+(('table for research'!$B147-1)*36+HEX2DEC('table for research'!Q$1))*2,2)</f>
        <v>00</v>
      </c>
      <c r="R147" t="str">
        <f>MID('paste from garc here'!$C$1,1+(('table for research'!$B147-1)*36+HEX2DEC('table for research'!R$1))*2,2)</f>
        <v>00</v>
      </c>
      <c r="S147" t="str">
        <f>MID('paste from garc here'!$C$1,1+(('table for research'!$B147-1)*36+HEX2DEC('table for research'!S$1))*2,2)</f>
        <v>05</v>
      </c>
      <c r="T147" t="str">
        <f>MID('paste from garc here'!$C$1,1+(('table for research'!$B147-1)*36+HEX2DEC('table for research'!T$1))*2,2)</f>
        <v>00</v>
      </c>
      <c r="U147" t="str">
        <f>MID('paste from garc here'!$C$1,1+(('table for research'!$B147-1)*36+HEX2DEC('table for research'!U$1))*2,2)</f>
        <v>FF</v>
      </c>
      <c r="V147" t="str">
        <f>MID('paste from garc here'!$C$1,1+(('table for research'!$B147-1)*36+HEX2DEC('table for research'!V$1))*2,2)</f>
        <v>08</v>
      </c>
      <c r="W147" t="str">
        <f>MID('paste from garc here'!$C$1,1+(('table for research'!$B147-1)*36+HEX2DEC('table for research'!W$1))*2,2)</f>
        <v>00</v>
      </c>
      <c r="X147" t="str">
        <f>MID('paste from garc here'!$C$1,1+(('table for research'!$B147-1)*36+HEX2DEC('table for research'!X$1))*2,2)</f>
        <v>00</v>
      </c>
      <c r="Y147" t="str">
        <f>MID('paste from garc here'!$C$1,1+(('table for research'!$B147-1)*36+HEX2DEC('table for research'!Y$1))*2,2)</f>
        <v>00</v>
      </c>
      <c r="Z147" t="str">
        <f>MID('paste from garc here'!$C$1,1+(('table for research'!$B147-1)*36+HEX2DEC('table for research'!Z$1))*2,2)</f>
        <v>00</v>
      </c>
      <c r="AA147" t="str">
        <f>MID('paste from garc here'!$C$1,1+(('table for research'!$B147-1)*36+HEX2DEC('table for research'!AA$1))*2,2)</f>
        <v>00</v>
      </c>
      <c r="AB147" t="str">
        <f>MID('paste from garc here'!$C$1,1+(('table for research'!$B147-1)*36+HEX2DEC('table for research'!AB$1))*2,2)</f>
        <v>00</v>
      </c>
      <c r="AC147" t="str">
        <f>MID('paste from garc here'!$C$1,1+(('table for research'!$B147-1)*36+HEX2DEC('table for research'!AC$1))*2,2)</f>
        <v>00</v>
      </c>
      <c r="AD147" t="str">
        <f>MID('paste from garc here'!$C$1,1+(('table for research'!$B147-1)*36+HEX2DEC('table for research'!AD$1))*2,2)</f>
        <v>00</v>
      </c>
      <c r="AE147" t="str">
        <f>MID('paste from garc here'!$C$1,1+(('table for research'!$B147-1)*36+HEX2DEC('table for research'!AE$1))*2,2)</f>
        <v>00</v>
      </c>
      <c r="AF147" t="str">
        <f>MID('paste from garc here'!$C$1,1+(('table for research'!$B147-1)*36+HEX2DEC('table for research'!AF$1))*2,2)</f>
        <v>00</v>
      </c>
      <c r="AG147" t="str">
        <f>MID('paste from garc here'!$C$1,1+(('table for research'!$B147-1)*36+HEX2DEC('table for research'!AG$1))*2,2)</f>
        <v>00</v>
      </c>
      <c r="AH147" t="str">
        <f>MID('paste from garc here'!$C$1,1+(('table for research'!$B147-1)*36+HEX2DEC('table for research'!AH$1))*2,2)</f>
        <v>00</v>
      </c>
      <c r="AI147" t="str">
        <f>MID('paste from garc here'!$C$1,1+(('table for research'!$B147-1)*36+HEX2DEC('table for research'!AI$1))*2,2)</f>
        <v>00</v>
      </c>
      <c r="AJ147" t="str">
        <f>MID('paste from garc here'!$C$1,1+(('table for research'!$B147-1)*36+HEX2DEC('table for research'!AJ$1))*2,2)</f>
        <v>00</v>
      </c>
      <c r="AK147" t="str">
        <f>MID('paste from garc here'!$C$1,1+(('table for research'!$B147-1)*36+HEX2DEC('table for research'!AK$1))*2,2)</f>
        <v>00</v>
      </c>
      <c r="AL147" t="str">
        <f>MID('paste from garc here'!$C$1,1+(('table for research'!$B147-1)*36+HEX2DEC('table for research'!AL$1))*2,2)</f>
        <v>00</v>
      </c>
      <c r="AM147" t="str">
        <f>MID('paste from garc here'!$C$1,1+(('table for research'!$B147-1)*36+HEX2DEC('table for research'!AM$1))*2,2)</f>
        <v>00</v>
      </c>
      <c r="AN147" t="str">
        <f>MID('paste from garc here'!$C$1,1+(('table for research'!$B147-1)*36+HEX2DEC('table for research'!AN$1))*2,2)</f>
        <v>00</v>
      </c>
      <c r="AO147" t="str">
        <f>MID('paste from garc here'!$C$1,1+(('table for research'!$B147-1)*36+HEX2DEC('table for research'!AO$1))*2,2)</f>
        <v>00</v>
      </c>
    </row>
    <row r="148" spans="1:41" x14ac:dyDescent="0.4">
      <c r="A148" t="s">
        <v>151</v>
      </c>
      <c r="B148">
        <f>B147+1</f>
        <v>146</v>
      </c>
      <c r="C148" t="str">
        <f>MID('paste from garc here'!$C$1,1+(('table for research'!$B148-1)*36+HEX2DEC('table for research'!C$1))*2,2)</f>
        <v>05</v>
      </c>
      <c r="D148" t="str">
        <f>MID('paste from garc here'!$C$1,1+(('table for research'!$B148-1)*36+HEX2DEC('table for research'!D$1))*2,2)</f>
        <v>00</v>
      </c>
      <c r="E148" t="str">
        <f>MID('paste from garc here'!$C$1,1+(('table for research'!$B148-1)*36+HEX2DEC('table for research'!E$1))*2,2)</f>
        <v>00</v>
      </c>
      <c r="F148" t="str">
        <f>MID('paste from garc here'!$C$1,1+(('table for research'!$B148-1)*36+HEX2DEC('table for research'!F$1))*2,2)</f>
        <v>00</v>
      </c>
      <c r="G148" t="str">
        <f>MID('paste from garc here'!$C$1,1+(('table for research'!$B148-1)*36+HEX2DEC('table for research'!G$1))*2,2)</f>
        <v>00</v>
      </c>
      <c r="H148" t="str">
        <f>MID('paste from garc here'!$C$1,1+(('table for research'!$B148-1)*36+HEX2DEC('table for research'!H$1))*2,2)</f>
        <v>00</v>
      </c>
      <c r="I148" t="str">
        <f>MID('paste from garc here'!$C$1,1+(('table for research'!$B148-1)*36+HEX2DEC('table for research'!I$1))*2,2)</f>
        <v>00</v>
      </c>
      <c r="J148" t="str">
        <f>MID('paste from garc here'!$C$1,1+(('table for research'!$B148-1)*36+HEX2DEC('table for research'!J$1))*2,2)</f>
        <v>00</v>
      </c>
      <c r="K148" t="str">
        <f>DEC2HEX(_xlfn.BITAND(HEX2DEC(MID('paste from garc here'!$C$1,1+(('table for research'!$B148-1)*36+HEX2DEC(8))*2,2)),31),2)</f>
        <v>1F</v>
      </c>
      <c r="L148" t="str">
        <f>DEC2HEX(_xlfn.BITAND(HEX2DEC(MID('paste from garc here'!$C$1,1+(('table for research'!$B148-1)*36+HEX2DEC(8))*2,2)),32),2)</f>
        <v>00</v>
      </c>
      <c r="M148" t="str">
        <f>DEC2HEX(_xlfn.BITAND(HEX2DEC(MID('paste from garc here'!$C$1,1+(('table for research'!$B148-1)*36+HEX2DEC(8))*2,2)),64),2)</f>
        <v>00</v>
      </c>
      <c r="N148" t="str">
        <f>DEC2HEX(_xlfn.BITRSHIFT(_xlfn.BITAND(HEX2DEC(MID('paste from garc here'!$C$1,1+(('table for research'!$B148-1)*36+HEX2DEC(9))*2,2)&amp;MID('paste from garc here'!$C$1,1+(('table for research'!$B148-1)*36+HEX2DEC(8))*2,2)),1920),7),2)</f>
        <v>00</v>
      </c>
      <c r="O148" t="str">
        <f>DEC2HEX(_xlfn.BITRSHIFT(HEX2DEC(MID('paste from garc here'!$C$1,1+(('table for research'!$B148-1)*36+HEX2DEC(9))*2,2)&amp;MID('paste from garc here'!$C$1,1+(('table for research'!$B148-1)*36+HEX2DEC(8))*2,2)),11),2)</f>
        <v>00</v>
      </c>
      <c r="P148" t="str">
        <f>MID('paste from garc here'!$C$1,1+(('table for research'!$B148-1)*36+HEX2DEC('table for research'!P$1))*2,2)</f>
        <v>0B</v>
      </c>
      <c r="Q148" t="str">
        <f>MID('paste from garc here'!$C$1,1+(('table for research'!$B148-1)*36+HEX2DEC('table for research'!Q$1))*2,2)</f>
        <v>00</v>
      </c>
      <c r="R148" t="str">
        <f>MID('paste from garc here'!$C$1,1+(('table for research'!$B148-1)*36+HEX2DEC('table for research'!R$1))*2,2)</f>
        <v>00</v>
      </c>
      <c r="S148" t="str">
        <f>MID('paste from garc here'!$C$1,1+(('table for research'!$B148-1)*36+HEX2DEC('table for research'!S$1))*2,2)</f>
        <v>05</v>
      </c>
      <c r="T148" t="str">
        <f>MID('paste from garc here'!$C$1,1+(('table for research'!$B148-1)*36+HEX2DEC('table for research'!T$1))*2,2)</f>
        <v>00</v>
      </c>
      <c r="U148" t="str">
        <f>MID('paste from garc here'!$C$1,1+(('table for research'!$B148-1)*36+HEX2DEC('table for research'!U$1))*2,2)</f>
        <v>FF</v>
      </c>
      <c r="V148" t="str">
        <f>MID('paste from garc here'!$C$1,1+(('table for research'!$B148-1)*36+HEX2DEC('table for research'!V$1))*2,2)</f>
        <v>09</v>
      </c>
      <c r="W148" t="str">
        <f>MID('paste from garc here'!$C$1,1+(('table for research'!$B148-1)*36+HEX2DEC('table for research'!W$1))*2,2)</f>
        <v>00</v>
      </c>
      <c r="X148" t="str">
        <f>MID('paste from garc here'!$C$1,1+(('table for research'!$B148-1)*36+HEX2DEC('table for research'!X$1))*2,2)</f>
        <v>00</v>
      </c>
      <c r="Y148" t="str">
        <f>MID('paste from garc here'!$C$1,1+(('table for research'!$B148-1)*36+HEX2DEC('table for research'!Y$1))*2,2)</f>
        <v>00</v>
      </c>
      <c r="Z148" t="str">
        <f>MID('paste from garc here'!$C$1,1+(('table for research'!$B148-1)*36+HEX2DEC('table for research'!Z$1))*2,2)</f>
        <v>00</v>
      </c>
      <c r="AA148" t="str">
        <f>MID('paste from garc here'!$C$1,1+(('table for research'!$B148-1)*36+HEX2DEC('table for research'!AA$1))*2,2)</f>
        <v>00</v>
      </c>
      <c r="AB148" t="str">
        <f>MID('paste from garc here'!$C$1,1+(('table for research'!$B148-1)*36+HEX2DEC('table for research'!AB$1))*2,2)</f>
        <v>00</v>
      </c>
      <c r="AC148" t="str">
        <f>MID('paste from garc here'!$C$1,1+(('table for research'!$B148-1)*36+HEX2DEC('table for research'!AC$1))*2,2)</f>
        <v>00</v>
      </c>
      <c r="AD148" t="str">
        <f>MID('paste from garc here'!$C$1,1+(('table for research'!$B148-1)*36+HEX2DEC('table for research'!AD$1))*2,2)</f>
        <v>00</v>
      </c>
      <c r="AE148" t="str">
        <f>MID('paste from garc here'!$C$1,1+(('table for research'!$B148-1)*36+HEX2DEC('table for research'!AE$1))*2,2)</f>
        <v>00</v>
      </c>
      <c r="AF148" t="str">
        <f>MID('paste from garc here'!$C$1,1+(('table for research'!$B148-1)*36+HEX2DEC('table for research'!AF$1))*2,2)</f>
        <v>00</v>
      </c>
      <c r="AG148" t="str">
        <f>MID('paste from garc here'!$C$1,1+(('table for research'!$B148-1)*36+HEX2DEC('table for research'!AG$1))*2,2)</f>
        <v>00</v>
      </c>
      <c r="AH148" t="str">
        <f>MID('paste from garc here'!$C$1,1+(('table for research'!$B148-1)*36+HEX2DEC('table for research'!AH$1))*2,2)</f>
        <v>00</v>
      </c>
      <c r="AI148" t="str">
        <f>MID('paste from garc here'!$C$1,1+(('table for research'!$B148-1)*36+HEX2DEC('table for research'!AI$1))*2,2)</f>
        <v>00</v>
      </c>
      <c r="AJ148" t="str">
        <f>MID('paste from garc here'!$C$1,1+(('table for research'!$B148-1)*36+HEX2DEC('table for research'!AJ$1))*2,2)</f>
        <v>00</v>
      </c>
      <c r="AK148" t="str">
        <f>MID('paste from garc here'!$C$1,1+(('table for research'!$B148-1)*36+HEX2DEC('table for research'!AK$1))*2,2)</f>
        <v>00</v>
      </c>
      <c r="AL148" t="str">
        <f>MID('paste from garc here'!$C$1,1+(('table for research'!$B148-1)*36+HEX2DEC('table for research'!AL$1))*2,2)</f>
        <v>00</v>
      </c>
      <c r="AM148" t="str">
        <f>MID('paste from garc here'!$C$1,1+(('table for research'!$B148-1)*36+HEX2DEC('table for research'!AM$1))*2,2)</f>
        <v>00</v>
      </c>
      <c r="AN148" t="str">
        <f>MID('paste from garc here'!$C$1,1+(('table for research'!$B148-1)*36+HEX2DEC('table for research'!AN$1))*2,2)</f>
        <v>00</v>
      </c>
      <c r="AO148" t="str">
        <f>MID('paste from garc here'!$C$1,1+(('table for research'!$B148-1)*36+HEX2DEC('table for research'!AO$1))*2,2)</f>
        <v>00</v>
      </c>
    </row>
    <row r="149" spans="1:41" x14ac:dyDescent="0.4">
      <c r="A149" t="s">
        <v>152</v>
      </c>
      <c r="B149">
        <f>B148+1</f>
        <v>147</v>
      </c>
      <c r="C149" t="str">
        <f>MID('paste from garc here'!$C$1,1+(('table for research'!$B149-1)*36+HEX2DEC('table for research'!C$1))*2,2)</f>
        <v>05</v>
      </c>
      <c r="D149" t="str">
        <f>MID('paste from garc here'!$C$1,1+(('table for research'!$B149-1)*36+HEX2DEC('table for research'!D$1))*2,2)</f>
        <v>00</v>
      </c>
      <c r="E149" t="str">
        <f>MID('paste from garc here'!$C$1,1+(('table for research'!$B149-1)*36+HEX2DEC('table for research'!E$1))*2,2)</f>
        <v>00</v>
      </c>
      <c r="F149" t="str">
        <f>MID('paste from garc here'!$C$1,1+(('table for research'!$B149-1)*36+HEX2DEC('table for research'!F$1))*2,2)</f>
        <v>00</v>
      </c>
      <c r="G149" t="str">
        <f>MID('paste from garc here'!$C$1,1+(('table for research'!$B149-1)*36+HEX2DEC('table for research'!G$1))*2,2)</f>
        <v>00</v>
      </c>
      <c r="H149" t="str">
        <f>MID('paste from garc here'!$C$1,1+(('table for research'!$B149-1)*36+HEX2DEC('table for research'!H$1))*2,2)</f>
        <v>00</v>
      </c>
      <c r="I149" t="str">
        <f>MID('paste from garc here'!$C$1,1+(('table for research'!$B149-1)*36+HEX2DEC('table for research'!I$1))*2,2)</f>
        <v>00</v>
      </c>
      <c r="J149" t="str">
        <f>MID('paste from garc here'!$C$1,1+(('table for research'!$B149-1)*36+HEX2DEC('table for research'!J$1))*2,2)</f>
        <v>00</v>
      </c>
      <c r="K149" t="str">
        <f>DEC2HEX(_xlfn.BITAND(HEX2DEC(MID('paste from garc here'!$C$1,1+(('table for research'!$B149-1)*36+HEX2DEC(8))*2,2)),31),2)</f>
        <v>1F</v>
      </c>
      <c r="L149" t="str">
        <f>DEC2HEX(_xlfn.BITAND(HEX2DEC(MID('paste from garc here'!$C$1,1+(('table for research'!$B149-1)*36+HEX2DEC(8))*2,2)),32),2)</f>
        <v>00</v>
      </c>
      <c r="M149" t="str">
        <f>DEC2HEX(_xlfn.BITAND(HEX2DEC(MID('paste from garc here'!$C$1,1+(('table for research'!$B149-1)*36+HEX2DEC(8))*2,2)),64),2)</f>
        <v>00</v>
      </c>
      <c r="N149" t="str">
        <f>DEC2HEX(_xlfn.BITRSHIFT(_xlfn.BITAND(HEX2DEC(MID('paste from garc here'!$C$1,1+(('table for research'!$B149-1)*36+HEX2DEC(9))*2,2)&amp;MID('paste from garc here'!$C$1,1+(('table for research'!$B149-1)*36+HEX2DEC(8))*2,2)),1920),7),2)</f>
        <v>00</v>
      </c>
      <c r="O149" t="str">
        <f>DEC2HEX(_xlfn.BITRSHIFT(HEX2DEC(MID('paste from garc here'!$C$1,1+(('table for research'!$B149-1)*36+HEX2DEC(9))*2,2)&amp;MID('paste from garc here'!$C$1,1+(('table for research'!$B149-1)*36+HEX2DEC(8))*2,2)),11),2)</f>
        <v>00</v>
      </c>
      <c r="P149" t="str">
        <f>MID('paste from garc here'!$C$1,1+(('table for research'!$B149-1)*36+HEX2DEC('table for research'!P$1))*2,2)</f>
        <v>0B</v>
      </c>
      <c r="Q149" t="str">
        <f>MID('paste from garc here'!$C$1,1+(('table for research'!$B149-1)*36+HEX2DEC('table for research'!Q$1))*2,2)</f>
        <v>00</v>
      </c>
      <c r="R149" t="str">
        <f>MID('paste from garc here'!$C$1,1+(('table for research'!$B149-1)*36+HEX2DEC('table for research'!R$1))*2,2)</f>
        <v>00</v>
      </c>
      <c r="S149" t="str">
        <f>MID('paste from garc here'!$C$1,1+(('table for research'!$B149-1)*36+HEX2DEC('table for research'!S$1))*2,2)</f>
        <v>05</v>
      </c>
      <c r="T149" t="str">
        <f>MID('paste from garc here'!$C$1,1+(('table for research'!$B149-1)*36+HEX2DEC('table for research'!T$1))*2,2)</f>
        <v>00</v>
      </c>
      <c r="U149" t="str">
        <f>MID('paste from garc here'!$C$1,1+(('table for research'!$B149-1)*36+HEX2DEC('table for research'!U$1))*2,2)</f>
        <v>FF</v>
      </c>
      <c r="V149" t="str">
        <f>MID('paste from garc here'!$C$1,1+(('table for research'!$B149-1)*36+HEX2DEC('table for research'!V$1))*2,2)</f>
        <v>0A</v>
      </c>
      <c r="W149" t="str">
        <f>MID('paste from garc here'!$C$1,1+(('table for research'!$B149-1)*36+HEX2DEC('table for research'!W$1))*2,2)</f>
        <v>00</v>
      </c>
      <c r="X149" t="str">
        <f>MID('paste from garc here'!$C$1,1+(('table for research'!$B149-1)*36+HEX2DEC('table for research'!X$1))*2,2)</f>
        <v>00</v>
      </c>
      <c r="Y149" t="str">
        <f>MID('paste from garc here'!$C$1,1+(('table for research'!$B149-1)*36+HEX2DEC('table for research'!Y$1))*2,2)</f>
        <v>00</v>
      </c>
      <c r="Z149" t="str">
        <f>MID('paste from garc here'!$C$1,1+(('table for research'!$B149-1)*36+HEX2DEC('table for research'!Z$1))*2,2)</f>
        <v>00</v>
      </c>
      <c r="AA149" t="str">
        <f>MID('paste from garc here'!$C$1,1+(('table for research'!$B149-1)*36+HEX2DEC('table for research'!AA$1))*2,2)</f>
        <v>00</v>
      </c>
      <c r="AB149" t="str">
        <f>MID('paste from garc here'!$C$1,1+(('table for research'!$B149-1)*36+HEX2DEC('table for research'!AB$1))*2,2)</f>
        <v>00</v>
      </c>
      <c r="AC149" t="str">
        <f>MID('paste from garc here'!$C$1,1+(('table for research'!$B149-1)*36+HEX2DEC('table for research'!AC$1))*2,2)</f>
        <v>00</v>
      </c>
      <c r="AD149" t="str">
        <f>MID('paste from garc here'!$C$1,1+(('table for research'!$B149-1)*36+HEX2DEC('table for research'!AD$1))*2,2)</f>
        <v>00</v>
      </c>
      <c r="AE149" t="str">
        <f>MID('paste from garc here'!$C$1,1+(('table for research'!$B149-1)*36+HEX2DEC('table for research'!AE$1))*2,2)</f>
        <v>00</v>
      </c>
      <c r="AF149" t="str">
        <f>MID('paste from garc here'!$C$1,1+(('table for research'!$B149-1)*36+HEX2DEC('table for research'!AF$1))*2,2)</f>
        <v>00</v>
      </c>
      <c r="AG149" t="str">
        <f>MID('paste from garc here'!$C$1,1+(('table for research'!$B149-1)*36+HEX2DEC('table for research'!AG$1))*2,2)</f>
        <v>00</v>
      </c>
      <c r="AH149" t="str">
        <f>MID('paste from garc here'!$C$1,1+(('table for research'!$B149-1)*36+HEX2DEC('table for research'!AH$1))*2,2)</f>
        <v>00</v>
      </c>
      <c r="AI149" t="str">
        <f>MID('paste from garc here'!$C$1,1+(('table for research'!$B149-1)*36+HEX2DEC('table for research'!AI$1))*2,2)</f>
        <v>00</v>
      </c>
      <c r="AJ149" t="str">
        <f>MID('paste from garc here'!$C$1,1+(('table for research'!$B149-1)*36+HEX2DEC('table for research'!AJ$1))*2,2)</f>
        <v>00</v>
      </c>
      <c r="AK149" t="str">
        <f>MID('paste from garc here'!$C$1,1+(('table for research'!$B149-1)*36+HEX2DEC('table for research'!AK$1))*2,2)</f>
        <v>00</v>
      </c>
      <c r="AL149" t="str">
        <f>MID('paste from garc here'!$C$1,1+(('table for research'!$B149-1)*36+HEX2DEC('table for research'!AL$1))*2,2)</f>
        <v>00</v>
      </c>
      <c r="AM149" t="str">
        <f>MID('paste from garc here'!$C$1,1+(('table for research'!$B149-1)*36+HEX2DEC('table for research'!AM$1))*2,2)</f>
        <v>00</v>
      </c>
      <c r="AN149" t="str">
        <f>MID('paste from garc here'!$C$1,1+(('table for research'!$B149-1)*36+HEX2DEC('table for research'!AN$1))*2,2)</f>
        <v>00</v>
      </c>
      <c r="AO149" t="str">
        <f>MID('paste from garc here'!$C$1,1+(('table for research'!$B149-1)*36+HEX2DEC('table for research'!AO$1))*2,2)</f>
        <v>00</v>
      </c>
    </row>
    <row r="150" spans="1:41" x14ac:dyDescent="0.4">
      <c r="A150" t="s">
        <v>153</v>
      </c>
      <c r="B150">
        <f>B149+1</f>
        <v>148</v>
      </c>
      <c r="C150" t="str">
        <f>MID('paste from garc here'!$C$1,1+(('table for research'!$B150-1)*36+HEX2DEC('table for research'!C$1))*2,2)</f>
        <v>05</v>
      </c>
      <c r="D150" t="str">
        <f>MID('paste from garc here'!$C$1,1+(('table for research'!$B150-1)*36+HEX2DEC('table for research'!D$1))*2,2)</f>
        <v>00</v>
      </c>
      <c r="E150" t="str">
        <f>MID('paste from garc here'!$C$1,1+(('table for research'!$B150-1)*36+HEX2DEC('table for research'!E$1))*2,2)</f>
        <v>00</v>
      </c>
      <c r="F150" t="str">
        <f>MID('paste from garc here'!$C$1,1+(('table for research'!$B150-1)*36+HEX2DEC('table for research'!F$1))*2,2)</f>
        <v>00</v>
      </c>
      <c r="G150" t="str">
        <f>MID('paste from garc here'!$C$1,1+(('table for research'!$B150-1)*36+HEX2DEC('table for research'!G$1))*2,2)</f>
        <v>00</v>
      </c>
      <c r="H150" t="str">
        <f>MID('paste from garc here'!$C$1,1+(('table for research'!$B150-1)*36+HEX2DEC('table for research'!H$1))*2,2)</f>
        <v>00</v>
      </c>
      <c r="I150" t="str">
        <f>MID('paste from garc here'!$C$1,1+(('table for research'!$B150-1)*36+HEX2DEC('table for research'!I$1))*2,2)</f>
        <v>00</v>
      </c>
      <c r="J150" t="str">
        <f>MID('paste from garc here'!$C$1,1+(('table for research'!$B150-1)*36+HEX2DEC('table for research'!J$1))*2,2)</f>
        <v>00</v>
      </c>
      <c r="K150" t="str">
        <f>DEC2HEX(_xlfn.BITAND(HEX2DEC(MID('paste from garc here'!$C$1,1+(('table for research'!$B150-1)*36+HEX2DEC(8))*2,2)),31),2)</f>
        <v>1F</v>
      </c>
      <c r="L150" t="str">
        <f>DEC2HEX(_xlfn.BITAND(HEX2DEC(MID('paste from garc here'!$C$1,1+(('table for research'!$B150-1)*36+HEX2DEC(8))*2,2)),32),2)</f>
        <v>00</v>
      </c>
      <c r="M150" t="str">
        <f>DEC2HEX(_xlfn.BITAND(HEX2DEC(MID('paste from garc here'!$C$1,1+(('table for research'!$B150-1)*36+HEX2DEC(8))*2,2)),64),2)</f>
        <v>00</v>
      </c>
      <c r="N150" t="str">
        <f>DEC2HEX(_xlfn.BITRSHIFT(_xlfn.BITAND(HEX2DEC(MID('paste from garc here'!$C$1,1+(('table for research'!$B150-1)*36+HEX2DEC(9))*2,2)&amp;MID('paste from garc here'!$C$1,1+(('table for research'!$B150-1)*36+HEX2DEC(8))*2,2)),1920),7),2)</f>
        <v>00</v>
      </c>
      <c r="O150" t="str">
        <f>DEC2HEX(_xlfn.BITRSHIFT(HEX2DEC(MID('paste from garc here'!$C$1,1+(('table for research'!$B150-1)*36+HEX2DEC(9))*2,2)&amp;MID('paste from garc here'!$C$1,1+(('table for research'!$B150-1)*36+HEX2DEC(8))*2,2)),11),2)</f>
        <v>00</v>
      </c>
      <c r="P150" t="str">
        <f>MID('paste from garc here'!$C$1,1+(('table for research'!$B150-1)*36+HEX2DEC('table for research'!P$1))*2,2)</f>
        <v>0B</v>
      </c>
      <c r="Q150" t="str">
        <f>MID('paste from garc here'!$C$1,1+(('table for research'!$B150-1)*36+HEX2DEC('table for research'!Q$1))*2,2)</f>
        <v>00</v>
      </c>
      <c r="R150" t="str">
        <f>MID('paste from garc here'!$C$1,1+(('table for research'!$B150-1)*36+HEX2DEC('table for research'!R$1))*2,2)</f>
        <v>00</v>
      </c>
      <c r="S150" t="str">
        <f>MID('paste from garc here'!$C$1,1+(('table for research'!$B150-1)*36+HEX2DEC('table for research'!S$1))*2,2)</f>
        <v>05</v>
      </c>
      <c r="T150" t="str">
        <f>MID('paste from garc here'!$C$1,1+(('table for research'!$B150-1)*36+HEX2DEC('table for research'!T$1))*2,2)</f>
        <v>00</v>
      </c>
      <c r="U150" t="str">
        <f>MID('paste from garc here'!$C$1,1+(('table for research'!$B150-1)*36+HEX2DEC('table for research'!U$1))*2,2)</f>
        <v>FF</v>
      </c>
      <c r="V150" t="str">
        <f>MID('paste from garc here'!$C$1,1+(('table for research'!$B150-1)*36+HEX2DEC('table for research'!V$1))*2,2)</f>
        <v>0B</v>
      </c>
      <c r="W150" t="str">
        <f>MID('paste from garc here'!$C$1,1+(('table for research'!$B150-1)*36+HEX2DEC('table for research'!W$1))*2,2)</f>
        <v>00</v>
      </c>
      <c r="X150" t="str">
        <f>MID('paste from garc here'!$C$1,1+(('table for research'!$B150-1)*36+HEX2DEC('table for research'!X$1))*2,2)</f>
        <v>00</v>
      </c>
      <c r="Y150" t="str">
        <f>MID('paste from garc here'!$C$1,1+(('table for research'!$B150-1)*36+HEX2DEC('table for research'!Y$1))*2,2)</f>
        <v>00</v>
      </c>
      <c r="Z150" t="str">
        <f>MID('paste from garc here'!$C$1,1+(('table for research'!$B150-1)*36+HEX2DEC('table for research'!Z$1))*2,2)</f>
        <v>00</v>
      </c>
      <c r="AA150" t="str">
        <f>MID('paste from garc here'!$C$1,1+(('table for research'!$B150-1)*36+HEX2DEC('table for research'!AA$1))*2,2)</f>
        <v>00</v>
      </c>
      <c r="AB150" t="str">
        <f>MID('paste from garc here'!$C$1,1+(('table for research'!$B150-1)*36+HEX2DEC('table for research'!AB$1))*2,2)</f>
        <v>00</v>
      </c>
      <c r="AC150" t="str">
        <f>MID('paste from garc here'!$C$1,1+(('table for research'!$B150-1)*36+HEX2DEC('table for research'!AC$1))*2,2)</f>
        <v>00</v>
      </c>
      <c r="AD150" t="str">
        <f>MID('paste from garc here'!$C$1,1+(('table for research'!$B150-1)*36+HEX2DEC('table for research'!AD$1))*2,2)</f>
        <v>00</v>
      </c>
      <c r="AE150" t="str">
        <f>MID('paste from garc here'!$C$1,1+(('table for research'!$B150-1)*36+HEX2DEC('table for research'!AE$1))*2,2)</f>
        <v>00</v>
      </c>
      <c r="AF150" t="str">
        <f>MID('paste from garc here'!$C$1,1+(('table for research'!$B150-1)*36+HEX2DEC('table for research'!AF$1))*2,2)</f>
        <v>00</v>
      </c>
      <c r="AG150" t="str">
        <f>MID('paste from garc here'!$C$1,1+(('table for research'!$B150-1)*36+HEX2DEC('table for research'!AG$1))*2,2)</f>
        <v>00</v>
      </c>
      <c r="AH150" t="str">
        <f>MID('paste from garc here'!$C$1,1+(('table for research'!$B150-1)*36+HEX2DEC('table for research'!AH$1))*2,2)</f>
        <v>00</v>
      </c>
      <c r="AI150" t="str">
        <f>MID('paste from garc here'!$C$1,1+(('table for research'!$B150-1)*36+HEX2DEC('table for research'!AI$1))*2,2)</f>
        <v>00</v>
      </c>
      <c r="AJ150" t="str">
        <f>MID('paste from garc here'!$C$1,1+(('table for research'!$B150-1)*36+HEX2DEC('table for research'!AJ$1))*2,2)</f>
        <v>00</v>
      </c>
      <c r="AK150" t="str">
        <f>MID('paste from garc here'!$C$1,1+(('table for research'!$B150-1)*36+HEX2DEC('table for research'!AK$1))*2,2)</f>
        <v>00</v>
      </c>
      <c r="AL150" t="str">
        <f>MID('paste from garc here'!$C$1,1+(('table for research'!$B150-1)*36+HEX2DEC('table for research'!AL$1))*2,2)</f>
        <v>00</v>
      </c>
      <c r="AM150" t="str">
        <f>MID('paste from garc here'!$C$1,1+(('table for research'!$B150-1)*36+HEX2DEC('table for research'!AM$1))*2,2)</f>
        <v>00</v>
      </c>
      <c r="AN150" t="str">
        <f>MID('paste from garc here'!$C$1,1+(('table for research'!$B150-1)*36+HEX2DEC('table for research'!AN$1))*2,2)</f>
        <v>00</v>
      </c>
      <c r="AO150" t="str">
        <f>MID('paste from garc here'!$C$1,1+(('table for research'!$B150-1)*36+HEX2DEC('table for research'!AO$1))*2,2)</f>
        <v>00</v>
      </c>
    </row>
    <row r="151" spans="1:41" x14ac:dyDescent="0.4">
      <c r="A151" t="s">
        <v>154</v>
      </c>
      <c r="B151">
        <f>B150+1</f>
        <v>149</v>
      </c>
      <c r="C151" t="str">
        <f>MID('paste from garc here'!$C$1,1+(('table for research'!$B151-1)*36+HEX2DEC('table for research'!C$1))*2,2)</f>
        <v>02</v>
      </c>
      <c r="D151" t="str">
        <f>MID('paste from garc here'!$C$1,1+(('table for research'!$B151-1)*36+HEX2DEC('table for research'!D$1))*2,2)</f>
        <v>00</v>
      </c>
      <c r="E151" t="str">
        <f>MID('paste from garc here'!$C$1,1+(('table for research'!$B151-1)*36+HEX2DEC('table for research'!E$1))*2,2)</f>
        <v>05</v>
      </c>
      <c r="F151" t="str">
        <f>MID('paste from garc here'!$C$1,1+(('table for research'!$B151-1)*36+HEX2DEC('table for research'!F$1))*2,2)</f>
        <v>00</v>
      </c>
      <c r="G151" t="str">
        <f>MID('paste from garc here'!$C$1,1+(('table for research'!$B151-1)*36+HEX2DEC('table for research'!G$1))*2,2)</f>
        <v>01</v>
      </c>
      <c r="H151" t="str">
        <f>MID('paste from garc here'!$C$1,1+(('table for research'!$B151-1)*36+HEX2DEC('table for research'!H$1))*2,2)</f>
        <v>01</v>
      </c>
      <c r="I151" t="str">
        <f>MID('paste from garc here'!$C$1,1+(('table for research'!$B151-1)*36+HEX2DEC('table for research'!I$1))*2,2)</f>
        <v>0A</v>
      </c>
      <c r="J151" t="str">
        <f>MID('paste from garc here'!$C$1,1+(('table for research'!$B151-1)*36+HEX2DEC('table for research'!J$1))*2,2)</f>
        <v>50</v>
      </c>
      <c r="K151" t="str">
        <f>DEC2HEX(_xlfn.BITAND(HEX2DEC(MID('paste from garc here'!$C$1,1+(('table for research'!$B151-1)*36+HEX2DEC(8))*2,2)),31),2)</f>
        <v>09</v>
      </c>
      <c r="L151" t="str">
        <f>DEC2HEX(_xlfn.BITAND(HEX2DEC(MID('paste from garc here'!$C$1,1+(('table for research'!$B151-1)*36+HEX2DEC(8))*2,2)),32),2)</f>
        <v>00</v>
      </c>
      <c r="M151" t="str">
        <f>DEC2HEX(_xlfn.BITAND(HEX2DEC(MID('paste from garc here'!$C$1,1+(('table for research'!$B151-1)*36+HEX2DEC(8))*2,2)),64),2)</f>
        <v>00</v>
      </c>
      <c r="N151" t="str">
        <f>DEC2HEX(_xlfn.BITRSHIFT(_xlfn.BITAND(HEX2DEC(MID('paste from garc here'!$C$1,1+(('table for research'!$B151-1)*36+HEX2DEC(9))*2,2)&amp;MID('paste from garc here'!$C$1,1+(('table for research'!$B151-1)*36+HEX2DEC(8))*2,2)),1920),7),2)</f>
        <v>03</v>
      </c>
      <c r="O151" t="str">
        <f>DEC2HEX(_xlfn.BITRSHIFT(HEX2DEC(MID('paste from garc here'!$C$1,1+(('table for research'!$B151-1)*36+HEX2DEC(9))*2,2)&amp;MID('paste from garc here'!$C$1,1+(('table for research'!$B151-1)*36+HEX2DEC(8))*2,2)),11),2)</f>
        <v>08</v>
      </c>
      <c r="P151" t="str">
        <f>MID('paste from garc here'!$C$1,1+(('table for research'!$B151-1)*36+HEX2DEC('table for research'!P$1))*2,2)</f>
        <v>0C</v>
      </c>
      <c r="Q151" t="str">
        <f>MID('paste from garc here'!$C$1,1+(('table for research'!$B151-1)*36+HEX2DEC('table for research'!Q$1))*2,2)</f>
        <v>00</v>
      </c>
      <c r="R151" t="str">
        <f>MID('paste from garc here'!$C$1,1+(('table for research'!$B151-1)*36+HEX2DEC('table for research'!R$1))*2,2)</f>
        <v>01</v>
      </c>
      <c r="S151" t="str">
        <f>MID('paste from garc here'!$C$1,1+(('table for research'!$B151-1)*36+HEX2DEC('table for research'!S$1))*2,2)</f>
        <v>07</v>
      </c>
      <c r="T151" t="str">
        <f>MID('paste from garc here'!$C$1,1+(('table for research'!$B151-1)*36+HEX2DEC('table for research'!T$1))*2,2)</f>
        <v>01</v>
      </c>
      <c r="U151" t="str">
        <f>MID('paste from garc here'!$C$1,1+(('table for research'!$B151-1)*36+HEX2DEC('table for research'!U$1))*2,2)</f>
        <v>00</v>
      </c>
      <c r="V151" t="str">
        <f>MID('paste from garc here'!$C$1,1+(('table for research'!$B151-1)*36+HEX2DEC('table for research'!V$1))*2,2)</f>
        <v>10</v>
      </c>
      <c r="W151" t="str">
        <f>MID('paste from garc here'!$C$1,1+(('table for research'!$B151-1)*36+HEX2DEC('table for research'!W$1))*2,2)</f>
        <v>00</v>
      </c>
      <c r="X151" t="str">
        <f>MID('paste from garc here'!$C$1,1+(('table for research'!$B151-1)*36+HEX2DEC('table for research'!X$1))*2,2)</f>
        <v>00</v>
      </c>
      <c r="Y151" t="str">
        <f>MID('paste from garc here'!$C$1,1+(('table for research'!$B151-1)*36+HEX2DEC('table for research'!Y$1))*2,2)</f>
        <v>00</v>
      </c>
      <c r="Z151" t="str">
        <f>MID('paste from garc here'!$C$1,1+(('table for research'!$B151-1)*36+HEX2DEC('table for research'!Z$1))*2,2)</f>
        <v>00</v>
      </c>
      <c r="AA151" t="str">
        <f>MID('paste from garc here'!$C$1,1+(('table for research'!$B151-1)*36+HEX2DEC('table for research'!AA$1))*2,2)</f>
        <v>00</v>
      </c>
      <c r="AB151" t="str">
        <f>MID('paste from garc here'!$C$1,1+(('table for research'!$B151-1)*36+HEX2DEC('table for research'!AB$1))*2,2)</f>
        <v>00</v>
      </c>
      <c r="AC151" t="str">
        <f>MID('paste from garc here'!$C$1,1+(('table for research'!$B151-1)*36+HEX2DEC('table for research'!AC$1))*2,2)</f>
        <v>00</v>
      </c>
      <c r="AD151" t="str">
        <f>MID('paste from garc here'!$C$1,1+(('table for research'!$B151-1)*36+HEX2DEC('table for research'!AD$1))*2,2)</f>
        <v>00</v>
      </c>
      <c r="AE151" t="str">
        <f>MID('paste from garc here'!$C$1,1+(('table for research'!$B151-1)*36+HEX2DEC('table for research'!AE$1))*2,2)</f>
        <v>00</v>
      </c>
      <c r="AF151" t="str">
        <f>MID('paste from garc here'!$C$1,1+(('table for research'!$B151-1)*36+HEX2DEC('table for research'!AF$1))*2,2)</f>
        <v>00</v>
      </c>
      <c r="AG151" t="str">
        <f>MID('paste from garc here'!$C$1,1+(('table for research'!$B151-1)*36+HEX2DEC('table for research'!AG$1))*2,2)</f>
        <v>00</v>
      </c>
      <c r="AH151" t="str">
        <f>MID('paste from garc here'!$C$1,1+(('table for research'!$B151-1)*36+HEX2DEC('table for research'!AH$1))*2,2)</f>
        <v>00</v>
      </c>
      <c r="AI151" t="str">
        <f>MID('paste from garc here'!$C$1,1+(('table for research'!$B151-1)*36+HEX2DEC('table for research'!AI$1))*2,2)</f>
        <v>00</v>
      </c>
      <c r="AJ151" t="str">
        <f>MID('paste from garc here'!$C$1,1+(('table for research'!$B151-1)*36+HEX2DEC('table for research'!AJ$1))*2,2)</f>
        <v>00</v>
      </c>
      <c r="AK151" t="str">
        <f>MID('paste from garc here'!$C$1,1+(('table for research'!$B151-1)*36+HEX2DEC('table for research'!AK$1))*2,2)</f>
        <v>00</v>
      </c>
      <c r="AL151" t="str">
        <f>MID('paste from garc here'!$C$1,1+(('table for research'!$B151-1)*36+HEX2DEC('table for research'!AL$1))*2,2)</f>
        <v>00</v>
      </c>
      <c r="AM151" t="str">
        <f>MID('paste from garc here'!$C$1,1+(('table for research'!$B151-1)*36+HEX2DEC('table for research'!AM$1))*2,2)</f>
        <v>00</v>
      </c>
      <c r="AN151" t="str">
        <f>MID('paste from garc here'!$C$1,1+(('table for research'!$B151-1)*36+HEX2DEC('table for research'!AN$1))*2,2)</f>
        <v>00</v>
      </c>
      <c r="AO151" t="str">
        <f>MID('paste from garc here'!$C$1,1+(('table for research'!$B151-1)*36+HEX2DEC('table for research'!AO$1))*2,2)</f>
        <v>00</v>
      </c>
    </row>
    <row r="152" spans="1:41" x14ac:dyDescent="0.4">
      <c r="A152" t="s">
        <v>155</v>
      </c>
      <c r="B152">
        <f>B151+1</f>
        <v>150</v>
      </c>
      <c r="C152" t="str">
        <f>MID('paste from garc here'!$C$1,1+(('table for research'!$B152-1)*36+HEX2DEC('table for research'!C$1))*2,2)</f>
        <v>02</v>
      </c>
      <c r="D152" t="str">
        <f>MID('paste from garc here'!$C$1,1+(('table for research'!$B152-1)*36+HEX2DEC('table for research'!D$1))*2,2)</f>
        <v>00</v>
      </c>
      <c r="E152" t="str">
        <f>MID('paste from garc here'!$C$1,1+(('table for research'!$B152-1)*36+HEX2DEC('table for research'!E$1))*2,2)</f>
        <v>06</v>
      </c>
      <c r="F152" t="str">
        <f>MID('paste from garc here'!$C$1,1+(('table for research'!$B152-1)*36+HEX2DEC('table for research'!F$1))*2,2)</f>
        <v>00</v>
      </c>
      <c r="G152" t="str">
        <f>MID('paste from garc here'!$C$1,1+(('table for research'!$B152-1)*36+HEX2DEC('table for research'!G$1))*2,2)</f>
        <v>02</v>
      </c>
      <c r="H152" t="str">
        <f>MID('paste from garc here'!$C$1,1+(('table for research'!$B152-1)*36+HEX2DEC('table for research'!H$1))*2,2)</f>
        <v>02</v>
      </c>
      <c r="I152" t="str">
        <f>MID('paste from garc here'!$C$1,1+(('table for research'!$B152-1)*36+HEX2DEC('table for research'!I$1))*2,2)</f>
        <v>0A</v>
      </c>
      <c r="J152" t="str">
        <f>MID('paste from garc here'!$C$1,1+(('table for research'!$B152-1)*36+HEX2DEC('table for research'!J$1))*2,2)</f>
        <v>50</v>
      </c>
      <c r="K152" t="str">
        <f>DEC2HEX(_xlfn.BITAND(HEX2DEC(MID('paste from garc here'!$C$1,1+(('table for research'!$B152-1)*36+HEX2DEC(8))*2,2)),31),2)</f>
        <v>0A</v>
      </c>
      <c r="L152" t="str">
        <f>DEC2HEX(_xlfn.BITAND(HEX2DEC(MID('paste from garc here'!$C$1,1+(('table for research'!$B152-1)*36+HEX2DEC(8))*2,2)),32),2)</f>
        <v>00</v>
      </c>
      <c r="M152" t="str">
        <f>DEC2HEX(_xlfn.BITAND(HEX2DEC(MID('paste from garc here'!$C$1,1+(('table for research'!$B152-1)*36+HEX2DEC(8))*2,2)),64),2)</f>
        <v>00</v>
      </c>
      <c r="N152" t="str">
        <f>DEC2HEX(_xlfn.BITRSHIFT(_xlfn.BITAND(HEX2DEC(MID('paste from garc here'!$C$1,1+(('table for research'!$B152-1)*36+HEX2DEC(9))*2,2)&amp;MID('paste from garc here'!$C$1,1+(('table for research'!$B152-1)*36+HEX2DEC(8))*2,2)),1920),7),2)</f>
        <v>03</v>
      </c>
      <c r="O152" t="str">
        <f>DEC2HEX(_xlfn.BITRSHIFT(HEX2DEC(MID('paste from garc here'!$C$1,1+(('table for research'!$B152-1)*36+HEX2DEC(9))*2,2)&amp;MID('paste from garc here'!$C$1,1+(('table for research'!$B152-1)*36+HEX2DEC(8))*2,2)),11),2)</f>
        <v>08</v>
      </c>
      <c r="P152" t="str">
        <f>MID('paste from garc here'!$C$1,1+(('table for research'!$B152-1)*36+HEX2DEC('table for research'!P$1))*2,2)</f>
        <v>0C</v>
      </c>
      <c r="Q152" t="str">
        <f>MID('paste from garc here'!$C$1,1+(('table for research'!$B152-1)*36+HEX2DEC('table for research'!Q$1))*2,2)</f>
        <v>00</v>
      </c>
      <c r="R152" t="str">
        <f>MID('paste from garc here'!$C$1,1+(('table for research'!$B152-1)*36+HEX2DEC('table for research'!R$1))*2,2)</f>
        <v>01</v>
      </c>
      <c r="S152" t="str">
        <f>MID('paste from garc here'!$C$1,1+(('table for research'!$B152-1)*36+HEX2DEC('table for research'!S$1))*2,2)</f>
        <v>07</v>
      </c>
      <c r="T152" t="str">
        <f>MID('paste from garc here'!$C$1,1+(('table for research'!$B152-1)*36+HEX2DEC('table for research'!T$1))*2,2)</f>
        <v>01</v>
      </c>
      <c r="U152" t="str">
        <f>MID('paste from garc here'!$C$1,1+(('table for research'!$B152-1)*36+HEX2DEC('table for research'!U$1))*2,2)</f>
        <v>01</v>
      </c>
      <c r="V152" t="str">
        <f>MID('paste from garc here'!$C$1,1+(('table for research'!$B152-1)*36+HEX2DEC('table for research'!V$1))*2,2)</f>
        <v>01</v>
      </c>
      <c r="W152" t="str">
        <f>MID('paste from garc here'!$C$1,1+(('table for research'!$B152-1)*36+HEX2DEC('table for research'!W$1))*2,2)</f>
        <v>00</v>
      </c>
      <c r="X152" t="str">
        <f>MID('paste from garc here'!$C$1,1+(('table for research'!$B152-1)*36+HEX2DEC('table for research'!X$1))*2,2)</f>
        <v>00</v>
      </c>
      <c r="Y152" t="str">
        <f>MID('paste from garc here'!$C$1,1+(('table for research'!$B152-1)*36+HEX2DEC('table for research'!Y$1))*2,2)</f>
        <v>00</v>
      </c>
      <c r="Z152" t="str">
        <f>MID('paste from garc here'!$C$1,1+(('table for research'!$B152-1)*36+HEX2DEC('table for research'!Z$1))*2,2)</f>
        <v>00</v>
      </c>
      <c r="AA152" t="str">
        <f>MID('paste from garc here'!$C$1,1+(('table for research'!$B152-1)*36+HEX2DEC('table for research'!AA$1))*2,2)</f>
        <v>00</v>
      </c>
      <c r="AB152" t="str">
        <f>MID('paste from garc here'!$C$1,1+(('table for research'!$B152-1)*36+HEX2DEC('table for research'!AB$1))*2,2)</f>
        <v>00</v>
      </c>
      <c r="AC152" t="str">
        <f>MID('paste from garc here'!$C$1,1+(('table for research'!$B152-1)*36+HEX2DEC('table for research'!AC$1))*2,2)</f>
        <v>00</v>
      </c>
      <c r="AD152" t="str">
        <f>MID('paste from garc here'!$C$1,1+(('table for research'!$B152-1)*36+HEX2DEC('table for research'!AD$1))*2,2)</f>
        <v>00</v>
      </c>
      <c r="AE152" t="str">
        <f>MID('paste from garc here'!$C$1,1+(('table for research'!$B152-1)*36+HEX2DEC('table for research'!AE$1))*2,2)</f>
        <v>00</v>
      </c>
      <c r="AF152" t="str">
        <f>MID('paste from garc here'!$C$1,1+(('table for research'!$B152-1)*36+HEX2DEC('table for research'!AF$1))*2,2)</f>
        <v>00</v>
      </c>
      <c r="AG152" t="str">
        <f>MID('paste from garc here'!$C$1,1+(('table for research'!$B152-1)*36+HEX2DEC('table for research'!AG$1))*2,2)</f>
        <v>00</v>
      </c>
      <c r="AH152" t="str">
        <f>MID('paste from garc here'!$C$1,1+(('table for research'!$B152-1)*36+HEX2DEC('table for research'!AH$1))*2,2)</f>
        <v>00</v>
      </c>
      <c r="AI152" t="str">
        <f>MID('paste from garc here'!$C$1,1+(('table for research'!$B152-1)*36+HEX2DEC('table for research'!AI$1))*2,2)</f>
        <v>00</v>
      </c>
      <c r="AJ152" t="str">
        <f>MID('paste from garc here'!$C$1,1+(('table for research'!$B152-1)*36+HEX2DEC('table for research'!AJ$1))*2,2)</f>
        <v>00</v>
      </c>
      <c r="AK152" t="str">
        <f>MID('paste from garc here'!$C$1,1+(('table for research'!$B152-1)*36+HEX2DEC('table for research'!AK$1))*2,2)</f>
        <v>00</v>
      </c>
      <c r="AL152" t="str">
        <f>MID('paste from garc here'!$C$1,1+(('table for research'!$B152-1)*36+HEX2DEC('table for research'!AL$1))*2,2)</f>
        <v>00</v>
      </c>
      <c r="AM152" t="str">
        <f>MID('paste from garc here'!$C$1,1+(('table for research'!$B152-1)*36+HEX2DEC('table for research'!AM$1))*2,2)</f>
        <v>00</v>
      </c>
      <c r="AN152" t="str">
        <f>MID('paste from garc here'!$C$1,1+(('table for research'!$B152-1)*36+HEX2DEC('table for research'!AN$1))*2,2)</f>
        <v>00</v>
      </c>
      <c r="AO152" t="str">
        <f>MID('paste from garc here'!$C$1,1+(('table for research'!$B152-1)*36+HEX2DEC('table for research'!AO$1))*2,2)</f>
        <v>00</v>
      </c>
    </row>
    <row r="153" spans="1:41" x14ac:dyDescent="0.4">
      <c r="A153" t="s">
        <v>156</v>
      </c>
      <c r="B153">
        <f>B152+1</f>
        <v>151</v>
      </c>
      <c r="C153" t="str">
        <f>MID('paste from garc here'!$C$1,1+(('table for research'!$B153-1)*36+HEX2DEC('table for research'!C$1))*2,2)</f>
        <v>02</v>
      </c>
      <c r="D153" t="str">
        <f>MID('paste from garc here'!$C$1,1+(('table for research'!$B153-1)*36+HEX2DEC('table for research'!D$1))*2,2)</f>
        <v>00</v>
      </c>
      <c r="E153" t="str">
        <f>MID('paste from garc here'!$C$1,1+(('table for research'!$B153-1)*36+HEX2DEC('table for research'!E$1))*2,2)</f>
        <v>07</v>
      </c>
      <c r="F153" t="str">
        <f>MID('paste from garc here'!$C$1,1+(('table for research'!$B153-1)*36+HEX2DEC('table for research'!F$1))*2,2)</f>
        <v>00</v>
      </c>
      <c r="G153" t="str">
        <f>MID('paste from garc here'!$C$1,1+(('table for research'!$B153-1)*36+HEX2DEC('table for research'!G$1))*2,2)</f>
        <v>03</v>
      </c>
      <c r="H153" t="str">
        <f>MID('paste from garc here'!$C$1,1+(('table for research'!$B153-1)*36+HEX2DEC('table for research'!H$1))*2,2)</f>
        <v>03</v>
      </c>
      <c r="I153" t="str">
        <f>MID('paste from garc here'!$C$1,1+(('table for research'!$B153-1)*36+HEX2DEC('table for research'!I$1))*2,2)</f>
        <v>0A</v>
      </c>
      <c r="J153" t="str">
        <f>MID('paste from garc here'!$C$1,1+(('table for research'!$B153-1)*36+HEX2DEC('table for research'!J$1))*2,2)</f>
        <v>50</v>
      </c>
      <c r="K153" t="str">
        <f>DEC2HEX(_xlfn.BITAND(HEX2DEC(MID('paste from garc here'!$C$1,1+(('table for research'!$B153-1)*36+HEX2DEC(8))*2,2)),31),2)</f>
        <v>0C</v>
      </c>
      <c r="L153" t="str">
        <f>DEC2HEX(_xlfn.BITAND(HEX2DEC(MID('paste from garc here'!$C$1,1+(('table for research'!$B153-1)*36+HEX2DEC(8))*2,2)),32),2)</f>
        <v>00</v>
      </c>
      <c r="M153" t="str">
        <f>DEC2HEX(_xlfn.BITAND(HEX2DEC(MID('paste from garc here'!$C$1,1+(('table for research'!$B153-1)*36+HEX2DEC(8))*2,2)),64),2)</f>
        <v>00</v>
      </c>
      <c r="N153" t="str">
        <f>DEC2HEX(_xlfn.BITRSHIFT(_xlfn.BITAND(HEX2DEC(MID('paste from garc here'!$C$1,1+(('table for research'!$B153-1)*36+HEX2DEC(9))*2,2)&amp;MID('paste from garc here'!$C$1,1+(('table for research'!$B153-1)*36+HEX2DEC(8))*2,2)),1920),7),2)</f>
        <v>03</v>
      </c>
      <c r="O153" t="str">
        <f>DEC2HEX(_xlfn.BITRSHIFT(HEX2DEC(MID('paste from garc here'!$C$1,1+(('table for research'!$B153-1)*36+HEX2DEC(9))*2,2)&amp;MID('paste from garc here'!$C$1,1+(('table for research'!$B153-1)*36+HEX2DEC(8))*2,2)),11),2)</f>
        <v>08</v>
      </c>
      <c r="P153" t="str">
        <f>MID('paste from garc here'!$C$1,1+(('table for research'!$B153-1)*36+HEX2DEC('table for research'!P$1))*2,2)</f>
        <v>0C</v>
      </c>
      <c r="Q153" t="str">
        <f>MID('paste from garc here'!$C$1,1+(('table for research'!$B153-1)*36+HEX2DEC('table for research'!Q$1))*2,2)</f>
        <v>00</v>
      </c>
      <c r="R153" t="str">
        <f>MID('paste from garc here'!$C$1,1+(('table for research'!$B153-1)*36+HEX2DEC('table for research'!R$1))*2,2)</f>
        <v>01</v>
      </c>
      <c r="S153" t="str">
        <f>MID('paste from garc here'!$C$1,1+(('table for research'!$B153-1)*36+HEX2DEC('table for research'!S$1))*2,2)</f>
        <v>07</v>
      </c>
      <c r="T153" t="str">
        <f>MID('paste from garc here'!$C$1,1+(('table for research'!$B153-1)*36+HEX2DEC('table for research'!T$1))*2,2)</f>
        <v>01</v>
      </c>
      <c r="U153" t="str">
        <f>MID('paste from garc here'!$C$1,1+(('table for research'!$B153-1)*36+HEX2DEC('table for research'!U$1))*2,2)</f>
        <v>02</v>
      </c>
      <c r="V153" t="str">
        <f>MID('paste from garc here'!$C$1,1+(('table for research'!$B153-1)*36+HEX2DEC('table for research'!V$1))*2,2)</f>
        <v>02</v>
      </c>
      <c r="W153" t="str">
        <f>MID('paste from garc here'!$C$1,1+(('table for research'!$B153-1)*36+HEX2DEC('table for research'!W$1))*2,2)</f>
        <v>00</v>
      </c>
      <c r="X153" t="str">
        <f>MID('paste from garc here'!$C$1,1+(('table for research'!$B153-1)*36+HEX2DEC('table for research'!X$1))*2,2)</f>
        <v>00</v>
      </c>
      <c r="Y153" t="str">
        <f>MID('paste from garc here'!$C$1,1+(('table for research'!$B153-1)*36+HEX2DEC('table for research'!Y$1))*2,2)</f>
        <v>00</v>
      </c>
      <c r="Z153" t="str">
        <f>MID('paste from garc here'!$C$1,1+(('table for research'!$B153-1)*36+HEX2DEC('table for research'!Z$1))*2,2)</f>
        <v>00</v>
      </c>
      <c r="AA153" t="str">
        <f>MID('paste from garc here'!$C$1,1+(('table for research'!$B153-1)*36+HEX2DEC('table for research'!AA$1))*2,2)</f>
        <v>00</v>
      </c>
      <c r="AB153" t="str">
        <f>MID('paste from garc here'!$C$1,1+(('table for research'!$B153-1)*36+HEX2DEC('table for research'!AB$1))*2,2)</f>
        <v>00</v>
      </c>
      <c r="AC153" t="str">
        <f>MID('paste from garc here'!$C$1,1+(('table for research'!$B153-1)*36+HEX2DEC('table for research'!AC$1))*2,2)</f>
        <v>00</v>
      </c>
      <c r="AD153" t="str">
        <f>MID('paste from garc here'!$C$1,1+(('table for research'!$B153-1)*36+HEX2DEC('table for research'!AD$1))*2,2)</f>
        <v>00</v>
      </c>
      <c r="AE153" t="str">
        <f>MID('paste from garc here'!$C$1,1+(('table for research'!$B153-1)*36+HEX2DEC('table for research'!AE$1))*2,2)</f>
        <v>00</v>
      </c>
      <c r="AF153" t="str">
        <f>MID('paste from garc here'!$C$1,1+(('table for research'!$B153-1)*36+HEX2DEC('table for research'!AF$1))*2,2)</f>
        <v>00</v>
      </c>
      <c r="AG153" t="str">
        <f>MID('paste from garc here'!$C$1,1+(('table for research'!$B153-1)*36+HEX2DEC('table for research'!AG$1))*2,2)</f>
        <v>00</v>
      </c>
      <c r="AH153" t="str">
        <f>MID('paste from garc here'!$C$1,1+(('table for research'!$B153-1)*36+HEX2DEC('table for research'!AH$1))*2,2)</f>
        <v>00</v>
      </c>
      <c r="AI153" t="str">
        <f>MID('paste from garc here'!$C$1,1+(('table for research'!$B153-1)*36+HEX2DEC('table for research'!AI$1))*2,2)</f>
        <v>00</v>
      </c>
      <c r="AJ153" t="str">
        <f>MID('paste from garc here'!$C$1,1+(('table for research'!$B153-1)*36+HEX2DEC('table for research'!AJ$1))*2,2)</f>
        <v>00</v>
      </c>
      <c r="AK153" t="str">
        <f>MID('paste from garc here'!$C$1,1+(('table for research'!$B153-1)*36+HEX2DEC('table for research'!AK$1))*2,2)</f>
        <v>00</v>
      </c>
      <c r="AL153" t="str">
        <f>MID('paste from garc here'!$C$1,1+(('table for research'!$B153-1)*36+HEX2DEC('table for research'!AL$1))*2,2)</f>
        <v>00</v>
      </c>
      <c r="AM153" t="str">
        <f>MID('paste from garc here'!$C$1,1+(('table for research'!$B153-1)*36+HEX2DEC('table for research'!AM$1))*2,2)</f>
        <v>00</v>
      </c>
      <c r="AN153" t="str">
        <f>MID('paste from garc here'!$C$1,1+(('table for research'!$B153-1)*36+HEX2DEC('table for research'!AN$1))*2,2)</f>
        <v>00</v>
      </c>
      <c r="AO153" t="str">
        <f>MID('paste from garc here'!$C$1,1+(('table for research'!$B153-1)*36+HEX2DEC('table for research'!AO$1))*2,2)</f>
        <v>00</v>
      </c>
    </row>
    <row r="154" spans="1:41" x14ac:dyDescent="0.4">
      <c r="A154" t="s">
        <v>157</v>
      </c>
      <c r="B154">
        <f>B153+1</f>
        <v>152</v>
      </c>
      <c r="C154" t="str">
        <f>MID('paste from garc here'!$C$1,1+(('table for research'!$B154-1)*36+HEX2DEC('table for research'!C$1))*2,2)</f>
        <v>02</v>
      </c>
      <c r="D154" t="str">
        <f>MID('paste from garc here'!$C$1,1+(('table for research'!$B154-1)*36+HEX2DEC('table for research'!D$1))*2,2)</f>
        <v>00</v>
      </c>
      <c r="E154" t="str">
        <f>MID('paste from garc here'!$C$1,1+(('table for research'!$B154-1)*36+HEX2DEC('table for research'!E$1))*2,2)</f>
        <v>08</v>
      </c>
      <c r="F154" t="str">
        <f>MID('paste from garc here'!$C$1,1+(('table for research'!$B154-1)*36+HEX2DEC('table for research'!F$1))*2,2)</f>
        <v>00</v>
      </c>
      <c r="G154" t="str">
        <f>MID('paste from garc here'!$C$1,1+(('table for research'!$B154-1)*36+HEX2DEC('table for research'!G$1))*2,2)</f>
        <v>04</v>
      </c>
      <c r="H154" t="str">
        <f>MID('paste from garc here'!$C$1,1+(('table for research'!$B154-1)*36+HEX2DEC('table for research'!H$1))*2,2)</f>
        <v>04</v>
      </c>
      <c r="I154" t="str">
        <f>MID('paste from garc here'!$C$1,1+(('table for research'!$B154-1)*36+HEX2DEC('table for research'!I$1))*2,2)</f>
        <v>0A</v>
      </c>
      <c r="J154" t="str">
        <f>MID('paste from garc here'!$C$1,1+(('table for research'!$B154-1)*36+HEX2DEC('table for research'!J$1))*2,2)</f>
        <v>50</v>
      </c>
      <c r="K154" t="str">
        <f>DEC2HEX(_xlfn.BITAND(HEX2DEC(MID('paste from garc here'!$C$1,1+(('table for research'!$B154-1)*36+HEX2DEC(8))*2,2)),31),2)</f>
        <v>0B</v>
      </c>
      <c r="L154" t="str">
        <f>DEC2HEX(_xlfn.BITAND(HEX2DEC(MID('paste from garc here'!$C$1,1+(('table for research'!$B154-1)*36+HEX2DEC(8))*2,2)),32),2)</f>
        <v>00</v>
      </c>
      <c r="M154" t="str">
        <f>DEC2HEX(_xlfn.BITAND(HEX2DEC(MID('paste from garc here'!$C$1,1+(('table for research'!$B154-1)*36+HEX2DEC(8))*2,2)),64),2)</f>
        <v>00</v>
      </c>
      <c r="N154" t="str">
        <f>DEC2HEX(_xlfn.BITRSHIFT(_xlfn.BITAND(HEX2DEC(MID('paste from garc here'!$C$1,1+(('table for research'!$B154-1)*36+HEX2DEC(9))*2,2)&amp;MID('paste from garc here'!$C$1,1+(('table for research'!$B154-1)*36+HEX2DEC(8))*2,2)),1920),7),2)</f>
        <v>03</v>
      </c>
      <c r="O154" t="str">
        <f>DEC2HEX(_xlfn.BITRSHIFT(HEX2DEC(MID('paste from garc here'!$C$1,1+(('table for research'!$B154-1)*36+HEX2DEC(9))*2,2)&amp;MID('paste from garc here'!$C$1,1+(('table for research'!$B154-1)*36+HEX2DEC(8))*2,2)),11),2)</f>
        <v>08</v>
      </c>
      <c r="P154" t="str">
        <f>MID('paste from garc here'!$C$1,1+(('table for research'!$B154-1)*36+HEX2DEC('table for research'!P$1))*2,2)</f>
        <v>0C</v>
      </c>
      <c r="Q154" t="str">
        <f>MID('paste from garc here'!$C$1,1+(('table for research'!$B154-1)*36+HEX2DEC('table for research'!Q$1))*2,2)</f>
        <v>00</v>
      </c>
      <c r="R154" t="str">
        <f>MID('paste from garc here'!$C$1,1+(('table for research'!$B154-1)*36+HEX2DEC('table for research'!R$1))*2,2)</f>
        <v>01</v>
      </c>
      <c r="S154" t="str">
        <f>MID('paste from garc here'!$C$1,1+(('table for research'!$B154-1)*36+HEX2DEC('table for research'!S$1))*2,2)</f>
        <v>07</v>
      </c>
      <c r="T154" t="str">
        <f>MID('paste from garc here'!$C$1,1+(('table for research'!$B154-1)*36+HEX2DEC('table for research'!T$1))*2,2)</f>
        <v>01</v>
      </c>
      <c r="U154" t="str">
        <f>MID('paste from garc here'!$C$1,1+(('table for research'!$B154-1)*36+HEX2DEC('table for research'!U$1))*2,2)</f>
        <v>03</v>
      </c>
      <c r="V154" t="str">
        <f>MID('paste from garc here'!$C$1,1+(('table for research'!$B154-1)*36+HEX2DEC('table for research'!V$1))*2,2)</f>
        <v>04</v>
      </c>
      <c r="W154" t="str">
        <f>MID('paste from garc here'!$C$1,1+(('table for research'!$B154-1)*36+HEX2DEC('table for research'!W$1))*2,2)</f>
        <v>00</v>
      </c>
      <c r="X154" t="str">
        <f>MID('paste from garc here'!$C$1,1+(('table for research'!$B154-1)*36+HEX2DEC('table for research'!X$1))*2,2)</f>
        <v>00</v>
      </c>
      <c r="Y154" t="str">
        <f>MID('paste from garc here'!$C$1,1+(('table for research'!$B154-1)*36+HEX2DEC('table for research'!Y$1))*2,2)</f>
        <v>00</v>
      </c>
      <c r="Z154" t="str">
        <f>MID('paste from garc here'!$C$1,1+(('table for research'!$B154-1)*36+HEX2DEC('table for research'!Z$1))*2,2)</f>
        <v>00</v>
      </c>
      <c r="AA154" t="str">
        <f>MID('paste from garc here'!$C$1,1+(('table for research'!$B154-1)*36+HEX2DEC('table for research'!AA$1))*2,2)</f>
        <v>00</v>
      </c>
      <c r="AB154" t="str">
        <f>MID('paste from garc here'!$C$1,1+(('table for research'!$B154-1)*36+HEX2DEC('table for research'!AB$1))*2,2)</f>
        <v>00</v>
      </c>
      <c r="AC154" t="str">
        <f>MID('paste from garc here'!$C$1,1+(('table for research'!$B154-1)*36+HEX2DEC('table for research'!AC$1))*2,2)</f>
        <v>00</v>
      </c>
      <c r="AD154" t="str">
        <f>MID('paste from garc here'!$C$1,1+(('table for research'!$B154-1)*36+HEX2DEC('table for research'!AD$1))*2,2)</f>
        <v>00</v>
      </c>
      <c r="AE154" t="str">
        <f>MID('paste from garc here'!$C$1,1+(('table for research'!$B154-1)*36+HEX2DEC('table for research'!AE$1))*2,2)</f>
        <v>00</v>
      </c>
      <c r="AF154" t="str">
        <f>MID('paste from garc here'!$C$1,1+(('table for research'!$B154-1)*36+HEX2DEC('table for research'!AF$1))*2,2)</f>
        <v>00</v>
      </c>
      <c r="AG154" t="str">
        <f>MID('paste from garc here'!$C$1,1+(('table for research'!$B154-1)*36+HEX2DEC('table for research'!AG$1))*2,2)</f>
        <v>00</v>
      </c>
      <c r="AH154" t="str">
        <f>MID('paste from garc here'!$C$1,1+(('table for research'!$B154-1)*36+HEX2DEC('table for research'!AH$1))*2,2)</f>
        <v>00</v>
      </c>
      <c r="AI154" t="str">
        <f>MID('paste from garc here'!$C$1,1+(('table for research'!$B154-1)*36+HEX2DEC('table for research'!AI$1))*2,2)</f>
        <v>00</v>
      </c>
      <c r="AJ154" t="str">
        <f>MID('paste from garc here'!$C$1,1+(('table for research'!$B154-1)*36+HEX2DEC('table for research'!AJ$1))*2,2)</f>
        <v>00</v>
      </c>
      <c r="AK154" t="str">
        <f>MID('paste from garc here'!$C$1,1+(('table for research'!$B154-1)*36+HEX2DEC('table for research'!AK$1))*2,2)</f>
        <v>00</v>
      </c>
      <c r="AL154" t="str">
        <f>MID('paste from garc here'!$C$1,1+(('table for research'!$B154-1)*36+HEX2DEC('table for research'!AL$1))*2,2)</f>
        <v>00</v>
      </c>
      <c r="AM154" t="str">
        <f>MID('paste from garc here'!$C$1,1+(('table for research'!$B154-1)*36+HEX2DEC('table for research'!AM$1))*2,2)</f>
        <v>00</v>
      </c>
      <c r="AN154" t="str">
        <f>MID('paste from garc here'!$C$1,1+(('table for research'!$B154-1)*36+HEX2DEC('table for research'!AN$1))*2,2)</f>
        <v>00</v>
      </c>
      <c r="AO154" t="str">
        <f>MID('paste from garc here'!$C$1,1+(('table for research'!$B154-1)*36+HEX2DEC('table for research'!AO$1))*2,2)</f>
        <v>00</v>
      </c>
    </row>
    <row r="155" spans="1:41" x14ac:dyDescent="0.4">
      <c r="A155" t="s">
        <v>158</v>
      </c>
      <c r="B155">
        <f>B154+1</f>
        <v>153</v>
      </c>
      <c r="C155" t="str">
        <f>MID('paste from garc here'!$C$1,1+(('table for research'!$B155-1)*36+HEX2DEC('table for research'!C$1))*2,2)</f>
        <v>02</v>
      </c>
      <c r="D155" t="str">
        <f>MID('paste from garc here'!$C$1,1+(('table for research'!$B155-1)*36+HEX2DEC('table for research'!D$1))*2,2)</f>
        <v>00</v>
      </c>
      <c r="E155" t="str">
        <f>MID('paste from garc here'!$C$1,1+(('table for research'!$B155-1)*36+HEX2DEC('table for research'!E$1))*2,2)</f>
        <v>09</v>
      </c>
      <c r="F155" t="str">
        <f>MID('paste from garc here'!$C$1,1+(('table for research'!$B155-1)*36+HEX2DEC('table for research'!F$1))*2,2)</f>
        <v>00</v>
      </c>
      <c r="G155" t="str">
        <f>MID('paste from garc here'!$C$1,1+(('table for research'!$B155-1)*36+HEX2DEC('table for research'!G$1))*2,2)</f>
        <v>05</v>
      </c>
      <c r="H155" t="str">
        <f>MID('paste from garc here'!$C$1,1+(('table for research'!$B155-1)*36+HEX2DEC('table for research'!H$1))*2,2)</f>
        <v>05</v>
      </c>
      <c r="I155" t="str">
        <f>MID('paste from garc here'!$C$1,1+(('table for research'!$B155-1)*36+HEX2DEC('table for research'!I$1))*2,2)</f>
        <v>0A</v>
      </c>
      <c r="J155" t="str">
        <f>MID('paste from garc here'!$C$1,1+(('table for research'!$B155-1)*36+HEX2DEC('table for research'!J$1))*2,2)</f>
        <v>50</v>
      </c>
      <c r="K155" t="str">
        <f>DEC2HEX(_xlfn.BITAND(HEX2DEC(MID('paste from garc here'!$C$1,1+(('table for research'!$B155-1)*36+HEX2DEC(8))*2,2)),31),2)</f>
        <v>0E</v>
      </c>
      <c r="L155" t="str">
        <f>DEC2HEX(_xlfn.BITAND(HEX2DEC(MID('paste from garc here'!$C$1,1+(('table for research'!$B155-1)*36+HEX2DEC(8))*2,2)),32),2)</f>
        <v>00</v>
      </c>
      <c r="M155" t="str">
        <f>DEC2HEX(_xlfn.BITAND(HEX2DEC(MID('paste from garc here'!$C$1,1+(('table for research'!$B155-1)*36+HEX2DEC(8))*2,2)),64),2)</f>
        <v>00</v>
      </c>
      <c r="N155" t="str">
        <f>DEC2HEX(_xlfn.BITRSHIFT(_xlfn.BITAND(HEX2DEC(MID('paste from garc here'!$C$1,1+(('table for research'!$B155-1)*36+HEX2DEC(9))*2,2)&amp;MID('paste from garc here'!$C$1,1+(('table for research'!$B155-1)*36+HEX2DEC(8))*2,2)),1920),7),2)</f>
        <v>03</v>
      </c>
      <c r="O155" t="str">
        <f>DEC2HEX(_xlfn.BITRSHIFT(HEX2DEC(MID('paste from garc here'!$C$1,1+(('table for research'!$B155-1)*36+HEX2DEC(9))*2,2)&amp;MID('paste from garc here'!$C$1,1+(('table for research'!$B155-1)*36+HEX2DEC(8))*2,2)),11),2)</f>
        <v>08</v>
      </c>
      <c r="P155" t="str">
        <f>MID('paste from garc here'!$C$1,1+(('table for research'!$B155-1)*36+HEX2DEC('table for research'!P$1))*2,2)</f>
        <v>0C</v>
      </c>
      <c r="Q155" t="str">
        <f>MID('paste from garc here'!$C$1,1+(('table for research'!$B155-1)*36+HEX2DEC('table for research'!Q$1))*2,2)</f>
        <v>00</v>
      </c>
      <c r="R155" t="str">
        <f>MID('paste from garc here'!$C$1,1+(('table for research'!$B155-1)*36+HEX2DEC('table for research'!R$1))*2,2)</f>
        <v>01</v>
      </c>
      <c r="S155" t="str">
        <f>MID('paste from garc here'!$C$1,1+(('table for research'!$B155-1)*36+HEX2DEC('table for research'!S$1))*2,2)</f>
        <v>07</v>
      </c>
      <c r="T155" t="str">
        <f>MID('paste from garc here'!$C$1,1+(('table for research'!$B155-1)*36+HEX2DEC('table for research'!T$1))*2,2)</f>
        <v>01</v>
      </c>
      <c r="U155" t="str">
        <f>MID('paste from garc here'!$C$1,1+(('table for research'!$B155-1)*36+HEX2DEC('table for research'!U$1))*2,2)</f>
        <v>04</v>
      </c>
      <c r="V155" t="str">
        <f>MID('paste from garc here'!$C$1,1+(('table for research'!$B155-1)*36+HEX2DEC('table for research'!V$1))*2,2)</f>
        <v>08</v>
      </c>
      <c r="W155" t="str">
        <f>MID('paste from garc here'!$C$1,1+(('table for research'!$B155-1)*36+HEX2DEC('table for research'!W$1))*2,2)</f>
        <v>00</v>
      </c>
      <c r="X155" t="str">
        <f>MID('paste from garc here'!$C$1,1+(('table for research'!$B155-1)*36+HEX2DEC('table for research'!X$1))*2,2)</f>
        <v>00</v>
      </c>
      <c r="Y155" t="str">
        <f>MID('paste from garc here'!$C$1,1+(('table for research'!$B155-1)*36+HEX2DEC('table for research'!Y$1))*2,2)</f>
        <v>00</v>
      </c>
      <c r="Z155" t="str">
        <f>MID('paste from garc here'!$C$1,1+(('table for research'!$B155-1)*36+HEX2DEC('table for research'!Z$1))*2,2)</f>
        <v>00</v>
      </c>
      <c r="AA155" t="str">
        <f>MID('paste from garc here'!$C$1,1+(('table for research'!$B155-1)*36+HEX2DEC('table for research'!AA$1))*2,2)</f>
        <v>00</v>
      </c>
      <c r="AB155" t="str">
        <f>MID('paste from garc here'!$C$1,1+(('table for research'!$B155-1)*36+HEX2DEC('table for research'!AB$1))*2,2)</f>
        <v>00</v>
      </c>
      <c r="AC155" t="str">
        <f>MID('paste from garc here'!$C$1,1+(('table for research'!$B155-1)*36+HEX2DEC('table for research'!AC$1))*2,2)</f>
        <v>00</v>
      </c>
      <c r="AD155" t="str">
        <f>MID('paste from garc here'!$C$1,1+(('table for research'!$B155-1)*36+HEX2DEC('table for research'!AD$1))*2,2)</f>
        <v>00</v>
      </c>
      <c r="AE155" t="str">
        <f>MID('paste from garc here'!$C$1,1+(('table for research'!$B155-1)*36+HEX2DEC('table for research'!AE$1))*2,2)</f>
        <v>00</v>
      </c>
      <c r="AF155" t="str">
        <f>MID('paste from garc here'!$C$1,1+(('table for research'!$B155-1)*36+HEX2DEC('table for research'!AF$1))*2,2)</f>
        <v>00</v>
      </c>
      <c r="AG155" t="str">
        <f>MID('paste from garc here'!$C$1,1+(('table for research'!$B155-1)*36+HEX2DEC('table for research'!AG$1))*2,2)</f>
        <v>00</v>
      </c>
      <c r="AH155" t="str">
        <f>MID('paste from garc here'!$C$1,1+(('table for research'!$B155-1)*36+HEX2DEC('table for research'!AH$1))*2,2)</f>
        <v>00</v>
      </c>
      <c r="AI155" t="str">
        <f>MID('paste from garc here'!$C$1,1+(('table for research'!$B155-1)*36+HEX2DEC('table for research'!AI$1))*2,2)</f>
        <v>00</v>
      </c>
      <c r="AJ155" t="str">
        <f>MID('paste from garc here'!$C$1,1+(('table for research'!$B155-1)*36+HEX2DEC('table for research'!AJ$1))*2,2)</f>
        <v>00</v>
      </c>
      <c r="AK155" t="str">
        <f>MID('paste from garc here'!$C$1,1+(('table for research'!$B155-1)*36+HEX2DEC('table for research'!AK$1))*2,2)</f>
        <v>00</v>
      </c>
      <c r="AL155" t="str">
        <f>MID('paste from garc here'!$C$1,1+(('table for research'!$B155-1)*36+HEX2DEC('table for research'!AL$1))*2,2)</f>
        <v>00</v>
      </c>
      <c r="AM155" t="str">
        <f>MID('paste from garc here'!$C$1,1+(('table for research'!$B155-1)*36+HEX2DEC('table for research'!AM$1))*2,2)</f>
        <v>00</v>
      </c>
      <c r="AN155" t="str">
        <f>MID('paste from garc here'!$C$1,1+(('table for research'!$B155-1)*36+HEX2DEC('table for research'!AN$1))*2,2)</f>
        <v>00</v>
      </c>
      <c r="AO155" t="str">
        <f>MID('paste from garc here'!$C$1,1+(('table for research'!$B155-1)*36+HEX2DEC('table for research'!AO$1))*2,2)</f>
        <v>00</v>
      </c>
    </row>
    <row r="156" spans="1:41" x14ac:dyDescent="0.4">
      <c r="A156" t="s">
        <v>159</v>
      </c>
      <c r="B156">
        <f>B155+1</f>
        <v>154</v>
      </c>
      <c r="C156" t="str">
        <f>MID('paste from garc here'!$C$1,1+(('table for research'!$B156-1)*36+HEX2DEC('table for research'!C$1))*2,2)</f>
        <v>02</v>
      </c>
      <c r="D156" t="str">
        <f>MID('paste from garc here'!$C$1,1+(('table for research'!$B156-1)*36+HEX2DEC('table for research'!D$1))*2,2)</f>
        <v>00</v>
      </c>
      <c r="E156" t="str">
        <f>MID('paste from garc here'!$C$1,1+(('table for research'!$B156-1)*36+HEX2DEC('table for research'!E$1))*2,2)</f>
        <v>0A</v>
      </c>
      <c r="F156" t="str">
        <f>MID('paste from garc here'!$C$1,1+(('table for research'!$B156-1)*36+HEX2DEC('table for research'!F$1))*2,2)</f>
        <v>0A</v>
      </c>
      <c r="G156" t="str">
        <f>MID('paste from garc here'!$C$1,1+(('table for research'!$B156-1)*36+HEX2DEC('table for research'!G$1))*2,2)</f>
        <v>06</v>
      </c>
      <c r="H156" t="str">
        <f>MID('paste from garc here'!$C$1,1+(('table for research'!$B156-1)*36+HEX2DEC('table for research'!H$1))*2,2)</f>
        <v>06</v>
      </c>
      <c r="I156" t="str">
        <f>MID('paste from garc here'!$C$1,1+(('table for research'!$B156-1)*36+HEX2DEC('table for research'!I$1))*2,2)</f>
        <v>0A</v>
      </c>
      <c r="J156" t="str">
        <f>MID('paste from garc here'!$C$1,1+(('table for research'!$B156-1)*36+HEX2DEC('table for research'!J$1))*2,2)</f>
        <v>50</v>
      </c>
      <c r="K156" t="str">
        <f>DEC2HEX(_xlfn.BITAND(HEX2DEC(MID('paste from garc here'!$C$1,1+(('table for research'!$B156-1)*36+HEX2DEC(8))*2,2)),31),2)</f>
        <v>01</v>
      </c>
      <c r="L156" t="str">
        <f>DEC2HEX(_xlfn.BITAND(HEX2DEC(MID('paste from garc here'!$C$1,1+(('table for research'!$B156-1)*36+HEX2DEC(8))*2,2)),32),2)</f>
        <v>00</v>
      </c>
      <c r="M156" t="str">
        <f>DEC2HEX(_xlfn.BITAND(HEX2DEC(MID('paste from garc here'!$C$1,1+(('table for research'!$B156-1)*36+HEX2DEC(8))*2,2)),64),2)</f>
        <v>00</v>
      </c>
      <c r="N156" t="str">
        <f>DEC2HEX(_xlfn.BITRSHIFT(_xlfn.BITAND(HEX2DEC(MID('paste from garc here'!$C$1,1+(('table for research'!$B156-1)*36+HEX2DEC(9))*2,2)&amp;MID('paste from garc here'!$C$1,1+(('table for research'!$B156-1)*36+HEX2DEC(8))*2,2)),1920),7),2)</f>
        <v>03</v>
      </c>
      <c r="O156" t="str">
        <f>DEC2HEX(_xlfn.BITRSHIFT(HEX2DEC(MID('paste from garc here'!$C$1,1+(('table for research'!$B156-1)*36+HEX2DEC(9))*2,2)&amp;MID('paste from garc here'!$C$1,1+(('table for research'!$B156-1)*36+HEX2DEC(8))*2,2)),11),2)</f>
        <v>04</v>
      </c>
      <c r="P156" t="str">
        <f>MID('paste from garc here'!$C$1,1+(('table for research'!$B156-1)*36+HEX2DEC('table for research'!P$1))*2,2)</f>
        <v>0C</v>
      </c>
      <c r="Q156" t="str">
        <f>MID('paste from garc here'!$C$1,1+(('table for research'!$B156-1)*36+HEX2DEC('table for research'!Q$1))*2,2)</f>
        <v>00</v>
      </c>
      <c r="R156" t="str">
        <f>MID('paste from garc here'!$C$1,1+(('table for research'!$B156-1)*36+HEX2DEC('table for research'!R$1))*2,2)</f>
        <v>01</v>
      </c>
      <c r="S156" t="str">
        <f>MID('paste from garc here'!$C$1,1+(('table for research'!$B156-1)*36+HEX2DEC('table for research'!S$1))*2,2)</f>
        <v>07</v>
      </c>
      <c r="T156" t="str">
        <f>MID('paste from garc here'!$C$1,1+(('table for research'!$B156-1)*36+HEX2DEC('table for research'!T$1))*2,2)</f>
        <v>01</v>
      </c>
      <c r="U156" t="str">
        <f>MID('paste from garc here'!$C$1,1+(('table for research'!$B156-1)*36+HEX2DEC('table for research'!U$1))*2,2)</f>
        <v>05</v>
      </c>
      <c r="V156" t="str">
        <f>MID('paste from garc here'!$C$1,1+(('table for research'!$B156-1)*36+HEX2DEC('table for research'!V$1))*2,2)</f>
        <v>00</v>
      </c>
      <c r="W156" t="str">
        <f>MID('paste from garc here'!$C$1,1+(('table for research'!$B156-1)*36+HEX2DEC('table for research'!W$1))*2,2)</f>
        <v>00</v>
      </c>
      <c r="X156" t="str">
        <f>MID('paste from garc here'!$C$1,1+(('table for research'!$B156-1)*36+HEX2DEC('table for research'!X$1))*2,2)</f>
        <v>00</v>
      </c>
      <c r="Y156" t="str">
        <f>MID('paste from garc here'!$C$1,1+(('table for research'!$B156-1)*36+HEX2DEC('table for research'!Y$1))*2,2)</f>
        <v>00</v>
      </c>
      <c r="Z156" t="str">
        <f>MID('paste from garc here'!$C$1,1+(('table for research'!$B156-1)*36+HEX2DEC('table for research'!Z$1))*2,2)</f>
        <v>00</v>
      </c>
      <c r="AA156" t="str">
        <f>MID('paste from garc here'!$C$1,1+(('table for research'!$B156-1)*36+HEX2DEC('table for research'!AA$1))*2,2)</f>
        <v>01</v>
      </c>
      <c r="AB156" t="str">
        <f>MID('paste from garc here'!$C$1,1+(('table for research'!$B156-1)*36+HEX2DEC('table for research'!AB$1))*2,2)</f>
        <v>00</v>
      </c>
      <c r="AC156" t="str">
        <f>MID('paste from garc here'!$C$1,1+(('table for research'!$B156-1)*36+HEX2DEC('table for research'!AC$1))*2,2)</f>
        <v>00</v>
      </c>
      <c r="AD156" t="str">
        <f>MID('paste from garc here'!$C$1,1+(('table for research'!$B156-1)*36+HEX2DEC('table for research'!AD$1))*2,2)</f>
        <v>00</v>
      </c>
      <c r="AE156" t="str">
        <f>MID('paste from garc here'!$C$1,1+(('table for research'!$B156-1)*36+HEX2DEC('table for research'!AE$1))*2,2)</f>
        <v>00</v>
      </c>
      <c r="AF156" t="str">
        <f>MID('paste from garc here'!$C$1,1+(('table for research'!$B156-1)*36+HEX2DEC('table for research'!AF$1))*2,2)</f>
        <v>00</v>
      </c>
      <c r="AG156" t="str">
        <f>MID('paste from garc here'!$C$1,1+(('table for research'!$B156-1)*36+HEX2DEC('table for research'!AG$1))*2,2)</f>
        <v>00</v>
      </c>
      <c r="AH156" t="str">
        <f>MID('paste from garc here'!$C$1,1+(('table for research'!$B156-1)*36+HEX2DEC('table for research'!AH$1))*2,2)</f>
        <v>00</v>
      </c>
      <c r="AI156" t="str">
        <f>MID('paste from garc here'!$C$1,1+(('table for research'!$B156-1)*36+HEX2DEC('table for research'!AI$1))*2,2)</f>
        <v>00</v>
      </c>
      <c r="AJ156" t="str">
        <f>MID('paste from garc here'!$C$1,1+(('table for research'!$B156-1)*36+HEX2DEC('table for research'!AJ$1))*2,2)</f>
        <v>0A</v>
      </c>
      <c r="AK156" t="str">
        <f>MID('paste from garc here'!$C$1,1+(('table for research'!$B156-1)*36+HEX2DEC('table for research'!AK$1))*2,2)</f>
        <v>00</v>
      </c>
      <c r="AL156" t="str">
        <f>MID('paste from garc here'!$C$1,1+(('table for research'!$B156-1)*36+HEX2DEC('table for research'!AL$1))*2,2)</f>
        <v>00</v>
      </c>
      <c r="AM156" t="str">
        <f>MID('paste from garc here'!$C$1,1+(('table for research'!$B156-1)*36+HEX2DEC('table for research'!AM$1))*2,2)</f>
        <v>00</v>
      </c>
      <c r="AN156" t="str">
        <f>MID('paste from garc here'!$C$1,1+(('table for research'!$B156-1)*36+HEX2DEC('table for research'!AN$1))*2,2)</f>
        <v>00</v>
      </c>
      <c r="AO156" t="str">
        <f>MID('paste from garc here'!$C$1,1+(('table for research'!$B156-1)*36+HEX2DEC('table for research'!AO$1))*2,2)</f>
        <v>00</v>
      </c>
    </row>
    <row r="157" spans="1:41" x14ac:dyDescent="0.4">
      <c r="A157" t="s">
        <v>160</v>
      </c>
      <c r="B157">
        <f>B156+1</f>
        <v>155</v>
      </c>
      <c r="C157" t="str">
        <f>MID('paste from garc here'!$C$1,1+(('table for research'!$B157-1)*36+HEX2DEC('table for research'!C$1))*2,2)</f>
        <v>02</v>
      </c>
      <c r="D157" t="str">
        <f>MID('paste from garc here'!$C$1,1+(('table for research'!$B157-1)*36+HEX2DEC('table for research'!D$1))*2,2)</f>
        <v>00</v>
      </c>
      <c r="E157" t="str">
        <f>MID('paste from garc here'!$C$1,1+(('table for research'!$B157-1)*36+HEX2DEC('table for research'!E$1))*2,2)</f>
        <v>01</v>
      </c>
      <c r="F157" t="str">
        <f>MID('paste from garc here'!$C$1,1+(('table for research'!$B157-1)*36+HEX2DEC('table for research'!F$1))*2,2)</f>
        <v>0A</v>
      </c>
      <c r="G157" t="str">
        <f>MID('paste from garc here'!$C$1,1+(('table for research'!$B157-1)*36+HEX2DEC('table for research'!G$1))*2,2)</f>
        <v>07</v>
      </c>
      <c r="H157" t="str">
        <f>MID('paste from garc here'!$C$1,1+(('table for research'!$B157-1)*36+HEX2DEC('table for research'!H$1))*2,2)</f>
        <v>07</v>
      </c>
      <c r="I157" t="str">
        <f>MID('paste from garc here'!$C$1,1+(('table for research'!$B157-1)*36+HEX2DEC('table for research'!I$1))*2,2)</f>
        <v>0A</v>
      </c>
      <c r="J157" t="str">
        <f>MID('paste from garc here'!$C$1,1+(('table for research'!$B157-1)*36+HEX2DEC('table for research'!J$1))*2,2)</f>
        <v>50</v>
      </c>
      <c r="K157" t="str">
        <f>DEC2HEX(_xlfn.BITAND(HEX2DEC(MID('paste from garc here'!$C$1,1+(('table for research'!$B157-1)*36+HEX2DEC(8))*2,2)),31),2)</f>
        <v>03</v>
      </c>
      <c r="L157" t="str">
        <f>DEC2HEX(_xlfn.BITAND(HEX2DEC(MID('paste from garc here'!$C$1,1+(('table for research'!$B157-1)*36+HEX2DEC(8))*2,2)),32),2)</f>
        <v>00</v>
      </c>
      <c r="M157" t="str">
        <f>DEC2HEX(_xlfn.BITAND(HEX2DEC(MID('paste from garc here'!$C$1,1+(('table for research'!$B157-1)*36+HEX2DEC(8))*2,2)),64),2)</f>
        <v>00</v>
      </c>
      <c r="N157" t="str">
        <f>DEC2HEX(_xlfn.BITRSHIFT(_xlfn.BITAND(HEX2DEC(MID('paste from garc here'!$C$1,1+(('table for research'!$B157-1)*36+HEX2DEC(9))*2,2)&amp;MID('paste from garc here'!$C$1,1+(('table for research'!$B157-1)*36+HEX2DEC(8))*2,2)),1920),7),2)</f>
        <v>03</v>
      </c>
      <c r="O157" t="str">
        <f>DEC2HEX(_xlfn.BITRSHIFT(HEX2DEC(MID('paste from garc here'!$C$1,1+(('table for research'!$B157-1)*36+HEX2DEC(9))*2,2)&amp;MID('paste from garc here'!$C$1,1+(('table for research'!$B157-1)*36+HEX2DEC(8))*2,2)),11),2)</f>
        <v>04</v>
      </c>
      <c r="P157" t="str">
        <f>MID('paste from garc here'!$C$1,1+(('table for research'!$B157-1)*36+HEX2DEC('table for research'!P$1))*2,2)</f>
        <v>0C</v>
      </c>
      <c r="Q157" t="str">
        <f>MID('paste from garc here'!$C$1,1+(('table for research'!$B157-1)*36+HEX2DEC('table for research'!Q$1))*2,2)</f>
        <v>00</v>
      </c>
      <c r="R157" t="str">
        <f>MID('paste from garc here'!$C$1,1+(('table for research'!$B157-1)*36+HEX2DEC('table for research'!R$1))*2,2)</f>
        <v>01</v>
      </c>
      <c r="S157" t="str">
        <f>MID('paste from garc here'!$C$1,1+(('table for research'!$B157-1)*36+HEX2DEC('table for research'!S$1))*2,2)</f>
        <v>07</v>
      </c>
      <c r="T157" t="str">
        <f>MID('paste from garc here'!$C$1,1+(('table for research'!$B157-1)*36+HEX2DEC('table for research'!T$1))*2,2)</f>
        <v>01</v>
      </c>
      <c r="U157" t="str">
        <f>MID('paste from garc here'!$C$1,1+(('table for research'!$B157-1)*36+HEX2DEC('table for research'!U$1))*2,2)</f>
        <v>06</v>
      </c>
      <c r="V157" t="str">
        <f>MID('paste from garc here'!$C$1,1+(('table for research'!$B157-1)*36+HEX2DEC('table for research'!V$1))*2,2)</f>
        <v>00</v>
      </c>
      <c r="W157" t="str">
        <f>MID('paste from garc here'!$C$1,1+(('table for research'!$B157-1)*36+HEX2DEC('table for research'!W$1))*2,2)</f>
        <v>00</v>
      </c>
      <c r="X157" t="str">
        <f>MID('paste from garc here'!$C$1,1+(('table for research'!$B157-1)*36+HEX2DEC('table for research'!X$1))*2,2)</f>
        <v>00</v>
      </c>
      <c r="Y157" t="str">
        <f>MID('paste from garc here'!$C$1,1+(('table for research'!$B157-1)*36+HEX2DEC('table for research'!Y$1))*2,2)</f>
        <v>00</v>
      </c>
      <c r="Z157" t="str">
        <f>MID('paste from garc here'!$C$1,1+(('table for research'!$B157-1)*36+HEX2DEC('table for research'!Z$1))*2,2)</f>
        <v>00</v>
      </c>
      <c r="AA157" t="str">
        <f>MID('paste from garc here'!$C$1,1+(('table for research'!$B157-1)*36+HEX2DEC('table for research'!AA$1))*2,2)</f>
        <v>04</v>
      </c>
      <c r="AB157" t="str">
        <f>MID('paste from garc here'!$C$1,1+(('table for research'!$B157-1)*36+HEX2DEC('table for research'!AB$1))*2,2)</f>
        <v>00</v>
      </c>
      <c r="AC157" t="str">
        <f>MID('paste from garc here'!$C$1,1+(('table for research'!$B157-1)*36+HEX2DEC('table for research'!AC$1))*2,2)</f>
        <v>00</v>
      </c>
      <c r="AD157" t="str">
        <f>MID('paste from garc here'!$C$1,1+(('table for research'!$B157-1)*36+HEX2DEC('table for research'!AD$1))*2,2)</f>
        <v>00</v>
      </c>
      <c r="AE157" t="str">
        <f>MID('paste from garc here'!$C$1,1+(('table for research'!$B157-1)*36+HEX2DEC('table for research'!AE$1))*2,2)</f>
        <v>00</v>
      </c>
      <c r="AF157" t="str">
        <f>MID('paste from garc here'!$C$1,1+(('table for research'!$B157-1)*36+HEX2DEC('table for research'!AF$1))*2,2)</f>
        <v>00</v>
      </c>
      <c r="AG157" t="str">
        <f>MID('paste from garc here'!$C$1,1+(('table for research'!$B157-1)*36+HEX2DEC('table for research'!AG$1))*2,2)</f>
        <v>00</v>
      </c>
      <c r="AH157" t="str">
        <f>MID('paste from garc here'!$C$1,1+(('table for research'!$B157-1)*36+HEX2DEC('table for research'!AH$1))*2,2)</f>
        <v>00</v>
      </c>
      <c r="AI157" t="str">
        <f>MID('paste from garc here'!$C$1,1+(('table for research'!$B157-1)*36+HEX2DEC('table for research'!AI$1))*2,2)</f>
        <v>0A</v>
      </c>
      <c r="AJ157" t="str">
        <f>MID('paste from garc here'!$C$1,1+(('table for research'!$B157-1)*36+HEX2DEC('table for research'!AJ$1))*2,2)</f>
        <v>00</v>
      </c>
      <c r="AK157" t="str">
        <f>MID('paste from garc here'!$C$1,1+(('table for research'!$B157-1)*36+HEX2DEC('table for research'!AK$1))*2,2)</f>
        <v>00</v>
      </c>
      <c r="AL157" t="str">
        <f>MID('paste from garc here'!$C$1,1+(('table for research'!$B157-1)*36+HEX2DEC('table for research'!AL$1))*2,2)</f>
        <v>00</v>
      </c>
      <c r="AM157" t="str">
        <f>MID('paste from garc here'!$C$1,1+(('table for research'!$B157-1)*36+HEX2DEC('table for research'!AM$1))*2,2)</f>
        <v>00</v>
      </c>
      <c r="AN157" t="str">
        <f>MID('paste from garc here'!$C$1,1+(('table for research'!$B157-1)*36+HEX2DEC('table for research'!AN$1))*2,2)</f>
        <v>00</v>
      </c>
      <c r="AO157" t="str">
        <f>MID('paste from garc here'!$C$1,1+(('table for research'!$B157-1)*36+HEX2DEC('table for research'!AO$1))*2,2)</f>
        <v>00</v>
      </c>
    </row>
    <row r="158" spans="1:41" x14ac:dyDescent="0.4">
      <c r="A158" t="s">
        <v>161</v>
      </c>
      <c r="B158">
        <f>B157+1</f>
        <v>156</v>
      </c>
      <c r="C158" t="str">
        <f>MID('paste from garc here'!$C$1,1+(('table for research'!$B158-1)*36+HEX2DEC('table for research'!C$1))*2,2)</f>
        <v>02</v>
      </c>
      <c r="D158" t="str">
        <f>MID('paste from garc here'!$C$1,1+(('table for research'!$B158-1)*36+HEX2DEC('table for research'!D$1))*2,2)</f>
        <v>00</v>
      </c>
      <c r="E158" t="str">
        <f>MID('paste from garc here'!$C$1,1+(('table for research'!$B158-1)*36+HEX2DEC('table for research'!E$1))*2,2)</f>
        <v>0B</v>
      </c>
      <c r="F158" t="str">
        <f>MID('paste from garc here'!$C$1,1+(('table for research'!$B158-1)*36+HEX2DEC('table for research'!F$1))*2,2)</f>
        <v>00</v>
      </c>
      <c r="G158" t="str">
        <f>MID('paste from garc here'!$C$1,1+(('table for research'!$B158-1)*36+HEX2DEC('table for research'!G$1))*2,2)</f>
        <v>08</v>
      </c>
      <c r="H158" t="str">
        <f>MID('paste from garc here'!$C$1,1+(('table for research'!$B158-1)*36+HEX2DEC('table for research'!H$1))*2,2)</f>
        <v>08</v>
      </c>
      <c r="I158" t="str">
        <f>MID('paste from garc here'!$C$1,1+(('table for research'!$B158-1)*36+HEX2DEC('table for research'!I$1))*2,2)</f>
        <v>0A</v>
      </c>
      <c r="J158" t="str">
        <f>MID('paste from garc here'!$C$1,1+(('table for research'!$B158-1)*36+HEX2DEC('table for research'!J$1))*2,2)</f>
        <v>50</v>
      </c>
      <c r="K158" t="str">
        <f>DEC2HEX(_xlfn.BITAND(HEX2DEC(MID('paste from garc here'!$C$1,1+(('table for research'!$B158-1)*36+HEX2DEC(8))*2,2)),31),2)</f>
        <v>04</v>
      </c>
      <c r="L158" t="str">
        <f>DEC2HEX(_xlfn.BITAND(HEX2DEC(MID('paste from garc here'!$C$1,1+(('table for research'!$B158-1)*36+HEX2DEC(8))*2,2)),32),2)</f>
        <v>00</v>
      </c>
      <c r="M158" t="str">
        <f>DEC2HEX(_xlfn.BITAND(HEX2DEC(MID('paste from garc here'!$C$1,1+(('table for research'!$B158-1)*36+HEX2DEC(8))*2,2)),64),2)</f>
        <v>00</v>
      </c>
      <c r="N158" t="str">
        <f>DEC2HEX(_xlfn.BITRSHIFT(_xlfn.BITAND(HEX2DEC(MID('paste from garc here'!$C$1,1+(('table for research'!$B158-1)*36+HEX2DEC(9))*2,2)&amp;MID('paste from garc here'!$C$1,1+(('table for research'!$B158-1)*36+HEX2DEC(8))*2,2)),1920),7),2)</f>
        <v>03</v>
      </c>
      <c r="O158" t="str">
        <f>DEC2HEX(_xlfn.BITRSHIFT(HEX2DEC(MID('paste from garc here'!$C$1,1+(('table for research'!$B158-1)*36+HEX2DEC(9))*2,2)&amp;MID('paste from garc here'!$C$1,1+(('table for research'!$B158-1)*36+HEX2DEC(8))*2,2)),11),2)</f>
        <v>08</v>
      </c>
      <c r="P158" t="str">
        <f>MID('paste from garc here'!$C$1,1+(('table for research'!$B158-1)*36+HEX2DEC('table for research'!P$1))*2,2)</f>
        <v>0C</v>
      </c>
      <c r="Q158" t="str">
        <f>MID('paste from garc here'!$C$1,1+(('table for research'!$B158-1)*36+HEX2DEC('table for research'!Q$1))*2,2)</f>
        <v>00</v>
      </c>
      <c r="R158" t="str">
        <f>MID('paste from garc here'!$C$1,1+(('table for research'!$B158-1)*36+HEX2DEC('table for research'!R$1))*2,2)</f>
        <v>01</v>
      </c>
      <c r="S158" t="str">
        <f>MID('paste from garc here'!$C$1,1+(('table for research'!$B158-1)*36+HEX2DEC('table for research'!S$1))*2,2)</f>
        <v>07</v>
      </c>
      <c r="T158" t="str">
        <f>MID('paste from garc here'!$C$1,1+(('table for research'!$B158-1)*36+HEX2DEC('table for research'!T$1))*2,2)</f>
        <v>01</v>
      </c>
      <c r="U158" t="str">
        <f>MID('paste from garc here'!$C$1,1+(('table for research'!$B158-1)*36+HEX2DEC('table for research'!U$1))*2,2)</f>
        <v>07</v>
      </c>
      <c r="V158" t="str">
        <f>MID('paste from garc here'!$C$1,1+(('table for research'!$B158-1)*36+HEX2DEC('table for research'!V$1))*2,2)</f>
        <v>20</v>
      </c>
      <c r="W158" t="str">
        <f>MID('paste from garc here'!$C$1,1+(('table for research'!$B158-1)*36+HEX2DEC('table for research'!W$1))*2,2)</f>
        <v>00</v>
      </c>
      <c r="X158" t="str">
        <f>MID('paste from garc here'!$C$1,1+(('table for research'!$B158-1)*36+HEX2DEC('table for research'!X$1))*2,2)</f>
        <v>00</v>
      </c>
      <c r="Y158" t="str">
        <f>MID('paste from garc here'!$C$1,1+(('table for research'!$B158-1)*36+HEX2DEC('table for research'!Y$1))*2,2)</f>
        <v>00</v>
      </c>
      <c r="Z158" t="str">
        <f>MID('paste from garc here'!$C$1,1+(('table for research'!$B158-1)*36+HEX2DEC('table for research'!Z$1))*2,2)</f>
        <v>00</v>
      </c>
      <c r="AA158" t="str">
        <f>MID('paste from garc here'!$C$1,1+(('table for research'!$B158-1)*36+HEX2DEC('table for research'!AA$1))*2,2)</f>
        <v>00</v>
      </c>
      <c r="AB158" t="str">
        <f>MID('paste from garc here'!$C$1,1+(('table for research'!$B158-1)*36+HEX2DEC('table for research'!AB$1))*2,2)</f>
        <v>00</v>
      </c>
      <c r="AC158" t="str">
        <f>MID('paste from garc here'!$C$1,1+(('table for research'!$B158-1)*36+HEX2DEC('table for research'!AC$1))*2,2)</f>
        <v>00</v>
      </c>
      <c r="AD158" t="str">
        <f>MID('paste from garc here'!$C$1,1+(('table for research'!$B158-1)*36+HEX2DEC('table for research'!AD$1))*2,2)</f>
        <v>00</v>
      </c>
      <c r="AE158" t="str">
        <f>MID('paste from garc here'!$C$1,1+(('table for research'!$B158-1)*36+HEX2DEC('table for research'!AE$1))*2,2)</f>
        <v>00</v>
      </c>
      <c r="AF158" t="str">
        <f>MID('paste from garc here'!$C$1,1+(('table for research'!$B158-1)*36+HEX2DEC('table for research'!AF$1))*2,2)</f>
        <v>00</v>
      </c>
      <c r="AG158" t="str">
        <f>MID('paste from garc here'!$C$1,1+(('table for research'!$B158-1)*36+HEX2DEC('table for research'!AG$1))*2,2)</f>
        <v>00</v>
      </c>
      <c r="AH158" t="str">
        <f>MID('paste from garc here'!$C$1,1+(('table for research'!$B158-1)*36+HEX2DEC('table for research'!AH$1))*2,2)</f>
        <v>00</v>
      </c>
      <c r="AI158" t="str">
        <f>MID('paste from garc here'!$C$1,1+(('table for research'!$B158-1)*36+HEX2DEC('table for research'!AI$1))*2,2)</f>
        <v>00</v>
      </c>
      <c r="AJ158" t="str">
        <f>MID('paste from garc here'!$C$1,1+(('table for research'!$B158-1)*36+HEX2DEC('table for research'!AJ$1))*2,2)</f>
        <v>00</v>
      </c>
      <c r="AK158" t="str">
        <f>MID('paste from garc here'!$C$1,1+(('table for research'!$B158-1)*36+HEX2DEC('table for research'!AK$1))*2,2)</f>
        <v>00</v>
      </c>
      <c r="AL158" t="str">
        <f>MID('paste from garc here'!$C$1,1+(('table for research'!$B158-1)*36+HEX2DEC('table for research'!AL$1))*2,2)</f>
        <v>00</v>
      </c>
      <c r="AM158" t="str">
        <f>MID('paste from garc here'!$C$1,1+(('table for research'!$B158-1)*36+HEX2DEC('table for research'!AM$1))*2,2)</f>
        <v>00</v>
      </c>
      <c r="AN158" t="str">
        <f>MID('paste from garc here'!$C$1,1+(('table for research'!$B158-1)*36+HEX2DEC('table for research'!AN$1))*2,2)</f>
        <v>00</v>
      </c>
      <c r="AO158" t="str">
        <f>MID('paste from garc here'!$C$1,1+(('table for research'!$B158-1)*36+HEX2DEC('table for research'!AO$1))*2,2)</f>
        <v>00</v>
      </c>
    </row>
    <row r="159" spans="1:41" x14ac:dyDescent="0.4">
      <c r="A159" t="s">
        <v>162</v>
      </c>
      <c r="B159">
        <f>B158+1</f>
        <v>157</v>
      </c>
      <c r="C159" t="str">
        <f>MID('paste from garc here'!$C$1,1+(('table for research'!$B159-1)*36+HEX2DEC('table for research'!C$1))*2,2)</f>
        <v>A0</v>
      </c>
      <c r="D159" t="str">
        <f>MID('paste from garc here'!$C$1,1+(('table for research'!$B159-1)*36+HEX2DEC('table for research'!D$1))*2,2)</f>
        <v>00</v>
      </c>
      <c r="E159" t="str">
        <f>MID('paste from garc here'!$C$1,1+(('table for research'!$B159-1)*36+HEX2DEC('table for research'!E$1))*2,2)</f>
        <v>0C</v>
      </c>
      <c r="F159" t="str">
        <f>MID('paste from garc here'!$C$1,1+(('table for research'!$B159-1)*36+HEX2DEC('table for research'!F$1))*2,2)</f>
        <v>00</v>
      </c>
      <c r="G159" t="str">
        <f>MID('paste from garc here'!$C$1,1+(('table for research'!$B159-1)*36+HEX2DEC('table for research'!G$1))*2,2)</f>
        <v>09</v>
      </c>
      <c r="H159" t="str">
        <f>MID('paste from garc here'!$C$1,1+(('table for research'!$B159-1)*36+HEX2DEC('table for research'!H$1))*2,2)</f>
        <v>09</v>
      </c>
      <c r="I159" t="str">
        <f>MID('paste from garc here'!$C$1,1+(('table for research'!$B159-1)*36+HEX2DEC('table for research'!I$1))*2,2)</f>
        <v>0A</v>
      </c>
      <c r="J159" t="str">
        <f>MID('paste from garc here'!$C$1,1+(('table for research'!$B159-1)*36+HEX2DEC('table for research'!J$1))*2,2)</f>
        <v>50</v>
      </c>
      <c r="K159" t="str">
        <f>DEC2HEX(_xlfn.BITAND(HEX2DEC(MID('paste from garc here'!$C$1,1+(('table for research'!$B159-1)*36+HEX2DEC(8))*2,2)),31),2)</f>
        <v>02</v>
      </c>
      <c r="L159" t="str">
        <f>DEC2HEX(_xlfn.BITAND(HEX2DEC(MID('paste from garc here'!$C$1,1+(('table for research'!$B159-1)*36+HEX2DEC(8))*2,2)),32),2)</f>
        <v>00</v>
      </c>
      <c r="M159" t="str">
        <f>DEC2HEX(_xlfn.BITAND(HEX2DEC(MID('paste from garc here'!$C$1,1+(('table for research'!$B159-1)*36+HEX2DEC(8))*2,2)),64),2)</f>
        <v>00</v>
      </c>
      <c r="N159" t="str">
        <f>DEC2HEX(_xlfn.BITRSHIFT(_xlfn.BITAND(HEX2DEC(MID('paste from garc here'!$C$1,1+(('table for research'!$B159-1)*36+HEX2DEC(9))*2,2)&amp;MID('paste from garc here'!$C$1,1+(('table for research'!$B159-1)*36+HEX2DEC(8))*2,2)),1920),7),2)</f>
        <v>03</v>
      </c>
      <c r="O159" t="str">
        <f>DEC2HEX(_xlfn.BITRSHIFT(HEX2DEC(MID('paste from garc here'!$C$1,1+(('table for research'!$B159-1)*36+HEX2DEC(9))*2,2)&amp;MID('paste from garc here'!$C$1,1+(('table for research'!$B159-1)*36+HEX2DEC(8))*2,2)),11),2)</f>
        <v>08</v>
      </c>
      <c r="P159" t="str">
        <f>MID('paste from garc here'!$C$1,1+(('table for research'!$B159-1)*36+HEX2DEC('table for research'!P$1))*2,2)</f>
        <v>0C</v>
      </c>
      <c r="Q159" t="str">
        <f>MID('paste from garc here'!$C$1,1+(('table for research'!$B159-1)*36+HEX2DEC('table for research'!Q$1))*2,2)</f>
        <v>00</v>
      </c>
      <c r="R159" t="str">
        <f>MID('paste from garc here'!$C$1,1+(('table for research'!$B159-1)*36+HEX2DEC('table for research'!R$1))*2,2)</f>
        <v>01</v>
      </c>
      <c r="S159" t="str">
        <f>MID('paste from garc here'!$C$1,1+(('table for research'!$B159-1)*36+HEX2DEC('table for research'!S$1))*2,2)</f>
        <v>07</v>
      </c>
      <c r="T159" t="str">
        <f>MID('paste from garc here'!$C$1,1+(('table for research'!$B159-1)*36+HEX2DEC('table for research'!T$1))*2,2)</f>
        <v>01</v>
      </c>
      <c r="U159" t="str">
        <f>MID('paste from garc here'!$C$1,1+(('table for research'!$B159-1)*36+HEX2DEC('table for research'!U$1))*2,2)</f>
        <v>08</v>
      </c>
      <c r="V159" t="str">
        <f>MID('paste from garc here'!$C$1,1+(('table for research'!$B159-1)*36+HEX2DEC('table for research'!V$1))*2,2)</f>
        <v>3F</v>
      </c>
      <c r="W159" t="str">
        <f>MID('paste from garc here'!$C$1,1+(('table for research'!$B159-1)*36+HEX2DEC('table for research'!W$1))*2,2)</f>
        <v>00</v>
      </c>
      <c r="X159" t="str">
        <f>MID('paste from garc here'!$C$1,1+(('table for research'!$B159-1)*36+HEX2DEC('table for research'!X$1))*2,2)</f>
        <v>00</v>
      </c>
      <c r="Y159" t="str">
        <f>MID('paste from garc here'!$C$1,1+(('table for research'!$B159-1)*36+HEX2DEC('table for research'!Y$1))*2,2)</f>
        <v>00</v>
      </c>
      <c r="Z159" t="str">
        <f>MID('paste from garc here'!$C$1,1+(('table for research'!$B159-1)*36+HEX2DEC('table for research'!Z$1))*2,2)</f>
        <v>00</v>
      </c>
      <c r="AA159" t="str">
        <f>MID('paste from garc here'!$C$1,1+(('table for research'!$B159-1)*36+HEX2DEC('table for research'!AA$1))*2,2)</f>
        <v>00</v>
      </c>
      <c r="AB159" t="str">
        <f>MID('paste from garc here'!$C$1,1+(('table for research'!$B159-1)*36+HEX2DEC('table for research'!AB$1))*2,2)</f>
        <v>00</v>
      </c>
      <c r="AC159" t="str">
        <f>MID('paste from garc here'!$C$1,1+(('table for research'!$B159-1)*36+HEX2DEC('table for research'!AC$1))*2,2)</f>
        <v>00</v>
      </c>
      <c r="AD159" t="str">
        <f>MID('paste from garc here'!$C$1,1+(('table for research'!$B159-1)*36+HEX2DEC('table for research'!AD$1))*2,2)</f>
        <v>00</v>
      </c>
      <c r="AE159" t="str">
        <f>MID('paste from garc here'!$C$1,1+(('table for research'!$B159-1)*36+HEX2DEC('table for research'!AE$1))*2,2)</f>
        <v>00</v>
      </c>
      <c r="AF159" t="str">
        <f>MID('paste from garc here'!$C$1,1+(('table for research'!$B159-1)*36+HEX2DEC('table for research'!AF$1))*2,2)</f>
        <v>00</v>
      </c>
      <c r="AG159" t="str">
        <f>MID('paste from garc here'!$C$1,1+(('table for research'!$B159-1)*36+HEX2DEC('table for research'!AG$1))*2,2)</f>
        <v>00</v>
      </c>
      <c r="AH159" t="str">
        <f>MID('paste from garc here'!$C$1,1+(('table for research'!$B159-1)*36+HEX2DEC('table for research'!AH$1))*2,2)</f>
        <v>00</v>
      </c>
      <c r="AI159" t="str">
        <f>MID('paste from garc here'!$C$1,1+(('table for research'!$B159-1)*36+HEX2DEC('table for research'!AI$1))*2,2)</f>
        <v>00</v>
      </c>
      <c r="AJ159" t="str">
        <f>MID('paste from garc here'!$C$1,1+(('table for research'!$B159-1)*36+HEX2DEC('table for research'!AJ$1))*2,2)</f>
        <v>00</v>
      </c>
      <c r="AK159" t="str">
        <f>MID('paste from garc here'!$C$1,1+(('table for research'!$B159-1)*36+HEX2DEC('table for research'!AK$1))*2,2)</f>
        <v>00</v>
      </c>
      <c r="AL159" t="str">
        <f>MID('paste from garc here'!$C$1,1+(('table for research'!$B159-1)*36+HEX2DEC('table for research'!AL$1))*2,2)</f>
        <v>00</v>
      </c>
      <c r="AM159" t="str">
        <f>MID('paste from garc here'!$C$1,1+(('table for research'!$B159-1)*36+HEX2DEC('table for research'!AM$1))*2,2)</f>
        <v>00</v>
      </c>
      <c r="AN159" t="str">
        <f>MID('paste from garc here'!$C$1,1+(('table for research'!$B159-1)*36+HEX2DEC('table for research'!AN$1))*2,2)</f>
        <v>00</v>
      </c>
      <c r="AO159" t="str">
        <f>MID('paste from garc here'!$C$1,1+(('table for research'!$B159-1)*36+HEX2DEC('table for research'!AO$1))*2,2)</f>
        <v>00</v>
      </c>
    </row>
    <row r="160" spans="1:41" x14ac:dyDescent="0.4">
      <c r="A160" t="s">
        <v>163</v>
      </c>
      <c r="B160">
        <f>B159+1</f>
        <v>158</v>
      </c>
      <c r="C160" t="str">
        <f>MID('paste from garc here'!$C$1,1+(('table for research'!$B160-1)*36+HEX2DEC('table for research'!C$1))*2,2)</f>
        <v>5F</v>
      </c>
      <c r="D160" t="str">
        <f>MID('paste from garc here'!$C$1,1+(('table for research'!$B160-1)*36+HEX2DEC('table for research'!D$1))*2,2)</f>
        <v>00</v>
      </c>
      <c r="E160" t="str">
        <f>MID('paste from garc here'!$C$1,1+(('table for research'!$B160-1)*36+HEX2DEC('table for research'!E$1))*2,2)</f>
        <v>0D</v>
      </c>
      <c r="F160" t="str">
        <f>MID('paste from garc here'!$C$1,1+(('table for research'!$B160-1)*36+HEX2DEC('table for research'!F$1))*2,2)</f>
        <v>19</v>
      </c>
      <c r="G160" t="str">
        <f>MID('paste from garc here'!$C$1,1+(('table for research'!$B160-1)*36+HEX2DEC('table for research'!G$1))*2,2)</f>
        <v>0A</v>
      </c>
      <c r="H160" t="str">
        <f>MID('paste from garc here'!$C$1,1+(('table for research'!$B160-1)*36+HEX2DEC('table for research'!H$1))*2,2)</f>
        <v>0A</v>
      </c>
      <c r="I160" t="str">
        <f>MID('paste from garc here'!$C$1,1+(('table for research'!$B160-1)*36+HEX2DEC('table for research'!I$1))*2,2)</f>
        <v>0A</v>
      </c>
      <c r="J160" t="str">
        <f>MID('paste from garc here'!$C$1,1+(('table for research'!$B160-1)*36+HEX2DEC('table for research'!J$1))*2,2)</f>
        <v>50</v>
      </c>
      <c r="K160" t="str">
        <f>DEC2HEX(_xlfn.BITAND(HEX2DEC(MID('paste from garc here'!$C$1,1+(('table for research'!$B160-1)*36+HEX2DEC(8))*2,2)),31),2)</f>
        <v>0D</v>
      </c>
      <c r="L160" t="str">
        <f>DEC2HEX(_xlfn.BITAND(HEX2DEC(MID('paste from garc here'!$C$1,1+(('table for research'!$B160-1)*36+HEX2DEC(8))*2,2)),32),2)</f>
        <v>00</v>
      </c>
      <c r="M160" t="str">
        <f>DEC2HEX(_xlfn.BITAND(HEX2DEC(MID('paste from garc here'!$C$1,1+(('table for research'!$B160-1)*36+HEX2DEC(8))*2,2)),64),2)</f>
        <v>00</v>
      </c>
      <c r="N160" t="str">
        <f>DEC2HEX(_xlfn.BITRSHIFT(_xlfn.BITAND(HEX2DEC(MID('paste from garc here'!$C$1,1+(('table for research'!$B160-1)*36+HEX2DEC(9))*2,2)&amp;MID('paste from garc here'!$C$1,1+(('table for research'!$B160-1)*36+HEX2DEC(8))*2,2)),1920),7),2)</f>
        <v>03</v>
      </c>
      <c r="O160" t="str">
        <f>DEC2HEX(_xlfn.BITRSHIFT(HEX2DEC(MID('paste from garc here'!$C$1,1+(('table for research'!$B160-1)*36+HEX2DEC(9))*2,2)&amp;MID('paste from garc here'!$C$1,1+(('table for research'!$B160-1)*36+HEX2DEC(8))*2,2)),11),2)</f>
        <v>04</v>
      </c>
      <c r="P160" t="str">
        <f>MID('paste from garc here'!$C$1,1+(('table for research'!$B160-1)*36+HEX2DEC('table for research'!P$1))*2,2)</f>
        <v>0C</v>
      </c>
      <c r="Q160" t="str">
        <f>MID('paste from garc here'!$C$1,1+(('table for research'!$B160-1)*36+HEX2DEC('table for research'!Q$1))*2,2)</f>
        <v>00</v>
      </c>
      <c r="R160" t="str">
        <f>MID('paste from garc here'!$C$1,1+(('table for research'!$B160-1)*36+HEX2DEC('table for research'!R$1))*2,2)</f>
        <v>01</v>
      </c>
      <c r="S160" t="str">
        <f>MID('paste from garc here'!$C$1,1+(('table for research'!$B160-1)*36+HEX2DEC('table for research'!S$1))*2,2)</f>
        <v>07</v>
      </c>
      <c r="T160" t="str">
        <f>MID('paste from garc here'!$C$1,1+(('table for research'!$B160-1)*36+HEX2DEC('table for research'!T$1))*2,2)</f>
        <v>01</v>
      </c>
      <c r="U160" t="str">
        <f>MID('paste from garc here'!$C$1,1+(('table for research'!$B160-1)*36+HEX2DEC('table for research'!U$1))*2,2)</f>
        <v>09</v>
      </c>
      <c r="V160" t="str">
        <f>MID('paste from garc here'!$C$1,1+(('table for research'!$B160-1)*36+HEX2DEC('table for research'!V$1))*2,2)</f>
        <v>00</v>
      </c>
      <c r="W160" t="str">
        <f>MID('paste from garc here'!$C$1,1+(('table for research'!$B160-1)*36+HEX2DEC('table for research'!W$1))*2,2)</f>
        <v>00</v>
      </c>
      <c r="X160" t="str">
        <f>MID('paste from garc here'!$C$1,1+(('table for research'!$B160-1)*36+HEX2DEC('table for research'!X$1))*2,2)</f>
        <v>00</v>
      </c>
      <c r="Y160" t="str">
        <f>MID('paste from garc here'!$C$1,1+(('table for research'!$B160-1)*36+HEX2DEC('table for research'!Y$1))*2,2)</f>
        <v>00</v>
      </c>
      <c r="Z160" t="str">
        <f>MID('paste from garc here'!$C$1,1+(('table for research'!$B160-1)*36+HEX2DEC('table for research'!Z$1))*2,2)</f>
        <v>00</v>
      </c>
      <c r="AA160" t="str">
        <f>MID('paste from garc here'!$C$1,1+(('table for research'!$B160-1)*36+HEX2DEC('table for research'!AA$1))*2,2)</f>
        <v>04</v>
      </c>
      <c r="AB160" t="str">
        <f>MID('paste from garc here'!$C$1,1+(('table for research'!$B160-1)*36+HEX2DEC('table for research'!AB$1))*2,2)</f>
        <v>00</v>
      </c>
      <c r="AC160" t="str">
        <f>MID('paste from garc here'!$C$1,1+(('table for research'!$B160-1)*36+HEX2DEC('table for research'!AC$1))*2,2)</f>
        <v>00</v>
      </c>
      <c r="AD160" t="str">
        <f>MID('paste from garc here'!$C$1,1+(('table for research'!$B160-1)*36+HEX2DEC('table for research'!AD$1))*2,2)</f>
        <v>00</v>
      </c>
      <c r="AE160" t="str">
        <f>MID('paste from garc here'!$C$1,1+(('table for research'!$B160-1)*36+HEX2DEC('table for research'!AE$1))*2,2)</f>
        <v>00</v>
      </c>
      <c r="AF160" t="str">
        <f>MID('paste from garc here'!$C$1,1+(('table for research'!$B160-1)*36+HEX2DEC('table for research'!AF$1))*2,2)</f>
        <v>00</v>
      </c>
      <c r="AG160" t="str">
        <f>MID('paste from garc here'!$C$1,1+(('table for research'!$B160-1)*36+HEX2DEC('table for research'!AG$1))*2,2)</f>
        <v>00</v>
      </c>
      <c r="AH160" t="str">
        <f>MID('paste from garc here'!$C$1,1+(('table for research'!$B160-1)*36+HEX2DEC('table for research'!AH$1))*2,2)</f>
        <v>00</v>
      </c>
      <c r="AI160" t="str">
        <f>MID('paste from garc here'!$C$1,1+(('table for research'!$B160-1)*36+HEX2DEC('table for research'!AI$1))*2,2)</f>
        <v>FD</v>
      </c>
      <c r="AJ160" t="str">
        <f>MID('paste from garc here'!$C$1,1+(('table for research'!$B160-1)*36+HEX2DEC('table for research'!AJ$1))*2,2)</f>
        <v>00</v>
      </c>
      <c r="AK160" t="str">
        <f>MID('paste from garc here'!$C$1,1+(('table for research'!$B160-1)*36+HEX2DEC('table for research'!AK$1))*2,2)</f>
        <v>00</v>
      </c>
      <c r="AL160" t="str">
        <f>MID('paste from garc here'!$C$1,1+(('table for research'!$B160-1)*36+HEX2DEC('table for research'!AL$1))*2,2)</f>
        <v>00</v>
      </c>
      <c r="AM160" t="str">
        <f>MID('paste from garc here'!$C$1,1+(('table for research'!$B160-1)*36+HEX2DEC('table for research'!AM$1))*2,2)</f>
        <v>00</v>
      </c>
      <c r="AN160" t="str">
        <f>MID('paste from garc here'!$C$1,1+(('table for research'!$B160-1)*36+HEX2DEC('table for research'!AN$1))*2,2)</f>
        <v>00</v>
      </c>
      <c r="AO160" t="str">
        <f>MID('paste from garc here'!$C$1,1+(('table for research'!$B160-1)*36+HEX2DEC('table for research'!AO$1))*2,2)</f>
        <v>00</v>
      </c>
    </row>
    <row r="161" spans="1:41" x14ac:dyDescent="0.4">
      <c r="A161" t="s">
        <v>164</v>
      </c>
      <c r="B161">
        <f>B160+1</f>
        <v>159</v>
      </c>
      <c r="C161" t="str">
        <f>MID('paste from garc here'!$C$1,1+(('table for research'!$B161-1)*36+HEX2DEC('table for research'!C$1))*2,2)</f>
        <v>02</v>
      </c>
      <c r="D161" t="str">
        <f>MID('paste from garc here'!$C$1,1+(('table for research'!$B161-1)*36+HEX2DEC('table for research'!D$1))*2,2)</f>
        <v>00</v>
      </c>
      <c r="E161" t="str">
        <f>MID('paste from garc here'!$C$1,1+(('table for research'!$B161-1)*36+HEX2DEC('table for research'!E$1))*2,2)</f>
        <v>0E</v>
      </c>
      <c r="F161" t="str">
        <f>MID('paste from garc here'!$C$1,1+(('table for research'!$B161-1)*36+HEX2DEC('table for research'!F$1))*2,2)</f>
        <v>03</v>
      </c>
      <c r="G161" t="str">
        <f>MID('paste from garc here'!$C$1,1+(('table for research'!$B161-1)*36+HEX2DEC('table for research'!G$1))*2,2)</f>
        <v>0B</v>
      </c>
      <c r="H161" t="str">
        <f>MID('paste from garc here'!$C$1,1+(('table for research'!$B161-1)*36+HEX2DEC('table for research'!H$1))*2,2)</f>
        <v>0B</v>
      </c>
      <c r="I161" t="str">
        <f>MID('paste from garc here'!$C$1,1+(('table for research'!$B161-1)*36+HEX2DEC('table for research'!I$1))*2,2)</f>
        <v>0A</v>
      </c>
      <c r="J161" t="str">
        <f>MID('paste from garc here'!$C$1,1+(('table for research'!$B161-1)*36+HEX2DEC('table for research'!J$1))*2,2)</f>
        <v>50</v>
      </c>
      <c r="K161" t="str">
        <f>DEC2HEX(_xlfn.BITAND(HEX2DEC(MID('paste from garc here'!$C$1,1+(('table for research'!$B161-1)*36+HEX2DEC(8))*2,2)),31),2)</f>
        <v>06</v>
      </c>
      <c r="L161" t="str">
        <f>DEC2HEX(_xlfn.BITAND(HEX2DEC(MID('paste from garc here'!$C$1,1+(('table for research'!$B161-1)*36+HEX2DEC(8))*2,2)),32),2)</f>
        <v>00</v>
      </c>
      <c r="M161" t="str">
        <f>DEC2HEX(_xlfn.BITAND(HEX2DEC(MID('paste from garc here'!$C$1,1+(('table for research'!$B161-1)*36+HEX2DEC(8))*2,2)),64),2)</f>
        <v>00</v>
      </c>
      <c r="N161" t="str">
        <f>DEC2HEX(_xlfn.BITRSHIFT(_xlfn.BITAND(HEX2DEC(MID('paste from garc here'!$C$1,1+(('table for research'!$B161-1)*36+HEX2DEC(9))*2,2)&amp;MID('paste from garc here'!$C$1,1+(('table for research'!$B161-1)*36+HEX2DEC(8))*2,2)),1920),7),2)</f>
        <v>03</v>
      </c>
      <c r="O161" t="str">
        <f>DEC2HEX(_xlfn.BITRSHIFT(HEX2DEC(MID('paste from garc here'!$C$1,1+(('table for research'!$B161-1)*36+HEX2DEC(9))*2,2)&amp;MID('paste from garc here'!$C$1,1+(('table for research'!$B161-1)*36+HEX2DEC(8))*2,2)),11),2)</f>
        <v>00</v>
      </c>
      <c r="P161" t="str">
        <f>MID('paste from garc here'!$C$1,1+(('table for research'!$B161-1)*36+HEX2DEC('table for research'!P$1))*2,2)</f>
        <v>0C</v>
      </c>
      <c r="Q161" t="str">
        <f>MID('paste from garc here'!$C$1,1+(('table for research'!$B161-1)*36+HEX2DEC('table for research'!Q$1))*2,2)</f>
        <v>00</v>
      </c>
      <c r="R161" t="str">
        <f>MID('paste from garc here'!$C$1,1+(('table for research'!$B161-1)*36+HEX2DEC('table for research'!R$1))*2,2)</f>
        <v>01</v>
      </c>
      <c r="S161" t="str">
        <f>MID('paste from garc here'!$C$1,1+(('table for research'!$B161-1)*36+HEX2DEC('table for research'!S$1))*2,2)</f>
        <v>07</v>
      </c>
      <c r="T161" t="str">
        <f>MID('paste from garc here'!$C$1,1+(('table for research'!$B161-1)*36+HEX2DEC('table for research'!T$1))*2,2)</f>
        <v>01</v>
      </c>
      <c r="U161" t="str">
        <f>MID('paste from garc here'!$C$1,1+(('table for research'!$B161-1)*36+HEX2DEC('table for research'!U$1))*2,2)</f>
        <v>0A</v>
      </c>
      <c r="V161" t="str">
        <f>MID('paste from garc here'!$C$1,1+(('table for research'!$B161-1)*36+HEX2DEC('table for research'!V$1))*2,2)</f>
        <v>00</v>
      </c>
      <c r="W161" t="str">
        <f>MID('paste from garc here'!$C$1,1+(('table for research'!$B161-1)*36+HEX2DEC('table for research'!W$1))*2,2)</f>
        <v>00</v>
      </c>
      <c r="X161" t="str">
        <f>MID('paste from garc here'!$C$1,1+(('table for research'!$B161-1)*36+HEX2DEC('table for research'!X$1))*2,2)</f>
        <v>00</v>
      </c>
      <c r="Y161" t="str">
        <f>MID('paste from garc here'!$C$1,1+(('table for research'!$B161-1)*36+HEX2DEC('table for research'!Y$1))*2,2)</f>
        <v>00</v>
      </c>
      <c r="Z161" t="str">
        <f>MID('paste from garc here'!$C$1,1+(('table for research'!$B161-1)*36+HEX2DEC('table for research'!Z$1))*2,2)</f>
        <v>00</v>
      </c>
      <c r="AA161" t="str">
        <f>MID('paste from garc here'!$C$1,1+(('table for research'!$B161-1)*36+HEX2DEC('table for research'!AA$1))*2,2)</f>
        <v>00</v>
      </c>
      <c r="AB161" t="str">
        <f>MID('paste from garc here'!$C$1,1+(('table for research'!$B161-1)*36+HEX2DEC('table for research'!AB$1))*2,2)</f>
        <v>00</v>
      </c>
      <c r="AC161" t="str">
        <f>MID('paste from garc here'!$C$1,1+(('table for research'!$B161-1)*36+HEX2DEC('table for research'!AC$1))*2,2)</f>
        <v>00</v>
      </c>
      <c r="AD161" t="str">
        <f>MID('paste from garc here'!$C$1,1+(('table for research'!$B161-1)*36+HEX2DEC('table for research'!AD$1))*2,2)</f>
        <v>00</v>
      </c>
      <c r="AE161" t="str">
        <f>MID('paste from garc here'!$C$1,1+(('table for research'!$B161-1)*36+HEX2DEC('table for research'!AE$1))*2,2)</f>
        <v>00</v>
      </c>
      <c r="AF161" t="str">
        <f>MID('paste from garc here'!$C$1,1+(('table for research'!$B161-1)*36+HEX2DEC('table for research'!AF$1))*2,2)</f>
        <v>00</v>
      </c>
      <c r="AG161" t="str">
        <f>MID('paste from garc here'!$C$1,1+(('table for research'!$B161-1)*36+HEX2DEC('table for research'!AG$1))*2,2)</f>
        <v>00</v>
      </c>
      <c r="AH161" t="str">
        <f>MID('paste from garc here'!$C$1,1+(('table for research'!$B161-1)*36+HEX2DEC('table for research'!AH$1))*2,2)</f>
        <v>00</v>
      </c>
      <c r="AI161" t="str">
        <f>MID('paste from garc here'!$C$1,1+(('table for research'!$B161-1)*36+HEX2DEC('table for research'!AI$1))*2,2)</f>
        <v>00</v>
      </c>
      <c r="AJ161" t="str">
        <f>MID('paste from garc here'!$C$1,1+(('table for research'!$B161-1)*36+HEX2DEC('table for research'!AJ$1))*2,2)</f>
        <v>00</v>
      </c>
      <c r="AK161" t="str">
        <f>MID('paste from garc here'!$C$1,1+(('table for research'!$B161-1)*36+HEX2DEC('table for research'!AK$1))*2,2)</f>
        <v>00</v>
      </c>
      <c r="AL161" t="str">
        <f>MID('paste from garc here'!$C$1,1+(('table for research'!$B161-1)*36+HEX2DEC('table for research'!AL$1))*2,2)</f>
        <v>00</v>
      </c>
      <c r="AM161" t="str">
        <f>MID('paste from garc here'!$C$1,1+(('table for research'!$B161-1)*36+HEX2DEC('table for research'!AM$1))*2,2)</f>
        <v>00</v>
      </c>
      <c r="AN161" t="str">
        <f>MID('paste from garc here'!$C$1,1+(('table for research'!$B161-1)*36+HEX2DEC('table for research'!AN$1))*2,2)</f>
        <v>00</v>
      </c>
      <c r="AO161" t="str">
        <f>MID('paste from garc here'!$C$1,1+(('table for research'!$B161-1)*36+HEX2DEC('table for research'!AO$1))*2,2)</f>
        <v>00</v>
      </c>
    </row>
    <row r="162" spans="1:41" x14ac:dyDescent="0.4">
      <c r="A162" t="s">
        <v>165</v>
      </c>
      <c r="B162">
        <f>B161+1</f>
        <v>160</v>
      </c>
      <c r="C162" t="str">
        <f>MID('paste from garc here'!$C$1,1+(('table for research'!$B162-1)*36+HEX2DEC('table for research'!C$1))*2,2)</f>
        <v>02</v>
      </c>
      <c r="D162" t="str">
        <f>MID('paste from garc here'!$C$1,1+(('table for research'!$B162-1)*36+HEX2DEC('table for research'!D$1))*2,2)</f>
        <v>00</v>
      </c>
      <c r="E162" t="str">
        <f>MID('paste from garc here'!$C$1,1+(('table for research'!$B162-1)*36+HEX2DEC('table for research'!E$1))*2,2)</f>
        <v>0F</v>
      </c>
      <c r="F162" t="str">
        <f>MID('paste from garc here'!$C$1,1+(('table for research'!$B162-1)*36+HEX2DEC('table for research'!F$1))*2,2)</f>
        <v>03</v>
      </c>
      <c r="G162" t="str">
        <f>MID('paste from garc here'!$C$1,1+(('table for research'!$B162-1)*36+HEX2DEC('table for research'!G$1))*2,2)</f>
        <v>0C</v>
      </c>
      <c r="H162" t="str">
        <f>MID('paste from garc here'!$C$1,1+(('table for research'!$B162-1)*36+HEX2DEC('table for research'!H$1))*2,2)</f>
        <v>0C</v>
      </c>
      <c r="I162" t="str">
        <f>MID('paste from garc here'!$C$1,1+(('table for research'!$B162-1)*36+HEX2DEC('table for research'!I$1))*2,2)</f>
        <v>0A</v>
      </c>
      <c r="J162" t="str">
        <f>MID('paste from garc here'!$C$1,1+(('table for research'!$B162-1)*36+HEX2DEC('table for research'!J$1))*2,2)</f>
        <v>50</v>
      </c>
      <c r="K162" t="str">
        <f>DEC2HEX(_xlfn.BITAND(HEX2DEC(MID('paste from garc here'!$C$1,1+(('table for research'!$B162-1)*36+HEX2DEC(8))*2,2)),31),2)</f>
        <v>05</v>
      </c>
      <c r="L162" t="str">
        <f>DEC2HEX(_xlfn.BITAND(HEX2DEC(MID('paste from garc here'!$C$1,1+(('table for research'!$B162-1)*36+HEX2DEC(8))*2,2)),32),2)</f>
        <v>00</v>
      </c>
      <c r="M162" t="str">
        <f>DEC2HEX(_xlfn.BITAND(HEX2DEC(MID('paste from garc here'!$C$1,1+(('table for research'!$B162-1)*36+HEX2DEC(8))*2,2)),64),2)</f>
        <v>00</v>
      </c>
      <c r="N162" t="str">
        <f>DEC2HEX(_xlfn.BITRSHIFT(_xlfn.BITAND(HEX2DEC(MID('paste from garc here'!$C$1,1+(('table for research'!$B162-1)*36+HEX2DEC(9))*2,2)&amp;MID('paste from garc here'!$C$1,1+(('table for research'!$B162-1)*36+HEX2DEC(8))*2,2)),1920),7),2)</f>
        <v>03</v>
      </c>
      <c r="O162" t="str">
        <f>DEC2HEX(_xlfn.BITRSHIFT(HEX2DEC(MID('paste from garc here'!$C$1,1+(('table for research'!$B162-1)*36+HEX2DEC(9))*2,2)&amp;MID('paste from garc here'!$C$1,1+(('table for research'!$B162-1)*36+HEX2DEC(8))*2,2)),11),2)</f>
        <v>00</v>
      </c>
      <c r="P162" t="str">
        <f>MID('paste from garc here'!$C$1,1+(('table for research'!$B162-1)*36+HEX2DEC('table for research'!P$1))*2,2)</f>
        <v>0C</v>
      </c>
      <c r="Q162" t="str">
        <f>MID('paste from garc here'!$C$1,1+(('table for research'!$B162-1)*36+HEX2DEC('table for research'!Q$1))*2,2)</f>
        <v>00</v>
      </c>
      <c r="R162" t="str">
        <f>MID('paste from garc here'!$C$1,1+(('table for research'!$B162-1)*36+HEX2DEC('table for research'!R$1))*2,2)</f>
        <v>01</v>
      </c>
      <c r="S162" t="str">
        <f>MID('paste from garc here'!$C$1,1+(('table for research'!$B162-1)*36+HEX2DEC('table for research'!S$1))*2,2)</f>
        <v>07</v>
      </c>
      <c r="T162" t="str">
        <f>MID('paste from garc here'!$C$1,1+(('table for research'!$B162-1)*36+HEX2DEC('table for research'!T$1))*2,2)</f>
        <v>01</v>
      </c>
      <c r="U162" t="str">
        <f>MID('paste from garc here'!$C$1,1+(('table for research'!$B162-1)*36+HEX2DEC('table for research'!U$1))*2,2)</f>
        <v>0B</v>
      </c>
      <c r="V162" t="str">
        <f>MID('paste from garc here'!$C$1,1+(('table for research'!$B162-1)*36+HEX2DEC('table for research'!V$1))*2,2)</f>
        <v>00</v>
      </c>
      <c r="W162" t="str">
        <f>MID('paste from garc here'!$C$1,1+(('table for research'!$B162-1)*36+HEX2DEC('table for research'!W$1))*2,2)</f>
        <v>00</v>
      </c>
      <c r="X162" t="str">
        <f>MID('paste from garc here'!$C$1,1+(('table for research'!$B162-1)*36+HEX2DEC('table for research'!X$1))*2,2)</f>
        <v>00</v>
      </c>
      <c r="Y162" t="str">
        <f>MID('paste from garc here'!$C$1,1+(('table for research'!$B162-1)*36+HEX2DEC('table for research'!Y$1))*2,2)</f>
        <v>00</v>
      </c>
      <c r="Z162" t="str">
        <f>MID('paste from garc here'!$C$1,1+(('table for research'!$B162-1)*36+HEX2DEC('table for research'!Z$1))*2,2)</f>
        <v>00</v>
      </c>
      <c r="AA162" t="str">
        <f>MID('paste from garc here'!$C$1,1+(('table for research'!$B162-1)*36+HEX2DEC('table for research'!AA$1))*2,2)</f>
        <v>00</v>
      </c>
      <c r="AB162" t="str">
        <f>MID('paste from garc here'!$C$1,1+(('table for research'!$B162-1)*36+HEX2DEC('table for research'!AB$1))*2,2)</f>
        <v>00</v>
      </c>
      <c r="AC162" t="str">
        <f>MID('paste from garc here'!$C$1,1+(('table for research'!$B162-1)*36+HEX2DEC('table for research'!AC$1))*2,2)</f>
        <v>00</v>
      </c>
      <c r="AD162" t="str">
        <f>MID('paste from garc here'!$C$1,1+(('table for research'!$B162-1)*36+HEX2DEC('table for research'!AD$1))*2,2)</f>
        <v>00</v>
      </c>
      <c r="AE162" t="str">
        <f>MID('paste from garc here'!$C$1,1+(('table for research'!$B162-1)*36+HEX2DEC('table for research'!AE$1))*2,2)</f>
        <v>00</v>
      </c>
      <c r="AF162" t="str">
        <f>MID('paste from garc here'!$C$1,1+(('table for research'!$B162-1)*36+HEX2DEC('table for research'!AF$1))*2,2)</f>
        <v>00</v>
      </c>
      <c r="AG162" t="str">
        <f>MID('paste from garc here'!$C$1,1+(('table for research'!$B162-1)*36+HEX2DEC('table for research'!AG$1))*2,2)</f>
        <v>00</v>
      </c>
      <c r="AH162" t="str">
        <f>MID('paste from garc here'!$C$1,1+(('table for research'!$B162-1)*36+HEX2DEC('table for research'!AH$1))*2,2)</f>
        <v>00</v>
      </c>
      <c r="AI162" t="str">
        <f>MID('paste from garc here'!$C$1,1+(('table for research'!$B162-1)*36+HEX2DEC('table for research'!AI$1))*2,2)</f>
        <v>00</v>
      </c>
      <c r="AJ162" t="str">
        <f>MID('paste from garc here'!$C$1,1+(('table for research'!$B162-1)*36+HEX2DEC('table for research'!AJ$1))*2,2)</f>
        <v>00</v>
      </c>
      <c r="AK162" t="str">
        <f>MID('paste from garc here'!$C$1,1+(('table for research'!$B162-1)*36+HEX2DEC('table for research'!AK$1))*2,2)</f>
        <v>00</v>
      </c>
      <c r="AL162" t="str">
        <f>MID('paste from garc here'!$C$1,1+(('table for research'!$B162-1)*36+HEX2DEC('table for research'!AL$1))*2,2)</f>
        <v>00</v>
      </c>
      <c r="AM162" t="str">
        <f>MID('paste from garc here'!$C$1,1+(('table for research'!$B162-1)*36+HEX2DEC('table for research'!AM$1))*2,2)</f>
        <v>00</v>
      </c>
      <c r="AN162" t="str">
        <f>MID('paste from garc here'!$C$1,1+(('table for research'!$B162-1)*36+HEX2DEC('table for research'!AN$1))*2,2)</f>
        <v>00</v>
      </c>
      <c r="AO162" t="str">
        <f>MID('paste from garc here'!$C$1,1+(('table for research'!$B162-1)*36+HEX2DEC('table for research'!AO$1))*2,2)</f>
        <v>00</v>
      </c>
    </row>
    <row r="163" spans="1:41" x14ac:dyDescent="0.4">
      <c r="A163" t="s">
        <v>166</v>
      </c>
      <c r="B163">
        <f>B162+1</f>
        <v>161</v>
      </c>
      <c r="C163" t="str">
        <f>MID('paste from garc here'!$C$1,1+(('table for research'!$B163-1)*36+HEX2DEC('table for research'!C$1))*2,2)</f>
        <v>02</v>
      </c>
      <c r="D163" t="str">
        <f>MID('paste from garc here'!$C$1,1+(('table for research'!$B163-1)*36+HEX2DEC('table for research'!D$1))*2,2)</f>
        <v>00</v>
      </c>
      <c r="E163" t="str">
        <f>MID('paste from garc here'!$C$1,1+(('table for research'!$B163-1)*36+HEX2DEC('table for research'!E$1))*2,2)</f>
        <v>10</v>
      </c>
      <c r="F163" t="str">
        <f>MID('paste from garc here'!$C$1,1+(('table for research'!$B163-1)*36+HEX2DEC('table for research'!F$1))*2,2)</f>
        <v>03</v>
      </c>
      <c r="G163" t="str">
        <f>MID('paste from garc here'!$C$1,1+(('table for research'!$B163-1)*36+HEX2DEC('table for research'!G$1))*2,2)</f>
        <v>0D</v>
      </c>
      <c r="H163" t="str">
        <f>MID('paste from garc here'!$C$1,1+(('table for research'!$B163-1)*36+HEX2DEC('table for research'!H$1))*2,2)</f>
        <v>0D</v>
      </c>
      <c r="I163" t="str">
        <f>MID('paste from garc here'!$C$1,1+(('table for research'!$B163-1)*36+HEX2DEC('table for research'!I$1))*2,2)</f>
        <v>0A</v>
      </c>
      <c r="J163" t="str">
        <f>MID('paste from garc here'!$C$1,1+(('table for research'!$B163-1)*36+HEX2DEC('table for research'!J$1))*2,2)</f>
        <v>50</v>
      </c>
      <c r="K163" t="str">
        <f>DEC2HEX(_xlfn.BITAND(HEX2DEC(MID('paste from garc here'!$C$1,1+(('table for research'!$B163-1)*36+HEX2DEC(8))*2,2)),31),2)</f>
        <v>07</v>
      </c>
      <c r="L163" t="str">
        <f>DEC2HEX(_xlfn.BITAND(HEX2DEC(MID('paste from garc here'!$C$1,1+(('table for research'!$B163-1)*36+HEX2DEC(8))*2,2)),32),2)</f>
        <v>00</v>
      </c>
      <c r="M163" t="str">
        <f>DEC2HEX(_xlfn.BITAND(HEX2DEC(MID('paste from garc here'!$C$1,1+(('table for research'!$B163-1)*36+HEX2DEC(8))*2,2)),64),2)</f>
        <v>00</v>
      </c>
      <c r="N163" t="str">
        <f>DEC2HEX(_xlfn.BITRSHIFT(_xlfn.BITAND(HEX2DEC(MID('paste from garc here'!$C$1,1+(('table for research'!$B163-1)*36+HEX2DEC(9))*2,2)&amp;MID('paste from garc here'!$C$1,1+(('table for research'!$B163-1)*36+HEX2DEC(8))*2,2)),1920),7),2)</f>
        <v>03</v>
      </c>
      <c r="O163" t="str">
        <f>DEC2HEX(_xlfn.BITRSHIFT(HEX2DEC(MID('paste from garc here'!$C$1,1+(('table for research'!$B163-1)*36+HEX2DEC(9))*2,2)&amp;MID('paste from garc here'!$C$1,1+(('table for research'!$B163-1)*36+HEX2DEC(8))*2,2)),11),2)</f>
        <v>00</v>
      </c>
      <c r="P163" t="str">
        <f>MID('paste from garc here'!$C$1,1+(('table for research'!$B163-1)*36+HEX2DEC('table for research'!P$1))*2,2)</f>
        <v>0C</v>
      </c>
      <c r="Q163" t="str">
        <f>MID('paste from garc here'!$C$1,1+(('table for research'!$B163-1)*36+HEX2DEC('table for research'!Q$1))*2,2)</f>
        <v>00</v>
      </c>
      <c r="R163" t="str">
        <f>MID('paste from garc here'!$C$1,1+(('table for research'!$B163-1)*36+HEX2DEC('table for research'!R$1))*2,2)</f>
        <v>01</v>
      </c>
      <c r="S163" t="str">
        <f>MID('paste from garc here'!$C$1,1+(('table for research'!$B163-1)*36+HEX2DEC('table for research'!S$1))*2,2)</f>
        <v>07</v>
      </c>
      <c r="T163" t="str">
        <f>MID('paste from garc here'!$C$1,1+(('table for research'!$B163-1)*36+HEX2DEC('table for research'!T$1))*2,2)</f>
        <v>01</v>
      </c>
      <c r="U163" t="str">
        <f>MID('paste from garc here'!$C$1,1+(('table for research'!$B163-1)*36+HEX2DEC('table for research'!U$1))*2,2)</f>
        <v>0C</v>
      </c>
      <c r="V163" t="str">
        <f>MID('paste from garc here'!$C$1,1+(('table for research'!$B163-1)*36+HEX2DEC('table for research'!V$1))*2,2)</f>
        <v>00</v>
      </c>
      <c r="W163" t="str">
        <f>MID('paste from garc here'!$C$1,1+(('table for research'!$B163-1)*36+HEX2DEC('table for research'!W$1))*2,2)</f>
        <v>00</v>
      </c>
      <c r="X163" t="str">
        <f>MID('paste from garc here'!$C$1,1+(('table for research'!$B163-1)*36+HEX2DEC('table for research'!X$1))*2,2)</f>
        <v>00</v>
      </c>
      <c r="Y163" t="str">
        <f>MID('paste from garc here'!$C$1,1+(('table for research'!$B163-1)*36+HEX2DEC('table for research'!Y$1))*2,2)</f>
        <v>00</v>
      </c>
      <c r="Z163" t="str">
        <f>MID('paste from garc here'!$C$1,1+(('table for research'!$B163-1)*36+HEX2DEC('table for research'!Z$1))*2,2)</f>
        <v>00</v>
      </c>
      <c r="AA163" t="str">
        <f>MID('paste from garc here'!$C$1,1+(('table for research'!$B163-1)*36+HEX2DEC('table for research'!AA$1))*2,2)</f>
        <v>00</v>
      </c>
      <c r="AB163" t="str">
        <f>MID('paste from garc here'!$C$1,1+(('table for research'!$B163-1)*36+HEX2DEC('table for research'!AB$1))*2,2)</f>
        <v>00</v>
      </c>
      <c r="AC163" t="str">
        <f>MID('paste from garc here'!$C$1,1+(('table for research'!$B163-1)*36+HEX2DEC('table for research'!AC$1))*2,2)</f>
        <v>00</v>
      </c>
      <c r="AD163" t="str">
        <f>MID('paste from garc here'!$C$1,1+(('table for research'!$B163-1)*36+HEX2DEC('table for research'!AD$1))*2,2)</f>
        <v>00</v>
      </c>
      <c r="AE163" t="str">
        <f>MID('paste from garc here'!$C$1,1+(('table for research'!$B163-1)*36+HEX2DEC('table for research'!AE$1))*2,2)</f>
        <v>00</v>
      </c>
      <c r="AF163" t="str">
        <f>MID('paste from garc here'!$C$1,1+(('table for research'!$B163-1)*36+HEX2DEC('table for research'!AF$1))*2,2)</f>
        <v>00</v>
      </c>
      <c r="AG163" t="str">
        <f>MID('paste from garc here'!$C$1,1+(('table for research'!$B163-1)*36+HEX2DEC('table for research'!AG$1))*2,2)</f>
        <v>00</v>
      </c>
      <c r="AH163" t="str">
        <f>MID('paste from garc here'!$C$1,1+(('table for research'!$B163-1)*36+HEX2DEC('table for research'!AH$1))*2,2)</f>
        <v>00</v>
      </c>
      <c r="AI163" t="str">
        <f>MID('paste from garc here'!$C$1,1+(('table for research'!$B163-1)*36+HEX2DEC('table for research'!AI$1))*2,2)</f>
        <v>00</v>
      </c>
      <c r="AJ163" t="str">
        <f>MID('paste from garc here'!$C$1,1+(('table for research'!$B163-1)*36+HEX2DEC('table for research'!AJ$1))*2,2)</f>
        <v>00</v>
      </c>
      <c r="AK163" t="str">
        <f>MID('paste from garc here'!$C$1,1+(('table for research'!$B163-1)*36+HEX2DEC('table for research'!AK$1))*2,2)</f>
        <v>00</v>
      </c>
      <c r="AL163" t="str">
        <f>MID('paste from garc here'!$C$1,1+(('table for research'!$B163-1)*36+HEX2DEC('table for research'!AL$1))*2,2)</f>
        <v>00</v>
      </c>
      <c r="AM163" t="str">
        <f>MID('paste from garc here'!$C$1,1+(('table for research'!$B163-1)*36+HEX2DEC('table for research'!AM$1))*2,2)</f>
        <v>00</v>
      </c>
      <c r="AN163" t="str">
        <f>MID('paste from garc here'!$C$1,1+(('table for research'!$B163-1)*36+HEX2DEC('table for research'!AN$1))*2,2)</f>
        <v>00</v>
      </c>
      <c r="AO163" t="str">
        <f>MID('paste from garc here'!$C$1,1+(('table for research'!$B163-1)*36+HEX2DEC('table for research'!AO$1))*2,2)</f>
        <v>00</v>
      </c>
    </row>
    <row r="164" spans="1:41" x14ac:dyDescent="0.4">
      <c r="A164" t="s">
        <v>167</v>
      </c>
      <c r="B164">
        <f>B163+1</f>
        <v>162</v>
      </c>
      <c r="C164" t="str">
        <f>MID('paste from garc here'!$C$1,1+(('table for research'!$B164-1)*36+HEX2DEC('table for research'!C$1))*2,2)</f>
        <v>02</v>
      </c>
      <c r="D164" t="str">
        <f>MID('paste from garc here'!$C$1,1+(('table for research'!$B164-1)*36+HEX2DEC('table for research'!D$1))*2,2)</f>
        <v>00</v>
      </c>
      <c r="E164" t="str">
        <f>MID('paste from garc here'!$C$1,1+(('table for research'!$B164-1)*36+HEX2DEC('table for research'!E$1))*2,2)</f>
        <v>11</v>
      </c>
      <c r="F164" t="str">
        <f>MID('paste from garc here'!$C$1,1+(('table for research'!$B164-1)*36+HEX2DEC('table for research'!F$1))*2,2)</f>
        <v>03</v>
      </c>
      <c r="G164" t="str">
        <f>MID('paste from garc here'!$C$1,1+(('table for research'!$B164-1)*36+HEX2DEC('table for research'!G$1))*2,2)</f>
        <v>0E</v>
      </c>
      <c r="H164" t="str">
        <f>MID('paste from garc here'!$C$1,1+(('table for research'!$B164-1)*36+HEX2DEC('table for research'!H$1))*2,2)</f>
        <v>0E</v>
      </c>
      <c r="I164" t="str">
        <f>MID('paste from garc here'!$C$1,1+(('table for research'!$B164-1)*36+HEX2DEC('table for research'!I$1))*2,2)</f>
        <v>0A</v>
      </c>
      <c r="J164" t="str">
        <f>MID('paste from garc here'!$C$1,1+(('table for research'!$B164-1)*36+HEX2DEC('table for research'!J$1))*2,2)</f>
        <v>50</v>
      </c>
      <c r="K164" t="str">
        <f>DEC2HEX(_xlfn.BITAND(HEX2DEC(MID('paste from garc here'!$C$1,1+(('table for research'!$B164-1)*36+HEX2DEC(8))*2,2)),31),2)</f>
        <v>0F</v>
      </c>
      <c r="L164" t="str">
        <f>DEC2HEX(_xlfn.BITAND(HEX2DEC(MID('paste from garc here'!$C$1,1+(('table for research'!$B164-1)*36+HEX2DEC(8))*2,2)),32),2)</f>
        <v>00</v>
      </c>
      <c r="M164" t="str">
        <f>DEC2HEX(_xlfn.BITAND(HEX2DEC(MID('paste from garc here'!$C$1,1+(('table for research'!$B164-1)*36+HEX2DEC(8))*2,2)),64),2)</f>
        <v>00</v>
      </c>
      <c r="N164" t="str">
        <f>DEC2HEX(_xlfn.BITRSHIFT(_xlfn.BITAND(HEX2DEC(MID('paste from garc here'!$C$1,1+(('table for research'!$B164-1)*36+HEX2DEC(9))*2,2)&amp;MID('paste from garc here'!$C$1,1+(('table for research'!$B164-1)*36+HEX2DEC(8))*2,2)),1920),7),2)</f>
        <v>03</v>
      </c>
      <c r="O164" t="str">
        <f>DEC2HEX(_xlfn.BITRSHIFT(HEX2DEC(MID('paste from garc here'!$C$1,1+(('table for research'!$B164-1)*36+HEX2DEC(9))*2,2)&amp;MID('paste from garc here'!$C$1,1+(('table for research'!$B164-1)*36+HEX2DEC(8))*2,2)),11),2)</f>
        <v>00</v>
      </c>
      <c r="P164" t="str">
        <f>MID('paste from garc here'!$C$1,1+(('table for research'!$B164-1)*36+HEX2DEC('table for research'!P$1))*2,2)</f>
        <v>0C</v>
      </c>
      <c r="Q164" t="str">
        <f>MID('paste from garc here'!$C$1,1+(('table for research'!$B164-1)*36+HEX2DEC('table for research'!Q$1))*2,2)</f>
        <v>00</v>
      </c>
      <c r="R164" t="str">
        <f>MID('paste from garc here'!$C$1,1+(('table for research'!$B164-1)*36+HEX2DEC('table for research'!R$1))*2,2)</f>
        <v>01</v>
      </c>
      <c r="S164" t="str">
        <f>MID('paste from garc here'!$C$1,1+(('table for research'!$B164-1)*36+HEX2DEC('table for research'!S$1))*2,2)</f>
        <v>07</v>
      </c>
      <c r="T164" t="str">
        <f>MID('paste from garc here'!$C$1,1+(('table for research'!$B164-1)*36+HEX2DEC('table for research'!T$1))*2,2)</f>
        <v>01</v>
      </c>
      <c r="U164" t="str">
        <f>MID('paste from garc here'!$C$1,1+(('table for research'!$B164-1)*36+HEX2DEC('table for research'!U$1))*2,2)</f>
        <v>0D</v>
      </c>
      <c r="V164" t="str">
        <f>MID('paste from garc here'!$C$1,1+(('table for research'!$B164-1)*36+HEX2DEC('table for research'!V$1))*2,2)</f>
        <v>00</v>
      </c>
      <c r="W164" t="str">
        <f>MID('paste from garc here'!$C$1,1+(('table for research'!$B164-1)*36+HEX2DEC('table for research'!W$1))*2,2)</f>
        <v>00</v>
      </c>
      <c r="X164" t="str">
        <f>MID('paste from garc here'!$C$1,1+(('table for research'!$B164-1)*36+HEX2DEC('table for research'!X$1))*2,2)</f>
        <v>00</v>
      </c>
      <c r="Y164" t="str">
        <f>MID('paste from garc here'!$C$1,1+(('table for research'!$B164-1)*36+HEX2DEC('table for research'!Y$1))*2,2)</f>
        <v>00</v>
      </c>
      <c r="Z164" t="str">
        <f>MID('paste from garc here'!$C$1,1+(('table for research'!$B164-1)*36+HEX2DEC('table for research'!Z$1))*2,2)</f>
        <v>00</v>
      </c>
      <c r="AA164" t="str">
        <f>MID('paste from garc here'!$C$1,1+(('table for research'!$B164-1)*36+HEX2DEC('table for research'!AA$1))*2,2)</f>
        <v>00</v>
      </c>
      <c r="AB164" t="str">
        <f>MID('paste from garc here'!$C$1,1+(('table for research'!$B164-1)*36+HEX2DEC('table for research'!AB$1))*2,2)</f>
        <v>00</v>
      </c>
      <c r="AC164" t="str">
        <f>MID('paste from garc here'!$C$1,1+(('table for research'!$B164-1)*36+HEX2DEC('table for research'!AC$1))*2,2)</f>
        <v>00</v>
      </c>
      <c r="AD164" t="str">
        <f>MID('paste from garc here'!$C$1,1+(('table for research'!$B164-1)*36+HEX2DEC('table for research'!AD$1))*2,2)</f>
        <v>00</v>
      </c>
      <c r="AE164" t="str">
        <f>MID('paste from garc here'!$C$1,1+(('table for research'!$B164-1)*36+HEX2DEC('table for research'!AE$1))*2,2)</f>
        <v>00</v>
      </c>
      <c r="AF164" t="str">
        <f>MID('paste from garc here'!$C$1,1+(('table for research'!$B164-1)*36+HEX2DEC('table for research'!AF$1))*2,2)</f>
        <v>00</v>
      </c>
      <c r="AG164" t="str">
        <f>MID('paste from garc here'!$C$1,1+(('table for research'!$B164-1)*36+HEX2DEC('table for research'!AG$1))*2,2)</f>
        <v>00</v>
      </c>
      <c r="AH164" t="str">
        <f>MID('paste from garc here'!$C$1,1+(('table for research'!$B164-1)*36+HEX2DEC('table for research'!AH$1))*2,2)</f>
        <v>00</v>
      </c>
      <c r="AI164" t="str">
        <f>MID('paste from garc here'!$C$1,1+(('table for research'!$B164-1)*36+HEX2DEC('table for research'!AI$1))*2,2)</f>
        <v>00</v>
      </c>
      <c r="AJ164" t="str">
        <f>MID('paste from garc here'!$C$1,1+(('table for research'!$B164-1)*36+HEX2DEC('table for research'!AJ$1))*2,2)</f>
        <v>00</v>
      </c>
      <c r="AK164" t="str">
        <f>MID('paste from garc here'!$C$1,1+(('table for research'!$B164-1)*36+HEX2DEC('table for research'!AK$1))*2,2)</f>
        <v>00</v>
      </c>
      <c r="AL164" t="str">
        <f>MID('paste from garc here'!$C$1,1+(('table for research'!$B164-1)*36+HEX2DEC('table for research'!AL$1))*2,2)</f>
        <v>00</v>
      </c>
      <c r="AM164" t="str">
        <f>MID('paste from garc here'!$C$1,1+(('table for research'!$B164-1)*36+HEX2DEC('table for research'!AM$1))*2,2)</f>
        <v>00</v>
      </c>
      <c r="AN164" t="str">
        <f>MID('paste from garc here'!$C$1,1+(('table for research'!$B164-1)*36+HEX2DEC('table for research'!AN$1))*2,2)</f>
        <v>00</v>
      </c>
      <c r="AO164" t="str">
        <f>MID('paste from garc here'!$C$1,1+(('table for research'!$B164-1)*36+HEX2DEC('table for research'!AO$1))*2,2)</f>
        <v>00</v>
      </c>
    </row>
    <row r="165" spans="1:41" x14ac:dyDescent="0.4">
      <c r="A165" t="s">
        <v>168</v>
      </c>
      <c r="B165">
        <f>B164+1</f>
        <v>163</v>
      </c>
      <c r="C165" t="str">
        <f>MID('paste from garc here'!$C$1,1+(('table for research'!$B165-1)*36+HEX2DEC('table for research'!C$1))*2,2)</f>
        <v>02</v>
      </c>
      <c r="D165" t="str">
        <f>MID('paste from garc here'!$C$1,1+(('table for research'!$B165-1)*36+HEX2DEC('table for research'!D$1))*2,2)</f>
        <v>00</v>
      </c>
      <c r="E165" t="str">
        <f>MID('paste from garc here'!$C$1,1+(('table for research'!$B165-1)*36+HEX2DEC('table for research'!E$1))*2,2)</f>
        <v>12</v>
      </c>
      <c r="F165" t="str">
        <f>MID('paste from garc here'!$C$1,1+(('table for research'!$B165-1)*36+HEX2DEC('table for research'!F$1))*2,2)</f>
        <v>03</v>
      </c>
      <c r="G165" t="str">
        <f>MID('paste from garc here'!$C$1,1+(('table for research'!$B165-1)*36+HEX2DEC('table for research'!G$1))*2,2)</f>
        <v>0F</v>
      </c>
      <c r="H165" t="str">
        <f>MID('paste from garc here'!$C$1,1+(('table for research'!$B165-1)*36+HEX2DEC('table for research'!H$1))*2,2)</f>
        <v>0F</v>
      </c>
      <c r="I165" t="str">
        <f>MID('paste from garc here'!$C$1,1+(('table for research'!$B165-1)*36+HEX2DEC('table for research'!I$1))*2,2)</f>
        <v>0A</v>
      </c>
      <c r="J165" t="str">
        <f>MID('paste from garc here'!$C$1,1+(('table for research'!$B165-1)*36+HEX2DEC('table for research'!J$1))*2,2)</f>
        <v>50</v>
      </c>
      <c r="K165" t="str">
        <f>DEC2HEX(_xlfn.BITAND(HEX2DEC(MID('paste from garc here'!$C$1,1+(('table for research'!$B165-1)*36+HEX2DEC(8))*2,2)),31),2)</f>
        <v>10</v>
      </c>
      <c r="L165" t="str">
        <f>DEC2HEX(_xlfn.BITAND(HEX2DEC(MID('paste from garc here'!$C$1,1+(('table for research'!$B165-1)*36+HEX2DEC(8))*2,2)),32),2)</f>
        <v>00</v>
      </c>
      <c r="M165" t="str">
        <f>DEC2HEX(_xlfn.BITAND(HEX2DEC(MID('paste from garc here'!$C$1,1+(('table for research'!$B165-1)*36+HEX2DEC(8))*2,2)),64),2)</f>
        <v>00</v>
      </c>
      <c r="N165" t="str">
        <f>DEC2HEX(_xlfn.BITRSHIFT(_xlfn.BITAND(HEX2DEC(MID('paste from garc here'!$C$1,1+(('table for research'!$B165-1)*36+HEX2DEC(9))*2,2)&amp;MID('paste from garc here'!$C$1,1+(('table for research'!$B165-1)*36+HEX2DEC(8))*2,2)),1920),7),2)</f>
        <v>03</v>
      </c>
      <c r="O165" t="str">
        <f>DEC2HEX(_xlfn.BITRSHIFT(HEX2DEC(MID('paste from garc here'!$C$1,1+(('table for research'!$B165-1)*36+HEX2DEC(9))*2,2)&amp;MID('paste from garc here'!$C$1,1+(('table for research'!$B165-1)*36+HEX2DEC(8))*2,2)),11),2)</f>
        <v>00</v>
      </c>
      <c r="P165" t="str">
        <f>MID('paste from garc here'!$C$1,1+(('table for research'!$B165-1)*36+HEX2DEC('table for research'!P$1))*2,2)</f>
        <v>0C</v>
      </c>
      <c r="Q165" t="str">
        <f>MID('paste from garc here'!$C$1,1+(('table for research'!$B165-1)*36+HEX2DEC('table for research'!Q$1))*2,2)</f>
        <v>00</v>
      </c>
      <c r="R165" t="str">
        <f>MID('paste from garc here'!$C$1,1+(('table for research'!$B165-1)*36+HEX2DEC('table for research'!R$1))*2,2)</f>
        <v>01</v>
      </c>
      <c r="S165" t="str">
        <f>MID('paste from garc here'!$C$1,1+(('table for research'!$B165-1)*36+HEX2DEC('table for research'!S$1))*2,2)</f>
        <v>07</v>
      </c>
      <c r="T165" t="str">
        <f>MID('paste from garc here'!$C$1,1+(('table for research'!$B165-1)*36+HEX2DEC('table for research'!T$1))*2,2)</f>
        <v>01</v>
      </c>
      <c r="U165" t="str">
        <f>MID('paste from garc here'!$C$1,1+(('table for research'!$B165-1)*36+HEX2DEC('table for research'!U$1))*2,2)</f>
        <v>0E</v>
      </c>
      <c r="V165" t="str">
        <f>MID('paste from garc here'!$C$1,1+(('table for research'!$B165-1)*36+HEX2DEC('table for research'!V$1))*2,2)</f>
        <v>00</v>
      </c>
      <c r="W165" t="str">
        <f>MID('paste from garc here'!$C$1,1+(('table for research'!$B165-1)*36+HEX2DEC('table for research'!W$1))*2,2)</f>
        <v>00</v>
      </c>
      <c r="X165" t="str">
        <f>MID('paste from garc here'!$C$1,1+(('table for research'!$B165-1)*36+HEX2DEC('table for research'!X$1))*2,2)</f>
        <v>00</v>
      </c>
      <c r="Y165" t="str">
        <f>MID('paste from garc here'!$C$1,1+(('table for research'!$B165-1)*36+HEX2DEC('table for research'!Y$1))*2,2)</f>
        <v>00</v>
      </c>
      <c r="Z165" t="str">
        <f>MID('paste from garc here'!$C$1,1+(('table for research'!$B165-1)*36+HEX2DEC('table for research'!Z$1))*2,2)</f>
        <v>00</v>
      </c>
      <c r="AA165" t="str">
        <f>MID('paste from garc here'!$C$1,1+(('table for research'!$B165-1)*36+HEX2DEC('table for research'!AA$1))*2,2)</f>
        <v>00</v>
      </c>
      <c r="AB165" t="str">
        <f>MID('paste from garc here'!$C$1,1+(('table for research'!$B165-1)*36+HEX2DEC('table for research'!AB$1))*2,2)</f>
        <v>00</v>
      </c>
      <c r="AC165" t="str">
        <f>MID('paste from garc here'!$C$1,1+(('table for research'!$B165-1)*36+HEX2DEC('table for research'!AC$1))*2,2)</f>
        <v>00</v>
      </c>
      <c r="AD165" t="str">
        <f>MID('paste from garc here'!$C$1,1+(('table for research'!$B165-1)*36+HEX2DEC('table for research'!AD$1))*2,2)</f>
        <v>00</v>
      </c>
      <c r="AE165" t="str">
        <f>MID('paste from garc here'!$C$1,1+(('table for research'!$B165-1)*36+HEX2DEC('table for research'!AE$1))*2,2)</f>
        <v>00</v>
      </c>
      <c r="AF165" t="str">
        <f>MID('paste from garc here'!$C$1,1+(('table for research'!$B165-1)*36+HEX2DEC('table for research'!AF$1))*2,2)</f>
        <v>00</v>
      </c>
      <c r="AG165" t="str">
        <f>MID('paste from garc here'!$C$1,1+(('table for research'!$B165-1)*36+HEX2DEC('table for research'!AG$1))*2,2)</f>
        <v>00</v>
      </c>
      <c r="AH165" t="str">
        <f>MID('paste from garc here'!$C$1,1+(('table for research'!$B165-1)*36+HEX2DEC('table for research'!AH$1))*2,2)</f>
        <v>00</v>
      </c>
      <c r="AI165" t="str">
        <f>MID('paste from garc here'!$C$1,1+(('table for research'!$B165-1)*36+HEX2DEC('table for research'!AI$1))*2,2)</f>
        <v>00</v>
      </c>
      <c r="AJ165" t="str">
        <f>MID('paste from garc here'!$C$1,1+(('table for research'!$B165-1)*36+HEX2DEC('table for research'!AJ$1))*2,2)</f>
        <v>00</v>
      </c>
      <c r="AK165" t="str">
        <f>MID('paste from garc here'!$C$1,1+(('table for research'!$B165-1)*36+HEX2DEC('table for research'!AK$1))*2,2)</f>
        <v>00</v>
      </c>
      <c r="AL165" t="str">
        <f>MID('paste from garc here'!$C$1,1+(('table for research'!$B165-1)*36+HEX2DEC('table for research'!AL$1))*2,2)</f>
        <v>00</v>
      </c>
      <c r="AM165" t="str">
        <f>MID('paste from garc here'!$C$1,1+(('table for research'!$B165-1)*36+HEX2DEC('table for research'!AM$1))*2,2)</f>
        <v>00</v>
      </c>
      <c r="AN165" t="str">
        <f>MID('paste from garc here'!$C$1,1+(('table for research'!$B165-1)*36+HEX2DEC('table for research'!AN$1))*2,2)</f>
        <v>00</v>
      </c>
      <c r="AO165" t="str">
        <f>MID('paste from garc here'!$C$1,1+(('table for research'!$B165-1)*36+HEX2DEC('table for research'!AO$1))*2,2)</f>
        <v>00</v>
      </c>
    </row>
    <row r="166" spans="1:41" x14ac:dyDescent="0.4">
      <c r="A166" t="s">
        <v>169</v>
      </c>
      <c r="B166">
        <f>B165+1</f>
        <v>164</v>
      </c>
      <c r="C166" t="str">
        <f>MID('paste from garc here'!$C$1,1+(('table for research'!$B166-1)*36+HEX2DEC('table for research'!C$1))*2,2)</f>
        <v>02</v>
      </c>
      <c r="D166" t="str">
        <f>MID('paste from garc here'!$C$1,1+(('table for research'!$B166-1)*36+HEX2DEC('table for research'!D$1))*2,2)</f>
        <v>00</v>
      </c>
      <c r="E166" t="str">
        <f>MID('paste from garc here'!$C$1,1+(('table for research'!$B166-1)*36+HEX2DEC('table for research'!E$1))*2,2)</f>
        <v>00</v>
      </c>
      <c r="F166" t="str">
        <f>MID('paste from garc here'!$C$1,1+(('table for research'!$B166-1)*36+HEX2DEC('table for research'!F$1))*2,2)</f>
        <v>00</v>
      </c>
      <c r="G166" t="str">
        <f>MID('paste from garc here'!$C$1,1+(('table for research'!$B166-1)*36+HEX2DEC('table for research'!G$1))*2,2)</f>
        <v>00</v>
      </c>
      <c r="H166" t="str">
        <f>MID('paste from garc here'!$C$1,1+(('table for research'!$B166-1)*36+HEX2DEC('table for research'!H$1))*2,2)</f>
        <v>00</v>
      </c>
      <c r="I166" t="str">
        <f>MID('paste from garc here'!$C$1,1+(('table for research'!$B166-1)*36+HEX2DEC('table for research'!I$1))*2,2)</f>
        <v>0A</v>
      </c>
      <c r="J166" t="str">
        <f>MID('paste from garc here'!$C$1,1+(('table for research'!$B166-1)*36+HEX2DEC('table for research'!J$1))*2,2)</f>
        <v>50</v>
      </c>
      <c r="K166" t="str">
        <f>DEC2HEX(_xlfn.BITAND(HEX2DEC(MID('paste from garc here'!$C$1,1+(('table for research'!$B166-1)*36+HEX2DEC(8))*2,2)),31),2)</f>
        <v>08</v>
      </c>
      <c r="L166" t="str">
        <f>DEC2HEX(_xlfn.BITAND(HEX2DEC(MID('paste from garc here'!$C$1,1+(('table for research'!$B166-1)*36+HEX2DEC(8))*2,2)),32),2)</f>
        <v>00</v>
      </c>
      <c r="M166" t="str">
        <f>DEC2HEX(_xlfn.BITAND(HEX2DEC(MID('paste from garc here'!$C$1,1+(('table for research'!$B166-1)*36+HEX2DEC(8))*2,2)),64),2)</f>
        <v>00</v>
      </c>
      <c r="N166" t="str">
        <f>DEC2HEX(_xlfn.BITRSHIFT(_xlfn.BITAND(HEX2DEC(MID('paste from garc here'!$C$1,1+(('table for research'!$B166-1)*36+HEX2DEC(9))*2,2)&amp;MID('paste from garc here'!$C$1,1+(('table for research'!$B166-1)*36+HEX2DEC(8))*2,2)),1920),7),2)</f>
        <v>03</v>
      </c>
      <c r="O166" t="str">
        <f>DEC2HEX(_xlfn.BITRSHIFT(HEX2DEC(MID('paste from garc here'!$C$1,1+(('table for research'!$B166-1)*36+HEX2DEC(9))*2,2)&amp;MID('paste from garc here'!$C$1,1+(('table for research'!$B166-1)*36+HEX2DEC(8))*2,2)),11),2)</f>
        <v>00</v>
      </c>
      <c r="P166" t="str">
        <f>MID('paste from garc here'!$C$1,1+(('table for research'!$B166-1)*36+HEX2DEC('table for research'!P$1))*2,2)</f>
        <v>0C</v>
      </c>
      <c r="Q166" t="str">
        <f>MID('paste from garc here'!$C$1,1+(('table for research'!$B166-1)*36+HEX2DEC('table for research'!Q$1))*2,2)</f>
        <v>00</v>
      </c>
      <c r="R166" t="str">
        <f>MID('paste from garc here'!$C$1,1+(('table for research'!$B166-1)*36+HEX2DEC('table for research'!R$1))*2,2)</f>
        <v>01</v>
      </c>
      <c r="S166" t="str">
        <f>MID('paste from garc here'!$C$1,1+(('table for research'!$B166-1)*36+HEX2DEC('table for research'!S$1))*2,2)</f>
        <v>07</v>
      </c>
      <c r="T166" t="str">
        <f>MID('paste from garc here'!$C$1,1+(('table for research'!$B166-1)*36+HEX2DEC('table for research'!T$1))*2,2)</f>
        <v>01</v>
      </c>
      <c r="U166" t="str">
        <f>MID('paste from garc here'!$C$1,1+(('table for research'!$B166-1)*36+HEX2DEC('table for research'!U$1))*2,2)</f>
        <v>0F</v>
      </c>
      <c r="V166" t="str">
        <f>MID('paste from garc here'!$C$1,1+(('table for research'!$B166-1)*36+HEX2DEC('table for research'!V$1))*2,2)</f>
        <v>00</v>
      </c>
      <c r="W166" t="str">
        <f>MID('paste from garc here'!$C$1,1+(('table for research'!$B166-1)*36+HEX2DEC('table for research'!W$1))*2,2)</f>
        <v>00</v>
      </c>
      <c r="X166" t="str">
        <f>MID('paste from garc here'!$C$1,1+(('table for research'!$B166-1)*36+HEX2DEC('table for research'!X$1))*2,2)</f>
        <v>00</v>
      </c>
      <c r="Y166" t="str">
        <f>MID('paste from garc here'!$C$1,1+(('table for research'!$B166-1)*36+HEX2DEC('table for research'!Y$1))*2,2)</f>
        <v>00</v>
      </c>
      <c r="Z166" t="str">
        <f>MID('paste from garc here'!$C$1,1+(('table for research'!$B166-1)*36+HEX2DEC('table for research'!Z$1))*2,2)</f>
        <v>00</v>
      </c>
      <c r="AA166" t="str">
        <f>MID('paste from garc here'!$C$1,1+(('table for research'!$B166-1)*36+HEX2DEC('table for research'!AA$1))*2,2)</f>
        <v>00</v>
      </c>
      <c r="AB166" t="str">
        <f>MID('paste from garc here'!$C$1,1+(('table for research'!$B166-1)*36+HEX2DEC('table for research'!AB$1))*2,2)</f>
        <v>00</v>
      </c>
      <c r="AC166" t="str">
        <f>MID('paste from garc here'!$C$1,1+(('table for research'!$B166-1)*36+HEX2DEC('table for research'!AC$1))*2,2)</f>
        <v>00</v>
      </c>
      <c r="AD166" t="str">
        <f>MID('paste from garc here'!$C$1,1+(('table for research'!$B166-1)*36+HEX2DEC('table for research'!AD$1))*2,2)</f>
        <v>00</v>
      </c>
      <c r="AE166" t="str">
        <f>MID('paste from garc here'!$C$1,1+(('table for research'!$B166-1)*36+HEX2DEC('table for research'!AE$1))*2,2)</f>
        <v>00</v>
      </c>
      <c r="AF166" t="str">
        <f>MID('paste from garc here'!$C$1,1+(('table for research'!$B166-1)*36+HEX2DEC('table for research'!AF$1))*2,2)</f>
        <v>00</v>
      </c>
      <c r="AG166" t="str">
        <f>MID('paste from garc here'!$C$1,1+(('table for research'!$B166-1)*36+HEX2DEC('table for research'!AG$1))*2,2)</f>
        <v>00</v>
      </c>
      <c r="AH166" t="str">
        <f>MID('paste from garc here'!$C$1,1+(('table for research'!$B166-1)*36+HEX2DEC('table for research'!AH$1))*2,2)</f>
        <v>00</v>
      </c>
      <c r="AI166" t="str">
        <f>MID('paste from garc here'!$C$1,1+(('table for research'!$B166-1)*36+HEX2DEC('table for research'!AI$1))*2,2)</f>
        <v>00</v>
      </c>
      <c r="AJ166" t="str">
        <f>MID('paste from garc here'!$C$1,1+(('table for research'!$B166-1)*36+HEX2DEC('table for research'!AJ$1))*2,2)</f>
        <v>00</v>
      </c>
      <c r="AK166" t="str">
        <f>MID('paste from garc here'!$C$1,1+(('table for research'!$B166-1)*36+HEX2DEC('table for research'!AK$1))*2,2)</f>
        <v>00</v>
      </c>
      <c r="AL166" t="str">
        <f>MID('paste from garc here'!$C$1,1+(('table for research'!$B166-1)*36+HEX2DEC('table for research'!AL$1))*2,2)</f>
        <v>00</v>
      </c>
      <c r="AM166" t="str">
        <f>MID('paste from garc here'!$C$1,1+(('table for research'!$B166-1)*36+HEX2DEC('table for research'!AM$1))*2,2)</f>
        <v>00</v>
      </c>
      <c r="AN166" t="str">
        <f>MID('paste from garc here'!$C$1,1+(('table for research'!$B166-1)*36+HEX2DEC('table for research'!AN$1))*2,2)</f>
        <v>00</v>
      </c>
      <c r="AO166" t="str">
        <f>MID('paste from garc here'!$C$1,1+(('table for research'!$B166-1)*36+HEX2DEC('table for research'!AO$1))*2,2)</f>
        <v>00</v>
      </c>
    </row>
    <row r="167" spans="1:41" x14ac:dyDescent="0.4">
      <c r="A167" t="s">
        <v>170</v>
      </c>
      <c r="B167">
        <f>B166+1</f>
        <v>165</v>
      </c>
      <c r="C167" t="str">
        <f>MID('paste from garc here'!$C$1,1+(('table for research'!$B167-1)*36+HEX2DEC('table for research'!C$1))*2,2)</f>
        <v>02</v>
      </c>
      <c r="D167" t="str">
        <f>MID('paste from garc here'!$C$1,1+(('table for research'!$B167-1)*36+HEX2DEC('table for research'!D$1))*2,2)</f>
        <v>00</v>
      </c>
      <c r="E167" t="str">
        <f>MID('paste from garc here'!$C$1,1+(('table for research'!$B167-1)*36+HEX2DEC('table for research'!E$1))*2,2)</f>
        <v>00</v>
      </c>
      <c r="F167" t="str">
        <f>MID('paste from garc here'!$C$1,1+(('table for research'!$B167-1)*36+HEX2DEC('table for research'!F$1))*2,2)</f>
        <v>00</v>
      </c>
      <c r="G167" t="str">
        <f>MID('paste from garc here'!$C$1,1+(('table for research'!$B167-1)*36+HEX2DEC('table for research'!G$1))*2,2)</f>
        <v>00</v>
      </c>
      <c r="H167" t="str">
        <f>MID('paste from garc here'!$C$1,1+(('table for research'!$B167-1)*36+HEX2DEC('table for research'!H$1))*2,2)</f>
        <v>00</v>
      </c>
      <c r="I167" t="str">
        <f>MID('paste from garc here'!$C$1,1+(('table for research'!$B167-1)*36+HEX2DEC('table for research'!I$1))*2,2)</f>
        <v>0A</v>
      </c>
      <c r="J167" t="str">
        <f>MID('paste from garc here'!$C$1,1+(('table for research'!$B167-1)*36+HEX2DEC('table for research'!J$1))*2,2)</f>
        <v>5A</v>
      </c>
      <c r="K167" t="str">
        <f>DEC2HEX(_xlfn.BITAND(HEX2DEC(MID('paste from garc here'!$C$1,1+(('table for research'!$B167-1)*36+HEX2DEC(8))*2,2)),31),2)</f>
        <v>09</v>
      </c>
      <c r="L167" t="str">
        <f>DEC2HEX(_xlfn.BITAND(HEX2DEC(MID('paste from garc here'!$C$1,1+(('table for research'!$B167-1)*36+HEX2DEC(8))*2,2)),32),2)</f>
        <v>00</v>
      </c>
      <c r="M167" t="str">
        <f>DEC2HEX(_xlfn.BITAND(HEX2DEC(MID('paste from garc here'!$C$1,1+(('table for research'!$B167-1)*36+HEX2DEC(8))*2,2)),64),2)</f>
        <v>00</v>
      </c>
      <c r="N167" t="str">
        <f>DEC2HEX(_xlfn.BITRSHIFT(_xlfn.BITAND(HEX2DEC(MID('paste from garc here'!$C$1,1+(('table for research'!$B167-1)*36+HEX2DEC(9))*2,2)&amp;MID('paste from garc here'!$C$1,1+(('table for research'!$B167-1)*36+HEX2DEC(8))*2,2)),1920),7),2)</f>
        <v>03</v>
      </c>
      <c r="O167" t="str">
        <f>DEC2HEX(_xlfn.BITRSHIFT(HEX2DEC(MID('paste from garc here'!$C$1,1+(('table for research'!$B167-1)*36+HEX2DEC(9))*2,2)&amp;MID('paste from garc here'!$C$1,1+(('table for research'!$B167-1)*36+HEX2DEC(8))*2,2)),11),2)</f>
        <v>00</v>
      </c>
      <c r="P167" t="str">
        <f>MID('paste from garc here'!$C$1,1+(('table for research'!$B167-1)*36+HEX2DEC('table for research'!P$1))*2,2)</f>
        <v>0C</v>
      </c>
      <c r="Q167" t="str">
        <f>MID('paste from garc here'!$C$1,1+(('table for research'!$B167-1)*36+HEX2DEC('table for research'!Q$1))*2,2)</f>
        <v>00</v>
      </c>
      <c r="R167" t="str">
        <f>MID('paste from garc here'!$C$1,1+(('table for research'!$B167-1)*36+HEX2DEC('table for research'!R$1))*2,2)</f>
        <v>01</v>
      </c>
      <c r="S167" t="str">
        <f>MID('paste from garc here'!$C$1,1+(('table for research'!$B167-1)*36+HEX2DEC('table for research'!S$1))*2,2)</f>
        <v>07</v>
      </c>
      <c r="T167" t="str">
        <f>MID('paste from garc here'!$C$1,1+(('table for research'!$B167-1)*36+HEX2DEC('table for research'!T$1))*2,2)</f>
        <v>01</v>
      </c>
      <c r="U167" t="str">
        <f>MID('paste from garc here'!$C$1,1+(('table for research'!$B167-1)*36+HEX2DEC('table for research'!U$1))*2,2)</f>
        <v>10</v>
      </c>
      <c r="V167" t="str">
        <f>MID('paste from garc here'!$C$1,1+(('table for research'!$B167-1)*36+HEX2DEC('table for research'!V$1))*2,2)</f>
        <v>00</v>
      </c>
      <c r="W167" t="str">
        <f>MID('paste from garc here'!$C$1,1+(('table for research'!$B167-1)*36+HEX2DEC('table for research'!W$1))*2,2)</f>
        <v>00</v>
      </c>
      <c r="X167" t="str">
        <f>MID('paste from garc here'!$C$1,1+(('table for research'!$B167-1)*36+HEX2DEC('table for research'!X$1))*2,2)</f>
        <v>00</v>
      </c>
      <c r="Y167" t="str">
        <f>MID('paste from garc here'!$C$1,1+(('table for research'!$B167-1)*36+HEX2DEC('table for research'!Y$1))*2,2)</f>
        <v>00</v>
      </c>
      <c r="Z167" t="str">
        <f>MID('paste from garc here'!$C$1,1+(('table for research'!$B167-1)*36+HEX2DEC('table for research'!Z$1))*2,2)</f>
        <v>00</v>
      </c>
      <c r="AA167" t="str">
        <f>MID('paste from garc here'!$C$1,1+(('table for research'!$B167-1)*36+HEX2DEC('table for research'!AA$1))*2,2)</f>
        <v>00</v>
      </c>
      <c r="AB167" t="str">
        <f>MID('paste from garc here'!$C$1,1+(('table for research'!$B167-1)*36+HEX2DEC('table for research'!AB$1))*2,2)</f>
        <v>00</v>
      </c>
      <c r="AC167" t="str">
        <f>MID('paste from garc here'!$C$1,1+(('table for research'!$B167-1)*36+HEX2DEC('table for research'!AC$1))*2,2)</f>
        <v>00</v>
      </c>
      <c r="AD167" t="str">
        <f>MID('paste from garc here'!$C$1,1+(('table for research'!$B167-1)*36+HEX2DEC('table for research'!AD$1))*2,2)</f>
        <v>00</v>
      </c>
      <c r="AE167" t="str">
        <f>MID('paste from garc here'!$C$1,1+(('table for research'!$B167-1)*36+HEX2DEC('table for research'!AE$1))*2,2)</f>
        <v>00</v>
      </c>
      <c r="AF167" t="str">
        <f>MID('paste from garc here'!$C$1,1+(('table for research'!$B167-1)*36+HEX2DEC('table for research'!AF$1))*2,2)</f>
        <v>00</v>
      </c>
      <c r="AG167" t="str">
        <f>MID('paste from garc here'!$C$1,1+(('table for research'!$B167-1)*36+HEX2DEC('table for research'!AG$1))*2,2)</f>
        <v>00</v>
      </c>
      <c r="AH167" t="str">
        <f>MID('paste from garc here'!$C$1,1+(('table for research'!$B167-1)*36+HEX2DEC('table for research'!AH$1))*2,2)</f>
        <v>00</v>
      </c>
      <c r="AI167" t="str">
        <f>MID('paste from garc here'!$C$1,1+(('table for research'!$B167-1)*36+HEX2DEC('table for research'!AI$1))*2,2)</f>
        <v>00</v>
      </c>
      <c r="AJ167" t="str">
        <f>MID('paste from garc here'!$C$1,1+(('table for research'!$B167-1)*36+HEX2DEC('table for research'!AJ$1))*2,2)</f>
        <v>00</v>
      </c>
      <c r="AK167" t="str">
        <f>MID('paste from garc here'!$C$1,1+(('table for research'!$B167-1)*36+HEX2DEC('table for research'!AK$1))*2,2)</f>
        <v>00</v>
      </c>
      <c r="AL167" t="str">
        <f>MID('paste from garc here'!$C$1,1+(('table for research'!$B167-1)*36+HEX2DEC('table for research'!AL$1))*2,2)</f>
        <v>00</v>
      </c>
      <c r="AM167" t="str">
        <f>MID('paste from garc here'!$C$1,1+(('table for research'!$B167-1)*36+HEX2DEC('table for research'!AM$1))*2,2)</f>
        <v>00</v>
      </c>
      <c r="AN167" t="str">
        <f>MID('paste from garc here'!$C$1,1+(('table for research'!$B167-1)*36+HEX2DEC('table for research'!AN$1))*2,2)</f>
        <v>00</v>
      </c>
      <c r="AO167" t="str">
        <f>MID('paste from garc here'!$C$1,1+(('table for research'!$B167-1)*36+HEX2DEC('table for research'!AO$1))*2,2)</f>
        <v>00</v>
      </c>
    </row>
    <row r="168" spans="1:41" x14ac:dyDescent="0.4">
      <c r="A168" t="s">
        <v>171</v>
      </c>
      <c r="B168">
        <f>B167+1</f>
        <v>166</v>
      </c>
      <c r="C168" t="str">
        <f>MID('paste from garc here'!$C$1,1+(('table for research'!$B168-1)*36+HEX2DEC('table for research'!C$1))*2,2)</f>
        <v>02</v>
      </c>
      <c r="D168" t="str">
        <f>MID('paste from garc here'!$C$1,1+(('table for research'!$B168-1)*36+HEX2DEC('table for research'!D$1))*2,2)</f>
        <v>00</v>
      </c>
      <c r="E168" t="str">
        <f>MID('paste from garc here'!$C$1,1+(('table for research'!$B168-1)*36+HEX2DEC('table for research'!E$1))*2,2)</f>
        <v>00</v>
      </c>
      <c r="F168" t="str">
        <f>MID('paste from garc here'!$C$1,1+(('table for research'!$B168-1)*36+HEX2DEC('table for research'!F$1))*2,2)</f>
        <v>00</v>
      </c>
      <c r="G168" t="str">
        <f>MID('paste from garc here'!$C$1,1+(('table for research'!$B168-1)*36+HEX2DEC('table for research'!G$1))*2,2)</f>
        <v>00</v>
      </c>
      <c r="H168" t="str">
        <f>MID('paste from garc here'!$C$1,1+(('table for research'!$B168-1)*36+HEX2DEC('table for research'!H$1))*2,2)</f>
        <v>00</v>
      </c>
      <c r="I168" t="str">
        <f>MID('paste from garc here'!$C$1,1+(('table for research'!$B168-1)*36+HEX2DEC('table for research'!I$1))*2,2)</f>
        <v>0A</v>
      </c>
      <c r="J168" t="str">
        <f>MID('paste from garc here'!$C$1,1+(('table for research'!$B168-1)*36+HEX2DEC('table for research'!J$1))*2,2)</f>
        <v>5A</v>
      </c>
      <c r="K168" t="str">
        <f>DEC2HEX(_xlfn.BITAND(HEX2DEC(MID('paste from garc here'!$C$1,1+(('table for research'!$B168-1)*36+HEX2DEC(8))*2,2)),31),2)</f>
        <v>0A</v>
      </c>
      <c r="L168" t="str">
        <f>DEC2HEX(_xlfn.BITAND(HEX2DEC(MID('paste from garc here'!$C$1,1+(('table for research'!$B168-1)*36+HEX2DEC(8))*2,2)),32),2)</f>
        <v>00</v>
      </c>
      <c r="M168" t="str">
        <f>DEC2HEX(_xlfn.BITAND(HEX2DEC(MID('paste from garc here'!$C$1,1+(('table for research'!$B168-1)*36+HEX2DEC(8))*2,2)),64),2)</f>
        <v>00</v>
      </c>
      <c r="N168" t="str">
        <f>DEC2HEX(_xlfn.BITRSHIFT(_xlfn.BITAND(HEX2DEC(MID('paste from garc here'!$C$1,1+(('table for research'!$B168-1)*36+HEX2DEC(9))*2,2)&amp;MID('paste from garc here'!$C$1,1+(('table for research'!$B168-1)*36+HEX2DEC(8))*2,2)),1920),7),2)</f>
        <v>03</v>
      </c>
      <c r="O168" t="str">
        <f>DEC2HEX(_xlfn.BITRSHIFT(HEX2DEC(MID('paste from garc here'!$C$1,1+(('table for research'!$B168-1)*36+HEX2DEC(9))*2,2)&amp;MID('paste from garc here'!$C$1,1+(('table for research'!$B168-1)*36+HEX2DEC(8))*2,2)),11),2)</f>
        <v>00</v>
      </c>
      <c r="P168" t="str">
        <f>MID('paste from garc here'!$C$1,1+(('table for research'!$B168-1)*36+HEX2DEC('table for research'!P$1))*2,2)</f>
        <v>0C</v>
      </c>
      <c r="Q168" t="str">
        <f>MID('paste from garc here'!$C$1,1+(('table for research'!$B168-1)*36+HEX2DEC('table for research'!Q$1))*2,2)</f>
        <v>00</v>
      </c>
      <c r="R168" t="str">
        <f>MID('paste from garc here'!$C$1,1+(('table for research'!$B168-1)*36+HEX2DEC('table for research'!R$1))*2,2)</f>
        <v>01</v>
      </c>
      <c r="S168" t="str">
        <f>MID('paste from garc here'!$C$1,1+(('table for research'!$B168-1)*36+HEX2DEC('table for research'!S$1))*2,2)</f>
        <v>07</v>
      </c>
      <c r="T168" t="str">
        <f>MID('paste from garc here'!$C$1,1+(('table for research'!$B168-1)*36+HEX2DEC('table for research'!T$1))*2,2)</f>
        <v>01</v>
      </c>
      <c r="U168" t="str">
        <f>MID('paste from garc here'!$C$1,1+(('table for research'!$B168-1)*36+HEX2DEC('table for research'!U$1))*2,2)</f>
        <v>11</v>
      </c>
      <c r="V168" t="str">
        <f>MID('paste from garc here'!$C$1,1+(('table for research'!$B168-1)*36+HEX2DEC('table for research'!V$1))*2,2)</f>
        <v>00</v>
      </c>
      <c r="W168" t="str">
        <f>MID('paste from garc here'!$C$1,1+(('table for research'!$B168-1)*36+HEX2DEC('table for research'!W$1))*2,2)</f>
        <v>00</v>
      </c>
      <c r="X168" t="str">
        <f>MID('paste from garc here'!$C$1,1+(('table for research'!$B168-1)*36+HEX2DEC('table for research'!X$1))*2,2)</f>
        <v>00</v>
      </c>
      <c r="Y168" t="str">
        <f>MID('paste from garc here'!$C$1,1+(('table for research'!$B168-1)*36+HEX2DEC('table for research'!Y$1))*2,2)</f>
        <v>00</v>
      </c>
      <c r="Z168" t="str">
        <f>MID('paste from garc here'!$C$1,1+(('table for research'!$B168-1)*36+HEX2DEC('table for research'!Z$1))*2,2)</f>
        <v>00</v>
      </c>
      <c r="AA168" t="str">
        <f>MID('paste from garc here'!$C$1,1+(('table for research'!$B168-1)*36+HEX2DEC('table for research'!AA$1))*2,2)</f>
        <v>00</v>
      </c>
      <c r="AB168" t="str">
        <f>MID('paste from garc here'!$C$1,1+(('table for research'!$B168-1)*36+HEX2DEC('table for research'!AB$1))*2,2)</f>
        <v>00</v>
      </c>
      <c r="AC168" t="str">
        <f>MID('paste from garc here'!$C$1,1+(('table for research'!$B168-1)*36+HEX2DEC('table for research'!AC$1))*2,2)</f>
        <v>00</v>
      </c>
      <c r="AD168" t="str">
        <f>MID('paste from garc here'!$C$1,1+(('table for research'!$B168-1)*36+HEX2DEC('table for research'!AD$1))*2,2)</f>
        <v>00</v>
      </c>
      <c r="AE168" t="str">
        <f>MID('paste from garc here'!$C$1,1+(('table for research'!$B168-1)*36+HEX2DEC('table for research'!AE$1))*2,2)</f>
        <v>00</v>
      </c>
      <c r="AF168" t="str">
        <f>MID('paste from garc here'!$C$1,1+(('table for research'!$B168-1)*36+HEX2DEC('table for research'!AF$1))*2,2)</f>
        <v>00</v>
      </c>
      <c r="AG168" t="str">
        <f>MID('paste from garc here'!$C$1,1+(('table for research'!$B168-1)*36+HEX2DEC('table for research'!AG$1))*2,2)</f>
        <v>00</v>
      </c>
      <c r="AH168" t="str">
        <f>MID('paste from garc here'!$C$1,1+(('table for research'!$B168-1)*36+HEX2DEC('table for research'!AH$1))*2,2)</f>
        <v>00</v>
      </c>
      <c r="AI168" t="str">
        <f>MID('paste from garc here'!$C$1,1+(('table for research'!$B168-1)*36+HEX2DEC('table for research'!AI$1))*2,2)</f>
        <v>00</v>
      </c>
      <c r="AJ168" t="str">
        <f>MID('paste from garc here'!$C$1,1+(('table for research'!$B168-1)*36+HEX2DEC('table for research'!AJ$1))*2,2)</f>
        <v>00</v>
      </c>
      <c r="AK168" t="str">
        <f>MID('paste from garc here'!$C$1,1+(('table for research'!$B168-1)*36+HEX2DEC('table for research'!AK$1))*2,2)</f>
        <v>00</v>
      </c>
      <c r="AL168" t="str">
        <f>MID('paste from garc here'!$C$1,1+(('table for research'!$B168-1)*36+HEX2DEC('table for research'!AL$1))*2,2)</f>
        <v>00</v>
      </c>
      <c r="AM168" t="str">
        <f>MID('paste from garc here'!$C$1,1+(('table for research'!$B168-1)*36+HEX2DEC('table for research'!AM$1))*2,2)</f>
        <v>00</v>
      </c>
      <c r="AN168" t="str">
        <f>MID('paste from garc here'!$C$1,1+(('table for research'!$B168-1)*36+HEX2DEC('table for research'!AN$1))*2,2)</f>
        <v>00</v>
      </c>
      <c r="AO168" t="str">
        <f>MID('paste from garc here'!$C$1,1+(('table for research'!$B168-1)*36+HEX2DEC('table for research'!AO$1))*2,2)</f>
        <v>00</v>
      </c>
    </row>
    <row r="169" spans="1:41" x14ac:dyDescent="0.4">
      <c r="A169" t="s">
        <v>172</v>
      </c>
      <c r="B169">
        <f>B168+1</f>
        <v>167</v>
      </c>
      <c r="C169" t="str">
        <f>MID('paste from garc here'!$C$1,1+(('table for research'!$B169-1)*36+HEX2DEC('table for research'!C$1))*2,2)</f>
        <v>02</v>
      </c>
      <c r="D169" t="str">
        <f>MID('paste from garc here'!$C$1,1+(('table for research'!$B169-1)*36+HEX2DEC('table for research'!D$1))*2,2)</f>
        <v>00</v>
      </c>
      <c r="E169" t="str">
        <f>MID('paste from garc here'!$C$1,1+(('table for research'!$B169-1)*36+HEX2DEC('table for research'!E$1))*2,2)</f>
        <v>00</v>
      </c>
      <c r="F169" t="str">
        <f>MID('paste from garc here'!$C$1,1+(('table for research'!$B169-1)*36+HEX2DEC('table for research'!F$1))*2,2)</f>
        <v>00</v>
      </c>
      <c r="G169" t="str">
        <f>MID('paste from garc here'!$C$1,1+(('table for research'!$B169-1)*36+HEX2DEC('table for research'!G$1))*2,2)</f>
        <v>00</v>
      </c>
      <c r="H169" t="str">
        <f>MID('paste from garc here'!$C$1,1+(('table for research'!$B169-1)*36+HEX2DEC('table for research'!H$1))*2,2)</f>
        <v>00</v>
      </c>
      <c r="I169" t="str">
        <f>MID('paste from garc here'!$C$1,1+(('table for research'!$B169-1)*36+HEX2DEC('table for research'!I$1))*2,2)</f>
        <v>0A</v>
      </c>
      <c r="J169" t="str">
        <f>MID('paste from garc here'!$C$1,1+(('table for research'!$B169-1)*36+HEX2DEC('table for research'!J$1))*2,2)</f>
        <v>5A</v>
      </c>
      <c r="K169" t="str">
        <f>DEC2HEX(_xlfn.BITAND(HEX2DEC(MID('paste from garc here'!$C$1,1+(('table for research'!$B169-1)*36+HEX2DEC(8))*2,2)),31),2)</f>
        <v>0C</v>
      </c>
      <c r="L169" t="str">
        <f>DEC2HEX(_xlfn.BITAND(HEX2DEC(MID('paste from garc here'!$C$1,1+(('table for research'!$B169-1)*36+HEX2DEC(8))*2,2)),32),2)</f>
        <v>00</v>
      </c>
      <c r="M169" t="str">
        <f>DEC2HEX(_xlfn.BITAND(HEX2DEC(MID('paste from garc here'!$C$1,1+(('table for research'!$B169-1)*36+HEX2DEC(8))*2,2)),64),2)</f>
        <v>00</v>
      </c>
      <c r="N169" t="str">
        <f>DEC2HEX(_xlfn.BITRSHIFT(_xlfn.BITAND(HEX2DEC(MID('paste from garc here'!$C$1,1+(('table for research'!$B169-1)*36+HEX2DEC(9))*2,2)&amp;MID('paste from garc here'!$C$1,1+(('table for research'!$B169-1)*36+HEX2DEC(8))*2,2)),1920),7),2)</f>
        <v>03</v>
      </c>
      <c r="O169" t="str">
        <f>DEC2HEX(_xlfn.BITRSHIFT(HEX2DEC(MID('paste from garc here'!$C$1,1+(('table for research'!$B169-1)*36+HEX2DEC(9))*2,2)&amp;MID('paste from garc here'!$C$1,1+(('table for research'!$B169-1)*36+HEX2DEC(8))*2,2)),11),2)</f>
        <v>00</v>
      </c>
      <c r="P169" t="str">
        <f>MID('paste from garc here'!$C$1,1+(('table for research'!$B169-1)*36+HEX2DEC('table for research'!P$1))*2,2)</f>
        <v>0C</v>
      </c>
      <c r="Q169" t="str">
        <f>MID('paste from garc here'!$C$1,1+(('table for research'!$B169-1)*36+HEX2DEC('table for research'!Q$1))*2,2)</f>
        <v>00</v>
      </c>
      <c r="R169" t="str">
        <f>MID('paste from garc here'!$C$1,1+(('table for research'!$B169-1)*36+HEX2DEC('table for research'!R$1))*2,2)</f>
        <v>01</v>
      </c>
      <c r="S169" t="str">
        <f>MID('paste from garc here'!$C$1,1+(('table for research'!$B169-1)*36+HEX2DEC('table for research'!S$1))*2,2)</f>
        <v>07</v>
      </c>
      <c r="T169" t="str">
        <f>MID('paste from garc here'!$C$1,1+(('table for research'!$B169-1)*36+HEX2DEC('table for research'!T$1))*2,2)</f>
        <v>01</v>
      </c>
      <c r="U169" t="str">
        <f>MID('paste from garc here'!$C$1,1+(('table for research'!$B169-1)*36+HEX2DEC('table for research'!U$1))*2,2)</f>
        <v>12</v>
      </c>
      <c r="V169" t="str">
        <f>MID('paste from garc here'!$C$1,1+(('table for research'!$B169-1)*36+HEX2DEC('table for research'!V$1))*2,2)</f>
        <v>00</v>
      </c>
      <c r="W169" t="str">
        <f>MID('paste from garc here'!$C$1,1+(('table for research'!$B169-1)*36+HEX2DEC('table for research'!W$1))*2,2)</f>
        <v>00</v>
      </c>
      <c r="X169" t="str">
        <f>MID('paste from garc here'!$C$1,1+(('table for research'!$B169-1)*36+HEX2DEC('table for research'!X$1))*2,2)</f>
        <v>00</v>
      </c>
      <c r="Y169" t="str">
        <f>MID('paste from garc here'!$C$1,1+(('table for research'!$B169-1)*36+HEX2DEC('table for research'!Y$1))*2,2)</f>
        <v>00</v>
      </c>
      <c r="Z169" t="str">
        <f>MID('paste from garc here'!$C$1,1+(('table for research'!$B169-1)*36+HEX2DEC('table for research'!Z$1))*2,2)</f>
        <v>00</v>
      </c>
      <c r="AA169" t="str">
        <f>MID('paste from garc here'!$C$1,1+(('table for research'!$B169-1)*36+HEX2DEC('table for research'!AA$1))*2,2)</f>
        <v>00</v>
      </c>
      <c r="AB169" t="str">
        <f>MID('paste from garc here'!$C$1,1+(('table for research'!$B169-1)*36+HEX2DEC('table for research'!AB$1))*2,2)</f>
        <v>00</v>
      </c>
      <c r="AC169" t="str">
        <f>MID('paste from garc here'!$C$1,1+(('table for research'!$B169-1)*36+HEX2DEC('table for research'!AC$1))*2,2)</f>
        <v>00</v>
      </c>
      <c r="AD169" t="str">
        <f>MID('paste from garc here'!$C$1,1+(('table for research'!$B169-1)*36+HEX2DEC('table for research'!AD$1))*2,2)</f>
        <v>00</v>
      </c>
      <c r="AE169" t="str">
        <f>MID('paste from garc here'!$C$1,1+(('table for research'!$B169-1)*36+HEX2DEC('table for research'!AE$1))*2,2)</f>
        <v>00</v>
      </c>
      <c r="AF169" t="str">
        <f>MID('paste from garc here'!$C$1,1+(('table for research'!$B169-1)*36+HEX2DEC('table for research'!AF$1))*2,2)</f>
        <v>00</v>
      </c>
      <c r="AG169" t="str">
        <f>MID('paste from garc here'!$C$1,1+(('table for research'!$B169-1)*36+HEX2DEC('table for research'!AG$1))*2,2)</f>
        <v>00</v>
      </c>
      <c r="AH169" t="str">
        <f>MID('paste from garc here'!$C$1,1+(('table for research'!$B169-1)*36+HEX2DEC('table for research'!AH$1))*2,2)</f>
        <v>00</v>
      </c>
      <c r="AI169" t="str">
        <f>MID('paste from garc here'!$C$1,1+(('table for research'!$B169-1)*36+HEX2DEC('table for research'!AI$1))*2,2)</f>
        <v>00</v>
      </c>
      <c r="AJ169" t="str">
        <f>MID('paste from garc here'!$C$1,1+(('table for research'!$B169-1)*36+HEX2DEC('table for research'!AJ$1))*2,2)</f>
        <v>00</v>
      </c>
      <c r="AK169" t="str">
        <f>MID('paste from garc here'!$C$1,1+(('table for research'!$B169-1)*36+HEX2DEC('table for research'!AK$1))*2,2)</f>
        <v>00</v>
      </c>
      <c r="AL169" t="str">
        <f>MID('paste from garc here'!$C$1,1+(('table for research'!$B169-1)*36+HEX2DEC('table for research'!AL$1))*2,2)</f>
        <v>00</v>
      </c>
      <c r="AM169" t="str">
        <f>MID('paste from garc here'!$C$1,1+(('table for research'!$B169-1)*36+HEX2DEC('table for research'!AM$1))*2,2)</f>
        <v>00</v>
      </c>
      <c r="AN169" t="str">
        <f>MID('paste from garc here'!$C$1,1+(('table for research'!$B169-1)*36+HEX2DEC('table for research'!AN$1))*2,2)</f>
        <v>00</v>
      </c>
      <c r="AO169" t="str">
        <f>MID('paste from garc here'!$C$1,1+(('table for research'!$B169-1)*36+HEX2DEC('table for research'!AO$1))*2,2)</f>
        <v>00</v>
      </c>
    </row>
    <row r="170" spans="1:41" x14ac:dyDescent="0.4">
      <c r="A170" t="s">
        <v>173</v>
      </c>
      <c r="B170">
        <f>B169+1</f>
        <v>168</v>
      </c>
      <c r="C170" t="str">
        <f>MID('paste from garc here'!$C$1,1+(('table for research'!$B170-1)*36+HEX2DEC('table for research'!C$1))*2,2)</f>
        <v>02</v>
      </c>
      <c r="D170" t="str">
        <f>MID('paste from garc here'!$C$1,1+(('table for research'!$B170-1)*36+HEX2DEC('table for research'!D$1))*2,2)</f>
        <v>00</v>
      </c>
      <c r="E170" t="str">
        <f>MID('paste from garc here'!$C$1,1+(('table for research'!$B170-1)*36+HEX2DEC('table for research'!E$1))*2,2)</f>
        <v>00</v>
      </c>
      <c r="F170" t="str">
        <f>MID('paste from garc here'!$C$1,1+(('table for research'!$B170-1)*36+HEX2DEC('table for research'!F$1))*2,2)</f>
        <v>00</v>
      </c>
      <c r="G170" t="str">
        <f>MID('paste from garc here'!$C$1,1+(('table for research'!$B170-1)*36+HEX2DEC('table for research'!G$1))*2,2)</f>
        <v>00</v>
      </c>
      <c r="H170" t="str">
        <f>MID('paste from garc here'!$C$1,1+(('table for research'!$B170-1)*36+HEX2DEC('table for research'!H$1))*2,2)</f>
        <v>00</v>
      </c>
      <c r="I170" t="str">
        <f>MID('paste from garc here'!$C$1,1+(('table for research'!$B170-1)*36+HEX2DEC('table for research'!I$1))*2,2)</f>
        <v>0A</v>
      </c>
      <c r="J170" t="str">
        <f>MID('paste from garc here'!$C$1,1+(('table for research'!$B170-1)*36+HEX2DEC('table for research'!J$1))*2,2)</f>
        <v>5A</v>
      </c>
      <c r="K170" t="str">
        <f>DEC2HEX(_xlfn.BITAND(HEX2DEC(MID('paste from garc here'!$C$1,1+(('table for research'!$B170-1)*36+HEX2DEC(8))*2,2)),31),2)</f>
        <v>0B</v>
      </c>
      <c r="L170" t="str">
        <f>DEC2HEX(_xlfn.BITAND(HEX2DEC(MID('paste from garc here'!$C$1,1+(('table for research'!$B170-1)*36+HEX2DEC(8))*2,2)),32),2)</f>
        <v>00</v>
      </c>
      <c r="M170" t="str">
        <f>DEC2HEX(_xlfn.BITAND(HEX2DEC(MID('paste from garc here'!$C$1,1+(('table for research'!$B170-1)*36+HEX2DEC(8))*2,2)),64),2)</f>
        <v>00</v>
      </c>
      <c r="N170" t="str">
        <f>DEC2HEX(_xlfn.BITRSHIFT(_xlfn.BITAND(HEX2DEC(MID('paste from garc here'!$C$1,1+(('table for research'!$B170-1)*36+HEX2DEC(9))*2,2)&amp;MID('paste from garc here'!$C$1,1+(('table for research'!$B170-1)*36+HEX2DEC(8))*2,2)),1920),7),2)</f>
        <v>03</v>
      </c>
      <c r="O170" t="str">
        <f>DEC2HEX(_xlfn.BITRSHIFT(HEX2DEC(MID('paste from garc here'!$C$1,1+(('table for research'!$B170-1)*36+HEX2DEC(9))*2,2)&amp;MID('paste from garc here'!$C$1,1+(('table for research'!$B170-1)*36+HEX2DEC(8))*2,2)),11),2)</f>
        <v>00</v>
      </c>
      <c r="P170" t="str">
        <f>MID('paste from garc here'!$C$1,1+(('table for research'!$B170-1)*36+HEX2DEC('table for research'!P$1))*2,2)</f>
        <v>0C</v>
      </c>
      <c r="Q170" t="str">
        <f>MID('paste from garc here'!$C$1,1+(('table for research'!$B170-1)*36+HEX2DEC('table for research'!Q$1))*2,2)</f>
        <v>00</v>
      </c>
      <c r="R170" t="str">
        <f>MID('paste from garc here'!$C$1,1+(('table for research'!$B170-1)*36+HEX2DEC('table for research'!R$1))*2,2)</f>
        <v>01</v>
      </c>
      <c r="S170" t="str">
        <f>MID('paste from garc here'!$C$1,1+(('table for research'!$B170-1)*36+HEX2DEC('table for research'!S$1))*2,2)</f>
        <v>07</v>
      </c>
      <c r="T170" t="str">
        <f>MID('paste from garc here'!$C$1,1+(('table for research'!$B170-1)*36+HEX2DEC('table for research'!T$1))*2,2)</f>
        <v>01</v>
      </c>
      <c r="U170" t="str">
        <f>MID('paste from garc here'!$C$1,1+(('table for research'!$B170-1)*36+HEX2DEC('table for research'!U$1))*2,2)</f>
        <v>13</v>
      </c>
      <c r="V170" t="str">
        <f>MID('paste from garc here'!$C$1,1+(('table for research'!$B170-1)*36+HEX2DEC('table for research'!V$1))*2,2)</f>
        <v>00</v>
      </c>
      <c r="W170" t="str">
        <f>MID('paste from garc here'!$C$1,1+(('table for research'!$B170-1)*36+HEX2DEC('table for research'!W$1))*2,2)</f>
        <v>00</v>
      </c>
      <c r="X170" t="str">
        <f>MID('paste from garc here'!$C$1,1+(('table for research'!$B170-1)*36+HEX2DEC('table for research'!X$1))*2,2)</f>
        <v>00</v>
      </c>
      <c r="Y170" t="str">
        <f>MID('paste from garc here'!$C$1,1+(('table for research'!$B170-1)*36+HEX2DEC('table for research'!Y$1))*2,2)</f>
        <v>00</v>
      </c>
      <c r="Z170" t="str">
        <f>MID('paste from garc here'!$C$1,1+(('table for research'!$B170-1)*36+HEX2DEC('table for research'!Z$1))*2,2)</f>
        <v>00</v>
      </c>
      <c r="AA170" t="str">
        <f>MID('paste from garc here'!$C$1,1+(('table for research'!$B170-1)*36+HEX2DEC('table for research'!AA$1))*2,2)</f>
        <v>00</v>
      </c>
      <c r="AB170" t="str">
        <f>MID('paste from garc here'!$C$1,1+(('table for research'!$B170-1)*36+HEX2DEC('table for research'!AB$1))*2,2)</f>
        <v>00</v>
      </c>
      <c r="AC170" t="str">
        <f>MID('paste from garc here'!$C$1,1+(('table for research'!$B170-1)*36+HEX2DEC('table for research'!AC$1))*2,2)</f>
        <v>00</v>
      </c>
      <c r="AD170" t="str">
        <f>MID('paste from garc here'!$C$1,1+(('table for research'!$B170-1)*36+HEX2DEC('table for research'!AD$1))*2,2)</f>
        <v>00</v>
      </c>
      <c r="AE170" t="str">
        <f>MID('paste from garc here'!$C$1,1+(('table for research'!$B170-1)*36+HEX2DEC('table for research'!AE$1))*2,2)</f>
        <v>00</v>
      </c>
      <c r="AF170" t="str">
        <f>MID('paste from garc here'!$C$1,1+(('table for research'!$B170-1)*36+HEX2DEC('table for research'!AF$1))*2,2)</f>
        <v>00</v>
      </c>
      <c r="AG170" t="str">
        <f>MID('paste from garc here'!$C$1,1+(('table for research'!$B170-1)*36+HEX2DEC('table for research'!AG$1))*2,2)</f>
        <v>00</v>
      </c>
      <c r="AH170" t="str">
        <f>MID('paste from garc here'!$C$1,1+(('table for research'!$B170-1)*36+HEX2DEC('table for research'!AH$1))*2,2)</f>
        <v>00</v>
      </c>
      <c r="AI170" t="str">
        <f>MID('paste from garc here'!$C$1,1+(('table for research'!$B170-1)*36+HEX2DEC('table for research'!AI$1))*2,2)</f>
        <v>00</v>
      </c>
      <c r="AJ170" t="str">
        <f>MID('paste from garc here'!$C$1,1+(('table for research'!$B170-1)*36+HEX2DEC('table for research'!AJ$1))*2,2)</f>
        <v>00</v>
      </c>
      <c r="AK170" t="str">
        <f>MID('paste from garc here'!$C$1,1+(('table for research'!$B170-1)*36+HEX2DEC('table for research'!AK$1))*2,2)</f>
        <v>00</v>
      </c>
      <c r="AL170" t="str">
        <f>MID('paste from garc here'!$C$1,1+(('table for research'!$B170-1)*36+HEX2DEC('table for research'!AL$1))*2,2)</f>
        <v>00</v>
      </c>
      <c r="AM170" t="str">
        <f>MID('paste from garc here'!$C$1,1+(('table for research'!$B170-1)*36+HEX2DEC('table for research'!AM$1))*2,2)</f>
        <v>00</v>
      </c>
      <c r="AN170" t="str">
        <f>MID('paste from garc here'!$C$1,1+(('table for research'!$B170-1)*36+HEX2DEC('table for research'!AN$1))*2,2)</f>
        <v>00</v>
      </c>
      <c r="AO170" t="str">
        <f>MID('paste from garc here'!$C$1,1+(('table for research'!$B170-1)*36+HEX2DEC('table for research'!AO$1))*2,2)</f>
        <v>00</v>
      </c>
    </row>
    <row r="171" spans="1:41" x14ac:dyDescent="0.4">
      <c r="A171" t="s">
        <v>174</v>
      </c>
      <c r="B171">
        <f>B170+1</f>
        <v>169</v>
      </c>
      <c r="C171" t="str">
        <f>MID('paste from garc here'!$C$1,1+(('table for research'!$B171-1)*36+HEX2DEC('table for research'!C$1))*2,2)</f>
        <v>02</v>
      </c>
      <c r="D171" t="str">
        <f>MID('paste from garc here'!$C$1,1+(('table for research'!$B171-1)*36+HEX2DEC('table for research'!D$1))*2,2)</f>
        <v>00</v>
      </c>
      <c r="E171" t="str">
        <f>MID('paste from garc here'!$C$1,1+(('table for research'!$B171-1)*36+HEX2DEC('table for research'!E$1))*2,2)</f>
        <v>00</v>
      </c>
      <c r="F171" t="str">
        <f>MID('paste from garc here'!$C$1,1+(('table for research'!$B171-1)*36+HEX2DEC('table for research'!F$1))*2,2)</f>
        <v>00</v>
      </c>
      <c r="G171" t="str">
        <f>MID('paste from garc here'!$C$1,1+(('table for research'!$B171-1)*36+HEX2DEC('table for research'!G$1))*2,2)</f>
        <v>00</v>
      </c>
      <c r="H171" t="str">
        <f>MID('paste from garc here'!$C$1,1+(('table for research'!$B171-1)*36+HEX2DEC('table for research'!H$1))*2,2)</f>
        <v>00</v>
      </c>
      <c r="I171" t="str">
        <f>MID('paste from garc here'!$C$1,1+(('table for research'!$B171-1)*36+HEX2DEC('table for research'!I$1))*2,2)</f>
        <v>0A</v>
      </c>
      <c r="J171" t="str">
        <f>MID('paste from garc here'!$C$1,1+(('table for research'!$B171-1)*36+HEX2DEC('table for research'!J$1))*2,2)</f>
        <v>5A</v>
      </c>
      <c r="K171" t="str">
        <f>DEC2HEX(_xlfn.BITAND(HEX2DEC(MID('paste from garc here'!$C$1,1+(('table for research'!$B171-1)*36+HEX2DEC(8))*2,2)),31),2)</f>
        <v>0E</v>
      </c>
      <c r="L171" t="str">
        <f>DEC2HEX(_xlfn.BITAND(HEX2DEC(MID('paste from garc here'!$C$1,1+(('table for research'!$B171-1)*36+HEX2DEC(8))*2,2)),32),2)</f>
        <v>00</v>
      </c>
      <c r="M171" t="str">
        <f>DEC2HEX(_xlfn.BITAND(HEX2DEC(MID('paste from garc here'!$C$1,1+(('table for research'!$B171-1)*36+HEX2DEC(8))*2,2)),64),2)</f>
        <v>00</v>
      </c>
      <c r="N171" t="str">
        <f>DEC2HEX(_xlfn.BITRSHIFT(_xlfn.BITAND(HEX2DEC(MID('paste from garc here'!$C$1,1+(('table for research'!$B171-1)*36+HEX2DEC(9))*2,2)&amp;MID('paste from garc here'!$C$1,1+(('table for research'!$B171-1)*36+HEX2DEC(8))*2,2)),1920),7),2)</f>
        <v>03</v>
      </c>
      <c r="O171" t="str">
        <f>DEC2HEX(_xlfn.BITRSHIFT(HEX2DEC(MID('paste from garc here'!$C$1,1+(('table for research'!$B171-1)*36+HEX2DEC(9))*2,2)&amp;MID('paste from garc here'!$C$1,1+(('table for research'!$B171-1)*36+HEX2DEC(8))*2,2)),11),2)</f>
        <v>00</v>
      </c>
      <c r="P171" t="str">
        <f>MID('paste from garc here'!$C$1,1+(('table for research'!$B171-1)*36+HEX2DEC('table for research'!P$1))*2,2)</f>
        <v>0C</v>
      </c>
      <c r="Q171" t="str">
        <f>MID('paste from garc here'!$C$1,1+(('table for research'!$B171-1)*36+HEX2DEC('table for research'!Q$1))*2,2)</f>
        <v>00</v>
      </c>
      <c r="R171" t="str">
        <f>MID('paste from garc here'!$C$1,1+(('table for research'!$B171-1)*36+HEX2DEC('table for research'!R$1))*2,2)</f>
        <v>01</v>
      </c>
      <c r="S171" t="str">
        <f>MID('paste from garc here'!$C$1,1+(('table for research'!$B171-1)*36+HEX2DEC('table for research'!S$1))*2,2)</f>
        <v>07</v>
      </c>
      <c r="T171" t="str">
        <f>MID('paste from garc here'!$C$1,1+(('table for research'!$B171-1)*36+HEX2DEC('table for research'!T$1))*2,2)</f>
        <v>01</v>
      </c>
      <c r="U171" t="str">
        <f>MID('paste from garc here'!$C$1,1+(('table for research'!$B171-1)*36+HEX2DEC('table for research'!U$1))*2,2)</f>
        <v>14</v>
      </c>
      <c r="V171" t="str">
        <f>MID('paste from garc here'!$C$1,1+(('table for research'!$B171-1)*36+HEX2DEC('table for research'!V$1))*2,2)</f>
        <v>00</v>
      </c>
      <c r="W171" t="str">
        <f>MID('paste from garc here'!$C$1,1+(('table for research'!$B171-1)*36+HEX2DEC('table for research'!W$1))*2,2)</f>
        <v>00</v>
      </c>
      <c r="X171" t="str">
        <f>MID('paste from garc here'!$C$1,1+(('table for research'!$B171-1)*36+HEX2DEC('table for research'!X$1))*2,2)</f>
        <v>00</v>
      </c>
      <c r="Y171" t="str">
        <f>MID('paste from garc here'!$C$1,1+(('table for research'!$B171-1)*36+HEX2DEC('table for research'!Y$1))*2,2)</f>
        <v>00</v>
      </c>
      <c r="Z171" t="str">
        <f>MID('paste from garc here'!$C$1,1+(('table for research'!$B171-1)*36+HEX2DEC('table for research'!Z$1))*2,2)</f>
        <v>00</v>
      </c>
      <c r="AA171" t="str">
        <f>MID('paste from garc here'!$C$1,1+(('table for research'!$B171-1)*36+HEX2DEC('table for research'!AA$1))*2,2)</f>
        <v>08</v>
      </c>
      <c r="AB171" t="str">
        <f>MID('paste from garc here'!$C$1,1+(('table for research'!$B171-1)*36+HEX2DEC('table for research'!AB$1))*2,2)</f>
        <v>1C</v>
      </c>
      <c r="AC171" t="str">
        <f>MID('paste from garc here'!$C$1,1+(('table for research'!$B171-1)*36+HEX2DEC('table for research'!AC$1))*2,2)</f>
        <v>F6</v>
      </c>
      <c r="AD171" t="str">
        <f>MID('paste from garc here'!$C$1,1+(('table for research'!$B171-1)*36+HEX2DEC('table for research'!AD$1))*2,2)</f>
        <v>00</v>
      </c>
      <c r="AE171" t="str">
        <f>MID('paste from garc here'!$C$1,1+(('table for research'!$B171-1)*36+HEX2DEC('table for research'!AE$1))*2,2)</f>
        <v>00</v>
      </c>
      <c r="AF171" t="str">
        <f>MID('paste from garc here'!$C$1,1+(('table for research'!$B171-1)*36+HEX2DEC('table for research'!AF$1))*2,2)</f>
        <v>00</v>
      </c>
      <c r="AG171" t="str">
        <f>MID('paste from garc here'!$C$1,1+(('table for research'!$B171-1)*36+HEX2DEC('table for research'!AG$1))*2,2)</f>
        <v>00</v>
      </c>
      <c r="AH171" t="str">
        <f>MID('paste from garc here'!$C$1,1+(('table for research'!$B171-1)*36+HEX2DEC('table for research'!AH$1))*2,2)</f>
        <v>00</v>
      </c>
      <c r="AI171" t="str">
        <f>MID('paste from garc here'!$C$1,1+(('table for research'!$B171-1)*36+HEX2DEC('table for research'!AI$1))*2,2)</f>
        <v>00</v>
      </c>
      <c r="AJ171" t="str">
        <f>MID('paste from garc here'!$C$1,1+(('table for research'!$B171-1)*36+HEX2DEC('table for research'!AJ$1))*2,2)</f>
        <v>00</v>
      </c>
      <c r="AK171" t="str">
        <f>MID('paste from garc here'!$C$1,1+(('table for research'!$B171-1)*36+HEX2DEC('table for research'!AK$1))*2,2)</f>
        <v>0A</v>
      </c>
      <c r="AL171" t="str">
        <f>MID('paste from garc here'!$C$1,1+(('table for research'!$B171-1)*36+HEX2DEC('table for research'!AL$1))*2,2)</f>
        <v>05</v>
      </c>
      <c r="AM171" t="str">
        <f>MID('paste from garc here'!$C$1,1+(('table for research'!$B171-1)*36+HEX2DEC('table for research'!AM$1))*2,2)</f>
        <v>02</v>
      </c>
      <c r="AN171" t="str">
        <f>MID('paste from garc here'!$C$1,1+(('table for research'!$B171-1)*36+HEX2DEC('table for research'!AN$1))*2,2)</f>
        <v>00</v>
      </c>
      <c r="AO171" t="str">
        <f>MID('paste from garc here'!$C$1,1+(('table for research'!$B171-1)*36+HEX2DEC('table for research'!AO$1))*2,2)</f>
        <v>00</v>
      </c>
    </row>
    <row r="172" spans="1:41" x14ac:dyDescent="0.4">
      <c r="A172" t="s">
        <v>175</v>
      </c>
      <c r="B172">
        <f>B171+1</f>
        <v>170</v>
      </c>
      <c r="C172" t="str">
        <f>MID('paste from garc here'!$C$1,1+(('table for research'!$B172-1)*36+HEX2DEC('table for research'!C$1))*2,2)</f>
        <v>02</v>
      </c>
      <c r="D172" t="str">
        <f>MID('paste from garc here'!$C$1,1+(('table for research'!$B172-1)*36+HEX2DEC('table for research'!D$1))*2,2)</f>
        <v>00</v>
      </c>
      <c r="E172" t="str">
        <f>MID('paste from garc here'!$C$1,1+(('table for research'!$B172-1)*36+HEX2DEC('table for research'!E$1))*2,2)</f>
        <v>00</v>
      </c>
      <c r="F172" t="str">
        <f>MID('paste from garc here'!$C$1,1+(('table for research'!$B172-1)*36+HEX2DEC('table for research'!F$1))*2,2)</f>
        <v>00</v>
      </c>
      <c r="G172" t="str">
        <f>MID('paste from garc here'!$C$1,1+(('table for research'!$B172-1)*36+HEX2DEC('table for research'!G$1))*2,2)</f>
        <v>00</v>
      </c>
      <c r="H172" t="str">
        <f>MID('paste from garc here'!$C$1,1+(('table for research'!$B172-1)*36+HEX2DEC('table for research'!H$1))*2,2)</f>
        <v>00</v>
      </c>
      <c r="I172" t="str">
        <f>MID('paste from garc here'!$C$1,1+(('table for research'!$B172-1)*36+HEX2DEC('table for research'!I$1))*2,2)</f>
        <v>0A</v>
      </c>
      <c r="J172" t="str">
        <f>MID('paste from garc here'!$C$1,1+(('table for research'!$B172-1)*36+HEX2DEC('table for research'!J$1))*2,2)</f>
        <v>5A</v>
      </c>
      <c r="K172" t="str">
        <f>DEC2HEX(_xlfn.BITAND(HEX2DEC(MID('paste from garc here'!$C$1,1+(('table for research'!$B172-1)*36+HEX2DEC(8))*2,2)),31),2)</f>
        <v>01</v>
      </c>
      <c r="L172" t="str">
        <f>DEC2HEX(_xlfn.BITAND(HEX2DEC(MID('paste from garc here'!$C$1,1+(('table for research'!$B172-1)*36+HEX2DEC(8))*2,2)),32),2)</f>
        <v>00</v>
      </c>
      <c r="M172" t="str">
        <f>DEC2HEX(_xlfn.BITAND(HEX2DEC(MID('paste from garc here'!$C$1,1+(('table for research'!$B172-1)*36+HEX2DEC(8))*2,2)),64),2)</f>
        <v>00</v>
      </c>
      <c r="N172" t="str">
        <f>DEC2HEX(_xlfn.BITRSHIFT(_xlfn.BITAND(HEX2DEC(MID('paste from garc here'!$C$1,1+(('table for research'!$B172-1)*36+HEX2DEC(9))*2,2)&amp;MID('paste from garc here'!$C$1,1+(('table for research'!$B172-1)*36+HEX2DEC(8))*2,2)),1920),7),2)</f>
        <v>03</v>
      </c>
      <c r="O172" t="str">
        <f>DEC2HEX(_xlfn.BITRSHIFT(HEX2DEC(MID('paste from garc here'!$C$1,1+(('table for research'!$B172-1)*36+HEX2DEC(9))*2,2)&amp;MID('paste from garc here'!$C$1,1+(('table for research'!$B172-1)*36+HEX2DEC(8))*2,2)),11),2)</f>
        <v>00</v>
      </c>
      <c r="P172" t="str">
        <f>MID('paste from garc here'!$C$1,1+(('table for research'!$B172-1)*36+HEX2DEC('table for research'!P$1))*2,2)</f>
        <v>0C</v>
      </c>
      <c r="Q172" t="str">
        <f>MID('paste from garc here'!$C$1,1+(('table for research'!$B172-1)*36+HEX2DEC('table for research'!Q$1))*2,2)</f>
        <v>00</v>
      </c>
      <c r="R172" t="str">
        <f>MID('paste from garc here'!$C$1,1+(('table for research'!$B172-1)*36+HEX2DEC('table for research'!R$1))*2,2)</f>
        <v>01</v>
      </c>
      <c r="S172" t="str">
        <f>MID('paste from garc here'!$C$1,1+(('table for research'!$B172-1)*36+HEX2DEC('table for research'!S$1))*2,2)</f>
        <v>07</v>
      </c>
      <c r="T172" t="str">
        <f>MID('paste from garc here'!$C$1,1+(('table for research'!$B172-1)*36+HEX2DEC('table for research'!T$1))*2,2)</f>
        <v>01</v>
      </c>
      <c r="U172" t="str">
        <f>MID('paste from garc here'!$C$1,1+(('table for research'!$B172-1)*36+HEX2DEC('table for research'!U$1))*2,2)</f>
        <v>15</v>
      </c>
      <c r="V172" t="str">
        <f>MID('paste from garc here'!$C$1,1+(('table for research'!$B172-1)*36+HEX2DEC('table for research'!V$1))*2,2)</f>
        <v>00</v>
      </c>
      <c r="W172" t="str">
        <f>MID('paste from garc here'!$C$1,1+(('table for research'!$B172-1)*36+HEX2DEC('table for research'!W$1))*2,2)</f>
        <v>00</v>
      </c>
      <c r="X172" t="str">
        <f>MID('paste from garc here'!$C$1,1+(('table for research'!$B172-1)*36+HEX2DEC('table for research'!X$1))*2,2)</f>
        <v>00</v>
      </c>
      <c r="Y172" t="str">
        <f>MID('paste from garc here'!$C$1,1+(('table for research'!$B172-1)*36+HEX2DEC('table for research'!Y$1))*2,2)</f>
        <v>00</v>
      </c>
      <c r="Z172" t="str">
        <f>MID('paste from garc here'!$C$1,1+(('table for research'!$B172-1)*36+HEX2DEC('table for research'!Z$1))*2,2)</f>
        <v>00</v>
      </c>
      <c r="AA172" t="str">
        <f>MID('paste from garc here'!$C$1,1+(('table for research'!$B172-1)*36+HEX2DEC('table for research'!AA$1))*2,2)</f>
        <v>10</v>
      </c>
      <c r="AB172" t="str">
        <f>MID('paste from garc here'!$C$1,1+(('table for research'!$B172-1)*36+HEX2DEC('table for research'!AB$1))*2,2)</f>
        <v>1C</v>
      </c>
      <c r="AC172" t="str">
        <f>MID('paste from garc here'!$C$1,1+(('table for research'!$B172-1)*36+HEX2DEC('table for research'!AC$1))*2,2)</f>
        <v>00</v>
      </c>
      <c r="AD172" t="str">
        <f>MID('paste from garc here'!$C$1,1+(('table for research'!$B172-1)*36+HEX2DEC('table for research'!AD$1))*2,2)</f>
        <v>F6</v>
      </c>
      <c r="AE172" t="str">
        <f>MID('paste from garc here'!$C$1,1+(('table for research'!$B172-1)*36+HEX2DEC('table for research'!AE$1))*2,2)</f>
        <v>00</v>
      </c>
      <c r="AF172" t="str">
        <f>MID('paste from garc here'!$C$1,1+(('table for research'!$B172-1)*36+HEX2DEC('table for research'!AF$1))*2,2)</f>
        <v>00</v>
      </c>
      <c r="AG172" t="str">
        <f>MID('paste from garc here'!$C$1,1+(('table for research'!$B172-1)*36+HEX2DEC('table for research'!AG$1))*2,2)</f>
        <v>00</v>
      </c>
      <c r="AH172" t="str">
        <f>MID('paste from garc here'!$C$1,1+(('table for research'!$B172-1)*36+HEX2DEC('table for research'!AH$1))*2,2)</f>
        <v>00</v>
      </c>
      <c r="AI172" t="str">
        <f>MID('paste from garc here'!$C$1,1+(('table for research'!$B172-1)*36+HEX2DEC('table for research'!AI$1))*2,2)</f>
        <v>00</v>
      </c>
      <c r="AJ172" t="str">
        <f>MID('paste from garc here'!$C$1,1+(('table for research'!$B172-1)*36+HEX2DEC('table for research'!AJ$1))*2,2)</f>
        <v>00</v>
      </c>
      <c r="AK172" t="str">
        <f>MID('paste from garc here'!$C$1,1+(('table for research'!$B172-1)*36+HEX2DEC('table for research'!AK$1))*2,2)</f>
        <v>0A</v>
      </c>
      <c r="AL172" t="str">
        <f>MID('paste from garc here'!$C$1,1+(('table for research'!$B172-1)*36+HEX2DEC('table for research'!AL$1))*2,2)</f>
        <v>05</v>
      </c>
      <c r="AM172" t="str">
        <f>MID('paste from garc here'!$C$1,1+(('table for research'!$B172-1)*36+HEX2DEC('table for research'!AM$1))*2,2)</f>
        <v>02</v>
      </c>
      <c r="AN172" t="str">
        <f>MID('paste from garc here'!$C$1,1+(('table for research'!$B172-1)*36+HEX2DEC('table for research'!AN$1))*2,2)</f>
        <v>00</v>
      </c>
      <c r="AO172" t="str">
        <f>MID('paste from garc here'!$C$1,1+(('table for research'!$B172-1)*36+HEX2DEC('table for research'!AO$1))*2,2)</f>
        <v>00</v>
      </c>
    </row>
    <row r="173" spans="1:41" x14ac:dyDescent="0.4">
      <c r="A173" t="s">
        <v>176</v>
      </c>
      <c r="B173">
        <f>B172+1</f>
        <v>171</v>
      </c>
      <c r="C173" t="str">
        <f>MID('paste from garc here'!$C$1,1+(('table for research'!$B173-1)*36+HEX2DEC('table for research'!C$1))*2,2)</f>
        <v>02</v>
      </c>
      <c r="D173" t="str">
        <f>MID('paste from garc here'!$C$1,1+(('table for research'!$B173-1)*36+HEX2DEC('table for research'!D$1))*2,2)</f>
        <v>00</v>
      </c>
      <c r="E173" t="str">
        <f>MID('paste from garc here'!$C$1,1+(('table for research'!$B173-1)*36+HEX2DEC('table for research'!E$1))*2,2)</f>
        <v>00</v>
      </c>
      <c r="F173" t="str">
        <f>MID('paste from garc here'!$C$1,1+(('table for research'!$B173-1)*36+HEX2DEC('table for research'!F$1))*2,2)</f>
        <v>00</v>
      </c>
      <c r="G173" t="str">
        <f>MID('paste from garc here'!$C$1,1+(('table for research'!$B173-1)*36+HEX2DEC('table for research'!G$1))*2,2)</f>
        <v>00</v>
      </c>
      <c r="H173" t="str">
        <f>MID('paste from garc here'!$C$1,1+(('table for research'!$B173-1)*36+HEX2DEC('table for research'!H$1))*2,2)</f>
        <v>00</v>
      </c>
      <c r="I173" t="str">
        <f>MID('paste from garc here'!$C$1,1+(('table for research'!$B173-1)*36+HEX2DEC('table for research'!I$1))*2,2)</f>
        <v>0A</v>
      </c>
      <c r="J173" t="str">
        <f>MID('paste from garc here'!$C$1,1+(('table for research'!$B173-1)*36+HEX2DEC('table for research'!J$1))*2,2)</f>
        <v>5A</v>
      </c>
      <c r="K173" t="str">
        <f>DEC2HEX(_xlfn.BITAND(HEX2DEC(MID('paste from garc here'!$C$1,1+(('table for research'!$B173-1)*36+HEX2DEC(8))*2,2)),31),2)</f>
        <v>03</v>
      </c>
      <c r="L173" t="str">
        <f>DEC2HEX(_xlfn.BITAND(HEX2DEC(MID('paste from garc here'!$C$1,1+(('table for research'!$B173-1)*36+HEX2DEC(8))*2,2)),32),2)</f>
        <v>00</v>
      </c>
      <c r="M173" t="str">
        <f>DEC2HEX(_xlfn.BITAND(HEX2DEC(MID('paste from garc here'!$C$1,1+(('table for research'!$B173-1)*36+HEX2DEC(8))*2,2)),64),2)</f>
        <v>00</v>
      </c>
      <c r="N173" t="str">
        <f>DEC2HEX(_xlfn.BITRSHIFT(_xlfn.BITAND(HEX2DEC(MID('paste from garc here'!$C$1,1+(('table for research'!$B173-1)*36+HEX2DEC(9))*2,2)&amp;MID('paste from garc here'!$C$1,1+(('table for research'!$B173-1)*36+HEX2DEC(8))*2,2)),1920),7),2)</f>
        <v>03</v>
      </c>
      <c r="O173" t="str">
        <f>DEC2HEX(_xlfn.BITRSHIFT(HEX2DEC(MID('paste from garc here'!$C$1,1+(('table for research'!$B173-1)*36+HEX2DEC(9))*2,2)&amp;MID('paste from garc here'!$C$1,1+(('table for research'!$B173-1)*36+HEX2DEC(8))*2,2)),11),2)</f>
        <v>00</v>
      </c>
      <c r="P173" t="str">
        <f>MID('paste from garc here'!$C$1,1+(('table for research'!$B173-1)*36+HEX2DEC('table for research'!P$1))*2,2)</f>
        <v>0C</v>
      </c>
      <c r="Q173" t="str">
        <f>MID('paste from garc here'!$C$1,1+(('table for research'!$B173-1)*36+HEX2DEC('table for research'!Q$1))*2,2)</f>
        <v>00</v>
      </c>
      <c r="R173" t="str">
        <f>MID('paste from garc here'!$C$1,1+(('table for research'!$B173-1)*36+HEX2DEC('table for research'!R$1))*2,2)</f>
        <v>01</v>
      </c>
      <c r="S173" t="str">
        <f>MID('paste from garc here'!$C$1,1+(('table for research'!$B173-1)*36+HEX2DEC('table for research'!S$1))*2,2)</f>
        <v>07</v>
      </c>
      <c r="T173" t="str">
        <f>MID('paste from garc here'!$C$1,1+(('table for research'!$B173-1)*36+HEX2DEC('table for research'!T$1))*2,2)</f>
        <v>01</v>
      </c>
      <c r="U173" t="str">
        <f>MID('paste from garc here'!$C$1,1+(('table for research'!$B173-1)*36+HEX2DEC('table for research'!U$1))*2,2)</f>
        <v>16</v>
      </c>
      <c r="V173" t="str">
        <f>MID('paste from garc here'!$C$1,1+(('table for research'!$B173-1)*36+HEX2DEC('table for research'!V$1))*2,2)</f>
        <v>00</v>
      </c>
      <c r="W173" t="str">
        <f>MID('paste from garc here'!$C$1,1+(('table for research'!$B173-1)*36+HEX2DEC('table for research'!W$1))*2,2)</f>
        <v>00</v>
      </c>
      <c r="X173" t="str">
        <f>MID('paste from garc here'!$C$1,1+(('table for research'!$B173-1)*36+HEX2DEC('table for research'!X$1))*2,2)</f>
        <v>00</v>
      </c>
      <c r="Y173" t="str">
        <f>MID('paste from garc here'!$C$1,1+(('table for research'!$B173-1)*36+HEX2DEC('table for research'!Y$1))*2,2)</f>
        <v>00</v>
      </c>
      <c r="Z173" t="str">
        <f>MID('paste from garc here'!$C$1,1+(('table for research'!$B173-1)*36+HEX2DEC('table for research'!Z$1))*2,2)</f>
        <v>00</v>
      </c>
      <c r="AA173" t="str">
        <f>MID('paste from garc here'!$C$1,1+(('table for research'!$B173-1)*36+HEX2DEC('table for research'!AA$1))*2,2)</f>
        <v>20</v>
      </c>
      <c r="AB173" t="str">
        <f>MID('paste from garc here'!$C$1,1+(('table for research'!$B173-1)*36+HEX2DEC('table for research'!AB$1))*2,2)</f>
        <v>1C</v>
      </c>
      <c r="AC173" t="str">
        <f>MID('paste from garc here'!$C$1,1+(('table for research'!$B173-1)*36+HEX2DEC('table for research'!AC$1))*2,2)</f>
        <v>00</v>
      </c>
      <c r="AD173" t="str">
        <f>MID('paste from garc here'!$C$1,1+(('table for research'!$B173-1)*36+HEX2DEC('table for research'!AD$1))*2,2)</f>
        <v>00</v>
      </c>
      <c r="AE173" t="str">
        <f>MID('paste from garc here'!$C$1,1+(('table for research'!$B173-1)*36+HEX2DEC('table for research'!AE$1))*2,2)</f>
        <v>F6</v>
      </c>
      <c r="AF173" t="str">
        <f>MID('paste from garc here'!$C$1,1+(('table for research'!$B173-1)*36+HEX2DEC('table for research'!AF$1))*2,2)</f>
        <v>00</v>
      </c>
      <c r="AG173" t="str">
        <f>MID('paste from garc here'!$C$1,1+(('table for research'!$B173-1)*36+HEX2DEC('table for research'!AG$1))*2,2)</f>
        <v>00</v>
      </c>
      <c r="AH173" t="str">
        <f>MID('paste from garc here'!$C$1,1+(('table for research'!$B173-1)*36+HEX2DEC('table for research'!AH$1))*2,2)</f>
        <v>00</v>
      </c>
      <c r="AI173" t="str">
        <f>MID('paste from garc here'!$C$1,1+(('table for research'!$B173-1)*36+HEX2DEC('table for research'!AI$1))*2,2)</f>
        <v>00</v>
      </c>
      <c r="AJ173" t="str">
        <f>MID('paste from garc here'!$C$1,1+(('table for research'!$B173-1)*36+HEX2DEC('table for research'!AJ$1))*2,2)</f>
        <v>00</v>
      </c>
      <c r="AK173" t="str">
        <f>MID('paste from garc here'!$C$1,1+(('table for research'!$B173-1)*36+HEX2DEC('table for research'!AK$1))*2,2)</f>
        <v>0A</v>
      </c>
      <c r="AL173" t="str">
        <f>MID('paste from garc here'!$C$1,1+(('table for research'!$B173-1)*36+HEX2DEC('table for research'!AL$1))*2,2)</f>
        <v>05</v>
      </c>
      <c r="AM173" t="str">
        <f>MID('paste from garc here'!$C$1,1+(('table for research'!$B173-1)*36+HEX2DEC('table for research'!AM$1))*2,2)</f>
        <v>02</v>
      </c>
      <c r="AN173" t="str">
        <f>MID('paste from garc here'!$C$1,1+(('table for research'!$B173-1)*36+HEX2DEC('table for research'!AN$1))*2,2)</f>
        <v>00</v>
      </c>
      <c r="AO173" t="str">
        <f>MID('paste from garc here'!$C$1,1+(('table for research'!$B173-1)*36+HEX2DEC('table for research'!AO$1))*2,2)</f>
        <v>00</v>
      </c>
    </row>
    <row r="174" spans="1:41" x14ac:dyDescent="0.4">
      <c r="A174" t="s">
        <v>177</v>
      </c>
      <c r="B174">
        <f>B173+1</f>
        <v>172</v>
      </c>
      <c r="C174" t="str">
        <f>MID('paste from garc here'!$C$1,1+(('table for research'!$B174-1)*36+HEX2DEC('table for research'!C$1))*2,2)</f>
        <v>02</v>
      </c>
      <c r="D174" t="str">
        <f>MID('paste from garc here'!$C$1,1+(('table for research'!$B174-1)*36+HEX2DEC('table for research'!D$1))*2,2)</f>
        <v>00</v>
      </c>
      <c r="E174" t="str">
        <f>MID('paste from garc here'!$C$1,1+(('table for research'!$B174-1)*36+HEX2DEC('table for research'!E$1))*2,2)</f>
        <v>00</v>
      </c>
      <c r="F174" t="str">
        <f>MID('paste from garc here'!$C$1,1+(('table for research'!$B174-1)*36+HEX2DEC('table for research'!F$1))*2,2)</f>
        <v>00</v>
      </c>
      <c r="G174" t="str">
        <f>MID('paste from garc here'!$C$1,1+(('table for research'!$B174-1)*36+HEX2DEC('table for research'!G$1))*2,2)</f>
        <v>00</v>
      </c>
      <c r="H174" t="str">
        <f>MID('paste from garc here'!$C$1,1+(('table for research'!$B174-1)*36+HEX2DEC('table for research'!H$1))*2,2)</f>
        <v>00</v>
      </c>
      <c r="I174" t="str">
        <f>MID('paste from garc here'!$C$1,1+(('table for research'!$B174-1)*36+HEX2DEC('table for research'!I$1))*2,2)</f>
        <v>0A</v>
      </c>
      <c r="J174" t="str">
        <f>MID('paste from garc here'!$C$1,1+(('table for research'!$B174-1)*36+HEX2DEC('table for research'!J$1))*2,2)</f>
        <v>5A</v>
      </c>
      <c r="K174" t="str">
        <f>DEC2HEX(_xlfn.BITAND(HEX2DEC(MID('paste from garc here'!$C$1,1+(('table for research'!$B174-1)*36+HEX2DEC(8))*2,2)),31),2)</f>
        <v>04</v>
      </c>
      <c r="L174" t="str">
        <f>DEC2HEX(_xlfn.BITAND(HEX2DEC(MID('paste from garc here'!$C$1,1+(('table for research'!$B174-1)*36+HEX2DEC(8))*2,2)),32),2)</f>
        <v>00</v>
      </c>
      <c r="M174" t="str">
        <f>DEC2HEX(_xlfn.BITAND(HEX2DEC(MID('paste from garc here'!$C$1,1+(('table for research'!$B174-1)*36+HEX2DEC(8))*2,2)),64),2)</f>
        <v>00</v>
      </c>
      <c r="N174" t="str">
        <f>DEC2HEX(_xlfn.BITRSHIFT(_xlfn.BITAND(HEX2DEC(MID('paste from garc here'!$C$1,1+(('table for research'!$B174-1)*36+HEX2DEC(9))*2,2)&amp;MID('paste from garc here'!$C$1,1+(('table for research'!$B174-1)*36+HEX2DEC(8))*2,2)),1920),7),2)</f>
        <v>03</v>
      </c>
      <c r="O174" t="str">
        <f>DEC2HEX(_xlfn.BITRSHIFT(HEX2DEC(MID('paste from garc here'!$C$1,1+(('table for research'!$B174-1)*36+HEX2DEC(9))*2,2)&amp;MID('paste from garc here'!$C$1,1+(('table for research'!$B174-1)*36+HEX2DEC(8))*2,2)),11),2)</f>
        <v>00</v>
      </c>
      <c r="P174" t="str">
        <f>MID('paste from garc here'!$C$1,1+(('table for research'!$B174-1)*36+HEX2DEC('table for research'!P$1))*2,2)</f>
        <v>0C</v>
      </c>
      <c r="Q174" t="str">
        <f>MID('paste from garc here'!$C$1,1+(('table for research'!$B174-1)*36+HEX2DEC('table for research'!Q$1))*2,2)</f>
        <v>00</v>
      </c>
      <c r="R174" t="str">
        <f>MID('paste from garc here'!$C$1,1+(('table for research'!$B174-1)*36+HEX2DEC('table for research'!R$1))*2,2)</f>
        <v>01</v>
      </c>
      <c r="S174" t="str">
        <f>MID('paste from garc here'!$C$1,1+(('table for research'!$B174-1)*36+HEX2DEC('table for research'!S$1))*2,2)</f>
        <v>07</v>
      </c>
      <c r="T174" t="str">
        <f>MID('paste from garc here'!$C$1,1+(('table for research'!$B174-1)*36+HEX2DEC('table for research'!T$1))*2,2)</f>
        <v>01</v>
      </c>
      <c r="U174" t="str">
        <f>MID('paste from garc here'!$C$1,1+(('table for research'!$B174-1)*36+HEX2DEC('table for research'!U$1))*2,2)</f>
        <v>17</v>
      </c>
      <c r="V174" t="str">
        <f>MID('paste from garc here'!$C$1,1+(('table for research'!$B174-1)*36+HEX2DEC('table for research'!V$1))*2,2)</f>
        <v>00</v>
      </c>
      <c r="W174" t="str">
        <f>MID('paste from garc here'!$C$1,1+(('table for research'!$B174-1)*36+HEX2DEC('table for research'!W$1))*2,2)</f>
        <v>00</v>
      </c>
      <c r="X174" t="str">
        <f>MID('paste from garc here'!$C$1,1+(('table for research'!$B174-1)*36+HEX2DEC('table for research'!X$1))*2,2)</f>
        <v>00</v>
      </c>
      <c r="Y174" t="str">
        <f>MID('paste from garc here'!$C$1,1+(('table for research'!$B174-1)*36+HEX2DEC('table for research'!Y$1))*2,2)</f>
        <v>00</v>
      </c>
      <c r="Z174" t="str">
        <f>MID('paste from garc here'!$C$1,1+(('table for research'!$B174-1)*36+HEX2DEC('table for research'!Z$1))*2,2)</f>
        <v>00</v>
      </c>
      <c r="AA174" t="str">
        <f>MID('paste from garc here'!$C$1,1+(('table for research'!$B174-1)*36+HEX2DEC('table for research'!AA$1))*2,2)</f>
        <v>80</v>
      </c>
      <c r="AB174" t="str">
        <f>MID('paste from garc here'!$C$1,1+(('table for research'!$B174-1)*36+HEX2DEC('table for research'!AB$1))*2,2)</f>
        <v>1C</v>
      </c>
      <c r="AC174" t="str">
        <f>MID('paste from garc here'!$C$1,1+(('table for research'!$B174-1)*36+HEX2DEC('table for research'!AC$1))*2,2)</f>
        <v>00</v>
      </c>
      <c r="AD174" t="str">
        <f>MID('paste from garc here'!$C$1,1+(('table for research'!$B174-1)*36+HEX2DEC('table for research'!AD$1))*2,2)</f>
        <v>00</v>
      </c>
      <c r="AE174" t="str">
        <f>MID('paste from garc here'!$C$1,1+(('table for research'!$B174-1)*36+HEX2DEC('table for research'!AE$1))*2,2)</f>
        <v>00</v>
      </c>
      <c r="AF174" t="str">
        <f>MID('paste from garc here'!$C$1,1+(('table for research'!$B174-1)*36+HEX2DEC('table for research'!AF$1))*2,2)</f>
        <v>00</v>
      </c>
      <c r="AG174" t="str">
        <f>MID('paste from garc here'!$C$1,1+(('table for research'!$B174-1)*36+HEX2DEC('table for research'!AG$1))*2,2)</f>
        <v>F6</v>
      </c>
      <c r="AH174" t="str">
        <f>MID('paste from garc here'!$C$1,1+(('table for research'!$B174-1)*36+HEX2DEC('table for research'!AH$1))*2,2)</f>
        <v>00</v>
      </c>
      <c r="AI174" t="str">
        <f>MID('paste from garc here'!$C$1,1+(('table for research'!$B174-1)*36+HEX2DEC('table for research'!AI$1))*2,2)</f>
        <v>00</v>
      </c>
      <c r="AJ174" t="str">
        <f>MID('paste from garc here'!$C$1,1+(('table for research'!$B174-1)*36+HEX2DEC('table for research'!AJ$1))*2,2)</f>
        <v>00</v>
      </c>
      <c r="AK174" t="str">
        <f>MID('paste from garc here'!$C$1,1+(('table for research'!$B174-1)*36+HEX2DEC('table for research'!AK$1))*2,2)</f>
        <v>0A</v>
      </c>
      <c r="AL174" t="str">
        <f>MID('paste from garc here'!$C$1,1+(('table for research'!$B174-1)*36+HEX2DEC('table for research'!AL$1))*2,2)</f>
        <v>05</v>
      </c>
      <c r="AM174" t="str">
        <f>MID('paste from garc here'!$C$1,1+(('table for research'!$B174-1)*36+HEX2DEC('table for research'!AM$1))*2,2)</f>
        <v>02</v>
      </c>
      <c r="AN174" t="str">
        <f>MID('paste from garc here'!$C$1,1+(('table for research'!$B174-1)*36+HEX2DEC('table for research'!AN$1))*2,2)</f>
        <v>00</v>
      </c>
      <c r="AO174" t="str">
        <f>MID('paste from garc here'!$C$1,1+(('table for research'!$B174-1)*36+HEX2DEC('table for research'!AO$1))*2,2)</f>
        <v>00</v>
      </c>
    </row>
    <row r="175" spans="1:41" x14ac:dyDescent="0.4">
      <c r="A175" t="s">
        <v>178</v>
      </c>
      <c r="B175">
        <f>B174+1</f>
        <v>173</v>
      </c>
      <c r="C175" t="str">
        <f>MID('paste from garc here'!$C$1,1+(('table for research'!$B175-1)*36+HEX2DEC('table for research'!C$1))*2,2)</f>
        <v>02</v>
      </c>
      <c r="D175" t="str">
        <f>MID('paste from garc here'!$C$1,1+(('table for research'!$B175-1)*36+HEX2DEC('table for research'!D$1))*2,2)</f>
        <v>00</v>
      </c>
      <c r="E175" t="str">
        <f>MID('paste from garc here'!$C$1,1+(('table for research'!$B175-1)*36+HEX2DEC('table for research'!E$1))*2,2)</f>
        <v>00</v>
      </c>
      <c r="F175" t="str">
        <f>MID('paste from garc here'!$C$1,1+(('table for research'!$B175-1)*36+HEX2DEC('table for research'!F$1))*2,2)</f>
        <v>00</v>
      </c>
      <c r="G175" t="str">
        <f>MID('paste from garc here'!$C$1,1+(('table for research'!$B175-1)*36+HEX2DEC('table for research'!G$1))*2,2)</f>
        <v>00</v>
      </c>
      <c r="H175" t="str">
        <f>MID('paste from garc here'!$C$1,1+(('table for research'!$B175-1)*36+HEX2DEC('table for research'!H$1))*2,2)</f>
        <v>00</v>
      </c>
      <c r="I175" t="str">
        <f>MID('paste from garc here'!$C$1,1+(('table for research'!$B175-1)*36+HEX2DEC('table for research'!I$1))*2,2)</f>
        <v>0A</v>
      </c>
      <c r="J175" t="str">
        <f>MID('paste from garc here'!$C$1,1+(('table for research'!$B175-1)*36+HEX2DEC('table for research'!J$1))*2,2)</f>
        <v>5A</v>
      </c>
      <c r="K175" t="str">
        <f>DEC2HEX(_xlfn.BITAND(HEX2DEC(MID('paste from garc here'!$C$1,1+(('table for research'!$B175-1)*36+HEX2DEC(8))*2,2)),31),2)</f>
        <v>02</v>
      </c>
      <c r="L175" t="str">
        <f>DEC2HEX(_xlfn.BITAND(HEX2DEC(MID('paste from garc here'!$C$1,1+(('table for research'!$B175-1)*36+HEX2DEC(8))*2,2)),32),2)</f>
        <v>00</v>
      </c>
      <c r="M175" t="str">
        <f>DEC2HEX(_xlfn.BITAND(HEX2DEC(MID('paste from garc here'!$C$1,1+(('table for research'!$B175-1)*36+HEX2DEC(8))*2,2)),64),2)</f>
        <v>00</v>
      </c>
      <c r="N175" t="str">
        <f>DEC2HEX(_xlfn.BITRSHIFT(_xlfn.BITAND(HEX2DEC(MID('paste from garc here'!$C$1,1+(('table for research'!$B175-1)*36+HEX2DEC(9))*2,2)&amp;MID('paste from garc here'!$C$1,1+(('table for research'!$B175-1)*36+HEX2DEC(8))*2,2)),1920),7),2)</f>
        <v>03</v>
      </c>
      <c r="O175" t="str">
        <f>DEC2HEX(_xlfn.BITRSHIFT(HEX2DEC(MID('paste from garc here'!$C$1,1+(('table for research'!$B175-1)*36+HEX2DEC(9))*2,2)&amp;MID('paste from garc here'!$C$1,1+(('table for research'!$B175-1)*36+HEX2DEC(8))*2,2)),11),2)</f>
        <v>00</v>
      </c>
      <c r="P175" t="str">
        <f>MID('paste from garc here'!$C$1,1+(('table for research'!$B175-1)*36+HEX2DEC('table for research'!P$1))*2,2)</f>
        <v>0C</v>
      </c>
      <c r="Q175" t="str">
        <f>MID('paste from garc here'!$C$1,1+(('table for research'!$B175-1)*36+HEX2DEC('table for research'!Q$1))*2,2)</f>
        <v>00</v>
      </c>
      <c r="R175" t="str">
        <f>MID('paste from garc here'!$C$1,1+(('table for research'!$B175-1)*36+HEX2DEC('table for research'!R$1))*2,2)</f>
        <v>01</v>
      </c>
      <c r="S175" t="str">
        <f>MID('paste from garc here'!$C$1,1+(('table for research'!$B175-1)*36+HEX2DEC('table for research'!S$1))*2,2)</f>
        <v>07</v>
      </c>
      <c r="T175" t="str">
        <f>MID('paste from garc here'!$C$1,1+(('table for research'!$B175-1)*36+HEX2DEC('table for research'!T$1))*2,2)</f>
        <v>01</v>
      </c>
      <c r="U175" t="str">
        <f>MID('paste from garc here'!$C$1,1+(('table for research'!$B175-1)*36+HEX2DEC('table for research'!U$1))*2,2)</f>
        <v>18</v>
      </c>
      <c r="V175" t="str">
        <f>MID('paste from garc here'!$C$1,1+(('table for research'!$B175-1)*36+HEX2DEC('table for research'!V$1))*2,2)</f>
        <v>00</v>
      </c>
      <c r="W175" t="str">
        <f>MID('paste from garc here'!$C$1,1+(('table for research'!$B175-1)*36+HEX2DEC('table for research'!W$1))*2,2)</f>
        <v>00</v>
      </c>
      <c r="X175" t="str">
        <f>MID('paste from garc here'!$C$1,1+(('table for research'!$B175-1)*36+HEX2DEC('table for research'!X$1))*2,2)</f>
        <v>00</v>
      </c>
      <c r="Y175" t="str">
        <f>MID('paste from garc here'!$C$1,1+(('table for research'!$B175-1)*36+HEX2DEC('table for research'!Y$1))*2,2)</f>
        <v>00</v>
      </c>
      <c r="Z175" t="str">
        <f>MID('paste from garc here'!$C$1,1+(('table for research'!$B175-1)*36+HEX2DEC('table for research'!Z$1))*2,2)</f>
        <v>00</v>
      </c>
      <c r="AA175" t="str">
        <f>MID('paste from garc here'!$C$1,1+(('table for research'!$B175-1)*36+HEX2DEC('table for research'!AA$1))*2,2)</f>
        <v>00</v>
      </c>
      <c r="AB175" t="str">
        <f>MID('paste from garc here'!$C$1,1+(('table for research'!$B175-1)*36+HEX2DEC('table for research'!AB$1))*2,2)</f>
        <v>1D</v>
      </c>
      <c r="AC175" t="str">
        <f>MID('paste from garc here'!$C$1,1+(('table for research'!$B175-1)*36+HEX2DEC('table for research'!AC$1))*2,2)</f>
        <v>00</v>
      </c>
      <c r="AD175" t="str">
        <f>MID('paste from garc here'!$C$1,1+(('table for research'!$B175-1)*36+HEX2DEC('table for research'!AD$1))*2,2)</f>
        <v>00</v>
      </c>
      <c r="AE175" t="str">
        <f>MID('paste from garc here'!$C$1,1+(('table for research'!$B175-1)*36+HEX2DEC('table for research'!AE$1))*2,2)</f>
        <v>00</v>
      </c>
      <c r="AF175" t="str">
        <f>MID('paste from garc here'!$C$1,1+(('table for research'!$B175-1)*36+HEX2DEC('table for research'!AF$1))*2,2)</f>
        <v>00</v>
      </c>
      <c r="AG175" t="str">
        <f>MID('paste from garc here'!$C$1,1+(('table for research'!$B175-1)*36+HEX2DEC('table for research'!AG$1))*2,2)</f>
        <v>00</v>
      </c>
      <c r="AH175" t="str">
        <f>MID('paste from garc here'!$C$1,1+(('table for research'!$B175-1)*36+HEX2DEC('table for research'!AH$1))*2,2)</f>
        <v>F6</v>
      </c>
      <c r="AI175" t="str">
        <f>MID('paste from garc here'!$C$1,1+(('table for research'!$B175-1)*36+HEX2DEC('table for research'!AI$1))*2,2)</f>
        <v>00</v>
      </c>
      <c r="AJ175" t="str">
        <f>MID('paste from garc here'!$C$1,1+(('table for research'!$B175-1)*36+HEX2DEC('table for research'!AJ$1))*2,2)</f>
        <v>00</v>
      </c>
      <c r="AK175" t="str">
        <f>MID('paste from garc here'!$C$1,1+(('table for research'!$B175-1)*36+HEX2DEC('table for research'!AK$1))*2,2)</f>
        <v>0A</v>
      </c>
      <c r="AL175" t="str">
        <f>MID('paste from garc here'!$C$1,1+(('table for research'!$B175-1)*36+HEX2DEC('table for research'!AL$1))*2,2)</f>
        <v>05</v>
      </c>
      <c r="AM175" t="str">
        <f>MID('paste from garc here'!$C$1,1+(('table for research'!$B175-1)*36+HEX2DEC('table for research'!AM$1))*2,2)</f>
        <v>02</v>
      </c>
      <c r="AN175" t="str">
        <f>MID('paste from garc here'!$C$1,1+(('table for research'!$B175-1)*36+HEX2DEC('table for research'!AN$1))*2,2)</f>
        <v>00</v>
      </c>
      <c r="AO175" t="str">
        <f>MID('paste from garc here'!$C$1,1+(('table for research'!$B175-1)*36+HEX2DEC('table for research'!AO$1))*2,2)</f>
        <v>00</v>
      </c>
    </row>
    <row r="176" spans="1:41" x14ac:dyDescent="0.4">
      <c r="A176" t="s">
        <v>179</v>
      </c>
      <c r="B176">
        <f>B175+1</f>
        <v>174</v>
      </c>
      <c r="C176" t="str">
        <f>MID('paste from garc here'!$C$1,1+(('table for research'!$B176-1)*36+HEX2DEC('table for research'!C$1))*2,2)</f>
        <v>02</v>
      </c>
      <c r="D176" t="str">
        <f>MID('paste from garc here'!$C$1,1+(('table for research'!$B176-1)*36+HEX2DEC('table for research'!D$1))*2,2)</f>
        <v>00</v>
      </c>
      <c r="E176" t="str">
        <f>MID('paste from garc here'!$C$1,1+(('table for research'!$B176-1)*36+HEX2DEC('table for research'!E$1))*2,2)</f>
        <v>00</v>
      </c>
      <c r="F176" t="str">
        <f>MID('paste from garc here'!$C$1,1+(('table for research'!$B176-1)*36+HEX2DEC('table for research'!F$1))*2,2)</f>
        <v>00</v>
      </c>
      <c r="G176" t="str">
        <f>MID('paste from garc here'!$C$1,1+(('table for research'!$B176-1)*36+HEX2DEC('table for research'!G$1))*2,2)</f>
        <v>00</v>
      </c>
      <c r="H176" t="str">
        <f>MID('paste from garc here'!$C$1,1+(('table for research'!$B176-1)*36+HEX2DEC('table for research'!H$1))*2,2)</f>
        <v>00</v>
      </c>
      <c r="I176" t="str">
        <f>MID('paste from garc here'!$C$1,1+(('table for research'!$B176-1)*36+HEX2DEC('table for research'!I$1))*2,2)</f>
        <v>0A</v>
      </c>
      <c r="J176" t="str">
        <f>MID('paste from garc here'!$C$1,1+(('table for research'!$B176-1)*36+HEX2DEC('table for research'!J$1))*2,2)</f>
        <v>5A</v>
      </c>
      <c r="K176" t="str">
        <f>DEC2HEX(_xlfn.BITAND(HEX2DEC(MID('paste from garc here'!$C$1,1+(('table for research'!$B176-1)*36+HEX2DEC(8))*2,2)),31),2)</f>
        <v>0D</v>
      </c>
      <c r="L176" t="str">
        <f>DEC2HEX(_xlfn.BITAND(HEX2DEC(MID('paste from garc here'!$C$1,1+(('table for research'!$B176-1)*36+HEX2DEC(8))*2,2)),32),2)</f>
        <v>00</v>
      </c>
      <c r="M176" t="str">
        <f>DEC2HEX(_xlfn.BITAND(HEX2DEC(MID('paste from garc here'!$C$1,1+(('table for research'!$B176-1)*36+HEX2DEC(8))*2,2)),64),2)</f>
        <v>00</v>
      </c>
      <c r="N176" t="str">
        <f>DEC2HEX(_xlfn.BITRSHIFT(_xlfn.BITAND(HEX2DEC(MID('paste from garc here'!$C$1,1+(('table for research'!$B176-1)*36+HEX2DEC(9))*2,2)&amp;MID('paste from garc here'!$C$1,1+(('table for research'!$B176-1)*36+HEX2DEC(8))*2,2)),1920),7),2)</f>
        <v>03</v>
      </c>
      <c r="O176" t="str">
        <f>DEC2HEX(_xlfn.BITRSHIFT(HEX2DEC(MID('paste from garc here'!$C$1,1+(('table for research'!$B176-1)*36+HEX2DEC(9))*2,2)&amp;MID('paste from garc here'!$C$1,1+(('table for research'!$B176-1)*36+HEX2DEC(8))*2,2)),11),2)</f>
        <v>00</v>
      </c>
      <c r="P176" t="str">
        <f>MID('paste from garc here'!$C$1,1+(('table for research'!$B176-1)*36+HEX2DEC('table for research'!P$1))*2,2)</f>
        <v>0C</v>
      </c>
      <c r="Q176" t="str">
        <f>MID('paste from garc here'!$C$1,1+(('table for research'!$B176-1)*36+HEX2DEC('table for research'!Q$1))*2,2)</f>
        <v>00</v>
      </c>
      <c r="R176" t="str">
        <f>MID('paste from garc here'!$C$1,1+(('table for research'!$B176-1)*36+HEX2DEC('table for research'!R$1))*2,2)</f>
        <v>01</v>
      </c>
      <c r="S176" t="str">
        <f>MID('paste from garc here'!$C$1,1+(('table for research'!$B176-1)*36+HEX2DEC('table for research'!S$1))*2,2)</f>
        <v>07</v>
      </c>
      <c r="T176" t="str">
        <f>MID('paste from garc here'!$C$1,1+(('table for research'!$B176-1)*36+HEX2DEC('table for research'!T$1))*2,2)</f>
        <v>01</v>
      </c>
      <c r="U176" t="str">
        <f>MID('paste from garc here'!$C$1,1+(('table for research'!$B176-1)*36+HEX2DEC('table for research'!U$1))*2,2)</f>
        <v>19</v>
      </c>
      <c r="V176" t="str">
        <f>MID('paste from garc here'!$C$1,1+(('table for research'!$B176-1)*36+HEX2DEC('table for research'!V$1))*2,2)</f>
        <v>00</v>
      </c>
      <c r="W176" t="str">
        <f>MID('paste from garc here'!$C$1,1+(('table for research'!$B176-1)*36+HEX2DEC('table for research'!W$1))*2,2)</f>
        <v>00</v>
      </c>
      <c r="X176" t="str">
        <f>MID('paste from garc here'!$C$1,1+(('table for research'!$B176-1)*36+HEX2DEC('table for research'!X$1))*2,2)</f>
        <v>00</v>
      </c>
      <c r="Y176" t="str">
        <f>MID('paste from garc here'!$C$1,1+(('table for research'!$B176-1)*36+HEX2DEC('table for research'!Y$1))*2,2)</f>
        <v>00</v>
      </c>
      <c r="Z176" t="str">
        <f>MID('paste from garc here'!$C$1,1+(('table for research'!$B176-1)*36+HEX2DEC('table for research'!Z$1))*2,2)</f>
        <v>00</v>
      </c>
      <c r="AA176" t="str">
        <f>MID('paste from garc here'!$C$1,1+(('table for research'!$B176-1)*36+HEX2DEC('table for research'!AA$1))*2,2)</f>
        <v>40</v>
      </c>
      <c r="AB176" t="str">
        <f>MID('paste from garc here'!$C$1,1+(('table for research'!$B176-1)*36+HEX2DEC('table for research'!AB$1))*2,2)</f>
        <v>1C</v>
      </c>
      <c r="AC176" t="str">
        <f>MID('paste from garc here'!$C$1,1+(('table for research'!$B176-1)*36+HEX2DEC('table for research'!AC$1))*2,2)</f>
        <v>00</v>
      </c>
      <c r="AD176" t="str">
        <f>MID('paste from garc here'!$C$1,1+(('table for research'!$B176-1)*36+HEX2DEC('table for research'!AD$1))*2,2)</f>
        <v>00</v>
      </c>
      <c r="AE176" t="str">
        <f>MID('paste from garc here'!$C$1,1+(('table for research'!$B176-1)*36+HEX2DEC('table for research'!AE$1))*2,2)</f>
        <v>00</v>
      </c>
      <c r="AF176" t="str">
        <f>MID('paste from garc here'!$C$1,1+(('table for research'!$B176-1)*36+HEX2DEC('table for research'!AF$1))*2,2)</f>
        <v>F6</v>
      </c>
      <c r="AG176" t="str">
        <f>MID('paste from garc here'!$C$1,1+(('table for research'!$B176-1)*36+HEX2DEC('table for research'!AG$1))*2,2)</f>
        <v>00</v>
      </c>
      <c r="AH176" t="str">
        <f>MID('paste from garc here'!$C$1,1+(('table for research'!$B176-1)*36+HEX2DEC('table for research'!AH$1))*2,2)</f>
        <v>00</v>
      </c>
      <c r="AI176" t="str">
        <f>MID('paste from garc here'!$C$1,1+(('table for research'!$B176-1)*36+HEX2DEC('table for research'!AI$1))*2,2)</f>
        <v>00</v>
      </c>
      <c r="AJ176" t="str">
        <f>MID('paste from garc here'!$C$1,1+(('table for research'!$B176-1)*36+HEX2DEC('table for research'!AJ$1))*2,2)</f>
        <v>00</v>
      </c>
      <c r="AK176" t="str">
        <f>MID('paste from garc here'!$C$1,1+(('table for research'!$B176-1)*36+HEX2DEC('table for research'!AK$1))*2,2)</f>
        <v>0A</v>
      </c>
      <c r="AL176" t="str">
        <f>MID('paste from garc here'!$C$1,1+(('table for research'!$B176-1)*36+HEX2DEC('table for research'!AL$1))*2,2)</f>
        <v>05</v>
      </c>
      <c r="AM176" t="str">
        <f>MID('paste from garc here'!$C$1,1+(('table for research'!$B176-1)*36+HEX2DEC('table for research'!AM$1))*2,2)</f>
        <v>02</v>
      </c>
      <c r="AN176" t="str">
        <f>MID('paste from garc here'!$C$1,1+(('table for research'!$B176-1)*36+HEX2DEC('table for research'!AN$1))*2,2)</f>
        <v>00</v>
      </c>
      <c r="AO176" t="str">
        <f>MID('paste from garc here'!$C$1,1+(('table for research'!$B176-1)*36+HEX2DEC('table for research'!AO$1))*2,2)</f>
        <v>00</v>
      </c>
    </row>
    <row r="177" spans="1:41" x14ac:dyDescent="0.4">
      <c r="A177" t="s">
        <v>180</v>
      </c>
      <c r="B177">
        <f>B176+1</f>
        <v>175</v>
      </c>
      <c r="C177" t="str">
        <f>MID('paste from garc here'!$C$1,1+(('table for research'!$B177-1)*36+HEX2DEC('table for research'!C$1))*2,2)</f>
        <v>02</v>
      </c>
      <c r="D177" t="str">
        <f>MID('paste from garc here'!$C$1,1+(('table for research'!$B177-1)*36+HEX2DEC('table for research'!D$1))*2,2)</f>
        <v>00</v>
      </c>
      <c r="E177" t="str">
        <f>MID('paste from garc here'!$C$1,1+(('table for research'!$B177-1)*36+HEX2DEC('table for research'!E$1))*2,2)</f>
        <v>00</v>
      </c>
      <c r="F177" t="str">
        <f>MID('paste from garc here'!$C$1,1+(('table for research'!$B177-1)*36+HEX2DEC('table for research'!F$1))*2,2)</f>
        <v>00</v>
      </c>
      <c r="G177" t="str">
        <f>MID('paste from garc here'!$C$1,1+(('table for research'!$B177-1)*36+HEX2DEC('table for research'!G$1))*2,2)</f>
        <v>00</v>
      </c>
      <c r="H177" t="str">
        <f>MID('paste from garc here'!$C$1,1+(('table for research'!$B177-1)*36+HEX2DEC('table for research'!H$1))*2,2)</f>
        <v>00</v>
      </c>
      <c r="I177" t="str">
        <f>MID('paste from garc here'!$C$1,1+(('table for research'!$B177-1)*36+HEX2DEC('table for research'!I$1))*2,2)</f>
        <v>0A</v>
      </c>
      <c r="J177" t="str">
        <f>MID('paste from garc here'!$C$1,1+(('table for research'!$B177-1)*36+HEX2DEC('table for research'!J$1))*2,2)</f>
        <v>5A</v>
      </c>
      <c r="K177" t="str">
        <f>DEC2HEX(_xlfn.BITAND(HEX2DEC(MID('paste from garc here'!$C$1,1+(('table for research'!$B177-1)*36+HEX2DEC(8))*2,2)),31),2)</f>
        <v>06</v>
      </c>
      <c r="L177" t="str">
        <f>DEC2HEX(_xlfn.BITAND(HEX2DEC(MID('paste from garc here'!$C$1,1+(('table for research'!$B177-1)*36+HEX2DEC(8))*2,2)),32),2)</f>
        <v>00</v>
      </c>
      <c r="M177" t="str">
        <f>DEC2HEX(_xlfn.BITAND(HEX2DEC(MID('paste from garc here'!$C$1,1+(('table for research'!$B177-1)*36+HEX2DEC(8))*2,2)),64),2)</f>
        <v>00</v>
      </c>
      <c r="N177" t="str">
        <f>DEC2HEX(_xlfn.BITRSHIFT(_xlfn.BITAND(HEX2DEC(MID('paste from garc here'!$C$1,1+(('table for research'!$B177-1)*36+HEX2DEC(9))*2,2)&amp;MID('paste from garc here'!$C$1,1+(('table for research'!$B177-1)*36+HEX2DEC(8))*2,2)),1920),7),2)</f>
        <v>03</v>
      </c>
      <c r="O177" t="str">
        <f>DEC2HEX(_xlfn.BITRSHIFT(HEX2DEC(MID('paste from garc here'!$C$1,1+(('table for research'!$B177-1)*36+HEX2DEC(9))*2,2)&amp;MID('paste from garc here'!$C$1,1+(('table for research'!$B177-1)*36+HEX2DEC(8))*2,2)),11),2)</f>
        <v>00</v>
      </c>
      <c r="P177" t="str">
        <f>MID('paste from garc here'!$C$1,1+(('table for research'!$B177-1)*36+HEX2DEC('table for research'!P$1))*2,2)</f>
        <v>0C</v>
      </c>
      <c r="Q177" t="str">
        <f>MID('paste from garc here'!$C$1,1+(('table for research'!$B177-1)*36+HEX2DEC('table for research'!Q$1))*2,2)</f>
        <v>00</v>
      </c>
      <c r="R177" t="str">
        <f>MID('paste from garc here'!$C$1,1+(('table for research'!$B177-1)*36+HEX2DEC('table for research'!R$1))*2,2)</f>
        <v>01</v>
      </c>
      <c r="S177" t="str">
        <f>MID('paste from garc here'!$C$1,1+(('table for research'!$B177-1)*36+HEX2DEC('table for research'!S$1))*2,2)</f>
        <v>07</v>
      </c>
      <c r="T177" t="str">
        <f>MID('paste from garc here'!$C$1,1+(('table for research'!$B177-1)*36+HEX2DEC('table for research'!T$1))*2,2)</f>
        <v>01</v>
      </c>
      <c r="U177" t="str">
        <f>MID('paste from garc here'!$C$1,1+(('table for research'!$B177-1)*36+HEX2DEC('table for research'!U$1))*2,2)</f>
        <v>1A</v>
      </c>
      <c r="V177" t="str">
        <f>MID('paste from garc here'!$C$1,1+(('table for research'!$B177-1)*36+HEX2DEC('table for research'!V$1))*2,2)</f>
        <v>00</v>
      </c>
      <c r="W177" t="str">
        <f>MID('paste from garc here'!$C$1,1+(('table for research'!$B177-1)*36+HEX2DEC('table for research'!W$1))*2,2)</f>
        <v>00</v>
      </c>
      <c r="X177" t="str">
        <f>MID('paste from garc here'!$C$1,1+(('table for research'!$B177-1)*36+HEX2DEC('table for research'!X$1))*2,2)</f>
        <v>00</v>
      </c>
      <c r="Y177" t="str">
        <f>MID('paste from garc here'!$C$1,1+(('table for research'!$B177-1)*36+HEX2DEC('table for research'!Y$1))*2,2)</f>
        <v>00</v>
      </c>
      <c r="Z177" t="str">
        <f>MID('paste from garc here'!$C$1,1+(('table for research'!$B177-1)*36+HEX2DEC('table for research'!Z$1))*2,2)</f>
        <v>00</v>
      </c>
      <c r="AA177" t="str">
        <f>MID('paste from garc here'!$C$1,1+(('table for research'!$B177-1)*36+HEX2DEC('table for research'!AA$1))*2,2)</f>
        <v>00</v>
      </c>
      <c r="AB177" t="str">
        <f>MID('paste from garc here'!$C$1,1+(('table for research'!$B177-1)*36+HEX2DEC('table for research'!AB$1))*2,2)</f>
        <v>00</v>
      </c>
      <c r="AC177" t="str">
        <f>MID('paste from garc here'!$C$1,1+(('table for research'!$B177-1)*36+HEX2DEC('table for research'!AC$1))*2,2)</f>
        <v>00</v>
      </c>
      <c r="AD177" t="str">
        <f>MID('paste from garc here'!$C$1,1+(('table for research'!$B177-1)*36+HEX2DEC('table for research'!AD$1))*2,2)</f>
        <v>00</v>
      </c>
      <c r="AE177" t="str">
        <f>MID('paste from garc here'!$C$1,1+(('table for research'!$B177-1)*36+HEX2DEC('table for research'!AE$1))*2,2)</f>
        <v>00</v>
      </c>
      <c r="AF177" t="str">
        <f>MID('paste from garc here'!$C$1,1+(('table for research'!$B177-1)*36+HEX2DEC('table for research'!AF$1))*2,2)</f>
        <v>00</v>
      </c>
      <c r="AG177" t="str">
        <f>MID('paste from garc here'!$C$1,1+(('table for research'!$B177-1)*36+HEX2DEC('table for research'!AG$1))*2,2)</f>
        <v>00</v>
      </c>
      <c r="AH177" t="str">
        <f>MID('paste from garc here'!$C$1,1+(('table for research'!$B177-1)*36+HEX2DEC('table for research'!AH$1))*2,2)</f>
        <v>00</v>
      </c>
      <c r="AI177" t="str">
        <f>MID('paste from garc here'!$C$1,1+(('table for research'!$B177-1)*36+HEX2DEC('table for research'!AI$1))*2,2)</f>
        <v>00</v>
      </c>
      <c r="AJ177" t="str">
        <f>MID('paste from garc here'!$C$1,1+(('table for research'!$B177-1)*36+HEX2DEC('table for research'!AJ$1))*2,2)</f>
        <v>00</v>
      </c>
      <c r="AK177" t="str">
        <f>MID('paste from garc here'!$C$1,1+(('table for research'!$B177-1)*36+HEX2DEC('table for research'!AK$1))*2,2)</f>
        <v>00</v>
      </c>
      <c r="AL177" t="str">
        <f>MID('paste from garc here'!$C$1,1+(('table for research'!$B177-1)*36+HEX2DEC('table for research'!AL$1))*2,2)</f>
        <v>00</v>
      </c>
      <c r="AM177" t="str">
        <f>MID('paste from garc here'!$C$1,1+(('table for research'!$B177-1)*36+HEX2DEC('table for research'!AM$1))*2,2)</f>
        <v>00</v>
      </c>
      <c r="AN177" t="str">
        <f>MID('paste from garc here'!$C$1,1+(('table for research'!$B177-1)*36+HEX2DEC('table for research'!AN$1))*2,2)</f>
        <v>00</v>
      </c>
      <c r="AO177" t="str">
        <f>MID('paste from garc here'!$C$1,1+(('table for research'!$B177-1)*36+HEX2DEC('table for research'!AO$1))*2,2)</f>
        <v>00</v>
      </c>
    </row>
    <row r="178" spans="1:41" x14ac:dyDescent="0.4">
      <c r="A178" t="s">
        <v>181</v>
      </c>
      <c r="B178">
        <f>B177+1</f>
        <v>176</v>
      </c>
      <c r="C178" t="str">
        <f>MID('paste from garc here'!$C$1,1+(('table for research'!$B178-1)*36+HEX2DEC('table for research'!C$1))*2,2)</f>
        <v>02</v>
      </c>
      <c r="D178" t="str">
        <f>MID('paste from garc here'!$C$1,1+(('table for research'!$B178-1)*36+HEX2DEC('table for research'!D$1))*2,2)</f>
        <v>00</v>
      </c>
      <c r="E178" t="str">
        <f>MID('paste from garc here'!$C$1,1+(('table for research'!$B178-1)*36+HEX2DEC('table for research'!E$1))*2,2)</f>
        <v>00</v>
      </c>
      <c r="F178" t="str">
        <f>MID('paste from garc here'!$C$1,1+(('table for research'!$B178-1)*36+HEX2DEC('table for research'!F$1))*2,2)</f>
        <v>00</v>
      </c>
      <c r="G178" t="str">
        <f>MID('paste from garc here'!$C$1,1+(('table for research'!$B178-1)*36+HEX2DEC('table for research'!G$1))*2,2)</f>
        <v>00</v>
      </c>
      <c r="H178" t="str">
        <f>MID('paste from garc here'!$C$1,1+(('table for research'!$B178-1)*36+HEX2DEC('table for research'!H$1))*2,2)</f>
        <v>00</v>
      </c>
      <c r="I178" t="str">
        <f>MID('paste from garc here'!$C$1,1+(('table for research'!$B178-1)*36+HEX2DEC('table for research'!I$1))*2,2)</f>
        <v>0A</v>
      </c>
      <c r="J178" t="str">
        <f>MID('paste from garc here'!$C$1,1+(('table for research'!$B178-1)*36+HEX2DEC('table for research'!J$1))*2,2)</f>
        <v>5A</v>
      </c>
      <c r="K178" t="str">
        <f>DEC2HEX(_xlfn.BITAND(HEX2DEC(MID('paste from garc here'!$C$1,1+(('table for research'!$B178-1)*36+HEX2DEC(8))*2,2)),31),2)</f>
        <v>05</v>
      </c>
      <c r="L178" t="str">
        <f>DEC2HEX(_xlfn.BITAND(HEX2DEC(MID('paste from garc here'!$C$1,1+(('table for research'!$B178-1)*36+HEX2DEC(8))*2,2)),32),2)</f>
        <v>00</v>
      </c>
      <c r="M178" t="str">
        <f>DEC2HEX(_xlfn.BITAND(HEX2DEC(MID('paste from garc here'!$C$1,1+(('table for research'!$B178-1)*36+HEX2DEC(8))*2,2)),64),2)</f>
        <v>00</v>
      </c>
      <c r="N178" t="str">
        <f>DEC2HEX(_xlfn.BITRSHIFT(_xlfn.BITAND(HEX2DEC(MID('paste from garc here'!$C$1,1+(('table for research'!$B178-1)*36+HEX2DEC(9))*2,2)&amp;MID('paste from garc here'!$C$1,1+(('table for research'!$B178-1)*36+HEX2DEC(8))*2,2)),1920),7),2)</f>
        <v>03</v>
      </c>
      <c r="O178" t="str">
        <f>DEC2HEX(_xlfn.BITRSHIFT(HEX2DEC(MID('paste from garc here'!$C$1,1+(('table for research'!$B178-1)*36+HEX2DEC(9))*2,2)&amp;MID('paste from garc here'!$C$1,1+(('table for research'!$B178-1)*36+HEX2DEC(8))*2,2)),11),2)</f>
        <v>00</v>
      </c>
      <c r="P178" t="str">
        <f>MID('paste from garc here'!$C$1,1+(('table for research'!$B178-1)*36+HEX2DEC('table for research'!P$1))*2,2)</f>
        <v>0C</v>
      </c>
      <c r="Q178" t="str">
        <f>MID('paste from garc here'!$C$1,1+(('table for research'!$B178-1)*36+HEX2DEC('table for research'!Q$1))*2,2)</f>
        <v>00</v>
      </c>
      <c r="R178" t="str">
        <f>MID('paste from garc here'!$C$1,1+(('table for research'!$B178-1)*36+HEX2DEC('table for research'!R$1))*2,2)</f>
        <v>01</v>
      </c>
      <c r="S178" t="str">
        <f>MID('paste from garc here'!$C$1,1+(('table for research'!$B178-1)*36+HEX2DEC('table for research'!S$1))*2,2)</f>
        <v>07</v>
      </c>
      <c r="T178" t="str">
        <f>MID('paste from garc here'!$C$1,1+(('table for research'!$B178-1)*36+HEX2DEC('table for research'!T$1))*2,2)</f>
        <v>01</v>
      </c>
      <c r="U178" t="str">
        <f>MID('paste from garc here'!$C$1,1+(('table for research'!$B178-1)*36+HEX2DEC('table for research'!U$1))*2,2)</f>
        <v>1B</v>
      </c>
      <c r="V178" t="str">
        <f>MID('paste from garc here'!$C$1,1+(('table for research'!$B178-1)*36+HEX2DEC('table for research'!V$1))*2,2)</f>
        <v>00</v>
      </c>
      <c r="W178" t="str">
        <f>MID('paste from garc here'!$C$1,1+(('table for research'!$B178-1)*36+HEX2DEC('table for research'!W$1))*2,2)</f>
        <v>00</v>
      </c>
      <c r="X178" t="str">
        <f>MID('paste from garc here'!$C$1,1+(('table for research'!$B178-1)*36+HEX2DEC('table for research'!X$1))*2,2)</f>
        <v>00</v>
      </c>
      <c r="Y178" t="str">
        <f>MID('paste from garc here'!$C$1,1+(('table for research'!$B178-1)*36+HEX2DEC('table for research'!Y$1))*2,2)</f>
        <v>00</v>
      </c>
      <c r="Z178" t="str">
        <f>MID('paste from garc here'!$C$1,1+(('table for research'!$B178-1)*36+HEX2DEC('table for research'!Z$1))*2,2)</f>
        <v>00</v>
      </c>
      <c r="AA178" t="str">
        <f>MID('paste from garc here'!$C$1,1+(('table for research'!$B178-1)*36+HEX2DEC('table for research'!AA$1))*2,2)</f>
        <v>00</v>
      </c>
      <c r="AB178" t="str">
        <f>MID('paste from garc here'!$C$1,1+(('table for research'!$B178-1)*36+HEX2DEC('table for research'!AB$1))*2,2)</f>
        <v>00</v>
      </c>
      <c r="AC178" t="str">
        <f>MID('paste from garc here'!$C$1,1+(('table for research'!$B178-1)*36+HEX2DEC('table for research'!AC$1))*2,2)</f>
        <v>00</v>
      </c>
      <c r="AD178" t="str">
        <f>MID('paste from garc here'!$C$1,1+(('table for research'!$B178-1)*36+HEX2DEC('table for research'!AD$1))*2,2)</f>
        <v>00</v>
      </c>
      <c r="AE178" t="str">
        <f>MID('paste from garc here'!$C$1,1+(('table for research'!$B178-1)*36+HEX2DEC('table for research'!AE$1))*2,2)</f>
        <v>00</v>
      </c>
      <c r="AF178" t="str">
        <f>MID('paste from garc here'!$C$1,1+(('table for research'!$B178-1)*36+HEX2DEC('table for research'!AF$1))*2,2)</f>
        <v>00</v>
      </c>
      <c r="AG178" t="str">
        <f>MID('paste from garc here'!$C$1,1+(('table for research'!$B178-1)*36+HEX2DEC('table for research'!AG$1))*2,2)</f>
        <v>00</v>
      </c>
      <c r="AH178" t="str">
        <f>MID('paste from garc here'!$C$1,1+(('table for research'!$B178-1)*36+HEX2DEC('table for research'!AH$1))*2,2)</f>
        <v>00</v>
      </c>
      <c r="AI178" t="str">
        <f>MID('paste from garc here'!$C$1,1+(('table for research'!$B178-1)*36+HEX2DEC('table for research'!AI$1))*2,2)</f>
        <v>00</v>
      </c>
      <c r="AJ178" t="str">
        <f>MID('paste from garc here'!$C$1,1+(('table for research'!$B178-1)*36+HEX2DEC('table for research'!AJ$1))*2,2)</f>
        <v>00</v>
      </c>
      <c r="AK178" t="str">
        <f>MID('paste from garc here'!$C$1,1+(('table for research'!$B178-1)*36+HEX2DEC('table for research'!AK$1))*2,2)</f>
        <v>00</v>
      </c>
      <c r="AL178" t="str">
        <f>MID('paste from garc here'!$C$1,1+(('table for research'!$B178-1)*36+HEX2DEC('table for research'!AL$1))*2,2)</f>
        <v>00</v>
      </c>
      <c r="AM178" t="str">
        <f>MID('paste from garc here'!$C$1,1+(('table for research'!$B178-1)*36+HEX2DEC('table for research'!AM$1))*2,2)</f>
        <v>00</v>
      </c>
      <c r="AN178" t="str">
        <f>MID('paste from garc here'!$C$1,1+(('table for research'!$B178-1)*36+HEX2DEC('table for research'!AN$1))*2,2)</f>
        <v>00</v>
      </c>
      <c r="AO178" t="str">
        <f>MID('paste from garc here'!$C$1,1+(('table for research'!$B178-1)*36+HEX2DEC('table for research'!AO$1))*2,2)</f>
        <v>00</v>
      </c>
    </row>
    <row r="179" spans="1:41" x14ac:dyDescent="0.4">
      <c r="A179" t="s">
        <v>182</v>
      </c>
      <c r="B179">
        <f>B178+1</f>
        <v>177</v>
      </c>
      <c r="C179" t="str">
        <f>MID('paste from garc here'!$C$1,1+(('table for research'!$B179-1)*36+HEX2DEC('table for research'!C$1))*2,2)</f>
        <v>02</v>
      </c>
      <c r="D179" t="str">
        <f>MID('paste from garc here'!$C$1,1+(('table for research'!$B179-1)*36+HEX2DEC('table for research'!D$1))*2,2)</f>
        <v>00</v>
      </c>
      <c r="E179" t="str">
        <f>MID('paste from garc here'!$C$1,1+(('table for research'!$B179-1)*36+HEX2DEC('table for research'!E$1))*2,2)</f>
        <v>00</v>
      </c>
      <c r="F179" t="str">
        <f>MID('paste from garc here'!$C$1,1+(('table for research'!$B179-1)*36+HEX2DEC('table for research'!F$1))*2,2)</f>
        <v>00</v>
      </c>
      <c r="G179" t="str">
        <f>MID('paste from garc here'!$C$1,1+(('table for research'!$B179-1)*36+HEX2DEC('table for research'!G$1))*2,2)</f>
        <v>00</v>
      </c>
      <c r="H179" t="str">
        <f>MID('paste from garc here'!$C$1,1+(('table for research'!$B179-1)*36+HEX2DEC('table for research'!H$1))*2,2)</f>
        <v>00</v>
      </c>
      <c r="I179" t="str">
        <f>MID('paste from garc here'!$C$1,1+(('table for research'!$B179-1)*36+HEX2DEC('table for research'!I$1))*2,2)</f>
        <v>0A</v>
      </c>
      <c r="J179" t="str">
        <f>MID('paste from garc here'!$C$1,1+(('table for research'!$B179-1)*36+HEX2DEC('table for research'!J$1))*2,2)</f>
        <v>5A</v>
      </c>
      <c r="K179" t="str">
        <f>DEC2HEX(_xlfn.BITAND(HEX2DEC(MID('paste from garc here'!$C$1,1+(('table for research'!$B179-1)*36+HEX2DEC(8))*2,2)),31),2)</f>
        <v>07</v>
      </c>
      <c r="L179" t="str">
        <f>DEC2HEX(_xlfn.BITAND(HEX2DEC(MID('paste from garc here'!$C$1,1+(('table for research'!$B179-1)*36+HEX2DEC(8))*2,2)),32),2)</f>
        <v>00</v>
      </c>
      <c r="M179" t="str">
        <f>DEC2HEX(_xlfn.BITAND(HEX2DEC(MID('paste from garc here'!$C$1,1+(('table for research'!$B179-1)*36+HEX2DEC(8))*2,2)),64),2)</f>
        <v>00</v>
      </c>
      <c r="N179" t="str">
        <f>DEC2HEX(_xlfn.BITRSHIFT(_xlfn.BITAND(HEX2DEC(MID('paste from garc here'!$C$1,1+(('table for research'!$B179-1)*36+HEX2DEC(9))*2,2)&amp;MID('paste from garc here'!$C$1,1+(('table for research'!$B179-1)*36+HEX2DEC(8))*2,2)),1920),7),2)</f>
        <v>03</v>
      </c>
      <c r="O179" t="str">
        <f>DEC2HEX(_xlfn.BITRSHIFT(HEX2DEC(MID('paste from garc here'!$C$1,1+(('table for research'!$B179-1)*36+HEX2DEC(9))*2,2)&amp;MID('paste from garc here'!$C$1,1+(('table for research'!$B179-1)*36+HEX2DEC(8))*2,2)),11),2)</f>
        <v>00</v>
      </c>
      <c r="P179" t="str">
        <f>MID('paste from garc here'!$C$1,1+(('table for research'!$B179-1)*36+HEX2DEC('table for research'!P$1))*2,2)</f>
        <v>0C</v>
      </c>
      <c r="Q179" t="str">
        <f>MID('paste from garc here'!$C$1,1+(('table for research'!$B179-1)*36+HEX2DEC('table for research'!Q$1))*2,2)</f>
        <v>00</v>
      </c>
      <c r="R179" t="str">
        <f>MID('paste from garc here'!$C$1,1+(('table for research'!$B179-1)*36+HEX2DEC('table for research'!R$1))*2,2)</f>
        <v>01</v>
      </c>
      <c r="S179" t="str">
        <f>MID('paste from garc here'!$C$1,1+(('table for research'!$B179-1)*36+HEX2DEC('table for research'!S$1))*2,2)</f>
        <v>07</v>
      </c>
      <c r="T179" t="str">
        <f>MID('paste from garc here'!$C$1,1+(('table for research'!$B179-1)*36+HEX2DEC('table for research'!T$1))*2,2)</f>
        <v>01</v>
      </c>
      <c r="U179" t="str">
        <f>MID('paste from garc here'!$C$1,1+(('table for research'!$B179-1)*36+HEX2DEC('table for research'!U$1))*2,2)</f>
        <v>1C</v>
      </c>
      <c r="V179" t="str">
        <f>MID('paste from garc here'!$C$1,1+(('table for research'!$B179-1)*36+HEX2DEC('table for research'!V$1))*2,2)</f>
        <v>00</v>
      </c>
      <c r="W179" t="str">
        <f>MID('paste from garc here'!$C$1,1+(('table for research'!$B179-1)*36+HEX2DEC('table for research'!W$1))*2,2)</f>
        <v>00</v>
      </c>
      <c r="X179" t="str">
        <f>MID('paste from garc here'!$C$1,1+(('table for research'!$B179-1)*36+HEX2DEC('table for research'!X$1))*2,2)</f>
        <v>00</v>
      </c>
      <c r="Y179" t="str">
        <f>MID('paste from garc here'!$C$1,1+(('table for research'!$B179-1)*36+HEX2DEC('table for research'!Y$1))*2,2)</f>
        <v>00</v>
      </c>
      <c r="Z179" t="str">
        <f>MID('paste from garc here'!$C$1,1+(('table for research'!$B179-1)*36+HEX2DEC('table for research'!Z$1))*2,2)</f>
        <v>00</v>
      </c>
      <c r="AA179" t="str">
        <f>MID('paste from garc here'!$C$1,1+(('table for research'!$B179-1)*36+HEX2DEC('table for research'!AA$1))*2,2)</f>
        <v>00</v>
      </c>
      <c r="AB179" t="str">
        <f>MID('paste from garc here'!$C$1,1+(('table for research'!$B179-1)*36+HEX2DEC('table for research'!AB$1))*2,2)</f>
        <v>00</v>
      </c>
      <c r="AC179" t="str">
        <f>MID('paste from garc here'!$C$1,1+(('table for research'!$B179-1)*36+HEX2DEC('table for research'!AC$1))*2,2)</f>
        <v>00</v>
      </c>
      <c r="AD179" t="str">
        <f>MID('paste from garc here'!$C$1,1+(('table for research'!$B179-1)*36+HEX2DEC('table for research'!AD$1))*2,2)</f>
        <v>00</v>
      </c>
      <c r="AE179" t="str">
        <f>MID('paste from garc here'!$C$1,1+(('table for research'!$B179-1)*36+HEX2DEC('table for research'!AE$1))*2,2)</f>
        <v>00</v>
      </c>
      <c r="AF179" t="str">
        <f>MID('paste from garc here'!$C$1,1+(('table for research'!$B179-1)*36+HEX2DEC('table for research'!AF$1))*2,2)</f>
        <v>00</v>
      </c>
      <c r="AG179" t="str">
        <f>MID('paste from garc here'!$C$1,1+(('table for research'!$B179-1)*36+HEX2DEC('table for research'!AG$1))*2,2)</f>
        <v>00</v>
      </c>
      <c r="AH179" t="str">
        <f>MID('paste from garc here'!$C$1,1+(('table for research'!$B179-1)*36+HEX2DEC('table for research'!AH$1))*2,2)</f>
        <v>00</v>
      </c>
      <c r="AI179" t="str">
        <f>MID('paste from garc here'!$C$1,1+(('table for research'!$B179-1)*36+HEX2DEC('table for research'!AI$1))*2,2)</f>
        <v>00</v>
      </c>
      <c r="AJ179" t="str">
        <f>MID('paste from garc here'!$C$1,1+(('table for research'!$B179-1)*36+HEX2DEC('table for research'!AJ$1))*2,2)</f>
        <v>00</v>
      </c>
      <c r="AK179" t="str">
        <f>MID('paste from garc here'!$C$1,1+(('table for research'!$B179-1)*36+HEX2DEC('table for research'!AK$1))*2,2)</f>
        <v>00</v>
      </c>
      <c r="AL179" t="str">
        <f>MID('paste from garc here'!$C$1,1+(('table for research'!$B179-1)*36+HEX2DEC('table for research'!AL$1))*2,2)</f>
        <v>00</v>
      </c>
      <c r="AM179" t="str">
        <f>MID('paste from garc here'!$C$1,1+(('table for research'!$B179-1)*36+HEX2DEC('table for research'!AM$1))*2,2)</f>
        <v>00</v>
      </c>
      <c r="AN179" t="str">
        <f>MID('paste from garc here'!$C$1,1+(('table for research'!$B179-1)*36+HEX2DEC('table for research'!AN$1))*2,2)</f>
        <v>00</v>
      </c>
      <c r="AO179" t="str">
        <f>MID('paste from garc here'!$C$1,1+(('table for research'!$B179-1)*36+HEX2DEC('table for research'!AO$1))*2,2)</f>
        <v>00</v>
      </c>
    </row>
    <row r="180" spans="1:41" x14ac:dyDescent="0.4">
      <c r="A180" t="s">
        <v>183</v>
      </c>
      <c r="B180">
        <f>B179+1</f>
        <v>178</v>
      </c>
      <c r="C180" t="str">
        <f>MID('paste from garc here'!$C$1,1+(('table for research'!$B180-1)*36+HEX2DEC('table for research'!C$1))*2,2)</f>
        <v>02</v>
      </c>
      <c r="D180" t="str">
        <f>MID('paste from garc here'!$C$1,1+(('table for research'!$B180-1)*36+HEX2DEC('table for research'!D$1))*2,2)</f>
        <v>00</v>
      </c>
      <c r="E180" t="str">
        <f>MID('paste from garc here'!$C$1,1+(('table for research'!$B180-1)*36+HEX2DEC('table for research'!E$1))*2,2)</f>
        <v>00</v>
      </c>
      <c r="F180" t="str">
        <f>MID('paste from garc here'!$C$1,1+(('table for research'!$B180-1)*36+HEX2DEC('table for research'!F$1))*2,2)</f>
        <v>00</v>
      </c>
      <c r="G180" t="str">
        <f>MID('paste from garc here'!$C$1,1+(('table for research'!$B180-1)*36+HEX2DEC('table for research'!G$1))*2,2)</f>
        <v>00</v>
      </c>
      <c r="H180" t="str">
        <f>MID('paste from garc here'!$C$1,1+(('table for research'!$B180-1)*36+HEX2DEC('table for research'!H$1))*2,2)</f>
        <v>00</v>
      </c>
      <c r="I180" t="str">
        <f>MID('paste from garc here'!$C$1,1+(('table for research'!$B180-1)*36+HEX2DEC('table for research'!I$1))*2,2)</f>
        <v>0A</v>
      </c>
      <c r="J180" t="str">
        <f>MID('paste from garc here'!$C$1,1+(('table for research'!$B180-1)*36+HEX2DEC('table for research'!J$1))*2,2)</f>
        <v>5A</v>
      </c>
      <c r="K180" t="str">
        <f>DEC2HEX(_xlfn.BITAND(HEX2DEC(MID('paste from garc here'!$C$1,1+(('table for research'!$B180-1)*36+HEX2DEC(8))*2,2)),31),2)</f>
        <v>0F</v>
      </c>
      <c r="L180" t="str">
        <f>DEC2HEX(_xlfn.BITAND(HEX2DEC(MID('paste from garc here'!$C$1,1+(('table for research'!$B180-1)*36+HEX2DEC(8))*2,2)),32),2)</f>
        <v>00</v>
      </c>
      <c r="M180" t="str">
        <f>DEC2HEX(_xlfn.BITAND(HEX2DEC(MID('paste from garc here'!$C$1,1+(('table for research'!$B180-1)*36+HEX2DEC(8))*2,2)),64),2)</f>
        <v>00</v>
      </c>
      <c r="N180" t="str">
        <f>DEC2HEX(_xlfn.BITRSHIFT(_xlfn.BITAND(HEX2DEC(MID('paste from garc here'!$C$1,1+(('table for research'!$B180-1)*36+HEX2DEC(9))*2,2)&amp;MID('paste from garc here'!$C$1,1+(('table for research'!$B180-1)*36+HEX2DEC(8))*2,2)),1920),7),2)</f>
        <v>03</v>
      </c>
      <c r="O180" t="str">
        <f>DEC2HEX(_xlfn.BITRSHIFT(HEX2DEC(MID('paste from garc here'!$C$1,1+(('table for research'!$B180-1)*36+HEX2DEC(9))*2,2)&amp;MID('paste from garc here'!$C$1,1+(('table for research'!$B180-1)*36+HEX2DEC(8))*2,2)),11),2)</f>
        <v>00</v>
      </c>
      <c r="P180" t="str">
        <f>MID('paste from garc here'!$C$1,1+(('table for research'!$B180-1)*36+HEX2DEC('table for research'!P$1))*2,2)</f>
        <v>0C</v>
      </c>
      <c r="Q180" t="str">
        <f>MID('paste from garc here'!$C$1,1+(('table for research'!$B180-1)*36+HEX2DEC('table for research'!Q$1))*2,2)</f>
        <v>00</v>
      </c>
      <c r="R180" t="str">
        <f>MID('paste from garc here'!$C$1,1+(('table for research'!$B180-1)*36+HEX2DEC('table for research'!R$1))*2,2)</f>
        <v>01</v>
      </c>
      <c r="S180" t="str">
        <f>MID('paste from garc here'!$C$1,1+(('table for research'!$B180-1)*36+HEX2DEC('table for research'!S$1))*2,2)</f>
        <v>07</v>
      </c>
      <c r="T180" t="str">
        <f>MID('paste from garc here'!$C$1,1+(('table for research'!$B180-1)*36+HEX2DEC('table for research'!T$1))*2,2)</f>
        <v>01</v>
      </c>
      <c r="U180" t="str">
        <f>MID('paste from garc here'!$C$1,1+(('table for research'!$B180-1)*36+HEX2DEC('table for research'!U$1))*2,2)</f>
        <v>1D</v>
      </c>
      <c r="V180" t="str">
        <f>MID('paste from garc here'!$C$1,1+(('table for research'!$B180-1)*36+HEX2DEC('table for research'!V$1))*2,2)</f>
        <v>00</v>
      </c>
      <c r="W180" t="str">
        <f>MID('paste from garc here'!$C$1,1+(('table for research'!$B180-1)*36+HEX2DEC('table for research'!W$1))*2,2)</f>
        <v>00</v>
      </c>
      <c r="X180" t="str">
        <f>MID('paste from garc here'!$C$1,1+(('table for research'!$B180-1)*36+HEX2DEC('table for research'!X$1))*2,2)</f>
        <v>00</v>
      </c>
      <c r="Y180" t="str">
        <f>MID('paste from garc here'!$C$1,1+(('table for research'!$B180-1)*36+HEX2DEC('table for research'!Y$1))*2,2)</f>
        <v>00</v>
      </c>
      <c r="Z180" t="str">
        <f>MID('paste from garc here'!$C$1,1+(('table for research'!$B180-1)*36+HEX2DEC('table for research'!Z$1))*2,2)</f>
        <v>00</v>
      </c>
      <c r="AA180" t="str">
        <f>MID('paste from garc here'!$C$1,1+(('table for research'!$B180-1)*36+HEX2DEC('table for research'!AA$1))*2,2)</f>
        <v>00</v>
      </c>
      <c r="AB180" t="str">
        <f>MID('paste from garc here'!$C$1,1+(('table for research'!$B180-1)*36+HEX2DEC('table for research'!AB$1))*2,2)</f>
        <v>00</v>
      </c>
      <c r="AC180" t="str">
        <f>MID('paste from garc here'!$C$1,1+(('table for research'!$B180-1)*36+HEX2DEC('table for research'!AC$1))*2,2)</f>
        <v>00</v>
      </c>
      <c r="AD180" t="str">
        <f>MID('paste from garc here'!$C$1,1+(('table for research'!$B180-1)*36+HEX2DEC('table for research'!AD$1))*2,2)</f>
        <v>00</v>
      </c>
      <c r="AE180" t="str">
        <f>MID('paste from garc here'!$C$1,1+(('table for research'!$B180-1)*36+HEX2DEC('table for research'!AE$1))*2,2)</f>
        <v>00</v>
      </c>
      <c r="AF180" t="str">
        <f>MID('paste from garc here'!$C$1,1+(('table for research'!$B180-1)*36+HEX2DEC('table for research'!AF$1))*2,2)</f>
        <v>00</v>
      </c>
      <c r="AG180" t="str">
        <f>MID('paste from garc here'!$C$1,1+(('table for research'!$B180-1)*36+HEX2DEC('table for research'!AG$1))*2,2)</f>
        <v>00</v>
      </c>
      <c r="AH180" t="str">
        <f>MID('paste from garc here'!$C$1,1+(('table for research'!$B180-1)*36+HEX2DEC('table for research'!AH$1))*2,2)</f>
        <v>00</v>
      </c>
      <c r="AI180" t="str">
        <f>MID('paste from garc here'!$C$1,1+(('table for research'!$B180-1)*36+HEX2DEC('table for research'!AI$1))*2,2)</f>
        <v>00</v>
      </c>
      <c r="AJ180" t="str">
        <f>MID('paste from garc here'!$C$1,1+(('table for research'!$B180-1)*36+HEX2DEC('table for research'!AJ$1))*2,2)</f>
        <v>00</v>
      </c>
      <c r="AK180" t="str">
        <f>MID('paste from garc here'!$C$1,1+(('table for research'!$B180-1)*36+HEX2DEC('table for research'!AK$1))*2,2)</f>
        <v>00</v>
      </c>
      <c r="AL180" t="str">
        <f>MID('paste from garc here'!$C$1,1+(('table for research'!$B180-1)*36+HEX2DEC('table for research'!AL$1))*2,2)</f>
        <v>00</v>
      </c>
      <c r="AM180" t="str">
        <f>MID('paste from garc here'!$C$1,1+(('table for research'!$B180-1)*36+HEX2DEC('table for research'!AM$1))*2,2)</f>
        <v>00</v>
      </c>
      <c r="AN180" t="str">
        <f>MID('paste from garc here'!$C$1,1+(('table for research'!$B180-1)*36+HEX2DEC('table for research'!AN$1))*2,2)</f>
        <v>00</v>
      </c>
      <c r="AO180" t="str">
        <f>MID('paste from garc here'!$C$1,1+(('table for research'!$B180-1)*36+HEX2DEC('table for research'!AO$1))*2,2)</f>
        <v>00</v>
      </c>
    </row>
    <row r="181" spans="1:41" x14ac:dyDescent="0.4">
      <c r="A181" t="s">
        <v>184</v>
      </c>
      <c r="B181">
        <f>B180+1</f>
        <v>179</v>
      </c>
      <c r="C181" t="str">
        <f>MID('paste from garc here'!$C$1,1+(('table for research'!$B181-1)*36+HEX2DEC('table for research'!C$1))*2,2)</f>
        <v>02</v>
      </c>
      <c r="D181" t="str">
        <f>MID('paste from garc here'!$C$1,1+(('table for research'!$B181-1)*36+HEX2DEC('table for research'!D$1))*2,2)</f>
        <v>00</v>
      </c>
      <c r="E181" t="str">
        <f>MID('paste from garc here'!$C$1,1+(('table for research'!$B181-1)*36+HEX2DEC('table for research'!E$1))*2,2)</f>
        <v>00</v>
      </c>
      <c r="F181" t="str">
        <f>MID('paste from garc here'!$C$1,1+(('table for research'!$B181-1)*36+HEX2DEC('table for research'!F$1))*2,2)</f>
        <v>00</v>
      </c>
      <c r="G181" t="str">
        <f>MID('paste from garc here'!$C$1,1+(('table for research'!$B181-1)*36+HEX2DEC('table for research'!G$1))*2,2)</f>
        <v>00</v>
      </c>
      <c r="H181" t="str">
        <f>MID('paste from garc here'!$C$1,1+(('table for research'!$B181-1)*36+HEX2DEC('table for research'!H$1))*2,2)</f>
        <v>00</v>
      </c>
      <c r="I181" t="str">
        <f>MID('paste from garc here'!$C$1,1+(('table for research'!$B181-1)*36+HEX2DEC('table for research'!I$1))*2,2)</f>
        <v>0A</v>
      </c>
      <c r="J181" t="str">
        <f>MID('paste from garc here'!$C$1,1+(('table for research'!$B181-1)*36+HEX2DEC('table for research'!J$1))*2,2)</f>
        <v>5A</v>
      </c>
      <c r="K181" t="str">
        <f>DEC2HEX(_xlfn.BITAND(HEX2DEC(MID('paste from garc here'!$C$1,1+(('table for research'!$B181-1)*36+HEX2DEC(8))*2,2)),31),2)</f>
        <v>10</v>
      </c>
      <c r="L181" t="str">
        <f>DEC2HEX(_xlfn.BITAND(HEX2DEC(MID('paste from garc here'!$C$1,1+(('table for research'!$B181-1)*36+HEX2DEC(8))*2,2)),32),2)</f>
        <v>00</v>
      </c>
      <c r="M181" t="str">
        <f>DEC2HEX(_xlfn.BITAND(HEX2DEC(MID('paste from garc here'!$C$1,1+(('table for research'!$B181-1)*36+HEX2DEC(8))*2,2)),64),2)</f>
        <v>00</v>
      </c>
      <c r="N181" t="str">
        <f>DEC2HEX(_xlfn.BITRSHIFT(_xlfn.BITAND(HEX2DEC(MID('paste from garc here'!$C$1,1+(('table for research'!$B181-1)*36+HEX2DEC(9))*2,2)&amp;MID('paste from garc here'!$C$1,1+(('table for research'!$B181-1)*36+HEX2DEC(8))*2,2)),1920),7),2)</f>
        <v>03</v>
      </c>
      <c r="O181" t="str">
        <f>DEC2HEX(_xlfn.BITRSHIFT(HEX2DEC(MID('paste from garc here'!$C$1,1+(('table for research'!$B181-1)*36+HEX2DEC(9))*2,2)&amp;MID('paste from garc here'!$C$1,1+(('table for research'!$B181-1)*36+HEX2DEC(8))*2,2)),11),2)</f>
        <v>00</v>
      </c>
      <c r="P181" t="str">
        <f>MID('paste from garc here'!$C$1,1+(('table for research'!$B181-1)*36+HEX2DEC('table for research'!P$1))*2,2)</f>
        <v>0C</v>
      </c>
      <c r="Q181" t="str">
        <f>MID('paste from garc here'!$C$1,1+(('table for research'!$B181-1)*36+HEX2DEC('table for research'!Q$1))*2,2)</f>
        <v>00</v>
      </c>
      <c r="R181" t="str">
        <f>MID('paste from garc here'!$C$1,1+(('table for research'!$B181-1)*36+HEX2DEC('table for research'!R$1))*2,2)</f>
        <v>01</v>
      </c>
      <c r="S181" t="str">
        <f>MID('paste from garc here'!$C$1,1+(('table for research'!$B181-1)*36+HEX2DEC('table for research'!S$1))*2,2)</f>
        <v>07</v>
      </c>
      <c r="T181" t="str">
        <f>MID('paste from garc here'!$C$1,1+(('table for research'!$B181-1)*36+HEX2DEC('table for research'!T$1))*2,2)</f>
        <v>01</v>
      </c>
      <c r="U181" t="str">
        <f>MID('paste from garc here'!$C$1,1+(('table for research'!$B181-1)*36+HEX2DEC('table for research'!U$1))*2,2)</f>
        <v>1E</v>
      </c>
      <c r="V181" t="str">
        <f>MID('paste from garc here'!$C$1,1+(('table for research'!$B181-1)*36+HEX2DEC('table for research'!V$1))*2,2)</f>
        <v>00</v>
      </c>
      <c r="W181" t="str">
        <f>MID('paste from garc here'!$C$1,1+(('table for research'!$B181-1)*36+HEX2DEC('table for research'!W$1))*2,2)</f>
        <v>00</v>
      </c>
      <c r="X181" t="str">
        <f>MID('paste from garc here'!$C$1,1+(('table for research'!$B181-1)*36+HEX2DEC('table for research'!X$1))*2,2)</f>
        <v>00</v>
      </c>
      <c r="Y181" t="str">
        <f>MID('paste from garc here'!$C$1,1+(('table for research'!$B181-1)*36+HEX2DEC('table for research'!Y$1))*2,2)</f>
        <v>00</v>
      </c>
      <c r="Z181" t="str">
        <f>MID('paste from garc here'!$C$1,1+(('table for research'!$B181-1)*36+HEX2DEC('table for research'!Z$1))*2,2)</f>
        <v>00</v>
      </c>
      <c r="AA181" t="str">
        <f>MID('paste from garc here'!$C$1,1+(('table for research'!$B181-1)*36+HEX2DEC('table for research'!AA$1))*2,2)</f>
        <v>00</v>
      </c>
      <c r="AB181" t="str">
        <f>MID('paste from garc here'!$C$1,1+(('table for research'!$B181-1)*36+HEX2DEC('table for research'!AB$1))*2,2)</f>
        <v>00</v>
      </c>
      <c r="AC181" t="str">
        <f>MID('paste from garc here'!$C$1,1+(('table for research'!$B181-1)*36+HEX2DEC('table for research'!AC$1))*2,2)</f>
        <v>00</v>
      </c>
      <c r="AD181" t="str">
        <f>MID('paste from garc here'!$C$1,1+(('table for research'!$B181-1)*36+HEX2DEC('table for research'!AD$1))*2,2)</f>
        <v>00</v>
      </c>
      <c r="AE181" t="str">
        <f>MID('paste from garc here'!$C$1,1+(('table for research'!$B181-1)*36+HEX2DEC('table for research'!AE$1))*2,2)</f>
        <v>00</v>
      </c>
      <c r="AF181" t="str">
        <f>MID('paste from garc here'!$C$1,1+(('table for research'!$B181-1)*36+HEX2DEC('table for research'!AF$1))*2,2)</f>
        <v>00</v>
      </c>
      <c r="AG181" t="str">
        <f>MID('paste from garc here'!$C$1,1+(('table for research'!$B181-1)*36+HEX2DEC('table for research'!AG$1))*2,2)</f>
        <v>00</v>
      </c>
      <c r="AH181" t="str">
        <f>MID('paste from garc here'!$C$1,1+(('table for research'!$B181-1)*36+HEX2DEC('table for research'!AH$1))*2,2)</f>
        <v>00</v>
      </c>
      <c r="AI181" t="str">
        <f>MID('paste from garc here'!$C$1,1+(('table for research'!$B181-1)*36+HEX2DEC('table for research'!AI$1))*2,2)</f>
        <v>00</v>
      </c>
      <c r="AJ181" t="str">
        <f>MID('paste from garc here'!$C$1,1+(('table for research'!$B181-1)*36+HEX2DEC('table for research'!AJ$1))*2,2)</f>
        <v>00</v>
      </c>
      <c r="AK181" t="str">
        <f>MID('paste from garc here'!$C$1,1+(('table for research'!$B181-1)*36+HEX2DEC('table for research'!AK$1))*2,2)</f>
        <v>00</v>
      </c>
      <c r="AL181" t="str">
        <f>MID('paste from garc here'!$C$1,1+(('table for research'!$B181-1)*36+HEX2DEC('table for research'!AL$1))*2,2)</f>
        <v>00</v>
      </c>
      <c r="AM181" t="str">
        <f>MID('paste from garc here'!$C$1,1+(('table for research'!$B181-1)*36+HEX2DEC('table for research'!AM$1))*2,2)</f>
        <v>00</v>
      </c>
      <c r="AN181" t="str">
        <f>MID('paste from garc here'!$C$1,1+(('table for research'!$B181-1)*36+HEX2DEC('table for research'!AN$1))*2,2)</f>
        <v>00</v>
      </c>
      <c r="AO181" t="str">
        <f>MID('paste from garc here'!$C$1,1+(('table for research'!$B181-1)*36+HEX2DEC('table for research'!AO$1))*2,2)</f>
        <v>00</v>
      </c>
    </row>
    <row r="182" spans="1:41" x14ac:dyDescent="0.4">
      <c r="A182" t="s">
        <v>185</v>
      </c>
      <c r="B182">
        <f>B181+1</f>
        <v>180</v>
      </c>
      <c r="C182" t="str">
        <f>MID('paste from garc here'!$C$1,1+(('table for research'!$B182-1)*36+HEX2DEC('table for research'!C$1))*2,2)</f>
        <v>02</v>
      </c>
      <c r="D182" t="str">
        <f>MID('paste from garc here'!$C$1,1+(('table for research'!$B182-1)*36+HEX2DEC('table for research'!D$1))*2,2)</f>
        <v>00</v>
      </c>
      <c r="E182" t="str">
        <f>MID('paste from garc here'!$C$1,1+(('table for research'!$B182-1)*36+HEX2DEC('table for research'!E$1))*2,2)</f>
        <v>00</v>
      </c>
      <c r="F182" t="str">
        <f>MID('paste from garc here'!$C$1,1+(('table for research'!$B182-1)*36+HEX2DEC('table for research'!F$1))*2,2)</f>
        <v>00</v>
      </c>
      <c r="G182" t="str">
        <f>MID('paste from garc here'!$C$1,1+(('table for research'!$B182-1)*36+HEX2DEC('table for research'!G$1))*2,2)</f>
        <v>00</v>
      </c>
      <c r="H182" t="str">
        <f>MID('paste from garc here'!$C$1,1+(('table for research'!$B182-1)*36+HEX2DEC('table for research'!H$1))*2,2)</f>
        <v>00</v>
      </c>
      <c r="I182" t="str">
        <f>MID('paste from garc here'!$C$1,1+(('table for research'!$B182-1)*36+HEX2DEC('table for research'!I$1))*2,2)</f>
        <v>0A</v>
      </c>
      <c r="J182" t="str">
        <f>MID('paste from garc here'!$C$1,1+(('table for research'!$B182-1)*36+HEX2DEC('table for research'!J$1))*2,2)</f>
        <v>5A</v>
      </c>
      <c r="K182" t="str">
        <f>DEC2HEX(_xlfn.BITAND(HEX2DEC(MID('paste from garc here'!$C$1,1+(('table for research'!$B182-1)*36+HEX2DEC(8))*2,2)),31),2)</f>
        <v>08</v>
      </c>
      <c r="L182" t="str">
        <f>DEC2HEX(_xlfn.BITAND(HEX2DEC(MID('paste from garc here'!$C$1,1+(('table for research'!$B182-1)*36+HEX2DEC(8))*2,2)),32),2)</f>
        <v>00</v>
      </c>
      <c r="M182" t="str">
        <f>DEC2HEX(_xlfn.BITAND(HEX2DEC(MID('paste from garc here'!$C$1,1+(('table for research'!$B182-1)*36+HEX2DEC(8))*2,2)),64),2)</f>
        <v>00</v>
      </c>
      <c r="N182" t="str">
        <f>DEC2HEX(_xlfn.BITRSHIFT(_xlfn.BITAND(HEX2DEC(MID('paste from garc here'!$C$1,1+(('table for research'!$B182-1)*36+HEX2DEC(9))*2,2)&amp;MID('paste from garc here'!$C$1,1+(('table for research'!$B182-1)*36+HEX2DEC(8))*2,2)),1920),7),2)</f>
        <v>03</v>
      </c>
      <c r="O182" t="str">
        <f>DEC2HEX(_xlfn.BITRSHIFT(HEX2DEC(MID('paste from garc here'!$C$1,1+(('table for research'!$B182-1)*36+HEX2DEC(9))*2,2)&amp;MID('paste from garc here'!$C$1,1+(('table for research'!$B182-1)*36+HEX2DEC(8))*2,2)),11),2)</f>
        <v>00</v>
      </c>
      <c r="P182" t="str">
        <f>MID('paste from garc here'!$C$1,1+(('table for research'!$B182-1)*36+HEX2DEC('table for research'!P$1))*2,2)</f>
        <v>0C</v>
      </c>
      <c r="Q182" t="str">
        <f>MID('paste from garc here'!$C$1,1+(('table for research'!$B182-1)*36+HEX2DEC('table for research'!Q$1))*2,2)</f>
        <v>00</v>
      </c>
      <c r="R182" t="str">
        <f>MID('paste from garc here'!$C$1,1+(('table for research'!$B182-1)*36+HEX2DEC('table for research'!R$1))*2,2)</f>
        <v>01</v>
      </c>
      <c r="S182" t="str">
        <f>MID('paste from garc here'!$C$1,1+(('table for research'!$B182-1)*36+HEX2DEC('table for research'!S$1))*2,2)</f>
        <v>07</v>
      </c>
      <c r="T182" t="str">
        <f>MID('paste from garc here'!$C$1,1+(('table for research'!$B182-1)*36+HEX2DEC('table for research'!T$1))*2,2)</f>
        <v>01</v>
      </c>
      <c r="U182" t="str">
        <f>MID('paste from garc here'!$C$1,1+(('table for research'!$B182-1)*36+HEX2DEC('table for research'!U$1))*2,2)</f>
        <v>1F</v>
      </c>
      <c r="V182" t="str">
        <f>MID('paste from garc here'!$C$1,1+(('table for research'!$B182-1)*36+HEX2DEC('table for research'!V$1))*2,2)</f>
        <v>00</v>
      </c>
      <c r="W182" t="str">
        <f>MID('paste from garc here'!$C$1,1+(('table for research'!$B182-1)*36+HEX2DEC('table for research'!W$1))*2,2)</f>
        <v>00</v>
      </c>
      <c r="X182" t="str">
        <f>MID('paste from garc here'!$C$1,1+(('table for research'!$B182-1)*36+HEX2DEC('table for research'!X$1))*2,2)</f>
        <v>00</v>
      </c>
      <c r="Y182" t="str">
        <f>MID('paste from garc here'!$C$1,1+(('table for research'!$B182-1)*36+HEX2DEC('table for research'!Y$1))*2,2)</f>
        <v>00</v>
      </c>
      <c r="Z182" t="str">
        <f>MID('paste from garc here'!$C$1,1+(('table for research'!$B182-1)*36+HEX2DEC('table for research'!Z$1))*2,2)</f>
        <v>00</v>
      </c>
      <c r="AA182" t="str">
        <f>MID('paste from garc here'!$C$1,1+(('table for research'!$B182-1)*36+HEX2DEC('table for research'!AA$1))*2,2)</f>
        <v>00</v>
      </c>
      <c r="AB182" t="str">
        <f>MID('paste from garc here'!$C$1,1+(('table for research'!$B182-1)*36+HEX2DEC('table for research'!AB$1))*2,2)</f>
        <v>00</v>
      </c>
      <c r="AC182" t="str">
        <f>MID('paste from garc here'!$C$1,1+(('table for research'!$B182-1)*36+HEX2DEC('table for research'!AC$1))*2,2)</f>
        <v>00</v>
      </c>
      <c r="AD182" t="str">
        <f>MID('paste from garc here'!$C$1,1+(('table for research'!$B182-1)*36+HEX2DEC('table for research'!AD$1))*2,2)</f>
        <v>00</v>
      </c>
      <c r="AE182" t="str">
        <f>MID('paste from garc here'!$C$1,1+(('table for research'!$B182-1)*36+HEX2DEC('table for research'!AE$1))*2,2)</f>
        <v>00</v>
      </c>
      <c r="AF182" t="str">
        <f>MID('paste from garc here'!$C$1,1+(('table for research'!$B182-1)*36+HEX2DEC('table for research'!AF$1))*2,2)</f>
        <v>00</v>
      </c>
      <c r="AG182" t="str">
        <f>MID('paste from garc here'!$C$1,1+(('table for research'!$B182-1)*36+HEX2DEC('table for research'!AG$1))*2,2)</f>
        <v>00</v>
      </c>
      <c r="AH182" t="str">
        <f>MID('paste from garc here'!$C$1,1+(('table for research'!$B182-1)*36+HEX2DEC('table for research'!AH$1))*2,2)</f>
        <v>00</v>
      </c>
      <c r="AI182" t="str">
        <f>MID('paste from garc here'!$C$1,1+(('table for research'!$B182-1)*36+HEX2DEC('table for research'!AI$1))*2,2)</f>
        <v>00</v>
      </c>
      <c r="AJ182" t="str">
        <f>MID('paste from garc here'!$C$1,1+(('table for research'!$B182-1)*36+HEX2DEC('table for research'!AJ$1))*2,2)</f>
        <v>00</v>
      </c>
      <c r="AK182" t="str">
        <f>MID('paste from garc here'!$C$1,1+(('table for research'!$B182-1)*36+HEX2DEC('table for research'!AK$1))*2,2)</f>
        <v>00</v>
      </c>
      <c r="AL182" t="str">
        <f>MID('paste from garc here'!$C$1,1+(('table for research'!$B182-1)*36+HEX2DEC('table for research'!AL$1))*2,2)</f>
        <v>00</v>
      </c>
      <c r="AM182" t="str">
        <f>MID('paste from garc here'!$C$1,1+(('table for research'!$B182-1)*36+HEX2DEC('table for research'!AM$1))*2,2)</f>
        <v>00</v>
      </c>
      <c r="AN182" t="str">
        <f>MID('paste from garc here'!$C$1,1+(('table for research'!$B182-1)*36+HEX2DEC('table for research'!AN$1))*2,2)</f>
        <v>00</v>
      </c>
      <c r="AO182" t="str">
        <f>MID('paste from garc here'!$C$1,1+(('table for research'!$B182-1)*36+HEX2DEC('table for research'!AO$1))*2,2)</f>
        <v>00</v>
      </c>
    </row>
    <row r="183" spans="1:41" x14ac:dyDescent="0.4">
      <c r="A183" t="s">
        <v>186</v>
      </c>
      <c r="B183">
        <f>B182+1</f>
        <v>181</v>
      </c>
      <c r="C183" t="str">
        <f>MID('paste from garc here'!$C$1,1+(('table for research'!$B183-1)*36+HEX2DEC('table for research'!C$1))*2,2)</f>
        <v>02</v>
      </c>
      <c r="D183" t="str">
        <f>MID('paste from garc here'!$C$1,1+(('table for research'!$B183-1)*36+HEX2DEC('table for research'!D$1))*2,2)</f>
        <v>00</v>
      </c>
      <c r="E183" t="str">
        <f>MID('paste from garc here'!$C$1,1+(('table for research'!$B183-1)*36+HEX2DEC('table for research'!E$1))*2,2)</f>
        <v>00</v>
      </c>
      <c r="F183" t="str">
        <f>MID('paste from garc here'!$C$1,1+(('table for research'!$B183-1)*36+HEX2DEC('table for research'!F$1))*2,2)</f>
        <v>00</v>
      </c>
      <c r="G183" t="str">
        <f>MID('paste from garc here'!$C$1,1+(('table for research'!$B183-1)*36+HEX2DEC('table for research'!G$1))*2,2)</f>
        <v>00</v>
      </c>
      <c r="H183" t="str">
        <f>MID('paste from garc here'!$C$1,1+(('table for research'!$B183-1)*36+HEX2DEC('table for research'!H$1))*2,2)</f>
        <v>00</v>
      </c>
      <c r="I183" t="str">
        <f>MID('paste from garc here'!$C$1,1+(('table for research'!$B183-1)*36+HEX2DEC('table for research'!I$1))*2,2)</f>
        <v>0A</v>
      </c>
      <c r="J183" t="str">
        <f>MID('paste from garc here'!$C$1,1+(('table for research'!$B183-1)*36+HEX2DEC('table for research'!J$1))*2,2)</f>
        <v>64</v>
      </c>
      <c r="K183" t="str">
        <f>DEC2HEX(_xlfn.BITAND(HEX2DEC(MID('paste from garc here'!$C$1,1+(('table for research'!$B183-1)*36+HEX2DEC(8))*2,2)),31),2)</f>
        <v>09</v>
      </c>
      <c r="L183" t="str">
        <f>DEC2HEX(_xlfn.BITAND(HEX2DEC(MID('paste from garc here'!$C$1,1+(('table for research'!$B183-1)*36+HEX2DEC(8))*2,2)),32),2)</f>
        <v>00</v>
      </c>
      <c r="M183" t="str">
        <f>DEC2HEX(_xlfn.BITAND(HEX2DEC(MID('paste from garc here'!$C$1,1+(('table for research'!$B183-1)*36+HEX2DEC(8))*2,2)),64),2)</f>
        <v>00</v>
      </c>
      <c r="N183" t="str">
        <f>DEC2HEX(_xlfn.BITRSHIFT(_xlfn.BITAND(HEX2DEC(MID('paste from garc here'!$C$1,1+(('table for research'!$B183-1)*36+HEX2DEC(9))*2,2)&amp;MID('paste from garc here'!$C$1,1+(('table for research'!$B183-1)*36+HEX2DEC(8))*2,2)),1920),7),2)</f>
        <v>03</v>
      </c>
      <c r="O183" t="str">
        <f>DEC2HEX(_xlfn.BITRSHIFT(HEX2DEC(MID('paste from garc here'!$C$1,1+(('table for research'!$B183-1)*36+HEX2DEC(9))*2,2)&amp;MID('paste from garc here'!$C$1,1+(('table for research'!$B183-1)*36+HEX2DEC(8))*2,2)),11),2)</f>
        <v>00</v>
      </c>
      <c r="P183" t="str">
        <f>MID('paste from garc here'!$C$1,1+(('table for research'!$B183-1)*36+HEX2DEC('table for research'!P$1))*2,2)</f>
        <v>0C</v>
      </c>
      <c r="Q183" t="str">
        <f>MID('paste from garc here'!$C$1,1+(('table for research'!$B183-1)*36+HEX2DEC('table for research'!Q$1))*2,2)</f>
        <v>00</v>
      </c>
      <c r="R183" t="str">
        <f>MID('paste from garc here'!$C$1,1+(('table for research'!$B183-1)*36+HEX2DEC('table for research'!R$1))*2,2)</f>
        <v>01</v>
      </c>
      <c r="S183" t="str">
        <f>MID('paste from garc here'!$C$1,1+(('table for research'!$B183-1)*36+HEX2DEC('table for research'!S$1))*2,2)</f>
        <v>07</v>
      </c>
      <c r="T183" t="str">
        <f>MID('paste from garc here'!$C$1,1+(('table for research'!$B183-1)*36+HEX2DEC('table for research'!T$1))*2,2)</f>
        <v>01</v>
      </c>
      <c r="U183" t="str">
        <f>MID('paste from garc here'!$C$1,1+(('table for research'!$B183-1)*36+HEX2DEC('table for research'!U$1))*2,2)</f>
        <v>20</v>
      </c>
      <c r="V183" t="str">
        <f>MID('paste from garc here'!$C$1,1+(('table for research'!$B183-1)*36+HEX2DEC('table for research'!V$1))*2,2)</f>
        <v>00</v>
      </c>
      <c r="W183" t="str">
        <f>MID('paste from garc here'!$C$1,1+(('table for research'!$B183-1)*36+HEX2DEC('table for research'!W$1))*2,2)</f>
        <v>00</v>
      </c>
      <c r="X183" t="str">
        <f>MID('paste from garc here'!$C$1,1+(('table for research'!$B183-1)*36+HEX2DEC('table for research'!X$1))*2,2)</f>
        <v>00</v>
      </c>
      <c r="Y183" t="str">
        <f>MID('paste from garc here'!$C$1,1+(('table for research'!$B183-1)*36+HEX2DEC('table for research'!Y$1))*2,2)</f>
        <v>00</v>
      </c>
      <c r="Z183" t="str">
        <f>MID('paste from garc here'!$C$1,1+(('table for research'!$B183-1)*36+HEX2DEC('table for research'!Z$1))*2,2)</f>
        <v>00</v>
      </c>
      <c r="AA183" t="str">
        <f>MID('paste from garc here'!$C$1,1+(('table for research'!$B183-1)*36+HEX2DEC('table for research'!AA$1))*2,2)</f>
        <v>00</v>
      </c>
      <c r="AB183" t="str">
        <f>MID('paste from garc here'!$C$1,1+(('table for research'!$B183-1)*36+HEX2DEC('table for research'!AB$1))*2,2)</f>
        <v>00</v>
      </c>
      <c r="AC183" t="str">
        <f>MID('paste from garc here'!$C$1,1+(('table for research'!$B183-1)*36+HEX2DEC('table for research'!AC$1))*2,2)</f>
        <v>00</v>
      </c>
      <c r="AD183" t="str">
        <f>MID('paste from garc here'!$C$1,1+(('table for research'!$B183-1)*36+HEX2DEC('table for research'!AD$1))*2,2)</f>
        <v>00</v>
      </c>
      <c r="AE183" t="str">
        <f>MID('paste from garc here'!$C$1,1+(('table for research'!$B183-1)*36+HEX2DEC('table for research'!AE$1))*2,2)</f>
        <v>00</v>
      </c>
      <c r="AF183" t="str">
        <f>MID('paste from garc here'!$C$1,1+(('table for research'!$B183-1)*36+HEX2DEC('table for research'!AF$1))*2,2)</f>
        <v>00</v>
      </c>
      <c r="AG183" t="str">
        <f>MID('paste from garc here'!$C$1,1+(('table for research'!$B183-1)*36+HEX2DEC('table for research'!AG$1))*2,2)</f>
        <v>00</v>
      </c>
      <c r="AH183" t="str">
        <f>MID('paste from garc here'!$C$1,1+(('table for research'!$B183-1)*36+HEX2DEC('table for research'!AH$1))*2,2)</f>
        <v>00</v>
      </c>
      <c r="AI183" t="str">
        <f>MID('paste from garc here'!$C$1,1+(('table for research'!$B183-1)*36+HEX2DEC('table for research'!AI$1))*2,2)</f>
        <v>00</v>
      </c>
      <c r="AJ183" t="str">
        <f>MID('paste from garc here'!$C$1,1+(('table for research'!$B183-1)*36+HEX2DEC('table for research'!AJ$1))*2,2)</f>
        <v>00</v>
      </c>
      <c r="AK183" t="str">
        <f>MID('paste from garc here'!$C$1,1+(('table for research'!$B183-1)*36+HEX2DEC('table for research'!AK$1))*2,2)</f>
        <v>00</v>
      </c>
      <c r="AL183" t="str">
        <f>MID('paste from garc here'!$C$1,1+(('table for research'!$B183-1)*36+HEX2DEC('table for research'!AL$1))*2,2)</f>
        <v>00</v>
      </c>
      <c r="AM183" t="str">
        <f>MID('paste from garc here'!$C$1,1+(('table for research'!$B183-1)*36+HEX2DEC('table for research'!AM$1))*2,2)</f>
        <v>00</v>
      </c>
      <c r="AN183" t="str">
        <f>MID('paste from garc here'!$C$1,1+(('table for research'!$B183-1)*36+HEX2DEC('table for research'!AN$1))*2,2)</f>
        <v>00</v>
      </c>
      <c r="AO183" t="str">
        <f>MID('paste from garc here'!$C$1,1+(('table for research'!$B183-1)*36+HEX2DEC('table for research'!AO$1))*2,2)</f>
        <v>00</v>
      </c>
    </row>
    <row r="184" spans="1:41" x14ac:dyDescent="0.4">
      <c r="A184" t="s">
        <v>187</v>
      </c>
      <c r="B184">
        <f>B183+1</f>
        <v>182</v>
      </c>
      <c r="C184" t="str">
        <f>MID('paste from garc here'!$C$1,1+(('table for research'!$B184-1)*36+HEX2DEC('table for research'!C$1))*2,2)</f>
        <v>02</v>
      </c>
      <c r="D184" t="str">
        <f>MID('paste from garc here'!$C$1,1+(('table for research'!$B184-1)*36+HEX2DEC('table for research'!D$1))*2,2)</f>
        <v>00</v>
      </c>
      <c r="E184" t="str">
        <f>MID('paste from garc here'!$C$1,1+(('table for research'!$B184-1)*36+HEX2DEC('table for research'!E$1))*2,2)</f>
        <v>00</v>
      </c>
      <c r="F184" t="str">
        <f>MID('paste from garc here'!$C$1,1+(('table for research'!$B184-1)*36+HEX2DEC('table for research'!F$1))*2,2)</f>
        <v>00</v>
      </c>
      <c r="G184" t="str">
        <f>MID('paste from garc here'!$C$1,1+(('table for research'!$B184-1)*36+HEX2DEC('table for research'!G$1))*2,2)</f>
        <v>00</v>
      </c>
      <c r="H184" t="str">
        <f>MID('paste from garc here'!$C$1,1+(('table for research'!$B184-1)*36+HEX2DEC('table for research'!H$1))*2,2)</f>
        <v>00</v>
      </c>
      <c r="I184" t="str">
        <f>MID('paste from garc here'!$C$1,1+(('table for research'!$B184-1)*36+HEX2DEC('table for research'!I$1))*2,2)</f>
        <v>0A</v>
      </c>
      <c r="J184" t="str">
        <f>MID('paste from garc here'!$C$1,1+(('table for research'!$B184-1)*36+HEX2DEC('table for research'!J$1))*2,2)</f>
        <v>64</v>
      </c>
      <c r="K184" t="str">
        <f>DEC2HEX(_xlfn.BITAND(HEX2DEC(MID('paste from garc here'!$C$1,1+(('table for research'!$B184-1)*36+HEX2DEC(8))*2,2)),31),2)</f>
        <v>0A</v>
      </c>
      <c r="L184" t="str">
        <f>DEC2HEX(_xlfn.BITAND(HEX2DEC(MID('paste from garc here'!$C$1,1+(('table for research'!$B184-1)*36+HEX2DEC(8))*2,2)),32),2)</f>
        <v>00</v>
      </c>
      <c r="M184" t="str">
        <f>DEC2HEX(_xlfn.BITAND(HEX2DEC(MID('paste from garc here'!$C$1,1+(('table for research'!$B184-1)*36+HEX2DEC(8))*2,2)),64),2)</f>
        <v>00</v>
      </c>
      <c r="N184" t="str">
        <f>DEC2HEX(_xlfn.BITRSHIFT(_xlfn.BITAND(HEX2DEC(MID('paste from garc here'!$C$1,1+(('table for research'!$B184-1)*36+HEX2DEC(9))*2,2)&amp;MID('paste from garc here'!$C$1,1+(('table for research'!$B184-1)*36+HEX2DEC(8))*2,2)),1920),7),2)</f>
        <v>03</v>
      </c>
      <c r="O184" t="str">
        <f>DEC2HEX(_xlfn.BITRSHIFT(HEX2DEC(MID('paste from garc here'!$C$1,1+(('table for research'!$B184-1)*36+HEX2DEC(9))*2,2)&amp;MID('paste from garc here'!$C$1,1+(('table for research'!$B184-1)*36+HEX2DEC(8))*2,2)),11),2)</f>
        <v>00</v>
      </c>
      <c r="P184" t="str">
        <f>MID('paste from garc here'!$C$1,1+(('table for research'!$B184-1)*36+HEX2DEC('table for research'!P$1))*2,2)</f>
        <v>0C</v>
      </c>
      <c r="Q184" t="str">
        <f>MID('paste from garc here'!$C$1,1+(('table for research'!$B184-1)*36+HEX2DEC('table for research'!Q$1))*2,2)</f>
        <v>00</v>
      </c>
      <c r="R184" t="str">
        <f>MID('paste from garc here'!$C$1,1+(('table for research'!$B184-1)*36+HEX2DEC('table for research'!R$1))*2,2)</f>
        <v>01</v>
      </c>
      <c r="S184" t="str">
        <f>MID('paste from garc here'!$C$1,1+(('table for research'!$B184-1)*36+HEX2DEC('table for research'!S$1))*2,2)</f>
        <v>07</v>
      </c>
      <c r="T184" t="str">
        <f>MID('paste from garc here'!$C$1,1+(('table for research'!$B184-1)*36+HEX2DEC('table for research'!T$1))*2,2)</f>
        <v>01</v>
      </c>
      <c r="U184" t="str">
        <f>MID('paste from garc here'!$C$1,1+(('table for research'!$B184-1)*36+HEX2DEC('table for research'!U$1))*2,2)</f>
        <v>21</v>
      </c>
      <c r="V184" t="str">
        <f>MID('paste from garc here'!$C$1,1+(('table for research'!$B184-1)*36+HEX2DEC('table for research'!V$1))*2,2)</f>
        <v>00</v>
      </c>
      <c r="W184" t="str">
        <f>MID('paste from garc here'!$C$1,1+(('table for research'!$B184-1)*36+HEX2DEC('table for research'!W$1))*2,2)</f>
        <v>00</v>
      </c>
      <c r="X184" t="str">
        <f>MID('paste from garc here'!$C$1,1+(('table for research'!$B184-1)*36+HEX2DEC('table for research'!X$1))*2,2)</f>
        <v>00</v>
      </c>
      <c r="Y184" t="str">
        <f>MID('paste from garc here'!$C$1,1+(('table for research'!$B184-1)*36+HEX2DEC('table for research'!Y$1))*2,2)</f>
        <v>00</v>
      </c>
      <c r="Z184" t="str">
        <f>MID('paste from garc here'!$C$1,1+(('table for research'!$B184-1)*36+HEX2DEC('table for research'!Z$1))*2,2)</f>
        <v>00</v>
      </c>
      <c r="AA184" t="str">
        <f>MID('paste from garc here'!$C$1,1+(('table for research'!$B184-1)*36+HEX2DEC('table for research'!AA$1))*2,2)</f>
        <v>00</v>
      </c>
      <c r="AB184" t="str">
        <f>MID('paste from garc here'!$C$1,1+(('table for research'!$B184-1)*36+HEX2DEC('table for research'!AB$1))*2,2)</f>
        <v>00</v>
      </c>
      <c r="AC184" t="str">
        <f>MID('paste from garc here'!$C$1,1+(('table for research'!$B184-1)*36+HEX2DEC('table for research'!AC$1))*2,2)</f>
        <v>00</v>
      </c>
      <c r="AD184" t="str">
        <f>MID('paste from garc here'!$C$1,1+(('table for research'!$B184-1)*36+HEX2DEC('table for research'!AD$1))*2,2)</f>
        <v>00</v>
      </c>
      <c r="AE184" t="str">
        <f>MID('paste from garc here'!$C$1,1+(('table for research'!$B184-1)*36+HEX2DEC('table for research'!AE$1))*2,2)</f>
        <v>00</v>
      </c>
      <c r="AF184" t="str">
        <f>MID('paste from garc here'!$C$1,1+(('table for research'!$B184-1)*36+HEX2DEC('table for research'!AF$1))*2,2)</f>
        <v>00</v>
      </c>
      <c r="AG184" t="str">
        <f>MID('paste from garc here'!$C$1,1+(('table for research'!$B184-1)*36+HEX2DEC('table for research'!AG$1))*2,2)</f>
        <v>00</v>
      </c>
      <c r="AH184" t="str">
        <f>MID('paste from garc here'!$C$1,1+(('table for research'!$B184-1)*36+HEX2DEC('table for research'!AH$1))*2,2)</f>
        <v>00</v>
      </c>
      <c r="AI184" t="str">
        <f>MID('paste from garc here'!$C$1,1+(('table for research'!$B184-1)*36+HEX2DEC('table for research'!AI$1))*2,2)</f>
        <v>00</v>
      </c>
      <c r="AJ184" t="str">
        <f>MID('paste from garc here'!$C$1,1+(('table for research'!$B184-1)*36+HEX2DEC('table for research'!AJ$1))*2,2)</f>
        <v>00</v>
      </c>
      <c r="AK184" t="str">
        <f>MID('paste from garc here'!$C$1,1+(('table for research'!$B184-1)*36+HEX2DEC('table for research'!AK$1))*2,2)</f>
        <v>00</v>
      </c>
      <c r="AL184" t="str">
        <f>MID('paste from garc here'!$C$1,1+(('table for research'!$B184-1)*36+HEX2DEC('table for research'!AL$1))*2,2)</f>
        <v>00</v>
      </c>
      <c r="AM184" t="str">
        <f>MID('paste from garc here'!$C$1,1+(('table for research'!$B184-1)*36+HEX2DEC('table for research'!AM$1))*2,2)</f>
        <v>00</v>
      </c>
      <c r="AN184" t="str">
        <f>MID('paste from garc here'!$C$1,1+(('table for research'!$B184-1)*36+HEX2DEC('table for research'!AN$1))*2,2)</f>
        <v>00</v>
      </c>
      <c r="AO184" t="str">
        <f>MID('paste from garc here'!$C$1,1+(('table for research'!$B184-1)*36+HEX2DEC('table for research'!AO$1))*2,2)</f>
        <v>00</v>
      </c>
    </row>
    <row r="185" spans="1:41" x14ac:dyDescent="0.4">
      <c r="A185" t="s">
        <v>188</v>
      </c>
      <c r="B185">
        <f>B184+1</f>
        <v>183</v>
      </c>
      <c r="C185" t="str">
        <f>MID('paste from garc here'!$C$1,1+(('table for research'!$B185-1)*36+HEX2DEC('table for research'!C$1))*2,2)</f>
        <v>02</v>
      </c>
      <c r="D185" t="str">
        <f>MID('paste from garc here'!$C$1,1+(('table for research'!$B185-1)*36+HEX2DEC('table for research'!D$1))*2,2)</f>
        <v>00</v>
      </c>
      <c r="E185" t="str">
        <f>MID('paste from garc here'!$C$1,1+(('table for research'!$B185-1)*36+HEX2DEC('table for research'!E$1))*2,2)</f>
        <v>00</v>
      </c>
      <c r="F185" t="str">
        <f>MID('paste from garc here'!$C$1,1+(('table for research'!$B185-1)*36+HEX2DEC('table for research'!F$1))*2,2)</f>
        <v>00</v>
      </c>
      <c r="G185" t="str">
        <f>MID('paste from garc here'!$C$1,1+(('table for research'!$B185-1)*36+HEX2DEC('table for research'!G$1))*2,2)</f>
        <v>00</v>
      </c>
      <c r="H185" t="str">
        <f>MID('paste from garc here'!$C$1,1+(('table for research'!$B185-1)*36+HEX2DEC('table for research'!H$1))*2,2)</f>
        <v>00</v>
      </c>
      <c r="I185" t="str">
        <f>MID('paste from garc here'!$C$1,1+(('table for research'!$B185-1)*36+HEX2DEC('table for research'!I$1))*2,2)</f>
        <v>0A</v>
      </c>
      <c r="J185" t="str">
        <f>MID('paste from garc here'!$C$1,1+(('table for research'!$B185-1)*36+HEX2DEC('table for research'!J$1))*2,2)</f>
        <v>64</v>
      </c>
      <c r="K185" t="str">
        <f>DEC2HEX(_xlfn.BITAND(HEX2DEC(MID('paste from garc here'!$C$1,1+(('table for research'!$B185-1)*36+HEX2DEC(8))*2,2)),31),2)</f>
        <v>0C</v>
      </c>
      <c r="L185" t="str">
        <f>DEC2HEX(_xlfn.BITAND(HEX2DEC(MID('paste from garc here'!$C$1,1+(('table for research'!$B185-1)*36+HEX2DEC(8))*2,2)),32),2)</f>
        <v>00</v>
      </c>
      <c r="M185" t="str">
        <f>DEC2HEX(_xlfn.BITAND(HEX2DEC(MID('paste from garc here'!$C$1,1+(('table for research'!$B185-1)*36+HEX2DEC(8))*2,2)),64),2)</f>
        <v>00</v>
      </c>
      <c r="N185" t="str">
        <f>DEC2HEX(_xlfn.BITRSHIFT(_xlfn.BITAND(HEX2DEC(MID('paste from garc here'!$C$1,1+(('table for research'!$B185-1)*36+HEX2DEC(9))*2,2)&amp;MID('paste from garc here'!$C$1,1+(('table for research'!$B185-1)*36+HEX2DEC(8))*2,2)),1920),7),2)</f>
        <v>03</v>
      </c>
      <c r="O185" t="str">
        <f>DEC2HEX(_xlfn.BITRSHIFT(HEX2DEC(MID('paste from garc here'!$C$1,1+(('table for research'!$B185-1)*36+HEX2DEC(9))*2,2)&amp;MID('paste from garc here'!$C$1,1+(('table for research'!$B185-1)*36+HEX2DEC(8))*2,2)),11),2)</f>
        <v>00</v>
      </c>
      <c r="P185" t="str">
        <f>MID('paste from garc here'!$C$1,1+(('table for research'!$B185-1)*36+HEX2DEC('table for research'!P$1))*2,2)</f>
        <v>0C</v>
      </c>
      <c r="Q185" t="str">
        <f>MID('paste from garc here'!$C$1,1+(('table for research'!$B185-1)*36+HEX2DEC('table for research'!Q$1))*2,2)</f>
        <v>00</v>
      </c>
      <c r="R185" t="str">
        <f>MID('paste from garc here'!$C$1,1+(('table for research'!$B185-1)*36+HEX2DEC('table for research'!R$1))*2,2)</f>
        <v>01</v>
      </c>
      <c r="S185" t="str">
        <f>MID('paste from garc here'!$C$1,1+(('table for research'!$B185-1)*36+HEX2DEC('table for research'!S$1))*2,2)</f>
        <v>07</v>
      </c>
      <c r="T185" t="str">
        <f>MID('paste from garc here'!$C$1,1+(('table for research'!$B185-1)*36+HEX2DEC('table for research'!T$1))*2,2)</f>
        <v>01</v>
      </c>
      <c r="U185" t="str">
        <f>MID('paste from garc here'!$C$1,1+(('table for research'!$B185-1)*36+HEX2DEC('table for research'!U$1))*2,2)</f>
        <v>22</v>
      </c>
      <c r="V185" t="str">
        <f>MID('paste from garc here'!$C$1,1+(('table for research'!$B185-1)*36+HEX2DEC('table for research'!V$1))*2,2)</f>
        <v>00</v>
      </c>
      <c r="W185" t="str">
        <f>MID('paste from garc here'!$C$1,1+(('table for research'!$B185-1)*36+HEX2DEC('table for research'!W$1))*2,2)</f>
        <v>00</v>
      </c>
      <c r="X185" t="str">
        <f>MID('paste from garc here'!$C$1,1+(('table for research'!$B185-1)*36+HEX2DEC('table for research'!X$1))*2,2)</f>
        <v>00</v>
      </c>
      <c r="Y185" t="str">
        <f>MID('paste from garc here'!$C$1,1+(('table for research'!$B185-1)*36+HEX2DEC('table for research'!Y$1))*2,2)</f>
        <v>00</v>
      </c>
      <c r="Z185" t="str">
        <f>MID('paste from garc here'!$C$1,1+(('table for research'!$B185-1)*36+HEX2DEC('table for research'!Z$1))*2,2)</f>
        <v>00</v>
      </c>
      <c r="AA185" t="str">
        <f>MID('paste from garc here'!$C$1,1+(('table for research'!$B185-1)*36+HEX2DEC('table for research'!AA$1))*2,2)</f>
        <v>00</v>
      </c>
      <c r="AB185" t="str">
        <f>MID('paste from garc here'!$C$1,1+(('table for research'!$B185-1)*36+HEX2DEC('table for research'!AB$1))*2,2)</f>
        <v>00</v>
      </c>
      <c r="AC185" t="str">
        <f>MID('paste from garc here'!$C$1,1+(('table for research'!$B185-1)*36+HEX2DEC('table for research'!AC$1))*2,2)</f>
        <v>00</v>
      </c>
      <c r="AD185" t="str">
        <f>MID('paste from garc here'!$C$1,1+(('table for research'!$B185-1)*36+HEX2DEC('table for research'!AD$1))*2,2)</f>
        <v>00</v>
      </c>
      <c r="AE185" t="str">
        <f>MID('paste from garc here'!$C$1,1+(('table for research'!$B185-1)*36+HEX2DEC('table for research'!AE$1))*2,2)</f>
        <v>00</v>
      </c>
      <c r="AF185" t="str">
        <f>MID('paste from garc here'!$C$1,1+(('table for research'!$B185-1)*36+HEX2DEC('table for research'!AF$1))*2,2)</f>
        <v>00</v>
      </c>
      <c r="AG185" t="str">
        <f>MID('paste from garc here'!$C$1,1+(('table for research'!$B185-1)*36+HEX2DEC('table for research'!AG$1))*2,2)</f>
        <v>00</v>
      </c>
      <c r="AH185" t="str">
        <f>MID('paste from garc here'!$C$1,1+(('table for research'!$B185-1)*36+HEX2DEC('table for research'!AH$1))*2,2)</f>
        <v>00</v>
      </c>
      <c r="AI185" t="str">
        <f>MID('paste from garc here'!$C$1,1+(('table for research'!$B185-1)*36+HEX2DEC('table for research'!AI$1))*2,2)</f>
        <v>00</v>
      </c>
      <c r="AJ185" t="str">
        <f>MID('paste from garc here'!$C$1,1+(('table for research'!$B185-1)*36+HEX2DEC('table for research'!AJ$1))*2,2)</f>
        <v>00</v>
      </c>
      <c r="AK185" t="str">
        <f>MID('paste from garc here'!$C$1,1+(('table for research'!$B185-1)*36+HEX2DEC('table for research'!AK$1))*2,2)</f>
        <v>00</v>
      </c>
      <c r="AL185" t="str">
        <f>MID('paste from garc here'!$C$1,1+(('table for research'!$B185-1)*36+HEX2DEC('table for research'!AL$1))*2,2)</f>
        <v>00</v>
      </c>
      <c r="AM185" t="str">
        <f>MID('paste from garc here'!$C$1,1+(('table for research'!$B185-1)*36+HEX2DEC('table for research'!AM$1))*2,2)</f>
        <v>00</v>
      </c>
      <c r="AN185" t="str">
        <f>MID('paste from garc here'!$C$1,1+(('table for research'!$B185-1)*36+HEX2DEC('table for research'!AN$1))*2,2)</f>
        <v>00</v>
      </c>
      <c r="AO185" t="str">
        <f>MID('paste from garc here'!$C$1,1+(('table for research'!$B185-1)*36+HEX2DEC('table for research'!AO$1))*2,2)</f>
        <v>00</v>
      </c>
    </row>
    <row r="186" spans="1:41" x14ac:dyDescent="0.4">
      <c r="A186" t="s">
        <v>189</v>
      </c>
      <c r="B186">
        <f>B185+1</f>
        <v>184</v>
      </c>
      <c r="C186" t="str">
        <f>MID('paste from garc here'!$C$1,1+(('table for research'!$B186-1)*36+HEX2DEC('table for research'!C$1))*2,2)</f>
        <v>02</v>
      </c>
      <c r="D186" t="str">
        <f>MID('paste from garc here'!$C$1,1+(('table for research'!$B186-1)*36+HEX2DEC('table for research'!D$1))*2,2)</f>
        <v>00</v>
      </c>
      <c r="E186" t="str">
        <f>MID('paste from garc here'!$C$1,1+(('table for research'!$B186-1)*36+HEX2DEC('table for research'!E$1))*2,2)</f>
        <v>13</v>
      </c>
      <c r="F186" t="str">
        <f>MID('paste from garc here'!$C$1,1+(('table for research'!$B186-1)*36+HEX2DEC('table for research'!F$1))*2,2)</f>
        <v>00</v>
      </c>
      <c r="G186" t="str">
        <f>MID('paste from garc here'!$C$1,1+(('table for research'!$B186-1)*36+HEX2DEC('table for research'!G$1))*2,2)</f>
        <v>00</v>
      </c>
      <c r="H186" t="str">
        <f>MID('paste from garc here'!$C$1,1+(('table for research'!$B186-1)*36+HEX2DEC('table for research'!H$1))*2,2)</f>
        <v>00</v>
      </c>
      <c r="I186" t="str">
        <f>MID('paste from garc here'!$C$1,1+(('table for research'!$B186-1)*36+HEX2DEC('table for research'!I$1))*2,2)</f>
        <v>0A</v>
      </c>
      <c r="J186" t="str">
        <f>MID('paste from garc here'!$C$1,1+(('table for research'!$B186-1)*36+HEX2DEC('table for research'!J$1))*2,2)</f>
        <v>50</v>
      </c>
      <c r="K186" t="str">
        <f>DEC2HEX(_xlfn.BITAND(HEX2DEC(MID('paste from garc here'!$C$1,1+(('table for research'!$B186-1)*36+HEX2DEC(8))*2,2)),31),2)</f>
        <v>09</v>
      </c>
      <c r="L186" t="str">
        <f>DEC2HEX(_xlfn.BITAND(HEX2DEC(MID('paste from garc here'!$C$1,1+(('table for research'!$B186-1)*36+HEX2DEC(8))*2,2)),32),2)</f>
        <v>00</v>
      </c>
      <c r="M186" t="str">
        <f>DEC2HEX(_xlfn.BITAND(HEX2DEC(MID('paste from garc here'!$C$1,1+(('table for research'!$B186-1)*36+HEX2DEC(8))*2,2)),64),2)</f>
        <v>00</v>
      </c>
      <c r="N186" t="str">
        <f>DEC2HEX(_xlfn.BITRSHIFT(_xlfn.BITAND(HEX2DEC(MID('paste from garc here'!$C$1,1+(('table for research'!$B186-1)*36+HEX2DEC(9))*2,2)&amp;MID('paste from garc here'!$C$1,1+(('table for research'!$B186-1)*36+HEX2DEC(8))*2,2)),1920),7),2)</f>
        <v>03</v>
      </c>
      <c r="O186" t="str">
        <f>DEC2HEX(_xlfn.BITRSHIFT(HEX2DEC(MID('paste from garc here'!$C$1,1+(('table for research'!$B186-1)*36+HEX2DEC(9))*2,2)&amp;MID('paste from garc here'!$C$1,1+(('table for research'!$B186-1)*36+HEX2DEC(8))*2,2)),11),2)</f>
        <v>00</v>
      </c>
      <c r="P186" t="str">
        <f>MID('paste from garc here'!$C$1,1+(('table for research'!$B186-1)*36+HEX2DEC('table for research'!P$1))*2,2)</f>
        <v>0C</v>
      </c>
      <c r="Q186" t="str">
        <f>MID('paste from garc here'!$C$1,1+(('table for research'!$B186-1)*36+HEX2DEC('table for research'!Q$1))*2,2)</f>
        <v>00</v>
      </c>
      <c r="R186" t="str">
        <f>MID('paste from garc here'!$C$1,1+(('table for research'!$B186-1)*36+HEX2DEC('table for research'!R$1))*2,2)</f>
        <v>01</v>
      </c>
      <c r="S186" t="str">
        <f>MID('paste from garc here'!$C$1,1+(('table for research'!$B186-1)*36+HEX2DEC('table for research'!S$1))*2,2)</f>
        <v>07</v>
      </c>
      <c r="T186" t="str">
        <f>MID('paste from garc here'!$C$1,1+(('table for research'!$B186-1)*36+HEX2DEC('table for research'!T$1))*2,2)</f>
        <v>01</v>
      </c>
      <c r="U186" t="str">
        <f>MID('paste from garc here'!$C$1,1+(('table for research'!$B186-1)*36+HEX2DEC('table for research'!U$1))*2,2)</f>
        <v>23</v>
      </c>
      <c r="V186" t="str">
        <f>MID('paste from garc here'!$C$1,1+(('table for research'!$B186-1)*36+HEX2DEC('table for research'!V$1))*2,2)</f>
        <v>00</v>
      </c>
      <c r="W186" t="str">
        <f>MID('paste from garc here'!$C$1,1+(('table for research'!$B186-1)*36+HEX2DEC('table for research'!W$1))*2,2)</f>
        <v>00</v>
      </c>
      <c r="X186" t="str">
        <f>MID('paste from garc here'!$C$1,1+(('table for research'!$B186-1)*36+HEX2DEC('table for research'!X$1))*2,2)</f>
        <v>00</v>
      </c>
      <c r="Y186" t="str">
        <f>MID('paste from garc here'!$C$1,1+(('table for research'!$B186-1)*36+HEX2DEC('table for research'!Y$1))*2,2)</f>
        <v>00</v>
      </c>
      <c r="Z186" t="str">
        <f>MID('paste from garc here'!$C$1,1+(('table for research'!$B186-1)*36+HEX2DEC('table for research'!Z$1))*2,2)</f>
        <v>00</v>
      </c>
      <c r="AA186" t="str">
        <f>MID('paste from garc here'!$C$1,1+(('table for research'!$B186-1)*36+HEX2DEC('table for research'!AA$1))*2,2)</f>
        <v>00</v>
      </c>
      <c r="AB186" t="str">
        <f>MID('paste from garc here'!$C$1,1+(('table for research'!$B186-1)*36+HEX2DEC('table for research'!AB$1))*2,2)</f>
        <v>00</v>
      </c>
      <c r="AC186" t="str">
        <f>MID('paste from garc here'!$C$1,1+(('table for research'!$B186-1)*36+HEX2DEC('table for research'!AC$1))*2,2)</f>
        <v>00</v>
      </c>
      <c r="AD186" t="str">
        <f>MID('paste from garc here'!$C$1,1+(('table for research'!$B186-1)*36+HEX2DEC('table for research'!AD$1))*2,2)</f>
        <v>00</v>
      </c>
      <c r="AE186" t="str">
        <f>MID('paste from garc here'!$C$1,1+(('table for research'!$B186-1)*36+HEX2DEC('table for research'!AE$1))*2,2)</f>
        <v>00</v>
      </c>
      <c r="AF186" t="str">
        <f>MID('paste from garc here'!$C$1,1+(('table for research'!$B186-1)*36+HEX2DEC('table for research'!AF$1))*2,2)</f>
        <v>00</v>
      </c>
      <c r="AG186" t="str">
        <f>MID('paste from garc here'!$C$1,1+(('table for research'!$B186-1)*36+HEX2DEC('table for research'!AG$1))*2,2)</f>
        <v>00</v>
      </c>
      <c r="AH186" t="str">
        <f>MID('paste from garc here'!$C$1,1+(('table for research'!$B186-1)*36+HEX2DEC('table for research'!AH$1))*2,2)</f>
        <v>00</v>
      </c>
      <c r="AI186" t="str">
        <f>MID('paste from garc here'!$C$1,1+(('table for research'!$B186-1)*36+HEX2DEC('table for research'!AI$1))*2,2)</f>
        <v>00</v>
      </c>
      <c r="AJ186" t="str">
        <f>MID('paste from garc here'!$C$1,1+(('table for research'!$B186-1)*36+HEX2DEC('table for research'!AJ$1))*2,2)</f>
        <v>00</v>
      </c>
      <c r="AK186" t="str">
        <f>MID('paste from garc here'!$C$1,1+(('table for research'!$B186-1)*36+HEX2DEC('table for research'!AK$1))*2,2)</f>
        <v>00</v>
      </c>
      <c r="AL186" t="str">
        <f>MID('paste from garc here'!$C$1,1+(('table for research'!$B186-1)*36+HEX2DEC('table for research'!AL$1))*2,2)</f>
        <v>00</v>
      </c>
      <c r="AM186" t="str">
        <f>MID('paste from garc here'!$C$1,1+(('table for research'!$B186-1)*36+HEX2DEC('table for research'!AM$1))*2,2)</f>
        <v>00</v>
      </c>
      <c r="AN186" t="str">
        <f>MID('paste from garc here'!$C$1,1+(('table for research'!$B186-1)*36+HEX2DEC('table for research'!AN$1))*2,2)</f>
        <v>00</v>
      </c>
      <c r="AO186" t="str">
        <f>MID('paste from garc here'!$C$1,1+(('table for research'!$B186-1)*36+HEX2DEC('table for research'!AO$1))*2,2)</f>
        <v>00</v>
      </c>
    </row>
    <row r="187" spans="1:41" x14ac:dyDescent="0.4">
      <c r="A187" t="s">
        <v>190</v>
      </c>
      <c r="B187">
        <f>B186+1</f>
        <v>185</v>
      </c>
      <c r="C187" t="str">
        <f>MID('paste from garc here'!$C$1,1+(('table for research'!$B187-1)*36+HEX2DEC('table for research'!C$1))*2,2)</f>
        <v>02</v>
      </c>
      <c r="D187" t="str">
        <f>MID('paste from garc here'!$C$1,1+(('table for research'!$B187-1)*36+HEX2DEC('table for research'!D$1))*2,2)</f>
        <v>00</v>
      </c>
      <c r="E187" t="str">
        <f>MID('paste from garc here'!$C$1,1+(('table for research'!$B187-1)*36+HEX2DEC('table for research'!E$1))*2,2)</f>
        <v>14</v>
      </c>
      <c r="F187" t="str">
        <f>MID('paste from garc here'!$C$1,1+(('table for research'!$B187-1)*36+HEX2DEC('table for research'!F$1))*2,2)</f>
        <v>00</v>
      </c>
      <c r="G187" t="str">
        <f>MID('paste from garc here'!$C$1,1+(('table for research'!$B187-1)*36+HEX2DEC('table for research'!G$1))*2,2)</f>
        <v>00</v>
      </c>
      <c r="H187" t="str">
        <f>MID('paste from garc here'!$C$1,1+(('table for research'!$B187-1)*36+HEX2DEC('table for research'!H$1))*2,2)</f>
        <v>00</v>
      </c>
      <c r="I187" t="str">
        <f>MID('paste from garc here'!$C$1,1+(('table for research'!$B187-1)*36+HEX2DEC('table for research'!I$1))*2,2)</f>
        <v>0A</v>
      </c>
      <c r="J187" t="str">
        <f>MID('paste from garc here'!$C$1,1+(('table for research'!$B187-1)*36+HEX2DEC('table for research'!J$1))*2,2)</f>
        <v>50</v>
      </c>
      <c r="K187" t="str">
        <f>DEC2HEX(_xlfn.BITAND(HEX2DEC(MID('paste from garc here'!$C$1,1+(('table for research'!$B187-1)*36+HEX2DEC(8))*2,2)),31),2)</f>
        <v>0A</v>
      </c>
      <c r="L187" t="str">
        <f>DEC2HEX(_xlfn.BITAND(HEX2DEC(MID('paste from garc here'!$C$1,1+(('table for research'!$B187-1)*36+HEX2DEC(8))*2,2)),32),2)</f>
        <v>00</v>
      </c>
      <c r="M187" t="str">
        <f>DEC2HEX(_xlfn.BITAND(HEX2DEC(MID('paste from garc here'!$C$1,1+(('table for research'!$B187-1)*36+HEX2DEC(8))*2,2)),64),2)</f>
        <v>00</v>
      </c>
      <c r="N187" t="str">
        <f>DEC2HEX(_xlfn.BITRSHIFT(_xlfn.BITAND(HEX2DEC(MID('paste from garc here'!$C$1,1+(('table for research'!$B187-1)*36+HEX2DEC(9))*2,2)&amp;MID('paste from garc here'!$C$1,1+(('table for research'!$B187-1)*36+HEX2DEC(8))*2,2)),1920),7),2)</f>
        <v>03</v>
      </c>
      <c r="O187" t="str">
        <f>DEC2HEX(_xlfn.BITRSHIFT(HEX2DEC(MID('paste from garc here'!$C$1,1+(('table for research'!$B187-1)*36+HEX2DEC(9))*2,2)&amp;MID('paste from garc here'!$C$1,1+(('table for research'!$B187-1)*36+HEX2DEC(8))*2,2)),11),2)</f>
        <v>00</v>
      </c>
      <c r="P187" t="str">
        <f>MID('paste from garc here'!$C$1,1+(('table for research'!$B187-1)*36+HEX2DEC('table for research'!P$1))*2,2)</f>
        <v>0C</v>
      </c>
      <c r="Q187" t="str">
        <f>MID('paste from garc here'!$C$1,1+(('table for research'!$B187-1)*36+HEX2DEC('table for research'!Q$1))*2,2)</f>
        <v>00</v>
      </c>
      <c r="R187" t="str">
        <f>MID('paste from garc here'!$C$1,1+(('table for research'!$B187-1)*36+HEX2DEC('table for research'!R$1))*2,2)</f>
        <v>01</v>
      </c>
      <c r="S187" t="str">
        <f>MID('paste from garc here'!$C$1,1+(('table for research'!$B187-1)*36+HEX2DEC('table for research'!S$1))*2,2)</f>
        <v>07</v>
      </c>
      <c r="T187" t="str">
        <f>MID('paste from garc here'!$C$1,1+(('table for research'!$B187-1)*36+HEX2DEC('table for research'!T$1))*2,2)</f>
        <v>01</v>
      </c>
      <c r="U187" t="str">
        <f>MID('paste from garc here'!$C$1,1+(('table for research'!$B187-1)*36+HEX2DEC('table for research'!U$1))*2,2)</f>
        <v>24</v>
      </c>
      <c r="V187" t="str">
        <f>MID('paste from garc here'!$C$1,1+(('table for research'!$B187-1)*36+HEX2DEC('table for research'!V$1))*2,2)</f>
        <v>00</v>
      </c>
      <c r="W187" t="str">
        <f>MID('paste from garc here'!$C$1,1+(('table for research'!$B187-1)*36+HEX2DEC('table for research'!W$1))*2,2)</f>
        <v>00</v>
      </c>
      <c r="X187" t="str">
        <f>MID('paste from garc here'!$C$1,1+(('table for research'!$B187-1)*36+HEX2DEC('table for research'!X$1))*2,2)</f>
        <v>00</v>
      </c>
      <c r="Y187" t="str">
        <f>MID('paste from garc here'!$C$1,1+(('table for research'!$B187-1)*36+HEX2DEC('table for research'!Y$1))*2,2)</f>
        <v>00</v>
      </c>
      <c r="Z187" t="str">
        <f>MID('paste from garc here'!$C$1,1+(('table for research'!$B187-1)*36+HEX2DEC('table for research'!Z$1))*2,2)</f>
        <v>00</v>
      </c>
      <c r="AA187" t="str">
        <f>MID('paste from garc here'!$C$1,1+(('table for research'!$B187-1)*36+HEX2DEC('table for research'!AA$1))*2,2)</f>
        <v>00</v>
      </c>
      <c r="AB187" t="str">
        <f>MID('paste from garc here'!$C$1,1+(('table for research'!$B187-1)*36+HEX2DEC('table for research'!AB$1))*2,2)</f>
        <v>00</v>
      </c>
      <c r="AC187" t="str">
        <f>MID('paste from garc here'!$C$1,1+(('table for research'!$B187-1)*36+HEX2DEC('table for research'!AC$1))*2,2)</f>
        <v>00</v>
      </c>
      <c r="AD187" t="str">
        <f>MID('paste from garc here'!$C$1,1+(('table for research'!$B187-1)*36+HEX2DEC('table for research'!AD$1))*2,2)</f>
        <v>00</v>
      </c>
      <c r="AE187" t="str">
        <f>MID('paste from garc here'!$C$1,1+(('table for research'!$B187-1)*36+HEX2DEC('table for research'!AE$1))*2,2)</f>
        <v>00</v>
      </c>
      <c r="AF187" t="str">
        <f>MID('paste from garc here'!$C$1,1+(('table for research'!$B187-1)*36+HEX2DEC('table for research'!AF$1))*2,2)</f>
        <v>00</v>
      </c>
      <c r="AG187" t="str">
        <f>MID('paste from garc here'!$C$1,1+(('table for research'!$B187-1)*36+HEX2DEC('table for research'!AG$1))*2,2)</f>
        <v>00</v>
      </c>
      <c r="AH187" t="str">
        <f>MID('paste from garc here'!$C$1,1+(('table for research'!$B187-1)*36+HEX2DEC('table for research'!AH$1))*2,2)</f>
        <v>00</v>
      </c>
      <c r="AI187" t="str">
        <f>MID('paste from garc here'!$C$1,1+(('table for research'!$B187-1)*36+HEX2DEC('table for research'!AI$1))*2,2)</f>
        <v>00</v>
      </c>
      <c r="AJ187" t="str">
        <f>MID('paste from garc here'!$C$1,1+(('table for research'!$B187-1)*36+HEX2DEC('table for research'!AJ$1))*2,2)</f>
        <v>00</v>
      </c>
      <c r="AK187" t="str">
        <f>MID('paste from garc here'!$C$1,1+(('table for research'!$B187-1)*36+HEX2DEC('table for research'!AK$1))*2,2)</f>
        <v>00</v>
      </c>
      <c r="AL187" t="str">
        <f>MID('paste from garc here'!$C$1,1+(('table for research'!$B187-1)*36+HEX2DEC('table for research'!AL$1))*2,2)</f>
        <v>00</v>
      </c>
      <c r="AM187" t="str">
        <f>MID('paste from garc here'!$C$1,1+(('table for research'!$B187-1)*36+HEX2DEC('table for research'!AM$1))*2,2)</f>
        <v>00</v>
      </c>
      <c r="AN187" t="str">
        <f>MID('paste from garc here'!$C$1,1+(('table for research'!$B187-1)*36+HEX2DEC('table for research'!AN$1))*2,2)</f>
        <v>00</v>
      </c>
      <c r="AO187" t="str">
        <f>MID('paste from garc here'!$C$1,1+(('table for research'!$B187-1)*36+HEX2DEC('table for research'!AO$1))*2,2)</f>
        <v>00</v>
      </c>
    </row>
    <row r="188" spans="1:41" x14ac:dyDescent="0.4">
      <c r="A188" t="s">
        <v>191</v>
      </c>
      <c r="B188">
        <f>B187+1</f>
        <v>186</v>
      </c>
      <c r="C188" t="str">
        <f>MID('paste from garc here'!$C$1,1+(('table for research'!$B188-1)*36+HEX2DEC('table for research'!C$1))*2,2)</f>
        <v>02</v>
      </c>
      <c r="D188" t="str">
        <f>MID('paste from garc here'!$C$1,1+(('table for research'!$B188-1)*36+HEX2DEC('table for research'!D$1))*2,2)</f>
        <v>00</v>
      </c>
      <c r="E188" t="str">
        <f>MID('paste from garc here'!$C$1,1+(('table for research'!$B188-1)*36+HEX2DEC('table for research'!E$1))*2,2)</f>
        <v>15</v>
      </c>
      <c r="F188" t="str">
        <f>MID('paste from garc here'!$C$1,1+(('table for research'!$B188-1)*36+HEX2DEC('table for research'!F$1))*2,2)</f>
        <v>00</v>
      </c>
      <c r="G188" t="str">
        <f>MID('paste from garc here'!$C$1,1+(('table for research'!$B188-1)*36+HEX2DEC('table for research'!G$1))*2,2)</f>
        <v>00</v>
      </c>
      <c r="H188" t="str">
        <f>MID('paste from garc here'!$C$1,1+(('table for research'!$B188-1)*36+HEX2DEC('table for research'!H$1))*2,2)</f>
        <v>00</v>
      </c>
      <c r="I188" t="str">
        <f>MID('paste from garc here'!$C$1,1+(('table for research'!$B188-1)*36+HEX2DEC('table for research'!I$1))*2,2)</f>
        <v>0A</v>
      </c>
      <c r="J188" t="str">
        <f>MID('paste from garc here'!$C$1,1+(('table for research'!$B188-1)*36+HEX2DEC('table for research'!J$1))*2,2)</f>
        <v>50</v>
      </c>
      <c r="K188" t="str">
        <f>DEC2HEX(_xlfn.BITAND(HEX2DEC(MID('paste from garc here'!$C$1,1+(('table for research'!$B188-1)*36+HEX2DEC(8))*2,2)),31),2)</f>
        <v>0C</v>
      </c>
      <c r="L188" t="str">
        <f>DEC2HEX(_xlfn.BITAND(HEX2DEC(MID('paste from garc here'!$C$1,1+(('table for research'!$B188-1)*36+HEX2DEC(8))*2,2)),32),2)</f>
        <v>00</v>
      </c>
      <c r="M188" t="str">
        <f>DEC2HEX(_xlfn.BITAND(HEX2DEC(MID('paste from garc here'!$C$1,1+(('table for research'!$B188-1)*36+HEX2DEC(8))*2,2)),64),2)</f>
        <v>00</v>
      </c>
      <c r="N188" t="str">
        <f>DEC2HEX(_xlfn.BITRSHIFT(_xlfn.BITAND(HEX2DEC(MID('paste from garc here'!$C$1,1+(('table for research'!$B188-1)*36+HEX2DEC(9))*2,2)&amp;MID('paste from garc here'!$C$1,1+(('table for research'!$B188-1)*36+HEX2DEC(8))*2,2)),1920),7),2)</f>
        <v>03</v>
      </c>
      <c r="O188" t="str">
        <f>DEC2HEX(_xlfn.BITRSHIFT(HEX2DEC(MID('paste from garc here'!$C$1,1+(('table for research'!$B188-1)*36+HEX2DEC(9))*2,2)&amp;MID('paste from garc here'!$C$1,1+(('table for research'!$B188-1)*36+HEX2DEC(8))*2,2)),11),2)</f>
        <v>00</v>
      </c>
      <c r="P188" t="str">
        <f>MID('paste from garc here'!$C$1,1+(('table for research'!$B188-1)*36+HEX2DEC('table for research'!P$1))*2,2)</f>
        <v>0C</v>
      </c>
      <c r="Q188" t="str">
        <f>MID('paste from garc here'!$C$1,1+(('table for research'!$B188-1)*36+HEX2DEC('table for research'!Q$1))*2,2)</f>
        <v>00</v>
      </c>
      <c r="R188" t="str">
        <f>MID('paste from garc here'!$C$1,1+(('table for research'!$B188-1)*36+HEX2DEC('table for research'!R$1))*2,2)</f>
        <v>01</v>
      </c>
      <c r="S188" t="str">
        <f>MID('paste from garc here'!$C$1,1+(('table for research'!$B188-1)*36+HEX2DEC('table for research'!S$1))*2,2)</f>
        <v>07</v>
      </c>
      <c r="T188" t="str">
        <f>MID('paste from garc here'!$C$1,1+(('table for research'!$B188-1)*36+HEX2DEC('table for research'!T$1))*2,2)</f>
        <v>01</v>
      </c>
      <c r="U188" t="str">
        <f>MID('paste from garc here'!$C$1,1+(('table for research'!$B188-1)*36+HEX2DEC('table for research'!U$1))*2,2)</f>
        <v>25</v>
      </c>
      <c r="V188" t="str">
        <f>MID('paste from garc here'!$C$1,1+(('table for research'!$B188-1)*36+HEX2DEC('table for research'!V$1))*2,2)</f>
        <v>00</v>
      </c>
      <c r="W188" t="str">
        <f>MID('paste from garc here'!$C$1,1+(('table for research'!$B188-1)*36+HEX2DEC('table for research'!W$1))*2,2)</f>
        <v>00</v>
      </c>
      <c r="X188" t="str">
        <f>MID('paste from garc here'!$C$1,1+(('table for research'!$B188-1)*36+HEX2DEC('table for research'!X$1))*2,2)</f>
        <v>00</v>
      </c>
      <c r="Y188" t="str">
        <f>MID('paste from garc here'!$C$1,1+(('table for research'!$B188-1)*36+HEX2DEC('table for research'!Y$1))*2,2)</f>
        <v>00</v>
      </c>
      <c r="Z188" t="str">
        <f>MID('paste from garc here'!$C$1,1+(('table for research'!$B188-1)*36+HEX2DEC('table for research'!Z$1))*2,2)</f>
        <v>00</v>
      </c>
      <c r="AA188" t="str">
        <f>MID('paste from garc here'!$C$1,1+(('table for research'!$B188-1)*36+HEX2DEC('table for research'!AA$1))*2,2)</f>
        <v>00</v>
      </c>
      <c r="AB188" t="str">
        <f>MID('paste from garc here'!$C$1,1+(('table for research'!$B188-1)*36+HEX2DEC('table for research'!AB$1))*2,2)</f>
        <v>00</v>
      </c>
      <c r="AC188" t="str">
        <f>MID('paste from garc here'!$C$1,1+(('table for research'!$B188-1)*36+HEX2DEC('table for research'!AC$1))*2,2)</f>
        <v>00</v>
      </c>
      <c r="AD188" t="str">
        <f>MID('paste from garc here'!$C$1,1+(('table for research'!$B188-1)*36+HEX2DEC('table for research'!AD$1))*2,2)</f>
        <v>00</v>
      </c>
      <c r="AE188" t="str">
        <f>MID('paste from garc here'!$C$1,1+(('table for research'!$B188-1)*36+HEX2DEC('table for research'!AE$1))*2,2)</f>
        <v>00</v>
      </c>
      <c r="AF188" t="str">
        <f>MID('paste from garc here'!$C$1,1+(('table for research'!$B188-1)*36+HEX2DEC('table for research'!AF$1))*2,2)</f>
        <v>00</v>
      </c>
      <c r="AG188" t="str">
        <f>MID('paste from garc here'!$C$1,1+(('table for research'!$B188-1)*36+HEX2DEC('table for research'!AG$1))*2,2)</f>
        <v>00</v>
      </c>
      <c r="AH188" t="str">
        <f>MID('paste from garc here'!$C$1,1+(('table for research'!$B188-1)*36+HEX2DEC('table for research'!AH$1))*2,2)</f>
        <v>00</v>
      </c>
      <c r="AI188" t="str">
        <f>MID('paste from garc here'!$C$1,1+(('table for research'!$B188-1)*36+HEX2DEC('table for research'!AI$1))*2,2)</f>
        <v>00</v>
      </c>
      <c r="AJ188" t="str">
        <f>MID('paste from garc here'!$C$1,1+(('table for research'!$B188-1)*36+HEX2DEC('table for research'!AJ$1))*2,2)</f>
        <v>00</v>
      </c>
      <c r="AK188" t="str">
        <f>MID('paste from garc here'!$C$1,1+(('table for research'!$B188-1)*36+HEX2DEC('table for research'!AK$1))*2,2)</f>
        <v>00</v>
      </c>
      <c r="AL188" t="str">
        <f>MID('paste from garc here'!$C$1,1+(('table for research'!$B188-1)*36+HEX2DEC('table for research'!AL$1))*2,2)</f>
        <v>00</v>
      </c>
      <c r="AM188" t="str">
        <f>MID('paste from garc here'!$C$1,1+(('table for research'!$B188-1)*36+HEX2DEC('table for research'!AM$1))*2,2)</f>
        <v>00</v>
      </c>
      <c r="AN188" t="str">
        <f>MID('paste from garc here'!$C$1,1+(('table for research'!$B188-1)*36+HEX2DEC('table for research'!AN$1))*2,2)</f>
        <v>00</v>
      </c>
      <c r="AO188" t="str">
        <f>MID('paste from garc here'!$C$1,1+(('table for research'!$B188-1)*36+HEX2DEC('table for research'!AO$1))*2,2)</f>
        <v>00</v>
      </c>
    </row>
    <row r="189" spans="1:41" x14ac:dyDescent="0.4">
      <c r="A189" t="s">
        <v>192</v>
      </c>
      <c r="B189">
        <f>B188+1</f>
        <v>187</v>
      </c>
      <c r="C189" t="str">
        <f>MID('paste from garc here'!$C$1,1+(('table for research'!$B189-1)*36+HEX2DEC('table for research'!C$1))*2,2)</f>
        <v>02</v>
      </c>
      <c r="D189" t="str">
        <f>MID('paste from garc here'!$C$1,1+(('table for research'!$B189-1)*36+HEX2DEC('table for research'!D$1))*2,2)</f>
        <v>00</v>
      </c>
      <c r="E189" t="str">
        <f>MID('paste from garc here'!$C$1,1+(('table for research'!$B189-1)*36+HEX2DEC('table for research'!E$1))*2,2)</f>
        <v>16</v>
      </c>
      <c r="F189" t="str">
        <f>MID('paste from garc here'!$C$1,1+(('table for research'!$B189-1)*36+HEX2DEC('table for research'!F$1))*2,2)</f>
        <v>00</v>
      </c>
      <c r="G189" t="str">
        <f>MID('paste from garc here'!$C$1,1+(('table for research'!$B189-1)*36+HEX2DEC('table for research'!G$1))*2,2)</f>
        <v>00</v>
      </c>
      <c r="H189" t="str">
        <f>MID('paste from garc here'!$C$1,1+(('table for research'!$B189-1)*36+HEX2DEC('table for research'!H$1))*2,2)</f>
        <v>00</v>
      </c>
      <c r="I189" t="str">
        <f>MID('paste from garc here'!$C$1,1+(('table for research'!$B189-1)*36+HEX2DEC('table for research'!I$1))*2,2)</f>
        <v>0A</v>
      </c>
      <c r="J189" t="str">
        <f>MID('paste from garc here'!$C$1,1+(('table for research'!$B189-1)*36+HEX2DEC('table for research'!J$1))*2,2)</f>
        <v>50</v>
      </c>
      <c r="K189" t="str">
        <f>DEC2HEX(_xlfn.BITAND(HEX2DEC(MID('paste from garc here'!$C$1,1+(('table for research'!$B189-1)*36+HEX2DEC(8))*2,2)),31),2)</f>
        <v>0B</v>
      </c>
      <c r="L189" t="str">
        <f>DEC2HEX(_xlfn.BITAND(HEX2DEC(MID('paste from garc here'!$C$1,1+(('table for research'!$B189-1)*36+HEX2DEC(8))*2,2)),32),2)</f>
        <v>00</v>
      </c>
      <c r="M189" t="str">
        <f>DEC2HEX(_xlfn.BITAND(HEX2DEC(MID('paste from garc here'!$C$1,1+(('table for research'!$B189-1)*36+HEX2DEC(8))*2,2)),64),2)</f>
        <v>00</v>
      </c>
      <c r="N189" t="str">
        <f>DEC2HEX(_xlfn.BITRSHIFT(_xlfn.BITAND(HEX2DEC(MID('paste from garc here'!$C$1,1+(('table for research'!$B189-1)*36+HEX2DEC(9))*2,2)&amp;MID('paste from garc here'!$C$1,1+(('table for research'!$B189-1)*36+HEX2DEC(8))*2,2)),1920),7),2)</f>
        <v>03</v>
      </c>
      <c r="O189" t="str">
        <f>DEC2HEX(_xlfn.BITRSHIFT(HEX2DEC(MID('paste from garc here'!$C$1,1+(('table for research'!$B189-1)*36+HEX2DEC(9))*2,2)&amp;MID('paste from garc here'!$C$1,1+(('table for research'!$B189-1)*36+HEX2DEC(8))*2,2)),11),2)</f>
        <v>00</v>
      </c>
      <c r="P189" t="str">
        <f>MID('paste from garc here'!$C$1,1+(('table for research'!$B189-1)*36+HEX2DEC('table for research'!P$1))*2,2)</f>
        <v>0C</v>
      </c>
      <c r="Q189" t="str">
        <f>MID('paste from garc here'!$C$1,1+(('table for research'!$B189-1)*36+HEX2DEC('table for research'!Q$1))*2,2)</f>
        <v>00</v>
      </c>
      <c r="R189" t="str">
        <f>MID('paste from garc here'!$C$1,1+(('table for research'!$B189-1)*36+HEX2DEC('table for research'!R$1))*2,2)</f>
        <v>01</v>
      </c>
      <c r="S189" t="str">
        <f>MID('paste from garc here'!$C$1,1+(('table for research'!$B189-1)*36+HEX2DEC('table for research'!S$1))*2,2)</f>
        <v>07</v>
      </c>
      <c r="T189" t="str">
        <f>MID('paste from garc here'!$C$1,1+(('table for research'!$B189-1)*36+HEX2DEC('table for research'!T$1))*2,2)</f>
        <v>01</v>
      </c>
      <c r="U189" t="str">
        <f>MID('paste from garc here'!$C$1,1+(('table for research'!$B189-1)*36+HEX2DEC('table for research'!U$1))*2,2)</f>
        <v>26</v>
      </c>
      <c r="V189" t="str">
        <f>MID('paste from garc here'!$C$1,1+(('table for research'!$B189-1)*36+HEX2DEC('table for research'!V$1))*2,2)</f>
        <v>00</v>
      </c>
      <c r="W189" t="str">
        <f>MID('paste from garc here'!$C$1,1+(('table for research'!$B189-1)*36+HEX2DEC('table for research'!W$1))*2,2)</f>
        <v>00</v>
      </c>
      <c r="X189" t="str">
        <f>MID('paste from garc here'!$C$1,1+(('table for research'!$B189-1)*36+HEX2DEC('table for research'!X$1))*2,2)</f>
        <v>00</v>
      </c>
      <c r="Y189" t="str">
        <f>MID('paste from garc here'!$C$1,1+(('table for research'!$B189-1)*36+HEX2DEC('table for research'!Y$1))*2,2)</f>
        <v>00</v>
      </c>
      <c r="Z189" t="str">
        <f>MID('paste from garc here'!$C$1,1+(('table for research'!$B189-1)*36+HEX2DEC('table for research'!Z$1))*2,2)</f>
        <v>00</v>
      </c>
      <c r="AA189" t="str">
        <f>MID('paste from garc here'!$C$1,1+(('table for research'!$B189-1)*36+HEX2DEC('table for research'!AA$1))*2,2)</f>
        <v>00</v>
      </c>
      <c r="AB189" t="str">
        <f>MID('paste from garc here'!$C$1,1+(('table for research'!$B189-1)*36+HEX2DEC('table for research'!AB$1))*2,2)</f>
        <v>00</v>
      </c>
      <c r="AC189" t="str">
        <f>MID('paste from garc here'!$C$1,1+(('table for research'!$B189-1)*36+HEX2DEC('table for research'!AC$1))*2,2)</f>
        <v>00</v>
      </c>
      <c r="AD189" t="str">
        <f>MID('paste from garc here'!$C$1,1+(('table for research'!$B189-1)*36+HEX2DEC('table for research'!AD$1))*2,2)</f>
        <v>00</v>
      </c>
      <c r="AE189" t="str">
        <f>MID('paste from garc here'!$C$1,1+(('table for research'!$B189-1)*36+HEX2DEC('table for research'!AE$1))*2,2)</f>
        <v>00</v>
      </c>
      <c r="AF189" t="str">
        <f>MID('paste from garc here'!$C$1,1+(('table for research'!$B189-1)*36+HEX2DEC('table for research'!AF$1))*2,2)</f>
        <v>00</v>
      </c>
      <c r="AG189" t="str">
        <f>MID('paste from garc here'!$C$1,1+(('table for research'!$B189-1)*36+HEX2DEC('table for research'!AG$1))*2,2)</f>
        <v>00</v>
      </c>
      <c r="AH189" t="str">
        <f>MID('paste from garc here'!$C$1,1+(('table for research'!$B189-1)*36+HEX2DEC('table for research'!AH$1))*2,2)</f>
        <v>00</v>
      </c>
      <c r="AI189" t="str">
        <f>MID('paste from garc here'!$C$1,1+(('table for research'!$B189-1)*36+HEX2DEC('table for research'!AI$1))*2,2)</f>
        <v>00</v>
      </c>
      <c r="AJ189" t="str">
        <f>MID('paste from garc here'!$C$1,1+(('table for research'!$B189-1)*36+HEX2DEC('table for research'!AJ$1))*2,2)</f>
        <v>00</v>
      </c>
      <c r="AK189" t="str">
        <f>MID('paste from garc here'!$C$1,1+(('table for research'!$B189-1)*36+HEX2DEC('table for research'!AK$1))*2,2)</f>
        <v>00</v>
      </c>
      <c r="AL189" t="str">
        <f>MID('paste from garc here'!$C$1,1+(('table for research'!$B189-1)*36+HEX2DEC('table for research'!AL$1))*2,2)</f>
        <v>00</v>
      </c>
      <c r="AM189" t="str">
        <f>MID('paste from garc here'!$C$1,1+(('table for research'!$B189-1)*36+HEX2DEC('table for research'!AM$1))*2,2)</f>
        <v>00</v>
      </c>
      <c r="AN189" t="str">
        <f>MID('paste from garc here'!$C$1,1+(('table for research'!$B189-1)*36+HEX2DEC('table for research'!AN$1))*2,2)</f>
        <v>00</v>
      </c>
      <c r="AO189" t="str">
        <f>MID('paste from garc here'!$C$1,1+(('table for research'!$B189-1)*36+HEX2DEC('table for research'!AO$1))*2,2)</f>
        <v>00</v>
      </c>
    </row>
    <row r="190" spans="1:41" x14ac:dyDescent="0.4">
      <c r="A190" t="s">
        <v>193</v>
      </c>
      <c r="B190">
        <f>B189+1</f>
        <v>188</v>
      </c>
      <c r="C190" t="str">
        <f>MID('paste from garc here'!$C$1,1+(('table for research'!$B190-1)*36+HEX2DEC('table for research'!C$1))*2,2)</f>
        <v>02</v>
      </c>
      <c r="D190" t="str">
        <f>MID('paste from garc here'!$C$1,1+(('table for research'!$B190-1)*36+HEX2DEC('table for research'!D$1))*2,2)</f>
        <v>00</v>
      </c>
      <c r="E190" t="str">
        <f>MID('paste from garc here'!$C$1,1+(('table for research'!$B190-1)*36+HEX2DEC('table for research'!E$1))*2,2)</f>
        <v>17</v>
      </c>
      <c r="F190" t="str">
        <f>MID('paste from garc here'!$C$1,1+(('table for research'!$B190-1)*36+HEX2DEC('table for research'!F$1))*2,2)</f>
        <v>00</v>
      </c>
      <c r="G190" t="str">
        <f>MID('paste from garc here'!$C$1,1+(('table for research'!$B190-1)*36+HEX2DEC('table for research'!G$1))*2,2)</f>
        <v>00</v>
      </c>
      <c r="H190" t="str">
        <f>MID('paste from garc here'!$C$1,1+(('table for research'!$B190-1)*36+HEX2DEC('table for research'!H$1))*2,2)</f>
        <v>00</v>
      </c>
      <c r="I190" t="str">
        <f>MID('paste from garc here'!$C$1,1+(('table for research'!$B190-1)*36+HEX2DEC('table for research'!I$1))*2,2)</f>
        <v>0A</v>
      </c>
      <c r="J190" t="str">
        <f>MID('paste from garc here'!$C$1,1+(('table for research'!$B190-1)*36+HEX2DEC('table for research'!J$1))*2,2)</f>
        <v>50</v>
      </c>
      <c r="K190" t="str">
        <f>DEC2HEX(_xlfn.BITAND(HEX2DEC(MID('paste from garc here'!$C$1,1+(('table for research'!$B190-1)*36+HEX2DEC(8))*2,2)),31),2)</f>
        <v>0E</v>
      </c>
      <c r="L190" t="str">
        <f>DEC2HEX(_xlfn.BITAND(HEX2DEC(MID('paste from garc here'!$C$1,1+(('table for research'!$B190-1)*36+HEX2DEC(8))*2,2)),32),2)</f>
        <v>00</v>
      </c>
      <c r="M190" t="str">
        <f>DEC2HEX(_xlfn.BITAND(HEX2DEC(MID('paste from garc here'!$C$1,1+(('table for research'!$B190-1)*36+HEX2DEC(8))*2,2)),64),2)</f>
        <v>00</v>
      </c>
      <c r="N190" t="str">
        <f>DEC2HEX(_xlfn.BITRSHIFT(_xlfn.BITAND(HEX2DEC(MID('paste from garc here'!$C$1,1+(('table for research'!$B190-1)*36+HEX2DEC(9))*2,2)&amp;MID('paste from garc here'!$C$1,1+(('table for research'!$B190-1)*36+HEX2DEC(8))*2,2)),1920),7),2)</f>
        <v>03</v>
      </c>
      <c r="O190" t="str">
        <f>DEC2HEX(_xlfn.BITRSHIFT(HEX2DEC(MID('paste from garc here'!$C$1,1+(('table for research'!$B190-1)*36+HEX2DEC(9))*2,2)&amp;MID('paste from garc here'!$C$1,1+(('table for research'!$B190-1)*36+HEX2DEC(8))*2,2)),11),2)</f>
        <v>00</v>
      </c>
      <c r="P190" t="str">
        <f>MID('paste from garc here'!$C$1,1+(('table for research'!$B190-1)*36+HEX2DEC('table for research'!P$1))*2,2)</f>
        <v>0C</v>
      </c>
      <c r="Q190" t="str">
        <f>MID('paste from garc here'!$C$1,1+(('table for research'!$B190-1)*36+HEX2DEC('table for research'!Q$1))*2,2)</f>
        <v>00</v>
      </c>
      <c r="R190" t="str">
        <f>MID('paste from garc here'!$C$1,1+(('table for research'!$B190-1)*36+HEX2DEC('table for research'!R$1))*2,2)</f>
        <v>01</v>
      </c>
      <c r="S190" t="str">
        <f>MID('paste from garc here'!$C$1,1+(('table for research'!$B190-1)*36+HEX2DEC('table for research'!S$1))*2,2)</f>
        <v>07</v>
      </c>
      <c r="T190" t="str">
        <f>MID('paste from garc here'!$C$1,1+(('table for research'!$B190-1)*36+HEX2DEC('table for research'!T$1))*2,2)</f>
        <v>01</v>
      </c>
      <c r="U190" t="str">
        <f>MID('paste from garc here'!$C$1,1+(('table for research'!$B190-1)*36+HEX2DEC('table for research'!U$1))*2,2)</f>
        <v>27</v>
      </c>
      <c r="V190" t="str">
        <f>MID('paste from garc here'!$C$1,1+(('table for research'!$B190-1)*36+HEX2DEC('table for research'!V$1))*2,2)</f>
        <v>00</v>
      </c>
      <c r="W190" t="str">
        <f>MID('paste from garc here'!$C$1,1+(('table for research'!$B190-1)*36+HEX2DEC('table for research'!W$1))*2,2)</f>
        <v>00</v>
      </c>
      <c r="X190" t="str">
        <f>MID('paste from garc here'!$C$1,1+(('table for research'!$B190-1)*36+HEX2DEC('table for research'!X$1))*2,2)</f>
        <v>00</v>
      </c>
      <c r="Y190" t="str">
        <f>MID('paste from garc here'!$C$1,1+(('table for research'!$B190-1)*36+HEX2DEC('table for research'!Y$1))*2,2)</f>
        <v>00</v>
      </c>
      <c r="Z190" t="str">
        <f>MID('paste from garc here'!$C$1,1+(('table for research'!$B190-1)*36+HEX2DEC('table for research'!Z$1))*2,2)</f>
        <v>00</v>
      </c>
      <c r="AA190" t="str">
        <f>MID('paste from garc here'!$C$1,1+(('table for research'!$B190-1)*36+HEX2DEC('table for research'!AA$1))*2,2)</f>
        <v>00</v>
      </c>
      <c r="AB190" t="str">
        <f>MID('paste from garc here'!$C$1,1+(('table for research'!$B190-1)*36+HEX2DEC('table for research'!AB$1))*2,2)</f>
        <v>00</v>
      </c>
      <c r="AC190" t="str">
        <f>MID('paste from garc here'!$C$1,1+(('table for research'!$B190-1)*36+HEX2DEC('table for research'!AC$1))*2,2)</f>
        <v>00</v>
      </c>
      <c r="AD190" t="str">
        <f>MID('paste from garc here'!$C$1,1+(('table for research'!$B190-1)*36+HEX2DEC('table for research'!AD$1))*2,2)</f>
        <v>00</v>
      </c>
      <c r="AE190" t="str">
        <f>MID('paste from garc here'!$C$1,1+(('table for research'!$B190-1)*36+HEX2DEC('table for research'!AE$1))*2,2)</f>
        <v>00</v>
      </c>
      <c r="AF190" t="str">
        <f>MID('paste from garc here'!$C$1,1+(('table for research'!$B190-1)*36+HEX2DEC('table for research'!AF$1))*2,2)</f>
        <v>00</v>
      </c>
      <c r="AG190" t="str">
        <f>MID('paste from garc here'!$C$1,1+(('table for research'!$B190-1)*36+HEX2DEC('table for research'!AG$1))*2,2)</f>
        <v>00</v>
      </c>
      <c r="AH190" t="str">
        <f>MID('paste from garc here'!$C$1,1+(('table for research'!$B190-1)*36+HEX2DEC('table for research'!AH$1))*2,2)</f>
        <v>00</v>
      </c>
      <c r="AI190" t="str">
        <f>MID('paste from garc here'!$C$1,1+(('table for research'!$B190-1)*36+HEX2DEC('table for research'!AI$1))*2,2)</f>
        <v>00</v>
      </c>
      <c r="AJ190" t="str">
        <f>MID('paste from garc here'!$C$1,1+(('table for research'!$B190-1)*36+HEX2DEC('table for research'!AJ$1))*2,2)</f>
        <v>00</v>
      </c>
      <c r="AK190" t="str">
        <f>MID('paste from garc here'!$C$1,1+(('table for research'!$B190-1)*36+HEX2DEC('table for research'!AK$1))*2,2)</f>
        <v>00</v>
      </c>
      <c r="AL190" t="str">
        <f>MID('paste from garc here'!$C$1,1+(('table for research'!$B190-1)*36+HEX2DEC('table for research'!AL$1))*2,2)</f>
        <v>00</v>
      </c>
      <c r="AM190" t="str">
        <f>MID('paste from garc here'!$C$1,1+(('table for research'!$B190-1)*36+HEX2DEC('table for research'!AM$1))*2,2)</f>
        <v>00</v>
      </c>
      <c r="AN190" t="str">
        <f>MID('paste from garc here'!$C$1,1+(('table for research'!$B190-1)*36+HEX2DEC('table for research'!AN$1))*2,2)</f>
        <v>00</v>
      </c>
      <c r="AO190" t="str">
        <f>MID('paste from garc here'!$C$1,1+(('table for research'!$B190-1)*36+HEX2DEC('table for research'!AO$1))*2,2)</f>
        <v>00</v>
      </c>
    </row>
    <row r="191" spans="1:41" x14ac:dyDescent="0.4">
      <c r="A191" t="s">
        <v>194</v>
      </c>
      <c r="B191">
        <f>B190+1</f>
        <v>189</v>
      </c>
      <c r="C191" t="str">
        <f>MID('paste from garc here'!$C$1,1+(('table for research'!$B191-1)*36+HEX2DEC('table for research'!C$1))*2,2)</f>
        <v>02</v>
      </c>
      <c r="D191" t="str">
        <f>MID('paste from garc here'!$C$1,1+(('table for research'!$B191-1)*36+HEX2DEC('table for research'!D$1))*2,2)</f>
        <v>00</v>
      </c>
      <c r="E191" t="str">
        <f>MID('paste from garc here'!$C$1,1+(('table for research'!$B191-1)*36+HEX2DEC('table for research'!E$1))*2,2)</f>
        <v>18</v>
      </c>
      <c r="F191" t="str">
        <f>MID('paste from garc here'!$C$1,1+(('table for research'!$B191-1)*36+HEX2DEC('table for research'!F$1))*2,2)</f>
        <v>00</v>
      </c>
      <c r="G191" t="str">
        <f>MID('paste from garc here'!$C$1,1+(('table for research'!$B191-1)*36+HEX2DEC('table for research'!G$1))*2,2)</f>
        <v>00</v>
      </c>
      <c r="H191" t="str">
        <f>MID('paste from garc here'!$C$1,1+(('table for research'!$B191-1)*36+HEX2DEC('table for research'!H$1))*2,2)</f>
        <v>00</v>
      </c>
      <c r="I191" t="str">
        <f>MID('paste from garc here'!$C$1,1+(('table for research'!$B191-1)*36+HEX2DEC('table for research'!I$1))*2,2)</f>
        <v>0A</v>
      </c>
      <c r="J191" t="str">
        <f>MID('paste from garc here'!$C$1,1+(('table for research'!$B191-1)*36+HEX2DEC('table for research'!J$1))*2,2)</f>
        <v>50</v>
      </c>
      <c r="K191" t="str">
        <f>DEC2HEX(_xlfn.BITAND(HEX2DEC(MID('paste from garc here'!$C$1,1+(('table for research'!$B191-1)*36+HEX2DEC(8))*2,2)),31),2)</f>
        <v>01</v>
      </c>
      <c r="L191" t="str">
        <f>DEC2HEX(_xlfn.BITAND(HEX2DEC(MID('paste from garc here'!$C$1,1+(('table for research'!$B191-1)*36+HEX2DEC(8))*2,2)),32),2)</f>
        <v>00</v>
      </c>
      <c r="M191" t="str">
        <f>DEC2HEX(_xlfn.BITAND(HEX2DEC(MID('paste from garc here'!$C$1,1+(('table for research'!$B191-1)*36+HEX2DEC(8))*2,2)),64),2)</f>
        <v>00</v>
      </c>
      <c r="N191" t="str">
        <f>DEC2HEX(_xlfn.BITRSHIFT(_xlfn.BITAND(HEX2DEC(MID('paste from garc here'!$C$1,1+(('table for research'!$B191-1)*36+HEX2DEC(9))*2,2)&amp;MID('paste from garc here'!$C$1,1+(('table for research'!$B191-1)*36+HEX2DEC(8))*2,2)),1920),7),2)</f>
        <v>03</v>
      </c>
      <c r="O191" t="str">
        <f>DEC2HEX(_xlfn.BITRSHIFT(HEX2DEC(MID('paste from garc here'!$C$1,1+(('table for research'!$B191-1)*36+HEX2DEC(9))*2,2)&amp;MID('paste from garc here'!$C$1,1+(('table for research'!$B191-1)*36+HEX2DEC(8))*2,2)),11),2)</f>
        <v>00</v>
      </c>
      <c r="P191" t="str">
        <f>MID('paste from garc here'!$C$1,1+(('table for research'!$B191-1)*36+HEX2DEC('table for research'!P$1))*2,2)</f>
        <v>0C</v>
      </c>
      <c r="Q191" t="str">
        <f>MID('paste from garc here'!$C$1,1+(('table for research'!$B191-1)*36+HEX2DEC('table for research'!Q$1))*2,2)</f>
        <v>00</v>
      </c>
      <c r="R191" t="str">
        <f>MID('paste from garc here'!$C$1,1+(('table for research'!$B191-1)*36+HEX2DEC('table for research'!R$1))*2,2)</f>
        <v>01</v>
      </c>
      <c r="S191" t="str">
        <f>MID('paste from garc here'!$C$1,1+(('table for research'!$B191-1)*36+HEX2DEC('table for research'!S$1))*2,2)</f>
        <v>07</v>
      </c>
      <c r="T191" t="str">
        <f>MID('paste from garc here'!$C$1,1+(('table for research'!$B191-1)*36+HEX2DEC('table for research'!T$1))*2,2)</f>
        <v>01</v>
      </c>
      <c r="U191" t="str">
        <f>MID('paste from garc here'!$C$1,1+(('table for research'!$B191-1)*36+HEX2DEC('table for research'!U$1))*2,2)</f>
        <v>28</v>
      </c>
      <c r="V191" t="str">
        <f>MID('paste from garc here'!$C$1,1+(('table for research'!$B191-1)*36+HEX2DEC('table for research'!V$1))*2,2)</f>
        <v>00</v>
      </c>
      <c r="W191" t="str">
        <f>MID('paste from garc here'!$C$1,1+(('table for research'!$B191-1)*36+HEX2DEC('table for research'!W$1))*2,2)</f>
        <v>00</v>
      </c>
      <c r="X191" t="str">
        <f>MID('paste from garc here'!$C$1,1+(('table for research'!$B191-1)*36+HEX2DEC('table for research'!X$1))*2,2)</f>
        <v>00</v>
      </c>
      <c r="Y191" t="str">
        <f>MID('paste from garc here'!$C$1,1+(('table for research'!$B191-1)*36+HEX2DEC('table for research'!Y$1))*2,2)</f>
        <v>00</v>
      </c>
      <c r="Z191" t="str">
        <f>MID('paste from garc here'!$C$1,1+(('table for research'!$B191-1)*36+HEX2DEC('table for research'!Z$1))*2,2)</f>
        <v>00</v>
      </c>
      <c r="AA191" t="str">
        <f>MID('paste from garc here'!$C$1,1+(('table for research'!$B191-1)*36+HEX2DEC('table for research'!AA$1))*2,2)</f>
        <v>00</v>
      </c>
      <c r="AB191" t="str">
        <f>MID('paste from garc here'!$C$1,1+(('table for research'!$B191-1)*36+HEX2DEC('table for research'!AB$1))*2,2)</f>
        <v>00</v>
      </c>
      <c r="AC191" t="str">
        <f>MID('paste from garc here'!$C$1,1+(('table for research'!$B191-1)*36+HEX2DEC('table for research'!AC$1))*2,2)</f>
        <v>00</v>
      </c>
      <c r="AD191" t="str">
        <f>MID('paste from garc here'!$C$1,1+(('table for research'!$B191-1)*36+HEX2DEC('table for research'!AD$1))*2,2)</f>
        <v>00</v>
      </c>
      <c r="AE191" t="str">
        <f>MID('paste from garc here'!$C$1,1+(('table for research'!$B191-1)*36+HEX2DEC('table for research'!AE$1))*2,2)</f>
        <v>00</v>
      </c>
      <c r="AF191" t="str">
        <f>MID('paste from garc here'!$C$1,1+(('table for research'!$B191-1)*36+HEX2DEC('table for research'!AF$1))*2,2)</f>
        <v>00</v>
      </c>
      <c r="AG191" t="str">
        <f>MID('paste from garc here'!$C$1,1+(('table for research'!$B191-1)*36+HEX2DEC('table for research'!AG$1))*2,2)</f>
        <v>00</v>
      </c>
      <c r="AH191" t="str">
        <f>MID('paste from garc here'!$C$1,1+(('table for research'!$B191-1)*36+HEX2DEC('table for research'!AH$1))*2,2)</f>
        <v>00</v>
      </c>
      <c r="AI191" t="str">
        <f>MID('paste from garc here'!$C$1,1+(('table for research'!$B191-1)*36+HEX2DEC('table for research'!AI$1))*2,2)</f>
        <v>00</v>
      </c>
      <c r="AJ191" t="str">
        <f>MID('paste from garc here'!$C$1,1+(('table for research'!$B191-1)*36+HEX2DEC('table for research'!AJ$1))*2,2)</f>
        <v>00</v>
      </c>
      <c r="AK191" t="str">
        <f>MID('paste from garc here'!$C$1,1+(('table for research'!$B191-1)*36+HEX2DEC('table for research'!AK$1))*2,2)</f>
        <v>00</v>
      </c>
      <c r="AL191" t="str">
        <f>MID('paste from garc here'!$C$1,1+(('table for research'!$B191-1)*36+HEX2DEC('table for research'!AL$1))*2,2)</f>
        <v>00</v>
      </c>
      <c r="AM191" t="str">
        <f>MID('paste from garc here'!$C$1,1+(('table for research'!$B191-1)*36+HEX2DEC('table for research'!AM$1))*2,2)</f>
        <v>00</v>
      </c>
      <c r="AN191" t="str">
        <f>MID('paste from garc here'!$C$1,1+(('table for research'!$B191-1)*36+HEX2DEC('table for research'!AN$1))*2,2)</f>
        <v>00</v>
      </c>
      <c r="AO191" t="str">
        <f>MID('paste from garc here'!$C$1,1+(('table for research'!$B191-1)*36+HEX2DEC('table for research'!AO$1))*2,2)</f>
        <v>00</v>
      </c>
    </row>
    <row r="192" spans="1:41" x14ac:dyDescent="0.4">
      <c r="A192" t="s">
        <v>195</v>
      </c>
      <c r="B192">
        <f>B191+1</f>
        <v>190</v>
      </c>
      <c r="C192" t="str">
        <f>MID('paste from garc here'!$C$1,1+(('table for research'!$B192-1)*36+HEX2DEC('table for research'!C$1))*2,2)</f>
        <v>02</v>
      </c>
      <c r="D192" t="str">
        <f>MID('paste from garc here'!$C$1,1+(('table for research'!$B192-1)*36+HEX2DEC('table for research'!D$1))*2,2)</f>
        <v>00</v>
      </c>
      <c r="E192" t="str">
        <f>MID('paste from garc here'!$C$1,1+(('table for research'!$B192-1)*36+HEX2DEC('table for research'!E$1))*2,2)</f>
        <v>19</v>
      </c>
      <c r="F192" t="str">
        <f>MID('paste from garc here'!$C$1,1+(('table for research'!$B192-1)*36+HEX2DEC('table for research'!F$1))*2,2)</f>
        <v>00</v>
      </c>
      <c r="G192" t="str">
        <f>MID('paste from garc here'!$C$1,1+(('table for research'!$B192-1)*36+HEX2DEC('table for research'!G$1))*2,2)</f>
        <v>00</v>
      </c>
      <c r="H192" t="str">
        <f>MID('paste from garc here'!$C$1,1+(('table for research'!$B192-1)*36+HEX2DEC('table for research'!H$1))*2,2)</f>
        <v>00</v>
      </c>
      <c r="I192" t="str">
        <f>MID('paste from garc here'!$C$1,1+(('table for research'!$B192-1)*36+HEX2DEC('table for research'!I$1))*2,2)</f>
        <v>0A</v>
      </c>
      <c r="J192" t="str">
        <f>MID('paste from garc here'!$C$1,1+(('table for research'!$B192-1)*36+HEX2DEC('table for research'!J$1))*2,2)</f>
        <v>50</v>
      </c>
      <c r="K192" t="str">
        <f>DEC2HEX(_xlfn.BITAND(HEX2DEC(MID('paste from garc here'!$C$1,1+(('table for research'!$B192-1)*36+HEX2DEC(8))*2,2)),31),2)</f>
        <v>03</v>
      </c>
      <c r="L192" t="str">
        <f>DEC2HEX(_xlfn.BITAND(HEX2DEC(MID('paste from garc here'!$C$1,1+(('table for research'!$B192-1)*36+HEX2DEC(8))*2,2)),32),2)</f>
        <v>00</v>
      </c>
      <c r="M192" t="str">
        <f>DEC2HEX(_xlfn.BITAND(HEX2DEC(MID('paste from garc here'!$C$1,1+(('table for research'!$B192-1)*36+HEX2DEC(8))*2,2)),64),2)</f>
        <v>00</v>
      </c>
      <c r="N192" t="str">
        <f>DEC2HEX(_xlfn.BITRSHIFT(_xlfn.BITAND(HEX2DEC(MID('paste from garc here'!$C$1,1+(('table for research'!$B192-1)*36+HEX2DEC(9))*2,2)&amp;MID('paste from garc here'!$C$1,1+(('table for research'!$B192-1)*36+HEX2DEC(8))*2,2)),1920),7),2)</f>
        <v>03</v>
      </c>
      <c r="O192" t="str">
        <f>DEC2HEX(_xlfn.BITRSHIFT(HEX2DEC(MID('paste from garc here'!$C$1,1+(('table for research'!$B192-1)*36+HEX2DEC(9))*2,2)&amp;MID('paste from garc here'!$C$1,1+(('table for research'!$B192-1)*36+HEX2DEC(8))*2,2)),11),2)</f>
        <v>00</v>
      </c>
      <c r="P192" t="str">
        <f>MID('paste from garc here'!$C$1,1+(('table for research'!$B192-1)*36+HEX2DEC('table for research'!P$1))*2,2)</f>
        <v>0C</v>
      </c>
      <c r="Q192" t="str">
        <f>MID('paste from garc here'!$C$1,1+(('table for research'!$B192-1)*36+HEX2DEC('table for research'!Q$1))*2,2)</f>
        <v>00</v>
      </c>
      <c r="R192" t="str">
        <f>MID('paste from garc here'!$C$1,1+(('table for research'!$B192-1)*36+HEX2DEC('table for research'!R$1))*2,2)</f>
        <v>01</v>
      </c>
      <c r="S192" t="str">
        <f>MID('paste from garc here'!$C$1,1+(('table for research'!$B192-1)*36+HEX2DEC('table for research'!S$1))*2,2)</f>
        <v>07</v>
      </c>
      <c r="T192" t="str">
        <f>MID('paste from garc here'!$C$1,1+(('table for research'!$B192-1)*36+HEX2DEC('table for research'!T$1))*2,2)</f>
        <v>01</v>
      </c>
      <c r="U192" t="str">
        <f>MID('paste from garc here'!$C$1,1+(('table for research'!$B192-1)*36+HEX2DEC('table for research'!U$1))*2,2)</f>
        <v>29</v>
      </c>
      <c r="V192" t="str">
        <f>MID('paste from garc here'!$C$1,1+(('table for research'!$B192-1)*36+HEX2DEC('table for research'!V$1))*2,2)</f>
        <v>00</v>
      </c>
      <c r="W192" t="str">
        <f>MID('paste from garc here'!$C$1,1+(('table for research'!$B192-1)*36+HEX2DEC('table for research'!W$1))*2,2)</f>
        <v>00</v>
      </c>
      <c r="X192" t="str">
        <f>MID('paste from garc here'!$C$1,1+(('table for research'!$B192-1)*36+HEX2DEC('table for research'!X$1))*2,2)</f>
        <v>00</v>
      </c>
      <c r="Y192" t="str">
        <f>MID('paste from garc here'!$C$1,1+(('table for research'!$B192-1)*36+HEX2DEC('table for research'!Y$1))*2,2)</f>
        <v>00</v>
      </c>
      <c r="Z192" t="str">
        <f>MID('paste from garc here'!$C$1,1+(('table for research'!$B192-1)*36+HEX2DEC('table for research'!Z$1))*2,2)</f>
        <v>00</v>
      </c>
      <c r="AA192" t="str">
        <f>MID('paste from garc here'!$C$1,1+(('table for research'!$B192-1)*36+HEX2DEC('table for research'!AA$1))*2,2)</f>
        <v>00</v>
      </c>
      <c r="AB192" t="str">
        <f>MID('paste from garc here'!$C$1,1+(('table for research'!$B192-1)*36+HEX2DEC('table for research'!AB$1))*2,2)</f>
        <v>00</v>
      </c>
      <c r="AC192" t="str">
        <f>MID('paste from garc here'!$C$1,1+(('table for research'!$B192-1)*36+HEX2DEC('table for research'!AC$1))*2,2)</f>
        <v>00</v>
      </c>
      <c r="AD192" t="str">
        <f>MID('paste from garc here'!$C$1,1+(('table for research'!$B192-1)*36+HEX2DEC('table for research'!AD$1))*2,2)</f>
        <v>00</v>
      </c>
      <c r="AE192" t="str">
        <f>MID('paste from garc here'!$C$1,1+(('table for research'!$B192-1)*36+HEX2DEC('table for research'!AE$1))*2,2)</f>
        <v>00</v>
      </c>
      <c r="AF192" t="str">
        <f>MID('paste from garc here'!$C$1,1+(('table for research'!$B192-1)*36+HEX2DEC('table for research'!AF$1))*2,2)</f>
        <v>00</v>
      </c>
      <c r="AG192" t="str">
        <f>MID('paste from garc here'!$C$1,1+(('table for research'!$B192-1)*36+HEX2DEC('table for research'!AG$1))*2,2)</f>
        <v>00</v>
      </c>
      <c r="AH192" t="str">
        <f>MID('paste from garc here'!$C$1,1+(('table for research'!$B192-1)*36+HEX2DEC('table for research'!AH$1))*2,2)</f>
        <v>00</v>
      </c>
      <c r="AI192" t="str">
        <f>MID('paste from garc here'!$C$1,1+(('table for research'!$B192-1)*36+HEX2DEC('table for research'!AI$1))*2,2)</f>
        <v>00</v>
      </c>
      <c r="AJ192" t="str">
        <f>MID('paste from garc here'!$C$1,1+(('table for research'!$B192-1)*36+HEX2DEC('table for research'!AJ$1))*2,2)</f>
        <v>00</v>
      </c>
      <c r="AK192" t="str">
        <f>MID('paste from garc here'!$C$1,1+(('table for research'!$B192-1)*36+HEX2DEC('table for research'!AK$1))*2,2)</f>
        <v>00</v>
      </c>
      <c r="AL192" t="str">
        <f>MID('paste from garc here'!$C$1,1+(('table for research'!$B192-1)*36+HEX2DEC('table for research'!AL$1))*2,2)</f>
        <v>00</v>
      </c>
      <c r="AM192" t="str">
        <f>MID('paste from garc here'!$C$1,1+(('table for research'!$B192-1)*36+HEX2DEC('table for research'!AM$1))*2,2)</f>
        <v>00</v>
      </c>
      <c r="AN192" t="str">
        <f>MID('paste from garc here'!$C$1,1+(('table for research'!$B192-1)*36+HEX2DEC('table for research'!AN$1))*2,2)</f>
        <v>00</v>
      </c>
      <c r="AO192" t="str">
        <f>MID('paste from garc here'!$C$1,1+(('table for research'!$B192-1)*36+HEX2DEC('table for research'!AO$1))*2,2)</f>
        <v>00</v>
      </c>
    </row>
    <row r="193" spans="1:41" x14ac:dyDescent="0.4">
      <c r="A193" t="s">
        <v>196</v>
      </c>
      <c r="B193">
        <f>B192+1</f>
        <v>191</v>
      </c>
      <c r="C193" t="str">
        <f>MID('paste from garc here'!$C$1,1+(('table for research'!$B193-1)*36+HEX2DEC('table for research'!C$1))*2,2)</f>
        <v>02</v>
      </c>
      <c r="D193" t="str">
        <f>MID('paste from garc here'!$C$1,1+(('table for research'!$B193-1)*36+HEX2DEC('table for research'!D$1))*2,2)</f>
        <v>00</v>
      </c>
      <c r="E193" t="str">
        <f>MID('paste from garc here'!$C$1,1+(('table for research'!$B193-1)*36+HEX2DEC('table for research'!E$1))*2,2)</f>
        <v>1A</v>
      </c>
      <c r="F193" t="str">
        <f>MID('paste from garc here'!$C$1,1+(('table for research'!$B193-1)*36+HEX2DEC('table for research'!F$1))*2,2)</f>
        <v>00</v>
      </c>
      <c r="G193" t="str">
        <f>MID('paste from garc here'!$C$1,1+(('table for research'!$B193-1)*36+HEX2DEC('table for research'!G$1))*2,2)</f>
        <v>00</v>
      </c>
      <c r="H193" t="str">
        <f>MID('paste from garc here'!$C$1,1+(('table for research'!$B193-1)*36+HEX2DEC('table for research'!H$1))*2,2)</f>
        <v>00</v>
      </c>
      <c r="I193" t="str">
        <f>MID('paste from garc here'!$C$1,1+(('table for research'!$B193-1)*36+HEX2DEC('table for research'!I$1))*2,2)</f>
        <v>0A</v>
      </c>
      <c r="J193" t="str">
        <f>MID('paste from garc here'!$C$1,1+(('table for research'!$B193-1)*36+HEX2DEC('table for research'!J$1))*2,2)</f>
        <v>50</v>
      </c>
      <c r="K193" t="str">
        <f>DEC2HEX(_xlfn.BITAND(HEX2DEC(MID('paste from garc here'!$C$1,1+(('table for research'!$B193-1)*36+HEX2DEC(8))*2,2)),31),2)</f>
        <v>04</v>
      </c>
      <c r="L193" t="str">
        <f>DEC2HEX(_xlfn.BITAND(HEX2DEC(MID('paste from garc here'!$C$1,1+(('table for research'!$B193-1)*36+HEX2DEC(8))*2,2)),32),2)</f>
        <v>00</v>
      </c>
      <c r="M193" t="str">
        <f>DEC2HEX(_xlfn.BITAND(HEX2DEC(MID('paste from garc here'!$C$1,1+(('table for research'!$B193-1)*36+HEX2DEC(8))*2,2)),64),2)</f>
        <v>00</v>
      </c>
      <c r="N193" t="str">
        <f>DEC2HEX(_xlfn.BITRSHIFT(_xlfn.BITAND(HEX2DEC(MID('paste from garc here'!$C$1,1+(('table for research'!$B193-1)*36+HEX2DEC(9))*2,2)&amp;MID('paste from garc here'!$C$1,1+(('table for research'!$B193-1)*36+HEX2DEC(8))*2,2)),1920),7),2)</f>
        <v>03</v>
      </c>
      <c r="O193" t="str">
        <f>DEC2HEX(_xlfn.BITRSHIFT(HEX2DEC(MID('paste from garc here'!$C$1,1+(('table for research'!$B193-1)*36+HEX2DEC(9))*2,2)&amp;MID('paste from garc here'!$C$1,1+(('table for research'!$B193-1)*36+HEX2DEC(8))*2,2)),11),2)</f>
        <v>00</v>
      </c>
      <c r="P193" t="str">
        <f>MID('paste from garc here'!$C$1,1+(('table for research'!$B193-1)*36+HEX2DEC('table for research'!P$1))*2,2)</f>
        <v>0C</v>
      </c>
      <c r="Q193" t="str">
        <f>MID('paste from garc here'!$C$1,1+(('table for research'!$B193-1)*36+HEX2DEC('table for research'!Q$1))*2,2)</f>
        <v>00</v>
      </c>
      <c r="R193" t="str">
        <f>MID('paste from garc here'!$C$1,1+(('table for research'!$B193-1)*36+HEX2DEC('table for research'!R$1))*2,2)</f>
        <v>01</v>
      </c>
      <c r="S193" t="str">
        <f>MID('paste from garc here'!$C$1,1+(('table for research'!$B193-1)*36+HEX2DEC('table for research'!S$1))*2,2)</f>
        <v>07</v>
      </c>
      <c r="T193" t="str">
        <f>MID('paste from garc here'!$C$1,1+(('table for research'!$B193-1)*36+HEX2DEC('table for research'!T$1))*2,2)</f>
        <v>01</v>
      </c>
      <c r="U193" t="str">
        <f>MID('paste from garc here'!$C$1,1+(('table for research'!$B193-1)*36+HEX2DEC('table for research'!U$1))*2,2)</f>
        <v>2A</v>
      </c>
      <c r="V193" t="str">
        <f>MID('paste from garc here'!$C$1,1+(('table for research'!$B193-1)*36+HEX2DEC('table for research'!V$1))*2,2)</f>
        <v>00</v>
      </c>
      <c r="W193" t="str">
        <f>MID('paste from garc here'!$C$1,1+(('table for research'!$B193-1)*36+HEX2DEC('table for research'!W$1))*2,2)</f>
        <v>00</v>
      </c>
      <c r="X193" t="str">
        <f>MID('paste from garc here'!$C$1,1+(('table for research'!$B193-1)*36+HEX2DEC('table for research'!X$1))*2,2)</f>
        <v>00</v>
      </c>
      <c r="Y193" t="str">
        <f>MID('paste from garc here'!$C$1,1+(('table for research'!$B193-1)*36+HEX2DEC('table for research'!Y$1))*2,2)</f>
        <v>00</v>
      </c>
      <c r="Z193" t="str">
        <f>MID('paste from garc here'!$C$1,1+(('table for research'!$B193-1)*36+HEX2DEC('table for research'!Z$1))*2,2)</f>
        <v>00</v>
      </c>
      <c r="AA193" t="str">
        <f>MID('paste from garc here'!$C$1,1+(('table for research'!$B193-1)*36+HEX2DEC('table for research'!AA$1))*2,2)</f>
        <v>00</v>
      </c>
      <c r="AB193" t="str">
        <f>MID('paste from garc here'!$C$1,1+(('table for research'!$B193-1)*36+HEX2DEC('table for research'!AB$1))*2,2)</f>
        <v>00</v>
      </c>
      <c r="AC193" t="str">
        <f>MID('paste from garc here'!$C$1,1+(('table for research'!$B193-1)*36+HEX2DEC('table for research'!AC$1))*2,2)</f>
        <v>00</v>
      </c>
      <c r="AD193" t="str">
        <f>MID('paste from garc here'!$C$1,1+(('table for research'!$B193-1)*36+HEX2DEC('table for research'!AD$1))*2,2)</f>
        <v>00</v>
      </c>
      <c r="AE193" t="str">
        <f>MID('paste from garc here'!$C$1,1+(('table for research'!$B193-1)*36+HEX2DEC('table for research'!AE$1))*2,2)</f>
        <v>00</v>
      </c>
      <c r="AF193" t="str">
        <f>MID('paste from garc here'!$C$1,1+(('table for research'!$B193-1)*36+HEX2DEC('table for research'!AF$1))*2,2)</f>
        <v>00</v>
      </c>
      <c r="AG193" t="str">
        <f>MID('paste from garc here'!$C$1,1+(('table for research'!$B193-1)*36+HEX2DEC('table for research'!AG$1))*2,2)</f>
        <v>00</v>
      </c>
      <c r="AH193" t="str">
        <f>MID('paste from garc here'!$C$1,1+(('table for research'!$B193-1)*36+HEX2DEC('table for research'!AH$1))*2,2)</f>
        <v>00</v>
      </c>
      <c r="AI193" t="str">
        <f>MID('paste from garc here'!$C$1,1+(('table for research'!$B193-1)*36+HEX2DEC('table for research'!AI$1))*2,2)</f>
        <v>00</v>
      </c>
      <c r="AJ193" t="str">
        <f>MID('paste from garc here'!$C$1,1+(('table for research'!$B193-1)*36+HEX2DEC('table for research'!AJ$1))*2,2)</f>
        <v>00</v>
      </c>
      <c r="AK193" t="str">
        <f>MID('paste from garc here'!$C$1,1+(('table for research'!$B193-1)*36+HEX2DEC('table for research'!AK$1))*2,2)</f>
        <v>00</v>
      </c>
      <c r="AL193" t="str">
        <f>MID('paste from garc here'!$C$1,1+(('table for research'!$B193-1)*36+HEX2DEC('table for research'!AL$1))*2,2)</f>
        <v>00</v>
      </c>
      <c r="AM193" t="str">
        <f>MID('paste from garc here'!$C$1,1+(('table for research'!$B193-1)*36+HEX2DEC('table for research'!AM$1))*2,2)</f>
        <v>00</v>
      </c>
      <c r="AN193" t="str">
        <f>MID('paste from garc here'!$C$1,1+(('table for research'!$B193-1)*36+HEX2DEC('table for research'!AN$1))*2,2)</f>
        <v>00</v>
      </c>
      <c r="AO193" t="str">
        <f>MID('paste from garc here'!$C$1,1+(('table for research'!$B193-1)*36+HEX2DEC('table for research'!AO$1))*2,2)</f>
        <v>00</v>
      </c>
    </row>
    <row r="194" spans="1:41" x14ac:dyDescent="0.4">
      <c r="A194" t="s">
        <v>197</v>
      </c>
      <c r="B194">
        <f>B193+1</f>
        <v>192</v>
      </c>
      <c r="C194" t="str">
        <f>MID('paste from garc here'!$C$1,1+(('table for research'!$B194-1)*36+HEX2DEC('table for research'!C$1))*2,2)</f>
        <v>02</v>
      </c>
      <c r="D194" t="str">
        <f>MID('paste from garc here'!$C$1,1+(('table for research'!$B194-1)*36+HEX2DEC('table for research'!D$1))*2,2)</f>
        <v>00</v>
      </c>
      <c r="E194" t="str">
        <f>MID('paste from garc here'!$C$1,1+(('table for research'!$B194-1)*36+HEX2DEC('table for research'!E$1))*2,2)</f>
        <v>1B</v>
      </c>
      <c r="F194" t="str">
        <f>MID('paste from garc here'!$C$1,1+(('table for research'!$B194-1)*36+HEX2DEC('table for research'!F$1))*2,2)</f>
        <v>00</v>
      </c>
      <c r="G194" t="str">
        <f>MID('paste from garc here'!$C$1,1+(('table for research'!$B194-1)*36+HEX2DEC('table for research'!G$1))*2,2)</f>
        <v>00</v>
      </c>
      <c r="H194" t="str">
        <f>MID('paste from garc here'!$C$1,1+(('table for research'!$B194-1)*36+HEX2DEC('table for research'!H$1))*2,2)</f>
        <v>00</v>
      </c>
      <c r="I194" t="str">
        <f>MID('paste from garc here'!$C$1,1+(('table for research'!$B194-1)*36+HEX2DEC('table for research'!I$1))*2,2)</f>
        <v>0A</v>
      </c>
      <c r="J194" t="str">
        <f>MID('paste from garc here'!$C$1,1+(('table for research'!$B194-1)*36+HEX2DEC('table for research'!J$1))*2,2)</f>
        <v>50</v>
      </c>
      <c r="K194" t="str">
        <f>DEC2HEX(_xlfn.BITAND(HEX2DEC(MID('paste from garc here'!$C$1,1+(('table for research'!$B194-1)*36+HEX2DEC(8))*2,2)),31),2)</f>
        <v>02</v>
      </c>
      <c r="L194" t="str">
        <f>DEC2HEX(_xlfn.BITAND(HEX2DEC(MID('paste from garc here'!$C$1,1+(('table for research'!$B194-1)*36+HEX2DEC(8))*2,2)),32),2)</f>
        <v>00</v>
      </c>
      <c r="M194" t="str">
        <f>DEC2HEX(_xlfn.BITAND(HEX2DEC(MID('paste from garc here'!$C$1,1+(('table for research'!$B194-1)*36+HEX2DEC(8))*2,2)),64),2)</f>
        <v>00</v>
      </c>
      <c r="N194" t="str">
        <f>DEC2HEX(_xlfn.BITRSHIFT(_xlfn.BITAND(HEX2DEC(MID('paste from garc here'!$C$1,1+(('table for research'!$B194-1)*36+HEX2DEC(9))*2,2)&amp;MID('paste from garc here'!$C$1,1+(('table for research'!$B194-1)*36+HEX2DEC(8))*2,2)),1920),7),2)</f>
        <v>03</v>
      </c>
      <c r="O194" t="str">
        <f>DEC2HEX(_xlfn.BITRSHIFT(HEX2DEC(MID('paste from garc here'!$C$1,1+(('table for research'!$B194-1)*36+HEX2DEC(9))*2,2)&amp;MID('paste from garc here'!$C$1,1+(('table for research'!$B194-1)*36+HEX2DEC(8))*2,2)),11),2)</f>
        <v>00</v>
      </c>
      <c r="P194" t="str">
        <f>MID('paste from garc here'!$C$1,1+(('table for research'!$B194-1)*36+HEX2DEC('table for research'!P$1))*2,2)</f>
        <v>0C</v>
      </c>
      <c r="Q194" t="str">
        <f>MID('paste from garc here'!$C$1,1+(('table for research'!$B194-1)*36+HEX2DEC('table for research'!Q$1))*2,2)</f>
        <v>00</v>
      </c>
      <c r="R194" t="str">
        <f>MID('paste from garc here'!$C$1,1+(('table for research'!$B194-1)*36+HEX2DEC('table for research'!R$1))*2,2)</f>
        <v>01</v>
      </c>
      <c r="S194" t="str">
        <f>MID('paste from garc here'!$C$1,1+(('table for research'!$B194-1)*36+HEX2DEC('table for research'!S$1))*2,2)</f>
        <v>07</v>
      </c>
      <c r="T194" t="str">
        <f>MID('paste from garc here'!$C$1,1+(('table for research'!$B194-1)*36+HEX2DEC('table for research'!T$1))*2,2)</f>
        <v>01</v>
      </c>
      <c r="U194" t="str">
        <f>MID('paste from garc here'!$C$1,1+(('table for research'!$B194-1)*36+HEX2DEC('table for research'!U$1))*2,2)</f>
        <v>2B</v>
      </c>
      <c r="V194" t="str">
        <f>MID('paste from garc here'!$C$1,1+(('table for research'!$B194-1)*36+HEX2DEC('table for research'!V$1))*2,2)</f>
        <v>00</v>
      </c>
      <c r="W194" t="str">
        <f>MID('paste from garc here'!$C$1,1+(('table for research'!$B194-1)*36+HEX2DEC('table for research'!W$1))*2,2)</f>
        <v>00</v>
      </c>
      <c r="X194" t="str">
        <f>MID('paste from garc here'!$C$1,1+(('table for research'!$B194-1)*36+HEX2DEC('table for research'!X$1))*2,2)</f>
        <v>00</v>
      </c>
      <c r="Y194" t="str">
        <f>MID('paste from garc here'!$C$1,1+(('table for research'!$B194-1)*36+HEX2DEC('table for research'!Y$1))*2,2)</f>
        <v>00</v>
      </c>
      <c r="Z194" t="str">
        <f>MID('paste from garc here'!$C$1,1+(('table for research'!$B194-1)*36+HEX2DEC('table for research'!Z$1))*2,2)</f>
        <v>00</v>
      </c>
      <c r="AA194" t="str">
        <f>MID('paste from garc here'!$C$1,1+(('table for research'!$B194-1)*36+HEX2DEC('table for research'!AA$1))*2,2)</f>
        <v>00</v>
      </c>
      <c r="AB194" t="str">
        <f>MID('paste from garc here'!$C$1,1+(('table for research'!$B194-1)*36+HEX2DEC('table for research'!AB$1))*2,2)</f>
        <v>00</v>
      </c>
      <c r="AC194" t="str">
        <f>MID('paste from garc here'!$C$1,1+(('table for research'!$B194-1)*36+HEX2DEC('table for research'!AC$1))*2,2)</f>
        <v>00</v>
      </c>
      <c r="AD194" t="str">
        <f>MID('paste from garc here'!$C$1,1+(('table for research'!$B194-1)*36+HEX2DEC('table for research'!AD$1))*2,2)</f>
        <v>00</v>
      </c>
      <c r="AE194" t="str">
        <f>MID('paste from garc here'!$C$1,1+(('table for research'!$B194-1)*36+HEX2DEC('table for research'!AE$1))*2,2)</f>
        <v>00</v>
      </c>
      <c r="AF194" t="str">
        <f>MID('paste from garc here'!$C$1,1+(('table for research'!$B194-1)*36+HEX2DEC('table for research'!AF$1))*2,2)</f>
        <v>00</v>
      </c>
      <c r="AG194" t="str">
        <f>MID('paste from garc here'!$C$1,1+(('table for research'!$B194-1)*36+HEX2DEC('table for research'!AG$1))*2,2)</f>
        <v>00</v>
      </c>
      <c r="AH194" t="str">
        <f>MID('paste from garc here'!$C$1,1+(('table for research'!$B194-1)*36+HEX2DEC('table for research'!AH$1))*2,2)</f>
        <v>00</v>
      </c>
      <c r="AI194" t="str">
        <f>MID('paste from garc here'!$C$1,1+(('table for research'!$B194-1)*36+HEX2DEC('table for research'!AI$1))*2,2)</f>
        <v>00</v>
      </c>
      <c r="AJ194" t="str">
        <f>MID('paste from garc here'!$C$1,1+(('table for research'!$B194-1)*36+HEX2DEC('table for research'!AJ$1))*2,2)</f>
        <v>00</v>
      </c>
      <c r="AK194" t="str">
        <f>MID('paste from garc here'!$C$1,1+(('table for research'!$B194-1)*36+HEX2DEC('table for research'!AK$1))*2,2)</f>
        <v>00</v>
      </c>
      <c r="AL194" t="str">
        <f>MID('paste from garc here'!$C$1,1+(('table for research'!$B194-1)*36+HEX2DEC('table for research'!AL$1))*2,2)</f>
        <v>00</v>
      </c>
      <c r="AM194" t="str">
        <f>MID('paste from garc here'!$C$1,1+(('table for research'!$B194-1)*36+HEX2DEC('table for research'!AM$1))*2,2)</f>
        <v>00</v>
      </c>
      <c r="AN194" t="str">
        <f>MID('paste from garc here'!$C$1,1+(('table for research'!$B194-1)*36+HEX2DEC('table for research'!AN$1))*2,2)</f>
        <v>00</v>
      </c>
      <c r="AO194" t="str">
        <f>MID('paste from garc here'!$C$1,1+(('table for research'!$B194-1)*36+HEX2DEC('table for research'!AO$1))*2,2)</f>
        <v>00</v>
      </c>
    </row>
    <row r="195" spans="1:41" x14ac:dyDescent="0.4">
      <c r="A195" t="s">
        <v>198</v>
      </c>
      <c r="B195">
        <f>B194+1</f>
        <v>193</v>
      </c>
      <c r="C195" t="str">
        <f>MID('paste from garc here'!$C$1,1+(('table for research'!$B195-1)*36+HEX2DEC('table for research'!C$1))*2,2)</f>
        <v>02</v>
      </c>
      <c r="D195" t="str">
        <f>MID('paste from garc here'!$C$1,1+(('table for research'!$B195-1)*36+HEX2DEC('table for research'!D$1))*2,2)</f>
        <v>00</v>
      </c>
      <c r="E195" t="str">
        <f>MID('paste from garc here'!$C$1,1+(('table for research'!$B195-1)*36+HEX2DEC('table for research'!E$1))*2,2)</f>
        <v>1C</v>
      </c>
      <c r="F195" t="str">
        <f>MID('paste from garc here'!$C$1,1+(('table for research'!$B195-1)*36+HEX2DEC('table for research'!F$1))*2,2)</f>
        <v>00</v>
      </c>
      <c r="G195" t="str">
        <f>MID('paste from garc here'!$C$1,1+(('table for research'!$B195-1)*36+HEX2DEC('table for research'!G$1))*2,2)</f>
        <v>00</v>
      </c>
      <c r="H195" t="str">
        <f>MID('paste from garc here'!$C$1,1+(('table for research'!$B195-1)*36+HEX2DEC('table for research'!H$1))*2,2)</f>
        <v>00</v>
      </c>
      <c r="I195" t="str">
        <f>MID('paste from garc here'!$C$1,1+(('table for research'!$B195-1)*36+HEX2DEC('table for research'!I$1))*2,2)</f>
        <v>0A</v>
      </c>
      <c r="J195" t="str">
        <f>MID('paste from garc here'!$C$1,1+(('table for research'!$B195-1)*36+HEX2DEC('table for research'!J$1))*2,2)</f>
        <v>50</v>
      </c>
      <c r="K195" t="str">
        <f>DEC2HEX(_xlfn.BITAND(HEX2DEC(MID('paste from garc here'!$C$1,1+(('table for research'!$B195-1)*36+HEX2DEC(8))*2,2)),31),2)</f>
        <v>0D</v>
      </c>
      <c r="L195" t="str">
        <f>DEC2HEX(_xlfn.BITAND(HEX2DEC(MID('paste from garc here'!$C$1,1+(('table for research'!$B195-1)*36+HEX2DEC(8))*2,2)),32),2)</f>
        <v>00</v>
      </c>
      <c r="M195" t="str">
        <f>DEC2HEX(_xlfn.BITAND(HEX2DEC(MID('paste from garc here'!$C$1,1+(('table for research'!$B195-1)*36+HEX2DEC(8))*2,2)),64),2)</f>
        <v>00</v>
      </c>
      <c r="N195" t="str">
        <f>DEC2HEX(_xlfn.BITRSHIFT(_xlfn.BITAND(HEX2DEC(MID('paste from garc here'!$C$1,1+(('table for research'!$B195-1)*36+HEX2DEC(9))*2,2)&amp;MID('paste from garc here'!$C$1,1+(('table for research'!$B195-1)*36+HEX2DEC(8))*2,2)),1920),7),2)</f>
        <v>03</v>
      </c>
      <c r="O195" t="str">
        <f>DEC2HEX(_xlfn.BITRSHIFT(HEX2DEC(MID('paste from garc here'!$C$1,1+(('table for research'!$B195-1)*36+HEX2DEC(9))*2,2)&amp;MID('paste from garc here'!$C$1,1+(('table for research'!$B195-1)*36+HEX2DEC(8))*2,2)),11),2)</f>
        <v>00</v>
      </c>
      <c r="P195" t="str">
        <f>MID('paste from garc here'!$C$1,1+(('table for research'!$B195-1)*36+HEX2DEC('table for research'!P$1))*2,2)</f>
        <v>0C</v>
      </c>
      <c r="Q195" t="str">
        <f>MID('paste from garc here'!$C$1,1+(('table for research'!$B195-1)*36+HEX2DEC('table for research'!Q$1))*2,2)</f>
        <v>00</v>
      </c>
      <c r="R195" t="str">
        <f>MID('paste from garc here'!$C$1,1+(('table for research'!$B195-1)*36+HEX2DEC('table for research'!R$1))*2,2)</f>
        <v>01</v>
      </c>
      <c r="S195" t="str">
        <f>MID('paste from garc here'!$C$1,1+(('table for research'!$B195-1)*36+HEX2DEC('table for research'!S$1))*2,2)</f>
        <v>07</v>
      </c>
      <c r="T195" t="str">
        <f>MID('paste from garc here'!$C$1,1+(('table for research'!$B195-1)*36+HEX2DEC('table for research'!T$1))*2,2)</f>
        <v>01</v>
      </c>
      <c r="U195" t="str">
        <f>MID('paste from garc here'!$C$1,1+(('table for research'!$B195-1)*36+HEX2DEC('table for research'!U$1))*2,2)</f>
        <v>2C</v>
      </c>
      <c r="V195" t="str">
        <f>MID('paste from garc here'!$C$1,1+(('table for research'!$B195-1)*36+HEX2DEC('table for research'!V$1))*2,2)</f>
        <v>00</v>
      </c>
      <c r="W195" t="str">
        <f>MID('paste from garc here'!$C$1,1+(('table for research'!$B195-1)*36+HEX2DEC('table for research'!W$1))*2,2)</f>
        <v>00</v>
      </c>
      <c r="X195" t="str">
        <f>MID('paste from garc here'!$C$1,1+(('table for research'!$B195-1)*36+HEX2DEC('table for research'!X$1))*2,2)</f>
        <v>00</v>
      </c>
      <c r="Y195" t="str">
        <f>MID('paste from garc here'!$C$1,1+(('table for research'!$B195-1)*36+HEX2DEC('table for research'!Y$1))*2,2)</f>
        <v>00</v>
      </c>
      <c r="Z195" t="str">
        <f>MID('paste from garc here'!$C$1,1+(('table for research'!$B195-1)*36+HEX2DEC('table for research'!Z$1))*2,2)</f>
        <v>00</v>
      </c>
      <c r="AA195" t="str">
        <f>MID('paste from garc here'!$C$1,1+(('table for research'!$B195-1)*36+HEX2DEC('table for research'!AA$1))*2,2)</f>
        <v>00</v>
      </c>
      <c r="AB195" t="str">
        <f>MID('paste from garc here'!$C$1,1+(('table for research'!$B195-1)*36+HEX2DEC('table for research'!AB$1))*2,2)</f>
        <v>00</v>
      </c>
      <c r="AC195" t="str">
        <f>MID('paste from garc here'!$C$1,1+(('table for research'!$B195-1)*36+HEX2DEC('table for research'!AC$1))*2,2)</f>
        <v>00</v>
      </c>
      <c r="AD195" t="str">
        <f>MID('paste from garc here'!$C$1,1+(('table for research'!$B195-1)*36+HEX2DEC('table for research'!AD$1))*2,2)</f>
        <v>00</v>
      </c>
      <c r="AE195" t="str">
        <f>MID('paste from garc here'!$C$1,1+(('table for research'!$B195-1)*36+HEX2DEC('table for research'!AE$1))*2,2)</f>
        <v>00</v>
      </c>
      <c r="AF195" t="str">
        <f>MID('paste from garc here'!$C$1,1+(('table for research'!$B195-1)*36+HEX2DEC('table for research'!AF$1))*2,2)</f>
        <v>00</v>
      </c>
      <c r="AG195" t="str">
        <f>MID('paste from garc here'!$C$1,1+(('table for research'!$B195-1)*36+HEX2DEC('table for research'!AG$1))*2,2)</f>
        <v>00</v>
      </c>
      <c r="AH195" t="str">
        <f>MID('paste from garc here'!$C$1,1+(('table for research'!$B195-1)*36+HEX2DEC('table for research'!AH$1))*2,2)</f>
        <v>00</v>
      </c>
      <c r="AI195" t="str">
        <f>MID('paste from garc here'!$C$1,1+(('table for research'!$B195-1)*36+HEX2DEC('table for research'!AI$1))*2,2)</f>
        <v>00</v>
      </c>
      <c r="AJ195" t="str">
        <f>MID('paste from garc here'!$C$1,1+(('table for research'!$B195-1)*36+HEX2DEC('table for research'!AJ$1))*2,2)</f>
        <v>00</v>
      </c>
      <c r="AK195" t="str">
        <f>MID('paste from garc here'!$C$1,1+(('table for research'!$B195-1)*36+HEX2DEC('table for research'!AK$1))*2,2)</f>
        <v>00</v>
      </c>
      <c r="AL195" t="str">
        <f>MID('paste from garc here'!$C$1,1+(('table for research'!$B195-1)*36+HEX2DEC('table for research'!AL$1))*2,2)</f>
        <v>00</v>
      </c>
      <c r="AM195" t="str">
        <f>MID('paste from garc here'!$C$1,1+(('table for research'!$B195-1)*36+HEX2DEC('table for research'!AM$1))*2,2)</f>
        <v>00</v>
      </c>
      <c r="AN195" t="str">
        <f>MID('paste from garc here'!$C$1,1+(('table for research'!$B195-1)*36+HEX2DEC('table for research'!AN$1))*2,2)</f>
        <v>00</v>
      </c>
      <c r="AO195" t="str">
        <f>MID('paste from garc here'!$C$1,1+(('table for research'!$B195-1)*36+HEX2DEC('table for research'!AO$1))*2,2)</f>
        <v>00</v>
      </c>
    </row>
    <row r="196" spans="1:41" x14ac:dyDescent="0.4">
      <c r="A196" t="s">
        <v>199</v>
      </c>
      <c r="B196">
        <f>B195+1</f>
        <v>194</v>
      </c>
      <c r="C196" t="str">
        <f>MID('paste from garc here'!$C$1,1+(('table for research'!$B196-1)*36+HEX2DEC('table for research'!C$1))*2,2)</f>
        <v>02</v>
      </c>
      <c r="D196" t="str">
        <f>MID('paste from garc here'!$C$1,1+(('table for research'!$B196-1)*36+HEX2DEC('table for research'!D$1))*2,2)</f>
        <v>00</v>
      </c>
      <c r="E196" t="str">
        <f>MID('paste from garc here'!$C$1,1+(('table for research'!$B196-1)*36+HEX2DEC('table for research'!E$1))*2,2)</f>
        <v>1D</v>
      </c>
      <c r="F196" t="str">
        <f>MID('paste from garc here'!$C$1,1+(('table for research'!$B196-1)*36+HEX2DEC('table for research'!F$1))*2,2)</f>
        <v>00</v>
      </c>
      <c r="G196" t="str">
        <f>MID('paste from garc here'!$C$1,1+(('table for research'!$B196-1)*36+HEX2DEC('table for research'!G$1))*2,2)</f>
        <v>00</v>
      </c>
      <c r="H196" t="str">
        <f>MID('paste from garc here'!$C$1,1+(('table for research'!$B196-1)*36+HEX2DEC('table for research'!H$1))*2,2)</f>
        <v>00</v>
      </c>
      <c r="I196" t="str">
        <f>MID('paste from garc here'!$C$1,1+(('table for research'!$B196-1)*36+HEX2DEC('table for research'!I$1))*2,2)</f>
        <v>0A</v>
      </c>
      <c r="J196" t="str">
        <f>MID('paste from garc here'!$C$1,1+(('table for research'!$B196-1)*36+HEX2DEC('table for research'!J$1))*2,2)</f>
        <v>50</v>
      </c>
      <c r="K196" t="str">
        <f>DEC2HEX(_xlfn.BITAND(HEX2DEC(MID('paste from garc here'!$C$1,1+(('table for research'!$B196-1)*36+HEX2DEC(8))*2,2)),31),2)</f>
        <v>06</v>
      </c>
      <c r="L196" t="str">
        <f>DEC2HEX(_xlfn.BITAND(HEX2DEC(MID('paste from garc here'!$C$1,1+(('table for research'!$B196-1)*36+HEX2DEC(8))*2,2)),32),2)</f>
        <v>00</v>
      </c>
      <c r="M196" t="str">
        <f>DEC2HEX(_xlfn.BITAND(HEX2DEC(MID('paste from garc here'!$C$1,1+(('table for research'!$B196-1)*36+HEX2DEC(8))*2,2)),64),2)</f>
        <v>00</v>
      </c>
      <c r="N196" t="str">
        <f>DEC2HEX(_xlfn.BITRSHIFT(_xlfn.BITAND(HEX2DEC(MID('paste from garc here'!$C$1,1+(('table for research'!$B196-1)*36+HEX2DEC(9))*2,2)&amp;MID('paste from garc here'!$C$1,1+(('table for research'!$B196-1)*36+HEX2DEC(8))*2,2)),1920),7),2)</f>
        <v>03</v>
      </c>
      <c r="O196" t="str">
        <f>DEC2HEX(_xlfn.BITRSHIFT(HEX2DEC(MID('paste from garc here'!$C$1,1+(('table for research'!$B196-1)*36+HEX2DEC(9))*2,2)&amp;MID('paste from garc here'!$C$1,1+(('table for research'!$B196-1)*36+HEX2DEC(8))*2,2)),11),2)</f>
        <v>00</v>
      </c>
      <c r="P196" t="str">
        <f>MID('paste from garc here'!$C$1,1+(('table for research'!$B196-1)*36+HEX2DEC('table for research'!P$1))*2,2)</f>
        <v>0C</v>
      </c>
      <c r="Q196" t="str">
        <f>MID('paste from garc here'!$C$1,1+(('table for research'!$B196-1)*36+HEX2DEC('table for research'!Q$1))*2,2)</f>
        <v>00</v>
      </c>
      <c r="R196" t="str">
        <f>MID('paste from garc here'!$C$1,1+(('table for research'!$B196-1)*36+HEX2DEC('table for research'!R$1))*2,2)</f>
        <v>01</v>
      </c>
      <c r="S196" t="str">
        <f>MID('paste from garc here'!$C$1,1+(('table for research'!$B196-1)*36+HEX2DEC('table for research'!S$1))*2,2)</f>
        <v>07</v>
      </c>
      <c r="T196" t="str">
        <f>MID('paste from garc here'!$C$1,1+(('table for research'!$B196-1)*36+HEX2DEC('table for research'!T$1))*2,2)</f>
        <v>01</v>
      </c>
      <c r="U196" t="str">
        <f>MID('paste from garc here'!$C$1,1+(('table for research'!$B196-1)*36+HEX2DEC('table for research'!U$1))*2,2)</f>
        <v>2D</v>
      </c>
      <c r="V196" t="str">
        <f>MID('paste from garc here'!$C$1,1+(('table for research'!$B196-1)*36+HEX2DEC('table for research'!V$1))*2,2)</f>
        <v>00</v>
      </c>
      <c r="W196" t="str">
        <f>MID('paste from garc here'!$C$1,1+(('table for research'!$B196-1)*36+HEX2DEC('table for research'!W$1))*2,2)</f>
        <v>00</v>
      </c>
      <c r="X196" t="str">
        <f>MID('paste from garc here'!$C$1,1+(('table for research'!$B196-1)*36+HEX2DEC('table for research'!X$1))*2,2)</f>
        <v>00</v>
      </c>
      <c r="Y196" t="str">
        <f>MID('paste from garc here'!$C$1,1+(('table for research'!$B196-1)*36+HEX2DEC('table for research'!Y$1))*2,2)</f>
        <v>00</v>
      </c>
      <c r="Z196" t="str">
        <f>MID('paste from garc here'!$C$1,1+(('table for research'!$B196-1)*36+HEX2DEC('table for research'!Z$1))*2,2)</f>
        <v>00</v>
      </c>
      <c r="AA196" t="str">
        <f>MID('paste from garc here'!$C$1,1+(('table for research'!$B196-1)*36+HEX2DEC('table for research'!AA$1))*2,2)</f>
        <v>00</v>
      </c>
      <c r="AB196" t="str">
        <f>MID('paste from garc here'!$C$1,1+(('table for research'!$B196-1)*36+HEX2DEC('table for research'!AB$1))*2,2)</f>
        <v>00</v>
      </c>
      <c r="AC196" t="str">
        <f>MID('paste from garc here'!$C$1,1+(('table for research'!$B196-1)*36+HEX2DEC('table for research'!AC$1))*2,2)</f>
        <v>00</v>
      </c>
      <c r="AD196" t="str">
        <f>MID('paste from garc here'!$C$1,1+(('table for research'!$B196-1)*36+HEX2DEC('table for research'!AD$1))*2,2)</f>
        <v>00</v>
      </c>
      <c r="AE196" t="str">
        <f>MID('paste from garc here'!$C$1,1+(('table for research'!$B196-1)*36+HEX2DEC('table for research'!AE$1))*2,2)</f>
        <v>00</v>
      </c>
      <c r="AF196" t="str">
        <f>MID('paste from garc here'!$C$1,1+(('table for research'!$B196-1)*36+HEX2DEC('table for research'!AF$1))*2,2)</f>
        <v>00</v>
      </c>
      <c r="AG196" t="str">
        <f>MID('paste from garc here'!$C$1,1+(('table for research'!$B196-1)*36+HEX2DEC('table for research'!AG$1))*2,2)</f>
        <v>00</v>
      </c>
      <c r="AH196" t="str">
        <f>MID('paste from garc here'!$C$1,1+(('table for research'!$B196-1)*36+HEX2DEC('table for research'!AH$1))*2,2)</f>
        <v>00</v>
      </c>
      <c r="AI196" t="str">
        <f>MID('paste from garc here'!$C$1,1+(('table for research'!$B196-1)*36+HEX2DEC('table for research'!AI$1))*2,2)</f>
        <v>00</v>
      </c>
      <c r="AJ196" t="str">
        <f>MID('paste from garc here'!$C$1,1+(('table for research'!$B196-1)*36+HEX2DEC('table for research'!AJ$1))*2,2)</f>
        <v>00</v>
      </c>
      <c r="AK196" t="str">
        <f>MID('paste from garc here'!$C$1,1+(('table for research'!$B196-1)*36+HEX2DEC('table for research'!AK$1))*2,2)</f>
        <v>00</v>
      </c>
      <c r="AL196" t="str">
        <f>MID('paste from garc here'!$C$1,1+(('table for research'!$B196-1)*36+HEX2DEC('table for research'!AL$1))*2,2)</f>
        <v>00</v>
      </c>
      <c r="AM196" t="str">
        <f>MID('paste from garc here'!$C$1,1+(('table for research'!$B196-1)*36+HEX2DEC('table for research'!AM$1))*2,2)</f>
        <v>00</v>
      </c>
      <c r="AN196" t="str">
        <f>MID('paste from garc here'!$C$1,1+(('table for research'!$B196-1)*36+HEX2DEC('table for research'!AN$1))*2,2)</f>
        <v>00</v>
      </c>
      <c r="AO196" t="str">
        <f>MID('paste from garc here'!$C$1,1+(('table for research'!$B196-1)*36+HEX2DEC('table for research'!AO$1))*2,2)</f>
        <v>00</v>
      </c>
    </row>
    <row r="197" spans="1:41" x14ac:dyDescent="0.4">
      <c r="A197" t="s">
        <v>200</v>
      </c>
      <c r="B197">
        <f>B196+1</f>
        <v>195</v>
      </c>
      <c r="C197" t="str">
        <f>MID('paste from garc here'!$C$1,1+(('table for research'!$B197-1)*36+HEX2DEC('table for research'!C$1))*2,2)</f>
        <v>02</v>
      </c>
      <c r="D197" t="str">
        <f>MID('paste from garc here'!$C$1,1+(('table for research'!$B197-1)*36+HEX2DEC('table for research'!D$1))*2,2)</f>
        <v>00</v>
      </c>
      <c r="E197" t="str">
        <f>MID('paste from garc here'!$C$1,1+(('table for research'!$B197-1)*36+HEX2DEC('table for research'!E$1))*2,2)</f>
        <v>1E</v>
      </c>
      <c r="F197" t="str">
        <f>MID('paste from garc here'!$C$1,1+(('table for research'!$B197-1)*36+HEX2DEC('table for research'!F$1))*2,2)</f>
        <v>00</v>
      </c>
      <c r="G197" t="str">
        <f>MID('paste from garc here'!$C$1,1+(('table for research'!$B197-1)*36+HEX2DEC('table for research'!G$1))*2,2)</f>
        <v>00</v>
      </c>
      <c r="H197" t="str">
        <f>MID('paste from garc here'!$C$1,1+(('table for research'!$B197-1)*36+HEX2DEC('table for research'!H$1))*2,2)</f>
        <v>00</v>
      </c>
      <c r="I197" t="str">
        <f>MID('paste from garc here'!$C$1,1+(('table for research'!$B197-1)*36+HEX2DEC('table for research'!I$1))*2,2)</f>
        <v>0A</v>
      </c>
      <c r="J197" t="str">
        <f>MID('paste from garc here'!$C$1,1+(('table for research'!$B197-1)*36+HEX2DEC('table for research'!J$1))*2,2)</f>
        <v>50</v>
      </c>
      <c r="K197" t="str">
        <f>DEC2HEX(_xlfn.BITAND(HEX2DEC(MID('paste from garc here'!$C$1,1+(('table for research'!$B197-1)*36+HEX2DEC(8))*2,2)),31),2)</f>
        <v>05</v>
      </c>
      <c r="L197" t="str">
        <f>DEC2HEX(_xlfn.BITAND(HEX2DEC(MID('paste from garc here'!$C$1,1+(('table for research'!$B197-1)*36+HEX2DEC(8))*2,2)),32),2)</f>
        <v>00</v>
      </c>
      <c r="M197" t="str">
        <f>DEC2HEX(_xlfn.BITAND(HEX2DEC(MID('paste from garc here'!$C$1,1+(('table for research'!$B197-1)*36+HEX2DEC(8))*2,2)),64),2)</f>
        <v>00</v>
      </c>
      <c r="N197" t="str">
        <f>DEC2HEX(_xlfn.BITRSHIFT(_xlfn.BITAND(HEX2DEC(MID('paste from garc here'!$C$1,1+(('table for research'!$B197-1)*36+HEX2DEC(9))*2,2)&amp;MID('paste from garc here'!$C$1,1+(('table for research'!$B197-1)*36+HEX2DEC(8))*2,2)),1920),7),2)</f>
        <v>03</v>
      </c>
      <c r="O197" t="str">
        <f>DEC2HEX(_xlfn.BITRSHIFT(HEX2DEC(MID('paste from garc here'!$C$1,1+(('table for research'!$B197-1)*36+HEX2DEC(9))*2,2)&amp;MID('paste from garc here'!$C$1,1+(('table for research'!$B197-1)*36+HEX2DEC(8))*2,2)),11),2)</f>
        <v>00</v>
      </c>
      <c r="P197" t="str">
        <f>MID('paste from garc here'!$C$1,1+(('table for research'!$B197-1)*36+HEX2DEC('table for research'!P$1))*2,2)</f>
        <v>0C</v>
      </c>
      <c r="Q197" t="str">
        <f>MID('paste from garc here'!$C$1,1+(('table for research'!$B197-1)*36+HEX2DEC('table for research'!Q$1))*2,2)</f>
        <v>00</v>
      </c>
      <c r="R197" t="str">
        <f>MID('paste from garc here'!$C$1,1+(('table for research'!$B197-1)*36+HEX2DEC('table for research'!R$1))*2,2)</f>
        <v>01</v>
      </c>
      <c r="S197" t="str">
        <f>MID('paste from garc here'!$C$1,1+(('table for research'!$B197-1)*36+HEX2DEC('table for research'!S$1))*2,2)</f>
        <v>07</v>
      </c>
      <c r="T197" t="str">
        <f>MID('paste from garc here'!$C$1,1+(('table for research'!$B197-1)*36+HEX2DEC('table for research'!T$1))*2,2)</f>
        <v>01</v>
      </c>
      <c r="U197" t="str">
        <f>MID('paste from garc here'!$C$1,1+(('table for research'!$B197-1)*36+HEX2DEC('table for research'!U$1))*2,2)</f>
        <v>2E</v>
      </c>
      <c r="V197" t="str">
        <f>MID('paste from garc here'!$C$1,1+(('table for research'!$B197-1)*36+HEX2DEC('table for research'!V$1))*2,2)</f>
        <v>00</v>
      </c>
      <c r="W197" t="str">
        <f>MID('paste from garc here'!$C$1,1+(('table for research'!$B197-1)*36+HEX2DEC('table for research'!W$1))*2,2)</f>
        <v>00</v>
      </c>
      <c r="X197" t="str">
        <f>MID('paste from garc here'!$C$1,1+(('table for research'!$B197-1)*36+HEX2DEC('table for research'!X$1))*2,2)</f>
        <v>00</v>
      </c>
      <c r="Y197" t="str">
        <f>MID('paste from garc here'!$C$1,1+(('table for research'!$B197-1)*36+HEX2DEC('table for research'!Y$1))*2,2)</f>
        <v>00</v>
      </c>
      <c r="Z197" t="str">
        <f>MID('paste from garc here'!$C$1,1+(('table for research'!$B197-1)*36+HEX2DEC('table for research'!Z$1))*2,2)</f>
        <v>00</v>
      </c>
      <c r="AA197" t="str">
        <f>MID('paste from garc here'!$C$1,1+(('table for research'!$B197-1)*36+HEX2DEC('table for research'!AA$1))*2,2)</f>
        <v>00</v>
      </c>
      <c r="AB197" t="str">
        <f>MID('paste from garc here'!$C$1,1+(('table for research'!$B197-1)*36+HEX2DEC('table for research'!AB$1))*2,2)</f>
        <v>00</v>
      </c>
      <c r="AC197" t="str">
        <f>MID('paste from garc here'!$C$1,1+(('table for research'!$B197-1)*36+HEX2DEC('table for research'!AC$1))*2,2)</f>
        <v>00</v>
      </c>
      <c r="AD197" t="str">
        <f>MID('paste from garc here'!$C$1,1+(('table for research'!$B197-1)*36+HEX2DEC('table for research'!AD$1))*2,2)</f>
        <v>00</v>
      </c>
      <c r="AE197" t="str">
        <f>MID('paste from garc here'!$C$1,1+(('table for research'!$B197-1)*36+HEX2DEC('table for research'!AE$1))*2,2)</f>
        <v>00</v>
      </c>
      <c r="AF197" t="str">
        <f>MID('paste from garc here'!$C$1,1+(('table for research'!$B197-1)*36+HEX2DEC('table for research'!AF$1))*2,2)</f>
        <v>00</v>
      </c>
      <c r="AG197" t="str">
        <f>MID('paste from garc here'!$C$1,1+(('table for research'!$B197-1)*36+HEX2DEC('table for research'!AG$1))*2,2)</f>
        <v>00</v>
      </c>
      <c r="AH197" t="str">
        <f>MID('paste from garc here'!$C$1,1+(('table for research'!$B197-1)*36+HEX2DEC('table for research'!AH$1))*2,2)</f>
        <v>00</v>
      </c>
      <c r="AI197" t="str">
        <f>MID('paste from garc here'!$C$1,1+(('table for research'!$B197-1)*36+HEX2DEC('table for research'!AI$1))*2,2)</f>
        <v>00</v>
      </c>
      <c r="AJ197" t="str">
        <f>MID('paste from garc here'!$C$1,1+(('table for research'!$B197-1)*36+HEX2DEC('table for research'!AJ$1))*2,2)</f>
        <v>00</v>
      </c>
      <c r="AK197" t="str">
        <f>MID('paste from garc here'!$C$1,1+(('table for research'!$B197-1)*36+HEX2DEC('table for research'!AK$1))*2,2)</f>
        <v>00</v>
      </c>
      <c r="AL197" t="str">
        <f>MID('paste from garc here'!$C$1,1+(('table for research'!$B197-1)*36+HEX2DEC('table for research'!AL$1))*2,2)</f>
        <v>00</v>
      </c>
      <c r="AM197" t="str">
        <f>MID('paste from garc here'!$C$1,1+(('table for research'!$B197-1)*36+HEX2DEC('table for research'!AM$1))*2,2)</f>
        <v>00</v>
      </c>
      <c r="AN197" t="str">
        <f>MID('paste from garc here'!$C$1,1+(('table for research'!$B197-1)*36+HEX2DEC('table for research'!AN$1))*2,2)</f>
        <v>00</v>
      </c>
      <c r="AO197" t="str">
        <f>MID('paste from garc here'!$C$1,1+(('table for research'!$B197-1)*36+HEX2DEC('table for research'!AO$1))*2,2)</f>
        <v>00</v>
      </c>
    </row>
    <row r="198" spans="1:41" x14ac:dyDescent="0.4">
      <c r="A198" t="s">
        <v>201</v>
      </c>
      <c r="B198">
        <f>B197+1</f>
        <v>196</v>
      </c>
      <c r="C198" t="str">
        <f>MID('paste from garc here'!$C$1,1+(('table for research'!$B198-1)*36+HEX2DEC('table for research'!C$1))*2,2)</f>
        <v>02</v>
      </c>
      <c r="D198" t="str">
        <f>MID('paste from garc here'!$C$1,1+(('table for research'!$B198-1)*36+HEX2DEC('table for research'!D$1))*2,2)</f>
        <v>00</v>
      </c>
      <c r="E198" t="str">
        <f>MID('paste from garc here'!$C$1,1+(('table for research'!$B198-1)*36+HEX2DEC('table for research'!E$1))*2,2)</f>
        <v>1F</v>
      </c>
      <c r="F198" t="str">
        <f>MID('paste from garc here'!$C$1,1+(('table for research'!$B198-1)*36+HEX2DEC('table for research'!F$1))*2,2)</f>
        <v>00</v>
      </c>
      <c r="G198" t="str">
        <f>MID('paste from garc here'!$C$1,1+(('table for research'!$B198-1)*36+HEX2DEC('table for research'!G$1))*2,2)</f>
        <v>00</v>
      </c>
      <c r="H198" t="str">
        <f>MID('paste from garc here'!$C$1,1+(('table for research'!$B198-1)*36+HEX2DEC('table for research'!H$1))*2,2)</f>
        <v>00</v>
      </c>
      <c r="I198" t="str">
        <f>MID('paste from garc here'!$C$1,1+(('table for research'!$B198-1)*36+HEX2DEC('table for research'!I$1))*2,2)</f>
        <v>0A</v>
      </c>
      <c r="J198" t="str">
        <f>MID('paste from garc here'!$C$1,1+(('table for research'!$B198-1)*36+HEX2DEC('table for research'!J$1))*2,2)</f>
        <v>50</v>
      </c>
      <c r="K198" t="str">
        <f>DEC2HEX(_xlfn.BITAND(HEX2DEC(MID('paste from garc here'!$C$1,1+(('table for research'!$B198-1)*36+HEX2DEC(8))*2,2)),31),2)</f>
        <v>07</v>
      </c>
      <c r="L198" t="str">
        <f>DEC2HEX(_xlfn.BITAND(HEX2DEC(MID('paste from garc here'!$C$1,1+(('table for research'!$B198-1)*36+HEX2DEC(8))*2,2)),32),2)</f>
        <v>00</v>
      </c>
      <c r="M198" t="str">
        <f>DEC2HEX(_xlfn.BITAND(HEX2DEC(MID('paste from garc here'!$C$1,1+(('table for research'!$B198-1)*36+HEX2DEC(8))*2,2)),64),2)</f>
        <v>00</v>
      </c>
      <c r="N198" t="str">
        <f>DEC2HEX(_xlfn.BITRSHIFT(_xlfn.BITAND(HEX2DEC(MID('paste from garc here'!$C$1,1+(('table for research'!$B198-1)*36+HEX2DEC(9))*2,2)&amp;MID('paste from garc here'!$C$1,1+(('table for research'!$B198-1)*36+HEX2DEC(8))*2,2)),1920),7),2)</f>
        <v>03</v>
      </c>
      <c r="O198" t="str">
        <f>DEC2HEX(_xlfn.BITRSHIFT(HEX2DEC(MID('paste from garc here'!$C$1,1+(('table for research'!$B198-1)*36+HEX2DEC(9))*2,2)&amp;MID('paste from garc here'!$C$1,1+(('table for research'!$B198-1)*36+HEX2DEC(8))*2,2)),11),2)</f>
        <v>00</v>
      </c>
      <c r="P198" t="str">
        <f>MID('paste from garc here'!$C$1,1+(('table for research'!$B198-1)*36+HEX2DEC('table for research'!P$1))*2,2)</f>
        <v>0C</v>
      </c>
      <c r="Q198" t="str">
        <f>MID('paste from garc here'!$C$1,1+(('table for research'!$B198-1)*36+HEX2DEC('table for research'!Q$1))*2,2)</f>
        <v>00</v>
      </c>
      <c r="R198" t="str">
        <f>MID('paste from garc here'!$C$1,1+(('table for research'!$B198-1)*36+HEX2DEC('table for research'!R$1))*2,2)</f>
        <v>01</v>
      </c>
      <c r="S198" t="str">
        <f>MID('paste from garc here'!$C$1,1+(('table for research'!$B198-1)*36+HEX2DEC('table for research'!S$1))*2,2)</f>
        <v>07</v>
      </c>
      <c r="T198" t="str">
        <f>MID('paste from garc here'!$C$1,1+(('table for research'!$B198-1)*36+HEX2DEC('table for research'!T$1))*2,2)</f>
        <v>01</v>
      </c>
      <c r="U198" t="str">
        <f>MID('paste from garc here'!$C$1,1+(('table for research'!$B198-1)*36+HEX2DEC('table for research'!U$1))*2,2)</f>
        <v>2F</v>
      </c>
      <c r="V198" t="str">
        <f>MID('paste from garc here'!$C$1,1+(('table for research'!$B198-1)*36+HEX2DEC('table for research'!V$1))*2,2)</f>
        <v>00</v>
      </c>
      <c r="W198" t="str">
        <f>MID('paste from garc here'!$C$1,1+(('table for research'!$B198-1)*36+HEX2DEC('table for research'!W$1))*2,2)</f>
        <v>00</v>
      </c>
      <c r="X198" t="str">
        <f>MID('paste from garc here'!$C$1,1+(('table for research'!$B198-1)*36+HEX2DEC('table for research'!X$1))*2,2)</f>
        <v>00</v>
      </c>
      <c r="Y198" t="str">
        <f>MID('paste from garc here'!$C$1,1+(('table for research'!$B198-1)*36+HEX2DEC('table for research'!Y$1))*2,2)</f>
        <v>00</v>
      </c>
      <c r="Z198" t="str">
        <f>MID('paste from garc here'!$C$1,1+(('table for research'!$B198-1)*36+HEX2DEC('table for research'!Z$1))*2,2)</f>
        <v>00</v>
      </c>
      <c r="AA198" t="str">
        <f>MID('paste from garc here'!$C$1,1+(('table for research'!$B198-1)*36+HEX2DEC('table for research'!AA$1))*2,2)</f>
        <v>00</v>
      </c>
      <c r="AB198" t="str">
        <f>MID('paste from garc here'!$C$1,1+(('table for research'!$B198-1)*36+HEX2DEC('table for research'!AB$1))*2,2)</f>
        <v>00</v>
      </c>
      <c r="AC198" t="str">
        <f>MID('paste from garc here'!$C$1,1+(('table for research'!$B198-1)*36+HEX2DEC('table for research'!AC$1))*2,2)</f>
        <v>00</v>
      </c>
      <c r="AD198" t="str">
        <f>MID('paste from garc here'!$C$1,1+(('table for research'!$B198-1)*36+HEX2DEC('table for research'!AD$1))*2,2)</f>
        <v>00</v>
      </c>
      <c r="AE198" t="str">
        <f>MID('paste from garc here'!$C$1,1+(('table for research'!$B198-1)*36+HEX2DEC('table for research'!AE$1))*2,2)</f>
        <v>00</v>
      </c>
      <c r="AF198" t="str">
        <f>MID('paste from garc here'!$C$1,1+(('table for research'!$B198-1)*36+HEX2DEC('table for research'!AF$1))*2,2)</f>
        <v>00</v>
      </c>
      <c r="AG198" t="str">
        <f>MID('paste from garc here'!$C$1,1+(('table for research'!$B198-1)*36+HEX2DEC('table for research'!AG$1))*2,2)</f>
        <v>00</v>
      </c>
      <c r="AH198" t="str">
        <f>MID('paste from garc here'!$C$1,1+(('table for research'!$B198-1)*36+HEX2DEC('table for research'!AH$1))*2,2)</f>
        <v>00</v>
      </c>
      <c r="AI198" t="str">
        <f>MID('paste from garc here'!$C$1,1+(('table for research'!$B198-1)*36+HEX2DEC('table for research'!AI$1))*2,2)</f>
        <v>00</v>
      </c>
      <c r="AJ198" t="str">
        <f>MID('paste from garc here'!$C$1,1+(('table for research'!$B198-1)*36+HEX2DEC('table for research'!AJ$1))*2,2)</f>
        <v>00</v>
      </c>
      <c r="AK198" t="str">
        <f>MID('paste from garc here'!$C$1,1+(('table for research'!$B198-1)*36+HEX2DEC('table for research'!AK$1))*2,2)</f>
        <v>00</v>
      </c>
      <c r="AL198" t="str">
        <f>MID('paste from garc here'!$C$1,1+(('table for research'!$B198-1)*36+HEX2DEC('table for research'!AL$1))*2,2)</f>
        <v>00</v>
      </c>
      <c r="AM198" t="str">
        <f>MID('paste from garc here'!$C$1,1+(('table for research'!$B198-1)*36+HEX2DEC('table for research'!AM$1))*2,2)</f>
        <v>00</v>
      </c>
      <c r="AN198" t="str">
        <f>MID('paste from garc here'!$C$1,1+(('table for research'!$B198-1)*36+HEX2DEC('table for research'!AN$1))*2,2)</f>
        <v>00</v>
      </c>
      <c r="AO198" t="str">
        <f>MID('paste from garc here'!$C$1,1+(('table for research'!$B198-1)*36+HEX2DEC('table for research'!AO$1))*2,2)</f>
        <v>00</v>
      </c>
    </row>
    <row r="199" spans="1:41" x14ac:dyDescent="0.4">
      <c r="A199" t="s">
        <v>202</v>
      </c>
      <c r="B199">
        <f>B198+1</f>
        <v>197</v>
      </c>
      <c r="C199" t="str">
        <f>MID('paste from garc here'!$C$1,1+(('table for research'!$B199-1)*36+HEX2DEC('table for research'!C$1))*2,2)</f>
        <v>02</v>
      </c>
      <c r="D199" t="str">
        <f>MID('paste from garc here'!$C$1,1+(('table for research'!$B199-1)*36+HEX2DEC('table for research'!D$1))*2,2)</f>
        <v>00</v>
      </c>
      <c r="E199" t="str">
        <f>MID('paste from garc here'!$C$1,1+(('table for research'!$B199-1)*36+HEX2DEC('table for research'!E$1))*2,2)</f>
        <v>20</v>
      </c>
      <c r="F199" t="str">
        <f>MID('paste from garc here'!$C$1,1+(('table for research'!$B199-1)*36+HEX2DEC('table for research'!F$1))*2,2)</f>
        <v>00</v>
      </c>
      <c r="G199" t="str">
        <f>MID('paste from garc here'!$C$1,1+(('table for research'!$B199-1)*36+HEX2DEC('table for research'!G$1))*2,2)</f>
        <v>00</v>
      </c>
      <c r="H199" t="str">
        <f>MID('paste from garc here'!$C$1,1+(('table for research'!$B199-1)*36+HEX2DEC('table for research'!H$1))*2,2)</f>
        <v>00</v>
      </c>
      <c r="I199" t="str">
        <f>MID('paste from garc here'!$C$1,1+(('table for research'!$B199-1)*36+HEX2DEC('table for research'!I$1))*2,2)</f>
        <v>0A</v>
      </c>
      <c r="J199" t="str">
        <f>MID('paste from garc here'!$C$1,1+(('table for research'!$B199-1)*36+HEX2DEC('table for research'!J$1))*2,2)</f>
        <v>50</v>
      </c>
      <c r="K199" t="str">
        <f>DEC2HEX(_xlfn.BITAND(HEX2DEC(MID('paste from garc here'!$C$1,1+(('table for research'!$B199-1)*36+HEX2DEC(8))*2,2)),31),2)</f>
        <v>0F</v>
      </c>
      <c r="L199" t="str">
        <f>DEC2HEX(_xlfn.BITAND(HEX2DEC(MID('paste from garc here'!$C$1,1+(('table for research'!$B199-1)*36+HEX2DEC(8))*2,2)),32),2)</f>
        <v>00</v>
      </c>
      <c r="M199" t="str">
        <f>DEC2HEX(_xlfn.BITAND(HEX2DEC(MID('paste from garc here'!$C$1,1+(('table for research'!$B199-1)*36+HEX2DEC(8))*2,2)),64),2)</f>
        <v>00</v>
      </c>
      <c r="N199" t="str">
        <f>DEC2HEX(_xlfn.BITRSHIFT(_xlfn.BITAND(HEX2DEC(MID('paste from garc here'!$C$1,1+(('table for research'!$B199-1)*36+HEX2DEC(9))*2,2)&amp;MID('paste from garc here'!$C$1,1+(('table for research'!$B199-1)*36+HEX2DEC(8))*2,2)),1920),7),2)</f>
        <v>03</v>
      </c>
      <c r="O199" t="str">
        <f>DEC2HEX(_xlfn.BITRSHIFT(HEX2DEC(MID('paste from garc here'!$C$1,1+(('table for research'!$B199-1)*36+HEX2DEC(9))*2,2)&amp;MID('paste from garc here'!$C$1,1+(('table for research'!$B199-1)*36+HEX2DEC(8))*2,2)),11),2)</f>
        <v>00</v>
      </c>
      <c r="P199" t="str">
        <f>MID('paste from garc here'!$C$1,1+(('table for research'!$B199-1)*36+HEX2DEC('table for research'!P$1))*2,2)</f>
        <v>0C</v>
      </c>
      <c r="Q199" t="str">
        <f>MID('paste from garc here'!$C$1,1+(('table for research'!$B199-1)*36+HEX2DEC('table for research'!Q$1))*2,2)</f>
        <v>00</v>
      </c>
      <c r="R199" t="str">
        <f>MID('paste from garc here'!$C$1,1+(('table for research'!$B199-1)*36+HEX2DEC('table for research'!R$1))*2,2)</f>
        <v>01</v>
      </c>
      <c r="S199" t="str">
        <f>MID('paste from garc here'!$C$1,1+(('table for research'!$B199-1)*36+HEX2DEC('table for research'!S$1))*2,2)</f>
        <v>07</v>
      </c>
      <c r="T199" t="str">
        <f>MID('paste from garc here'!$C$1,1+(('table for research'!$B199-1)*36+HEX2DEC('table for research'!T$1))*2,2)</f>
        <v>01</v>
      </c>
      <c r="U199" t="str">
        <f>MID('paste from garc here'!$C$1,1+(('table for research'!$B199-1)*36+HEX2DEC('table for research'!U$1))*2,2)</f>
        <v>30</v>
      </c>
      <c r="V199" t="str">
        <f>MID('paste from garc here'!$C$1,1+(('table for research'!$B199-1)*36+HEX2DEC('table for research'!V$1))*2,2)</f>
        <v>00</v>
      </c>
      <c r="W199" t="str">
        <f>MID('paste from garc here'!$C$1,1+(('table for research'!$B199-1)*36+HEX2DEC('table for research'!W$1))*2,2)</f>
        <v>00</v>
      </c>
      <c r="X199" t="str">
        <f>MID('paste from garc here'!$C$1,1+(('table for research'!$B199-1)*36+HEX2DEC('table for research'!X$1))*2,2)</f>
        <v>00</v>
      </c>
      <c r="Y199" t="str">
        <f>MID('paste from garc here'!$C$1,1+(('table for research'!$B199-1)*36+HEX2DEC('table for research'!Y$1))*2,2)</f>
        <v>00</v>
      </c>
      <c r="Z199" t="str">
        <f>MID('paste from garc here'!$C$1,1+(('table for research'!$B199-1)*36+HEX2DEC('table for research'!Z$1))*2,2)</f>
        <v>00</v>
      </c>
      <c r="AA199" t="str">
        <f>MID('paste from garc here'!$C$1,1+(('table for research'!$B199-1)*36+HEX2DEC('table for research'!AA$1))*2,2)</f>
        <v>00</v>
      </c>
      <c r="AB199" t="str">
        <f>MID('paste from garc here'!$C$1,1+(('table for research'!$B199-1)*36+HEX2DEC('table for research'!AB$1))*2,2)</f>
        <v>00</v>
      </c>
      <c r="AC199" t="str">
        <f>MID('paste from garc here'!$C$1,1+(('table for research'!$B199-1)*36+HEX2DEC('table for research'!AC$1))*2,2)</f>
        <v>00</v>
      </c>
      <c r="AD199" t="str">
        <f>MID('paste from garc here'!$C$1,1+(('table for research'!$B199-1)*36+HEX2DEC('table for research'!AD$1))*2,2)</f>
        <v>00</v>
      </c>
      <c r="AE199" t="str">
        <f>MID('paste from garc here'!$C$1,1+(('table for research'!$B199-1)*36+HEX2DEC('table for research'!AE$1))*2,2)</f>
        <v>00</v>
      </c>
      <c r="AF199" t="str">
        <f>MID('paste from garc here'!$C$1,1+(('table for research'!$B199-1)*36+HEX2DEC('table for research'!AF$1))*2,2)</f>
        <v>00</v>
      </c>
      <c r="AG199" t="str">
        <f>MID('paste from garc here'!$C$1,1+(('table for research'!$B199-1)*36+HEX2DEC('table for research'!AG$1))*2,2)</f>
        <v>00</v>
      </c>
      <c r="AH199" t="str">
        <f>MID('paste from garc here'!$C$1,1+(('table for research'!$B199-1)*36+HEX2DEC('table for research'!AH$1))*2,2)</f>
        <v>00</v>
      </c>
      <c r="AI199" t="str">
        <f>MID('paste from garc here'!$C$1,1+(('table for research'!$B199-1)*36+HEX2DEC('table for research'!AI$1))*2,2)</f>
        <v>00</v>
      </c>
      <c r="AJ199" t="str">
        <f>MID('paste from garc here'!$C$1,1+(('table for research'!$B199-1)*36+HEX2DEC('table for research'!AJ$1))*2,2)</f>
        <v>00</v>
      </c>
      <c r="AK199" t="str">
        <f>MID('paste from garc here'!$C$1,1+(('table for research'!$B199-1)*36+HEX2DEC('table for research'!AK$1))*2,2)</f>
        <v>00</v>
      </c>
      <c r="AL199" t="str">
        <f>MID('paste from garc here'!$C$1,1+(('table for research'!$B199-1)*36+HEX2DEC('table for research'!AL$1))*2,2)</f>
        <v>00</v>
      </c>
      <c r="AM199" t="str">
        <f>MID('paste from garc here'!$C$1,1+(('table for research'!$B199-1)*36+HEX2DEC('table for research'!AM$1))*2,2)</f>
        <v>00</v>
      </c>
      <c r="AN199" t="str">
        <f>MID('paste from garc here'!$C$1,1+(('table for research'!$B199-1)*36+HEX2DEC('table for research'!AN$1))*2,2)</f>
        <v>00</v>
      </c>
      <c r="AO199" t="str">
        <f>MID('paste from garc here'!$C$1,1+(('table for research'!$B199-1)*36+HEX2DEC('table for research'!AO$1))*2,2)</f>
        <v>00</v>
      </c>
    </row>
    <row r="200" spans="1:41" x14ac:dyDescent="0.4">
      <c r="A200" t="s">
        <v>203</v>
      </c>
      <c r="B200">
        <f>B199+1</f>
        <v>198</v>
      </c>
      <c r="C200" t="str">
        <f>MID('paste from garc here'!$C$1,1+(('table for research'!$B200-1)*36+HEX2DEC('table for research'!C$1))*2,2)</f>
        <v>02</v>
      </c>
      <c r="D200" t="str">
        <f>MID('paste from garc here'!$C$1,1+(('table for research'!$B200-1)*36+HEX2DEC('table for research'!D$1))*2,2)</f>
        <v>00</v>
      </c>
      <c r="E200" t="str">
        <f>MID('paste from garc here'!$C$1,1+(('table for research'!$B200-1)*36+HEX2DEC('table for research'!E$1))*2,2)</f>
        <v>21</v>
      </c>
      <c r="F200" t="str">
        <f>MID('paste from garc here'!$C$1,1+(('table for research'!$B200-1)*36+HEX2DEC('table for research'!F$1))*2,2)</f>
        <v>00</v>
      </c>
      <c r="G200" t="str">
        <f>MID('paste from garc here'!$C$1,1+(('table for research'!$B200-1)*36+HEX2DEC('table for research'!G$1))*2,2)</f>
        <v>00</v>
      </c>
      <c r="H200" t="str">
        <f>MID('paste from garc here'!$C$1,1+(('table for research'!$B200-1)*36+HEX2DEC('table for research'!H$1))*2,2)</f>
        <v>00</v>
      </c>
      <c r="I200" t="str">
        <f>MID('paste from garc here'!$C$1,1+(('table for research'!$B200-1)*36+HEX2DEC('table for research'!I$1))*2,2)</f>
        <v>0A</v>
      </c>
      <c r="J200" t="str">
        <f>MID('paste from garc here'!$C$1,1+(('table for research'!$B200-1)*36+HEX2DEC('table for research'!J$1))*2,2)</f>
        <v>50</v>
      </c>
      <c r="K200" t="str">
        <f>DEC2HEX(_xlfn.BITAND(HEX2DEC(MID('paste from garc here'!$C$1,1+(('table for research'!$B200-1)*36+HEX2DEC(8))*2,2)),31),2)</f>
        <v>10</v>
      </c>
      <c r="L200" t="str">
        <f>DEC2HEX(_xlfn.BITAND(HEX2DEC(MID('paste from garc here'!$C$1,1+(('table for research'!$B200-1)*36+HEX2DEC(8))*2,2)),32),2)</f>
        <v>00</v>
      </c>
      <c r="M200" t="str">
        <f>DEC2HEX(_xlfn.BITAND(HEX2DEC(MID('paste from garc here'!$C$1,1+(('table for research'!$B200-1)*36+HEX2DEC(8))*2,2)),64),2)</f>
        <v>00</v>
      </c>
      <c r="N200" t="str">
        <f>DEC2HEX(_xlfn.BITRSHIFT(_xlfn.BITAND(HEX2DEC(MID('paste from garc here'!$C$1,1+(('table for research'!$B200-1)*36+HEX2DEC(9))*2,2)&amp;MID('paste from garc here'!$C$1,1+(('table for research'!$B200-1)*36+HEX2DEC(8))*2,2)),1920),7),2)</f>
        <v>03</v>
      </c>
      <c r="O200" t="str">
        <f>DEC2HEX(_xlfn.BITRSHIFT(HEX2DEC(MID('paste from garc here'!$C$1,1+(('table for research'!$B200-1)*36+HEX2DEC(9))*2,2)&amp;MID('paste from garc here'!$C$1,1+(('table for research'!$B200-1)*36+HEX2DEC(8))*2,2)),11),2)</f>
        <v>00</v>
      </c>
      <c r="P200" t="str">
        <f>MID('paste from garc here'!$C$1,1+(('table for research'!$B200-1)*36+HEX2DEC('table for research'!P$1))*2,2)</f>
        <v>0C</v>
      </c>
      <c r="Q200" t="str">
        <f>MID('paste from garc here'!$C$1,1+(('table for research'!$B200-1)*36+HEX2DEC('table for research'!Q$1))*2,2)</f>
        <v>00</v>
      </c>
      <c r="R200" t="str">
        <f>MID('paste from garc here'!$C$1,1+(('table for research'!$B200-1)*36+HEX2DEC('table for research'!R$1))*2,2)</f>
        <v>01</v>
      </c>
      <c r="S200" t="str">
        <f>MID('paste from garc here'!$C$1,1+(('table for research'!$B200-1)*36+HEX2DEC('table for research'!S$1))*2,2)</f>
        <v>07</v>
      </c>
      <c r="T200" t="str">
        <f>MID('paste from garc here'!$C$1,1+(('table for research'!$B200-1)*36+HEX2DEC('table for research'!T$1))*2,2)</f>
        <v>01</v>
      </c>
      <c r="U200" t="str">
        <f>MID('paste from garc here'!$C$1,1+(('table for research'!$B200-1)*36+HEX2DEC('table for research'!U$1))*2,2)</f>
        <v>31</v>
      </c>
      <c r="V200" t="str">
        <f>MID('paste from garc here'!$C$1,1+(('table for research'!$B200-1)*36+HEX2DEC('table for research'!V$1))*2,2)</f>
        <v>00</v>
      </c>
      <c r="W200" t="str">
        <f>MID('paste from garc here'!$C$1,1+(('table for research'!$B200-1)*36+HEX2DEC('table for research'!W$1))*2,2)</f>
        <v>00</v>
      </c>
      <c r="X200" t="str">
        <f>MID('paste from garc here'!$C$1,1+(('table for research'!$B200-1)*36+HEX2DEC('table for research'!X$1))*2,2)</f>
        <v>00</v>
      </c>
      <c r="Y200" t="str">
        <f>MID('paste from garc here'!$C$1,1+(('table for research'!$B200-1)*36+HEX2DEC('table for research'!Y$1))*2,2)</f>
        <v>00</v>
      </c>
      <c r="Z200" t="str">
        <f>MID('paste from garc here'!$C$1,1+(('table for research'!$B200-1)*36+HEX2DEC('table for research'!Z$1))*2,2)</f>
        <v>00</v>
      </c>
      <c r="AA200" t="str">
        <f>MID('paste from garc here'!$C$1,1+(('table for research'!$B200-1)*36+HEX2DEC('table for research'!AA$1))*2,2)</f>
        <v>00</v>
      </c>
      <c r="AB200" t="str">
        <f>MID('paste from garc here'!$C$1,1+(('table for research'!$B200-1)*36+HEX2DEC('table for research'!AB$1))*2,2)</f>
        <v>00</v>
      </c>
      <c r="AC200" t="str">
        <f>MID('paste from garc here'!$C$1,1+(('table for research'!$B200-1)*36+HEX2DEC('table for research'!AC$1))*2,2)</f>
        <v>00</v>
      </c>
      <c r="AD200" t="str">
        <f>MID('paste from garc here'!$C$1,1+(('table for research'!$B200-1)*36+HEX2DEC('table for research'!AD$1))*2,2)</f>
        <v>00</v>
      </c>
      <c r="AE200" t="str">
        <f>MID('paste from garc here'!$C$1,1+(('table for research'!$B200-1)*36+HEX2DEC('table for research'!AE$1))*2,2)</f>
        <v>00</v>
      </c>
      <c r="AF200" t="str">
        <f>MID('paste from garc here'!$C$1,1+(('table for research'!$B200-1)*36+HEX2DEC('table for research'!AF$1))*2,2)</f>
        <v>00</v>
      </c>
      <c r="AG200" t="str">
        <f>MID('paste from garc here'!$C$1,1+(('table for research'!$B200-1)*36+HEX2DEC('table for research'!AG$1))*2,2)</f>
        <v>00</v>
      </c>
      <c r="AH200" t="str">
        <f>MID('paste from garc here'!$C$1,1+(('table for research'!$B200-1)*36+HEX2DEC('table for research'!AH$1))*2,2)</f>
        <v>00</v>
      </c>
      <c r="AI200" t="str">
        <f>MID('paste from garc here'!$C$1,1+(('table for research'!$B200-1)*36+HEX2DEC('table for research'!AI$1))*2,2)</f>
        <v>00</v>
      </c>
      <c r="AJ200" t="str">
        <f>MID('paste from garc here'!$C$1,1+(('table for research'!$B200-1)*36+HEX2DEC('table for research'!AJ$1))*2,2)</f>
        <v>00</v>
      </c>
      <c r="AK200" t="str">
        <f>MID('paste from garc here'!$C$1,1+(('table for research'!$B200-1)*36+HEX2DEC('table for research'!AK$1))*2,2)</f>
        <v>00</v>
      </c>
      <c r="AL200" t="str">
        <f>MID('paste from garc here'!$C$1,1+(('table for research'!$B200-1)*36+HEX2DEC('table for research'!AL$1))*2,2)</f>
        <v>00</v>
      </c>
      <c r="AM200" t="str">
        <f>MID('paste from garc here'!$C$1,1+(('table for research'!$B200-1)*36+HEX2DEC('table for research'!AM$1))*2,2)</f>
        <v>00</v>
      </c>
      <c r="AN200" t="str">
        <f>MID('paste from garc here'!$C$1,1+(('table for research'!$B200-1)*36+HEX2DEC('table for research'!AN$1))*2,2)</f>
        <v>00</v>
      </c>
      <c r="AO200" t="str">
        <f>MID('paste from garc here'!$C$1,1+(('table for research'!$B200-1)*36+HEX2DEC('table for research'!AO$1))*2,2)</f>
        <v>00</v>
      </c>
    </row>
    <row r="201" spans="1:41" x14ac:dyDescent="0.4">
      <c r="A201" t="s">
        <v>204</v>
      </c>
      <c r="B201">
        <f>B200+1</f>
        <v>199</v>
      </c>
      <c r="C201" t="str">
        <f>MID('paste from garc here'!$C$1,1+(('table for research'!$B201-1)*36+HEX2DEC('table for research'!C$1))*2,2)</f>
        <v>02</v>
      </c>
      <c r="D201" t="str">
        <f>MID('paste from garc here'!$C$1,1+(('table for research'!$B201-1)*36+HEX2DEC('table for research'!D$1))*2,2)</f>
        <v>00</v>
      </c>
      <c r="E201" t="str">
        <f>MID('paste from garc here'!$C$1,1+(('table for research'!$B201-1)*36+HEX2DEC('table for research'!E$1))*2,2)</f>
        <v>22</v>
      </c>
      <c r="F201" t="str">
        <f>MID('paste from garc here'!$C$1,1+(('table for research'!$B201-1)*36+HEX2DEC('table for research'!F$1))*2,2)</f>
        <v>00</v>
      </c>
      <c r="G201" t="str">
        <f>MID('paste from garc here'!$C$1,1+(('table for research'!$B201-1)*36+HEX2DEC('table for research'!G$1))*2,2)</f>
        <v>00</v>
      </c>
      <c r="H201" t="str">
        <f>MID('paste from garc here'!$C$1,1+(('table for research'!$B201-1)*36+HEX2DEC('table for research'!H$1))*2,2)</f>
        <v>00</v>
      </c>
      <c r="I201" t="str">
        <f>MID('paste from garc here'!$C$1,1+(('table for research'!$B201-1)*36+HEX2DEC('table for research'!I$1))*2,2)</f>
        <v>0A</v>
      </c>
      <c r="J201" t="str">
        <f>MID('paste from garc here'!$C$1,1+(('table for research'!$B201-1)*36+HEX2DEC('table for research'!J$1))*2,2)</f>
        <v>50</v>
      </c>
      <c r="K201" t="str">
        <f>DEC2HEX(_xlfn.BITAND(HEX2DEC(MID('paste from garc here'!$C$1,1+(('table for research'!$B201-1)*36+HEX2DEC(8))*2,2)),31),2)</f>
        <v>08</v>
      </c>
      <c r="L201" t="str">
        <f>DEC2HEX(_xlfn.BITAND(HEX2DEC(MID('paste from garc here'!$C$1,1+(('table for research'!$B201-1)*36+HEX2DEC(8))*2,2)),32),2)</f>
        <v>00</v>
      </c>
      <c r="M201" t="str">
        <f>DEC2HEX(_xlfn.BITAND(HEX2DEC(MID('paste from garc here'!$C$1,1+(('table for research'!$B201-1)*36+HEX2DEC(8))*2,2)),64),2)</f>
        <v>00</v>
      </c>
      <c r="N201" t="str">
        <f>DEC2HEX(_xlfn.BITRSHIFT(_xlfn.BITAND(HEX2DEC(MID('paste from garc here'!$C$1,1+(('table for research'!$B201-1)*36+HEX2DEC(9))*2,2)&amp;MID('paste from garc here'!$C$1,1+(('table for research'!$B201-1)*36+HEX2DEC(8))*2,2)),1920),7),2)</f>
        <v>03</v>
      </c>
      <c r="O201" t="str">
        <f>DEC2HEX(_xlfn.BITRSHIFT(HEX2DEC(MID('paste from garc here'!$C$1,1+(('table for research'!$B201-1)*36+HEX2DEC(9))*2,2)&amp;MID('paste from garc here'!$C$1,1+(('table for research'!$B201-1)*36+HEX2DEC(8))*2,2)),11),2)</f>
        <v>00</v>
      </c>
      <c r="P201" t="str">
        <f>MID('paste from garc here'!$C$1,1+(('table for research'!$B201-1)*36+HEX2DEC('table for research'!P$1))*2,2)</f>
        <v>0C</v>
      </c>
      <c r="Q201" t="str">
        <f>MID('paste from garc here'!$C$1,1+(('table for research'!$B201-1)*36+HEX2DEC('table for research'!Q$1))*2,2)</f>
        <v>00</v>
      </c>
      <c r="R201" t="str">
        <f>MID('paste from garc here'!$C$1,1+(('table for research'!$B201-1)*36+HEX2DEC('table for research'!R$1))*2,2)</f>
        <v>01</v>
      </c>
      <c r="S201" t="str">
        <f>MID('paste from garc here'!$C$1,1+(('table for research'!$B201-1)*36+HEX2DEC('table for research'!S$1))*2,2)</f>
        <v>07</v>
      </c>
      <c r="T201" t="str">
        <f>MID('paste from garc here'!$C$1,1+(('table for research'!$B201-1)*36+HEX2DEC('table for research'!T$1))*2,2)</f>
        <v>01</v>
      </c>
      <c r="U201" t="str">
        <f>MID('paste from garc here'!$C$1,1+(('table for research'!$B201-1)*36+HEX2DEC('table for research'!U$1))*2,2)</f>
        <v>32</v>
      </c>
      <c r="V201" t="str">
        <f>MID('paste from garc here'!$C$1,1+(('table for research'!$B201-1)*36+HEX2DEC('table for research'!V$1))*2,2)</f>
        <v>00</v>
      </c>
      <c r="W201" t="str">
        <f>MID('paste from garc here'!$C$1,1+(('table for research'!$B201-1)*36+HEX2DEC('table for research'!W$1))*2,2)</f>
        <v>00</v>
      </c>
      <c r="X201" t="str">
        <f>MID('paste from garc here'!$C$1,1+(('table for research'!$B201-1)*36+HEX2DEC('table for research'!X$1))*2,2)</f>
        <v>00</v>
      </c>
      <c r="Y201" t="str">
        <f>MID('paste from garc here'!$C$1,1+(('table for research'!$B201-1)*36+HEX2DEC('table for research'!Y$1))*2,2)</f>
        <v>00</v>
      </c>
      <c r="Z201" t="str">
        <f>MID('paste from garc here'!$C$1,1+(('table for research'!$B201-1)*36+HEX2DEC('table for research'!Z$1))*2,2)</f>
        <v>00</v>
      </c>
      <c r="AA201" t="str">
        <f>MID('paste from garc here'!$C$1,1+(('table for research'!$B201-1)*36+HEX2DEC('table for research'!AA$1))*2,2)</f>
        <v>00</v>
      </c>
      <c r="AB201" t="str">
        <f>MID('paste from garc here'!$C$1,1+(('table for research'!$B201-1)*36+HEX2DEC('table for research'!AB$1))*2,2)</f>
        <v>00</v>
      </c>
      <c r="AC201" t="str">
        <f>MID('paste from garc here'!$C$1,1+(('table for research'!$B201-1)*36+HEX2DEC('table for research'!AC$1))*2,2)</f>
        <v>00</v>
      </c>
      <c r="AD201" t="str">
        <f>MID('paste from garc here'!$C$1,1+(('table for research'!$B201-1)*36+HEX2DEC('table for research'!AD$1))*2,2)</f>
        <v>00</v>
      </c>
      <c r="AE201" t="str">
        <f>MID('paste from garc here'!$C$1,1+(('table for research'!$B201-1)*36+HEX2DEC('table for research'!AE$1))*2,2)</f>
        <v>00</v>
      </c>
      <c r="AF201" t="str">
        <f>MID('paste from garc here'!$C$1,1+(('table for research'!$B201-1)*36+HEX2DEC('table for research'!AF$1))*2,2)</f>
        <v>00</v>
      </c>
      <c r="AG201" t="str">
        <f>MID('paste from garc here'!$C$1,1+(('table for research'!$B201-1)*36+HEX2DEC('table for research'!AG$1))*2,2)</f>
        <v>00</v>
      </c>
      <c r="AH201" t="str">
        <f>MID('paste from garc here'!$C$1,1+(('table for research'!$B201-1)*36+HEX2DEC('table for research'!AH$1))*2,2)</f>
        <v>00</v>
      </c>
      <c r="AI201" t="str">
        <f>MID('paste from garc here'!$C$1,1+(('table for research'!$B201-1)*36+HEX2DEC('table for research'!AI$1))*2,2)</f>
        <v>00</v>
      </c>
      <c r="AJ201" t="str">
        <f>MID('paste from garc here'!$C$1,1+(('table for research'!$B201-1)*36+HEX2DEC('table for research'!AJ$1))*2,2)</f>
        <v>00</v>
      </c>
      <c r="AK201" t="str">
        <f>MID('paste from garc here'!$C$1,1+(('table for research'!$B201-1)*36+HEX2DEC('table for research'!AK$1))*2,2)</f>
        <v>00</v>
      </c>
      <c r="AL201" t="str">
        <f>MID('paste from garc here'!$C$1,1+(('table for research'!$B201-1)*36+HEX2DEC('table for research'!AL$1))*2,2)</f>
        <v>00</v>
      </c>
      <c r="AM201" t="str">
        <f>MID('paste from garc here'!$C$1,1+(('table for research'!$B201-1)*36+HEX2DEC('table for research'!AM$1))*2,2)</f>
        <v>00</v>
      </c>
      <c r="AN201" t="str">
        <f>MID('paste from garc here'!$C$1,1+(('table for research'!$B201-1)*36+HEX2DEC('table for research'!AN$1))*2,2)</f>
        <v>00</v>
      </c>
      <c r="AO201" t="str">
        <f>MID('paste from garc here'!$C$1,1+(('table for research'!$B201-1)*36+HEX2DEC('table for research'!AO$1))*2,2)</f>
        <v>00</v>
      </c>
    </row>
    <row r="202" spans="1:41" x14ac:dyDescent="0.4">
      <c r="A202" t="s">
        <v>205</v>
      </c>
      <c r="B202">
        <f>B201+1</f>
        <v>200</v>
      </c>
      <c r="C202" t="str">
        <f>MID('paste from garc here'!$C$1,1+(('table for research'!$B202-1)*36+HEX2DEC('table for research'!C$1))*2,2)</f>
        <v>02</v>
      </c>
      <c r="D202" t="str">
        <f>MID('paste from garc here'!$C$1,1+(('table for research'!$B202-1)*36+HEX2DEC('table for research'!D$1))*2,2)</f>
        <v>00</v>
      </c>
      <c r="E202" t="str">
        <f>MID('paste from garc here'!$C$1,1+(('table for research'!$B202-1)*36+HEX2DEC('table for research'!E$1))*2,2)</f>
        <v>23</v>
      </c>
      <c r="F202" t="str">
        <f>MID('paste from garc here'!$C$1,1+(('table for research'!$B202-1)*36+HEX2DEC('table for research'!F$1))*2,2)</f>
        <v>00</v>
      </c>
      <c r="G202" t="str">
        <f>MID('paste from garc here'!$C$1,1+(('table for research'!$B202-1)*36+HEX2DEC('table for research'!G$1))*2,2)</f>
        <v>00</v>
      </c>
      <c r="H202" t="str">
        <f>MID('paste from garc here'!$C$1,1+(('table for research'!$B202-1)*36+HEX2DEC('table for research'!H$1))*2,2)</f>
        <v>00</v>
      </c>
      <c r="I202" t="str">
        <f>MID('paste from garc here'!$C$1,1+(('table for research'!$B202-1)*36+HEX2DEC('table for research'!I$1))*2,2)</f>
        <v>0A</v>
      </c>
      <c r="J202" t="str">
        <f>MID('paste from garc here'!$C$1,1+(('table for research'!$B202-1)*36+HEX2DEC('table for research'!J$1))*2,2)</f>
        <v>50</v>
      </c>
      <c r="K202" t="str">
        <f>DEC2HEX(_xlfn.BITAND(HEX2DEC(MID('paste from garc here'!$C$1,1+(('table for research'!$B202-1)*36+HEX2DEC(8))*2,2)),31),2)</f>
        <v>00</v>
      </c>
      <c r="L202" t="str">
        <f>DEC2HEX(_xlfn.BITAND(HEX2DEC(MID('paste from garc here'!$C$1,1+(('table for research'!$B202-1)*36+HEX2DEC(8))*2,2)),32),2)</f>
        <v>00</v>
      </c>
      <c r="M202" t="str">
        <f>DEC2HEX(_xlfn.BITAND(HEX2DEC(MID('paste from garc here'!$C$1,1+(('table for research'!$B202-1)*36+HEX2DEC(8))*2,2)),64),2)</f>
        <v>00</v>
      </c>
      <c r="N202" t="str">
        <f>DEC2HEX(_xlfn.BITRSHIFT(_xlfn.BITAND(HEX2DEC(MID('paste from garc here'!$C$1,1+(('table for research'!$B202-1)*36+HEX2DEC(9))*2,2)&amp;MID('paste from garc here'!$C$1,1+(('table for research'!$B202-1)*36+HEX2DEC(8))*2,2)),1920),7),2)</f>
        <v>03</v>
      </c>
      <c r="O202" t="str">
        <f>DEC2HEX(_xlfn.BITRSHIFT(HEX2DEC(MID('paste from garc here'!$C$1,1+(('table for research'!$B202-1)*36+HEX2DEC(9))*2,2)&amp;MID('paste from garc here'!$C$1,1+(('table for research'!$B202-1)*36+HEX2DEC(8))*2,2)),11),2)</f>
        <v>00</v>
      </c>
      <c r="P202" t="str">
        <f>MID('paste from garc here'!$C$1,1+(('table for research'!$B202-1)*36+HEX2DEC('table for research'!P$1))*2,2)</f>
        <v>0C</v>
      </c>
      <c r="Q202" t="str">
        <f>MID('paste from garc here'!$C$1,1+(('table for research'!$B202-1)*36+HEX2DEC('table for research'!Q$1))*2,2)</f>
        <v>00</v>
      </c>
      <c r="R202" t="str">
        <f>MID('paste from garc here'!$C$1,1+(('table for research'!$B202-1)*36+HEX2DEC('table for research'!R$1))*2,2)</f>
        <v>01</v>
      </c>
      <c r="S202" t="str">
        <f>MID('paste from garc here'!$C$1,1+(('table for research'!$B202-1)*36+HEX2DEC('table for research'!S$1))*2,2)</f>
        <v>07</v>
      </c>
      <c r="T202" t="str">
        <f>MID('paste from garc here'!$C$1,1+(('table for research'!$B202-1)*36+HEX2DEC('table for research'!T$1))*2,2)</f>
        <v>01</v>
      </c>
      <c r="U202" t="str">
        <f>MID('paste from garc here'!$C$1,1+(('table for research'!$B202-1)*36+HEX2DEC('table for research'!U$1))*2,2)</f>
        <v>33</v>
      </c>
      <c r="V202" t="str">
        <f>MID('paste from garc here'!$C$1,1+(('table for research'!$B202-1)*36+HEX2DEC('table for research'!V$1))*2,2)</f>
        <v>00</v>
      </c>
      <c r="W202" t="str">
        <f>MID('paste from garc here'!$C$1,1+(('table for research'!$B202-1)*36+HEX2DEC('table for research'!W$1))*2,2)</f>
        <v>00</v>
      </c>
      <c r="X202" t="str">
        <f>MID('paste from garc here'!$C$1,1+(('table for research'!$B202-1)*36+HEX2DEC('table for research'!X$1))*2,2)</f>
        <v>00</v>
      </c>
      <c r="Y202" t="str">
        <f>MID('paste from garc here'!$C$1,1+(('table for research'!$B202-1)*36+HEX2DEC('table for research'!Y$1))*2,2)</f>
        <v>00</v>
      </c>
      <c r="Z202" t="str">
        <f>MID('paste from garc here'!$C$1,1+(('table for research'!$B202-1)*36+HEX2DEC('table for research'!Z$1))*2,2)</f>
        <v>00</v>
      </c>
      <c r="AA202" t="str">
        <f>MID('paste from garc here'!$C$1,1+(('table for research'!$B202-1)*36+HEX2DEC('table for research'!AA$1))*2,2)</f>
        <v>00</v>
      </c>
      <c r="AB202" t="str">
        <f>MID('paste from garc here'!$C$1,1+(('table for research'!$B202-1)*36+HEX2DEC('table for research'!AB$1))*2,2)</f>
        <v>00</v>
      </c>
      <c r="AC202" t="str">
        <f>MID('paste from garc here'!$C$1,1+(('table for research'!$B202-1)*36+HEX2DEC('table for research'!AC$1))*2,2)</f>
        <v>00</v>
      </c>
      <c r="AD202" t="str">
        <f>MID('paste from garc here'!$C$1,1+(('table for research'!$B202-1)*36+HEX2DEC('table for research'!AD$1))*2,2)</f>
        <v>00</v>
      </c>
      <c r="AE202" t="str">
        <f>MID('paste from garc here'!$C$1,1+(('table for research'!$B202-1)*36+HEX2DEC('table for research'!AE$1))*2,2)</f>
        <v>00</v>
      </c>
      <c r="AF202" t="str">
        <f>MID('paste from garc here'!$C$1,1+(('table for research'!$B202-1)*36+HEX2DEC('table for research'!AF$1))*2,2)</f>
        <v>00</v>
      </c>
      <c r="AG202" t="str">
        <f>MID('paste from garc here'!$C$1,1+(('table for research'!$B202-1)*36+HEX2DEC('table for research'!AG$1))*2,2)</f>
        <v>00</v>
      </c>
      <c r="AH202" t="str">
        <f>MID('paste from garc here'!$C$1,1+(('table for research'!$B202-1)*36+HEX2DEC('table for research'!AH$1))*2,2)</f>
        <v>00</v>
      </c>
      <c r="AI202" t="str">
        <f>MID('paste from garc here'!$C$1,1+(('table for research'!$B202-1)*36+HEX2DEC('table for research'!AI$1))*2,2)</f>
        <v>00</v>
      </c>
      <c r="AJ202" t="str">
        <f>MID('paste from garc here'!$C$1,1+(('table for research'!$B202-1)*36+HEX2DEC('table for research'!AJ$1))*2,2)</f>
        <v>00</v>
      </c>
      <c r="AK202" t="str">
        <f>MID('paste from garc here'!$C$1,1+(('table for research'!$B202-1)*36+HEX2DEC('table for research'!AK$1))*2,2)</f>
        <v>00</v>
      </c>
      <c r="AL202" t="str">
        <f>MID('paste from garc here'!$C$1,1+(('table for research'!$B202-1)*36+HEX2DEC('table for research'!AL$1))*2,2)</f>
        <v>00</v>
      </c>
      <c r="AM202" t="str">
        <f>MID('paste from garc here'!$C$1,1+(('table for research'!$B202-1)*36+HEX2DEC('table for research'!AM$1))*2,2)</f>
        <v>00</v>
      </c>
      <c r="AN202" t="str">
        <f>MID('paste from garc here'!$C$1,1+(('table for research'!$B202-1)*36+HEX2DEC('table for research'!AN$1))*2,2)</f>
        <v>00</v>
      </c>
      <c r="AO202" t="str">
        <f>MID('paste from garc here'!$C$1,1+(('table for research'!$B202-1)*36+HEX2DEC('table for research'!AO$1))*2,2)</f>
        <v>00</v>
      </c>
    </row>
    <row r="203" spans="1:41" x14ac:dyDescent="0.4">
      <c r="A203" t="s">
        <v>206</v>
      </c>
      <c r="B203">
        <f>B202+1</f>
        <v>201</v>
      </c>
      <c r="C203" t="str">
        <f>MID('paste from garc here'!$C$1,1+(('table for research'!$B203-1)*36+HEX2DEC('table for research'!C$1))*2,2)</f>
        <v>02</v>
      </c>
      <c r="D203" t="str">
        <f>MID('paste from garc here'!$C$1,1+(('table for research'!$B203-1)*36+HEX2DEC('table for research'!D$1))*2,2)</f>
        <v>00</v>
      </c>
      <c r="E203" t="str">
        <f>MID('paste from garc here'!$C$1,1+(('table for research'!$B203-1)*36+HEX2DEC('table for research'!E$1))*2,2)</f>
        <v>24</v>
      </c>
      <c r="F203" t="str">
        <f>MID('paste from garc here'!$C$1,1+(('table for research'!$B203-1)*36+HEX2DEC('table for research'!F$1))*2,2)</f>
        <v>04</v>
      </c>
      <c r="G203" t="str">
        <f>MID('paste from garc here'!$C$1,1+(('table for research'!$B203-1)*36+HEX2DEC('table for research'!G$1))*2,2)</f>
        <v>10</v>
      </c>
      <c r="H203" t="str">
        <f>MID('paste from garc here'!$C$1,1+(('table for research'!$B203-1)*36+HEX2DEC('table for research'!H$1))*2,2)</f>
        <v>10</v>
      </c>
      <c r="I203" t="str">
        <f>MID('paste from garc here'!$C$1,1+(('table for research'!$B203-1)*36+HEX2DEC('table for research'!I$1))*2,2)</f>
        <v>0A</v>
      </c>
      <c r="J203" t="str">
        <f>MID('paste from garc here'!$C$1,1+(('table for research'!$B203-1)*36+HEX2DEC('table for research'!J$1))*2,2)</f>
        <v>64</v>
      </c>
      <c r="K203" t="str">
        <f>DEC2HEX(_xlfn.BITAND(HEX2DEC(MID('paste from garc here'!$C$1,1+(('table for research'!$B203-1)*36+HEX2DEC(8))*2,2)),31),2)</f>
        <v>0B</v>
      </c>
      <c r="L203" t="str">
        <f>DEC2HEX(_xlfn.BITAND(HEX2DEC(MID('paste from garc here'!$C$1,1+(('table for research'!$B203-1)*36+HEX2DEC(8))*2,2)),32),2)</f>
        <v>00</v>
      </c>
      <c r="M203" t="str">
        <f>DEC2HEX(_xlfn.BITAND(HEX2DEC(MID('paste from garc here'!$C$1,1+(('table for research'!$B203-1)*36+HEX2DEC(8))*2,2)),64),2)</f>
        <v>00</v>
      </c>
      <c r="N203" t="str">
        <f>DEC2HEX(_xlfn.BITRSHIFT(_xlfn.BITAND(HEX2DEC(MID('paste from garc here'!$C$1,1+(('table for research'!$B203-1)*36+HEX2DEC(9))*2,2)&amp;MID('paste from garc here'!$C$1,1+(('table for research'!$B203-1)*36+HEX2DEC(8))*2,2)),1920),7),2)</f>
        <v>03</v>
      </c>
      <c r="O203" t="str">
        <f>DEC2HEX(_xlfn.BITRSHIFT(HEX2DEC(MID('paste from garc here'!$C$1,1+(('table for research'!$B203-1)*36+HEX2DEC(9))*2,2)&amp;MID('paste from garc here'!$C$1,1+(('table for research'!$B203-1)*36+HEX2DEC(8))*2,2)),11),2)</f>
        <v>00</v>
      </c>
      <c r="P203" t="str">
        <f>MID('paste from garc here'!$C$1,1+(('table for research'!$B203-1)*36+HEX2DEC('table for research'!P$1))*2,2)</f>
        <v>0C</v>
      </c>
      <c r="Q203" t="str">
        <f>MID('paste from garc here'!$C$1,1+(('table for research'!$B203-1)*36+HEX2DEC('table for research'!Q$1))*2,2)</f>
        <v>00</v>
      </c>
      <c r="R203" t="str">
        <f>MID('paste from garc here'!$C$1,1+(('table for research'!$B203-1)*36+HEX2DEC('table for research'!R$1))*2,2)</f>
        <v>01</v>
      </c>
      <c r="S203" t="str">
        <f>MID('paste from garc here'!$C$1,1+(('table for research'!$B203-1)*36+HEX2DEC('table for research'!S$1))*2,2)</f>
        <v>07</v>
      </c>
      <c r="T203" t="str">
        <f>MID('paste from garc here'!$C$1,1+(('table for research'!$B203-1)*36+HEX2DEC('table for research'!T$1))*2,2)</f>
        <v>01</v>
      </c>
      <c r="U203" t="str">
        <f>MID('paste from garc here'!$C$1,1+(('table for research'!$B203-1)*36+HEX2DEC('table for research'!U$1))*2,2)</f>
        <v>34</v>
      </c>
      <c r="V203" t="str">
        <f>MID('paste from garc here'!$C$1,1+(('table for research'!$B203-1)*36+HEX2DEC('table for research'!V$1))*2,2)</f>
        <v>00</v>
      </c>
      <c r="W203" t="str">
        <f>MID('paste from garc here'!$C$1,1+(('table for research'!$B203-1)*36+HEX2DEC('table for research'!W$1))*2,2)</f>
        <v>00</v>
      </c>
      <c r="X203" t="str">
        <f>MID('paste from garc here'!$C$1,1+(('table for research'!$B203-1)*36+HEX2DEC('table for research'!X$1))*2,2)</f>
        <v>00</v>
      </c>
      <c r="Y203" t="str">
        <f>MID('paste from garc here'!$C$1,1+(('table for research'!$B203-1)*36+HEX2DEC('table for research'!Y$1))*2,2)</f>
        <v>00</v>
      </c>
      <c r="Z203" t="str">
        <f>MID('paste from garc here'!$C$1,1+(('table for research'!$B203-1)*36+HEX2DEC('table for research'!Z$1))*2,2)</f>
        <v>00</v>
      </c>
      <c r="AA203" t="str">
        <f>MID('paste from garc here'!$C$1,1+(('table for research'!$B203-1)*36+HEX2DEC('table for research'!AA$1))*2,2)</f>
        <v>00</v>
      </c>
      <c r="AB203" t="str">
        <f>MID('paste from garc here'!$C$1,1+(('table for research'!$B203-1)*36+HEX2DEC('table for research'!AB$1))*2,2)</f>
        <v>00</v>
      </c>
      <c r="AC203" t="str">
        <f>MID('paste from garc here'!$C$1,1+(('table for research'!$B203-1)*36+HEX2DEC('table for research'!AC$1))*2,2)</f>
        <v>00</v>
      </c>
      <c r="AD203" t="str">
        <f>MID('paste from garc here'!$C$1,1+(('table for research'!$B203-1)*36+HEX2DEC('table for research'!AD$1))*2,2)</f>
        <v>00</v>
      </c>
      <c r="AE203" t="str">
        <f>MID('paste from garc here'!$C$1,1+(('table for research'!$B203-1)*36+HEX2DEC('table for research'!AE$1))*2,2)</f>
        <v>00</v>
      </c>
      <c r="AF203" t="str">
        <f>MID('paste from garc here'!$C$1,1+(('table for research'!$B203-1)*36+HEX2DEC('table for research'!AF$1))*2,2)</f>
        <v>00</v>
      </c>
      <c r="AG203" t="str">
        <f>MID('paste from garc here'!$C$1,1+(('table for research'!$B203-1)*36+HEX2DEC('table for research'!AG$1))*2,2)</f>
        <v>00</v>
      </c>
      <c r="AH203" t="str">
        <f>MID('paste from garc here'!$C$1,1+(('table for research'!$B203-1)*36+HEX2DEC('table for research'!AH$1))*2,2)</f>
        <v>00</v>
      </c>
      <c r="AI203" t="str">
        <f>MID('paste from garc here'!$C$1,1+(('table for research'!$B203-1)*36+HEX2DEC('table for research'!AI$1))*2,2)</f>
        <v>00</v>
      </c>
      <c r="AJ203" t="str">
        <f>MID('paste from garc here'!$C$1,1+(('table for research'!$B203-1)*36+HEX2DEC('table for research'!AJ$1))*2,2)</f>
        <v>00</v>
      </c>
      <c r="AK203" t="str">
        <f>MID('paste from garc here'!$C$1,1+(('table for research'!$B203-1)*36+HEX2DEC('table for research'!AK$1))*2,2)</f>
        <v>00</v>
      </c>
      <c r="AL203" t="str">
        <f>MID('paste from garc here'!$C$1,1+(('table for research'!$B203-1)*36+HEX2DEC('table for research'!AL$1))*2,2)</f>
        <v>00</v>
      </c>
      <c r="AM203" t="str">
        <f>MID('paste from garc here'!$C$1,1+(('table for research'!$B203-1)*36+HEX2DEC('table for research'!AM$1))*2,2)</f>
        <v>00</v>
      </c>
      <c r="AN203" t="str">
        <f>MID('paste from garc here'!$C$1,1+(('table for research'!$B203-1)*36+HEX2DEC('table for research'!AN$1))*2,2)</f>
        <v>00</v>
      </c>
      <c r="AO203" t="str">
        <f>MID('paste from garc here'!$C$1,1+(('table for research'!$B203-1)*36+HEX2DEC('table for research'!AO$1))*2,2)</f>
        <v>00</v>
      </c>
    </row>
    <row r="204" spans="1:41" x14ac:dyDescent="0.4">
      <c r="A204" t="s">
        <v>207</v>
      </c>
      <c r="B204">
        <f>B203+1</f>
        <v>202</v>
      </c>
      <c r="C204" t="str">
        <f>MID('paste from garc here'!$C$1,1+(('table for research'!$B204-1)*36+HEX2DEC('table for research'!C$1))*2,2)</f>
        <v>02</v>
      </c>
      <c r="D204" t="str">
        <f>MID('paste from garc here'!$C$1,1+(('table for research'!$B204-1)*36+HEX2DEC('table for research'!D$1))*2,2)</f>
        <v>00</v>
      </c>
      <c r="E204" t="str">
        <f>MID('paste from garc here'!$C$1,1+(('table for research'!$B204-1)*36+HEX2DEC('table for research'!E$1))*2,2)</f>
        <v>25</v>
      </c>
      <c r="F204" t="str">
        <f>MID('paste from garc here'!$C$1,1+(('table for research'!$B204-1)*36+HEX2DEC('table for research'!F$1))*2,2)</f>
        <v>04</v>
      </c>
      <c r="G204" t="str">
        <f>MID('paste from garc here'!$C$1,1+(('table for research'!$B204-1)*36+HEX2DEC('table for research'!G$1))*2,2)</f>
        <v>11</v>
      </c>
      <c r="H204" t="str">
        <f>MID('paste from garc here'!$C$1,1+(('table for research'!$B204-1)*36+HEX2DEC('table for research'!H$1))*2,2)</f>
        <v>11</v>
      </c>
      <c r="I204" t="str">
        <f>MID('paste from garc here'!$C$1,1+(('table for research'!$B204-1)*36+HEX2DEC('table for research'!I$1))*2,2)</f>
        <v>0A</v>
      </c>
      <c r="J204" t="str">
        <f>MID('paste from garc here'!$C$1,1+(('table for research'!$B204-1)*36+HEX2DEC('table for research'!J$1))*2,2)</f>
        <v>64</v>
      </c>
      <c r="K204" t="str">
        <f>DEC2HEX(_xlfn.BITAND(HEX2DEC(MID('paste from garc here'!$C$1,1+(('table for research'!$B204-1)*36+HEX2DEC(8))*2,2)),31),2)</f>
        <v>0E</v>
      </c>
      <c r="L204" t="str">
        <f>DEC2HEX(_xlfn.BITAND(HEX2DEC(MID('paste from garc here'!$C$1,1+(('table for research'!$B204-1)*36+HEX2DEC(8))*2,2)),32),2)</f>
        <v>00</v>
      </c>
      <c r="M204" t="str">
        <f>DEC2HEX(_xlfn.BITAND(HEX2DEC(MID('paste from garc here'!$C$1,1+(('table for research'!$B204-1)*36+HEX2DEC(8))*2,2)),64),2)</f>
        <v>00</v>
      </c>
      <c r="N204" t="str">
        <f>DEC2HEX(_xlfn.BITRSHIFT(_xlfn.BITAND(HEX2DEC(MID('paste from garc here'!$C$1,1+(('table for research'!$B204-1)*36+HEX2DEC(9))*2,2)&amp;MID('paste from garc here'!$C$1,1+(('table for research'!$B204-1)*36+HEX2DEC(8))*2,2)),1920),7),2)</f>
        <v>03</v>
      </c>
      <c r="O204" t="str">
        <f>DEC2HEX(_xlfn.BITRSHIFT(HEX2DEC(MID('paste from garc here'!$C$1,1+(('table for research'!$B204-1)*36+HEX2DEC(9))*2,2)&amp;MID('paste from garc here'!$C$1,1+(('table for research'!$B204-1)*36+HEX2DEC(8))*2,2)),11),2)</f>
        <v>00</v>
      </c>
      <c r="P204" t="str">
        <f>MID('paste from garc here'!$C$1,1+(('table for research'!$B204-1)*36+HEX2DEC('table for research'!P$1))*2,2)</f>
        <v>0C</v>
      </c>
      <c r="Q204" t="str">
        <f>MID('paste from garc here'!$C$1,1+(('table for research'!$B204-1)*36+HEX2DEC('table for research'!Q$1))*2,2)</f>
        <v>00</v>
      </c>
      <c r="R204" t="str">
        <f>MID('paste from garc here'!$C$1,1+(('table for research'!$B204-1)*36+HEX2DEC('table for research'!R$1))*2,2)</f>
        <v>01</v>
      </c>
      <c r="S204" t="str">
        <f>MID('paste from garc here'!$C$1,1+(('table for research'!$B204-1)*36+HEX2DEC('table for research'!S$1))*2,2)</f>
        <v>07</v>
      </c>
      <c r="T204" t="str">
        <f>MID('paste from garc here'!$C$1,1+(('table for research'!$B204-1)*36+HEX2DEC('table for research'!T$1))*2,2)</f>
        <v>01</v>
      </c>
      <c r="U204" t="str">
        <f>MID('paste from garc here'!$C$1,1+(('table for research'!$B204-1)*36+HEX2DEC('table for research'!U$1))*2,2)</f>
        <v>35</v>
      </c>
      <c r="V204" t="str">
        <f>MID('paste from garc here'!$C$1,1+(('table for research'!$B204-1)*36+HEX2DEC('table for research'!V$1))*2,2)</f>
        <v>00</v>
      </c>
      <c r="W204" t="str">
        <f>MID('paste from garc here'!$C$1,1+(('table for research'!$B204-1)*36+HEX2DEC('table for research'!W$1))*2,2)</f>
        <v>00</v>
      </c>
      <c r="X204" t="str">
        <f>MID('paste from garc here'!$C$1,1+(('table for research'!$B204-1)*36+HEX2DEC('table for research'!X$1))*2,2)</f>
        <v>00</v>
      </c>
      <c r="Y204" t="str">
        <f>MID('paste from garc here'!$C$1,1+(('table for research'!$B204-1)*36+HEX2DEC('table for research'!Y$1))*2,2)</f>
        <v>00</v>
      </c>
      <c r="Z204" t="str">
        <f>MID('paste from garc here'!$C$1,1+(('table for research'!$B204-1)*36+HEX2DEC('table for research'!Z$1))*2,2)</f>
        <v>00</v>
      </c>
      <c r="AA204" t="str">
        <f>MID('paste from garc here'!$C$1,1+(('table for research'!$B204-1)*36+HEX2DEC('table for research'!AA$1))*2,2)</f>
        <v>00</v>
      </c>
      <c r="AB204" t="str">
        <f>MID('paste from garc here'!$C$1,1+(('table for research'!$B204-1)*36+HEX2DEC('table for research'!AB$1))*2,2)</f>
        <v>00</v>
      </c>
      <c r="AC204" t="str">
        <f>MID('paste from garc here'!$C$1,1+(('table for research'!$B204-1)*36+HEX2DEC('table for research'!AC$1))*2,2)</f>
        <v>00</v>
      </c>
      <c r="AD204" t="str">
        <f>MID('paste from garc here'!$C$1,1+(('table for research'!$B204-1)*36+HEX2DEC('table for research'!AD$1))*2,2)</f>
        <v>00</v>
      </c>
      <c r="AE204" t="str">
        <f>MID('paste from garc here'!$C$1,1+(('table for research'!$B204-1)*36+HEX2DEC('table for research'!AE$1))*2,2)</f>
        <v>00</v>
      </c>
      <c r="AF204" t="str">
        <f>MID('paste from garc here'!$C$1,1+(('table for research'!$B204-1)*36+HEX2DEC('table for research'!AF$1))*2,2)</f>
        <v>00</v>
      </c>
      <c r="AG204" t="str">
        <f>MID('paste from garc here'!$C$1,1+(('table for research'!$B204-1)*36+HEX2DEC('table for research'!AG$1))*2,2)</f>
        <v>00</v>
      </c>
      <c r="AH204" t="str">
        <f>MID('paste from garc here'!$C$1,1+(('table for research'!$B204-1)*36+HEX2DEC('table for research'!AH$1))*2,2)</f>
        <v>00</v>
      </c>
      <c r="AI204" t="str">
        <f>MID('paste from garc here'!$C$1,1+(('table for research'!$B204-1)*36+HEX2DEC('table for research'!AI$1))*2,2)</f>
        <v>00</v>
      </c>
      <c r="AJ204" t="str">
        <f>MID('paste from garc here'!$C$1,1+(('table for research'!$B204-1)*36+HEX2DEC('table for research'!AJ$1))*2,2)</f>
        <v>00</v>
      </c>
      <c r="AK204" t="str">
        <f>MID('paste from garc here'!$C$1,1+(('table for research'!$B204-1)*36+HEX2DEC('table for research'!AK$1))*2,2)</f>
        <v>00</v>
      </c>
      <c r="AL204" t="str">
        <f>MID('paste from garc here'!$C$1,1+(('table for research'!$B204-1)*36+HEX2DEC('table for research'!AL$1))*2,2)</f>
        <v>00</v>
      </c>
      <c r="AM204" t="str">
        <f>MID('paste from garc here'!$C$1,1+(('table for research'!$B204-1)*36+HEX2DEC('table for research'!AM$1))*2,2)</f>
        <v>00</v>
      </c>
      <c r="AN204" t="str">
        <f>MID('paste from garc here'!$C$1,1+(('table for research'!$B204-1)*36+HEX2DEC('table for research'!AN$1))*2,2)</f>
        <v>00</v>
      </c>
      <c r="AO204" t="str">
        <f>MID('paste from garc here'!$C$1,1+(('table for research'!$B204-1)*36+HEX2DEC('table for research'!AO$1))*2,2)</f>
        <v>00</v>
      </c>
    </row>
    <row r="205" spans="1:41" x14ac:dyDescent="0.4">
      <c r="A205" t="s">
        <v>208</v>
      </c>
      <c r="B205">
        <f>B204+1</f>
        <v>203</v>
      </c>
      <c r="C205" t="str">
        <f>MID('paste from garc here'!$C$1,1+(('table for research'!$B205-1)*36+HEX2DEC('table for research'!C$1))*2,2)</f>
        <v>02</v>
      </c>
      <c r="D205" t="str">
        <f>MID('paste from garc here'!$C$1,1+(('table for research'!$B205-1)*36+HEX2DEC('table for research'!D$1))*2,2)</f>
        <v>00</v>
      </c>
      <c r="E205" t="str">
        <f>MID('paste from garc here'!$C$1,1+(('table for research'!$B205-1)*36+HEX2DEC('table for research'!E$1))*2,2)</f>
        <v>26</v>
      </c>
      <c r="F205" t="str">
        <f>MID('paste from garc here'!$C$1,1+(('table for research'!$B205-1)*36+HEX2DEC('table for research'!F$1))*2,2)</f>
        <v>04</v>
      </c>
      <c r="G205" t="str">
        <f>MID('paste from garc here'!$C$1,1+(('table for research'!$B205-1)*36+HEX2DEC('table for research'!G$1))*2,2)</f>
        <v>12</v>
      </c>
      <c r="H205" t="str">
        <f>MID('paste from garc here'!$C$1,1+(('table for research'!$B205-1)*36+HEX2DEC('table for research'!H$1))*2,2)</f>
        <v>12</v>
      </c>
      <c r="I205" t="str">
        <f>MID('paste from garc here'!$C$1,1+(('table for research'!$B205-1)*36+HEX2DEC('table for research'!I$1))*2,2)</f>
        <v>0A</v>
      </c>
      <c r="J205" t="str">
        <f>MID('paste from garc here'!$C$1,1+(('table for research'!$B205-1)*36+HEX2DEC('table for research'!J$1))*2,2)</f>
        <v>64</v>
      </c>
      <c r="K205" t="str">
        <f>DEC2HEX(_xlfn.BITAND(HEX2DEC(MID('paste from garc here'!$C$1,1+(('table for research'!$B205-1)*36+HEX2DEC(8))*2,2)),31),2)</f>
        <v>01</v>
      </c>
      <c r="L205" t="str">
        <f>DEC2HEX(_xlfn.BITAND(HEX2DEC(MID('paste from garc here'!$C$1,1+(('table for research'!$B205-1)*36+HEX2DEC(8))*2,2)),32),2)</f>
        <v>00</v>
      </c>
      <c r="M205" t="str">
        <f>DEC2HEX(_xlfn.BITAND(HEX2DEC(MID('paste from garc here'!$C$1,1+(('table for research'!$B205-1)*36+HEX2DEC(8))*2,2)),64),2)</f>
        <v>00</v>
      </c>
      <c r="N205" t="str">
        <f>DEC2HEX(_xlfn.BITRSHIFT(_xlfn.BITAND(HEX2DEC(MID('paste from garc here'!$C$1,1+(('table for research'!$B205-1)*36+HEX2DEC(9))*2,2)&amp;MID('paste from garc here'!$C$1,1+(('table for research'!$B205-1)*36+HEX2DEC(8))*2,2)),1920),7),2)</f>
        <v>03</v>
      </c>
      <c r="O205" t="str">
        <f>DEC2HEX(_xlfn.BITRSHIFT(HEX2DEC(MID('paste from garc here'!$C$1,1+(('table for research'!$B205-1)*36+HEX2DEC(9))*2,2)&amp;MID('paste from garc here'!$C$1,1+(('table for research'!$B205-1)*36+HEX2DEC(8))*2,2)),11),2)</f>
        <v>00</v>
      </c>
      <c r="P205" t="str">
        <f>MID('paste from garc here'!$C$1,1+(('table for research'!$B205-1)*36+HEX2DEC('table for research'!P$1))*2,2)</f>
        <v>0C</v>
      </c>
      <c r="Q205" t="str">
        <f>MID('paste from garc here'!$C$1,1+(('table for research'!$B205-1)*36+HEX2DEC('table for research'!Q$1))*2,2)</f>
        <v>00</v>
      </c>
      <c r="R205" t="str">
        <f>MID('paste from garc here'!$C$1,1+(('table for research'!$B205-1)*36+HEX2DEC('table for research'!R$1))*2,2)</f>
        <v>01</v>
      </c>
      <c r="S205" t="str">
        <f>MID('paste from garc here'!$C$1,1+(('table for research'!$B205-1)*36+HEX2DEC('table for research'!S$1))*2,2)</f>
        <v>07</v>
      </c>
      <c r="T205" t="str">
        <f>MID('paste from garc here'!$C$1,1+(('table for research'!$B205-1)*36+HEX2DEC('table for research'!T$1))*2,2)</f>
        <v>01</v>
      </c>
      <c r="U205" t="str">
        <f>MID('paste from garc here'!$C$1,1+(('table for research'!$B205-1)*36+HEX2DEC('table for research'!U$1))*2,2)</f>
        <v>36</v>
      </c>
      <c r="V205" t="str">
        <f>MID('paste from garc here'!$C$1,1+(('table for research'!$B205-1)*36+HEX2DEC('table for research'!V$1))*2,2)</f>
        <v>00</v>
      </c>
      <c r="W205" t="str">
        <f>MID('paste from garc here'!$C$1,1+(('table for research'!$B205-1)*36+HEX2DEC('table for research'!W$1))*2,2)</f>
        <v>00</v>
      </c>
      <c r="X205" t="str">
        <f>MID('paste from garc here'!$C$1,1+(('table for research'!$B205-1)*36+HEX2DEC('table for research'!X$1))*2,2)</f>
        <v>00</v>
      </c>
      <c r="Y205" t="str">
        <f>MID('paste from garc here'!$C$1,1+(('table for research'!$B205-1)*36+HEX2DEC('table for research'!Y$1))*2,2)</f>
        <v>00</v>
      </c>
      <c r="Z205" t="str">
        <f>MID('paste from garc here'!$C$1,1+(('table for research'!$B205-1)*36+HEX2DEC('table for research'!Z$1))*2,2)</f>
        <v>00</v>
      </c>
      <c r="AA205" t="str">
        <f>MID('paste from garc here'!$C$1,1+(('table for research'!$B205-1)*36+HEX2DEC('table for research'!AA$1))*2,2)</f>
        <v>00</v>
      </c>
      <c r="AB205" t="str">
        <f>MID('paste from garc here'!$C$1,1+(('table for research'!$B205-1)*36+HEX2DEC('table for research'!AB$1))*2,2)</f>
        <v>00</v>
      </c>
      <c r="AC205" t="str">
        <f>MID('paste from garc here'!$C$1,1+(('table for research'!$B205-1)*36+HEX2DEC('table for research'!AC$1))*2,2)</f>
        <v>00</v>
      </c>
      <c r="AD205" t="str">
        <f>MID('paste from garc here'!$C$1,1+(('table for research'!$B205-1)*36+HEX2DEC('table for research'!AD$1))*2,2)</f>
        <v>00</v>
      </c>
      <c r="AE205" t="str">
        <f>MID('paste from garc here'!$C$1,1+(('table for research'!$B205-1)*36+HEX2DEC('table for research'!AE$1))*2,2)</f>
        <v>00</v>
      </c>
      <c r="AF205" t="str">
        <f>MID('paste from garc here'!$C$1,1+(('table for research'!$B205-1)*36+HEX2DEC('table for research'!AF$1))*2,2)</f>
        <v>00</v>
      </c>
      <c r="AG205" t="str">
        <f>MID('paste from garc here'!$C$1,1+(('table for research'!$B205-1)*36+HEX2DEC('table for research'!AG$1))*2,2)</f>
        <v>00</v>
      </c>
      <c r="AH205" t="str">
        <f>MID('paste from garc here'!$C$1,1+(('table for research'!$B205-1)*36+HEX2DEC('table for research'!AH$1))*2,2)</f>
        <v>00</v>
      </c>
      <c r="AI205" t="str">
        <f>MID('paste from garc here'!$C$1,1+(('table for research'!$B205-1)*36+HEX2DEC('table for research'!AI$1))*2,2)</f>
        <v>00</v>
      </c>
      <c r="AJ205" t="str">
        <f>MID('paste from garc here'!$C$1,1+(('table for research'!$B205-1)*36+HEX2DEC('table for research'!AJ$1))*2,2)</f>
        <v>00</v>
      </c>
      <c r="AK205" t="str">
        <f>MID('paste from garc here'!$C$1,1+(('table for research'!$B205-1)*36+HEX2DEC('table for research'!AK$1))*2,2)</f>
        <v>00</v>
      </c>
      <c r="AL205" t="str">
        <f>MID('paste from garc here'!$C$1,1+(('table for research'!$B205-1)*36+HEX2DEC('table for research'!AL$1))*2,2)</f>
        <v>00</v>
      </c>
      <c r="AM205" t="str">
        <f>MID('paste from garc here'!$C$1,1+(('table for research'!$B205-1)*36+HEX2DEC('table for research'!AM$1))*2,2)</f>
        <v>00</v>
      </c>
      <c r="AN205" t="str">
        <f>MID('paste from garc here'!$C$1,1+(('table for research'!$B205-1)*36+HEX2DEC('table for research'!AN$1))*2,2)</f>
        <v>00</v>
      </c>
      <c r="AO205" t="str">
        <f>MID('paste from garc here'!$C$1,1+(('table for research'!$B205-1)*36+HEX2DEC('table for research'!AO$1))*2,2)</f>
        <v>00</v>
      </c>
    </row>
    <row r="206" spans="1:41" x14ac:dyDescent="0.4">
      <c r="A206" t="s">
        <v>209</v>
      </c>
      <c r="B206">
        <f>B205+1</f>
        <v>204</v>
      </c>
      <c r="C206" t="str">
        <f>MID('paste from garc here'!$C$1,1+(('table for research'!$B206-1)*36+HEX2DEC('table for research'!C$1))*2,2)</f>
        <v>02</v>
      </c>
      <c r="D206" t="str">
        <f>MID('paste from garc here'!$C$1,1+(('table for research'!$B206-1)*36+HEX2DEC('table for research'!D$1))*2,2)</f>
        <v>00</v>
      </c>
      <c r="E206" t="str">
        <f>MID('paste from garc here'!$C$1,1+(('table for research'!$B206-1)*36+HEX2DEC('table for research'!E$1))*2,2)</f>
        <v>27</v>
      </c>
      <c r="F206" t="str">
        <f>MID('paste from garc here'!$C$1,1+(('table for research'!$B206-1)*36+HEX2DEC('table for research'!F$1))*2,2)</f>
        <v>04</v>
      </c>
      <c r="G206" t="str">
        <f>MID('paste from garc here'!$C$1,1+(('table for research'!$B206-1)*36+HEX2DEC('table for research'!G$1))*2,2)</f>
        <v>13</v>
      </c>
      <c r="H206" t="str">
        <f>MID('paste from garc here'!$C$1,1+(('table for research'!$B206-1)*36+HEX2DEC('table for research'!H$1))*2,2)</f>
        <v>13</v>
      </c>
      <c r="I206" t="str">
        <f>MID('paste from garc here'!$C$1,1+(('table for research'!$B206-1)*36+HEX2DEC('table for research'!I$1))*2,2)</f>
        <v>0A</v>
      </c>
      <c r="J206" t="str">
        <f>MID('paste from garc here'!$C$1,1+(('table for research'!$B206-1)*36+HEX2DEC('table for research'!J$1))*2,2)</f>
        <v>64</v>
      </c>
      <c r="K206" t="str">
        <f>DEC2HEX(_xlfn.BITAND(HEX2DEC(MID('paste from garc here'!$C$1,1+(('table for research'!$B206-1)*36+HEX2DEC(8))*2,2)),31),2)</f>
        <v>03</v>
      </c>
      <c r="L206" t="str">
        <f>DEC2HEX(_xlfn.BITAND(HEX2DEC(MID('paste from garc here'!$C$1,1+(('table for research'!$B206-1)*36+HEX2DEC(8))*2,2)),32),2)</f>
        <v>00</v>
      </c>
      <c r="M206" t="str">
        <f>DEC2HEX(_xlfn.BITAND(HEX2DEC(MID('paste from garc here'!$C$1,1+(('table for research'!$B206-1)*36+HEX2DEC(8))*2,2)),64),2)</f>
        <v>00</v>
      </c>
      <c r="N206" t="str">
        <f>DEC2HEX(_xlfn.BITRSHIFT(_xlfn.BITAND(HEX2DEC(MID('paste from garc here'!$C$1,1+(('table for research'!$B206-1)*36+HEX2DEC(9))*2,2)&amp;MID('paste from garc here'!$C$1,1+(('table for research'!$B206-1)*36+HEX2DEC(8))*2,2)),1920),7),2)</f>
        <v>03</v>
      </c>
      <c r="O206" t="str">
        <f>DEC2HEX(_xlfn.BITRSHIFT(HEX2DEC(MID('paste from garc here'!$C$1,1+(('table for research'!$B206-1)*36+HEX2DEC(9))*2,2)&amp;MID('paste from garc here'!$C$1,1+(('table for research'!$B206-1)*36+HEX2DEC(8))*2,2)),11),2)</f>
        <v>00</v>
      </c>
      <c r="P206" t="str">
        <f>MID('paste from garc here'!$C$1,1+(('table for research'!$B206-1)*36+HEX2DEC('table for research'!P$1))*2,2)</f>
        <v>0C</v>
      </c>
      <c r="Q206" t="str">
        <f>MID('paste from garc here'!$C$1,1+(('table for research'!$B206-1)*36+HEX2DEC('table for research'!Q$1))*2,2)</f>
        <v>00</v>
      </c>
      <c r="R206" t="str">
        <f>MID('paste from garc here'!$C$1,1+(('table for research'!$B206-1)*36+HEX2DEC('table for research'!R$1))*2,2)</f>
        <v>01</v>
      </c>
      <c r="S206" t="str">
        <f>MID('paste from garc here'!$C$1,1+(('table for research'!$B206-1)*36+HEX2DEC('table for research'!S$1))*2,2)</f>
        <v>07</v>
      </c>
      <c r="T206" t="str">
        <f>MID('paste from garc here'!$C$1,1+(('table for research'!$B206-1)*36+HEX2DEC('table for research'!T$1))*2,2)</f>
        <v>01</v>
      </c>
      <c r="U206" t="str">
        <f>MID('paste from garc here'!$C$1,1+(('table for research'!$B206-1)*36+HEX2DEC('table for research'!U$1))*2,2)</f>
        <v>37</v>
      </c>
      <c r="V206" t="str">
        <f>MID('paste from garc here'!$C$1,1+(('table for research'!$B206-1)*36+HEX2DEC('table for research'!V$1))*2,2)</f>
        <v>00</v>
      </c>
      <c r="W206" t="str">
        <f>MID('paste from garc here'!$C$1,1+(('table for research'!$B206-1)*36+HEX2DEC('table for research'!W$1))*2,2)</f>
        <v>00</v>
      </c>
      <c r="X206" t="str">
        <f>MID('paste from garc here'!$C$1,1+(('table for research'!$B206-1)*36+HEX2DEC('table for research'!X$1))*2,2)</f>
        <v>00</v>
      </c>
      <c r="Y206" t="str">
        <f>MID('paste from garc here'!$C$1,1+(('table for research'!$B206-1)*36+HEX2DEC('table for research'!Y$1))*2,2)</f>
        <v>00</v>
      </c>
      <c r="Z206" t="str">
        <f>MID('paste from garc here'!$C$1,1+(('table for research'!$B206-1)*36+HEX2DEC('table for research'!Z$1))*2,2)</f>
        <v>00</v>
      </c>
      <c r="AA206" t="str">
        <f>MID('paste from garc here'!$C$1,1+(('table for research'!$B206-1)*36+HEX2DEC('table for research'!AA$1))*2,2)</f>
        <v>00</v>
      </c>
      <c r="AB206" t="str">
        <f>MID('paste from garc here'!$C$1,1+(('table for research'!$B206-1)*36+HEX2DEC('table for research'!AB$1))*2,2)</f>
        <v>00</v>
      </c>
      <c r="AC206" t="str">
        <f>MID('paste from garc here'!$C$1,1+(('table for research'!$B206-1)*36+HEX2DEC('table for research'!AC$1))*2,2)</f>
        <v>00</v>
      </c>
      <c r="AD206" t="str">
        <f>MID('paste from garc here'!$C$1,1+(('table for research'!$B206-1)*36+HEX2DEC('table for research'!AD$1))*2,2)</f>
        <v>00</v>
      </c>
      <c r="AE206" t="str">
        <f>MID('paste from garc here'!$C$1,1+(('table for research'!$B206-1)*36+HEX2DEC('table for research'!AE$1))*2,2)</f>
        <v>00</v>
      </c>
      <c r="AF206" t="str">
        <f>MID('paste from garc here'!$C$1,1+(('table for research'!$B206-1)*36+HEX2DEC('table for research'!AF$1))*2,2)</f>
        <v>00</v>
      </c>
      <c r="AG206" t="str">
        <f>MID('paste from garc here'!$C$1,1+(('table for research'!$B206-1)*36+HEX2DEC('table for research'!AG$1))*2,2)</f>
        <v>00</v>
      </c>
      <c r="AH206" t="str">
        <f>MID('paste from garc here'!$C$1,1+(('table for research'!$B206-1)*36+HEX2DEC('table for research'!AH$1))*2,2)</f>
        <v>00</v>
      </c>
      <c r="AI206" t="str">
        <f>MID('paste from garc here'!$C$1,1+(('table for research'!$B206-1)*36+HEX2DEC('table for research'!AI$1))*2,2)</f>
        <v>00</v>
      </c>
      <c r="AJ206" t="str">
        <f>MID('paste from garc here'!$C$1,1+(('table for research'!$B206-1)*36+HEX2DEC('table for research'!AJ$1))*2,2)</f>
        <v>00</v>
      </c>
      <c r="AK206" t="str">
        <f>MID('paste from garc here'!$C$1,1+(('table for research'!$B206-1)*36+HEX2DEC('table for research'!AK$1))*2,2)</f>
        <v>00</v>
      </c>
      <c r="AL206" t="str">
        <f>MID('paste from garc here'!$C$1,1+(('table for research'!$B206-1)*36+HEX2DEC('table for research'!AL$1))*2,2)</f>
        <v>00</v>
      </c>
      <c r="AM206" t="str">
        <f>MID('paste from garc here'!$C$1,1+(('table for research'!$B206-1)*36+HEX2DEC('table for research'!AM$1))*2,2)</f>
        <v>00</v>
      </c>
      <c r="AN206" t="str">
        <f>MID('paste from garc here'!$C$1,1+(('table for research'!$B206-1)*36+HEX2DEC('table for research'!AN$1))*2,2)</f>
        <v>00</v>
      </c>
      <c r="AO206" t="str">
        <f>MID('paste from garc here'!$C$1,1+(('table for research'!$B206-1)*36+HEX2DEC('table for research'!AO$1))*2,2)</f>
        <v>00</v>
      </c>
    </row>
    <row r="207" spans="1:41" x14ac:dyDescent="0.4">
      <c r="A207" t="s">
        <v>210</v>
      </c>
      <c r="B207">
        <f>B206+1</f>
        <v>205</v>
      </c>
      <c r="C207" t="str">
        <f>MID('paste from garc here'!$C$1,1+(('table for research'!$B207-1)*36+HEX2DEC('table for research'!C$1))*2,2)</f>
        <v>02</v>
      </c>
      <c r="D207" t="str">
        <f>MID('paste from garc here'!$C$1,1+(('table for research'!$B207-1)*36+HEX2DEC('table for research'!D$1))*2,2)</f>
        <v>00</v>
      </c>
      <c r="E207" t="str">
        <f>MID('paste from garc here'!$C$1,1+(('table for research'!$B207-1)*36+HEX2DEC('table for research'!E$1))*2,2)</f>
        <v>28</v>
      </c>
      <c r="F207" t="str">
        <f>MID('paste from garc here'!$C$1,1+(('table for research'!$B207-1)*36+HEX2DEC('table for research'!F$1))*2,2)</f>
        <v>04</v>
      </c>
      <c r="G207" t="str">
        <f>MID('paste from garc here'!$C$1,1+(('table for research'!$B207-1)*36+HEX2DEC('table for research'!G$1))*2,2)</f>
        <v>14</v>
      </c>
      <c r="H207" t="str">
        <f>MID('paste from garc here'!$C$1,1+(('table for research'!$B207-1)*36+HEX2DEC('table for research'!H$1))*2,2)</f>
        <v>14</v>
      </c>
      <c r="I207" t="str">
        <f>MID('paste from garc here'!$C$1,1+(('table for research'!$B207-1)*36+HEX2DEC('table for research'!I$1))*2,2)</f>
        <v>0A</v>
      </c>
      <c r="J207" t="str">
        <f>MID('paste from garc here'!$C$1,1+(('table for research'!$B207-1)*36+HEX2DEC('table for research'!J$1))*2,2)</f>
        <v>64</v>
      </c>
      <c r="K207" t="str">
        <f>DEC2HEX(_xlfn.BITAND(HEX2DEC(MID('paste from garc here'!$C$1,1+(('table for research'!$B207-1)*36+HEX2DEC(8))*2,2)),31),2)</f>
        <v>04</v>
      </c>
      <c r="L207" t="str">
        <f>DEC2HEX(_xlfn.BITAND(HEX2DEC(MID('paste from garc here'!$C$1,1+(('table for research'!$B207-1)*36+HEX2DEC(8))*2,2)),32),2)</f>
        <v>00</v>
      </c>
      <c r="M207" t="str">
        <f>DEC2HEX(_xlfn.BITAND(HEX2DEC(MID('paste from garc here'!$C$1,1+(('table for research'!$B207-1)*36+HEX2DEC(8))*2,2)),64),2)</f>
        <v>00</v>
      </c>
      <c r="N207" t="str">
        <f>DEC2HEX(_xlfn.BITRSHIFT(_xlfn.BITAND(HEX2DEC(MID('paste from garc here'!$C$1,1+(('table for research'!$B207-1)*36+HEX2DEC(9))*2,2)&amp;MID('paste from garc here'!$C$1,1+(('table for research'!$B207-1)*36+HEX2DEC(8))*2,2)),1920),7),2)</f>
        <v>03</v>
      </c>
      <c r="O207" t="str">
        <f>DEC2HEX(_xlfn.BITRSHIFT(HEX2DEC(MID('paste from garc here'!$C$1,1+(('table for research'!$B207-1)*36+HEX2DEC(9))*2,2)&amp;MID('paste from garc here'!$C$1,1+(('table for research'!$B207-1)*36+HEX2DEC(8))*2,2)),11),2)</f>
        <v>00</v>
      </c>
      <c r="P207" t="str">
        <f>MID('paste from garc here'!$C$1,1+(('table for research'!$B207-1)*36+HEX2DEC('table for research'!P$1))*2,2)</f>
        <v>0C</v>
      </c>
      <c r="Q207" t="str">
        <f>MID('paste from garc here'!$C$1,1+(('table for research'!$B207-1)*36+HEX2DEC('table for research'!Q$1))*2,2)</f>
        <v>00</v>
      </c>
      <c r="R207" t="str">
        <f>MID('paste from garc here'!$C$1,1+(('table for research'!$B207-1)*36+HEX2DEC('table for research'!R$1))*2,2)</f>
        <v>01</v>
      </c>
      <c r="S207" t="str">
        <f>MID('paste from garc here'!$C$1,1+(('table for research'!$B207-1)*36+HEX2DEC('table for research'!S$1))*2,2)</f>
        <v>07</v>
      </c>
      <c r="T207" t="str">
        <f>MID('paste from garc here'!$C$1,1+(('table for research'!$B207-1)*36+HEX2DEC('table for research'!T$1))*2,2)</f>
        <v>01</v>
      </c>
      <c r="U207" t="str">
        <f>MID('paste from garc here'!$C$1,1+(('table for research'!$B207-1)*36+HEX2DEC('table for research'!U$1))*2,2)</f>
        <v>38</v>
      </c>
      <c r="V207" t="str">
        <f>MID('paste from garc here'!$C$1,1+(('table for research'!$B207-1)*36+HEX2DEC('table for research'!V$1))*2,2)</f>
        <v>00</v>
      </c>
      <c r="W207" t="str">
        <f>MID('paste from garc here'!$C$1,1+(('table for research'!$B207-1)*36+HEX2DEC('table for research'!W$1))*2,2)</f>
        <v>00</v>
      </c>
      <c r="X207" t="str">
        <f>MID('paste from garc here'!$C$1,1+(('table for research'!$B207-1)*36+HEX2DEC('table for research'!X$1))*2,2)</f>
        <v>00</v>
      </c>
      <c r="Y207" t="str">
        <f>MID('paste from garc here'!$C$1,1+(('table for research'!$B207-1)*36+HEX2DEC('table for research'!Y$1))*2,2)</f>
        <v>00</v>
      </c>
      <c r="Z207" t="str">
        <f>MID('paste from garc here'!$C$1,1+(('table for research'!$B207-1)*36+HEX2DEC('table for research'!Z$1))*2,2)</f>
        <v>00</v>
      </c>
      <c r="AA207" t="str">
        <f>MID('paste from garc here'!$C$1,1+(('table for research'!$B207-1)*36+HEX2DEC('table for research'!AA$1))*2,2)</f>
        <v>00</v>
      </c>
      <c r="AB207" t="str">
        <f>MID('paste from garc here'!$C$1,1+(('table for research'!$B207-1)*36+HEX2DEC('table for research'!AB$1))*2,2)</f>
        <v>00</v>
      </c>
      <c r="AC207" t="str">
        <f>MID('paste from garc here'!$C$1,1+(('table for research'!$B207-1)*36+HEX2DEC('table for research'!AC$1))*2,2)</f>
        <v>00</v>
      </c>
      <c r="AD207" t="str">
        <f>MID('paste from garc here'!$C$1,1+(('table for research'!$B207-1)*36+HEX2DEC('table for research'!AD$1))*2,2)</f>
        <v>00</v>
      </c>
      <c r="AE207" t="str">
        <f>MID('paste from garc here'!$C$1,1+(('table for research'!$B207-1)*36+HEX2DEC('table for research'!AE$1))*2,2)</f>
        <v>00</v>
      </c>
      <c r="AF207" t="str">
        <f>MID('paste from garc here'!$C$1,1+(('table for research'!$B207-1)*36+HEX2DEC('table for research'!AF$1))*2,2)</f>
        <v>00</v>
      </c>
      <c r="AG207" t="str">
        <f>MID('paste from garc here'!$C$1,1+(('table for research'!$B207-1)*36+HEX2DEC('table for research'!AG$1))*2,2)</f>
        <v>00</v>
      </c>
      <c r="AH207" t="str">
        <f>MID('paste from garc here'!$C$1,1+(('table for research'!$B207-1)*36+HEX2DEC('table for research'!AH$1))*2,2)</f>
        <v>00</v>
      </c>
      <c r="AI207" t="str">
        <f>MID('paste from garc here'!$C$1,1+(('table for research'!$B207-1)*36+HEX2DEC('table for research'!AI$1))*2,2)</f>
        <v>00</v>
      </c>
      <c r="AJ207" t="str">
        <f>MID('paste from garc here'!$C$1,1+(('table for research'!$B207-1)*36+HEX2DEC('table for research'!AJ$1))*2,2)</f>
        <v>00</v>
      </c>
      <c r="AK207" t="str">
        <f>MID('paste from garc here'!$C$1,1+(('table for research'!$B207-1)*36+HEX2DEC('table for research'!AK$1))*2,2)</f>
        <v>00</v>
      </c>
      <c r="AL207" t="str">
        <f>MID('paste from garc here'!$C$1,1+(('table for research'!$B207-1)*36+HEX2DEC('table for research'!AL$1))*2,2)</f>
        <v>00</v>
      </c>
      <c r="AM207" t="str">
        <f>MID('paste from garc here'!$C$1,1+(('table for research'!$B207-1)*36+HEX2DEC('table for research'!AM$1))*2,2)</f>
        <v>00</v>
      </c>
      <c r="AN207" t="str">
        <f>MID('paste from garc here'!$C$1,1+(('table for research'!$B207-1)*36+HEX2DEC('table for research'!AN$1))*2,2)</f>
        <v>00</v>
      </c>
      <c r="AO207" t="str">
        <f>MID('paste from garc here'!$C$1,1+(('table for research'!$B207-1)*36+HEX2DEC('table for research'!AO$1))*2,2)</f>
        <v>00</v>
      </c>
    </row>
    <row r="208" spans="1:41" x14ac:dyDescent="0.4">
      <c r="A208" t="s">
        <v>211</v>
      </c>
      <c r="B208">
        <f>B207+1</f>
        <v>206</v>
      </c>
      <c r="C208" t="str">
        <f>MID('paste from garc here'!$C$1,1+(('table for research'!$B208-1)*36+HEX2DEC('table for research'!C$1))*2,2)</f>
        <v>02</v>
      </c>
      <c r="D208" t="str">
        <f>MID('paste from garc here'!$C$1,1+(('table for research'!$B208-1)*36+HEX2DEC('table for research'!D$1))*2,2)</f>
        <v>00</v>
      </c>
      <c r="E208" t="str">
        <f>MID('paste from garc here'!$C$1,1+(('table for research'!$B208-1)*36+HEX2DEC('table for research'!E$1))*2,2)</f>
        <v>29</v>
      </c>
      <c r="F208" t="str">
        <f>MID('paste from garc here'!$C$1,1+(('table for research'!$B208-1)*36+HEX2DEC('table for research'!F$1))*2,2)</f>
        <v>04</v>
      </c>
      <c r="G208" t="str">
        <f>MID('paste from garc here'!$C$1,1+(('table for research'!$B208-1)*36+HEX2DEC('table for research'!G$1))*2,2)</f>
        <v>15</v>
      </c>
      <c r="H208" t="str">
        <f>MID('paste from garc here'!$C$1,1+(('table for research'!$B208-1)*36+HEX2DEC('table for research'!H$1))*2,2)</f>
        <v>15</v>
      </c>
      <c r="I208" t="str">
        <f>MID('paste from garc here'!$C$1,1+(('table for research'!$B208-1)*36+HEX2DEC('table for research'!I$1))*2,2)</f>
        <v>0A</v>
      </c>
      <c r="J208" t="str">
        <f>MID('paste from garc here'!$C$1,1+(('table for research'!$B208-1)*36+HEX2DEC('table for research'!J$1))*2,2)</f>
        <v>64</v>
      </c>
      <c r="K208" t="str">
        <f>DEC2HEX(_xlfn.BITAND(HEX2DEC(MID('paste from garc here'!$C$1,1+(('table for research'!$B208-1)*36+HEX2DEC(8))*2,2)),31),2)</f>
        <v>02</v>
      </c>
      <c r="L208" t="str">
        <f>DEC2HEX(_xlfn.BITAND(HEX2DEC(MID('paste from garc here'!$C$1,1+(('table for research'!$B208-1)*36+HEX2DEC(8))*2,2)),32),2)</f>
        <v>00</v>
      </c>
      <c r="M208" t="str">
        <f>DEC2HEX(_xlfn.BITAND(HEX2DEC(MID('paste from garc here'!$C$1,1+(('table for research'!$B208-1)*36+HEX2DEC(8))*2,2)),64),2)</f>
        <v>00</v>
      </c>
      <c r="N208" t="str">
        <f>DEC2HEX(_xlfn.BITRSHIFT(_xlfn.BITAND(HEX2DEC(MID('paste from garc here'!$C$1,1+(('table for research'!$B208-1)*36+HEX2DEC(9))*2,2)&amp;MID('paste from garc here'!$C$1,1+(('table for research'!$B208-1)*36+HEX2DEC(8))*2,2)),1920),7),2)</f>
        <v>03</v>
      </c>
      <c r="O208" t="str">
        <f>DEC2HEX(_xlfn.BITRSHIFT(HEX2DEC(MID('paste from garc here'!$C$1,1+(('table for research'!$B208-1)*36+HEX2DEC(9))*2,2)&amp;MID('paste from garc here'!$C$1,1+(('table for research'!$B208-1)*36+HEX2DEC(8))*2,2)),11),2)</f>
        <v>00</v>
      </c>
      <c r="P208" t="str">
        <f>MID('paste from garc here'!$C$1,1+(('table for research'!$B208-1)*36+HEX2DEC('table for research'!P$1))*2,2)</f>
        <v>0C</v>
      </c>
      <c r="Q208" t="str">
        <f>MID('paste from garc here'!$C$1,1+(('table for research'!$B208-1)*36+HEX2DEC('table for research'!Q$1))*2,2)</f>
        <v>00</v>
      </c>
      <c r="R208" t="str">
        <f>MID('paste from garc here'!$C$1,1+(('table for research'!$B208-1)*36+HEX2DEC('table for research'!R$1))*2,2)</f>
        <v>01</v>
      </c>
      <c r="S208" t="str">
        <f>MID('paste from garc here'!$C$1,1+(('table for research'!$B208-1)*36+HEX2DEC('table for research'!S$1))*2,2)</f>
        <v>07</v>
      </c>
      <c r="T208" t="str">
        <f>MID('paste from garc here'!$C$1,1+(('table for research'!$B208-1)*36+HEX2DEC('table for research'!T$1))*2,2)</f>
        <v>01</v>
      </c>
      <c r="U208" t="str">
        <f>MID('paste from garc here'!$C$1,1+(('table for research'!$B208-1)*36+HEX2DEC('table for research'!U$1))*2,2)</f>
        <v>39</v>
      </c>
      <c r="V208" t="str">
        <f>MID('paste from garc here'!$C$1,1+(('table for research'!$B208-1)*36+HEX2DEC('table for research'!V$1))*2,2)</f>
        <v>00</v>
      </c>
      <c r="W208" t="str">
        <f>MID('paste from garc here'!$C$1,1+(('table for research'!$B208-1)*36+HEX2DEC('table for research'!W$1))*2,2)</f>
        <v>00</v>
      </c>
      <c r="X208" t="str">
        <f>MID('paste from garc here'!$C$1,1+(('table for research'!$B208-1)*36+HEX2DEC('table for research'!X$1))*2,2)</f>
        <v>00</v>
      </c>
      <c r="Y208" t="str">
        <f>MID('paste from garc here'!$C$1,1+(('table for research'!$B208-1)*36+HEX2DEC('table for research'!Y$1))*2,2)</f>
        <v>00</v>
      </c>
      <c r="Z208" t="str">
        <f>MID('paste from garc here'!$C$1,1+(('table for research'!$B208-1)*36+HEX2DEC('table for research'!Z$1))*2,2)</f>
        <v>00</v>
      </c>
      <c r="AA208" t="str">
        <f>MID('paste from garc here'!$C$1,1+(('table for research'!$B208-1)*36+HEX2DEC('table for research'!AA$1))*2,2)</f>
        <v>00</v>
      </c>
      <c r="AB208" t="str">
        <f>MID('paste from garc here'!$C$1,1+(('table for research'!$B208-1)*36+HEX2DEC('table for research'!AB$1))*2,2)</f>
        <v>00</v>
      </c>
      <c r="AC208" t="str">
        <f>MID('paste from garc here'!$C$1,1+(('table for research'!$B208-1)*36+HEX2DEC('table for research'!AC$1))*2,2)</f>
        <v>00</v>
      </c>
      <c r="AD208" t="str">
        <f>MID('paste from garc here'!$C$1,1+(('table for research'!$B208-1)*36+HEX2DEC('table for research'!AD$1))*2,2)</f>
        <v>00</v>
      </c>
      <c r="AE208" t="str">
        <f>MID('paste from garc here'!$C$1,1+(('table for research'!$B208-1)*36+HEX2DEC('table for research'!AE$1))*2,2)</f>
        <v>00</v>
      </c>
      <c r="AF208" t="str">
        <f>MID('paste from garc here'!$C$1,1+(('table for research'!$B208-1)*36+HEX2DEC('table for research'!AF$1))*2,2)</f>
        <v>00</v>
      </c>
      <c r="AG208" t="str">
        <f>MID('paste from garc here'!$C$1,1+(('table for research'!$B208-1)*36+HEX2DEC('table for research'!AG$1))*2,2)</f>
        <v>00</v>
      </c>
      <c r="AH208" t="str">
        <f>MID('paste from garc here'!$C$1,1+(('table for research'!$B208-1)*36+HEX2DEC('table for research'!AH$1))*2,2)</f>
        <v>00</v>
      </c>
      <c r="AI208" t="str">
        <f>MID('paste from garc here'!$C$1,1+(('table for research'!$B208-1)*36+HEX2DEC('table for research'!AI$1))*2,2)</f>
        <v>00</v>
      </c>
      <c r="AJ208" t="str">
        <f>MID('paste from garc here'!$C$1,1+(('table for research'!$B208-1)*36+HEX2DEC('table for research'!AJ$1))*2,2)</f>
        <v>00</v>
      </c>
      <c r="AK208" t="str">
        <f>MID('paste from garc here'!$C$1,1+(('table for research'!$B208-1)*36+HEX2DEC('table for research'!AK$1))*2,2)</f>
        <v>00</v>
      </c>
      <c r="AL208" t="str">
        <f>MID('paste from garc here'!$C$1,1+(('table for research'!$B208-1)*36+HEX2DEC('table for research'!AL$1))*2,2)</f>
        <v>00</v>
      </c>
      <c r="AM208" t="str">
        <f>MID('paste from garc here'!$C$1,1+(('table for research'!$B208-1)*36+HEX2DEC('table for research'!AM$1))*2,2)</f>
        <v>00</v>
      </c>
      <c r="AN208" t="str">
        <f>MID('paste from garc here'!$C$1,1+(('table for research'!$B208-1)*36+HEX2DEC('table for research'!AN$1))*2,2)</f>
        <v>00</v>
      </c>
      <c r="AO208" t="str">
        <f>MID('paste from garc here'!$C$1,1+(('table for research'!$B208-1)*36+HEX2DEC('table for research'!AO$1))*2,2)</f>
        <v>00</v>
      </c>
    </row>
    <row r="209" spans="1:41" x14ac:dyDescent="0.4">
      <c r="A209" t="s">
        <v>212</v>
      </c>
      <c r="B209">
        <f>B208+1</f>
        <v>207</v>
      </c>
      <c r="C209" t="str">
        <f>MID('paste from garc here'!$C$1,1+(('table for research'!$B209-1)*36+HEX2DEC('table for research'!C$1))*2,2)</f>
        <v>02</v>
      </c>
      <c r="D209" t="str">
        <f>MID('paste from garc here'!$C$1,1+(('table for research'!$B209-1)*36+HEX2DEC('table for research'!D$1))*2,2)</f>
        <v>00</v>
      </c>
      <c r="E209" t="str">
        <f>MID('paste from garc here'!$C$1,1+(('table for research'!$B209-1)*36+HEX2DEC('table for research'!E$1))*2,2)</f>
        <v>2A</v>
      </c>
      <c r="F209" t="str">
        <f>MID('paste from garc here'!$C$1,1+(('table for research'!$B209-1)*36+HEX2DEC('table for research'!F$1))*2,2)</f>
        <v>04</v>
      </c>
      <c r="G209" t="str">
        <f>MID('paste from garc here'!$C$1,1+(('table for research'!$B209-1)*36+HEX2DEC('table for research'!G$1))*2,2)</f>
        <v>16</v>
      </c>
      <c r="H209" t="str">
        <f>MID('paste from garc here'!$C$1,1+(('table for research'!$B209-1)*36+HEX2DEC('table for research'!H$1))*2,2)</f>
        <v>16</v>
      </c>
      <c r="I209" t="str">
        <f>MID('paste from garc here'!$C$1,1+(('table for research'!$B209-1)*36+HEX2DEC('table for research'!I$1))*2,2)</f>
        <v>0A</v>
      </c>
      <c r="J209" t="str">
        <f>MID('paste from garc here'!$C$1,1+(('table for research'!$B209-1)*36+HEX2DEC('table for research'!J$1))*2,2)</f>
        <v>64</v>
      </c>
      <c r="K209" t="str">
        <f>DEC2HEX(_xlfn.BITAND(HEX2DEC(MID('paste from garc here'!$C$1,1+(('table for research'!$B209-1)*36+HEX2DEC(8))*2,2)),31),2)</f>
        <v>0D</v>
      </c>
      <c r="L209" t="str">
        <f>DEC2HEX(_xlfn.BITAND(HEX2DEC(MID('paste from garc here'!$C$1,1+(('table for research'!$B209-1)*36+HEX2DEC(8))*2,2)),32),2)</f>
        <v>00</v>
      </c>
      <c r="M209" t="str">
        <f>DEC2HEX(_xlfn.BITAND(HEX2DEC(MID('paste from garc here'!$C$1,1+(('table for research'!$B209-1)*36+HEX2DEC(8))*2,2)),64),2)</f>
        <v>00</v>
      </c>
      <c r="N209" t="str">
        <f>DEC2HEX(_xlfn.BITRSHIFT(_xlfn.BITAND(HEX2DEC(MID('paste from garc here'!$C$1,1+(('table for research'!$B209-1)*36+HEX2DEC(9))*2,2)&amp;MID('paste from garc here'!$C$1,1+(('table for research'!$B209-1)*36+HEX2DEC(8))*2,2)),1920),7),2)</f>
        <v>03</v>
      </c>
      <c r="O209" t="str">
        <f>DEC2HEX(_xlfn.BITRSHIFT(HEX2DEC(MID('paste from garc here'!$C$1,1+(('table for research'!$B209-1)*36+HEX2DEC(9))*2,2)&amp;MID('paste from garc here'!$C$1,1+(('table for research'!$B209-1)*36+HEX2DEC(8))*2,2)),11),2)</f>
        <v>00</v>
      </c>
      <c r="P209" t="str">
        <f>MID('paste from garc here'!$C$1,1+(('table for research'!$B209-1)*36+HEX2DEC('table for research'!P$1))*2,2)</f>
        <v>0C</v>
      </c>
      <c r="Q209" t="str">
        <f>MID('paste from garc here'!$C$1,1+(('table for research'!$B209-1)*36+HEX2DEC('table for research'!Q$1))*2,2)</f>
        <v>00</v>
      </c>
      <c r="R209" t="str">
        <f>MID('paste from garc here'!$C$1,1+(('table for research'!$B209-1)*36+HEX2DEC('table for research'!R$1))*2,2)</f>
        <v>01</v>
      </c>
      <c r="S209" t="str">
        <f>MID('paste from garc here'!$C$1,1+(('table for research'!$B209-1)*36+HEX2DEC('table for research'!S$1))*2,2)</f>
        <v>07</v>
      </c>
      <c r="T209" t="str">
        <f>MID('paste from garc here'!$C$1,1+(('table for research'!$B209-1)*36+HEX2DEC('table for research'!T$1))*2,2)</f>
        <v>01</v>
      </c>
      <c r="U209" t="str">
        <f>MID('paste from garc here'!$C$1,1+(('table for research'!$B209-1)*36+HEX2DEC('table for research'!U$1))*2,2)</f>
        <v>3A</v>
      </c>
      <c r="V209" t="str">
        <f>MID('paste from garc here'!$C$1,1+(('table for research'!$B209-1)*36+HEX2DEC('table for research'!V$1))*2,2)</f>
        <v>00</v>
      </c>
      <c r="W209" t="str">
        <f>MID('paste from garc here'!$C$1,1+(('table for research'!$B209-1)*36+HEX2DEC('table for research'!W$1))*2,2)</f>
        <v>00</v>
      </c>
      <c r="X209" t="str">
        <f>MID('paste from garc here'!$C$1,1+(('table for research'!$B209-1)*36+HEX2DEC('table for research'!X$1))*2,2)</f>
        <v>00</v>
      </c>
      <c r="Y209" t="str">
        <f>MID('paste from garc here'!$C$1,1+(('table for research'!$B209-1)*36+HEX2DEC('table for research'!Y$1))*2,2)</f>
        <v>00</v>
      </c>
      <c r="Z209" t="str">
        <f>MID('paste from garc here'!$C$1,1+(('table for research'!$B209-1)*36+HEX2DEC('table for research'!Z$1))*2,2)</f>
        <v>00</v>
      </c>
      <c r="AA209" t="str">
        <f>MID('paste from garc here'!$C$1,1+(('table for research'!$B209-1)*36+HEX2DEC('table for research'!AA$1))*2,2)</f>
        <v>00</v>
      </c>
      <c r="AB209" t="str">
        <f>MID('paste from garc here'!$C$1,1+(('table for research'!$B209-1)*36+HEX2DEC('table for research'!AB$1))*2,2)</f>
        <v>00</v>
      </c>
      <c r="AC209" t="str">
        <f>MID('paste from garc here'!$C$1,1+(('table for research'!$B209-1)*36+HEX2DEC('table for research'!AC$1))*2,2)</f>
        <v>00</v>
      </c>
      <c r="AD209" t="str">
        <f>MID('paste from garc here'!$C$1,1+(('table for research'!$B209-1)*36+HEX2DEC('table for research'!AD$1))*2,2)</f>
        <v>00</v>
      </c>
      <c r="AE209" t="str">
        <f>MID('paste from garc here'!$C$1,1+(('table for research'!$B209-1)*36+HEX2DEC('table for research'!AE$1))*2,2)</f>
        <v>00</v>
      </c>
      <c r="AF209" t="str">
        <f>MID('paste from garc here'!$C$1,1+(('table for research'!$B209-1)*36+HEX2DEC('table for research'!AF$1))*2,2)</f>
        <v>00</v>
      </c>
      <c r="AG209" t="str">
        <f>MID('paste from garc here'!$C$1,1+(('table for research'!$B209-1)*36+HEX2DEC('table for research'!AG$1))*2,2)</f>
        <v>00</v>
      </c>
      <c r="AH209" t="str">
        <f>MID('paste from garc here'!$C$1,1+(('table for research'!$B209-1)*36+HEX2DEC('table for research'!AH$1))*2,2)</f>
        <v>00</v>
      </c>
      <c r="AI209" t="str">
        <f>MID('paste from garc here'!$C$1,1+(('table for research'!$B209-1)*36+HEX2DEC('table for research'!AI$1))*2,2)</f>
        <v>00</v>
      </c>
      <c r="AJ209" t="str">
        <f>MID('paste from garc here'!$C$1,1+(('table for research'!$B209-1)*36+HEX2DEC('table for research'!AJ$1))*2,2)</f>
        <v>00</v>
      </c>
      <c r="AK209" t="str">
        <f>MID('paste from garc here'!$C$1,1+(('table for research'!$B209-1)*36+HEX2DEC('table for research'!AK$1))*2,2)</f>
        <v>00</v>
      </c>
      <c r="AL209" t="str">
        <f>MID('paste from garc here'!$C$1,1+(('table for research'!$B209-1)*36+HEX2DEC('table for research'!AL$1))*2,2)</f>
        <v>00</v>
      </c>
      <c r="AM209" t="str">
        <f>MID('paste from garc here'!$C$1,1+(('table for research'!$B209-1)*36+HEX2DEC('table for research'!AM$1))*2,2)</f>
        <v>00</v>
      </c>
      <c r="AN209" t="str">
        <f>MID('paste from garc here'!$C$1,1+(('table for research'!$B209-1)*36+HEX2DEC('table for research'!AN$1))*2,2)</f>
        <v>00</v>
      </c>
      <c r="AO209" t="str">
        <f>MID('paste from garc here'!$C$1,1+(('table for research'!$B209-1)*36+HEX2DEC('table for research'!AO$1))*2,2)</f>
        <v>00</v>
      </c>
    </row>
    <row r="210" spans="1:41" x14ac:dyDescent="0.4">
      <c r="A210" t="s">
        <v>213</v>
      </c>
      <c r="B210">
        <f>B209+1</f>
        <v>208</v>
      </c>
      <c r="C210" t="str">
        <f>MID('paste from garc here'!$C$1,1+(('table for research'!$B210-1)*36+HEX2DEC('table for research'!C$1))*2,2)</f>
        <v>02</v>
      </c>
      <c r="D210" t="str">
        <f>MID('paste from garc here'!$C$1,1+(('table for research'!$B210-1)*36+HEX2DEC('table for research'!D$1))*2,2)</f>
        <v>00</v>
      </c>
      <c r="E210" t="str">
        <f>MID('paste from garc here'!$C$1,1+(('table for research'!$B210-1)*36+HEX2DEC('table for research'!E$1))*2,2)</f>
        <v>2B</v>
      </c>
      <c r="F210" t="str">
        <f>MID('paste from garc here'!$C$1,1+(('table for research'!$B210-1)*36+HEX2DEC('table for research'!F$1))*2,2)</f>
        <v>01</v>
      </c>
      <c r="G210" t="str">
        <f>MID('paste from garc here'!$C$1,1+(('table for research'!$B210-1)*36+HEX2DEC('table for research'!G$1))*2,2)</f>
        <v>00</v>
      </c>
      <c r="H210" t="str">
        <f>MID('paste from garc here'!$C$1,1+(('table for research'!$B210-1)*36+HEX2DEC('table for research'!H$1))*2,2)</f>
        <v>00</v>
      </c>
      <c r="I210" t="str">
        <f>MID('paste from garc here'!$C$1,1+(('table for research'!$B210-1)*36+HEX2DEC('table for research'!I$1))*2,2)</f>
        <v>0A</v>
      </c>
      <c r="J210" t="str">
        <f>MID('paste from garc here'!$C$1,1+(('table for research'!$B210-1)*36+HEX2DEC('table for research'!J$1))*2,2)</f>
        <v>64</v>
      </c>
      <c r="K210" t="str">
        <f>DEC2HEX(_xlfn.BITAND(HEX2DEC(MID('paste from garc here'!$C$1,1+(('table for research'!$B210-1)*36+HEX2DEC(8))*2,2)),31),2)</f>
        <v>06</v>
      </c>
      <c r="L210" t="str">
        <f>DEC2HEX(_xlfn.BITAND(HEX2DEC(MID('paste from garc here'!$C$1,1+(('table for research'!$B210-1)*36+HEX2DEC(8))*2,2)),32),2)</f>
        <v>00</v>
      </c>
      <c r="M210" t="str">
        <f>DEC2HEX(_xlfn.BITAND(HEX2DEC(MID('paste from garc here'!$C$1,1+(('table for research'!$B210-1)*36+HEX2DEC(8))*2,2)),64),2)</f>
        <v>00</v>
      </c>
      <c r="N210" t="str">
        <f>DEC2HEX(_xlfn.BITRSHIFT(_xlfn.BITAND(HEX2DEC(MID('paste from garc here'!$C$1,1+(('table for research'!$B210-1)*36+HEX2DEC(9))*2,2)&amp;MID('paste from garc here'!$C$1,1+(('table for research'!$B210-1)*36+HEX2DEC(8))*2,2)),1920),7),2)</f>
        <v>03</v>
      </c>
      <c r="O210" t="str">
        <f>DEC2HEX(_xlfn.BITRSHIFT(HEX2DEC(MID('paste from garc here'!$C$1,1+(('table for research'!$B210-1)*36+HEX2DEC(9))*2,2)&amp;MID('paste from garc here'!$C$1,1+(('table for research'!$B210-1)*36+HEX2DEC(8))*2,2)),11),2)</f>
        <v>00</v>
      </c>
      <c r="P210" t="str">
        <f>MID('paste from garc here'!$C$1,1+(('table for research'!$B210-1)*36+HEX2DEC('table for research'!P$1))*2,2)</f>
        <v>0C</v>
      </c>
      <c r="Q210" t="str">
        <f>MID('paste from garc here'!$C$1,1+(('table for research'!$B210-1)*36+HEX2DEC('table for research'!Q$1))*2,2)</f>
        <v>00</v>
      </c>
      <c r="R210" t="str">
        <f>MID('paste from garc here'!$C$1,1+(('table for research'!$B210-1)*36+HEX2DEC('table for research'!R$1))*2,2)</f>
        <v>01</v>
      </c>
      <c r="S210" t="str">
        <f>MID('paste from garc here'!$C$1,1+(('table for research'!$B210-1)*36+HEX2DEC('table for research'!S$1))*2,2)</f>
        <v>07</v>
      </c>
      <c r="T210" t="str">
        <f>MID('paste from garc here'!$C$1,1+(('table for research'!$B210-1)*36+HEX2DEC('table for research'!T$1))*2,2)</f>
        <v>01</v>
      </c>
      <c r="U210" t="str">
        <f>MID('paste from garc here'!$C$1,1+(('table for research'!$B210-1)*36+HEX2DEC('table for research'!U$1))*2,2)</f>
        <v>3B</v>
      </c>
      <c r="V210" t="str">
        <f>MID('paste from garc here'!$C$1,1+(('table for research'!$B210-1)*36+HEX2DEC('table for research'!V$1))*2,2)</f>
        <v>00</v>
      </c>
      <c r="W210" t="str">
        <f>MID('paste from garc here'!$C$1,1+(('table for research'!$B210-1)*36+HEX2DEC('table for research'!W$1))*2,2)</f>
        <v>00</v>
      </c>
      <c r="X210" t="str">
        <f>MID('paste from garc here'!$C$1,1+(('table for research'!$B210-1)*36+HEX2DEC('table for research'!X$1))*2,2)</f>
        <v>00</v>
      </c>
      <c r="Y210" t="str">
        <f>MID('paste from garc here'!$C$1,1+(('table for research'!$B210-1)*36+HEX2DEC('table for research'!Y$1))*2,2)</f>
        <v>00</v>
      </c>
      <c r="Z210" t="str">
        <f>MID('paste from garc here'!$C$1,1+(('table for research'!$B210-1)*36+HEX2DEC('table for research'!Z$1))*2,2)</f>
        <v>00</v>
      </c>
      <c r="AA210" t="str">
        <f>MID('paste from garc here'!$C$1,1+(('table for research'!$B210-1)*36+HEX2DEC('table for research'!AA$1))*2,2)</f>
        <v>00</v>
      </c>
      <c r="AB210" t="str">
        <f>MID('paste from garc here'!$C$1,1+(('table for research'!$B210-1)*36+HEX2DEC('table for research'!AB$1))*2,2)</f>
        <v>00</v>
      </c>
      <c r="AC210" t="str">
        <f>MID('paste from garc here'!$C$1,1+(('table for research'!$B210-1)*36+HEX2DEC('table for research'!AC$1))*2,2)</f>
        <v>00</v>
      </c>
      <c r="AD210" t="str">
        <f>MID('paste from garc here'!$C$1,1+(('table for research'!$B210-1)*36+HEX2DEC('table for research'!AD$1))*2,2)</f>
        <v>00</v>
      </c>
      <c r="AE210" t="str">
        <f>MID('paste from garc here'!$C$1,1+(('table for research'!$B210-1)*36+HEX2DEC('table for research'!AE$1))*2,2)</f>
        <v>00</v>
      </c>
      <c r="AF210" t="str">
        <f>MID('paste from garc here'!$C$1,1+(('table for research'!$B210-1)*36+HEX2DEC('table for research'!AF$1))*2,2)</f>
        <v>00</v>
      </c>
      <c r="AG210" t="str">
        <f>MID('paste from garc here'!$C$1,1+(('table for research'!$B210-1)*36+HEX2DEC('table for research'!AG$1))*2,2)</f>
        <v>00</v>
      </c>
      <c r="AH210" t="str">
        <f>MID('paste from garc here'!$C$1,1+(('table for research'!$B210-1)*36+HEX2DEC('table for research'!AH$1))*2,2)</f>
        <v>00</v>
      </c>
      <c r="AI210" t="str">
        <f>MID('paste from garc here'!$C$1,1+(('table for research'!$B210-1)*36+HEX2DEC('table for research'!AI$1))*2,2)</f>
        <v>00</v>
      </c>
      <c r="AJ210" t="str">
        <f>MID('paste from garc here'!$C$1,1+(('table for research'!$B210-1)*36+HEX2DEC('table for research'!AJ$1))*2,2)</f>
        <v>00</v>
      </c>
      <c r="AK210" t="str">
        <f>MID('paste from garc here'!$C$1,1+(('table for research'!$B210-1)*36+HEX2DEC('table for research'!AK$1))*2,2)</f>
        <v>00</v>
      </c>
      <c r="AL210" t="str">
        <f>MID('paste from garc here'!$C$1,1+(('table for research'!$B210-1)*36+HEX2DEC('table for research'!AL$1))*2,2)</f>
        <v>00</v>
      </c>
      <c r="AM210" t="str">
        <f>MID('paste from garc here'!$C$1,1+(('table for research'!$B210-1)*36+HEX2DEC('table for research'!AM$1))*2,2)</f>
        <v>00</v>
      </c>
      <c r="AN210" t="str">
        <f>MID('paste from garc here'!$C$1,1+(('table for research'!$B210-1)*36+HEX2DEC('table for research'!AN$1))*2,2)</f>
        <v>00</v>
      </c>
      <c r="AO210" t="str">
        <f>MID('paste from garc here'!$C$1,1+(('table for research'!$B210-1)*36+HEX2DEC('table for research'!AO$1))*2,2)</f>
        <v>00</v>
      </c>
    </row>
    <row r="211" spans="1:41" x14ac:dyDescent="0.4">
      <c r="A211" t="s">
        <v>214</v>
      </c>
      <c r="B211">
        <f>B210+1</f>
        <v>209</v>
      </c>
      <c r="C211" t="str">
        <f>MID('paste from garc here'!$C$1,1+(('table for research'!$B211-1)*36+HEX2DEC('table for research'!C$1))*2,2)</f>
        <v>02</v>
      </c>
      <c r="D211" t="str">
        <f>MID('paste from garc here'!$C$1,1+(('table for research'!$B211-1)*36+HEX2DEC('table for research'!D$1))*2,2)</f>
        <v>00</v>
      </c>
      <c r="E211" t="str">
        <f>MID('paste from garc here'!$C$1,1+(('table for research'!$B211-1)*36+HEX2DEC('table for research'!E$1))*2,2)</f>
        <v>2C</v>
      </c>
      <c r="F211" t="str">
        <f>MID('paste from garc here'!$C$1,1+(('table for research'!$B211-1)*36+HEX2DEC('table for research'!F$1))*2,2)</f>
        <v>04</v>
      </c>
      <c r="G211" t="str">
        <f>MID('paste from garc here'!$C$1,1+(('table for research'!$B211-1)*36+HEX2DEC('table for research'!G$1))*2,2)</f>
        <v>17</v>
      </c>
      <c r="H211" t="str">
        <f>MID('paste from garc here'!$C$1,1+(('table for research'!$B211-1)*36+HEX2DEC('table for research'!H$1))*2,2)</f>
        <v>17</v>
      </c>
      <c r="I211" t="str">
        <f>MID('paste from garc here'!$C$1,1+(('table for research'!$B211-1)*36+HEX2DEC('table for research'!I$1))*2,2)</f>
        <v>0A</v>
      </c>
      <c r="J211" t="str">
        <f>MID('paste from garc here'!$C$1,1+(('table for research'!$B211-1)*36+HEX2DEC('table for research'!J$1))*2,2)</f>
        <v>64</v>
      </c>
      <c r="K211" t="str">
        <f>DEC2HEX(_xlfn.BITAND(HEX2DEC(MID('paste from garc here'!$C$1,1+(('table for research'!$B211-1)*36+HEX2DEC(8))*2,2)),31),2)</f>
        <v>05</v>
      </c>
      <c r="L211" t="str">
        <f>DEC2HEX(_xlfn.BITAND(HEX2DEC(MID('paste from garc here'!$C$1,1+(('table for research'!$B211-1)*36+HEX2DEC(8))*2,2)),32),2)</f>
        <v>00</v>
      </c>
      <c r="M211" t="str">
        <f>DEC2HEX(_xlfn.BITAND(HEX2DEC(MID('paste from garc here'!$C$1,1+(('table for research'!$B211-1)*36+HEX2DEC(8))*2,2)),64),2)</f>
        <v>00</v>
      </c>
      <c r="N211" t="str">
        <f>DEC2HEX(_xlfn.BITRSHIFT(_xlfn.BITAND(HEX2DEC(MID('paste from garc here'!$C$1,1+(('table for research'!$B211-1)*36+HEX2DEC(9))*2,2)&amp;MID('paste from garc here'!$C$1,1+(('table for research'!$B211-1)*36+HEX2DEC(8))*2,2)),1920),7),2)</f>
        <v>03</v>
      </c>
      <c r="O211" t="str">
        <f>DEC2HEX(_xlfn.BITRSHIFT(HEX2DEC(MID('paste from garc here'!$C$1,1+(('table for research'!$B211-1)*36+HEX2DEC(9))*2,2)&amp;MID('paste from garc here'!$C$1,1+(('table for research'!$B211-1)*36+HEX2DEC(8))*2,2)),11),2)</f>
        <v>00</v>
      </c>
      <c r="P211" t="str">
        <f>MID('paste from garc here'!$C$1,1+(('table for research'!$B211-1)*36+HEX2DEC('table for research'!P$1))*2,2)</f>
        <v>0C</v>
      </c>
      <c r="Q211" t="str">
        <f>MID('paste from garc here'!$C$1,1+(('table for research'!$B211-1)*36+HEX2DEC('table for research'!Q$1))*2,2)</f>
        <v>00</v>
      </c>
      <c r="R211" t="str">
        <f>MID('paste from garc here'!$C$1,1+(('table for research'!$B211-1)*36+HEX2DEC('table for research'!R$1))*2,2)</f>
        <v>01</v>
      </c>
      <c r="S211" t="str">
        <f>MID('paste from garc here'!$C$1,1+(('table for research'!$B211-1)*36+HEX2DEC('table for research'!S$1))*2,2)</f>
        <v>07</v>
      </c>
      <c r="T211" t="str">
        <f>MID('paste from garc here'!$C$1,1+(('table for research'!$B211-1)*36+HEX2DEC('table for research'!T$1))*2,2)</f>
        <v>01</v>
      </c>
      <c r="U211" t="str">
        <f>MID('paste from garc here'!$C$1,1+(('table for research'!$B211-1)*36+HEX2DEC('table for research'!U$1))*2,2)</f>
        <v>3C</v>
      </c>
      <c r="V211" t="str">
        <f>MID('paste from garc here'!$C$1,1+(('table for research'!$B211-1)*36+HEX2DEC('table for research'!V$1))*2,2)</f>
        <v>00</v>
      </c>
      <c r="W211" t="str">
        <f>MID('paste from garc here'!$C$1,1+(('table for research'!$B211-1)*36+HEX2DEC('table for research'!W$1))*2,2)</f>
        <v>00</v>
      </c>
      <c r="X211" t="str">
        <f>MID('paste from garc here'!$C$1,1+(('table for research'!$B211-1)*36+HEX2DEC('table for research'!X$1))*2,2)</f>
        <v>00</v>
      </c>
      <c r="Y211" t="str">
        <f>MID('paste from garc here'!$C$1,1+(('table for research'!$B211-1)*36+HEX2DEC('table for research'!Y$1))*2,2)</f>
        <v>00</v>
      </c>
      <c r="Z211" t="str">
        <f>MID('paste from garc here'!$C$1,1+(('table for research'!$B211-1)*36+HEX2DEC('table for research'!Z$1))*2,2)</f>
        <v>00</v>
      </c>
      <c r="AA211" t="str">
        <f>MID('paste from garc here'!$C$1,1+(('table for research'!$B211-1)*36+HEX2DEC('table for research'!AA$1))*2,2)</f>
        <v>00</v>
      </c>
      <c r="AB211" t="str">
        <f>MID('paste from garc here'!$C$1,1+(('table for research'!$B211-1)*36+HEX2DEC('table for research'!AB$1))*2,2)</f>
        <v>00</v>
      </c>
      <c r="AC211" t="str">
        <f>MID('paste from garc here'!$C$1,1+(('table for research'!$B211-1)*36+HEX2DEC('table for research'!AC$1))*2,2)</f>
        <v>00</v>
      </c>
      <c r="AD211" t="str">
        <f>MID('paste from garc here'!$C$1,1+(('table for research'!$B211-1)*36+HEX2DEC('table for research'!AD$1))*2,2)</f>
        <v>00</v>
      </c>
      <c r="AE211" t="str">
        <f>MID('paste from garc here'!$C$1,1+(('table for research'!$B211-1)*36+HEX2DEC('table for research'!AE$1))*2,2)</f>
        <v>00</v>
      </c>
      <c r="AF211" t="str">
        <f>MID('paste from garc here'!$C$1,1+(('table for research'!$B211-1)*36+HEX2DEC('table for research'!AF$1))*2,2)</f>
        <v>00</v>
      </c>
      <c r="AG211" t="str">
        <f>MID('paste from garc here'!$C$1,1+(('table for research'!$B211-1)*36+HEX2DEC('table for research'!AG$1))*2,2)</f>
        <v>00</v>
      </c>
      <c r="AH211" t="str">
        <f>MID('paste from garc here'!$C$1,1+(('table for research'!$B211-1)*36+HEX2DEC('table for research'!AH$1))*2,2)</f>
        <v>00</v>
      </c>
      <c r="AI211" t="str">
        <f>MID('paste from garc here'!$C$1,1+(('table for research'!$B211-1)*36+HEX2DEC('table for research'!AI$1))*2,2)</f>
        <v>00</v>
      </c>
      <c r="AJ211" t="str">
        <f>MID('paste from garc here'!$C$1,1+(('table for research'!$B211-1)*36+HEX2DEC('table for research'!AJ$1))*2,2)</f>
        <v>00</v>
      </c>
      <c r="AK211" t="str">
        <f>MID('paste from garc here'!$C$1,1+(('table for research'!$B211-1)*36+HEX2DEC('table for research'!AK$1))*2,2)</f>
        <v>00</v>
      </c>
      <c r="AL211" t="str">
        <f>MID('paste from garc here'!$C$1,1+(('table for research'!$B211-1)*36+HEX2DEC('table for research'!AL$1))*2,2)</f>
        <v>00</v>
      </c>
      <c r="AM211" t="str">
        <f>MID('paste from garc here'!$C$1,1+(('table for research'!$B211-1)*36+HEX2DEC('table for research'!AM$1))*2,2)</f>
        <v>00</v>
      </c>
      <c r="AN211" t="str">
        <f>MID('paste from garc here'!$C$1,1+(('table for research'!$B211-1)*36+HEX2DEC('table for research'!AN$1))*2,2)</f>
        <v>00</v>
      </c>
      <c r="AO211" t="str">
        <f>MID('paste from garc here'!$C$1,1+(('table for research'!$B211-1)*36+HEX2DEC('table for research'!AO$1))*2,2)</f>
        <v>00</v>
      </c>
    </row>
    <row r="212" spans="1:41" x14ac:dyDescent="0.4">
      <c r="A212" t="s">
        <v>215</v>
      </c>
      <c r="B212">
        <f>B211+1</f>
        <v>210</v>
      </c>
      <c r="C212" t="str">
        <f>MID('paste from garc here'!$C$1,1+(('table for research'!$B212-1)*36+HEX2DEC('table for research'!C$1))*2,2)</f>
        <v>02</v>
      </c>
      <c r="D212" t="str">
        <f>MID('paste from garc here'!$C$1,1+(('table for research'!$B212-1)*36+HEX2DEC('table for research'!D$1))*2,2)</f>
        <v>00</v>
      </c>
      <c r="E212" t="str">
        <f>MID('paste from garc here'!$C$1,1+(('table for research'!$B212-1)*36+HEX2DEC('table for research'!E$1))*2,2)</f>
        <v>2D</v>
      </c>
      <c r="F212" t="str">
        <f>MID('paste from garc here'!$C$1,1+(('table for research'!$B212-1)*36+HEX2DEC('table for research'!F$1))*2,2)</f>
        <v>04</v>
      </c>
      <c r="G212" t="str">
        <f>MID('paste from garc here'!$C$1,1+(('table for research'!$B212-1)*36+HEX2DEC('table for research'!G$1))*2,2)</f>
        <v>00</v>
      </c>
      <c r="H212" t="str">
        <f>MID('paste from garc here'!$C$1,1+(('table for research'!$B212-1)*36+HEX2DEC('table for research'!H$1))*2,2)</f>
        <v>00</v>
      </c>
      <c r="I212" t="str">
        <f>MID('paste from garc here'!$C$1,1+(('table for research'!$B212-1)*36+HEX2DEC('table for research'!I$1))*2,2)</f>
        <v>0A</v>
      </c>
      <c r="J212" t="str">
        <f>MID('paste from garc here'!$C$1,1+(('table for research'!$B212-1)*36+HEX2DEC('table for research'!J$1))*2,2)</f>
        <v>64</v>
      </c>
      <c r="K212" t="str">
        <f>DEC2HEX(_xlfn.BITAND(HEX2DEC(MID('paste from garc here'!$C$1,1+(('table for research'!$B212-1)*36+HEX2DEC(8))*2,2)),31),2)</f>
        <v>07</v>
      </c>
      <c r="L212" t="str">
        <f>DEC2HEX(_xlfn.BITAND(HEX2DEC(MID('paste from garc here'!$C$1,1+(('table for research'!$B212-1)*36+HEX2DEC(8))*2,2)),32),2)</f>
        <v>00</v>
      </c>
      <c r="M212" t="str">
        <f>DEC2HEX(_xlfn.BITAND(HEX2DEC(MID('paste from garc here'!$C$1,1+(('table for research'!$B212-1)*36+HEX2DEC(8))*2,2)),64),2)</f>
        <v>00</v>
      </c>
      <c r="N212" t="str">
        <f>DEC2HEX(_xlfn.BITRSHIFT(_xlfn.BITAND(HEX2DEC(MID('paste from garc here'!$C$1,1+(('table for research'!$B212-1)*36+HEX2DEC(9))*2,2)&amp;MID('paste from garc here'!$C$1,1+(('table for research'!$B212-1)*36+HEX2DEC(8))*2,2)),1920),7),2)</f>
        <v>03</v>
      </c>
      <c r="O212" t="str">
        <f>DEC2HEX(_xlfn.BITRSHIFT(HEX2DEC(MID('paste from garc here'!$C$1,1+(('table for research'!$B212-1)*36+HEX2DEC(9))*2,2)&amp;MID('paste from garc here'!$C$1,1+(('table for research'!$B212-1)*36+HEX2DEC(8))*2,2)),11),2)</f>
        <v>00</v>
      </c>
      <c r="P212" t="str">
        <f>MID('paste from garc here'!$C$1,1+(('table for research'!$B212-1)*36+HEX2DEC('table for research'!P$1))*2,2)</f>
        <v>0C</v>
      </c>
      <c r="Q212" t="str">
        <f>MID('paste from garc here'!$C$1,1+(('table for research'!$B212-1)*36+HEX2DEC('table for research'!Q$1))*2,2)</f>
        <v>00</v>
      </c>
      <c r="R212" t="str">
        <f>MID('paste from garc here'!$C$1,1+(('table for research'!$B212-1)*36+HEX2DEC('table for research'!R$1))*2,2)</f>
        <v>01</v>
      </c>
      <c r="S212" t="str">
        <f>MID('paste from garc here'!$C$1,1+(('table for research'!$B212-1)*36+HEX2DEC('table for research'!S$1))*2,2)</f>
        <v>07</v>
      </c>
      <c r="T212" t="str">
        <f>MID('paste from garc here'!$C$1,1+(('table for research'!$B212-1)*36+HEX2DEC('table for research'!T$1))*2,2)</f>
        <v>01</v>
      </c>
      <c r="U212" t="str">
        <f>MID('paste from garc here'!$C$1,1+(('table for research'!$B212-1)*36+HEX2DEC('table for research'!U$1))*2,2)</f>
        <v>3D</v>
      </c>
      <c r="V212" t="str">
        <f>MID('paste from garc here'!$C$1,1+(('table for research'!$B212-1)*36+HEX2DEC('table for research'!V$1))*2,2)</f>
        <v>00</v>
      </c>
      <c r="W212" t="str">
        <f>MID('paste from garc here'!$C$1,1+(('table for research'!$B212-1)*36+HEX2DEC('table for research'!W$1))*2,2)</f>
        <v>00</v>
      </c>
      <c r="X212" t="str">
        <f>MID('paste from garc here'!$C$1,1+(('table for research'!$B212-1)*36+HEX2DEC('table for research'!X$1))*2,2)</f>
        <v>00</v>
      </c>
      <c r="Y212" t="str">
        <f>MID('paste from garc here'!$C$1,1+(('table for research'!$B212-1)*36+HEX2DEC('table for research'!Y$1))*2,2)</f>
        <v>00</v>
      </c>
      <c r="Z212" t="str">
        <f>MID('paste from garc here'!$C$1,1+(('table for research'!$B212-1)*36+HEX2DEC('table for research'!Z$1))*2,2)</f>
        <v>00</v>
      </c>
      <c r="AA212" t="str">
        <f>MID('paste from garc here'!$C$1,1+(('table for research'!$B212-1)*36+HEX2DEC('table for research'!AA$1))*2,2)</f>
        <v>00</v>
      </c>
      <c r="AB212" t="str">
        <f>MID('paste from garc here'!$C$1,1+(('table for research'!$B212-1)*36+HEX2DEC('table for research'!AB$1))*2,2)</f>
        <v>00</v>
      </c>
      <c r="AC212" t="str">
        <f>MID('paste from garc here'!$C$1,1+(('table for research'!$B212-1)*36+HEX2DEC('table for research'!AC$1))*2,2)</f>
        <v>00</v>
      </c>
      <c r="AD212" t="str">
        <f>MID('paste from garc here'!$C$1,1+(('table for research'!$B212-1)*36+HEX2DEC('table for research'!AD$1))*2,2)</f>
        <v>00</v>
      </c>
      <c r="AE212" t="str">
        <f>MID('paste from garc here'!$C$1,1+(('table for research'!$B212-1)*36+HEX2DEC('table for research'!AE$1))*2,2)</f>
        <v>00</v>
      </c>
      <c r="AF212" t="str">
        <f>MID('paste from garc here'!$C$1,1+(('table for research'!$B212-1)*36+HEX2DEC('table for research'!AF$1))*2,2)</f>
        <v>00</v>
      </c>
      <c r="AG212" t="str">
        <f>MID('paste from garc here'!$C$1,1+(('table for research'!$B212-1)*36+HEX2DEC('table for research'!AG$1))*2,2)</f>
        <v>00</v>
      </c>
      <c r="AH212" t="str">
        <f>MID('paste from garc here'!$C$1,1+(('table for research'!$B212-1)*36+HEX2DEC('table for research'!AH$1))*2,2)</f>
        <v>00</v>
      </c>
      <c r="AI212" t="str">
        <f>MID('paste from garc here'!$C$1,1+(('table for research'!$B212-1)*36+HEX2DEC('table for research'!AI$1))*2,2)</f>
        <v>00</v>
      </c>
      <c r="AJ212" t="str">
        <f>MID('paste from garc here'!$C$1,1+(('table for research'!$B212-1)*36+HEX2DEC('table for research'!AJ$1))*2,2)</f>
        <v>00</v>
      </c>
      <c r="AK212" t="str">
        <f>MID('paste from garc here'!$C$1,1+(('table for research'!$B212-1)*36+HEX2DEC('table for research'!AK$1))*2,2)</f>
        <v>00</v>
      </c>
      <c r="AL212" t="str">
        <f>MID('paste from garc here'!$C$1,1+(('table for research'!$B212-1)*36+HEX2DEC('table for research'!AL$1))*2,2)</f>
        <v>00</v>
      </c>
      <c r="AM212" t="str">
        <f>MID('paste from garc here'!$C$1,1+(('table for research'!$B212-1)*36+HEX2DEC('table for research'!AM$1))*2,2)</f>
        <v>00</v>
      </c>
      <c r="AN212" t="str">
        <f>MID('paste from garc here'!$C$1,1+(('table for research'!$B212-1)*36+HEX2DEC('table for research'!AN$1))*2,2)</f>
        <v>00</v>
      </c>
      <c r="AO212" t="str">
        <f>MID('paste from garc here'!$C$1,1+(('table for research'!$B212-1)*36+HEX2DEC('table for research'!AO$1))*2,2)</f>
        <v>00</v>
      </c>
    </row>
    <row r="213" spans="1:41" x14ac:dyDescent="0.4">
      <c r="A213" t="s">
        <v>216</v>
      </c>
      <c r="B213">
        <f>B212+1</f>
        <v>211</v>
      </c>
      <c r="C213" t="str">
        <f>MID('paste from garc here'!$C$1,1+(('table for research'!$B213-1)*36+HEX2DEC('table for research'!C$1))*2,2)</f>
        <v>02</v>
      </c>
      <c r="D213" t="str">
        <f>MID('paste from garc here'!$C$1,1+(('table for research'!$B213-1)*36+HEX2DEC('table for research'!D$1))*2,2)</f>
        <v>00</v>
      </c>
      <c r="E213" t="str">
        <f>MID('paste from garc here'!$C$1,1+(('table for research'!$B213-1)*36+HEX2DEC('table for research'!E$1))*2,2)</f>
        <v>2E</v>
      </c>
      <c r="F213" t="str">
        <f>MID('paste from garc here'!$C$1,1+(('table for research'!$B213-1)*36+HEX2DEC('table for research'!F$1))*2,2)</f>
        <v>04</v>
      </c>
      <c r="G213" t="str">
        <f>MID('paste from garc here'!$C$1,1+(('table for research'!$B213-1)*36+HEX2DEC('table for research'!G$1))*2,2)</f>
        <v>00</v>
      </c>
      <c r="H213" t="str">
        <f>MID('paste from garc here'!$C$1,1+(('table for research'!$B213-1)*36+HEX2DEC('table for research'!H$1))*2,2)</f>
        <v>00</v>
      </c>
      <c r="I213" t="str">
        <f>MID('paste from garc here'!$C$1,1+(('table for research'!$B213-1)*36+HEX2DEC('table for research'!I$1))*2,2)</f>
        <v>0A</v>
      </c>
      <c r="J213" t="str">
        <f>MID('paste from garc here'!$C$1,1+(('table for research'!$B213-1)*36+HEX2DEC('table for research'!J$1))*2,2)</f>
        <v>64</v>
      </c>
      <c r="K213" t="str">
        <f>DEC2HEX(_xlfn.BITAND(HEX2DEC(MID('paste from garc here'!$C$1,1+(('table for research'!$B213-1)*36+HEX2DEC(8))*2,2)),31),2)</f>
        <v>0F</v>
      </c>
      <c r="L213" t="str">
        <f>DEC2HEX(_xlfn.BITAND(HEX2DEC(MID('paste from garc here'!$C$1,1+(('table for research'!$B213-1)*36+HEX2DEC(8))*2,2)),32),2)</f>
        <v>00</v>
      </c>
      <c r="M213" t="str">
        <f>DEC2HEX(_xlfn.BITAND(HEX2DEC(MID('paste from garc here'!$C$1,1+(('table for research'!$B213-1)*36+HEX2DEC(8))*2,2)),64),2)</f>
        <v>00</v>
      </c>
      <c r="N213" t="str">
        <f>DEC2HEX(_xlfn.BITRSHIFT(_xlfn.BITAND(HEX2DEC(MID('paste from garc here'!$C$1,1+(('table for research'!$B213-1)*36+HEX2DEC(9))*2,2)&amp;MID('paste from garc here'!$C$1,1+(('table for research'!$B213-1)*36+HEX2DEC(8))*2,2)),1920),7),2)</f>
        <v>03</v>
      </c>
      <c r="O213" t="str">
        <f>DEC2HEX(_xlfn.BITRSHIFT(HEX2DEC(MID('paste from garc here'!$C$1,1+(('table for research'!$B213-1)*36+HEX2DEC(9))*2,2)&amp;MID('paste from garc here'!$C$1,1+(('table for research'!$B213-1)*36+HEX2DEC(8))*2,2)),11),2)</f>
        <v>00</v>
      </c>
      <c r="P213" t="str">
        <f>MID('paste from garc here'!$C$1,1+(('table for research'!$B213-1)*36+HEX2DEC('table for research'!P$1))*2,2)</f>
        <v>0C</v>
      </c>
      <c r="Q213" t="str">
        <f>MID('paste from garc here'!$C$1,1+(('table for research'!$B213-1)*36+HEX2DEC('table for research'!Q$1))*2,2)</f>
        <v>00</v>
      </c>
      <c r="R213" t="str">
        <f>MID('paste from garc here'!$C$1,1+(('table for research'!$B213-1)*36+HEX2DEC('table for research'!R$1))*2,2)</f>
        <v>01</v>
      </c>
      <c r="S213" t="str">
        <f>MID('paste from garc here'!$C$1,1+(('table for research'!$B213-1)*36+HEX2DEC('table for research'!S$1))*2,2)</f>
        <v>07</v>
      </c>
      <c r="T213" t="str">
        <f>MID('paste from garc here'!$C$1,1+(('table for research'!$B213-1)*36+HEX2DEC('table for research'!T$1))*2,2)</f>
        <v>01</v>
      </c>
      <c r="U213" t="str">
        <f>MID('paste from garc here'!$C$1,1+(('table for research'!$B213-1)*36+HEX2DEC('table for research'!U$1))*2,2)</f>
        <v>3E</v>
      </c>
      <c r="V213" t="str">
        <f>MID('paste from garc here'!$C$1,1+(('table for research'!$B213-1)*36+HEX2DEC('table for research'!V$1))*2,2)</f>
        <v>00</v>
      </c>
      <c r="W213" t="str">
        <f>MID('paste from garc here'!$C$1,1+(('table for research'!$B213-1)*36+HEX2DEC('table for research'!W$1))*2,2)</f>
        <v>00</v>
      </c>
      <c r="X213" t="str">
        <f>MID('paste from garc here'!$C$1,1+(('table for research'!$B213-1)*36+HEX2DEC('table for research'!X$1))*2,2)</f>
        <v>00</v>
      </c>
      <c r="Y213" t="str">
        <f>MID('paste from garc here'!$C$1,1+(('table for research'!$B213-1)*36+HEX2DEC('table for research'!Y$1))*2,2)</f>
        <v>00</v>
      </c>
      <c r="Z213" t="str">
        <f>MID('paste from garc here'!$C$1,1+(('table for research'!$B213-1)*36+HEX2DEC('table for research'!Z$1))*2,2)</f>
        <v>00</v>
      </c>
      <c r="AA213" t="str">
        <f>MID('paste from garc here'!$C$1,1+(('table for research'!$B213-1)*36+HEX2DEC('table for research'!AA$1))*2,2)</f>
        <v>00</v>
      </c>
      <c r="AB213" t="str">
        <f>MID('paste from garc here'!$C$1,1+(('table for research'!$B213-1)*36+HEX2DEC('table for research'!AB$1))*2,2)</f>
        <v>00</v>
      </c>
      <c r="AC213" t="str">
        <f>MID('paste from garc here'!$C$1,1+(('table for research'!$B213-1)*36+HEX2DEC('table for research'!AC$1))*2,2)</f>
        <v>00</v>
      </c>
      <c r="AD213" t="str">
        <f>MID('paste from garc here'!$C$1,1+(('table for research'!$B213-1)*36+HEX2DEC('table for research'!AD$1))*2,2)</f>
        <v>00</v>
      </c>
      <c r="AE213" t="str">
        <f>MID('paste from garc here'!$C$1,1+(('table for research'!$B213-1)*36+HEX2DEC('table for research'!AE$1))*2,2)</f>
        <v>00</v>
      </c>
      <c r="AF213" t="str">
        <f>MID('paste from garc here'!$C$1,1+(('table for research'!$B213-1)*36+HEX2DEC('table for research'!AF$1))*2,2)</f>
        <v>00</v>
      </c>
      <c r="AG213" t="str">
        <f>MID('paste from garc here'!$C$1,1+(('table for research'!$B213-1)*36+HEX2DEC('table for research'!AG$1))*2,2)</f>
        <v>00</v>
      </c>
      <c r="AH213" t="str">
        <f>MID('paste from garc here'!$C$1,1+(('table for research'!$B213-1)*36+HEX2DEC('table for research'!AH$1))*2,2)</f>
        <v>00</v>
      </c>
      <c r="AI213" t="str">
        <f>MID('paste from garc here'!$C$1,1+(('table for research'!$B213-1)*36+HEX2DEC('table for research'!AI$1))*2,2)</f>
        <v>00</v>
      </c>
      <c r="AJ213" t="str">
        <f>MID('paste from garc here'!$C$1,1+(('table for research'!$B213-1)*36+HEX2DEC('table for research'!AJ$1))*2,2)</f>
        <v>00</v>
      </c>
      <c r="AK213" t="str">
        <f>MID('paste from garc here'!$C$1,1+(('table for research'!$B213-1)*36+HEX2DEC('table for research'!AK$1))*2,2)</f>
        <v>00</v>
      </c>
      <c r="AL213" t="str">
        <f>MID('paste from garc here'!$C$1,1+(('table for research'!$B213-1)*36+HEX2DEC('table for research'!AL$1))*2,2)</f>
        <v>00</v>
      </c>
      <c r="AM213" t="str">
        <f>MID('paste from garc here'!$C$1,1+(('table for research'!$B213-1)*36+HEX2DEC('table for research'!AM$1))*2,2)</f>
        <v>00</v>
      </c>
      <c r="AN213" t="str">
        <f>MID('paste from garc here'!$C$1,1+(('table for research'!$B213-1)*36+HEX2DEC('table for research'!AN$1))*2,2)</f>
        <v>00</v>
      </c>
      <c r="AO213" t="str">
        <f>MID('paste from garc here'!$C$1,1+(('table for research'!$B213-1)*36+HEX2DEC('table for research'!AO$1))*2,2)</f>
        <v>00</v>
      </c>
    </row>
    <row r="214" spans="1:41" x14ac:dyDescent="0.4">
      <c r="A214" t="s">
        <v>217</v>
      </c>
      <c r="B214">
        <f>B213+1</f>
        <v>212</v>
      </c>
      <c r="C214" t="str">
        <f>MID('paste from garc here'!$C$1,1+(('table for research'!$B214-1)*36+HEX2DEC('table for research'!C$1))*2,2)</f>
        <v>02</v>
      </c>
      <c r="D214" t="str">
        <f>MID('paste from garc here'!$C$1,1+(('table for research'!$B214-1)*36+HEX2DEC('table for research'!D$1))*2,2)</f>
        <v>00</v>
      </c>
      <c r="E214" t="str">
        <f>MID('paste from garc here'!$C$1,1+(('table for research'!$B214-1)*36+HEX2DEC('table for research'!E$1))*2,2)</f>
        <v>2F</v>
      </c>
      <c r="F214" t="str">
        <f>MID('paste from garc here'!$C$1,1+(('table for research'!$B214-1)*36+HEX2DEC('table for research'!F$1))*2,2)</f>
        <v>04</v>
      </c>
      <c r="G214" t="str">
        <f>MID('paste from garc here'!$C$1,1+(('table for research'!$B214-1)*36+HEX2DEC('table for research'!G$1))*2,2)</f>
        <v>00</v>
      </c>
      <c r="H214" t="str">
        <f>MID('paste from garc here'!$C$1,1+(('table for research'!$B214-1)*36+HEX2DEC('table for research'!H$1))*2,2)</f>
        <v>00</v>
      </c>
      <c r="I214" t="str">
        <f>MID('paste from garc here'!$C$1,1+(('table for research'!$B214-1)*36+HEX2DEC('table for research'!I$1))*2,2)</f>
        <v>0A</v>
      </c>
      <c r="J214" t="str">
        <f>MID('paste from garc here'!$C$1,1+(('table for research'!$B214-1)*36+HEX2DEC('table for research'!J$1))*2,2)</f>
        <v>64</v>
      </c>
      <c r="K214" t="str">
        <f>DEC2HEX(_xlfn.BITAND(HEX2DEC(MID('paste from garc here'!$C$1,1+(('table for research'!$B214-1)*36+HEX2DEC(8))*2,2)),31),2)</f>
        <v>10</v>
      </c>
      <c r="L214" t="str">
        <f>DEC2HEX(_xlfn.BITAND(HEX2DEC(MID('paste from garc here'!$C$1,1+(('table for research'!$B214-1)*36+HEX2DEC(8))*2,2)),32),2)</f>
        <v>00</v>
      </c>
      <c r="M214" t="str">
        <f>DEC2HEX(_xlfn.BITAND(HEX2DEC(MID('paste from garc here'!$C$1,1+(('table for research'!$B214-1)*36+HEX2DEC(8))*2,2)),64),2)</f>
        <v>00</v>
      </c>
      <c r="N214" t="str">
        <f>DEC2HEX(_xlfn.BITRSHIFT(_xlfn.BITAND(HEX2DEC(MID('paste from garc here'!$C$1,1+(('table for research'!$B214-1)*36+HEX2DEC(9))*2,2)&amp;MID('paste from garc here'!$C$1,1+(('table for research'!$B214-1)*36+HEX2DEC(8))*2,2)),1920),7),2)</f>
        <v>03</v>
      </c>
      <c r="O214" t="str">
        <f>DEC2HEX(_xlfn.BITRSHIFT(HEX2DEC(MID('paste from garc here'!$C$1,1+(('table for research'!$B214-1)*36+HEX2DEC(9))*2,2)&amp;MID('paste from garc here'!$C$1,1+(('table for research'!$B214-1)*36+HEX2DEC(8))*2,2)),11),2)</f>
        <v>00</v>
      </c>
      <c r="P214" t="str">
        <f>MID('paste from garc here'!$C$1,1+(('table for research'!$B214-1)*36+HEX2DEC('table for research'!P$1))*2,2)</f>
        <v>0C</v>
      </c>
      <c r="Q214" t="str">
        <f>MID('paste from garc here'!$C$1,1+(('table for research'!$B214-1)*36+HEX2DEC('table for research'!Q$1))*2,2)</f>
        <v>00</v>
      </c>
      <c r="R214" t="str">
        <f>MID('paste from garc here'!$C$1,1+(('table for research'!$B214-1)*36+HEX2DEC('table for research'!R$1))*2,2)</f>
        <v>01</v>
      </c>
      <c r="S214" t="str">
        <f>MID('paste from garc here'!$C$1,1+(('table for research'!$B214-1)*36+HEX2DEC('table for research'!S$1))*2,2)</f>
        <v>07</v>
      </c>
      <c r="T214" t="str">
        <f>MID('paste from garc here'!$C$1,1+(('table for research'!$B214-1)*36+HEX2DEC('table for research'!T$1))*2,2)</f>
        <v>01</v>
      </c>
      <c r="U214" t="str">
        <f>MID('paste from garc here'!$C$1,1+(('table for research'!$B214-1)*36+HEX2DEC('table for research'!U$1))*2,2)</f>
        <v>3F</v>
      </c>
      <c r="V214" t="str">
        <f>MID('paste from garc here'!$C$1,1+(('table for research'!$B214-1)*36+HEX2DEC('table for research'!V$1))*2,2)</f>
        <v>00</v>
      </c>
      <c r="W214" t="str">
        <f>MID('paste from garc here'!$C$1,1+(('table for research'!$B214-1)*36+HEX2DEC('table for research'!W$1))*2,2)</f>
        <v>00</v>
      </c>
      <c r="X214" t="str">
        <f>MID('paste from garc here'!$C$1,1+(('table for research'!$B214-1)*36+HEX2DEC('table for research'!X$1))*2,2)</f>
        <v>00</v>
      </c>
      <c r="Y214" t="str">
        <f>MID('paste from garc here'!$C$1,1+(('table for research'!$B214-1)*36+HEX2DEC('table for research'!Y$1))*2,2)</f>
        <v>00</v>
      </c>
      <c r="Z214" t="str">
        <f>MID('paste from garc here'!$C$1,1+(('table for research'!$B214-1)*36+HEX2DEC('table for research'!Z$1))*2,2)</f>
        <v>00</v>
      </c>
      <c r="AA214" t="str">
        <f>MID('paste from garc here'!$C$1,1+(('table for research'!$B214-1)*36+HEX2DEC('table for research'!AA$1))*2,2)</f>
        <v>00</v>
      </c>
      <c r="AB214" t="str">
        <f>MID('paste from garc here'!$C$1,1+(('table for research'!$B214-1)*36+HEX2DEC('table for research'!AB$1))*2,2)</f>
        <v>00</v>
      </c>
      <c r="AC214" t="str">
        <f>MID('paste from garc here'!$C$1,1+(('table for research'!$B214-1)*36+HEX2DEC('table for research'!AC$1))*2,2)</f>
        <v>00</v>
      </c>
      <c r="AD214" t="str">
        <f>MID('paste from garc here'!$C$1,1+(('table for research'!$B214-1)*36+HEX2DEC('table for research'!AD$1))*2,2)</f>
        <v>00</v>
      </c>
      <c r="AE214" t="str">
        <f>MID('paste from garc here'!$C$1,1+(('table for research'!$B214-1)*36+HEX2DEC('table for research'!AE$1))*2,2)</f>
        <v>00</v>
      </c>
      <c r="AF214" t="str">
        <f>MID('paste from garc here'!$C$1,1+(('table for research'!$B214-1)*36+HEX2DEC('table for research'!AF$1))*2,2)</f>
        <v>00</v>
      </c>
      <c r="AG214" t="str">
        <f>MID('paste from garc here'!$C$1,1+(('table for research'!$B214-1)*36+HEX2DEC('table for research'!AG$1))*2,2)</f>
        <v>00</v>
      </c>
      <c r="AH214" t="str">
        <f>MID('paste from garc here'!$C$1,1+(('table for research'!$B214-1)*36+HEX2DEC('table for research'!AH$1))*2,2)</f>
        <v>00</v>
      </c>
      <c r="AI214" t="str">
        <f>MID('paste from garc here'!$C$1,1+(('table for research'!$B214-1)*36+HEX2DEC('table for research'!AI$1))*2,2)</f>
        <v>00</v>
      </c>
      <c r="AJ214" t="str">
        <f>MID('paste from garc here'!$C$1,1+(('table for research'!$B214-1)*36+HEX2DEC('table for research'!AJ$1))*2,2)</f>
        <v>00</v>
      </c>
      <c r="AK214" t="str">
        <f>MID('paste from garc here'!$C$1,1+(('table for research'!$B214-1)*36+HEX2DEC('table for research'!AK$1))*2,2)</f>
        <v>00</v>
      </c>
      <c r="AL214" t="str">
        <f>MID('paste from garc here'!$C$1,1+(('table for research'!$B214-1)*36+HEX2DEC('table for research'!AL$1))*2,2)</f>
        <v>00</v>
      </c>
      <c r="AM214" t="str">
        <f>MID('paste from garc here'!$C$1,1+(('table for research'!$B214-1)*36+HEX2DEC('table for research'!AM$1))*2,2)</f>
        <v>00</v>
      </c>
      <c r="AN214" t="str">
        <f>MID('paste from garc here'!$C$1,1+(('table for research'!$B214-1)*36+HEX2DEC('table for research'!AN$1))*2,2)</f>
        <v>00</v>
      </c>
      <c r="AO214" t="str">
        <f>MID('paste from garc here'!$C$1,1+(('table for research'!$B214-1)*36+HEX2DEC('table for research'!AO$1))*2,2)</f>
        <v>00</v>
      </c>
    </row>
    <row r="215" spans="1:41" x14ac:dyDescent="0.4">
      <c r="A215" t="s">
        <v>218</v>
      </c>
      <c r="B215">
        <f>B214+1</f>
        <v>213</v>
      </c>
      <c r="C215" t="str">
        <f>MID('paste from garc here'!$C$1,1+(('table for research'!$B215-1)*36+HEX2DEC('table for research'!C$1))*2,2)</f>
        <v>90</v>
      </c>
      <c r="D215" t="str">
        <f>MID('paste from garc here'!$C$1,1+(('table for research'!$B215-1)*36+HEX2DEC('table for research'!D$1))*2,2)</f>
        <v>01</v>
      </c>
      <c r="E215" t="str">
        <f>MID('paste from garc here'!$C$1,1+(('table for research'!$B215-1)*36+HEX2DEC('table for research'!E$1))*2,2)</f>
        <v>30</v>
      </c>
      <c r="F215" t="str">
        <f>MID('paste from garc here'!$C$1,1+(('table for research'!$B215-1)*36+HEX2DEC('table for research'!F$1))*2,2)</f>
        <v>0A</v>
      </c>
      <c r="G215" t="str">
        <f>MID('paste from garc here'!$C$1,1+(('table for research'!$B215-1)*36+HEX2DEC('table for research'!G$1))*2,2)</f>
        <v>00</v>
      </c>
      <c r="H215" t="str">
        <f>MID('paste from garc here'!$C$1,1+(('table for research'!$B215-1)*36+HEX2DEC('table for research'!H$1))*2,2)</f>
        <v>00</v>
      </c>
      <c r="I215" t="str">
        <f>MID('paste from garc here'!$C$1,1+(('table for research'!$B215-1)*36+HEX2DEC('table for research'!I$1))*2,2)</f>
        <v>0A</v>
      </c>
      <c r="J215" t="str">
        <f>MID('paste from garc here'!$C$1,1+(('table for research'!$B215-1)*36+HEX2DEC('table for research'!J$1))*2,2)</f>
        <v>00</v>
      </c>
      <c r="K215" t="str">
        <f>DEC2HEX(_xlfn.BITAND(HEX2DEC(MID('paste from garc here'!$C$1,1+(('table for research'!$B215-1)*36+HEX2DEC(8))*2,2)),31),2)</f>
        <v>1F</v>
      </c>
      <c r="L215" t="str">
        <f>DEC2HEX(_xlfn.BITAND(HEX2DEC(MID('paste from garc here'!$C$1,1+(('table for research'!$B215-1)*36+HEX2DEC(8))*2,2)),32),2)</f>
        <v>00</v>
      </c>
      <c r="M215" t="str">
        <f>DEC2HEX(_xlfn.BITAND(HEX2DEC(MID('paste from garc here'!$C$1,1+(('table for research'!$B215-1)*36+HEX2DEC(8))*2,2)),64),2)</f>
        <v>00</v>
      </c>
      <c r="N215" t="str">
        <f>DEC2HEX(_xlfn.BITRSHIFT(_xlfn.BITAND(HEX2DEC(MID('paste from garc here'!$C$1,1+(('table for research'!$B215-1)*36+HEX2DEC(9))*2,2)&amp;MID('paste from garc here'!$C$1,1+(('table for research'!$B215-1)*36+HEX2DEC(8))*2,2)),1920),7),2)</f>
        <v>00</v>
      </c>
      <c r="O215" t="str">
        <f>DEC2HEX(_xlfn.BITRSHIFT(HEX2DEC(MID('paste from garc here'!$C$1,1+(('table for research'!$B215-1)*36+HEX2DEC(9))*2,2)&amp;MID('paste from garc here'!$C$1,1+(('table for research'!$B215-1)*36+HEX2DEC(8))*2,2)),11),2)</f>
        <v>00</v>
      </c>
      <c r="P215" t="str">
        <f>MID('paste from garc here'!$C$1,1+(('table for research'!$B215-1)*36+HEX2DEC('table for research'!P$1))*2,2)</f>
        <v>00</v>
      </c>
      <c r="Q215" t="str">
        <f>MID('paste from garc here'!$C$1,1+(('table for research'!$B215-1)*36+HEX2DEC('table for research'!Q$1))*2,2)</f>
        <v>00</v>
      </c>
      <c r="R215" t="str">
        <f>MID('paste from garc here'!$C$1,1+(('table for research'!$B215-1)*36+HEX2DEC('table for research'!R$1))*2,2)</f>
        <v>00</v>
      </c>
      <c r="S215" t="str">
        <f>MID('paste from garc here'!$C$1,1+(('table for research'!$B215-1)*36+HEX2DEC('table for research'!S$1))*2,2)</f>
        <v>01</v>
      </c>
      <c r="T215" t="str">
        <f>MID('paste from garc here'!$C$1,1+(('table for research'!$B215-1)*36+HEX2DEC('table for research'!T$1))*2,2)</f>
        <v>00</v>
      </c>
      <c r="U215" t="str">
        <f>MID('paste from garc here'!$C$1,1+(('table for research'!$B215-1)*36+HEX2DEC('table for research'!U$1))*2,2)</f>
        <v>20</v>
      </c>
      <c r="V215" t="str">
        <f>MID('paste from garc here'!$C$1,1+(('table for research'!$B215-1)*36+HEX2DEC('table for research'!V$1))*2,2)</f>
        <v>00</v>
      </c>
      <c r="W215" t="str">
        <f>MID('paste from garc here'!$C$1,1+(('table for research'!$B215-1)*36+HEX2DEC('table for research'!W$1))*2,2)</f>
        <v>00</v>
      </c>
      <c r="X215" t="str">
        <f>MID('paste from garc here'!$C$1,1+(('table for research'!$B215-1)*36+HEX2DEC('table for research'!X$1))*2,2)</f>
        <v>00</v>
      </c>
      <c r="Y215" t="str">
        <f>MID('paste from garc here'!$C$1,1+(('table for research'!$B215-1)*36+HEX2DEC('table for research'!Y$1))*2,2)</f>
        <v>00</v>
      </c>
      <c r="Z215" t="str">
        <f>MID('paste from garc here'!$C$1,1+(('table for research'!$B215-1)*36+HEX2DEC('table for research'!Z$1))*2,2)</f>
        <v>00</v>
      </c>
      <c r="AA215" t="str">
        <f>MID('paste from garc here'!$C$1,1+(('table for research'!$B215-1)*36+HEX2DEC('table for research'!AA$1))*2,2)</f>
        <v>00</v>
      </c>
      <c r="AB215" t="str">
        <f>MID('paste from garc here'!$C$1,1+(('table for research'!$B215-1)*36+HEX2DEC('table for research'!AB$1))*2,2)</f>
        <v>00</v>
      </c>
      <c r="AC215" t="str">
        <f>MID('paste from garc here'!$C$1,1+(('table for research'!$B215-1)*36+HEX2DEC('table for research'!AC$1))*2,2)</f>
        <v>00</v>
      </c>
      <c r="AD215" t="str">
        <f>MID('paste from garc here'!$C$1,1+(('table for research'!$B215-1)*36+HEX2DEC('table for research'!AD$1))*2,2)</f>
        <v>00</v>
      </c>
      <c r="AE215" t="str">
        <f>MID('paste from garc here'!$C$1,1+(('table for research'!$B215-1)*36+HEX2DEC('table for research'!AE$1))*2,2)</f>
        <v>00</v>
      </c>
      <c r="AF215" t="str">
        <f>MID('paste from garc here'!$C$1,1+(('table for research'!$B215-1)*36+HEX2DEC('table for research'!AF$1))*2,2)</f>
        <v>00</v>
      </c>
      <c r="AG215" t="str">
        <f>MID('paste from garc here'!$C$1,1+(('table for research'!$B215-1)*36+HEX2DEC('table for research'!AG$1))*2,2)</f>
        <v>00</v>
      </c>
      <c r="AH215" t="str">
        <f>MID('paste from garc here'!$C$1,1+(('table for research'!$B215-1)*36+HEX2DEC('table for research'!AH$1))*2,2)</f>
        <v>00</v>
      </c>
      <c r="AI215" t="str">
        <f>MID('paste from garc here'!$C$1,1+(('table for research'!$B215-1)*36+HEX2DEC('table for research'!AI$1))*2,2)</f>
        <v>00</v>
      </c>
      <c r="AJ215" t="str">
        <f>MID('paste from garc here'!$C$1,1+(('table for research'!$B215-1)*36+HEX2DEC('table for research'!AJ$1))*2,2)</f>
        <v>00</v>
      </c>
      <c r="AK215" t="str">
        <f>MID('paste from garc here'!$C$1,1+(('table for research'!$B215-1)*36+HEX2DEC('table for research'!AK$1))*2,2)</f>
        <v>00</v>
      </c>
      <c r="AL215" t="str">
        <f>MID('paste from garc here'!$C$1,1+(('table for research'!$B215-1)*36+HEX2DEC('table for research'!AL$1))*2,2)</f>
        <v>00</v>
      </c>
      <c r="AM215" t="str">
        <f>MID('paste from garc here'!$C$1,1+(('table for research'!$B215-1)*36+HEX2DEC('table for research'!AM$1))*2,2)</f>
        <v>00</v>
      </c>
      <c r="AN215" t="str">
        <f>MID('paste from garc here'!$C$1,1+(('table for research'!$B215-1)*36+HEX2DEC('table for research'!AN$1))*2,2)</f>
        <v>00</v>
      </c>
      <c r="AO215" t="str">
        <f>MID('paste from garc here'!$C$1,1+(('table for research'!$B215-1)*36+HEX2DEC('table for research'!AO$1))*2,2)</f>
        <v>00</v>
      </c>
    </row>
    <row r="216" spans="1:41" x14ac:dyDescent="0.4">
      <c r="A216" t="s">
        <v>219</v>
      </c>
      <c r="B216">
        <f>B215+1</f>
        <v>214</v>
      </c>
      <c r="C216" t="str">
        <f>MID('paste from garc here'!$C$1,1+(('table for research'!$B216-1)*36+HEX2DEC('table for research'!C$1))*2,2)</f>
        <v>32</v>
      </c>
      <c r="D216" t="str">
        <f>MID('paste from garc here'!$C$1,1+(('table for research'!$B216-1)*36+HEX2DEC('table for research'!D$1))*2,2)</f>
        <v>00</v>
      </c>
      <c r="E216" t="str">
        <f>MID('paste from garc here'!$C$1,1+(('table for research'!$B216-1)*36+HEX2DEC('table for research'!E$1))*2,2)</f>
        <v>31</v>
      </c>
      <c r="F216" t="str">
        <f>MID('paste from garc here'!$C$1,1+(('table for research'!$B216-1)*36+HEX2DEC('table for research'!F$1))*2,2)</f>
        <v>00</v>
      </c>
      <c r="G216" t="str">
        <f>MID('paste from garc here'!$C$1,1+(('table for research'!$B216-1)*36+HEX2DEC('table for research'!G$1))*2,2)</f>
        <v>00</v>
      </c>
      <c r="H216" t="str">
        <f>MID('paste from garc here'!$C$1,1+(('table for research'!$B216-1)*36+HEX2DEC('table for research'!H$1))*2,2)</f>
        <v>18</v>
      </c>
      <c r="I216" t="str">
        <f>MID('paste from garc here'!$C$1,1+(('table for research'!$B216-1)*36+HEX2DEC('table for research'!I$1))*2,2)</f>
        <v>0A</v>
      </c>
      <c r="J216" t="str">
        <f>MID('paste from garc here'!$C$1,1+(('table for research'!$B216-1)*36+HEX2DEC('table for research'!J$1))*2,2)</f>
        <v>00</v>
      </c>
      <c r="K216" t="str">
        <f>DEC2HEX(_xlfn.BITAND(HEX2DEC(MID('paste from garc here'!$C$1,1+(('table for research'!$B216-1)*36+HEX2DEC(8))*2,2)),31),2)</f>
        <v>1F</v>
      </c>
      <c r="L216" t="str">
        <f>DEC2HEX(_xlfn.BITAND(HEX2DEC(MID('paste from garc here'!$C$1,1+(('table for research'!$B216-1)*36+HEX2DEC(8))*2,2)),32),2)</f>
        <v>00</v>
      </c>
      <c r="M216" t="str">
        <f>DEC2HEX(_xlfn.BITAND(HEX2DEC(MID('paste from garc here'!$C$1,1+(('table for research'!$B216-1)*36+HEX2DEC(8))*2,2)),64),2)</f>
        <v>00</v>
      </c>
      <c r="N216" t="str">
        <f>DEC2HEX(_xlfn.BITRSHIFT(_xlfn.BITAND(HEX2DEC(MID('paste from garc here'!$C$1,1+(('table for research'!$B216-1)*36+HEX2DEC(9))*2,2)&amp;MID('paste from garc here'!$C$1,1+(('table for research'!$B216-1)*36+HEX2DEC(8))*2,2)),1920),7),2)</f>
        <v>00</v>
      </c>
      <c r="O216" t="str">
        <f>DEC2HEX(_xlfn.BITRSHIFT(HEX2DEC(MID('paste from garc here'!$C$1,1+(('table for research'!$B216-1)*36+HEX2DEC(9))*2,2)&amp;MID('paste from garc here'!$C$1,1+(('table for research'!$B216-1)*36+HEX2DEC(8))*2,2)),11),2)</f>
        <v>00</v>
      </c>
      <c r="P216" t="str">
        <f>MID('paste from garc here'!$C$1,1+(('table for research'!$B216-1)*36+HEX2DEC('table for research'!P$1))*2,2)</f>
        <v>00</v>
      </c>
      <c r="Q216" t="str">
        <f>MID('paste from garc here'!$C$1,1+(('table for research'!$B216-1)*36+HEX2DEC('table for research'!Q$1))*2,2)</f>
        <v>00</v>
      </c>
      <c r="R216" t="str">
        <f>MID('paste from garc here'!$C$1,1+(('table for research'!$B216-1)*36+HEX2DEC('table for research'!R$1))*2,2)</f>
        <v>00</v>
      </c>
      <c r="S216" t="str">
        <f>MID('paste from garc here'!$C$1,1+(('table for research'!$B216-1)*36+HEX2DEC('table for research'!S$1))*2,2)</f>
        <v>01</v>
      </c>
      <c r="T216" t="str">
        <f>MID('paste from garc here'!$C$1,1+(('table for research'!$B216-1)*36+HEX2DEC('table for research'!T$1))*2,2)</f>
        <v>01</v>
      </c>
      <c r="U216" t="str">
        <f>MID('paste from garc here'!$C$1,1+(('table for research'!$B216-1)*36+HEX2DEC('table for research'!U$1))*2,2)</f>
        <v>2C</v>
      </c>
      <c r="V216" t="str">
        <f>MID('paste from garc here'!$C$1,1+(('table for research'!$B216-1)*36+HEX2DEC('table for research'!V$1))*2,2)</f>
        <v>00</v>
      </c>
      <c r="W216" t="str">
        <f>MID('paste from garc here'!$C$1,1+(('table for research'!$B216-1)*36+HEX2DEC('table for research'!W$1))*2,2)</f>
        <v>00</v>
      </c>
      <c r="X216" t="str">
        <f>MID('paste from garc here'!$C$1,1+(('table for research'!$B216-1)*36+HEX2DEC('table for research'!X$1))*2,2)</f>
        <v>00</v>
      </c>
      <c r="Y216" t="str">
        <f>MID('paste from garc here'!$C$1,1+(('table for research'!$B216-1)*36+HEX2DEC('table for research'!Y$1))*2,2)</f>
        <v>00</v>
      </c>
      <c r="Z216" t="str">
        <f>MID('paste from garc here'!$C$1,1+(('table for research'!$B216-1)*36+HEX2DEC('table for research'!Z$1))*2,2)</f>
        <v>00</v>
      </c>
      <c r="AA216" t="str">
        <f>MID('paste from garc here'!$C$1,1+(('table for research'!$B216-1)*36+HEX2DEC('table for research'!AA$1))*2,2)</f>
        <v>00</v>
      </c>
      <c r="AB216" t="str">
        <f>MID('paste from garc here'!$C$1,1+(('table for research'!$B216-1)*36+HEX2DEC('table for research'!AB$1))*2,2)</f>
        <v>00</v>
      </c>
      <c r="AC216" t="str">
        <f>MID('paste from garc here'!$C$1,1+(('table for research'!$B216-1)*36+HEX2DEC('table for research'!AC$1))*2,2)</f>
        <v>00</v>
      </c>
      <c r="AD216" t="str">
        <f>MID('paste from garc here'!$C$1,1+(('table for research'!$B216-1)*36+HEX2DEC('table for research'!AD$1))*2,2)</f>
        <v>00</v>
      </c>
      <c r="AE216" t="str">
        <f>MID('paste from garc here'!$C$1,1+(('table for research'!$B216-1)*36+HEX2DEC('table for research'!AE$1))*2,2)</f>
        <v>00</v>
      </c>
      <c r="AF216" t="str">
        <f>MID('paste from garc here'!$C$1,1+(('table for research'!$B216-1)*36+HEX2DEC('table for research'!AF$1))*2,2)</f>
        <v>00</v>
      </c>
      <c r="AG216" t="str">
        <f>MID('paste from garc here'!$C$1,1+(('table for research'!$B216-1)*36+HEX2DEC('table for research'!AG$1))*2,2)</f>
        <v>00</v>
      </c>
      <c r="AH216" t="str">
        <f>MID('paste from garc here'!$C$1,1+(('table for research'!$B216-1)*36+HEX2DEC('table for research'!AH$1))*2,2)</f>
        <v>00</v>
      </c>
      <c r="AI216" t="str">
        <f>MID('paste from garc here'!$C$1,1+(('table for research'!$B216-1)*36+HEX2DEC('table for research'!AI$1))*2,2)</f>
        <v>00</v>
      </c>
      <c r="AJ216" t="str">
        <f>MID('paste from garc here'!$C$1,1+(('table for research'!$B216-1)*36+HEX2DEC('table for research'!AJ$1))*2,2)</f>
        <v>00</v>
      </c>
      <c r="AK216" t="str">
        <f>MID('paste from garc here'!$C$1,1+(('table for research'!$B216-1)*36+HEX2DEC('table for research'!AK$1))*2,2)</f>
        <v>00</v>
      </c>
      <c r="AL216" t="str">
        <f>MID('paste from garc here'!$C$1,1+(('table for research'!$B216-1)*36+HEX2DEC('table for research'!AL$1))*2,2)</f>
        <v>00</v>
      </c>
      <c r="AM216" t="str">
        <f>MID('paste from garc here'!$C$1,1+(('table for research'!$B216-1)*36+HEX2DEC('table for research'!AM$1))*2,2)</f>
        <v>00</v>
      </c>
      <c r="AN216" t="str">
        <f>MID('paste from garc here'!$C$1,1+(('table for research'!$B216-1)*36+HEX2DEC('table for research'!AN$1))*2,2)</f>
        <v>00</v>
      </c>
      <c r="AO216" t="str">
        <f>MID('paste from garc here'!$C$1,1+(('table for research'!$B216-1)*36+HEX2DEC('table for research'!AO$1))*2,2)</f>
        <v>00</v>
      </c>
    </row>
    <row r="217" spans="1:41" x14ac:dyDescent="0.4">
      <c r="A217" t="s">
        <v>220</v>
      </c>
      <c r="B217">
        <f>B216+1</f>
        <v>215</v>
      </c>
      <c r="C217" t="str">
        <f>MID('paste from garc here'!$C$1,1+(('table for research'!$B217-1)*36+HEX2DEC('table for research'!C$1))*2,2)</f>
        <v>2C</v>
      </c>
      <c r="D217" t="str">
        <f>MID('paste from garc here'!$C$1,1+(('table for research'!$B217-1)*36+HEX2DEC('table for research'!D$1))*2,2)</f>
        <v>01</v>
      </c>
      <c r="E217" t="str">
        <f>MID('paste from garc here'!$C$1,1+(('table for research'!$B217-1)*36+HEX2DEC('table for research'!E$1))*2,2)</f>
        <v>32</v>
      </c>
      <c r="F217" t="str">
        <f>MID('paste from garc here'!$C$1,1+(('table for research'!$B217-1)*36+HEX2DEC('table for research'!F$1))*2,2)</f>
        <v>00</v>
      </c>
      <c r="G217" t="str">
        <f>MID('paste from garc here'!$C$1,1+(('table for research'!$B217-1)*36+HEX2DEC('table for research'!G$1))*2,2)</f>
        <v>00</v>
      </c>
      <c r="H217" t="str">
        <f>MID('paste from garc here'!$C$1,1+(('table for research'!$B217-1)*36+HEX2DEC('table for research'!H$1))*2,2)</f>
        <v>00</v>
      </c>
      <c r="I217" t="str">
        <f>MID('paste from garc here'!$C$1,1+(('table for research'!$B217-1)*36+HEX2DEC('table for research'!I$1))*2,2)</f>
        <v>C8</v>
      </c>
      <c r="J217" t="str">
        <f>MID('paste from garc here'!$C$1,1+(('table for research'!$B217-1)*36+HEX2DEC('table for research'!J$1))*2,2)</f>
        <v>00</v>
      </c>
      <c r="K217" t="str">
        <f>DEC2HEX(_xlfn.BITAND(HEX2DEC(MID('paste from garc here'!$C$1,1+(('table for research'!$B217-1)*36+HEX2DEC(8))*2,2)),31),2)</f>
        <v>1F</v>
      </c>
      <c r="L217" t="str">
        <f>DEC2HEX(_xlfn.BITAND(HEX2DEC(MID('paste from garc here'!$C$1,1+(('table for research'!$B217-1)*36+HEX2DEC(8))*2,2)),32),2)</f>
        <v>00</v>
      </c>
      <c r="M217" t="str">
        <f>DEC2HEX(_xlfn.BITAND(HEX2DEC(MID('paste from garc here'!$C$1,1+(('table for research'!$B217-1)*36+HEX2DEC(8))*2,2)),64),2)</f>
        <v>00</v>
      </c>
      <c r="N217" t="str">
        <f>DEC2HEX(_xlfn.BITRSHIFT(_xlfn.BITAND(HEX2DEC(MID('paste from garc here'!$C$1,1+(('table for research'!$B217-1)*36+HEX2DEC(9))*2,2)&amp;MID('paste from garc here'!$C$1,1+(('table for research'!$B217-1)*36+HEX2DEC(8))*2,2)),1920),7),2)</f>
        <v>00</v>
      </c>
      <c r="O217" t="str">
        <f>DEC2HEX(_xlfn.BITRSHIFT(HEX2DEC(MID('paste from garc here'!$C$1,1+(('table for research'!$B217-1)*36+HEX2DEC(9))*2,2)&amp;MID('paste from garc here'!$C$1,1+(('table for research'!$B217-1)*36+HEX2DEC(8))*2,2)),11),2)</f>
        <v>00</v>
      </c>
      <c r="P217" t="str">
        <f>MID('paste from garc here'!$C$1,1+(('table for research'!$B217-1)*36+HEX2DEC('table for research'!P$1))*2,2)</f>
        <v>00</v>
      </c>
      <c r="Q217" t="str">
        <f>MID('paste from garc here'!$C$1,1+(('table for research'!$B217-1)*36+HEX2DEC('table for research'!Q$1))*2,2)</f>
        <v>00</v>
      </c>
      <c r="R217" t="str">
        <f>MID('paste from garc here'!$C$1,1+(('table for research'!$B217-1)*36+HEX2DEC('table for research'!R$1))*2,2)</f>
        <v>00</v>
      </c>
      <c r="S217" t="str">
        <f>MID('paste from garc here'!$C$1,1+(('table for research'!$B217-1)*36+HEX2DEC('table for research'!S$1))*2,2)</f>
        <v>01</v>
      </c>
      <c r="T217" t="str">
        <f>MID('paste from garc here'!$C$1,1+(('table for research'!$B217-1)*36+HEX2DEC('table for research'!T$1))*2,2)</f>
        <v>00</v>
      </c>
      <c r="U217" t="str">
        <f>MID('paste from garc here'!$C$1,1+(('table for research'!$B217-1)*36+HEX2DEC('table for research'!U$1))*2,2)</f>
        <v>05</v>
      </c>
      <c r="V217" t="str">
        <f>MID('paste from garc here'!$C$1,1+(('table for research'!$B217-1)*36+HEX2DEC('table for research'!V$1))*2,2)</f>
        <v>00</v>
      </c>
      <c r="W217" t="str">
        <f>MID('paste from garc here'!$C$1,1+(('table for research'!$B217-1)*36+HEX2DEC('table for research'!W$1))*2,2)</f>
        <v>00</v>
      </c>
      <c r="X217" t="str">
        <f>MID('paste from garc here'!$C$1,1+(('table for research'!$B217-1)*36+HEX2DEC('table for research'!X$1))*2,2)</f>
        <v>00</v>
      </c>
      <c r="Y217" t="str">
        <f>MID('paste from garc here'!$C$1,1+(('table for research'!$B217-1)*36+HEX2DEC('table for research'!Y$1))*2,2)</f>
        <v>00</v>
      </c>
      <c r="Z217" t="str">
        <f>MID('paste from garc here'!$C$1,1+(('table for research'!$B217-1)*36+HEX2DEC('table for research'!Z$1))*2,2)</f>
        <v>00</v>
      </c>
      <c r="AA217" t="str">
        <f>MID('paste from garc here'!$C$1,1+(('table for research'!$B217-1)*36+HEX2DEC('table for research'!AA$1))*2,2)</f>
        <v>00</v>
      </c>
      <c r="AB217" t="str">
        <f>MID('paste from garc here'!$C$1,1+(('table for research'!$B217-1)*36+HEX2DEC('table for research'!AB$1))*2,2)</f>
        <v>00</v>
      </c>
      <c r="AC217" t="str">
        <f>MID('paste from garc here'!$C$1,1+(('table for research'!$B217-1)*36+HEX2DEC('table for research'!AC$1))*2,2)</f>
        <v>00</v>
      </c>
      <c r="AD217" t="str">
        <f>MID('paste from garc here'!$C$1,1+(('table for research'!$B217-1)*36+HEX2DEC('table for research'!AD$1))*2,2)</f>
        <v>00</v>
      </c>
      <c r="AE217" t="str">
        <f>MID('paste from garc here'!$C$1,1+(('table for research'!$B217-1)*36+HEX2DEC('table for research'!AE$1))*2,2)</f>
        <v>00</v>
      </c>
      <c r="AF217" t="str">
        <f>MID('paste from garc here'!$C$1,1+(('table for research'!$B217-1)*36+HEX2DEC('table for research'!AF$1))*2,2)</f>
        <v>00</v>
      </c>
      <c r="AG217" t="str">
        <f>MID('paste from garc here'!$C$1,1+(('table for research'!$B217-1)*36+HEX2DEC('table for research'!AG$1))*2,2)</f>
        <v>00</v>
      </c>
      <c r="AH217" t="str">
        <f>MID('paste from garc here'!$C$1,1+(('table for research'!$B217-1)*36+HEX2DEC('table for research'!AH$1))*2,2)</f>
        <v>00</v>
      </c>
      <c r="AI217" t="str">
        <f>MID('paste from garc here'!$C$1,1+(('table for research'!$B217-1)*36+HEX2DEC('table for research'!AI$1))*2,2)</f>
        <v>00</v>
      </c>
      <c r="AJ217" t="str">
        <f>MID('paste from garc here'!$C$1,1+(('table for research'!$B217-1)*36+HEX2DEC('table for research'!AJ$1))*2,2)</f>
        <v>00</v>
      </c>
      <c r="AK217" t="str">
        <f>MID('paste from garc here'!$C$1,1+(('table for research'!$B217-1)*36+HEX2DEC('table for research'!AK$1))*2,2)</f>
        <v>00</v>
      </c>
      <c r="AL217" t="str">
        <f>MID('paste from garc here'!$C$1,1+(('table for research'!$B217-1)*36+HEX2DEC('table for research'!AL$1))*2,2)</f>
        <v>00</v>
      </c>
      <c r="AM217" t="str">
        <f>MID('paste from garc here'!$C$1,1+(('table for research'!$B217-1)*36+HEX2DEC('table for research'!AM$1))*2,2)</f>
        <v>00</v>
      </c>
      <c r="AN217" t="str">
        <f>MID('paste from garc here'!$C$1,1+(('table for research'!$B217-1)*36+HEX2DEC('table for research'!AN$1))*2,2)</f>
        <v>00</v>
      </c>
      <c r="AO217" t="str">
        <f>MID('paste from garc here'!$C$1,1+(('table for research'!$B217-1)*36+HEX2DEC('table for research'!AO$1))*2,2)</f>
        <v>00</v>
      </c>
    </row>
    <row r="218" spans="1:41" x14ac:dyDescent="0.4">
      <c r="A218" t="s">
        <v>221</v>
      </c>
      <c r="B218">
        <f>B217+1</f>
        <v>216</v>
      </c>
      <c r="C218" t="str">
        <f>MID('paste from garc here'!$C$1,1+(('table for research'!$B218-1)*36+HEX2DEC('table for research'!C$1))*2,2)</f>
        <v>00</v>
      </c>
      <c r="D218" t="str">
        <f>MID('paste from garc here'!$C$1,1+(('table for research'!$B218-1)*36+HEX2DEC('table for research'!D$1))*2,2)</f>
        <v>00</v>
      </c>
      <c r="E218" t="str">
        <f>MID('paste from garc here'!$C$1,1+(('table for research'!$B218-1)*36+HEX2DEC('table for research'!E$1))*2,2)</f>
        <v>00</v>
      </c>
      <c r="F218" t="str">
        <f>MID('paste from garc here'!$C$1,1+(('table for research'!$B218-1)*36+HEX2DEC('table for research'!F$1))*2,2)</f>
        <v>00</v>
      </c>
      <c r="G218" t="str">
        <f>MID('paste from garc here'!$C$1,1+(('table for research'!$B218-1)*36+HEX2DEC('table for research'!G$1))*2,2)</f>
        <v>00</v>
      </c>
      <c r="H218" t="str">
        <f>MID('paste from garc here'!$C$1,1+(('table for research'!$B218-1)*36+HEX2DEC('table for research'!H$1))*2,2)</f>
        <v>00</v>
      </c>
      <c r="I218" t="str">
        <f>MID('paste from garc here'!$C$1,1+(('table for research'!$B218-1)*36+HEX2DEC('table for research'!I$1))*2,2)</f>
        <v>00</v>
      </c>
      <c r="J218" t="str">
        <f>MID('paste from garc here'!$C$1,1+(('table for research'!$B218-1)*36+HEX2DEC('table for research'!J$1))*2,2)</f>
        <v>00</v>
      </c>
      <c r="K218" t="str">
        <f>DEC2HEX(_xlfn.BITAND(HEX2DEC(MID('paste from garc here'!$C$1,1+(('table for research'!$B218-1)*36+HEX2DEC(8))*2,2)),31),2)</f>
        <v>1F</v>
      </c>
      <c r="L218" t="str">
        <f>DEC2HEX(_xlfn.BITAND(HEX2DEC(MID('paste from garc here'!$C$1,1+(('table for research'!$B218-1)*36+HEX2DEC(8))*2,2)),32),2)</f>
        <v>20</v>
      </c>
      <c r="M218" t="str">
        <f>DEC2HEX(_xlfn.BITAND(HEX2DEC(MID('paste from garc here'!$C$1,1+(('table for research'!$B218-1)*36+HEX2DEC(8))*2,2)),64),2)</f>
        <v>40</v>
      </c>
      <c r="N218" t="str">
        <f>DEC2HEX(_xlfn.BITRSHIFT(_xlfn.BITAND(HEX2DEC(MID('paste from garc here'!$C$1,1+(('table for research'!$B218-1)*36+HEX2DEC(9))*2,2)&amp;MID('paste from garc here'!$C$1,1+(('table for research'!$B218-1)*36+HEX2DEC(8))*2,2)),1920),7),2)</f>
        <v>04</v>
      </c>
      <c r="O218" t="str">
        <f>DEC2HEX(_xlfn.BITRSHIFT(HEX2DEC(MID('paste from garc here'!$C$1,1+(('table for research'!$B218-1)*36+HEX2DEC(9))*2,2)&amp;MID('paste from garc here'!$C$1,1+(('table for research'!$B218-1)*36+HEX2DEC(8))*2,2)),11),2)</f>
        <v>00</v>
      </c>
      <c r="P218" t="str">
        <f>MID('paste from garc here'!$C$1,1+(('table for research'!$B218-1)*36+HEX2DEC('table for research'!P$1))*2,2)</f>
        <v>05</v>
      </c>
      <c r="Q218" t="str">
        <f>MID('paste from garc here'!$C$1,1+(('table for research'!$B218-1)*36+HEX2DEC('table for research'!Q$1))*2,2)</f>
        <v>00</v>
      </c>
      <c r="R218" t="str">
        <f>MID('paste from garc here'!$C$1,1+(('table for research'!$B218-1)*36+HEX2DEC('table for research'!R$1))*2,2)</f>
        <v>00</v>
      </c>
      <c r="S218" t="str">
        <f>MID('paste from garc here'!$C$1,1+(('table for research'!$B218-1)*36+HEX2DEC('table for research'!S$1))*2,2)</f>
        <v>08</v>
      </c>
      <c r="T218" t="str">
        <f>MID('paste from garc here'!$C$1,1+(('table for research'!$B218-1)*36+HEX2DEC('table for research'!T$1))*2,2)</f>
        <v>00</v>
      </c>
      <c r="U218" t="str">
        <f>MID('paste from garc here'!$C$1,1+(('table for research'!$B218-1)*36+HEX2DEC('table for research'!U$1))*2,2)</f>
        <v>01</v>
      </c>
      <c r="V218" t="str">
        <f>MID('paste from garc here'!$C$1,1+(('table for research'!$B218-1)*36+HEX2DEC('table for research'!V$1))*2,2)</f>
        <v>00</v>
      </c>
      <c r="W218" t="str">
        <f>MID('paste from garc here'!$C$1,1+(('table for research'!$B218-1)*36+HEX2DEC('table for research'!W$1))*2,2)</f>
        <v>00</v>
      </c>
      <c r="X218" t="str">
        <f>MID('paste from garc here'!$C$1,1+(('table for research'!$B218-1)*36+HEX2DEC('table for research'!X$1))*2,2)</f>
        <v>00</v>
      </c>
      <c r="Y218" t="str">
        <f>MID('paste from garc here'!$C$1,1+(('table for research'!$B218-1)*36+HEX2DEC('table for research'!Y$1))*2,2)</f>
        <v>00</v>
      </c>
      <c r="Z218" t="str">
        <f>MID('paste from garc here'!$C$1,1+(('table for research'!$B218-1)*36+HEX2DEC('table for research'!Z$1))*2,2)</f>
        <v>00</v>
      </c>
      <c r="AA218" t="str">
        <f>MID('paste from garc here'!$C$1,1+(('table for research'!$B218-1)*36+HEX2DEC('table for research'!AA$1))*2,2)</f>
        <v>00</v>
      </c>
      <c r="AB218" t="str">
        <f>MID('paste from garc here'!$C$1,1+(('table for research'!$B218-1)*36+HEX2DEC('table for research'!AB$1))*2,2)</f>
        <v>00</v>
      </c>
      <c r="AC218" t="str">
        <f>MID('paste from garc here'!$C$1,1+(('table for research'!$B218-1)*36+HEX2DEC('table for research'!AC$1))*2,2)</f>
        <v>00</v>
      </c>
      <c r="AD218" t="str">
        <f>MID('paste from garc here'!$C$1,1+(('table for research'!$B218-1)*36+HEX2DEC('table for research'!AD$1))*2,2)</f>
        <v>00</v>
      </c>
      <c r="AE218" t="str">
        <f>MID('paste from garc here'!$C$1,1+(('table for research'!$B218-1)*36+HEX2DEC('table for research'!AE$1))*2,2)</f>
        <v>00</v>
      </c>
      <c r="AF218" t="str">
        <f>MID('paste from garc here'!$C$1,1+(('table for research'!$B218-1)*36+HEX2DEC('table for research'!AF$1))*2,2)</f>
        <v>00</v>
      </c>
      <c r="AG218" t="str">
        <f>MID('paste from garc here'!$C$1,1+(('table for research'!$B218-1)*36+HEX2DEC('table for research'!AG$1))*2,2)</f>
        <v>00</v>
      </c>
      <c r="AH218" t="str">
        <f>MID('paste from garc here'!$C$1,1+(('table for research'!$B218-1)*36+HEX2DEC('table for research'!AH$1))*2,2)</f>
        <v>00</v>
      </c>
      <c r="AI218" t="str">
        <f>MID('paste from garc here'!$C$1,1+(('table for research'!$B218-1)*36+HEX2DEC('table for research'!AI$1))*2,2)</f>
        <v>00</v>
      </c>
      <c r="AJ218" t="str">
        <f>MID('paste from garc here'!$C$1,1+(('table for research'!$B218-1)*36+HEX2DEC('table for research'!AJ$1))*2,2)</f>
        <v>00</v>
      </c>
      <c r="AK218" t="str">
        <f>MID('paste from garc here'!$C$1,1+(('table for research'!$B218-1)*36+HEX2DEC('table for research'!AK$1))*2,2)</f>
        <v>00</v>
      </c>
      <c r="AL218" t="str">
        <f>MID('paste from garc here'!$C$1,1+(('table for research'!$B218-1)*36+HEX2DEC('table for research'!AL$1))*2,2)</f>
        <v>00</v>
      </c>
      <c r="AM218" t="str">
        <f>MID('paste from garc here'!$C$1,1+(('table for research'!$B218-1)*36+HEX2DEC('table for research'!AM$1))*2,2)</f>
        <v>00</v>
      </c>
      <c r="AN218" t="str">
        <f>MID('paste from garc here'!$C$1,1+(('table for research'!$B218-1)*36+HEX2DEC('table for research'!AN$1))*2,2)</f>
        <v>00</v>
      </c>
      <c r="AO218" t="str">
        <f>MID('paste from garc here'!$C$1,1+(('table for research'!$B218-1)*36+HEX2DEC('table for research'!AO$1))*2,2)</f>
        <v>00</v>
      </c>
    </row>
    <row r="219" spans="1:41" x14ac:dyDescent="0.4">
      <c r="A219" t="s">
        <v>222</v>
      </c>
      <c r="B219">
        <f>B218+1</f>
        <v>217</v>
      </c>
      <c r="C219" t="str">
        <f>MID('paste from garc here'!$C$1,1+(('table for research'!$B219-1)*36+HEX2DEC('table for research'!C$1))*2,2)</f>
        <v>90</v>
      </c>
      <c r="D219" t="str">
        <f>MID('paste from garc here'!$C$1,1+(('table for research'!$B219-1)*36+HEX2DEC('table for research'!D$1))*2,2)</f>
        <v>01</v>
      </c>
      <c r="E219" t="str">
        <f>MID('paste from garc here'!$C$1,1+(('table for research'!$B219-1)*36+HEX2DEC('table for research'!E$1))*2,2)</f>
        <v>33</v>
      </c>
      <c r="F219" t="str">
        <f>MID('paste from garc here'!$C$1,1+(('table for research'!$B219-1)*36+HEX2DEC('table for research'!F$1))*2,2)</f>
        <v>14</v>
      </c>
      <c r="G219" t="str">
        <f>MID('paste from garc here'!$C$1,1+(('table for research'!$B219-1)*36+HEX2DEC('table for research'!G$1))*2,2)</f>
        <v>00</v>
      </c>
      <c r="H219" t="str">
        <f>MID('paste from garc here'!$C$1,1+(('table for research'!$B219-1)*36+HEX2DEC('table for research'!H$1))*2,2)</f>
        <v>00</v>
      </c>
      <c r="I219" t="str">
        <f>MID('paste from garc here'!$C$1,1+(('table for research'!$B219-1)*36+HEX2DEC('table for research'!I$1))*2,2)</f>
        <v>50</v>
      </c>
      <c r="J219" t="str">
        <f>MID('paste from garc here'!$C$1,1+(('table for research'!$B219-1)*36+HEX2DEC('table for research'!J$1))*2,2)</f>
        <v>00</v>
      </c>
      <c r="K219" t="str">
        <f>DEC2HEX(_xlfn.BITAND(HEX2DEC(MID('paste from garc here'!$C$1,1+(('table for research'!$B219-1)*36+HEX2DEC(8))*2,2)),31),2)</f>
        <v>1F</v>
      </c>
      <c r="L219" t="str">
        <f>DEC2HEX(_xlfn.BITAND(HEX2DEC(MID('paste from garc here'!$C$1,1+(('table for research'!$B219-1)*36+HEX2DEC(8))*2,2)),32),2)</f>
        <v>00</v>
      </c>
      <c r="M219" t="str">
        <f>DEC2HEX(_xlfn.BITAND(HEX2DEC(MID('paste from garc here'!$C$1,1+(('table for research'!$B219-1)*36+HEX2DEC(8))*2,2)),64),2)</f>
        <v>00</v>
      </c>
      <c r="N219" t="str">
        <f>DEC2HEX(_xlfn.BITRSHIFT(_xlfn.BITAND(HEX2DEC(MID('paste from garc here'!$C$1,1+(('table for research'!$B219-1)*36+HEX2DEC(9))*2,2)&amp;MID('paste from garc here'!$C$1,1+(('table for research'!$B219-1)*36+HEX2DEC(8))*2,2)),1920),7),2)</f>
        <v>00</v>
      </c>
      <c r="O219" t="str">
        <f>DEC2HEX(_xlfn.BITRSHIFT(HEX2DEC(MID('paste from garc here'!$C$1,1+(('table for research'!$B219-1)*36+HEX2DEC(9))*2,2)&amp;MID('paste from garc here'!$C$1,1+(('table for research'!$B219-1)*36+HEX2DEC(8))*2,2)),11),2)</f>
        <v>00</v>
      </c>
      <c r="P219" t="str">
        <f>MID('paste from garc here'!$C$1,1+(('table for research'!$B219-1)*36+HEX2DEC('table for research'!P$1))*2,2)</f>
        <v>00</v>
      </c>
      <c r="Q219" t="str">
        <f>MID('paste from garc here'!$C$1,1+(('table for research'!$B219-1)*36+HEX2DEC('table for research'!Q$1))*2,2)</f>
        <v>00</v>
      </c>
      <c r="R219" t="str">
        <f>MID('paste from garc here'!$C$1,1+(('table for research'!$B219-1)*36+HEX2DEC('table for research'!R$1))*2,2)</f>
        <v>00</v>
      </c>
      <c r="S219" t="str">
        <f>MID('paste from garc here'!$C$1,1+(('table for research'!$B219-1)*36+HEX2DEC('table for research'!S$1))*2,2)</f>
        <v>01</v>
      </c>
      <c r="T219" t="str">
        <f>MID('paste from garc here'!$C$1,1+(('table for research'!$B219-1)*36+HEX2DEC('table for research'!T$1))*2,2)</f>
        <v>00</v>
      </c>
      <c r="U219" t="str">
        <f>MID('paste from garc here'!$C$1,1+(('table for research'!$B219-1)*36+HEX2DEC('table for research'!U$1))*2,2)</f>
        <v>30</v>
      </c>
      <c r="V219" t="str">
        <f>MID('paste from garc here'!$C$1,1+(('table for research'!$B219-1)*36+HEX2DEC('table for research'!V$1))*2,2)</f>
        <v>00</v>
      </c>
      <c r="W219" t="str">
        <f>MID('paste from garc here'!$C$1,1+(('table for research'!$B219-1)*36+HEX2DEC('table for research'!W$1))*2,2)</f>
        <v>00</v>
      </c>
      <c r="X219" t="str">
        <f>MID('paste from garc here'!$C$1,1+(('table for research'!$B219-1)*36+HEX2DEC('table for research'!X$1))*2,2)</f>
        <v>00</v>
      </c>
      <c r="Y219" t="str">
        <f>MID('paste from garc here'!$C$1,1+(('table for research'!$B219-1)*36+HEX2DEC('table for research'!Y$1))*2,2)</f>
        <v>00</v>
      </c>
      <c r="Z219" t="str">
        <f>MID('paste from garc here'!$C$1,1+(('table for research'!$B219-1)*36+HEX2DEC('table for research'!Z$1))*2,2)</f>
        <v>00</v>
      </c>
      <c r="AA219" t="str">
        <f>MID('paste from garc here'!$C$1,1+(('table for research'!$B219-1)*36+HEX2DEC('table for research'!AA$1))*2,2)</f>
        <v>00</v>
      </c>
      <c r="AB219" t="str">
        <f>MID('paste from garc here'!$C$1,1+(('table for research'!$B219-1)*36+HEX2DEC('table for research'!AB$1))*2,2)</f>
        <v>00</v>
      </c>
      <c r="AC219" t="str">
        <f>MID('paste from garc here'!$C$1,1+(('table for research'!$B219-1)*36+HEX2DEC('table for research'!AC$1))*2,2)</f>
        <v>00</v>
      </c>
      <c r="AD219" t="str">
        <f>MID('paste from garc here'!$C$1,1+(('table for research'!$B219-1)*36+HEX2DEC('table for research'!AD$1))*2,2)</f>
        <v>00</v>
      </c>
      <c r="AE219" t="str">
        <f>MID('paste from garc here'!$C$1,1+(('table for research'!$B219-1)*36+HEX2DEC('table for research'!AE$1))*2,2)</f>
        <v>00</v>
      </c>
      <c r="AF219" t="str">
        <f>MID('paste from garc here'!$C$1,1+(('table for research'!$B219-1)*36+HEX2DEC('table for research'!AF$1))*2,2)</f>
        <v>00</v>
      </c>
      <c r="AG219" t="str">
        <f>MID('paste from garc here'!$C$1,1+(('table for research'!$B219-1)*36+HEX2DEC('table for research'!AG$1))*2,2)</f>
        <v>00</v>
      </c>
      <c r="AH219" t="str">
        <f>MID('paste from garc here'!$C$1,1+(('table for research'!$B219-1)*36+HEX2DEC('table for research'!AH$1))*2,2)</f>
        <v>00</v>
      </c>
      <c r="AI219" t="str">
        <f>MID('paste from garc here'!$C$1,1+(('table for research'!$B219-1)*36+HEX2DEC('table for research'!AI$1))*2,2)</f>
        <v>00</v>
      </c>
      <c r="AJ219" t="str">
        <f>MID('paste from garc here'!$C$1,1+(('table for research'!$B219-1)*36+HEX2DEC('table for research'!AJ$1))*2,2)</f>
        <v>00</v>
      </c>
      <c r="AK219" t="str">
        <f>MID('paste from garc here'!$C$1,1+(('table for research'!$B219-1)*36+HEX2DEC('table for research'!AK$1))*2,2)</f>
        <v>00</v>
      </c>
      <c r="AL219" t="str">
        <f>MID('paste from garc here'!$C$1,1+(('table for research'!$B219-1)*36+HEX2DEC('table for research'!AL$1))*2,2)</f>
        <v>00</v>
      </c>
      <c r="AM219" t="str">
        <f>MID('paste from garc here'!$C$1,1+(('table for research'!$B219-1)*36+HEX2DEC('table for research'!AM$1))*2,2)</f>
        <v>00</v>
      </c>
      <c r="AN219" t="str">
        <f>MID('paste from garc here'!$C$1,1+(('table for research'!$B219-1)*36+HEX2DEC('table for research'!AN$1))*2,2)</f>
        <v>00</v>
      </c>
      <c r="AO219" t="str">
        <f>MID('paste from garc here'!$C$1,1+(('table for research'!$B219-1)*36+HEX2DEC('table for research'!AO$1))*2,2)</f>
        <v>00</v>
      </c>
    </row>
    <row r="220" spans="1:41" x14ac:dyDescent="0.4">
      <c r="A220" t="s">
        <v>223</v>
      </c>
      <c r="B220">
        <f>B219+1</f>
        <v>218</v>
      </c>
      <c r="C220" t="str">
        <f>MID('paste from garc here'!$C$1,1+(('table for research'!$B220-1)*36+HEX2DEC('table for research'!C$1))*2,2)</f>
        <v>90</v>
      </c>
      <c r="D220" t="str">
        <f>MID('paste from garc here'!$C$1,1+(('table for research'!$B220-1)*36+HEX2DEC('table for research'!D$1))*2,2)</f>
        <v>01</v>
      </c>
      <c r="E220" t="str">
        <f>MID('paste from garc here'!$C$1,1+(('table for research'!$B220-1)*36+HEX2DEC('table for research'!E$1))*2,2)</f>
        <v>34</v>
      </c>
      <c r="F220" t="str">
        <f>MID('paste from garc here'!$C$1,1+(('table for research'!$B220-1)*36+HEX2DEC('table for research'!F$1))*2,2)</f>
        <v>00</v>
      </c>
      <c r="G220" t="str">
        <f>MID('paste from garc here'!$C$1,1+(('table for research'!$B220-1)*36+HEX2DEC('table for research'!G$1))*2,2)</f>
        <v>00</v>
      </c>
      <c r="H220" t="str">
        <f>MID('paste from garc here'!$C$1,1+(('table for research'!$B220-1)*36+HEX2DEC('table for research'!H$1))*2,2)</f>
        <v>00</v>
      </c>
      <c r="I220" t="str">
        <f>MID('paste from garc here'!$C$1,1+(('table for research'!$B220-1)*36+HEX2DEC('table for research'!I$1))*2,2)</f>
        <v>0A</v>
      </c>
      <c r="J220" t="str">
        <f>MID('paste from garc here'!$C$1,1+(('table for research'!$B220-1)*36+HEX2DEC('table for research'!J$1))*2,2)</f>
        <v>00</v>
      </c>
      <c r="K220" t="str">
        <f>DEC2HEX(_xlfn.BITAND(HEX2DEC(MID('paste from garc here'!$C$1,1+(('table for research'!$B220-1)*36+HEX2DEC(8))*2,2)),31),2)</f>
        <v>1F</v>
      </c>
      <c r="L220" t="str">
        <f>DEC2HEX(_xlfn.BITAND(HEX2DEC(MID('paste from garc here'!$C$1,1+(('table for research'!$B220-1)*36+HEX2DEC(8))*2,2)),32),2)</f>
        <v>00</v>
      </c>
      <c r="M220" t="str">
        <f>DEC2HEX(_xlfn.BITAND(HEX2DEC(MID('paste from garc here'!$C$1,1+(('table for research'!$B220-1)*36+HEX2DEC(8))*2,2)),64),2)</f>
        <v>00</v>
      </c>
      <c r="N220" t="str">
        <f>DEC2HEX(_xlfn.BITRSHIFT(_xlfn.BITAND(HEX2DEC(MID('paste from garc here'!$C$1,1+(('table for research'!$B220-1)*36+HEX2DEC(9))*2,2)&amp;MID('paste from garc here'!$C$1,1+(('table for research'!$B220-1)*36+HEX2DEC(8))*2,2)),1920),7),2)</f>
        <v>00</v>
      </c>
      <c r="O220" t="str">
        <f>DEC2HEX(_xlfn.BITRSHIFT(HEX2DEC(MID('paste from garc here'!$C$1,1+(('table for research'!$B220-1)*36+HEX2DEC(9))*2,2)&amp;MID('paste from garc here'!$C$1,1+(('table for research'!$B220-1)*36+HEX2DEC(8))*2,2)),11),2)</f>
        <v>00</v>
      </c>
      <c r="P220" t="str">
        <f>MID('paste from garc here'!$C$1,1+(('table for research'!$B220-1)*36+HEX2DEC('table for research'!P$1))*2,2)</f>
        <v>00</v>
      </c>
      <c r="Q220" t="str">
        <f>MID('paste from garc here'!$C$1,1+(('table for research'!$B220-1)*36+HEX2DEC('table for research'!Q$1))*2,2)</f>
        <v>00</v>
      </c>
      <c r="R220" t="str">
        <f>MID('paste from garc here'!$C$1,1+(('table for research'!$B220-1)*36+HEX2DEC('table for research'!R$1))*2,2)</f>
        <v>00</v>
      </c>
      <c r="S220" t="str">
        <f>MID('paste from garc here'!$C$1,1+(('table for research'!$B220-1)*36+HEX2DEC('table for research'!S$1))*2,2)</f>
        <v>01</v>
      </c>
      <c r="T220" t="str">
        <f>MID('paste from garc here'!$C$1,1+(('table for research'!$B220-1)*36+HEX2DEC('table for research'!T$1))*2,2)</f>
        <v>00</v>
      </c>
      <c r="U220" t="str">
        <f>MID('paste from garc here'!$C$1,1+(('table for research'!$B220-1)*36+HEX2DEC('table for research'!U$1))*2,2)</f>
        <v>27</v>
      </c>
      <c r="V220" t="str">
        <f>MID('paste from garc here'!$C$1,1+(('table for research'!$B220-1)*36+HEX2DEC('table for research'!V$1))*2,2)</f>
        <v>00</v>
      </c>
      <c r="W220" t="str">
        <f>MID('paste from garc here'!$C$1,1+(('table for research'!$B220-1)*36+HEX2DEC('table for research'!W$1))*2,2)</f>
        <v>00</v>
      </c>
      <c r="X220" t="str">
        <f>MID('paste from garc here'!$C$1,1+(('table for research'!$B220-1)*36+HEX2DEC('table for research'!X$1))*2,2)</f>
        <v>00</v>
      </c>
      <c r="Y220" t="str">
        <f>MID('paste from garc here'!$C$1,1+(('table for research'!$B220-1)*36+HEX2DEC('table for research'!Y$1))*2,2)</f>
        <v>00</v>
      </c>
      <c r="Z220" t="str">
        <f>MID('paste from garc here'!$C$1,1+(('table for research'!$B220-1)*36+HEX2DEC('table for research'!Z$1))*2,2)</f>
        <v>00</v>
      </c>
      <c r="AA220" t="str">
        <f>MID('paste from garc here'!$C$1,1+(('table for research'!$B220-1)*36+HEX2DEC('table for research'!AA$1))*2,2)</f>
        <v>00</v>
      </c>
      <c r="AB220" t="str">
        <f>MID('paste from garc here'!$C$1,1+(('table for research'!$B220-1)*36+HEX2DEC('table for research'!AB$1))*2,2)</f>
        <v>00</v>
      </c>
      <c r="AC220" t="str">
        <f>MID('paste from garc here'!$C$1,1+(('table for research'!$B220-1)*36+HEX2DEC('table for research'!AC$1))*2,2)</f>
        <v>00</v>
      </c>
      <c r="AD220" t="str">
        <f>MID('paste from garc here'!$C$1,1+(('table for research'!$B220-1)*36+HEX2DEC('table for research'!AD$1))*2,2)</f>
        <v>00</v>
      </c>
      <c r="AE220" t="str">
        <f>MID('paste from garc here'!$C$1,1+(('table for research'!$B220-1)*36+HEX2DEC('table for research'!AE$1))*2,2)</f>
        <v>00</v>
      </c>
      <c r="AF220" t="str">
        <f>MID('paste from garc here'!$C$1,1+(('table for research'!$B220-1)*36+HEX2DEC('table for research'!AF$1))*2,2)</f>
        <v>00</v>
      </c>
      <c r="AG220" t="str">
        <f>MID('paste from garc here'!$C$1,1+(('table for research'!$B220-1)*36+HEX2DEC('table for research'!AG$1))*2,2)</f>
        <v>00</v>
      </c>
      <c r="AH220" t="str">
        <f>MID('paste from garc here'!$C$1,1+(('table for research'!$B220-1)*36+HEX2DEC('table for research'!AH$1))*2,2)</f>
        <v>00</v>
      </c>
      <c r="AI220" t="str">
        <f>MID('paste from garc here'!$C$1,1+(('table for research'!$B220-1)*36+HEX2DEC('table for research'!AI$1))*2,2)</f>
        <v>00</v>
      </c>
      <c r="AJ220" t="str">
        <f>MID('paste from garc here'!$C$1,1+(('table for research'!$B220-1)*36+HEX2DEC('table for research'!AJ$1))*2,2)</f>
        <v>00</v>
      </c>
      <c r="AK220" t="str">
        <f>MID('paste from garc here'!$C$1,1+(('table for research'!$B220-1)*36+HEX2DEC('table for research'!AK$1))*2,2)</f>
        <v>00</v>
      </c>
      <c r="AL220" t="str">
        <f>MID('paste from garc here'!$C$1,1+(('table for research'!$B220-1)*36+HEX2DEC('table for research'!AL$1))*2,2)</f>
        <v>00</v>
      </c>
      <c r="AM220" t="str">
        <f>MID('paste from garc here'!$C$1,1+(('table for research'!$B220-1)*36+HEX2DEC('table for research'!AM$1))*2,2)</f>
        <v>00</v>
      </c>
      <c r="AN220" t="str">
        <f>MID('paste from garc here'!$C$1,1+(('table for research'!$B220-1)*36+HEX2DEC('table for research'!AN$1))*2,2)</f>
        <v>00</v>
      </c>
      <c r="AO220" t="str">
        <f>MID('paste from garc here'!$C$1,1+(('table for research'!$B220-1)*36+HEX2DEC('table for research'!AO$1))*2,2)</f>
        <v>00</v>
      </c>
    </row>
    <row r="221" spans="1:41" x14ac:dyDescent="0.4">
      <c r="A221" t="s">
        <v>224</v>
      </c>
      <c r="B221">
        <f>B220+1</f>
        <v>219</v>
      </c>
      <c r="C221" t="str">
        <f>MID('paste from garc here'!$C$1,1+(('table for research'!$B221-1)*36+HEX2DEC('table for research'!C$1))*2,2)</f>
        <v>78</v>
      </c>
      <c r="D221" t="str">
        <f>MID('paste from garc here'!$C$1,1+(('table for research'!$B221-1)*36+HEX2DEC('table for research'!D$1))*2,2)</f>
        <v>00</v>
      </c>
      <c r="E221" t="str">
        <f>MID('paste from garc here'!$C$1,1+(('table for research'!$B221-1)*36+HEX2DEC('table for research'!E$1))*2,2)</f>
        <v>35</v>
      </c>
      <c r="F221" t="str">
        <f>MID('paste from garc here'!$C$1,1+(('table for research'!$B221-1)*36+HEX2DEC('table for research'!F$1))*2,2)</f>
        <v>00</v>
      </c>
      <c r="G221" t="str">
        <f>MID('paste from garc here'!$C$1,1+(('table for research'!$B221-1)*36+HEX2DEC('table for research'!G$1))*2,2)</f>
        <v>00</v>
      </c>
      <c r="H221" t="str">
        <f>MID('paste from garc here'!$C$1,1+(('table for research'!$B221-1)*36+HEX2DEC('table for research'!H$1))*2,2)</f>
        <v>19</v>
      </c>
      <c r="I221" t="str">
        <f>MID('paste from garc here'!$C$1,1+(('table for research'!$B221-1)*36+HEX2DEC('table for research'!I$1))*2,2)</f>
        <v>0A</v>
      </c>
      <c r="J221" t="str">
        <f>MID('paste from garc here'!$C$1,1+(('table for research'!$B221-1)*36+HEX2DEC('table for research'!J$1))*2,2)</f>
        <v>00</v>
      </c>
      <c r="K221" t="str">
        <f>DEC2HEX(_xlfn.BITAND(HEX2DEC(MID('paste from garc here'!$C$1,1+(('table for research'!$B221-1)*36+HEX2DEC(8))*2,2)),31),2)</f>
        <v>1F</v>
      </c>
      <c r="L221" t="str">
        <f>DEC2HEX(_xlfn.BITAND(HEX2DEC(MID('paste from garc here'!$C$1,1+(('table for research'!$B221-1)*36+HEX2DEC(8))*2,2)),32),2)</f>
        <v>00</v>
      </c>
      <c r="M221" t="str">
        <f>DEC2HEX(_xlfn.BITAND(HEX2DEC(MID('paste from garc here'!$C$1,1+(('table for research'!$B221-1)*36+HEX2DEC(8))*2,2)),64),2)</f>
        <v>00</v>
      </c>
      <c r="N221" t="str">
        <f>DEC2HEX(_xlfn.BITRSHIFT(_xlfn.BITAND(HEX2DEC(MID('paste from garc here'!$C$1,1+(('table for research'!$B221-1)*36+HEX2DEC(9))*2,2)&amp;MID('paste from garc here'!$C$1,1+(('table for research'!$B221-1)*36+HEX2DEC(8))*2,2)),1920),7),2)</f>
        <v>00</v>
      </c>
      <c r="O221" t="str">
        <f>DEC2HEX(_xlfn.BITRSHIFT(HEX2DEC(MID('paste from garc here'!$C$1,1+(('table for research'!$B221-1)*36+HEX2DEC(9))*2,2)&amp;MID('paste from garc here'!$C$1,1+(('table for research'!$B221-1)*36+HEX2DEC(8))*2,2)),11),2)</f>
        <v>00</v>
      </c>
      <c r="P221" t="str">
        <f>MID('paste from garc here'!$C$1,1+(('table for research'!$B221-1)*36+HEX2DEC('table for research'!P$1))*2,2)</f>
        <v>00</v>
      </c>
      <c r="Q221" t="str">
        <f>MID('paste from garc here'!$C$1,1+(('table for research'!$B221-1)*36+HEX2DEC('table for research'!Q$1))*2,2)</f>
        <v>00</v>
      </c>
      <c r="R221" t="str">
        <f>MID('paste from garc here'!$C$1,1+(('table for research'!$B221-1)*36+HEX2DEC('table for research'!R$1))*2,2)</f>
        <v>00</v>
      </c>
      <c r="S221" t="str">
        <f>MID('paste from garc here'!$C$1,1+(('table for research'!$B221-1)*36+HEX2DEC('table for research'!S$1))*2,2)</f>
        <v>01</v>
      </c>
      <c r="T221" t="str">
        <f>MID('paste from garc here'!$C$1,1+(('table for research'!$B221-1)*36+HEX2DEC('table for research'!T$1))*2,2)</f>
        <v>01</v>
      </c>
      <c r="U221" t="str">
        <f>MID('paste from garc here'!$C$1,1+(('table for research'!$B221-1)*36+HEX2DEC('table for research'!U$1))*2,2)</f>
        <v>25</v>
      </c>
      <c r="V221" t="str">
        <f>MID('paste from garc here'!$C$1,1+(('table for research'!$B221-1)*36+HEX2DEC('table for research'!V$1))*2,2)</f>
        <v>00</v>
      </c>
      <c r="W221" t="str">
        <f>MID('paste from garc here'!$C$1,1+(('table for research'!$B221-1)*36+HEX2DEC('table for research'!W$1))*2,2)</f>
        <v>00</v>
      </c>
      <c r="X221" t="str">
        <f>MID('paste from garc here'!$C$1,1+(('table for research'!$B221-1)*36+HEX2DEC('table for research'!X$1))*2,2)</f>
        <v>00</v>
      </c>
      <c r="Y221" t="str">
        <f>MID('paste from garc here'!$C$1,1+(('table for research'!$B221-1)*36+HEX2DEC('table for research'!Y$1))*2,2)</f>
        <v>00</v>
      </c>
      <c r="Z221" t="str">
        <f>MID('paste from garc here'!$C$1,1+(('table for research'!$B221-1)*36+HEX2DEC('table for research'!Z$1))*2,2)</f>
        <v>00</v>
      </c>
      <c r="AA221" t="str">
        <f>MID('paste from garc here'!$C$1,1+(('table for research'!$B221-1)*36+HEX2DEC('table for research'!AA$1))*2,2)</f>
        <v>00</v>
      </c>
      <c r="AB221" t="str">
        <f>MID('paste from garc here'!$C$1,1+(('table for research'!$B221-1)*36+HEX2DEC('table for research'!AB$1))*2,2)</f>
        <v>00</v>
      </c>
      <c r="AC221" t="str">
        <f>MID('paste from garc here'!$C$1,1+(('table for research'!$B221-1)*36+HEX2DEC('table for research'!AC$1))*2,2)</f>
        <v>00</v>
      </c>
      <c r="AD221" t="str">
        <f>MID('paste from garc here'!$C$1,1+(('table for research'!$B221-1)*36+HEX2DEC('table for research'!AD$1))*2,2)</f>
        <v>00</v>
      </c>
      <c r="AE221" t="str">
        <f>MID('paste from garc here'!$C$1,1+(('table for research'!$B221-1)*36+HEX2DEC('table for research'!AE$1))*2,2)</f>
        <v>00</v>
      </c>
      <c r="AF221" t="str">
        <f>MID('paste from garc here'!$C$1,1+(('table for research'!$B221-1)*36+HEX2DEC('table for research'!AF$1))*2,2)</f>
        <v>00</v>
      </c>
      <c r="AG221" t="str">
        <f>MID('paste from garc here'!$C$1,1+(('table for research'!$B221-1)*36+HEX2DEC('table for research'!AG$1))*2,2)</f>
        <v>00</v>
      </c>
      <c r="AH221" t="str">
        <f>MID('paste from garc here'!$C$1,1+(('table for research'!$B221-1)*36+HEX2DEC('table for research'!AH$1))*2,2)</f>
        <v>00</v>
      </c>
      <c r="AI221" t="str">
        <f>MID('paste from garc here'!$C$1,1+(('table for research'!$B221-1)*36+HEX2DEC('table for research'!AI$1))*2,2)</f>
        <v>00</v>
      </c>
      <c r="AJ221" t="str">
        <f>MID('paste from garc here'!$C$1,1+(('table for research'!$B221-1)*36+HEX2DEC('table for research'!AJ$1))*2,2)</f>
        <v>00</v>
      </c>
      <c r="AK221" t="str">
        <f>MID('paste from garc here'!$C$1,1+(('table for research'!$B221-1)*36+HEX2DEC('table for research'!AK$1))*2,2)</f>
        <v>00</v>
      </c>
      <c r="AL221" t="str">
        <f>MID('paste from garc here'!$C$1,1+(('table for research'!$B221-1)*36+HEX2DEC('table for research'!AL$1))*2,2)</f>
        <v>00</v>
      </c>
      <c r="AM221" t="str">
        <f>MID('paste from garc here'!$C$1,1+(('table for research'!$B221-1)*36+HEX2DEC('table for research'!AM$1))*2,2)</f>
        <v>00</v>
      </c>
      <c r="AN221" t="str">
        <f>MID('paste from garc here'!$C$1,1+(('table for research'!$B221-1)*36+HEX2DEC('table for research'!AN$1))*2,2)</f>
        <v>00</v>
      </c>
      <c r="AO221" t="str">
        <f>MID('paste from garc here'!$C$1,1+(('table for research'!$B221-1)*36+HEX2DEC('table for research'!AO$1))*2,2)</f>
        <v>00</v>
      </c>
    </row>
    <row r="222" spans="1:41" x14ac:dyDescent="0.4">
      <c r="A222" t="s">
        <v>225</v>
      </c>
      <c r="B222">
        <f>B221+1</f>
        <v>220</v>
      </c>
      <c r="C222" t="str">
        <f>MID('paste from garc here'!$C$1,1+(('table for research'!$B222-1)*36+HEX2DEC('table for research'!C$1))*2,2)</f>
        <v>94</v>
      </c>
      <c r="D222" t="str">
        <f>MID('paste from garc here'!$C$1,1+(('table for research'!$B222-1)*36+HEX2DEC('table for research'!D$1))*2,2)</f>
        <v>11</v>
      </c>
      <c r="E222" t="str">
        <f>MID('paste from garc here'!$C$1,1+(('table for research'!$B222-1)*36+HEX2DEC('table for research'!E$1))*2,2)</f>
        <v>36</v>
      </c>
      <c r="F222" t="str">
        <f>MID('paste from garc here'!$C$1,1+(('table for research'!$B222-1)*36+HEX2DEC('table for research'!F$1))*2,2)</f>
        <v>00</v>
      </c>
      <c r="G222" t="str">
        <f>MID('paste from garc here'!$C$1,1+(('table for research'!$B222-1)*36+HEX2DEC('table for research'!G$1))*2,2)</f>
        <v>00</v>
      </c>
      <c r="H222" t="str">
        <f>MID('paste from garc here'!$C$1,1+(('table for research'!$B222-1)*36+HEX2DEC('table for research'!H$1))*2,2)</f>
        <v>00</v>
      </c>
      <c r="I222" t="str">
        <f>MID('paste from garc here'!$C$1,1+(('table for research'!$B222-1)*36+HEX2DEC('table for research'!I$1))*2,2)</f>
        <v>0A</v>
      </c>
      <c r="J222" t="str">
        <f>MID('paste from garc here'!$C$1,1+(('table for research'!$B222-1)*36+HEX2DEC('table for research'!J$1))*2,2)</f>
        <v>00</v>
      </c>
      <c r="K222" t="str">
        <f>DEC2HEX(_xlfn.BITAND(HEX2DEC(MID('paste from garc here'!$C$1,1+(('table for research'!$B222-1)*36+HEX2DEC(8))*2,2)),31),2)</f>
        <v>1F</v>
      </c>
      <c r="L222" t="str">
        <f>DEC2HEX(_xlfn.BITAND(HEX2DEC(MID('paste from garc here'!$C$1,1+(('table for research'!$B222-1)*36+HEX2DEC(8))*2,2)),32),2)</f>
        <v>00</v>
      </c>
      <c r="M222" t="str">
        <f>DEC2HEX(_xlfn.BITAND(HEX2DEC(MID('paste from garc here'!$C$1,1+(('table for research'!$B222-1)*36+HEX2DEC(8))*2,2)),64),2)</f>
        <v>00</v>
      </c>
      <c r="N222" t="str">
        <f>DEC2HEX(_xlfn.BITRSHIFT(_xlfn.BITAND(HEX2DEC(MID('paste from garc here'!$C$1,1+(('table for research'!$B222-1)*36+HEX2DEC(9))*2,2)&amp;MID('paste from garc here'!$C$1,1+(('table for research'!$B222-1)*36+HEX2DEC(8))*2,2)),1920),7),2)</f>
        <v>00</v>
      </c>
      <c r="O222" t="str">
        <f>DEC2HEX(_xlfn.BITRSHIFT(HEX2DEC(MID('paste from garc here'!$C$1,1+(('table for research'!$B222-1)*36+HEX2DEC(9))*2,2)&amp;MID('paste from garc here'!$C$1,1+(('table for research'!$B222-1)*36+HEX2DEC(8))*2,2)),11),2)</f>
        <v>00</v>
      </c>
      <c r="P222" t="str">
        <f>MID('paste from garc here'!$C$1,1+(('table for research'!$B222-1)*36+HEX2DEC('table for research'!P$1))*2,2)</f>
        <v>00</v>
      </c>
      <c r="Q222" t="str">
        <f>MID('paste from garc here'!$C$1,1+(('table for research'!$B222-1)*36+HEX2DEC('table for research'!Q$1))*2,2)</f>
        <v>00</v>
      </c>
      <c r="R222" t="str">
        <f>MID('paste from garc here'!$C$1,1+(('table for research'!$B222-1)*36+HEX2DEC('table for research'!R$1))*2,2)</f>
        <v>00</v>
      </c>
      <c r="S222" t="str">
        <f>MID('paste from garc here'!$C$1,1+(('table for research'!$B222-1)*36+HEX2DEC('table for research'!S$1))*2,2)</f>
        <v>01</v>
      </c>
      <c r="T222" t="str">
        <f>MID('paste from garc here'!$C$1,1+(('table for research'!$B222-1)*36+HEX2DEC('table for research'!T$1))*2,2)</f>
        <v>00</v>
      </c>
      <c r="U222" t="str">
        <f>MID('paste from garc here'!$C$1,1+(('table for research'!$B222-1)*36+HEX2DEC('table for research'!U$1))*2,2)</f>
        <v>07</v>
      </c>
      <c r="V222" t="str">
        <f>MID('paste from garc here'!$C$1,1+(('table for research'!$B222-1)*36+HEX2DEC('table for research'!V$1))*2,2)</f>
        <v>00</v>
      </c>
      <c r="W222" t="str">
        <f>MID('paste from garc here'!$C$1,1+(('table for research'!$B222-1)*36+HEX2DEC('table for research'!W$1))*2,2)</f>
        <v>00</v>
      </c>
      <c r="X222" t="str">
        <f>MID('paste from garc here'!$C$1,1+(('table for research'!$B222-1)*36+HEX2DEC('table for research'!X$1))*2,2)</f>
        <v>00</v>
      </c>
      <c r="Y222" t="str">
        <f>MID('paste from garc here'!$C$1,1+(('table for research'!$B222-1)*36+HEX2DEC('table for research'!Y$1))*2,2)</f>
        <v>00</v>
      </c>
      <c r="Z222" t="str">
        <f>MID('paste from garc here'!$C$1,1+(('table for research'!$B222-1)*36+HEX2DEC('table for research'!Z$1))*2,2)</f>
        <v>00</v>
      </c>
      <c r="AA222" t="str">
        <f>MID('paste from garc here'!$C$1,1+(('table for research'!$B222-1)*36+HEX2DEC('table for research'!AA$1))*2,2)</f>
        <v>00</v>
      </c>
      <c r="AB222" t="str">
        <f>MID('paste from garc here'!$C$1,1+(('table for research'!$B222-1)*36+HEX2DEC('table for research'!AB$1))*2,2)</f>
        <v>00</v>
      </c>
      <c r="AC222" t="str">
        <f>MID('paste from garc here'!$C$1,1+(('table for research'!$B222-1)*36+HEX2DEC('table for research'!AC$1))*2,2)</f>
        <v>00</v>
      </c>
      <c r="AD222" t="str">
        <f>MID('paste from garc here'!$C$1,1+(('table for research'!$B222-1)*36+HEX2DEC('table for research'!AD$1))*2,2)</f>
        <v>00</v>
      </c>
      <c r="AE222" t="str">
        <f>MID('paste from garc here'!$C$1,1+(('table for research'!$B222-1)*36+HEX2DEC('table for research'!AE$1))*2,2)</f>
        <v>00</v>
      </c>
      <c r="AF222" t="str">
        <f>MID('paste from garc here'!$C$1,1+(('table for research'!$B222-1)*36+HEX2DEC('table for research'!AF$1))*2,2)</f>
        <v>00</v>
      </c>
      <c r="AG222" t="str">
        <f>MID('paste from garc here'!$C$1,1+(('table for research'!$B222-1)*36+HEX2DEC('table for research'!AG$1))*2,2)</f>
        <v>00</v>
      </c>
      <c r="AH222" t="str">
        <f>MID('paste from garc here'!$C$1,1+(('table for research'!$B222-1)*36+HEX2DEC('table for research'!AH$1))*2,2)</f>
        <v>00</v>
      </c>
      <c r="AI222" t="str">
        <f>MID('paste from garc here'!$C$1,1+(('table for research'!$B222-1)*36+HEX2DEC('table for research'!AI$1))*2,2)</f>
        <v>00</v>
      </c>
      <c r="AJ222" t="str">
        <f>MID('paste from garc here'!$C$1,1+(('table for research'!$B222-1)*36+HEX2DEC('table for research'!AJ$1))*2,2)</f>
        <v>00</v>
      </c>
      <c r="AK222" t="str">
        <f>MID('paste from garc here'!$C$1,1+(('table for research'!$B222-1)*36+HEX2DEC('table for research'!AK$1))*2,2)</f>
        <v>00</v>
      </c>
      <c r="AL222" t="str">
        <f>MID('paste from garc here'!$C$1,1+(('table for research'!$B222-1)*36+HEX2DEC('table for research'!AL$1))*2,2)</f>
        <v>00</v>
      </c>
      <c r="AM222" t="str">
        <f>MID('paste from garc here'!$C$1,1+(('table for research'!$B222-1)*36+HEX2DEC('table for research'!AM$1))*2,2)</f>
        <v>00</v>
      </c>
      <c r="AN222" t="str">
        <f>MID('paste from garc here'!$C$1,1+(('table for research'!$B222-1)*36+HEX2DEC('table for research'!AN$1))*2,2)</f>
        <v>00</v>
      </c>
      <c r="AO222" t="str">
        <f>MID('paste from garc here'!$C$1,1+(('table for research'!$B222-1)*36+HEX2DEC('table for research'!AO$1))*2,2)</f>
        <v>00</v>
      </c>
    </row>
    <row r="223" spans="1:41" x14ac:dyDescent="0.4">
      <c r="A223" t="s">
        <v>226</v>
      </c>
      <c r="B223">
        <f>B222+1</f>
        <v>221</v>
      </c>
      <c r="C223" t="str">
        <f>MID('paste from garc here'!$C$1,1+(('table for research'!$B223-1)*36+HEX2DEC('table for research'!C$1))*2,2)</f>
        <v>2C</v>
      </c>
      <c r="D223" t="str">
        <f>MID('paste from garc here'!$C$1,1+(('table for research'!$B223-1)*36+HEX2DEC('table for research'!D$1))*2,2)</f>
        <v>01</v>
      </c>
      <c r="E223" t="str">
        <f>MID('paste from garc here'!$C$1,1+(('table for research'!$B223-1)*36+HEX2DEC('table for research'!E$1))*2,2)</f>
        <v>37</v>
      </c>
      <c r="F223" t="str">
        <f>MID('paste from garc here'!$C$1,1+(('table for research'!$B223-1)*36+HEX2DEC('table for research'!F$1))*2,2)</f>
        <v>0A</v>
      </c>
      <c r="G223" t="str">
        <f>MID('paste from garc here'!$C$1,1+(('table for research'!$B223-1)*36+HEX2DEC('table for research'!G$1))*2,2)</f>
        <v>00</v>
      </c>
      <c r="H223" t="str">
        <f>MID('paste from garc here'!$C$1,1+(('table for research'!$B223-1)*36+HEX2DEC('table for research'!H$1))*2,2)</f>
        <v>1A</v>
      </c>
      <c r="I223" t="str">
        <f>MID('paste from garc here'!$C$1,1+(('table for research'!$B223-1)*36+HEX2DEC('table for research'!I$1))*2,2)</f>
        <v>1E</v>
      </c>
      <c r="J223" t="str">
        <f>MID('paste from garc here'!$C$1,1+(('table for research'!$B223-1)*36+HEX2DEC('table for research'!J$1))*2,2)</f>
        <v>00</v>
      </c>
      <c r="K223" t="str">
        <f>DEC2HEX(_xlfn.BITAND(HEX2DEC(MID('paste from garc here'!$C$1,1+(('table for research'!$B223-1)*36+HEX2DEC(8))*2,2)),31),2)</f>
        <v>1F</v>
      </c>
      <c r="L223" t="str">
        <f>DEC2HEX(_xlfn.BITAND(HEX2DEC(MID('paste from garc here'!$C$1,1+(('table for research'!$B223-1)*36+HEX2DEC(8))*2,2)),32),2)</f>
        <v>00</v>
      </c>
      <c r="M223" t="str">
        <f>DEC2HEX(_xlfn.BITAND(HEX2DEC(MID('paste from garc here'!$C$1,1+(('table for research'!$B223-1)*36+HEX2DEC(8))*2,2)),64),2)</f>
        <v>00</v>
      </c>
      <c r="N223" t="str">
        <f>DEC2HEX(_xlfn.BITRSHIFT(_xlfn.BITAND(HEX2DEC(MID('paste from garc here'!$C$1,1+(('table for research'!$B223-1)*36+HEX2DEC(9))*2,2)&amp;MID('paste from garc here'!$C$1,1+(('table for research'!$B223-1)*36+HEX2DEC(8))*2,2)),1920),7),2)</f>
        <v>00</v>
      </c>
      <c r="O223" t="str">
        <f>DEC2HEX(_xlfn.BITRSHIFT(HEX2DEC(MID('paste from garc here'!$C$1,1+(('table for research'!$B223-1)*36+HEX2DEC(9))*2,2)&amp;MID('paste from garc here'!$C$1,1+(('table for research'!$B223-1)*36+HEX2DEC(8))*2,2)),11),2)</f>
        <v>00</v>
      </c>
      <c r="P223" t="str">
        <f>MID('paste from garc here'!$C$1,1+(('table for research'!$B223-1)*36+HEX2DEC('table for research'!P$1))*2,2)</f>
        <v>06</v>
      </c>
      <c r="Q223" t="str">
        <f>MID('paste from garc here'!$C$1,1+(('table for research'!$B223-1)*36+HEX2DEC('table for research'!Q$1))*2,2)</f>
        <v>00</v>
      </c>
      <c r="R223" t="str">
        <f>MID('paste from garc here'!$C$1,1+(('table for research'!$B223-1)*36+HEX2DEC('table for research'!R$1))*2,2)</f>
        <v>01</v>
      </c>
      <c r="S223" t="str">
        <f>MID('paste from garc here'!$C$1,1+(('table for research'!$B223-1)*36+HEX2DEC('table for research'!S$1))*2,2)</f>
        <v>02</v>
      </c>
      <c r="T223" t="str">
        <f>MID('paste from garc here'!$C$1,1+(('table for research'!$B223-1)*36+HEX2DEC('table for research'!T$1))*2,2)</f>
        <v>00</v>
      </c>
      <c r="U223" t="str">
        <f>MID('paste from garc here'!$C$1,1+(('table for research'!$B223-1)*36+HEX2DEC('table for research'!U$1))*2,2)</f>
        <v>49</v>
      </c>
      <c r="V223" t="str">
        <f>MID('paste from garc here'!$C$1,1+(('table for research'!$B223-1)*36+HEX2DEC('table for research'!V$1))*2,2)</f>
        <v>00</v>
      </c>
      <c r="W223" t="str">
        <f>MID('paste from garc here'!$C$1,1+(('table for research'!$B223-1)*36+HEX2DEC('table for research'!W$1))*2,2)</f>
        <v>08</v>
      </c>
      <c r="X223" t="str">
        <f>MID('paste from garc here'!$C$1,1+(('table for research'!$B223-1)*36+HEX2DEC('table for research'!X$1))*2,2)</f>
        <v>00</v>
      </c>
      <c r="Y223" t="str">
        <f>MID('paste from garc here'!$C$1,1+(('table for research'!$B223-1)*36+HEX2DEC('table for research'!Y$1))*2,2)</f>
        <v>00</v>
      </c>
      <c r="Z223" t="str">
        <f>MID('paste from garc here'!$C$1,1+(('table for research'!$B223-1)*36+HEX2DEC('table for research'!Z$1))*2,2)</f>
        <v>00</v>
      </c>
      <c r="AA223" t="str">
        <f>MID('paste from garc here'!$C$1,1+(('table for research'!$B223-1)*36+HEX2DEC('table for research'!AA$1))*2,2)</f>
        <v>00</v>
      </c>
      <c r="AB223" t="str">
        <f>MID('paste from garc here'!$C$1,1+(('table for research'!$B223-1)*36+HEX2DEC('table for research'!AB$1))*2,2)</f>
        <v>00</v>
      </c>
      <c r="AC223" t="str">
        <f>MID('paste from garc here'!$C$1,1+(('table for research'!$B223-1)*36+HEX2DEC('table for research'!AC$1))*2,2)</f>
        <v>00</v>
      </c>
      <c r="AD223" t="str">
        <f>MID('paste from garc here'!$C$1,1+(('table for research'!$B223-1)*36+HEX2DEC('table for research'!AD$1))*2,2)</f>
        <v>00</v>
      </c>
      <c r="AE223" t="str">
        <f>MID('paste from garc here'!$C$1,1+(('table for research'!$B223-1)*36+HEX2DEC('table for research'!AE$1))*2,2)</f>
        <v>00</v>
      </c>
      <c r="AF223" t="str">
        <f>MID('paste from garc here'!$C$1,1+(('table for research'!$B223-1)*36+HEX2DEC('table for research'!AF$1))*2,2)</f>
        <v>00</v>
      </c>
      <c r="AG223" t="str">
        <f>MID('paste from garc here'!$C$1,1+(('table for research'!$B223-1)*36+HEX2DEC('table for research'!AG$1))*2,2)</f>
        <v>00</v>
      </c>
      <c r="AH223" t="str">
        <f>MID('paste from garc here'!$C$1,1+(('table for research'!$B223-1)*36+HEX2DEC('table for research'!AH$1))*2,2)</f>
        <v>00</v>
      </c>
      <c r="AI223" t="str">
        <f>MID('paste from garc here'!$C$1,1+(('table for research'!$B223-1)*36+HEX2DEC('table for research'!AI$1))*2,2)</f>
        <v>00</v>
      </c>
      <c r="AJ223" t="str">
        <f>MID('paste from garc here'!$C$1,1+(('table for research'!$B223-1)*36+HEX2DEC('table for research'!AJ$1))*2,2)</f>
        <v>00</v>
      </c>
      <c r="AK223" t="str">
        <f>MID('paste from garc here'!$C$1,1+(('table for research'!$B223-1)*36+HEX2DEC('table for research'!AK$1))*2,2)</f>
        <v>00</v>
      </c>
      <c r="AL223" t="str">
        <f>MID('paste from garc here'!$C$1,1+(('table for research'!$B223-1)*36+HEX2DEC('table for research'!AL$1))*2,2)</f>
        <v>00</v>
      </c>
      <c r="AM223" t="str">
        <f>MID('paste from garc here'!$C$1,1+(('table for research'!$B223-1)*36+HEX2DEC('table for research'!AM$1))*2,2)</f>
        <v>00</v>
      </c>
      <c r="AN223" t="str">
        <f>MID('paste from garc here'!$C$1,1+(('table for research'!$B223-1)*36+HEX2DEC('table for research'!AN$1))*2,2)</f>
        <v>00</v>
      </c>
      <c r="AO223" t="str">
        <f>MID('paste from garc here'!$C$1,1+(('table for research'!$B223-1)*36+HEX2DEC('table for research'!AO$1))*2,2)</f>
        <v>00</v>
      </c>
    </row>
    <row r="224" spans="1:41" x14ac:dyDescent="0.4">
      <c r="A224" t="s">
        <v>227</v>
      </c>
      <c r="B224">
        <f>B223+1</f>
        <v>222</v>
      </c>
      <c r="C224" t="str">
        <f>MID('paste from garc here'!$C$1,1+(('table for research'!$B224-1)*36+HEX2DEC('table for research'!C$1))*2,2)</f>
        <v>64</v>
      </c>
      <c r="D224" t="str">
        <f>MID('paste from garc here'!$C$1,1+(('table for research'!$B224-1)*36+HEX2DEC('table for research'!D$1))*2,2)</f>
        <v>00</v>
      </c>
      <c r="E224" t="str">
        <f>MID('paste from garc here'!$C$1,1+(('table for research'!$B224-1)*36+HEX2DEC('table for research'!E$1))*2,2)</f>
        <v>38</v>
      </c>
      <c r="F224" t="str">
        <f>MID('paste from garc here'!$C$1,1+(('table for research'!$B224-1)*36+HEX2DEC('table for research'!F$1))*2,2)</f>
        <v>14</v>
      </c>
      <c r="G224" t="str">
        <f>MID('paste from garc here'!$C$1,1+(('table for research'!$B224-1)*36+HEX2DEC('table for research'!G$1))*2,2)</f>
        <v>00</v>
      </c>
      <c r="H224" t="str">
        <f>MID('paste from garc here'!$C$1,1+(('table for research'!$B224-1)*36+HEX2DEC('table for research'!H$1))*2,2)</f>
        <v>00</v>
      </c>
      <c r="I224" t="str">
        <f>MID('paste from garc here'!$C$1,1+(('table for research'!$B224-1)*36+HEX2DEC('table for research'!I$1))*2,2)</f>
        <v>0A</v>
      </c>
      <c r="J224" t="str">
        <f>MID('paste from garc here'!$C$1,1+(('table for research'!$B224-1)*36+HEX2DEC('table for research'!J$1))*2,2)</f>
        <v>00</v>
      </c>
      <c r="K224" t="str">
        <f>DEC2HEX(_xlfn.BITAND(HEX2DEC(MID('paste from garc here'!$C$1,1+(('table for research'!$B224-1)*36+HEX2DEC(8))*2,2)),31),2)</f>
        <v>1F</v>
      </c>
      <c r="L224" t="str">
        <f>DEC2HEX(_xlfn.BITAND(HEX2DEC(MID('paste from garc here'!$C$1,1+(('table for research'!$B224-1)*36+HEX2DEC(8))*2,2)),32),2)</f>
        <v>00</v>
      </c>
      <c r="M224" t="str">
        <f>DEC2HEX(_xlfn.BITAND(HEX2DEC(MID('paste from garc here'!$C$1,1+(('table for research'!$B224-1)*36+HEX2DEC(8))*2,2)),64),2)</f>
        <v>00</v>
      </c>
      <c r="N224" t="str">
        <f>DEC2HEX(_xlfn.BITRSHIFT(_xlfn.BITAND(HEX2DEC(MID('paste from garc here'!$C$1,1+(('table for research'!$B224-1)*36+HEX2DEC(9))*2,2)&amp;MID('paste from garc here'!$C$1,1+(('table for research'!$B224-1)*36+HEX2DEC(8))*2,2)),1920),7),2)</f>
        <v>00</v>
      </c>
      <c r="O224" t="str">
        <f>DEC2HEX(_xlfn.BITRSHIFT(HEX2DEC(MID('paste from garc here'!$C$1,1+(('table for research'!$B224-1)*36+HEX2DEC(9))*2,2)&amp;MID('paste from garc here'!$C$1,1+(('table for research'!$B224-1)*36+HEX2DEC(8))*2,2)),11),2)</f>
        <v>00</v>
      </c>
      <c r="P224" t="str">
        <f>MID('paste from garc here'!$C$1,1+(('table for research'!$B224-1)*36+HEX2DEC('table for research'!P$1))*2,2)</f>
        <v>00</v>
      </c>
      <c r="Q224" t="str">
        <f>MID('paste from garc here'!$C$1,1+(('table for research'!$B224-1)*36+HEX2DEC('table for research'!Q$1))*2,2)</f>
        <v>00</v>
      </c>
      <c r="R224" t="str">
        <f>MID('paste from garc here'!$C$1,1+(('table for research'!$B224-1)*36+HEX2DEC('table for research'!R$1))*2,2)</f>
        <v>00</v>
      </c>
      <c r="S224" t="str">
        <f>MID('paste from garc here'!$C$1,1+(('table for research'!$B224-1)*36+HEX2DEC('table for research'!S$1))*2,2)</f>
        <v>01</v>
      </c>
      <c r="T224" t="str">
        <f>MID('paste from garc here'!$C$1,1+(('table for research'!$B224-1)*36+HEX2DEC('table for research'!T$1))*2,2)</f>
        <v>00</v>
      </c>
      <c r="U224" t="str">
        <f>MID('paste from garc here'!$C$1,1+(('table for research'!$B224-1)*36+HEX2DEC('table for research'!U$1))*2,2)</f>
        <v>5F</v>
      </c>
      <c r="V224" t="str">
        <f>MID('paste from garc here'!$C$1,1+(('table for research'!$B224-1)*36+HEX2DEC('table for research'!V$1))*2,2)</f>
        <v>00</v>
      </c>
      <c r="W224" t="str">
        <f>MID('paste from garc here'!$C$1,1+(('table for research'!$B224-1)*36+HEX2DEC('table for research'!W$1))*2,2)</f>
        <v>00</v>
      </c>
      <c r="X224" t="str">
        <f>MID('paste from garc here'!$C$1,1+(('table for research'!$B224-1)*36+HEX2DEC('table for research'!X$1))*2,2)</f>
        <v>00</v>
      </c>
      <c r="Y224" t="str">
        <f>MID('paste from garc here'!$C$1,1+(('table for research'!$B224-1)*36+HEX2DEC('table for research'!Y$1))*2,2)</f>
        <v>00</v>
      </c>
      <c r="Z224" t="str">
        <f>MID('paste from garc here'!$C$1,1+(('table for research'!$B224-1)*36+HEX2DEC('table for research'!Z$1))*2,2)</f>
        <v>00</v>
      </c>
      <c r="AA224" t="str">
        <f>MID('paste from garc here'!$C$1,1+(('table for research'!$B224-1)*36+HEX2DEC('table for research'!AA$1))*2,2)</f>
        <v>00</v>
      </c>
      <c r="AB224" t="str">
        <f>MID('paste from garc here'!$C$1,1+(('table for research'!$B224-1)*36+HEX2DEC('table for research'!AB$1))*2,2)</f>
        <v>00</v>
      </c>
      <c r="AC224" t="str">
        <f>MID('paste from garc here'!$C$1,1+(('table for research'!$B224-1)*36+HEX2DEC('table for research'!AC$1))*2,2)</f>
        <v>00</v>
      </c>
      <c r="AD224" t="str">
        <f>MID('paste from garc here'!$C$1,1+(('table for research'!$B224-1)*36+HEX2DEC('table for research'!AD$1))*2,2)</f>
        <v>00</v>
      </c>
      <c r="AE224" t="str">
        <f>MID('paste from garc here'!$C$1,1+(('table for research'!$B224-1)*36+HEX2DEC('table for research'!AE$1))*2,2)</f>
        <v>00</v>
      </c>
      <c r="AF224" t="str">
        <f>MID('paste from garc here'!$C$1,1+(('table for research'!$B224-1)*36+HEX2DEC('table for research'!AF$1))*2,2)</f>
        <v>00</v>
      </c>
      <c r="AG224" t="str">
        <f>MID('paste from garc here'!$C$1,1+(('table for research'!$B224-1)*36+HEX2DEC('table for research'!AG$1))*2,2)</f>
        <v>00</v>
      </c>
      <c r="AH224" t="str">
        <f>MID('paste from garc here'!$C$1,1+(('table for research'!$B224-1)*36+HEX2DEC('table for research'!AH$1))*2,2)</f>
        <v>00</v>
      </c>
      <c r="AI224" t="str">
        <f>MID('paste from garc here'!$C$1,1+(('table for research'!$B224-1)*36+HEX2DEC('table for research'!AI$1))*2,2)</f>
        <v>00</v>
      </c>
      <c r="AJ224" t="str">
        <f>MID('paste from garc here'!$C$1,1+(('table for research'!$B224-1)*36+HEX2DEC('table for research'!AJ$1))*2,2)</f>
        <v>00</v>
      </c>
      <c r="AK224" t="str">
        <f>MID('paste from garc here'!$C$1,1+(('table for research'!$B224-1)*36+HEX2DEC('table for research'!AK$1))*2,2)</f>
        <v>00</v>
      </c>
      <c r="AL224" t="str">
        <f>MID('paste from garc here'!$C$1,1+(('table for research'!$B224-1)*36+HEX2DEC('table for research'!AL$1))*2,2)</f>
        <v>00</v>
      </c>
      <c r="AM224" t="str">
        <f>MID('paste from garc here'!$C$1,1+(('table for research'!$B224-1)*36+HEX2DEC('table for research'!AM$1))*2,2)</f>
        <v>00</v>
      </c>
      <c r="AN224" t="str">
        <f>MID('paste from garc here'!$C$1,1+(('table for research'!$B224-1)*36+HEX2DEC('table for research'!AN$1))*2,2)</f>
        <v>00</v>
      </c>
      <c r="AO224" t="str">
        <f>MID('paste from garc here'!$C$1,1+(('table for research'!$B224-1)*36+HEX2DEC('table for research'!AO$1))*2,2)</f>
        <v>00</v>
      </c>
    </row>
    <row r="225" spans="1:41" x14ac:dyDescent="0.4">
      <c r="A225" t="s">
        <v>228</v>
      </c>
      <c r="B225">
        <f>B224+1</f>
        <v>223</v>
      </c>
      <c r="C225" t="str">
        <f>MID('paste from garc here'!$C$1,1+(('table for research'!$B225-1)*36+HEX2DEC('table for research'!C$1))*2,2)</f>
        <v>E8</v>
      </c>
      <c r="D225" t="str">
        <f>MID('paste from garc here'!$C$1,1+(('table for research'!$B225-1)*36+HEX2DEC('table for research'!D$1))*2,2)</f>
        <v>03</v>
      </c>
      <c r="E225" t="str">
        <f>MID('paste from garc here'!$C$1,1+(('table for research'!$B225-1)*36+HEX2DEC('table for research'!E$1))*2,2)</f>
        <v>39</v>
      </c>
      <c r="F225" t="str">
        <f>MID('paste from garc here'!$C$1,1+(('table for research'!$B225-1)*36+HEX2DEC('table for research'!F$1))*2,2)</f>
        <v>0A</v>
      </c>
      <c r="G225" t="str">
        <f>MID('paste from garc here'!$C$1,1+(('table for research'!$B225-1)*36+HEX2DEC('table for research'!G$1))*2,2)</f>
        <v>00</v>
      </c>
      <c r="H225" t="str">
        <f>MID('paste from garc here'!$C$1,1+(('table for research'!$B225-1)*36+HEX2DEC('table for research'!H$1))*2,2)</f>
        <v>00</v>
      </c>
      <c r="I225" t="str">
        <f>MID('paste from garc here'!$C$1,1+(('table for research'!$B225-1)*36+HEX2DEC('table for research'!I$1))*2,2)</f>
        <v>1E</v>
      </c>
      <c r="J225" t="str">
        <f>MID('paste from garc here'!$C$1,1+(('table for research'!$B225-1)*36+HEX2DEC('table for research'!J$1))*2,2)</f>
        <v>00</v>
      </c>
      <c r="K225" t="str">
        <f>DEC2HEX(_xlfn.BITAND(HEX2DEC(MID('paste from garc here'!$C$1,1+(('table for research'!$B225-1)*36+HEX2DEC(8))*2,2)),31),2)</f>
        <v>1F</v>
      </c>
      <c r="L225" t="str">
        <f>DEC2HEX(_xlfn.BITAND(HEX2DEC(MID('paste from garc here'!$C$1,1+(('table for research'!$B225-1)*36+HEX2DEC(8))*2,2)),32),2)</f>
        <v>00</v>
      </c>
      <c r="M225" t="str">
        <f>DEC2HEX(_xlfn.BITAND(HEX2DEC(MID('paste from garc here'!$C$1,1+(('table for research'!$B225-1)*36+HEX2DEC(8))*2,2)),64),2)</f>
        <v>00</v>
      </c>
      <c r="N225" t="str">
        <f>DEC2HEX(_xlfn.BITRSHIFT(_xlfn.BITAND(HEX2DEC(MID('paste from garc here'!$C$1,1+(('table for research'!$B225-1)*36+HEX2DEC(9))*2,2)&amp;MID('paste from garc here'!$C$1,1+(('table for research'!$B225-1)*36+HEX2DEC(8))*2,2)),1920),7),2)</f>
        <v>00</v>
      </c>
      <c r="O225" t="str">
        <f>DEC2HEX(_xlfn.BITRSHIFT(HEX2DEC(MID('paste from garc here'!$C$1,1+(('table for research'!$B225-1)*36+HEX2DEC(9))*2,2)&amp;MID('paste from garc here'!$C$1,1+(('table for research'!$B225-1)*36+HEX2DEC(8))*2,2)),11),2)</f>
        <v>00</v>
      </c>
      <c r="P225" t="str">
        <f>MID('paste from garc here'!$C$1,1+(('table for research'!$B225-1)*36+HEX2DEC('table for research'!P$1))*2,2)</f>
        <v>00</v>
      </c>
      <c r="Q225" t="str">
        <f>MID('paste from garc here'!$C$1,1+(('table for research'!$B225-1)*36+HEX2DEC('table for research'!Q$1))*2,2)</f>
        <v>00</v>
      </c>
      <c r="R225" t="str">
        <f>MID('paste from garc here'!$C$1,1+(('table for research'!$B225-1)*36+HEX2DEC('table for research'!R$1))*2,2)</f>
        <v>00</v>
      </c>
      <c r="S225" t="str">
        <f>MID('paste from garc here'!$C$1,1+(('table for research'!$B225-1)*36+HEX2DEC('table for research'!S$1))*2,2)</f>
        <v>01</v>
      </c>
      <c r="T225" t="str">
        <f>MID('paste from garc here'!$C$1,1+(('table for research'!$B225-1)*36+HEX2DEC('table for research'!T$1))*2,2)</f>
        <v>00</v>
      </c>
      <c r="U225" t="str">
        <f>MID('paste from garc here'!$C$1,1+(('table for research'!$B225-1)*36+HEX2DEC('table for research'!U$1))*2,2)</f>
        <v>00</v>
      </c>
      <c r="V225" t="str">
        <f>MID('paste from garc here'!$C$1,1+(('table for research'!$B225-1)*36+HEX2DEC('table for research'!V$1))*2,2)</f>
        <v>00</v>
      </c>
      <c r="W225" t="str">
        <f>MID('paste from garc here'!$C$1,1+(('table for research'!$B225-1)*36+HEX2DEC('table for research'!W$1))*2,2)</f>
        <v>00</v>
      </c>
      <c r="X225" t="str">
        <f>MID('paste from garc here'!$C$1,1+(('table for research'!$B225-1)*36+HEX2DEC('table for research'!X$1))*2,2)</f>
        <v>00</v>
      </c>
      <c r="Y225" t="str">
        <f>MID('paste from garc here'!$C$1,1+(('table for research'!$B225-1)*36+HEX2DEC('table for research'!Y$1))*2,2)</f>
        <v>00</v>
      </c>
      <c r="Z225" t="str">
        <f>MID('paste from garc here'!$C$1,1+(('table for research'!$B225-1)*36+HEX2DEC('table for research'!Z$1))*2,2)</f>
        <v>00</v>
      </c>
      <c r="AA225" t="str">
        <f>MID('paste from garc here'!$C$1,1+(('table for research'!$B225-1)*36+HEX2DEC('table for research'!AA$1))*2,2)</f>
        <v>00</v>
      </c>
      <c r="AB225" t="str">
        <f>MID('paste from garc here'!$C$1,1+(('table for research'!$B225-1)*36+HEX2DEC('table for research'!AB$1))*2,2)</f>
        <v>00</v>
      </c>
      <c r="AC225" t="str">
        <f>MID('paste from garc here'!$C$1,1+(('table for research'!$B225-1)*36+HEX2DEC('table for research'!AC$1))*2,2)</f>
        <v>00</v>
      </c>
      <c r="AD225" t="str">
        <f>MID('paste from garc here'!$C$1,1+(('table for research'!$B225-1)*36+HEX2DEC('table for research'!AD$1))*2,2)</f>
        <v>00</v>
      </c>
      <c r="AE225" t="str">
        <f>MID('paste from garc here'!$C$1,1+(('table for research'!$B225-1)*36+HEX2DEC('table for research'!AE$1))*2,2)</f>
        <v>00</v>
      </c>
      <c r="AF225" t="str">
        <f>MID('paste from garc here'!$C$1,1+(('table for research'!$B225-1)*36+HEX2DEC('table for research'!AF$1))*2,2)</f>
        <v>00</v>
      </c>
      <c r="AG225" t="str">
        <f>MID('paste from garc here'!$C$1,1+(('table for research'!$B225-1)*36+HEX2DEC('table for research'!AG$1))*2,2)</f>
        <v>00</v>
      </c>
      <c r="AH225" t="str">
        <f>MID('paste from garc here'!$C$1,1+(('table for research'!$B225-1)*36+HEX2DEC('table for research'!AH$1))*2,2)</f>
        <v>00</v>
      </c>
      <c r="AI225" t="str">
        <f>MID('paste from garc here'!$C$1,1+(('table for research'!$B225-1)*36+HEX2DEC('table for research'!AI$1))*2,2)</f>
        <v>00</v>
      </c>
      <c r="AJ225" t="str">
        <f>MID('paste from garc here'!$C$1,1+(('table for research'!$B225-1)*36+HEX2DEC('table for research'!AJ$1))*2,2)</f>
        <v>00</v>
      </c>
      <c r="AK225" t="str">
        <f>MID('paste from garc here'!$C$1,1+(('table for research'!$B225-1)*36+HEX2DEC('table for research'!AK$1))*2,2)</f>
        <v>00</v>
      </c>
      <c r="AL225" t="str">
        <f>MID('paste from garc here'!$C$1,1+(('table for research'!$B225-1)*36+HEX2DEC('table for research'!AL$1))*2,2)</f>
        <v>00</v>
      </c>
      <c r="AM225" t="str">
        <f>MID('paste from garc here'!$C$1,1+(('table for research'!$B225-1)*36+HEX2DEC('table for research'!AM$1))*2,2)</f>
        <v>00</v>
      </c>
      <c r="AN225" t="str">
        <f>MID('paste from garc here'!$C$1,1+(('table for research'!$B225-1)*36+HEX2DEC('table for research'!AN$1))*2,2)</f>
        <v>00</v>
      </c>
      <c r="AO225" t="str">
        <f>MID('paste from garc here'!$C$1,1+(('table for research'!$B225-1)*36+HEX2DEC('table for research'!AO$1))*2,2)</f>
        <v>00</v>
      </c>
    </row>
    <row r="226" spans="1:41" x14ac:dyDescent="0.4">
      <c r="A226" t="s">
        <v>229</v>
      </c>
      <c r="B226">
        <f>B225+1</f>
        <v>224</v>
      </c>
      <c r="C226" t="str">
        <f>MID('paste from garc here'!$C$1,1+(('table for research'!$B226-1)*36+HEX2DEC('table for research'!C$1))*2,2)</f>
        <v>F4</v>
      </c>
      <c r="D226" t="str">
        <f>MID('paste from garc here'!$C$1,1+(('table for research'!$B226-1)*36+HEX2DEC('table for research'!D$1))*2,2)</f>
        <v>01</v>
      </c>
      <c r="E226" t="str">
        <f>MID('paste from garc here'!$C$1,1+(('table for research'!$B226-1)*36+HEX2DEC('table for research'!E$1))*2,2)</f>
        <v>3A</v>
      </c>
      <c r="F226" t="str">
        <f>MID('paste from garc here'!$C$1,1+(('table for research'!$B226-1)*36+HEX2DEC('table for research'!F$1))*2,2)</f>
        <v>00</v>
      </c>
      <c r="G226" t="str">
        <f>MID('paste from garc here'!$C$1,1+(('table for research'!$B226-1)*36+HEX2DEC('table for research'!G$1))*2,2)</f>
        <v>00</v>
      </c>
      <c r="H226" t="str">
        <f>MID('paste from garc here'!$C$1,1+(('table for research'!$B226-1)*36+HEX2DEC('table for research'!H$1))*2,2)</f>
        <v>00</v>
      </c>
      <c r="I226" t="str">
        <f>MID('paste from garc here'!$C$1,1+(('table for research'!$B226-1)*36+HEX2DEC('table for research'!I$1))*2,2)</f>
        <v>1E</v>
      </c>
      <c r="J226" t="str">
        <f>MID('paste from garc here'!$C$1,1+(('table for research'!$B226-1)*36+HEX2DEC('table for research'!J$1))*2,2)</f>
        <v>00</v>
      </c>
      <c r="K226" t="str">
        <f>DEC2HEX(_xlfn.BITAND(HEX2DEC(MID('paste from garc here'!$C$1,1+(('table for research'!$B226-1)*36+HEX2DEC(8))*2,2)),31),2)</f>
        <v>1F</v>
      </c>
      <c r="L226" t="str">
        <f>DEC2HEX(_xlfn.BITAND(HEX2DEC(MID('paste from garc here'!$C$1,1+(('table for research'!$B226-1)*36+HEX2DEC(8))*2,2)),32),2)</f>
        <v>00</v>
      </c>
      <c r="M226" t="str">
        <f>DEC2HEX(_xlfn.BITAND(HEX2DEC(MID('paste from garc here'!$C$1,1+(('table for research'!$B226-1)*36+HEX2DEC(8))*2,2)),64),2)</f>
        <v>00</v>
      </c>
      <c r="N226" t="str">
        <f>DEC2HEX(_xlfn.BITRSHIFT(_xlfn.BITAND(HEX2DEC(MID('paste from garc here'!$C$1,1+(('table for research'!$B226-1)*36+HEX2DEC(9))*2,2)&amp;MID('paste from garc here'!$C$1,1+(('table for research'!$B226-1)*36+HEX2DEC(8))*2,2)),1920),7),2)</f>
        <v>00</v>
      </c>
      <c r="O226" t="str">
        <f>DEC2HEX(_xlfn.BITRSHIFT(HEX2DEC(MID('paste from garc here'!$C$1,1+(('table for research'!$B226-1)*36+HEX2DEC(9))*2,2)&amp;MID('paste from garc here'!$C$1,1+(('table for research'!$B226-1)*36+HEX2DEC(8))*2,2)),11),2)</f>
        <v>00</v>
      </c>
      <c r="P226" t="str">
        <f>MID('paste from garc here'!$C$1,1+(('table for research'!$B226-1)*36+HEX2DEC('table for research'!P$1))*2,2)</f>
        <v>00</v>
      </c>
      <c r="Q226" t="str">
        <f>MID('paste from garc here'!$C$1,1+(('table for research'!$B226-1)*36+HEX2DEC('table for research'!Q$1))*2,2)</f>
        <v>00</v>
      </c>
      <c r="R226" t="str">
        <f>MID('paste from garc here'!$C$1,1+(('table for research'!$B226-1)*36+HEX2DEC('table for research'!R$1))*2,2)</f>
        <v>00</v>
      </c>
      <c r="S226" t="str">
        <f>MID('paste from garc here'!$C$1,1+(('table for research'!$B226-1)*36+HEX2DEC('table for research'!S$1))*2,2)</f>
        <v>01</v>
      </c>
      <c r="T226" t="str">
        <f>MID('paste from garc here'!$C$1,1+(('table for research'!$B226-1)*36+HEX2DEC('table for research'!T$1))*2,2)</f>
        <v>00</v>
      </c>
      <c r="U226" t="str">
        <f>MID('paste from garc here'!$C$1,1+(('table for research'!$B226-1)*36+HEX2DEC('table for research'!U$1))*2,2)</f>
        <v>02</v>
      </c>
      <c r="V226" t="str">
        <f>MID('paste from garc here'!$C$1,1+(('table for research'!$B226-1)*36+HEX2DEC('table for research'!V$1))*2,2)</f>
        <v>00</v>
      </c>
      <c r="W226" t="str">
        <f>MID('paste from garc here'!$C$1,1+(('table for research'!$B226-1)*36+HEX2DEC('table for research'!W$1))*2,2)</f>
        <v>00</v>
      </c>
      <c r="X226" t="str">
        <f>MID('paste from garc here'!$C$1,1+(('table for research'!$B226-1)*36+HEX2DEC('table for research'!X$1))*2,2)</f>
        <v>00</v>
      </c>
      <c r="Y226" t="str">
        <f>MID('paste from garc here'!$C$1,1+(('table for research'!$B226-1)*36+HEX2DEC('table for research'!Y$1))*2,2)</f>
        <v>00</v>
      </c>
      <c r="Z226" t="str">
        <f>MID('paste from garc here'!$C$1,1+(('table for research'!$B226-1)*36+HEX2DEC('table for research'!Z$1))*2,2)</f>
        <v>00</v>
      </c>
      <c r="AA226" t="str">
        <f>MID('paste from garc here'!$C$1,1+(('table for research'!$B226-1)*36+HEX2DEC('table for research'!AA$1))*2,2)</f>
        <v>00</v>
      </c>
      <c r="AB226" t="str">
        <f>MID('paste from garc here'!$C$1,1+(('table for research'!$B226-1)*36+HEX2DEC('table for research'!AB$1))*2,2)</f>
        <v>00</v>
      </c>
      <c r="AC226" t="str">
        <f>MID('paste from garc here'!$C$1,1+(('table for research'!$B226-1)*36+HEX2DEC('table for research'!AC$1))*2,2)</f>
        <v>00</v>
      </c>
      <c r="AD226" t="str">
        <f>MID('paste from garc here'!$C$1,1+(('table for research'!$B226-1)*36+HEX2DEC('table for research'!AD$1))*2,2)</f>
        <v>00</v>
      </c>
      <c r="AE226" t="str">
        <f>MID('paste from garc here'!$C$1,1+(('table for research'!$B226-1)*36+HEX2DEC('table for research'!AE$1))*2,2)</f>
        <v>00</v>
      </c>
      <c r="AF226" t="str">
        <f>MID('paste from garc here'!$C$1,1+(('table for research'!$B226-1)*36+HEX2DEC('table for research'!AF$1))*2,2)</f>
        <v>00</v>
      </c>
      <c r="AG226" t="str">
        <f>MID('paste from garc here'!$C$1,1+(('table for research'!$B226-1)*36+HEX2DEC('table for research'!AG$1))*2,2)</f>
        <v>00</v>
      </c>
      <c r="AH226" t="str">
        <f>MID('paste from garc here'!$C$1,1+(('table for research'!$B226-1)*36+HEX2DEC('table for research'!AH$1))*2,2)</f>
        <v>00</v>
      </c>
      <c r="AI226" t="str">
        <f>MID('paste from garc here'!$C$1,1+(('table for research'!$B226-1)*36+HEX2DEC('table for research'!AI$1))*2,2)</f>
        <v>00</v>
      </c>
      <c r="AJ226" t="str">
        <f>MID('paste from garc here'!$C$1,1+(('table for research'!$B226-1)*36+HEX2DEC('table for research'!AJ$1))*2,2)</f>
        <v>00</v>
      </c>
      <c r="AK226" t="str">
        <f>MID('paste from garc here'!$C$1,1+(('table for research'!$B226-1)*36+HEX2DEC('table for research'!AK$1))*2,2)</f>
        <v>00</v>
      </c>
      <c r="AL226" t="str">
        <f>MID('paste from garc here'!$C$1,1+(('table for research'!$B226-1)*36+HEX2DEC('table for research'!AL$1))*2,2)</f>
        <v>00</v>
      </c>
      <c r="AM226" t="str">
        <f>MID('paste from garc here'!$C$1,1+(('table for research'!$B226-1)*36+HEX2DEC('table for research'!AM$1))*2,2)</f>
        <v>00</v>
      </c>
      <c r="AN226" t="str">
        <f>MID('paste from garc here'!$C$1,1+(('table for research'!$B226-1)*36+HEX2DEC('table for research'!AN$1))*2,2)</f>
        <v>00</v>
      </c>
      <c r="AO226" t="str">
        <f>MID('paste from garc here'!$C$1,1+(('table for research'!$B226-1)*36+HEX2DEC('table for research'!AO$1))*2,2)</f>
        <v>00</v>
      </c>
    </row>
    <row r="227" spans="1:41" x14ac:dyDescent="0.4">
      <c r="A227" t="s">
        <v>230</v>
      </c>
      <c r="B227">
        <f>B226+1</f>
        <v>225</v>
      </c>
      <c r="C227" t="str">
        <f>MID('paste from garc here'!$C$1,1+(('table for research'!$B227-1)*36+HEX2DEC('table for research'!C$1))*2,2)</f>
        <v>00</v>
      </c>
      <c r="D227" t="str">
        <f>MID('paste from garc here'!$C$1,1+(('table for research'!$B227-1)*36+HEX2DEC('table for research'!D$1))*2,2)</f>
        <v>00</v>
      </c>
      <c r="E227" t="str">
        <f>MID('paste from garc here'!$C$1,1+(('table for research'!$B227-1)*36+HEX2DEC('table for research'!E$1))*2,2)</f>
        <v>3B</v>
      </c>
      <c r="F227" t="str">
        <f>MID('paste from garc here'!$C$1,1+(('table for research'!$B227-1)*36+HEX2DEC('table for research'!F$1))*2,2)</f>
        <v>32</v>
      </c>
      <c r="G227" t="str">
        <f>MID('paste from garc here'!$C$1,1+(('table for research'!$B227-1)*36+HEX2DEC('table for research'!G$1))*2,2)</f>
        <v>00</v>
      </c>
      <c r="H227" t="str">
        <f>MID('paste from garc here'!$C$1,1+(('table for research'!$B227-1)*36+HEX2DEC('table for research'!H$1))*2,2)</f>
        <v>00</v>
      </c>
      <c r="I227" t="str">
        <f>MID('paste from garc here'!$C$1,1+(('table for research'!$B227-1)*36+HEX2DEC('table for research'!I$1))*2,2)</f>
        <v>1E</v>
      </c>
      <c r="J227" t="str">
        <f>MID('paste from garc here'!$C$1,1+(('table for research'!$B227-1)*36+HEX2DEC('table for research'!J$1))*2,2)</f>
        <v>00</v>
      </c>
      <c r="K227" t="str">
        <f>DEC2HEX(_xlfn.BITAND(HEX2DEC(MID('paste from garc here'!$C$1,1+(('table for research'!$B227-1)*36+HEX2DEC(8))*2,2)),31),2)</f>
        <v>1F</v>
      </c>
      <c r="L227" t="str">
        <f>DEC2HEX(_xlfn.BITAND(HEX2DEC(MID('paste from garc here'!$C$1,1+(('table for research'!$B227-1)*36+HEX2DEC(8))*2,2)),32),2)</f>
        <v>00</v>
      </c>
      <c r="M227" t="str">
        <f>DEC2HEX(_xlfn.BITAND(HEX2DEC(MID('paste from garc here'!$C$1,1+(('table for research'!$B227-1)*36+HEX2DEC(8))*2,2)),64),2)</f>
        <v>00</v>
      </c>
      <c r="N227" t="str">
        <f>DEC2HEX(_xlfn.BITRSHIFT(_xlfn.BITAND(HEX2DEC(MID('paste from garc here'!$C$1,1+(('table for research'!$B227-1)*36+HEX2DEC(9))*2,2)&amp;MID('paste from garc here'!$C$1,1+(('table for research'!$B227-1)*36+HEX2DEC(8))*2,2)),1920),7),2)</f>
        <v>00</v>
      </c>
      <c r="O227" t="str">
        <f>DEC2HEX(_xlfn.BITRSHIFT(HEX2DEC(MID('paste from garc here'!$C$1,1+(('table for research'!$B227-1)*36+HEX2DEC(9))*2,2)&amp;MID('paste from garc here'!$C$1,1+(('table for research'!$B227-1)*36+HEX2DEC(8))*2,2)),11),2)</f>
        <v>00</v>
      </c>
      <c r="P227" t="str">
        <f>MID('paste from garc here'!$C$1,1+(('table for research'!$B227-1)*36+HEX2DEC('table for research'!P$1))*2,2)</f>
        <v>00</v>
      </c>
      <c r="Q227" t="str">
        <f>MID('paste from garc here'!$C$1,1+(('table for research'!$B227-1)*36+HEX2DEC('table for research'!Q$1))*2,2)</f>
        <v>00</v>
      </c>
      <c r="R227" t="str">
        <f>MID('paste from garc here'!$C$1,1+(('table for research'!$B227-1)*36+HEX2DEC('table for research'!R$1))*2,2)</f>
        <v>00</v>
      </c>
      <c r="S227" t="str">
        <f>MID('paste from garc here'!$C$1,1+(('table for research'!$B227-1)*36+HEX2DEC('table for research'!S$1))*2,2)</f>
        <v>01</v>
      </c>
      <c r="T227" t="str">
        <f>MID('paste from garc here'!$C$1,1+(('table for research'!$B227-1)*36+HEX2DEC('table for research'!T$1))*2,2)</f>
        <v>00</v>
      </c>
      <c r="U227" t="str">
        <f>MID('paste from garc here'!$C$1,1+(('table for research'!$B227-1)*36+HEX2DEC('table for research'!U$1))*2,2)</f>
        <v>41</v>
      </c>
      <c r="V227" t="str">
        <f>MID('paste from garc here'!$C$1,1+(('table for research'!$B227-1)*36+HEX2DEC('table for research'!V$1))*2,2)</f>
        <v>0F</v>
      </c>
      <c r="W227" t="str">
        <f>MID('paste from garc here'!$C$1,1+(('table for research'!$B227-1)*36+HEX2DEC('table for research'!W$1))*2,2)</f>
        <v>00</v>
      </c>
      <c r="X227" t="str">
        <f>MID('paste from garc here'!$C$1,1+(('table for research'!$B227-1)*36+HEX2DEC('table for research'!X$1))*2,2)</f>
        <v>00</v>
      </c>
      <c r="Y227" t="str">
        <f>MID('paste from garc here'!$C$1,1+(('table for research'!$B227-1)*36+HEX2DEC('table for research'!Y$1))*2,2)</f>
        <v>00</v>
      </c>
      <c r="Z227" t="str">
        <f>MID('paste from garc here'!$C$1,1+(('table for research'!$B227-1)*36+HEX2DEC('table for research'!Z$1))*2,2)</f>
        <v>00</v>
      </c>
      <c r="AA227" t="str">
        <f>MID('paste from garc here'!$C$1,1+(('table for research'!$B227-1)*36+HEX2DEC('table for research'!AA$1))*2,2)</f>
        <v>00</v>
      </c>
      <c r="AB227" t="str">
        <f>MID('paste from garc here'!$C$1,1+(('table for research'!$B227-1)*36+HEX2DEC('table for research'!AB$1))*2,2)</f>
        <v>00</v>
      </c>
      <c r="AC227" t="str">
        <f>MID('paste from garc here'!$C$1,1+(('table for research'!$B227-1)*36+HEX2DEC('table for research'!AC$1))*2,2)</f>
        <v>00</v>
      </c>
      <c r="AD227" t="str">
        <f>MID('paste from garc here'!$C$1,1+(('table for research'!$B227-1)*36+HEX2DEC('table for research'!AD$1))*2,2)</f>
        <v>00</v>
      </c>
      <c r="AE227" t="str">
        <f>MID('paste from garc here'!$C$1,1+(('table for research'!$B227-1)*36+HEX2DEC('table for research'!AE$1))*2,2)</f>
        <v>00</v>
      </c>
      <c r="AF227" t="str">
        <f>MID('paste from garc here'!$C$1,1+(('table for research'!$B227-1)*36+HEX2DEC('table for research'!AF$1))*2,2)</f>
        <v>00</v>
      </c>
      <c r="AG227" t="str">
        <f>MID('paste from garc here'!$C$1,1+(('table for research'!$B227-1)*36+HEX2DEC('table for research'!AG$1))*2,2)</f>
        <v>00</v>
      </c>
      <c r="AH227" t="str">
        <f>MID('paste from garc here'!$C$1,1+(('table for research'!$B227-1)*36+HEX2DEC('table for research'!AH$1))*2,2)</f>
        <v>00</v>
      </c>
      <c r="AI227" t="str">
        <f>MID('paste from garc here'!$C$1,1+(('table for research'!$B227-1)*36+HEX2DEC('table for research'!AI$1))*2,2)</f>
        <v>00</v>
      </c>
      <c r="AJ227" t="str">
        <f>MID('paste from garc here'!$C$1,1+(('table for research'!$B227-1)*36+HEX2DEC('table for research'!AJ$1))*2,2)</f>
        <v>00</v>
      </c>
      <c r="AK227" t="str">
        <f>MID('paste from garc here'!$C$1,1+(('table for research'!$B227-1)*36+HEX2DEC('table for research'!AK$1))*2,2)</f>
        <v>00</v>
      </c>
      <c r="AL227" t="str">
        <f>MID('paste from garc here'!$C$1,1+(('table for research'!$B227-1)*36+HEX2DEC('table for research'!AL$1))*2,2)</f>
        <v>00</v>
      </c>
      <c r="AM227" t="str">
        <f>MID('paste from garc here'!$C$1,1+(('table for research'!$B227-1)*36+HEX2DEC('table for research'!AM$1))*2,2)</f>
        <v>00</v>
      </c>
      <c r="AN227" t="str">
        <f>MID('paste from garc here'!$C$1,1+(('table for research'!$B227-1)*36+HEX2DEC('table for research'!AN$1))*2,2)</f>
        <v>00</v>
      </c>
      <c r="AO227" t="str">
        <f>MID('paste from garc here'!$C$1,1+(('table for research'!$B227-1)*36+HEX2DEC('table for research'!AO$1))*2,2)</f>
        <v>00</v>
      </c>
    </row>
    <row r="228" spans="1:41" x14ac:dyDescent="0.4">
      <c r="A228" t="s">
        <v>231</v>
      </c>
      <c r="B228">
        <f>B227+1</f>
        <v>226</v>
      </c>
      <c r="C228" t="str">
        <f>MID('paste from garc here'!$C$1,1+(('table for research'!$B228-1)*36+HEX2DEC('table for research'!C$1))*2,2)</f>
        <v>C8</v>
      </c>
      <c r="D228" t="str">
        <f>MID('paste from garc here'!$C$1,1+(('table for research'!$B228-1)*36+HEX2DEC('table for research'!D$1))*2,2)</f>
        <v>00</v>
      </c>
      <c r="E228" t="str">
        <f>MID('paste from garc here'!$C$1,1+(('table for research'!$B228-1)*36+HEX2DEC('table for research'!E$1))*2,2)</f>
        <v>3C</v>
      </c>
      <c r="F228" t="str">
        <f>MID('paste from garc here'!$C$1,1+(('table for research'!$B228-1)*36+HEX2DEC('table for research'!F$1))*2,2)</f>
        <v>00</v>
      </c>
      <c r="G228" t="str">
        <f>MID('paste from garc here'!$C$1,1+(('table for research'!$B228-1)*36+HEX2DEC('table for research'!G$1))*2,2)</f>
        <v>00</v>
      </c>
      <c r="H228" t="str">
        <f>MID('paste from garc here'!$C$1,1+(('table for research'!$B228-1)*36+HEX2DEC('table for research'!H$1))*2,2)</f>
        <v>00</v>
      </c>
      <c r="I228" t="str">
        <f>MID('paste from garc here'!$C$1,1+(('table for research'!$B228-1)*36+HEX2DEC('table for research'!I$1))*2,2)</f>
        <v>5A</v>
      </c>
      <c r="J228" t="str">
        <f>MID('paste from garc here'!$C$1,1+(('table for research'!$B228-1)*36+HEX2DEC('table for research'!J$1))*2,2)</f>
        <v>00</v>
      </c>
      <c r="K228" t="str">
        <f>DEC2HEX(_xlfn.BITAND(HEX2DEC(MID('paste from garc here'!$C$1,1+(('table for research'!$B228-1)*36+HEX2DEC(8))*2,2)),31),2)</f>
        <v>1F</v>
      </c>
      <c r="L228" t="str">
        <f>DEC2HEX(_xlfn.BITAND(HEX2DEC(MID('paste from garc here'!$C$1,1+(('table for research'!$B228-1)*36+HEX2DEC(8))*2,2)),32),2)</f>
        <v>00</v>
      </c>
      <c r="M228" t="str">
        <f>DEC2HEX(_xlfn.BITAND(HEX2DEC(MID('paste from garc here'!$C$1,1+(('table for research'!$B228-1)*36+HEX2DEC(8))*2,2)),64),2)</f>
        <v>00</v>
      </c>
      <c r="N228" t="str">
        <f>DEC2HEX(_xlfn.BITRSHIFT(_xlfn.BITAND(HEX2DEC(MID('paste from garc here'!$C$1,1+(('table for research'!$B228-1)*36+HEX2DEC(9))*2,2)&amp;MID('paste from garc here'!$C$1,1+(('table for research'!$B228-1)*36+HEX2DEC(8))*2,2)),1920),7),2)</f>
        <v>00</v>
      </c>
      <c r="O228" t="str">
        <f>DEC2HEX(_xlfn.BITRSHIFT(HEX2DEC(MID('paste from garc here'!$C$1,1+(('table for research'!$B228-1)*36+HEX2DEC(9))*2,2)&amp;MID('paste from garc here'!$C$1,1+(('table for research'!$B228-1)*36+HEX2DEC(8))*2,2)),11),2)</f>
        <v>00</v>
      </c>
      <c r="P228" t="str">
        <f>MID('paste from garc here'!$C$1,1+(('table for research'!$B228-1)*36+HEX2DEC('table for research'!P$1))*2,2)</f>
        <v>06</v>
      </c>
      <c r="Q228" t="str">
        <f>MID('paste from garc here'!$C$1,1+(('table for research'!$B228-1)*36+HEX2DEC('table for research'!Q$1))*2,2)</f>
        <v>00</v>
      </c>
      <c r="R228" t="str">
        <f>MID('paste from garc here'!$C$1,1+(('table for research'!$B228-1)*36+HEX2DEC('table for research'!R$1))*2,2)</f>
        <v>00</v>
      </c>
      <c r="S228" t="str">
        <f>MID('paste from garc here'!$C$1,1+(('table for research'!$B228-1)*36+HEX2DEC('table for research'!S$1))*2,2)</f>
        <v>01</v>
      </c>
      <c r="T228" t="str">
        <f>MID('paste from garc here'!$C$1,1+(('table for research'!$B228-1)*36+HEX2DEC('table for research'!T$1))*2,2)</f>
        <v>00</v>
      </c>
      <c r="U228" t="str">
        <f>MID('paste from garc here'!$C$1,1+(('table for research'!$B228-1)*36+HEX2DEC('table for research'!U$1))*2,2)</f>
        <v>3A</v>
      </c>
      <c r="V228" t="str">
        <f>MID('paste from garc here'!$C$1,1+(('table for research'!$B228-1)*36+HEX2DEC('table for research'!V$1))*2,2)</f>
        <v>00</v>
      </c>
      <c r="W228" t="str">
        <f>MID('paste from garc here'!$C$1,1+(('table for research'!$B228-1)*36+HEX2DEC('table for research'!W$1))*2,2)</f>
        <v>08</v>
      </c>
      <c r="X228" t="str">
        <f>MID('paste from garc here'!$C$1,1+(('table for research'!$B228-1)*36+HEX2DEC('table for research'!X$1))*2,2)</f>
        <v>00</v>
      </c>
      <c r="Y228" t="str">
        <f>MID('paste from garc here'!$C$1,1+(('table for research'!$B228-1)*36+HEX2DEC('table for research'!Y$1))*2,2)</f>
        <v>00</v>
      </c>
      <c r="Z228" t="str">
        <f>MID('paste from garc here'!$C$1,1+(('table for research'!$B228-1)*36+HEX2DEC('table for research'!Z$1))*2,2)</f>
        <v>00</v>
      </c>
      <c r="AA228" t="str">
        <f>MID('paste from garc here'!$C$1,1+(('table for research'!$B228-1)*36+HEX2DEC('table for research'!AA$1))*2,2)</f>
        <v>00</v>
      </c>
      <c r="AB228" t="str">
        <f>MID('paste from garc here'!$C$1,1+(('table for research'!$B228-1)*36+HEX2DEC('table for research'!AB$1))*2,2)</f>
        <v>00</v>
      </c>
      <c r="AC228" t="str">
        <f>MID('paste from garc here'!$C$1,1+(('table for research'!$B228-1)*36+HEX2DEC('table for research'!AC$1))*2,2)</f>
        <v>00</v>
      </c>
      <c r="AD228" t="str">
        <f>MID('paste from garc here'!$C$1,1+(('table for research'!$B228-1)*36+HEX2DEC('table for research'!AD$1))*2,2)</f>
        <v>00</v>
      </c>
      <c r="AE228" t="str">
        <f>MID('paste from garc here'!$C$1,1+(('table for research'!$B228-1)*36+HEX2DEC('table for research'!AE$1))*2,2)</f>
        <v>00</v>
      </c>
      <c r="AF228" t="str">
        <f>MID('paste from garc here'!$C$1,1+(('table for research'!$B228-1)*36+HEX2DEC('table for research'!AF$1))*2,2)</f>
        <v>00</v>
      </c>
      <c r="AG228" t="str">
        <f>MID('paste from garc here'!$C$1,1+(('table for research'!$B228-1)*36+HEX2DEC('table for research'!AG$1))*2,2)</f>
        <v>00</v>
      </c>
      <c r="AH228" t="str">
        <f>MID('paste from garc here'!$C$1,1+(('table for research'!$B228-1)*36+HEX2DEC('table for research'!AH$1))*2,2)</f>
        <v>00</v>
      </c>
      <c r="AI228" t="str">
        <f>MID('paste from garc here'!$C$1,1+(('table for research'!$B228-1)*36+HEX2DEC('table for research'!AI$1))*2,2)</f>
        <v>00</v>
      </c>
      <c r="AJ228" t="str">
        <f>MID('paste from garc here'!$C$1,1+(('table for research'!$B228-1)*36+HEX2DEC('table for research'!AJ$1))*2,2)</f>
        <v>00</v>
      </c>
      <c r="AK228" t="str">
        <f>MID('paste from garc here'!$C$1,1+(('table for research'!$B228-1)*36+HEX2DEC('table for research'!AK$1))*2,2)</f>
        <v>00</v>
      </c>
      <c r="AL228" t="str">
        <f>MID('paste from garc here'!$C$1,1+(('table for research'!$B228-1)*36+HEX2DEC('table for research'!AL$1))*2,2)</f>
        <v>00</v>
      </c>
      <c r="AM228" t="str">
        <f>MID('paste from garc here'!$C$1,1+(('table for research'!$B228-1)*36+HEX2DEC('table for research'!AM$1))*2,2)</f>
        <v>00</v>
      </c>
      <c r="AN228" t="str">
        <f>MID('paste from garc here'!$C$1,1+(('table for research'!$B228-1)*36+HEX2DEC('table for research'!AN$1))*2,2)</f>
        <v>00</v>
      </c>
      <c r="AO228" t="str">
        <f>MID('paste from garc here'!$C$1,1+(('table for research'!$B228-1)*36+HEX2DEC('table for research'!AO$1))*2,2)</f>
        <v>00</v>
      </c>
    </row>
    <row r="229" spans="1:41" x14ac:dyDescent="0.4">
      <c r="A229" t="s">
        <v>232</v>
      </c>
      <c r="B229">
        <f>B228+1</f>
        <v>227</v>
      </c>
      <c r="C229" t="str">
        <f>MID('paste from garc here'!$C$1,1+(('table for research'!$B229-1)*36+HEX2DEC('table for research'!C$1))*2,2)</f>
        <v>C8</v>
      </c>
      <c r="D229" t="str">
        <f>MID('paste from garc here'!$C$1,1+(('table for research'!$B229-1)*36+HEX2DEC('table for research'!D$1))*2,2)</f>
        <v>00</v>
      </c>
      <c r="E229" t="str">
        <f>MID('paste from garc here'!$C$1,1+(('table for research'!$B229-1)*36+HEX2DEC('table for research'!E$1))*2,2)</f>
        <v>3D</v>
      </c>
      <c r="F229" t="str">
        <f>MID('paste from garc here'!$C$1,1+(('table for research'!$B229-1)*36+HEX2DEC('table for research'!F$1))*2,2)</f>
        <v>00</v>
      </c>
      <c r="G229" t="str">
        <f>MID('paste from garc here'!$C$1,1+(('table for research'!$B229-1)*36+HEX2DEC('table for research'!G$1))*2,2)</f>
        <v>00</v>
      </c>
      <c r="H229" t="str">
        <f>MID('paste from garc here'!$C$1,1+(('table for research'!$B229-1)*36+HEX2DEC('table for research'!H$1))*2,2)</f>
        <v>00</v>
      </c>
      <c r="I229" t="str">
        <f>MID('paste from garc here'!$C$1,1+(('table for research'!$B229-1)*36+HEX2DEC('table for research'!I$1))*2,2)</f>
        <v>1E</v>
      </c>
      <c r="J229" t="str">
        <f>MID('paste from garc here'!$C$1,1+(('table for research'!$B229-1)*36+HEX2DEC('table for research'!J$1))*2,2)</f>
        <v>00</v>
      </c>
      <c r="K229" t="str">
        <f>DEC2HEX(_xlfn.BITAND(HEX2DEC(MID('paste from garc here'!$C$1,1+(('table for research'!$B229-1)*36+HEX2DEC(8))*2,2)),31),2)</f>
        <v>1F</v>
      </c>
      <c r="L229" t="str">
        <f>DEC2HEX(_xlfn.BITAND(HEX2DEC(MID('paste from garc here'!$C$1,1+(('table for research'!$B229-1)*36+HEX2DEC(8))*2,2)),32),2)</f>
        <v>00</v>
      </c>
      <c r="M229" t="str">
        <f>DEC2HEX(_xlfn.BITAND(HEX2DEC(MID('paste from garc here'!$C$1,1+(('table for research'!$B229-1)*36+HEX2DEC(8))*2,2)),64),2)</f>
        <v>00</v>
      </c>
      <c r="N229" t="str">
        <f>DEC2HEX(_xlfn.BITRSHIFT(_xlfn.BITAND(HEX2DEC(MID('paste from garc here'!$C$1,1+(('table for research'!$B229-1)*36+HEX2DEC(9))*2,2)&amp;MID('paste from garc here'!$C$1,1+(('table for research'!$B229-1)*36+HEX2DEC(8))*2,2)),1920),7),2)</f>
        <v>00</v>
      </c>
      <c r="O229" t="str">
        <f>DEC2HEX(_xlfn.BITRSHIFT(HEX2DEC(MID('paste from garc here'!$C$1,1+(('table for research'!$B229-1)*36+HEX2DEC(9))*2,2)&amp;MID('paste from garc here'!$C$1,1+(('table for research'!$B229-1)*36+HEX2DEC(8))*2,2)),11),2)</f>
        <v>00</v>
      </c>
      <c r="P229" t="str">
        <f>MID('paste from garc here'!$C$1,1+(('table for research'!$B229-1)*36+HEX2DEC('table for research'!P$1))*2,2)</f>
        <v>06</v>
      </c>
      <c r="Q229" t="str">
        <f>MID('paste from garc here'!$C$1,1+(('table for research'!$B229-1)*36+HEX2DEC('table for research'!Q$1))*2,2)</f>
        <v>00</v>
      </c>
      <c r="R229" t="str">
        <f>MID('paste from garc here'!$C$1,1+(('table for research'!$B229-1)*36+HEX2DEC('table for research'!R$1))*2,2)</f>
        <v>00</v>
      </c>
      <c r="S229" t="str">
        <f>MID('paste from garc here'!$C$1,1+(('table for research'!$B229-1)*36+HEX2DEC('table for research'!S$1))*2,2)</f>
        <v>01</v>
      </c>
      <c r="T229" t="str">
        <f>MID('paste from garc here'!$C$1,1+(('table for research'!$B229-1)*36+HEX2DEC('table for research'!T$1))*2,2)</f>
        <v>00</v>
      </c>
      <c r="U229" t="str">
        <f>MID('paste from garc here'!$C$1,1+(('table for research'!$B229-1)*36+HEX2DEC('table for research'!U$1))*2,2)</f>
        <v>39</v>
      </c>
      <c r="V229" t="str">
        <f>MID('paste from garc here'!$C$1,1+(('table for research'!$B229-1)*36+HEX2DEC('table for research'!V$1))*2,2)</f>
        <v>00</v>
      </c>
      <c r="W229" t="str">
        <f>MID('paste from garc here'!$C$1,1+(('table for research'!$B229-1)*36+HEX2DEC('table for research'!W$1))*2,2)</f>
        <v>08</v>
      </c>
      <c r="X229" t="str">
        <f>MID('paste from garc here'!$C$1,1+(('table for research'!$B229-1)*36+HEX2DEC('table for research'!X$1))*2,2)</f>
        <v>00</v>
      </c>
      <c r="Y229" t="str">
        <f>MID('paste from garc here'!$C$1,1+(('table for research'!$B229-1)*36+HEX2DEC('table for research'!Y$1))*2,2)</f>
        <v>00</v>
      </c>
      <c r="Z229" t="str">
        <f>MID('paste from garc here'!$C$1,1+(('table for research'!$B229-1)*36+HEX2DEC('table for research'!Z$1))*2,2)</f>
        <v>00</v>
      </c>
      <c r="AA229" t="str">
        <f>MID('paste from garc here'!$C$1,1+(('table for research'!$B229-1)*36+HEX2DEC('table for research'!AA$1))*2,2)</f>
        <v>00</v>
      </c>
      <c r="AB229" t="str">
        <f>MID('paste from garc here'!$C$1,1+(('table for research'!$B229-1)*36+HEX2DEC('table for research'!AB$1))*2,2)</f>
        <v>00</v>
      </c>
      <c r="AC229" t="str">
        <f>MID('paste from garc here'!$C$1,1+(('table for research'!$B229-1)*36+HEX2DEC('table for research'!AC$1))*2,2)</f>
        <v>00</v>
      </c>
      <c r="AD229" t="str">
        <f>MID('paste from garc here'!$C$1,1+(('table for research'!$B229-1)*36+HEX2DEC('table for research'!AD$1))*2,2)</f>
        <v>00</v>
      </c>
      <c r="AE229" t="str">
        <f>MID('paste from garc here'!$C$1,1+(('table for research'!$B229-1)*36+HEX2DEC('table for research'!AE$1))*2,2)</f>
        <v>00</v>
      </c>
      <c r="AF229" t="str">
        <f>MID('paste from garc here'!$C$1,1+(('table for research'!$B229-1)*36+HEX2DEC('table for research'!AF$1))*2,2)</f>
        <v>00</v>
      </c>
      <c r="AG229" t="str">
        <f>MID('paste from garc here'!$C$1,1+(('table for research'!$B229-1)*36+HEX2DEC('table for research'!AG$1))*2,2)</f>
        <v>00</v>
      </c>
      <c r="AH229" t="str">
        <f>MID('paste from garc here'!$C$1,1+(('table for research'!$B229-1)*36+HEX2DEC('table for research'!AH$1))*2,2)</f>
        <v>00</v>
      </c>
      <c r="AI229" t="str">
        <f>MID('paste from garc here'!$C$1,1+(('table for research'!$B229-1)*36+HEX2DEC('table for research'!AI$1))*2,2)</f>
        <v>00</v>
      </c>
      <c r="AJ229" t="str">
        <f>MID('paste from garc here'!$C$1,1+(('table for research'!$B229-1)*36+HEX2DEC('table for research'!AJ$1))*2,2)</f>
        <v>00</v>
      </c>
      <c r="AK229" t="str">
        <f>MID('paste from garc here'!$C$1,1+(('table for research'!$B229-1)*36+HEX2DEC('table for research'!AK$1))*2,2)</f>
        <v>00</v>
      </c>
      <c r="AL229" t="str">
        <f>MID('paste from garc here'!$C$1,1+(('table for research'!$B229-1)*36+HEX2DEC('table for research'!AL$1))*2,2)</f>
        <v>00</v>
      </c>
      <c r="AM229" t="str">
        <f>MID('paste from garc here'!$C$1,1+(('table for research'!$B229-1)*36+HEX2DEC('table for research'!AM$1))*2,2)</f>
        <v>00</v>
      </c>
      <c r="AN229" t="str">
        <f>MID('paste from garc here'!$C$1,1+(('table for research'!$B229-1)*36+HEX2DEC('table for research'!AN$1))*2,2)</f>
        <v>00</v>
      </c>
      <c r="AO229" t="str">
        <f>MID('paste from garc here'!$C$1,1+(('table for research'!$B229-1)*36+HEX2DEC('table for research'!AO$1))*2,2)</f>
        <v>00</v>
      </c>
    </row>
    <row r="230" spans="1:41" x14ac:dyDescent="0.4">
      <c r="A230" t="s">
        <v>233</v>
      </c>
      <c r="B230">
        <f>B229+1</f>
        <v>228</v>
      </c>
      <c r="C230" t="str">
        <f>MID('paste from garc here'!$C$1,1+(('table for research'!$B230-1)*36+HEX2DEC('table for research'!C$1))*2,2)</f>
        <v>90</v>
      </c>
      <c r="D230" t="str">
        <f>MID('paste from garc here'!$C$1,1+(('table for research'!$B230-1)*36+HEX2DEC('table for research'!D$1))*2,2)</f>
        <v>01</v>
      </c>
      <c r="E230" t="str">
        <f>MID('paste from garc here'!$C$1,1+(('table for research'!$B230-1)*36+HEX2DEC('table for research'!E$1))*2,2)</f>
        <v>3E</v>
      </c>
      <c r="F230" t="str">
        <f>MID('paste from garc here'!$C$1,1+(('table for research'!$B230-1)*36+HEX2DEC('table for research'!F$1))*2,2)</f>
        <v>00</v>
      </c>
      <c r="G230" t="str">
        <f>MID('paste from garc here'!$C$1,1+(('table for research'!$B230-1)*36+HEX2DEC('table for research'!G$1))*2,2)</f>
        <v>00</v>
      </c>
      <c r="H230" t="str">
        <f>MID('paste from garc here'!$C$1,1+(('table for research'!$B230-1)*36+HEX2DEC('table for research'!H$1))*2,2)</f>
        <v>00</v>
      </c>
      <c r="I230" t="str">
        <f>MID('paste from garc here'!$C$1,1+(('table for research'!$B230-1)*36+HEX2DEC('table for research'!I$1))*2,2)</f>
        <v>1E</v>
      </c>
      <c r="J230" t="str">
        <f>MID('paste from garc here'!$C$1,1+(('table for research'!$B230-1)*36+HEX2DEC('table for research'!J$1))*2,2)</f>
        <v>00</v>
      </c>
      <c r="K230" t="str">
        <f>DEC2HEX(_xlfn.BITAND(HEX2DEC(MID('paste from garc here'!$C$1,1+(('table for research'!$B230-1)*36+HEX2DEC(8))*2,2)),31),2)</f>
        <v>1F</v>
      </c>
      <c r="L230" t="str">
        <f>DEC2HEX(_xlfn.BITAND(HEX2DEC(MID('paste from garc here'!$C$1,1+(('table for research'!$B230-1)*36+HEX2DEC(8))*2,2)),32),2)</f>
        <v>00</v>
      </c>
      <c r="M230" t="str">
        <f>DEC2HEX(_xlfn.BITAND(HEX2DEC(MID('paste from garc here'!$C$1,1+(('table for research'!$B230-1)*36+HEX2DEC(8))*2,2)),64),2)</f>
        <v>00</v>
      </c>
      <c r="N230" t="str">
        <f>DEC2HEX(_xlfn.BITRSHIFT(_xlfn.BITAND(HEX2DEC(MID('paste from garc here'!$C$1,1+(('table for research'!$B230-1)*36+HEX2DEC(9))*2,2)&amp;MID('paste from garc here'!$C$1,1+(('table for research'!$B230-1)*36+HEX2DEC(8))*2,2)),1920),7),2)</f>
        <v>00</v>
      </c>
      <c r="O230" t="str">
        <f>DEC2HEX(_xlfn.BITRSHIFT(HEX2DEC(MID('paste from garc here'!$C$1,1+(('table for research'!$B230-1)*36+HEX2DEC(9))*2,2)&amp;MID('paste from garc here'!$C$1,1+(('table for research'!$B230-1)*36+HEX2DEC(8))*2,2)),11),2)</f>
        <v>00</v>
      </c>
      <c r="P230" t="str">
        <f>MID('paste from garc here'!$C$1,1+(('table for research'!$B230-1)*36+HEX2DEC('table for research'!P$1))*2,2)</f>
        <v>00</v>
      </c>
      <c r="Q230" t="str">
        <f>MID('paste from garc here'!$C$1,1+(('table for research'!$B230-1)*36+HEX2DEC('table for research'!Q$1))*2,2)</f>
        <v>00</v>
      </c>
      <c r="R230" t="str">
        <f>MID('paste from garc here'!$C$1,1+(('table for research'!$B230-1)*36+HEX2DEC('table for research'!R$1))*2,2)</f>
        <v>00</v>
      </c>
      <c r="S230" t="str">
        <f>MID('paste from garc here'!$C$1,1+(('table for research'!$B230-1)*36+HEX2DEC('table for research'!S$1))*2,2)</f>
        <v>01</v>
      </c>
      <c r="T230" t="str">
        <f>MID('paste from garc here'!$C$1,1+(('table for research'!$B230-1)*36+HEX2DEC('table for research'!T$1))*2,2)</f>
        <v>00</v>
      </c>
      <c r="U230" t="str">
        <f>MID('paste from garc here'!$C$1,1+(('table for research'!$B230-1)*36+HEX2DEC('table for research'!U$1))*2,2)</f>
        <v>01</v>
      </c>
      <c r="V230" t="str">
        <f>MID('paste from garc here'!$C$1,1+(('table for research'!$B230-1)*36+HEX2DEC('table for research'!V$1))*2,2)</f>
        <v>00</v>
      </c>
      <c r="W230" t="str">
        <f>MID('paste from garc here'!$C$1,1+(('table for research'!$B230-1)*36+HEX2DEC('table for research'!W$1))*2,2)</f>
        <v>00</v>
      </c>
      <c r="X230" t="str">
        <f>MID('paste from garc here'!$C$1,1+(('table for research'!$B230-1)*36+HEX2DEC('table for research'!X$1))*2,2)</f>
        <v>00</v>
      </c>
      <c r="Y230" t="str">
        <f>MID('paste from garc here'!$C$1,1+(('table for research'!$B230-1)*36+HEX2DEC('table for research'!Y$1))*2,2)</f>
        <v>00</v>
      </c>
      <c r="Z230" t="str">
        <f>MID('paste from garc here'!$C$1,1+(('table for research'!$B230-1)*36+HEX2DEC('table for research'!Z$1))*2,2)</f>
        <v>00</v>
      </c>
      <c r="AA230" t="str">
        <f>MID('paste from garc here'!$C$1,1+(('table for research'!$B230-1)*36+HEX2DEC('table for research'!AA$1))*2,2)</f>
        <v>00</v>
      </c>
      <c r="AB230" t="str">
        <f>MID('paste from garc here'!$C$1,1+(('table for research'!$B230-1)*36+HEX2DEC('table for research'!AB$1))*2,2)</f>
        <v>00</v>
      </c>
      <c r="AC230" t="str">
        <f>MID('paste from garc here'!$C$1,1+(('table for research'!$B230-1)*36+HEX2DEC('table for research'!AC$1))*2,2)</f>
        <v>00</v>
      </c>
      <c r="AD230" t="str">
        <f>MID('paste from garc here'!$C$1,1+(('table for research'!$B230-1)*36+HEX2DEC('table for research'!AD$1))*2,2)</f>
        <v>00</v>
      </c>
      <c r="AE230" t="str">
        <f>MID('paste from garc here'!$C$1,1+(('table for research'!$B230-1)*36+HEX2DEC('table for research'!AE$1))*2,2)</f>
        <v>00</v>
      </c>
      <c r="AF230" t="str">
        <f>MID('paste from garc here'!$C$1,1+(('table for research'!$B230-1)*36+HEX2DEC('table for research'!AF$1))*2,2)</f>
        <v>00</v>
      </c>
      <c r="AG230" t="str">
        <f>MID('paste from garc here'!$C$1,1+(('table for research'!$B230-1)*36+HEX2DEC('table for research'!AG$1))*2,2)</f>
        <v>00</v>
      </c>
      <c r="AH230" t="str">
        <f>MID('paste from garc here'!$C$1,1+(('table for research'!$B230-1)*36+HEX2DEC('table for research'!AH$1))*2,2)</f>
        <v>00</v>
      </c>
      <c r="AI230" t="str">
        <f>MID('paste from garc here'!$C$1,1+(('table for research'!$B230-1)*36+HEX2DEC('table for research'!AI$1))*2,2)</f>
        <v>00</v>
      </c>
      <c r="AJ230" t="str">
        <f>MID('paste from garc here'!$C$1,1+(('table for research'!$B230-1)*36+HEX2DEC('table for research'!AJ$1))*2,2)</f>
        <v>00</v>
      </c>
      <c r="AK230" t="str">
        <f>MID('paste from garc here'!$C$1,1+(('table for research'!$B230-1)*36+HEX2DEC('table for research'!AK$1))*2,2)</f>
        <v>00</v>
      </c>
      <c r="AL230" t="str">
        <f>MID('paste from garc here'!$C$1,1+(('table for research'!$B230-1)*36+HEX2DEC('table for research'!AL$1))*2,2)</f>
        <v>00</v>
      </c>
      <c r="AM230" t="str">
        <f>MID('paste from garc here'!$C$1,1+(('table for research'!$B230-1)*36+HEX2DEC('table for research'!AM$1))*2,2)</f>
        <v>00</v>
      </c>
      <c r="AN230" t="str">
        <f>MID('paste from garc here'!$C$1,1+(('table for research'!$B230-1)*36+HEX2DEC('table for research'!AN$1))*2,2)</f>
        <v>00</v>
      </c>
      <c r="AO230" t="str">
        <f>MID('paste from garc here'!$C$1,1+(('table for research'!$B230-1)*36+HEX2DEC('table for research'!AO$1))*2,2)</f>
        <v>00</v>
      </c>
    </row>
    <row r="231" spans="1:41" x14ac:dyDescent="0.4">
      <c r="A231" t="s">
        <v>234</v>
      </c>
      <c r="B231">
        <f>B230+1</f>
        <v>229</v>
      </c>
      <c r="C231" t="str">
        <f>MID('paste from garc here'!$C$1,1+(('table for research'!$B231-1)*36+HEX2DEC('table for research'!C$1))*2,2)</f>
        <v>2C</v>
      </c>
      <c r="D231" t="str">
        <f>MID('paste from garc here'!$C$1,1+(('table for research'!$B231-1)*36+HEX2DEC('table for research'!D$1))*2,2)</f>
        <v>01</v>
      </c>
      <c r="E231" t="str">
        <f>MID('paste from garc here'!$C$1,1+(('table for research'!$B231-1)*36+HEX2DEC('table for research'!E$1))*2,2)</f>
        <v>3F</v>
      </c>
      <c r="F231" t="str">
        <f>MID('paste from garc here'!$C$1,1+(('table for research'!$B231-1)*36+HEX2DEC('table for research'!F$1))*2,2)</f>
        <v>00</v>
      </c>
      <c r="G231" t="str">
        <f>MID('paste from garc here'!$C$1,1+(('table for research'!$B231-1)*36+HEX2DEC('table for research'!G$1))*2,2)</f>
        <v>00</v>
      </c>
      <c r="H231" t="str">
        <f>MID('paste from garc here'!$C$1,1+(('table for research'!$B231-1)*36+HEX2DEC('table for research'!H$1))*2,2)</f>
        <v>00</v>
      </c>
      <c r="I231" t="str">
        <f>MID('paste from garc here'!$C$1,1+(('table for research'!$B231-1)*36+HEX2DEC('table for research'!I$1))*2,2)</f>
        <v>1E</v>
      </c>
      <c r="J231" t="str">
        <f>MID('paste from garc here'!$C$1,1+(('table for research'!$B231-1)*36+HEX2DEC('table for research'!J$1))*2,2)</f>
        <v>00</v>
      </c>
      <c r="K231" t="str">
        <f>DEC2HEX(_xlfn.BITAND(HEX2DEC(MID('paste from garc here'!$C$1,1+(('table for research'!$B231-1)*36+HEX2DEC(8))*2,2)),31),2)</f>
        <v>1F</v>
      </c>
      <c r="L231" t="str">
        <f>DEC2HEX(_xlfn.BITAND(HEX2DEC(MID('paste from garc here'!$C$1,1+(('table for research'!$B231-1)*36+HEX2DEC(8))*2,2)),32),2)</f>
        <v>00</v>
      </c>
      <c r="M231" t="str">
        <f>DEC2HEX(_xlfn.BITAND(HEX2DEC(MID('paste from garc here'!$C$1,1+(('table for research'!$B231-1)*36+HEX2DEC(8))*2,2)),64),2)</f>
        <v>00</v>
      </c>
      <c r="N231" t="str">
        <f>DEC2HEX(_xlfn.BITRSHIFT(_xlfn.BITAND(HEX2DEC(MID('paste from garc here'!$C$1,1+(('table for research'!$B231-1)*36+HEX2DEC(9))*2,2)&amp;MID('paste from garc here'!$C$1,1+(('table for research'!$B231-1)*36+HEX2DEC(8))*2,2)),1920),7),2)</f>
        <v>00</v>
      </c>
      <c r="O231" t="str">
        <f>DEC2HEX(_xlfn.BITRSHIFT(HEX2DEC(MID('paste from garc here'!$C$1,1+(('table for research'!$B231-1)*36+HEX2DEC(9))*2,2)&amp;MID('paste from garc here'!$C$1,1+(('table for research'!$B231-1)*36+HEX2DEC(8))*2,2)),11),2)</f>
        <v>00</v>
      </c>
      <c r="P231" t="str">
        <f>MID('paste from garc here'!$C$1,1+(('table for research'!$B231-1)*36+HEX2DEC('table for research'!P$1))*2,2)</f>
        <v>00</v>
      </c>
      <c r="Q231" t="str">
        <f>MID('paste from garc here'!$C$1,1+(('table for research'!$B231-1)*36+HEX2DEC('table for research'!Q$1))*2,2)</f>
        <v>00</v>
      </c>
      <c r="R231" t="str">
        <f>MID('paste from garc here'!$C$1,1+(('table for research'!$B231-1)*36+HEX2DEC('table for research'!R$1))*2,2)</f>
        <v>00</v>
      </c>
      <c r="S231" t="str">
        <f>MID('paste from garc here'!$C$1,1+(('table for research'!$B231-1)*36+HEX2DEC('table for research'!S$1))*2,2)</f>
        <v>01</v>
      </c>
      <c r="T231" t="str">
        <f>MID('paste from garc here'!$C$1,1+(('table for research'!$B231-1)*36+HEX2DEC('table for research'!T$1))*2,2)</f>
        <v>00</v>
      </c>
      <c r="U231" t="str">
        <f>MID('paste from garc here'!$C$1,1+(('table for research'!$B231-1)*36+HEX2DEC('table for research'!U$1))*2,2)</f>
        <v>50</v>
      </c>
      <c r="V231" t="str">
        <f>MID('paste from garc here'!$C$1,1+(('table for research'!$B231-1)*36+HEX2DEC('table for research'!V$1))*2,2)</f>
        <v>00</v>
      </c>
      <c r="W231" t="str">
        <f>MID('paste from garc here'!$C$1,1+(('table for research'!$B231-1)*36+HEX2DEC('table for research'!W$1))*2,2)</f>
        <v>00</v>
      </c>
      <c r="X231" t="str">
        <f>MID('paste from garc here'!$C$1,1+(('table for research'!$B231-1)*36+HEX2DEC('table for research'!X$1))*2,2)</f>
        <v>00</v>
      </c>
      <c r="Y231" t="str">
        <f>MID('paste from garc here'!$C$1,1+(('table for research'!$B231-1)*36+HEX2DEC('table for research'!Y$1))*2,2)</f>
        <v>00</v>
      </c>
      <c r="Z231" t="str">
        <f>MID('paste from garc here'!$C$1,1+(('table for research'!$B231-1)*36+HEX2DEC('table for research'!Z$1))*2,2)</f>
        <v>00</v>
      </c>
      <c r="AA231" t="str">
        <f>MID('paste from garc here'!$C$1,1+(('table for research'!$B231-1)*36+HEX2DEC('table for research'!AA$1))*2,2)</f>
        <v>00</v>
      </c>
      <c r="AB231" t="str">
        <f>MID('paste from garc here'!$C$1,1+(('table for research'!$B231-1)*36+HEX2DEC('table for research'!AB$1))*2,2)</f>
        <v>00</v>
      </c>
      <c r="AC231" t="str">
        <f>MID('paste from garc here'!$C$1,1+(('table for research'!$B231-1)*36+HEX2DEC('table for research'!AC$1))*2,2)</f>
        <v>00</v>
      </c>
      <c r="AD231" t="str">
        <f>MID('paste from garc here'!$C$1,1+(('table for research'!$B231-1)*36+HEX2DEC('table for research'!AD$1))*2,2)</f>
        <v>00</v>
      </c>
      <c r="AE231" t="str">
        <f>MID('paste from garc here'!$C$1,1+(('table for research'!$B231-1)*36+HEX2DEC('table for research'!AE$1))*2,2)</f>
        <v>00</v>
      </c>
      <c r="AF231" t="str">
        <f>MID('paste from garc here'!$C$1,1+(('table for research'!$B231-1)*36+HEX2DEC('table for research'!AF$1))*2,2)</f>
        <v>00</v>
      </c>
      <c r="AG231" t="str">
        <f>MID('paste from garc here'!$C$1,1+(('table for research'!$B231-1)*36+HEX2DEC('table for research'!AG$1))*2,2)</f>
        <v>00</v>
      </c>
      <c r="AH231" t="str">
        <f>MID('paste from garc here'!$C$1,1+(('table for research'!$B231-1)*36+HEX2DEC('table for research'!AH$1))*2,2)</f>
        <v>00</v>
      </c>
      <c r="AI231" t="str">
        <f>MID('paste from garc here'!$C$1,1+(('table for research'!$B231-1)*36+HEX2DEC('table for research'!AI$1))*2,2)</f>
        <v>00</v>
      </c>
      <c r="AJ231" t="str">
        <f>MID('paste from garc here'!$C$1,1+(('table for research'!$B231-1)*36+HEX2DEC('table for research'!AJ$1))*2,2)</f>
        <v>00</v>
      </c>
      <c r="AK231" t="str">
        <f>MID('paste from garc here'!$C$1,1+(('table for research'!$B231-1)*36+HEX2DEC('table for research'!AK$1))*2,2)</f>
        <v>00</v>
      </c>
      <c r="AL231" t="str">
        <f>MID('paste from garc here'!$C$1,1+(('table for research'!$B231-1)*36+HEX2DEC('table for research'!AL$1))*2,2)</f>
        <v>00</v>
      </c>
      <c r="AM231" t="str">
        <f>MID('paste from garc here'!$C$1,1+(('table for research'!$B231-1)*36+HEX2DEC('table for research'!AM$1))*2,2)</f>
        <v>00</v>
      </c>
      <c r="AN231" t="str">
        <f>MID('paste from garc here'!$C$1,1+(('table for research'!$B231-1)*36+HEX2DEC('table for research'!AN$1))*2,2)</f>
        <v>00</v>
      </c>
      <c r="AO231" t="str">
        <f>MID('paste from garc here'!$C$1,1+(('table for research'!$B231-1)*36+HEX2DEC('table for research'!AO$1))*2,2)</f>
        <v>00</v>
      </c>
    </row>
    <row r="232" spans="1:41" x14ac:dyDescent="0.4">
      <c r="A232" t="s">
        <v>235</v>
      </c>
      <c r="B232">
        <f>B231+1</f>
        <v>230</v>
      </c>
      <c r="C232" t="str">
        <f>MID('paste from garc here'!$C$1,1+(('table for research'!$B232-1)*36+HEX2DEC('table for research'!C$1))*2,2)</f>
        <v>08</v>
      </c>
      <c r="D232" t="str">
        <f>MID('paste from garc here'!$C$1,1+(('table for research'!$B232-1)*36+HEX2DEC('table for research'!D$1))*2,2)</f>
        <v>07</v>
      </c>
      <c r="E232" t="str">
        <f>MID('paste from garc here'!$C$1,1+(('table for research'!$B232-1)*36+HEX2DEC('table for research'!E$1))*2,2)</f>
        <v>40</v>
      </c>
      <c r="F232" t="str">
        <f>MID('paste from garc here'!$C$1,1+(('table for research'!$B232-1)*36+HEX2DEC('table for research'!F$1))*2,2)</f>
        <v>0A</v>
      </c>
      <c r="G232" t="str">
        <f>MID('paste from garc here'!$C$1,1+(('table for research'!$B232-1)*36+HEX2DEC('table for research'!G$1))*2,2)</f>
        <v>00</v>
      </c>
      <c r="H232" t="str">
        <f>MID('paste from garc here'!$C$1,1+(('table for research'!$B232-1)*36+HEX2DEC('table for research'!H$1))*2,2)</f>
        <v>00</v>
      </c>
      <c r="I232" t="str">
        <f>MID('paste from garc here'!$C$1,1+(('table for research'!$B232-1)*36+HEX2DEC('table for research'!I$1))*2,2)</f>
        <v>0A</v>
      </c>
      <c r="J232" t="str">
        <f>MID('paste from garc here'!$C$1,1+(('table for research'!$B232-1)*36+HEX2DEC('table for research'!J$1))*2,2)</f>
        <v>00</v>
      </c>
      <c r="K232" t="str">
        <f>DEC2HEX(_xlfn.BITAND(HEX2DEC(MID('paste from garc here'!$C$1,1+(('table for research'!$B232-1)*36+HEX2DEC(8))*2,2)),31),2)</f>
        <v>1F</v>
      </c>
      <c r="L232" t="str">
        <f>DEC2HEX(_xlfn.BITAND(HEX2DEC(MID('paste from garc here'!$C$1,1+(('table for research'!$B232-1)*36+HEX2DEC(8))*2,2)),32),2)</f>
        <v>00</v>
      </c>
      <c r="M232" t="str">
        <f>DEC2HEX(_xlfn.BITAND(HEX2DEC(MID('paste from garc here'!$C$1,1+(('table for research'!$B232-1)*36+HEX2DEC(8))*2,2)),64),2)</f>
        <v>00</v>
      </c>
      <c r="N232" t="str">
        <f>DEC2HEX(_xlfn.BITRSHIFT(_xlfn.BITAND(HEX2DEC(MID('paste from garc here'!$C$1,1+(('table for research'!$B232-1)*36+HEX2DEC(9))*2,2)&amp;MID('paste from garc here'!$C$1,1+(('table for research'!$B232-1)*36+HEX2DEC(8))*2,2)),1920),7),2)</f>
        <v>00</v>
      </c>
      <c r="O232" t="str">
        <f>DEC2HEX(_xlfn.BITRSHIFT(HEX2DEC(MID('paste from garc here'!$C$1,1+(('table for research'!$B232-1)*36+HEX2DEC(9))*2,2)&amp;MID('paste from garc here'!$C$1,1+(('table for research'!$B232-1)*36+HEX2DEC(8))*2,2)),11),2)</f>
        <v>00</v>
      </c>
      <c r="P232" t="str">
        <f>MID('paste from garc here'!$C$1,1+(('table for research'!$B232-1)*36+HEX2DEC('table for research'!P$1))*2,2)</f>
        <v>00</v>
      </c>
      <c r="Q232" t="str">
        <f>MID('paste from garc here'!$C$1,1+(('table for research'!$B232-1)*36+HEX2DEC('table for research'!Q$1))*2,2)</f>
        <v>00</v>
      </c>
      <c r="R232" t="str">
        <f>MID('paste from garc here'!$C$1,1+(('table for research'!$B232-1)*36+HEX2DEC('table for research'!R$1))*2,2)</f>
        <v>00</v>
      </c>
      <c r="S232" t="str">
        <f>MID('paste from garc here'!$C$1,1+(('table for research'!$B232-1)*36+HEX2DEC('table for research'!S$1))*2,2)</f>
        <v>01</v>
      </c>
      <c r="T232" t="str">
        <f>MID('paste from garc here'!$C$1,1+(('table for research'!$B232-1)*36+HEX2DEC('table for research'!T$1))*2,2)</f>
        <v>00</v>
      </c>
      <c r="U232" t="str">
        <f>MID('paste from garc here'!$C$1,1+(('table for research'!$B232-1)*36+HEX2DEC('table for research'!U$1))*2,2)</f>
        <v>14</v>
      </c>
      <c r="V232" t="str">
        <f>MID('paste from garc here'!$C$1,1+(('table for research'!$B232-1)*36+HEX2DEC('table for research'!V$1))*2,2)</f>
        <v>00</v>
      </c>
      <c r="W232" t="str">
        <f>MID('paste from garc here'!$C$1,1+(('table for research'!$B232-1)*36+HEX2DEC('table for research'!W$1))*2,2)</f>
        <v>00</v>
      </c>
      <c r="X232" t="str">
        <f>MID('paste from garc here'!$C$1,1+(('table for research'!$B232-1)*36+HEX2DEC('table for research'!X$1))*2,2)</f>
        <v>00</v>
      </c>
      <c r="Y232" t="str">
        <f>MID('paste from garc here'!$C$1,1+(('table for research'!$B232-1)*36+HEX2DEC('table for research'!Y$1))*2,2)</f>
        <v>00</v>
      </c>
      <c r="Z232" t="str">
        <f>MID('paste from garc here'!$C$1,1+(('table for research'!$B232-1)*36+HEX2DEC('table for research'!Z$1))*2,2)</f>
        <v>00</v>
      </c>
      <c r="AA232" t="str">
        <f>MID('paste from garc here'!$C$1,1+(('table for research'!$B232-1)*36+HEX2DEC('table for research'!AA$1))*2,2)</f>
        <v>00</v>
      </c>
      <c r="AB232" t="str">
        <f>MID('paste from garc here'!$C$1,1+(('table for research'!$B232-1)*36+HEX2DEC('table for research'!AB$1))*2,2)</f>
        <v>00</v>
      </c>
      <c r="AC232" t="str">
        <f>MID('paste from garc here'!$C$1,1+(('table for research'!$B232-1)*36+HEX2DEC('table for research'!AC$1))*2,2)</f>
        <v>00</v>
      </c>
      <c r="AD232" t="str">
        <f>MID('paste from garc here'!$C$1,1+(('table for research'!$B232-1)*36+HEX2DEC('table for research'!AD$1))*2,2)</f>
        <v>00</v>
      </c>
      <c r="AE232" t="str">
        <f>MID('paste from garc here'!$C$1,1+(('table for research'!$B232-1)*36+HEX2DEC('table for research'!AE$1))*2,2)</f>
        <v>00</v>
      </c>
      <c r="AF232" t="str">
        <f>MID('paste from garc here'!$C$1,1+(('table for research'!$B232-1)*36+HEX2DEC('table for research'!AF$1))*2,2)</f>
        <v>00</v>
      </c>
      <c r="AG232" t="str">
        <f>MID('paste from garc here'!$C$1,1+(('table for research'!$B232-1)*36+HEX2DEC('table for research'!AG$1))*2,2)</f>
        <v>00</v>
      </c>
      <c r="AH232" t="str">
        <f>MID('paste from garc here'!$C$1,1+(('table for research'!$B232-1)*36+HEX2DEC('table for research'!AH$1))*2,2)</f>
        <v>00</v>
      </c>
      <c r="AI232" t="str">
        <f>MID('paste from garc here'!$C$1,1+(('table for research'!$B232-1)*36+HEX2DEC('table for research'!AI$1))*2,2)</f>
        <v>00</v>
      </c>
      <c r="AJ232" t="str">
        <f>MID('paste from garc here'!$C$1,1+(('table for research'!$B232-1)*36+HEX2DEC('table for research'!AJ$1))*2,2)</f>
        <v>00</v>
      </c>
      <c r="AK232" t="str">
        <f>MID('paste from garc here'!$C$1,1+(('table for research'!$B232-1)*36+HEX2DEC('table for research'!AK$1))*2,2)</f>
        <v>00</v>
      </c>
      <c r="AL232" t="str">
        <f>MID('paste from garc here'!$C$1,1+(('table for research'!$B232-1)*36+HEX2DEC('table for research'!AL$1))*2,2)</f>
        <v>00</v>
      </c>
      <c r="AM232" t="str">
        <f>MID('paste from garc here'!$C$1,1+(('table for research'!$B232-1)*36+HEX2DEC('table for research'!AM$1))*2,2)</f>
        <v>00</v>
      </c>
      <c r="AN232" t="str">
        <f>MID('paste from garc here'!$C$1,1+(('table for research'!$B232-1)*36+HEX2DEC('table for research'!AN$1))*2,2)</f>
        <v>00</v>
      </c>
      <c r="AO232" t="str">
        <f>MID('paste from garc here'!$C$1,1+(('table for research'!$B232-1)*36+HEX2DEC('table for research'!AO$1))*2,2)</f>
        <v>00</v>
      </c>
    </row>
    <row r="233" spans="1:41" x14ac:dyDescent="0.4">
      <c r="A233" t="s">
        <v>236</v>
      </c>
      <c r="B233">
        <f>B232+1</f>
        <v>231</v>
      </c>
      <c r="C233" t="str">
        <f>MID('paste from garc here'!$C$1,1+(('table for research'!$B233-1)*36+HEX2DEC('table for research'!C$1))*2,2)</f>
        <v>64</v>
      </c>
      <c r="D233" t="str">
        <f>MID('paste from garc here'!$C$1,1+(('table for research'!$B233-1)*36+HEX2DEC('table for research'!D$1))*2,2)</f>
        <v>00</v>
      </c>
      <c r="E233" t="str">
        <f>MID('paste from garc here'!$C$1,1+(('table for research'!$B233-1)*36+HEX2DEC('table for research'!E$1))*2,2)</f>
        <v>41</v>
      </c>
      <c r="F233" t="str">
        <f>MID('paste from garc here'!$C$1,1+(('table for research'!$B233-1)*36+HEX2DEC('table for research'!F$1))*2,2)</f>
        <v>00</v>
      </c>
      <c r="G233" t="str">
        <f>MID('paste from garc here'!$C$1,1+(('table for research'!$B233-1)*36+HEX2DEC('table for research'!G$1))*2,2)</f>
        <v>00</v>
      </c>
      <c r="H233" t="str">
        <f>MID('paste from garc here'!$C$1,1+(('table for research'!$B233-1)*36+HEX2DEC('table for research'!H$1))*2,2)</f>
        <v>00</v>
      </c>
      <c r="I233" t="str">
        <f>MID('paste from garc here'!$C$1,1+(('table for research'!$B233-1)*36+HEX2DEC('table for research'!I$1))*2,2)</f>
        <v>1E</v>
      </c>
      <c r="J233" t="str">
        <f>MID('paste from garc here'!$C$1,1+(('table for research'!$B233-1)*36+HEX2DEC('table for research'!J$1))*2,2)</f>
        <v>00</v>
      </c>
      <c r="K233" t="str">
        <f>DEC2HEX(_xlfn.BITAND(HEX2DEC(MID('paste from garc here'!$C$1,1+(('table for research'!$B233-1)*36+HEX2DEC(8))*2,2)),31),2)</f>
        <v>1F</v>
      </c>
      <c r="L233" t="str">
        <f>DEC2HEX(_xlfn.BITAND(HEX2DEC(MID('paste from garc here'!$C$1,1+(('table for research'!$B233-1)*36+HEX2DEC(8))*2,2)),32),2)</f>
        <v>00</v>
      </c>
      <c r="M233" t="str">
        <f>DEC2HEX(_xlfn.BITAND(HEX2DEC(MID('paste from garc here'!$C$1,1+(('table for research'!$B233-1)*36+HEX2DEC(8))*2,2)),64),2)</f>
        <v>00</v>
      </c>
      <c r="N233" t="str">
        <f>DEC2HEX(_xlfn.BITRSHIFT(_xlfn.BITAND(HEX2DEC(MID('paste from garc here'!$C$1,1+(('table for research'!$B233-1)*36+HEX2DEC(9))*2,2)&amp;MID('paste from garc here'!$C$1,1+(('table for research'!$B233-1)*36+HEX2DEC(8))*2,2)),1920),7),2)</f>
        <v>00</v>
      </c>
      <c r="O233" t="str">
        <f>DEC2HEX(_xlfn.BITRSHIFT(HEX2DEC(MID('paste from garc here'!$C$1,1+(('table for research'!$B233-1)*36+HEX2DEC(9))*2,2)&amp;MID('paste from garc here'!$C$1,1+(('table for research'!$B233-1)*36+HEX2DEC(8))*2,2)),11),2)</f>
        <v>00</v>
      </c>
      <c r="P233" t="str">
        <f>MID('paste from garc here'!$C$1,1+(('table for research'!$B233-1)*36+HEX2DEC('table for research'!P$1))*2,2)</f>
        <v>00</v>
      </c>
      <c r="Q233" t="str">
        <f>MID('paste from garc here'!$C$1,1+(('table for research'!$B233-1)*36+HEX2DEC('table for research'!Q$1))*2,2)</f>
        <v>00</v>
      </c>
      <c r="R233" t="str">
        <f>MID('paste from garc here'!$C$1,1+(('table for research'!$B233-1)*36+HEX2DEC('table for research'!R$1))*2,2)</f>
        <v>00</v>
      </c>
      <c r="S233" t="str">
        <f>MID('paste from garc here'!$C$1,1+(('table for research'!$B233-1)*36+HEX2DEC('table for research'!S$1))*2,2)</f>
        <v>01</v>
      </c>
      <c r="T233" t="str">
        <f>MID('paste from garc here'!$C$1,1+(('table for research'!$B233-1)*36+HEX2DEC('table for research'!T$1))*2,2)</f>
        <v>00</v>
      </c>
      <c r="U233" t="str">
        <f>MID('paste from garc here'!$C$1,1+(('table for research'!$B233-1)*36+HEX2DEC('table for research'!U$1))*2,2)</f>
        <v>03</v>
      </c>
      <c r="V233" t="str">
        <f>MID('paste from garc here'!$C$1,1+(('table for research'!$B233-1)*36+HEX2DEC('table for research'!V$1))*2,2)</f>
        <v>00</v>
      </c>
      <c r="W233" t="str">
        <f>MID('paste from garc here'!$C$1,1+(('table for research'!$B233-1)*36+HEX2DEC('table for research'!W$1))*2,2)</f>
        <v>00</v>
      </c>
      <c r="X233" t="str">
        <f>MID('paste from garc here'!$C$1,1+(('table for research'!$B233-1)*36+HEX2DEC('table for research'!X$1))*2,2)</f>
        <v>00</v>
      </c>
      <c r="Y233" t="str">
        <f>MID('paste from garc here'!$C$1,1+(('table for research'!$B233-1)*36+HEX2DEC('table for research'!Y$1))*2,2)</f>
        <v>00</v>
      </c>
      <c r="Z233" t="str">
        <f>MID('paste from garc here'!$C$1,1+(('table for research'!$B233-1)*36+HEX2DEC('table for research'!Z$1))*2,2)</f>
        <v>00</v>
      </c>
      <c r="AA233" t="str">
        <f>MID('paste from garc here'!$C$1,1+(('table for research'!$B233-1)*36+HEX2DEC('table for research'!AA$1))*2,2)</f>
        <v>00</v>
      </c>
      <c r="AB233" t="str">
        <f>MID('paste from garc here'!$C$1,1+(('table for research'!$B233-1)*36+HEX2DEC('table for research'!AB$1))*2,2)</f>
        <v>00</v>
      </c>
      <c r="AC233" t="str">
        <f>MID('paste from garc here'!$C$1,1+(('table for research'!$B233-1)*36+HEX2DEC('table for research'!AC$1))*2,2)</f>
        <v>00</v>
      </c>
      <c r="AD233" t="str">
        <f>MID('paste from garc here'!$C$1,1+(('table for research'!$B233-1)*36+HEX2DEC('table for research'!AD$1))*2,2)</f>
        <v>00</v>
      </c>
      <c r="AE233" t="str">
        <f>MID('paste from garc here'!$C$1,1+(('table for research'!$B233-1)*36+HEX2DEC('table for research'!AE$1))*2,2)</f>
        <v>00</v>
      </c>
      <c r="AF233" t="str">
        <f>MID('paste from garc here'!$C$1,1+(('table for research'!$B233-1)*36+HEX2DEC('table for research'!AF$1))*2,2)</f>
        <v>00</v>
      </c>
      <c r="AG233" t="str">
        <f>MID('paste from garc here'!$C$1,1+(('table for research'!$B233-1)*36+HEX2DEC('table for research'!AG$1))*2,2)</f>
        <v>00</v>
      </c>
      <c r="AH233" t="str">
        <f>MID('paste from garc here'!$C$1,1+(('table for research'!$B233-1)*36+HEX2DEC('table for research'!AH$1))*2,2)</f>
        <v>00</v>
      </c>
      <c r="AI233" t="str">
        <f>MID('paste from garc here'!$C$1,1+(('table for research'!$B233-1)*36+HEX2DEC('table for research'!AI$1))*2,2)</f>
        <v>00</v>
      </c>
      <c r="AJ233" t="str">
        <f>MID('paste from garc here'!$C$1,1+(('table for research'!$B233-1)*36+HEX2DEC('table for research'!AJ$1))*2,2)</f>
        <v>00</v>
      </c>
      <c r="AK233" t="str">
        <f>MID('paste from garc here'!$C$1,1+(('table for research'!$B233-1)*36+HEX2DEC('table for research'!AK$1))*2,2)</f>
        <v>00</v>
      </c>
      <c r="AL233" t="str">
        <f>MID('paste from garc here'!$C$1,1+(('table for research'!$B233-1)*36+HEX2DEC('table for research'!AL$1))*2,2)</f>
        <v>00</v>
      </c>
      <c r="AM233" t="str">
        <f>MID('paste from garc here'!$C$1,1+(('table for research'!$B233-1)*36+HEX2DEC('table for research'!AM$1))*2,2)</f>
        <v>00</v>
      </c>
      <c r="AN233" t="str">
        <f>MID('paste from garc here'!$C$1,1+(('table for research'!$B233-1)*36+HEX2DEC('table for research'!AN$1))*2,2)</f>
        <v>00</v>
      </c>
      <c r="AO233" t="str">
        <f>MID('paste from garc here'!$C$1,1+(('table for research'!$B233-1)*36+HEX2DEC('table for research'!AO$1))*2,2)</f>
        <v>00</v>
      </c>
    </row>
    <row r="234" spans="1:41" x14ac:dyDescent="0.4">
      <c r="A234" t="s">
        <v>237</v>
      </c>
      <c r="B234">
        <f>B233+1</f>
        <v>232</v>
      </c>
      <c r="C234" t="str">
        <f>MID('paste from garc here'!$C$1,1+(('table for research'!$B234-1)*36+HEX2DEC('table for research'!C$1))*2,2)</f>
        <v>F4</v>
      </c>
      <c r="D234" t="str">
        <f>MID('paste from garc here'!$C$1,1+(('table for research'!$B234-1)*36+HEX2DEC('table for research'!D$1))*2,2)</f>
        <v>01</v>
      </c>
      <c r="E234" t="str">
        <f>MID('paste from garc here'!$C$1,1+(('table for research'!$B234-1)*36+HEX2DEC('table for research'!E$1))*2,2)</f>
        <v>42</v>
      </c>
      <c r="F234" t="str">
        <f>MID('paste from garc here'!$C$1,1+(('table for research'!$B234-1)*36+HEX2DEC('table for research'!F$1))*2,2)</f>
        <v>00</v>
      </c>
      <c r="G234" t="str">
        <f>MID('paste from garc here'!$C$1,1+(('table for research'!$B234-1)*36+HEX2DEC('table for research'!G$1))*2,2)</f>
        <v>00</v>
      </c>
      <c r="H234" t="str">
        <f>MID('paste from garc here'!$C$1,1+(('table for research'!$B234-1)*36+HEX2DEC('table for research'!H$1))*2,2)</f>
        <v>00</v>
      </c>
      <c r="I234" t="str">
        <f>MID('paste from garc here'!$C$1,1+(('table for research'!$B234-1)*36+HEX2DEC('table for research'!I$1))*2,2)</f>
        <v>1E</v>
      </c>
      <c r="J234" t="str">
        <f>MID('paste from garc here'!$C$1,1+(('table for research'!$B234-1)*36+HEX2DEC('table for research'!J$1))*2,2)</f>
        <v>00</v>
      </c>
      <c r="K234" t="str">
        <f>DEC2HEX(_xlfn.BITAND(HEX2DEC(MID('paste from garc here'!$C$1,1+(('table for research'!$B234-1)*36+HEX2DEC(8))*2,2)),31),2)</f>
        <v>1F</v>
      </c>
      <c r="L234" t="str">
        <f>DEC2HEX(_xlfn.BITAND(HEX2DEC(MID('paste from garc here'!$C$1,1+(('table for research'!$B234-1)*36+HEX2DEC(8))*2,2)),32),2)</f>
        <v>00</v>
      </c>
      <c r="M234" t="str">
        <f>DEC2HEX(_xlfn.BITAND(HEX2DEC(MID('paste from garc here'!$C$1,1+(('table for research'!$B234-1)*36+HEX2DEC(8))*2,2)),64),2)</f>
        <v>00</v>
      </c>
      <c r="N234" t="str">
        <f>DEC2HEX(_xlfn.BITRSHIFT(_xlfn.BITAND(HEX2DEC(MID('paste from garc here'!$C$1,1+(('table for research'!$B234-1)*36+HEX2DEC(9))*2,2)&amp;MID('paste from garc here'!$C$1,1+(('table for research'!$B234-1)*36+HEX2DEC(8))*2,2)),1920),7),2)</f>
        <v>00</v>
      </c>
      <c r="O234" t="str">
        <f>DEC2HEX(_xlfn.BITRSHIFT(HEX2DEC(MID('paste from garc here'!$C$1,1+(('table for research'!$B234-1)*36+HEX2DEC(9))*2,2)&amp;MID('paste from garc here'!$C$1,1+(('table for research'!$B234-1)*36+HEX2DEC(8))*2,2)),11),2)</f>
        <v>00</v>
      </c>
      <c r="P234" t="str">
        <f>MID('paste from garc here'!$C$1,1+(('table for research'!$B234-1)*36+HEX2DEC('table for research'!P$1))*2,2)</f>
        <v>00</v>
      </c>
      <c r="Q234" t="str">
        <f>MID('paste from garc here'!$C$1,1+(('table for research'!$B234-1)*36+HEX2DEC('table for research'!Q$1))*2,2)</f>
        <v>00</v>
      </c>
      <c r="R234" t="str">
        <f>MID('paste from garc here'!$C$1,1+(('table for research'!$B234-1)*36+HEX2DEC('table for research'!R$1))*2,2)</f>
        <v>00</v>
      </c>
      <c r="S234" t="str">
        <f>MID('paste from garc here'!$C$1,1+(('table for research'!$B234-1)*36+HEX2DEC('table for research'!S$1))*2,2)</f>
        <v>01</v>
      </c>
      <c r="T234" t="str">
        <f>MID('paste from garc here'!$C$1,1+(('table for research'!$B234-1)*36+HEX2DEC('table for research'!T$1))*2,2)</f>
        <v>00</v>
      </c>
      <c r="U234" t="str">
        <f>MID('paste from garc here'!$C$1,1+(('table for research'!$B234-1)*36+HEX2DEC('table for research'!U$1))*2,2)</f>
        <v>21</v>
      </c>
      <c r="V234" t="str">
        <f>MID('paste from garc here'!$C$1,1+(('table for research'!$B234-1)*36+HEX2DEC('table for research'!V$1))*2,2)</f>
        <v>00</v>
      </c>
      <c r="W234" t="str">
        <f>MID('paste from garc here'!$C$1,1+(('table for research'!$B234-1)*36+HEX2DEC('table for research'!W$1))*2,2)</f>
        <v>00</v>
      </c>
      <c r="X234" t="str">
        <f>MID('paste from garc here'!$C$1,1+(('table for research'!$B234-1)*36+HEX2DEC('table for research'!X$1))*2,2)</f>
        <v>00</v>
      </c>
      <c r="Y234" t="str">
        <f>MID('paste from garc here'!$C$1,1+(('table for research'!$B234-1)*36+HEX2DEC('table for research'!Y$1))*2,2)</f>
        <v>00</v>
      </c>
      <c r="Z234" t="str">
        <f>MID('paste from garc here'!$C$1,1+(('table for research'!$B234-1)*36+HEX2DEC('table for research'!Z$1))*2,2)</f>
        <v>00</v>
      </c>
      <c r="AA234" t="str">
        <f>MID('paste from garc here'!$C$1,1+(('table for research'!$B234-1)*36+HEX2DEC('table for research'!AA$1))*2,2)</f>
        <v>00</v>
      </c>
      <c r="AB234" t="str">
        <f>MID('paste from garc here'!$C$1,1+(('table for research'!$B234-1)*36+HEX2DEC('table for research'!AB$1))*2,2)</f>
        <v>00</v>
      </c>
      <c r="AC234" t="str">
        <f>MID('paste from garc here'!$C$1,1+(('table for research'!$B234-1)*36+HEX2DEC('table for research'!AC$1))*2,2)</f>
        <v>00</v>
      </c>
      <c r="AD234" t="str">
        <f>MID('paste from garc here'!$C$1,1+(('table for research'!$B234-1)*36+HEX2DEC('table for research'!AD$1))*2,2)</f>
        <v>00</v>
      </c>
      <c r="AE234" t="str">
        <f>MID('paste from garc here'!$C$1,1+(('table for research'!$B234-1)*36+HEX2DEC('table for research'!AE$1))*2,2)</f>
        <v>00</v>
      </c>
      <c r="AF234" t="str">
        <f>MID('paste from garc here'!$C$1,1+(('table for research'!$B234-1)*36+HEX2DEC('table for research'!AF$1))*2,2)</f>
        <v>00</v>
      </c>
      <c r="AG234" t="str">
        <f>MID('paste from garc here'!$C$1,1+(('table for research'!$B234-1)*36+HEX2DEC('table for research'!AG$1))*2,2)</f>
        <v>00</v>
      </c>
      <c r="AH234" t="str">
        <f>MID('paste from garc here'!$C$1,1+(('table for research'!$B234-1)*36+HEX2DEC('table for research'!AH$1))*2,2)</f>
        <v>00</v>
      </c>
      <c r="AI234" t="str">
        <f>MID('paste from garc here'!$C$1,1+(('table for research'!$B234-1)*36+HEX2DEC('table for research'!AI$1))*2,2)</f>
        <v>00</v>
      </c>
      <c r="AJ234" t="str">
        <f>MID('paste from garc here'!$C$1,1+(('table for research'!$B234-1)*36+HEX2DEC('table for research'!AJ$1))*2,2)</f>
        <v>00</v>
      </c>
      <c r="AK234" t="str">
        <f>MID('paste from garc here'!$C$1,1+(('table for research'!$B234-1)*36+HEX2DEC('table for research'!AK$1))*2,2)</f>
        <v>00</v>
      </c>
      <c r="AL234" t="str">
        <f>MID('paste from garc here'!$C$1,1+(('table for research'!$B234-1)*36+HEX2DEC('table for research'!AL$1))*2,2)</f>
        <v>00</v>
      </c>
      <c r="AM234" t="str">
        <f>MID('paste from garc here'!$C$1,1+(('table for research'!$B234-1)*36+HEX2DEC('table for research'!AM$1))*2,2)</f>
        <v>00</v>
      </c>
      <c r="AN234" t="str">
        <f>MID('paste from garc here'!$C$1,1+(('table for research'!$B234-1)*36+HEX2DEC('table for research'!AN$1))*2,2)</f>
        <v>00</v>
      </c>
      <c r="AO234" t="str">
        <f>MID('paste from garc here'!$C$1,1+(('table for research'!$B234-1)*36+HEX2DEC('table for research'!AO$1))*2,2)</f>
        <v>00</v>
      </c>
    </row>
    <row r="235" spans="1:41" x14ac:dyDescent="0.4">
      <c r="A235" t="s">
        <v>238</v>
      </c>
      <c r="B235">
        <f>B234+1</f>
        <v>233</v>
      </c>
      <c r="C235" t="str">
        <f>MID('paste from garc here'!$C$1,1+(('table for research'!$B235-1)*36+HEX2DEC('table for research'!C$1))*2,2)</f>
        <v>C8</v>
      </c>
      <c r="D235" t="str">
        <f>MID('paste from garc here'!$C$1,1+(('table for research'!$B235-1)*36+HEX2DEC('table for research'!D$1))*2,2)</f>
        <v>00</v>
      </c>
      <c r="E235" t="str">
        <f>MID('paste from garc here'!$C$1,1+(('table for research'!$B235-1)*36+HEX2DEC('table for research'!E$1))*2,2)</f>
        <v>43</v>
      </c>
      <c r="F235" t="str">
        <f>MID('paste from garc here'!$C$1,1+(('table for research'!$B235-1)*36+HEX2DEC('table for research'!F$1))*2,2)</f>
        <v>14</v>
      </c>
      <c r="G235" t="str">
        <f>MID('paste from garc here'!$C$1,1+(('table for research'!$B235-1)*36+HEX2DEC('table for research'!G$1))*2,2)</f>
        <v>00</v>
      </c>
      <c r="H235" t="str">
        <f>MID('paste from garc here'!$C$1,1+(('table for research'!$B235-1)*36+HEX2DEC('table for research'!H$1))*2,2)</f>
        <v>00</v>
      </c>
      <c r="I235" t="str">
        <f>MID('paste from garc here'!$C$1,1+(('table for research'!$B235-1)*36+HEX2DEC('table for research'!I$1))*2,2)</f>
        <v>1E</v>
      </c>
      <c r="J235" t="str">
        <f>MID('paste from garc here'!$C$1,1+(('table for research'!$B235-1)*36+HEX2DEC('table for research'!J$1))*2,2)</f>
        <v>00</v>
      </c>
      <c r="K235" t="str">
        <f>DEC2HEX(_xlfn.BITAND(HEX2DEC(MID('paste from garc here'!$C$1,1+(('table for research'!$B235-1)*36+HEX2DEC(8))*2,2)),31),2)</f>
        <v>1F</v>
      </c>
      <c r="L235" t="str">
        <f>DEC2HEX(_xlfn.BITAND(HEX2DEC(MID('paste from garc here'!$C$1,1+(('table for research'!$B235-1)*36+HEX2DEC(8))*2,2)),32),2)</f>
        <v>00</v>
      </c>
      <c r="M235" t="str">
        <f>DEC2HEX(_xlfn.BITAND(HEX2DEC(MID('paste from garc here'!$C$1,1+(('table for research'!$B235-1)*36+HEX2DEC(8))*2,2)),64),2)</f>
        <v>00</v>
      </c>
      <c r="N235" t="str">
        <f>DEC2HEX(_xlfn.BITRSHIFT(_xlfn.BITAND(HEX2DEC(MID('paste from garc here'!$C$1,1+(('table for research'!$B235-1)*36+HEX2DEC(9))*2,2)&amp;MID('paste from garc here'!$C$1,1+(('table for research'!$B235-1)*36+HEX2DEC(8))*2,2)),1920),7),2)</f>
        <v>00</v>
      </c>
      <c r="O235" t="str">
        <f>DEC2HEX(_xlfn.BITRSHIFT(HEX2DEC(MID('paste from garc here'!$C$1,1+(('table for research'!$B235-1)*36+HEX2DEC(9))*2,2)&amp;MID('paste from garc here'!$C$1,1+(('table for research'!$B235-1)*36+HEX2DEC(8))*2,2)),11),2)</f>
        <v>00</v>
      </c>
      <c r="P235" t="str">
        <f>MID('paste from garc here'!$C$1,1+(('table for research'!$B235-1)*36+HEX2DEC('table for research'!P$1))*2,2)</f>
        <v>06</v>
      </c>
      <c r="Q235" t="str">
        <f>MID('paste from garc here'!$C$1,1+(('table for research'!$B235-1)*36+HEX2DEC('table for research'!Q$1))*2,2)</f>
        <v>00</v>
      </c>
      <c r="R235" t="str">
        <f>MID('paste from garc here'!$C$1,1+(('table for research'!$B235-1)*36+HEX2DEC('table for research'!R$1))*2,2)</f>
        <v>01</v>
      </c>
      <c r="S235" t="str">
        <f>MID('paste from garc here'!$C$1,1+(('table for research'!$B235-1)*36+HEX2DEC('table for research'!S$1))*2,2)</f>
        <v>02</v>
      </c>
      <c r="T235" t="str">
        <f>MID('paste from garc here'!$C$1,1+(('table for research'!$B235-1)*36+HEX2DEC('table for research'!T$1))*2,2)</f>
        <v>00</v>
      </c>
      <c r="U235" t="str">
        <f>MID('paste from garc here'!$C$1,1+(('table for research'!$B235-1)*36+HEX2DEC('table for research'!U$1))*2,2)</f>
        <v>64</v>
      </c>
      <c r="V235" t="str">
        <f>MID('paste from garc here'!$C$1,1+(('table for research'!$B235-1)*36+HEX2DEC('table for research'!V$1))*2,2)</f>
        <v>00</v>
      </c>
      <c r="W235" t="str">
        <f>MID('paste from garc here'!$C$1,1+(('table for research'!$B235-1)*36+HEX2DEC('table for research'!W$1))*2,2)</f>
        <v>08</v>
      </c>
      <c r="X235" t="str">
        <f>MID('paste from garc here'!$C$1,1+(('table for research'!$B235-1)*36+HEX2DEC('table for research'!X$1))*2,2)</f>
        <v>00</v>
      </c>
      <c r="Y235" t="str">
        <f>MID('paste from garc here'!$C$1,1+(('table for research'!$B235-1)*36+HEX2DEC('table for research'!Y$1))*2,2)</f>
        <v>00</v>
      </c>
      <c r="Z235" t="str">
        <f>MID('paste from garc here'!$C$1,1+(('table for research'!$B235-1)*36+HEX2DEC('table for research'!Z$1))*2,2)</f>
        <v>00</v>
      </c>
      <c r="AA235" t="str">
        <f>MID('paste from garc here'!$C$1,1+(('table for research'!$B235-1)*36+HEX2DEC('table for research'!AA$1))*2,2)</f>
        <v>00</v>
      </c>
      <c r="AB235" t="str">
        <f>MID('paste from garc here'!$C$1,1+(('table for research'!$B235-1)*36+HEX2DEC('table for research'!AB$1))*2,2)</f>
        <v>00</v>
      </c>
      <c r="AC235" t="str">
        <f>MID('paste from garc here'!$C$1,1+(('table for research'!$B235-1)*36+HEX2DEC('table for research'!AC$1))*2,2)</f>
        <v>00</v>
      </c>
      <c r="AD235" t="str">
        <f>MID('paste from garc here'!$C$1,1+(('table for research'!$B235-1)*36+HEX2DEC('table for research'!AD$1))*2,2)</f>
        <v>00</v>
      </c>
      <c r="AE235" t="str">
        <f>MID('paste from garc here'!$C$1,1+(('table for research'!$B235-1)*36+HEX2DEC('table for research'!AE$1))*2,2)</f>
        <v>00</v>
      </c>
      <c r="AF235" t="str">
        <f>MID('paste from garc here'!$C$1,1+(('table for research'!$B235-1)*36+HEX2DEC('table for research'!AF$1))*2,2)</f>
        <v>00</v>
      </c>
      <c r="AG235" t="str">
        <f>MID('paste from garc here'!$C$1,1+(('table for research'!$B235-1)*36+HEX2DEC('table for research'!AG$1))*2,2)</f>
        <v>00</v>
      </c>
      <c r="AH235" t="str">
        <f>MID('paste from garc here'!$C$1,1+(('table for research'!$B235-1)*36+HEX2DEC('table for research'!AH$1))*2,2)</f>
        <v>00</v>
      </c>
      <c r="AI235" t="str">
        <f>MID('paste from garc here'!$C$1,1+(('table for research'!$B235-1)*36+HEX2DEC('table for research'!AI$1))*2,2)</f>
        <v>00</v>
      </c>
      <c r="AJ235" t="str">
        <f>MID('paste from garc here'!$C$1,1+(('table for research'!$B235-1)*36+HEX2DEC('table for research'!AJ$1))*2,2)</f>
        <v>00</v>
      </c>
      <c r="AK235" t="str">
        <f>MID('paste from garc here'!$C$1,1+(('table for research'!$B235-1)*36+HEX2DEC('table for research'!AK$1))*2,2)</f>
        <v>00</v>
      </c>
      <c r="AL235" t="str">
        <f>MID('paste from garc here'!$C$1,1+(('table for research'!$B235-1)*36+HEX2DEC('table for research'!AL$1))*2,2)</f>
        <v>00</v>
      </c>
      <c r="AM235" t="str">
        <f>MID('paste from garc here'!$C$1,1+(('table for research'!$B235-1)*36+HEX2DEC('table for research'!AM$1))*2,2)</f>
        <v>00</v>
      </c>
      <c r="AN235" t="str">
        <f>MID('paste from garc here'!$C$1,1+(('table for research'!$B235-1)*36+HEX2DEC('table for research'!AN$1))*2,2)</f>
        <v>00</v>
      </c>
      <c r="AO235" t="str">
        <f>MID('paste from garc here'!$C$1,1+(('table for research'!$B235-1)*36+HEX2DEC('table for research'!AO$1))*2,2)</f>
        <v>00</v>
      </c>
    </row>
    <row r="236" spans="1:41" x14ac:dyDescent="0.4">
      <c r="A236" t="s">
        <v>239</v>
      </c>
      <c r="B236">
        <f>B235+1</f>
        <v>234</v>
      </c>
      <c r="C236" t="str">
        <f>MID('paste from garc here'!$C$1,1+(('table for research'!$B236-1)*36+HEX2DEC('table for research'!C$1))*2,2)</f>
        <v>18</v>
      </c>
      <c r="D236" t="str">
        <f>MID('paste from garc here'!$C$1,1+(('table for research'!$B236-1)*36+HEX2DEC('table for research'!D$1))*2,2)</f>
        <v>15</v>
      </c>
      <c r="E236" t="str">
        <f>MID('paste from garc here'!$C$1,1+(('table for research'!$B236-1)*36+HEX2DEC('table for research'!E$1))*2,2)</f>
        <v>44</v>
      </c>
      <c r="F236" t="str">
        <f>MID('paste from garc here'!$C$1,1+(('table for research'!$B236-1)*36+HEX2DEC('table for research'!F$1))*2,2)</f>
        <v>0A</v>
      </c>
      <c r="G236" t="str">
        <f>MID('paste from garc here'!$C$1,1+(('table for research'!$B236-1)*36+HEX2DEC('table for research'!G$1))*2,2)</f>
        <v>00</v>
      </c>
      <c r="H236" t="str">
        <f>MID('paste from garc here'!$C$1,1+(('table for research'!$B236-1)*36+HEX2DEC('table for research'!H$1))*2,2)</f>
        <v>00</v>
      </c>
      <c r="I236" t="str">
        <f>MID('paste from garc here'!$C$1,1+(('table for research'!$B236-1)*36+HEX2DEC('table for research'!I$1))*2,2)</f>
        <v>0A</v>
      </c>
      <c r="J236" t="str">
        <f>MID('paste from garc here'!$C$1,1+(('table for research'!$B236-1)*36+HEX2DEC('table for research'!J$1))*2,2)</f>
        <v>00</v>
      </c>
      <c r="K236" t="str">
        <f>DEC2HEX(_xlfn.BITAND(HEX2DEC(MID('paste from garc here'!$C$1,1+(('table for research'!$B236-1)*36+HEX2DEC(8))*2,2)),31),2)</f>
        <v>1F</v>
      </c>
      <c r="L236" t="str">
        <f>DEC2HEX(_xlfn.BITAND(HEX2DEC(MID('paste from garc here'!$C$1,1+(('table for research'!$B236-1)*36+HEX2DEC(8))*2,2)),32),2)</f>
        <v>00</v>
      </c>
      <c r="M236" t="str">
        <f>DEC2HEX(_xlfn.BITAND(HEX2DEC(MID('paste from garc here'!$C$1,1+(('table for research'!$B236-1)*36+HEX2DEC(8))*2,2)),64),2)</f>
        <v>00</v>
      </c>
      <c r="N236" t="str">
        <f>DEC2HEX(_xlfn.BITRSHIFT(_xlfn.BITAND(HEX2DEC(MID('paste from garc here'!$C$1,1+(('table for research'!$B236-1)*36+HEX2DEC(9))*2,2)&amp;MID('paste from garc here'!$C$1,1+(('table for research'!$B236-1)*36+HEX2DEC(8))*2,2)),1920),7),2)</f>
        <v>00</v>
      </c>
      <c r="O236" t="str">
        <f>DEC2HEX(_xlfn.BITRSHIFT(HEX2DEC(MID('paste from garc here'!$C$1,1+(('table for research'!$B236-1)*36+HEX2DEC(9))*2,2)&amp;MID('paste from garc here'!$C$1,1+(('table for research'!$B236-1)*36+HEX2DEC(8))*2,2)),11),2)</f>
        <v>00</v>
      </c>
      <c r="P236" t="str">
        <f>MID('paste from garc here'!$C$1,1+(('table for research'!$B236-1)*36+HEX2DEC('table for research'!P$1))*2,2)</f>
        <v>00</v>
      </c>
      <c r="Q236" t="str">
        <f>MID('paste from garc here'!$C$1,1+(('table for research'!$B236-1)*36+HEX2DEC('table for research'!Q$1))*2,2)</f>
        <v>00</v>
      </c>
      <c r="R236" t="str">
        <f>MID('paste from garc here'!$C$1,1+(('table for research'!$B236-1)*36+HEX2DEC('table for research'!R$1))*2,2)</f>
        <v>00</v>
      </c>
      <c r="S236" t="str">
        <f>MID('paste from garc here'!$C$1,1+(('table for research'!$B236-1)*36+HEX2DEC('table for research'!S$1))*2,2)</f>
        <v>01</v>
      </c>
      <c r="T236" t="str">
        <f>MID('paste from garc here'!$C$1,1+(('table for research'!$B236-1)*36+HEX2DEC('table for research'!T$1))*2,2)</f>
        <v>00</v>
      </c>
      <c r="U236" t="str">
        <f>MID('paste from garc here'!$C$1,1+(('table for research'!$B236-1)*36+HEX2DEC('table for research'!U$1))*2,2)</f>
        <v>33</v>
      </c>
      <c r="V236" t="str">
        <f>MID('paste from garc here'!$C$1,1+(('table for research'!$B236-1)*36+HEX2DEC('table for research'!V$1))*2,2)</f>
        <v>00</v>
      </c>
      <c r="W236" t="str">
        <f>MID('paste from garc here'!$C$1,1+(('table for research'!$B236-1)*36+HEX2DEC('table for research'!W$1))*2,2)</f>
        <v>00</v>
      </c>
      <c r="X236" t="str">
        <f>MID('paste from garc here'!$C$1,1+(('table for research'!$B236-1)*36+HEX2DEC('table for research'!X$1))*2,2)</f>
        <v>00</v>
      </c>
      <c r="Y236" t="str">
        <f>MID('paste from garc here'!$C$1,1+(('table for research'!$B236-1)*36+HEX2DEC('table for research'!Y$1))*2,2)</f>
        <v>00</v>
      </c>
      <c r="Z236" t="str">
        <f>MID('paste from garc here'!$C$1,1+(('table for research'!$B236-1)*36+HEX2DEC('table for research'!Z$1))*2,2)</f>
        <v>00</v>
      </c>
      <c r="AA236" t="str">
        <f>MID('paste from garc here'!$C$1,1+(('table for research'!$B236-1)*36+HEX2DEC('table for research'!AA$1))*2,2)</f>
        <v>00</v>
      </c>
      <c r="AB236" t="str">
        <f>MID('paste from garc here'!$C$1,1+(('table for research'!$B236-1)*36+HEX2DEC('table for research'!AB$1))*2,2)</f>
        <v>00</v>
      </c>
      <c r="AC236" t="str">
        <f>MID('paste from garc here'!$C$1,1+(('table for research'!$B236-1)*36+HEX2DEC('table for research'!AC$1))*2,2)</f>
        <v>00</v>
      </c>
      <c r="AD236" t="str">
        <f>MID('paste from garc here'!$C$1,1+(('table for research'!$B236-1)*36+HEX2DEC('table for research'!AD$1))*2,2)</f>
        <v>00</v>
      </c>
      <c r="AE236" t="str">
        <f>MID('paste from garc here'!$C$1,1+(('table for research'!$B236-1)*36+HEX2DEC('table for research'!AE$1))*2,2)</f>
        <v>00</v>
      </c>
      <c r="AF236" t="str">
        <f>MID('paste from garc here'!$C$1,1+(('table for research'!$B236-1)*36+HEX2DEC('table for research'!AF$1))*2,2)</f>
        <v>00</v>
      </c>
      <c r="AG236" t="str">
        <f>MID('paste from garc here'!$C$1,1+(('table for research'!$B236-1)*36+HEX2DEC('table for research'!AG$1))*2,2)</f>
        <v>00</v>
      </c>
      <c r="AH236" t="str">
        <f>MID('paste from garc here'!$C$1,1+(('table for research'!$B236-1)*36+HEX2DEC('table for research'!AH$1))*2,2)</f>
        <v>00</v>
      </c>
      <c r="AI236" t="str">
        <f>MID('paste from garc here'!$C$1,1+(('table for research'!$B236-1)*36+HEX2DEC('table for research'!AI$1))*2,2)</f>
        <v>00</v>
      </c>
      <c r="AJ236" t="str">
        <f>MID('paste from garc here'!$C$1,1+(('table for research'!$B236-1)*36+HEX2DEC('table for research'!AJ$1))*2,2)</f>
        <v>00</v>
      </c>
      <c r="AK236" t="str">
        <f>MID('paste from garc here'!$C$1,1+(('table for research'!$B236-1)*36+HEX2DEC('table for research'!AK$1))*2,2)</f>
        <v>00</v>
      </c>
      <c r="AL236" t="str">
        <f>MID('paste from garc here'!$C$1,1+(('table for research'!$B236-1)*36+HEX2DEC('table for research'!AL$1))*2,2)</f>
        <v>00</v>
      </c>
      <c r="AM236" t="str">
        <f>MID('paste from garc here'!$C$1,1+(('table for research'!$B236-1)*36+HEX2DEC('table for research'!AM$1))*2,2)</f>
        <v>00</v>
      </c>
      <c r="AN236" t="str">
        <f>MID('paste from garc here'!$C$1,1+(('table for research'!$B236-1)*36+HEX2DEC('table for research'!AN$1))*2,2)</f>
        <v>00</v>
      </c>
      <c r="AO236" t="str">
        <f>MID('paste from garc here'!$C$1,1+(('table for research'!$B236-1)*36+HEX2DEC('table for research'!AO$1))*2,2)</f>
        <v>00</v>
      </c>
    </row>
    <row r="237" spans="1:41" x14ac:dyDescent="0.4">
      <c r="A237" t="s">
        <v>240</v>
      </c>
      <c r="B237">
        <f>B236+1</f>
        <v>235</v>
      </c>
      <c r="C237" t="str">
        <f>MID('paste from garc here'!$C$1,1+(('table for research'!$B237-1)*36+HEX2DEC('table for research'!C$1))*2,2)</f>
        <v>C8</v>
      </c>
      <c r="D237" t="str">
        <f>MID('paste from garc here'!$C$1,1+(('table for research'!$B237-1)*36+HEX2DEC('table for research'!D$1))*2,2)</f>
        <v>00</v>
      </c>
      <c r="E237" t="str">
        <f>MID('paste from garc here'!$C$1,1+(('table for research'!$B237-1)*36+HEX2DEC('table for research'!E$1))*2,2)</f>
        <v>45</v>
      </c>
      <c r="F237" t="str">
        <f>MID('paste from garc here'!$C$1,1+(('table for research'!$B237-1)*36+HEX2DEC('table for research'!F$1))*2,2)</f>
        <v>0A</v>
      </c>
      <c r="G237" t="str">
        <f>MID('paste from garc here'!$C$1,1+(('table for research'!$B237-1)*36+HEX2DEC('table for research'!G$1))*2,2)</f>
        <v>00</v>
      </c>
      <c r="H237" t="str">
        <f>MID('paste from garc here'!$C$1,1+(('table for research'!$B237-1)*36+HEX2DEC('table for research'!H$1))*2,2)</f>
        <v>00</v>
      </c>
      <c r="I237" t="str">
        <f>MID('paste from garc here'!$C$1,1+(('table for research'!$B237-1)*36+HEX2DEC('table for research'!I$1))*2,2)</f>
        <v>1E</v>
      </c>
      <c r="J237" t="str">
        <f>MID('paste from garc here'!$C$1,1+(('table for research'!$B237-1)*36+HEX2DEC('table for research'!J$1))*2,2)</f>
        <v>00</v>
      </c>
      <c r="K237" t="str">
        <f>DEC2HEX(_xlfn.BITAND(HEX2DEC(MID('paste from garc here'!$C$1,1+(('table for research'!$B237-1)*36+HEX2DEC(8))*2,2)),31),2)</f>
        <v>1F</v>
      </c>
      <c r="L237" t="str">
        <f>DEC2HEX(_xlfn.BITAND(HEX2DEC(MID('paste from garc here'!$C$1,1+(('table for research'!$B237-1)*36+HEX2DEC(8))*2,2)),32),2)</f>
        <v>00</v>
      </c>
      <c r="M237" t="str">
        <f>DEC2HEX(_xlfn.BITAND(HEX2DEC(MID('paste from garc here'!$C$1,1+(('table for research'!$B237-1)*36+HEX2DEC(8))*2,2)),64),2)</f>
        <v>00</v>
      </c>
      <c r="N237" t="str">
        <f>DEC2HEX(_xlfn.BITRSHIFT(_xlfn.BITAND(HEX2DEC(MID('paste from garc here'!$C$1,1+(('table for research'!$B237-1)*36+HEX2DEC(9))*2,2)&amp;MID('paste from garc here'!$C$1,1+(('table for research'!$B237-1)*36+HEX2DEC(8))*2,2)),1920),7),2)</f>
        <v>00</v>
      </c>
      <c r="O237" t="str">
        <f>DEC2HEX(_xlfn.BITRSHIFT(HEX2DEC(MID('paste from garc here'!$C$1,1+(('table for research'!$B237-1)*36+HEX2DEC(9))*2,2)&amp;MID('paste from garc here'!$C$1,1+(('table for research'!$B237-1)*36+HEX2DEC(8))*2,2)),11),2)</f>
        <v>00</v>
      </c>
      <c r="P237" t="str">
        <f>MID('paste from garc here'!$C$1,1+(('table for research'!$B237-1)*36+HEX2DEC('table for research'!P$1))*2,2)</f>
        <v>06</v>
      </c>
      <c r="Q237" t="str">
        <f>MID('paste from garc here'!$C$1,1+(('table for research'!$B237-1)*36+HEX2DEC('table for research'!Q$1))*2,2)</f>
        <v>00</v>
      </c>
      <c r="R237" t="str">
        <f>MID('paste from garc here'!$C$1,1+(('table for research'!$B237-1)*36+HEX2DEC('table for research'!R$1))*2,2)</f>
        <v>01</v>
      </c>
      <c r="S237" t="str">
        <f>MID('paste from garc here'!$C$1,1+(('table for research'!$B237-1)*36+HEX2DEC('table for research'!S$1))*2,2)</f>
        <v>01</v>
      </c>
      <c r="T237" t="str">
        <f>MID('paste from garc here'!$C$1,1+(('table for research'!$B237-1)*36+HEX2DEC('table for research'!T$1))*2,2)</f>
        <v>00</v>
      </c>
      <c r="U237" t="str">
        <f>MID('paste from garc here'!$C$1,1+(('table for research'!$B237-1)*36+HEX2DEC('table for research'!U$1))*2,2)</f>
        <v>4C</v>
      </c>
      <c r="V237" t="str">
        <f>MID('paste from garc here'!$C$1,1+(('table for research'!$B237-1)*36+HEX2DEC('table for research'!V$1))*2,2)</f>
        <v>00</v>
      </c>
      <c r="W237" t="str">
        <f>MID('paste from garc here'!$C$1,1+(('table for research'!$B237-1)*36+HEX2DEC('table for research'!W$1))*2,2)</f>
        <v>08</v>
      </c>
      <c r="X237" t="str">
        <f>MID('paste from garc here'!$C$1,1+(('table for research'!$B237-1)*36+HEX2DEC('table for research'!X$1))*2,2)</f>
        <v>00</v>
      </c>
      <c r="Y237" t="str">
        <f>MID('paste from garc here'!$C$1,1+(('table for research'!$B237-1)*36+HEX2DEC('table for research'!Y$1))*2,2)</f>
        <v>00</v>
      </c>
      <c r="Z237" t="str">
        <f>MID('paste from garc here'!$C$1,1+(('table for research'!$B237-1)*36+HEX2DEC('table for research'!Z$1))*2,2)</f>
        <v>00</v>
      </c>
      <c r="AA237" t="str">
        <f>MID('paste from garc here'!$C$1,1+(('table for research'!$B237-1)*36+HEX2DEC('table for research'!AA$1))*2,2)</f>
        <v>00</v>
      </c>
      <c r="AB237" t="str">
        <f>MID('paste from garc here'!$C$1,1+(('table for research'!$B237-1)*36+HEX2DEC('table for research'!AB$1))*2,2)</f>
        <v>00</v>
      </c>
      <c r="AC237" t="str">
        <f>MID('paste from garc here'!$C$1,1+(('table for research'!$B237-1)*36+HEX2DEC('table for research'!AC$1))*2,2)</f>
        <v>00</v>
      </c>
      <c r="AD237" t="str">
        <f>MID('paste from garc here'!$C$1,1+(('table for research'!$B237-1)*36+HEX2DEC('table for research'!AD$1))*2,2)</f>
        <v>00</v>
      </c>
      <c r="AE237" t="str">
        <f>MID('paste from garc here'!$C$1,1+(('table for research'!$B237-1)*36+HEX2DEC('table for research'!AE$1))*2,2)</f>
        <v>00</v>
      </c>
      <c r="AF237" t="str">
        <f>MID('paste from garc here'!$C$1,1+(('table for research'!$B237-1)*36+HEX2DEC('table for research'!AF$1))*2,2)</f>
        <v>00</v>
      </c>
      <c r="AG237" t="str">
        <f>MID('paste from garc here'!$C$1,1+(('table for research'!$B237-1)*36+HEX2DEC('table for research'!AG$1))*2,2)</f>
        <v>00</v>
      </c>
      <c r="AH237" t="str">
        <f>MID('paste from garc here'!$C$1,1+(('table for research'!$B237-1)*36+HEX2DEC('table for research'!AH$1))*2,2)</f>
        <v>00</v>
      </c>
      <c r="AI237" t="str">
        <f>MID('paste from garc here'!$C$1,1+(('table for research'!$B237-1)*36+HEX2DEC('table for research'!AI$1))*2,2)</f>
        <v>00</v>
      </c>
      <c r="AJ237" t="str">
        <f>MID('paste from garc here'!$C$1,1+(('table for research'!$B237-1)*36+HEX2DEC('table for research'!AJ$1))*2,2)</f>
        <v>00</v>
      </c>
      <c r="AK237" t="str">
        <f>MID('paste from garc here'!$C$1,1+(('table for research'!$B237-1)*36+HEX2DEC('table for research'!AK$1))*2,2)</f>
        <v>00</v>
      </c>
      <c r="AL237" t="str">
        <f>MID('paste from garc here'!$C$1,1+(('table for research'!$B237-1)*36+HEX2DEC('table for research'!AL$1))*2,2)</f>
        <v>00</v>
      </c>
      <c r="AM237" t="str">
        <f>MID('paste from garc here'!$C$1,1+(('table for research'!$B237-1)*36+HEX2DEC('table for research'!AM$1))*2,2)</f>
        <v>00</v>
      </c>
      <c r="AN237" t="str">
        <f>MID('paste from garc here'!$C$1,1+(('table for research'!$B237-1)*36+HEX2DEC('table for research'!AN$1))*2,2)</f>
        <v>00</v>
      </c>
      <c r="AO237" t="str">
        <f>MID('paste from garc here'!$C$1,1+(('table for research'!$B237-1)*36+HEX2DEC('table for research'!AO$1))*2,2)</f>
        <v>00</v>
      </c>
    </row>
    <row r="238" spans="1:41" x14ac:dyDescent="0.4">
      <c r="A238" t="s">
        <v>241</v>
      </c>
      <c r="B238">
        <f>B237+1</f>
        <v>236</v>
      </c>
      <c r="C238" t="str">
        <f>MID('paste from garc here'!$C$1,1+(('table for research'!$B238-1)*36+HEX2DEC('table for research'!C$1))*2,2)</f>
        <v>10</v>
      </c>
      <c r="D238" t="str">
        <f>MID('paste from garc here'!$C$1,1+(('table for research'!$B238-1)*36+HEX2DEC('table for research'!D$1))*2,2)</f>
        <v>27</v>
      </c>
      <c r="E238" t="str">
        <f>MID('paste from garc here'!$C$1,1+(('table for research'!$B238-1)*36+HEX2DEC('table for research'!E$1))*2,2)</f>
        <v>46</v>
      </c>
      <c r="F238" t="str">
        <f>MID('paste from garc here'!$C$1,1+(('table for research'!$B238-1)*36+HEX2DEC('table for research'!F$1))*2,2)</f>
        <v>00</v>
      </c>
      <c r="G238" t="str">
        <f>MID('paste from garc here'!$C$1,1+(('table for research'!$B238-1)*36+HEX2DEC('table for research'!G$1))*2,2)</f>
        <v>00</v>
      </c>
      <c r="H238" t="str">
        <f>MID('paste from garc here'!$C$1,1+(('table for research'!$B238-1)*36+HEX2DEC('table for research'!H$1))*2,2)</f>
        <v>1B</v>
      </c>
      <c r="I238" t="str">
        <f>MID('paste from garc here'!$C$1,1+(('table for research'!$B238-1)*36+HEX2DEC('table for research'!I$1))*2,2)</f>
        <v>1E</v>
      </c>
      <c r="J238" t="str">
        <f>MID('paste from garc here'!$C$1,1+(('table for research'!$B238-1)*36+HEX2DEC('table for research'!J$1))*2,2)</f>
        <v>00</v>
      </c>
      <c r="K238" t="str">
        <f>DEC2HEX(_xlfn.BITAND(HEX2DEC(MID('paste from garc here'!$C$1,1+(('table for research'!$B238-1)*36+HEX2DEC(8))*2,2)),31),2)</f>
        <v>1F</v>
      </c>
      <c r="L238" t="str">
        <f>DEC2HEX(_xlfn.BITAND(HEX2DEC(MID('paste from garc here'!$C$1,1+(('table for research'!$B238-1)*36+HEX2DEC(8))*2,2)),32),2)</f>
        <v>00</v>
      </c>
      <c r="M238" t="str">
        <f>DEC2HEX(_xlfn.BITAND(HEX2DEC(MID('paste from garc here'!$C$1,1+(('table for research'!$B238-1)*36+HEX2DEC(8))*2,2)),64),2)</f>
        <v>00</v>
      </c>
      <c r="N238" t="str">
        <f>DEC2HEX(_xlfn.BITRSHIFT(_xlfn.BITAND(HEX2DEC(MID('paste from garc here'!$C$1,1+(('table for research'!$B238-1)*36+HEX2DEC(9))*2,2)&amp;MID('paste from garc here'!$C$1,1+(('table for research'!$B238-1)*36+HEX2DEC(8))*2,2)),1920),7),2)</f>
        <v>00</v>
      </c>
      <c r="O238" t="str">
        <f>DEC2HEX(_xlfn.BITRSHIFT(HEX2DEC(MID('paste from garc here'!$C$1,1+(('table for research'!$B238-1)*36+HEX2DEC(9))*2,2)&amp;MID('paste from garc here'!$C$1,1+(('table for research'!$B238-1)*36+HEX2DEC(8))*2,2)),11),2)</f>
        <v>00</v>
      </c>
      <c r="P238" t="str">
        <f>MID('paste from garc here'!$C$1,1+(('table for research'!$B238-1)*36+HEX2DEC('table for research'!P$1))*2,2)</f>
        <v>00</v>
      </c>
      <c r="Q238" t="str">
        <f>MID('paste from garc here'!$C$1,1+(('table for research'!$B238-1)*36+HEX2DEC('table for research'!Q$1))*2,2)</f>
        <v>00</v>
      </c>
      <c r="R238" t="str">
        <f>MID('paste from garc here'!$C$1,1+(('table for research'!$B238-1)*36+HEX2DEC('table for research'!R$1))*2,2)</f>
        <v>00</v>
      </c>
      <c r="S238" t="str">
        <f>MID('paste from garc here'!$C$1,1+(('table for research'!$B238-1)*36+HEX2DEC('table for research'!S$1))*2,2)</f>
        <v>01</v>
      </c>
      <c r="T238" t="str">
        <f>MID('paste from garc here'!$C$1,1+(('table for research'!$B238-1)*36+HEX2DEC('table for research'!T$1))*2,2)</f>
        <v>00</v>
      </c>
      <c r="U238" t="str">
        <f>MID('paste from garc here'!$C$1,1+(('table for research'!$B238-1)*36+HEX2DEC('table for research'!U$1))*2,2)</f>
        <v>3F</v>
      </c>
      <c r="V238" t="str">
        <f>MID('paste from garc here'!$C$1,1+(('table for research'!$B238-1)*36+HEX2DEC('table for research'!V$1))*2,2)</f>
        <v>00</v>
      </c>
      <c r="W238" t="str">
        <f>MID('paste from garc here'!$C$1,1+(('table for research'!$B238-1)*36+HEX2DEC('table for research'!W$1))*2,2)</f>
        <v>00</v>
      </c>
      <c r="X238" t="str">
        <f>MID('paste from garc here'!$C$1,1+(('table for research'!$B238-1)*36+HEX2DEC('table for research'!X$1))*2,2)</f>
        <v>00</v>
      </c>
      <c r="Y238" t="str">
        <f>MID('paste from garc here'!$C$1,1+(('table for research'!$B238-1)*36+HEX2DEC('table for research'!Y$1))*2,2)</f>
        <v>00</v>
      </c>
      <c r="Z238" t="str">
        <f>MID('paste from garc here'!$C$1,1+(('table for research'!$B238-1)*36+HEX2DEC('table for research'!Z$1))*2,2)</f>
        <v>00</v>
      </c>
      <c r="AA238" t="str">
        <f>MID('paste from garc here'!$C$1,1+(('table for research'!$B238-1)*36+HEX2DEC('table for research'!AA$1))*2,2)</f>
        <v>00</v>
      </c>
      <c r="AB238" t="str">
        <f>MID('paste from garc here'!$C$1,1+(('table for research'!$B238-1)*36+HEX2DEC('table for research'!AB$1))*2,2)</f>
        <v>00</v>
      </c>
      <c r="AC238" t="str">
        <f>MID('paste from garc here'!$C$1,1+(('table for research'!$B238-1)*36+HEX2DEC('table for research'!AC$1))*2,2)</f>
        <v>00</v>
      </c>
      <c r="AD238" t="str">
        <f>MID('paste from garc here'!$C$1,1+(('table for research'!$B238-1)*36+HEX2DEC('table for research'!AD$1))*2,2)</f>
        <v>00</v>
      </c>
      <c r="AE238" t="str">
        <f>MID('paste from garc here'!$C$1,1+(('table for research'!$B238-1)*36+HEX2DEC('table for research'!AE$1))*2,2)</f>
        <v>00</v>
      </c>
      <c r="AF238" t="str">
        <f>MID('paste from garc here'!$C$1,1+(('table for research'!$B238-1)*36+HEX2DEC('table for research'!AF$1))*2,2)</f>
        <v>00</v>
      </c>
      <c r="AG238" t="str">
        <f>MID('paste from garc here'!$C$1,1+(('table for research'!$B238-1)*36+HEX2DEC('table for research'!AG$1))*2,2)</f>
        <v>00</v>
      </c>
      <c r="AH238" t="str">
        <f>MID('paste from garc here'!$C$1,1+(('table for research'!$B238-1)*36+HEX2DEC('table for research'!AH$1))*2,2)</f>
        <v>00</v>
      </c>
      <c r="AI238" t="str">
        <f>MID('paste from garc here'!$C$1,1+(('table for research'!$B238-1)*36+HEX2DEC('table for research'!AI$1))*2,2)</f>
        <v>00</v>
      </c>
      <c r="AJ238" t="str">
        <f>MID('paste from garc here'!$C$1,1+(('table for research'!$B238-1)*36+HEX2DEC('table for research'!AJ$1))*2,2)</f>
        <v>00</v>
      </c>
      <c r="AK238" t="str">
        <f>MID('paste from garc here'!$C$1,1+(('table for research'!$B238-1)*36+HEX2DEC('table for research'!AK$1))*2,2)</f>
        <v>00</v>
      </c>
      <c r="AL238" t="str">
        <f>MID('paste from garc here'!$C$1,1+(('table for research'!$B238-1)*36+HEX2DEC('table for research'!AL$1))*2,2)</f>
        <v>00</v>
      </c>
      <c r="AM238" t="str">
        <f>MID('paste from garc here'!$C$1,1+(('table for research'!$B238-1)*36+HEX2DEC('table for research'!AM$1))*2,2)</f>
        <v>00</v>
      </c>
      <c r="AN238" t="str">
        <f>MID('paste from garc here'!$C$1,1+(('table for research'!$B238-1)*36+HEX2DEC('table for research'!AN$1))*2,2)</f>
        <v>00</v>
      </c>
      <c r="AO238" t="str">
        <f>MID('paste from garc here'!$C$1,1+(('table for research'!$B238-1)*36+HEX2DEC('table for research'!AO$1))*2,2)</f>
        <v>00</v>
      </c>
    </row>
    <row r="239" spans="1:41" x14ac:dyDescent="0.4">
      <c r="A239" t="s">
        <v>242</v>
      </c>
      <c r="B239">
        <f>B238+1</f>
        <v>237</v>
      </c>
      <c r="C239" t="str">
        <f>MID('paste from garc here'!$C$1,1+(('table for research'!$B239-1)*36+HEX2DEC('table for research'!C$1))*2,2)</f>
        <v>64</v>
      </c>
      <c r="D239" t="str">
        <f>MID('paste from garc here'!$C$1,1+(('table for research'!$B239-1)*36+HEX2DEC('table for research'!D$1))*2,2)</f>
        <v>00</v>
      </c>
      <c r="E239" t="str">
        <f>MID('paste from garc here'!$C$1,1+(('table for research'!$B239-1)*36+HEX2DEC('table for research'!E$1))*2,2)</f>
        <v>47</v>
      </c>
      <c r="F239" t="str">
        <f>MID('paste from garc here'!$C$1,1+(('table for research'!$B239-1)*36+HEX2DEC('table for research'!F$1))*2,2)</f>
        <v>14</v>
      </c>
      <c r="G239" t="str">
        <f>MID('paste from garc here'!$C$1,1+(('table for research'!$B239-1)*36+HEX2DEC('table for research'!G$1))*2,2)</f>
        <v>00</v>
      </c>
      <c r="H239" t="str">
        <f>MID('paste from garc here'!$C$1,1+(('table for research'!$B239-1)*36+HEX2DEC('table for research'!H$1))*2,2)</f>
        <v>00</v>
      </c>
      <c r="I239" t="str">
        <f>MID('paste from garc here'!$C$1,1+(('table for research'!$B239-1)*36+HEX2DEC('table for research'!I$1))*2,2)</f>
        <v>0A</v>
      </c>
      <c r="J239" t="str">
        <f>MID('paste from garc here'!$C$1,1+(('table for research'!$B239-1)*36+HEX2DEC('table for research'!J$1))*2,2)</f>
        <v>00</v>
      </c>
      <c r="K239" t="str">
        <f>DEC2HEX(_xlfn.BITAND(HEX2DEC(MID('paste from garc here'!$C$1,1+(('table for research'!$B239-1)*36+HEX2DEC(8))*2,2)),31),2)</f>
        <v>1F</v>
      </c>
      <c r="L239" t="str">
        <f>DEC2HEX(_xlfn.BITAND(HEX2DEC(MID('paste from garc here'!$C$1,1+(('table for research'!$B239-1)*36+HEX2DEC(8))*2,2)),32),2)</f>
        <v>00</v>
      </c>
      <c r="M239" t="str">
        <f>DEC2HEX(_xlfn.BITAND(HEX2DEC(MID('paste from garc here'!$C$1,1+(('table for research'!$B239-1)*36+HEX2DEC(8))*2,2)),64),2)</f>
        <v>00</v>
      </c>
      <c r="N239" t="str">
        <f>DEC2HEX(_xlfn.BITRSHIFT(_xlfn.BITAND(HEX2DEC(MID('paste from garc here'!$C$1,1+(('table for research'!$B239-1)*36+HEX2DEC(9))*2,2)&amp;MID('paste from garc here'!$C$1,1+(('table for research'!$B239-1)*36+HEX2DEC(8))*2,2)),1920),7),2)</f>
        <v>00</v>
      </c>
      <c r="O239" t="str">
        <f>DEC2HEX(_xlfn.BITRSHIFT(HEX2DEC(MID('paste from garc here'!$C$1,1+(('table for research'!$B239-1)*36+HEX2DEC(9))*2,2)&amp;MID('paste from garc here'!$C$1,1+(('table for research'!$B239-1)*36+HEX2DEC(8))*2,2)),11),2)</f>
        <v>00</v>
      </c>
      <c r="P239" t="str">
        <f>MID('paste from garc here'!$C$1,1+(('table for research'!$B239-1)*36+HEX2DEC('table for research'!P$1))*2,2)</f>
        <v>00</v>
      </c>
      <c r="Q239" t="str">
        <f>MID('paste from garc here'!$C$1,1+(('table for research'!$B239-1)*36+HEX2DEC('table for research'!Q$1))*2,2)</f>
        <v>00</v>
      </c>
      <c r="R239" t="str">
        <f>MID('paste from garc here'!$C$1,1+(('table for research'!$B239-1)*36+HEX2DEC('table for research'!R$1))*2,2)</f>
        <v>00</v>
      </c>
      <c r="S239" t="str">
        <f>MID('paste from garc here'!$C$1,1+(('table for research'!$B239-1)*36+HEX2DEC('table for research'!S$1))*2,2)</f>
        <v>01</v>
      </c>
      <c r="T239" t="str">
        <f>MID('paste from garc here'!$C$1,1+(('table for research'!$B239-1)*36+HEX2DEC('table for research'!T$1))*2,2)</f>
        <v>00</v>
      </c>
      <c r="U239" t="str">
        <f>MID('paste from garc here'!$C$1,1+(('table for research'!$B239-1)*36+HEX2DEC('table for research'!U$1))*2,2)</f>
        <v>69</v>
      </c>
      <c r="V239" t="str">
        <f>MID('paste from garc here'!$C$1,1+(('table for research'!$B239-1)*36+HEX2DEC('table for research'!V$1))*2,2)</f>
        <v>00</v>
      </c>
      <c r="W239" t="str">
        <f>MID('paste from garc here'!$C$1,1+(('table for research'!$B239-1)*36+HEX2DEC('table for research'!W$1))*2,2)</f>
        <v>00</v>
      </c>
      <c r="X239" t="str">
        <f>MID('paste from garc here'!$C$1,1+(('table for research'!$B239-1)*36+HEX2DEC('table for research'!X$1))*2,2)</f>
        <v>00</v>
      </c>
      <c r="Y239" t="str">
        <f>MID('paste from garc here'!$C$1,1+(('table for research'!$B239-1)*36+HEX2DEC('table for research'!Y$1))*2,2)</f>
        <v>00</v>
      </c>
      <c r="Z239" t="str">
        <f>MID('paste from garc here'!$C$1,1+(('table for research'!$B239-1)*36+HEX2DEC('table for research'!Z$1))*2,2)</f>
        <v>00</v>
      </c>
      <c r="AA239" t="str">
        <f>MID('paste from garc here'!$C$1,1+(('table for research'!$B239-1)*36+HEX2DEC('table for research'!AA$1))*2,2)</f>
        <v>00</v>
      </c>
      <c r="AB239" t="str">
        <f>MID('paste from garc here'!$C$1,1+(('table for research'!$B239-1)*36+HEX2DEC('table for research'!AB$1))*2,2)</f>
        <v>00</v>
      </c>
      <c r="AC239" t="str">
        <f>MID('paste from garc here'!$C$1,1+(('table for research'!$B239-1)*36+HEX2DEC('table for research'!AC$1))*2,2)</f>
        <v>00</v>
      </c>
      <c r="AD239" t="str">
        <f>MID('paste from garc here'!$C$1,1+(('table for research'!$B239-1)*36+HEX2DEC('table for research'!AD$1))*2,2)</f>
        <v>00</v>
      </c>
      <c r="AE239" t="str">
        <f>MID('paste from garc here'!$C$1,1+(('table for research'!$B239-1)*36+HEX2DEC('table for research'!AE$1))*2,2)</f>
        <v>00</v>
      </c>
      <c r="AF239" t="str">
        <f>MID('paste from garc here'!$C$1,1+(('table for research'!$B239-1)*36+HEX2DEC('table for research'!AF$1))*2,2)</f>
        <v>00</v>
      </c>
      <c r="AG239" t="str">
        <f>MID('paste from garc here'!$C$1,1+(('table for research'!$B239-1)*36+HEX2DEC('table for research'!AG$1))*2,2)</f>
        <v>00</v>
      </c>
      <c r="AH239" t="str">
        <f>MID('paste from garc here'!$C$1,1+(('table for research'!$B239-1)*36+HEX2DEC('table for research'!AH$1))*2,2)</f>
        <v>00</v>
      </c>
      <c r="AI239" t="str">
        <f>MID('paste from garc here'!$C$1,1+(('table for research'!$B239-1)*36+HEX2DEC('table for research'!AI$1))*2,2)</f>
        <v>00</v>
      </c>
      <c r="AJ239" t="str">
        <f>MID('paste from garc here'!$C$1,1+(('table for research'!$B239-1)*36+HEX2DEC('table for research'!AJ$1))*2,2)</f>
        <v>00</v>
      </c>
      <c r="AK239" t="str">
        <f>MID('paste from garc here'!$C$1,1+(('table for research'!$B239-1)*36+HEX2DEC('table for research'!AK$1))*2,2)</f>
        <v>00</v>
      </c>
      <c r="AL239" t="str">
        <f>MID('paste from garc here'!$C$1,1+(('table for research'!$B239-1)*36+HEX2DEC('table for research'!AL$1))*2,2)</f>
        <v>00</v>
      </c>
      <c r="AM239" t="str">
        <f>MID('paste from garc here'!$C$1,1+(('table for research'!$B239-1)*36+HEX2DEC('table for research'!AM$1))*2,2)</f>
        <v>00</v>
      </c>
      <c r="AN239" t="str">
        <f>MID('paste from garc here'!$C$1,1+(('table for research'!$B239-1)*36+HEX2DEC('table for research'!AN$1))*2,2)</f>
        <v>00</v>
      </c>
      <c r="AO239" t="str">
        <f>MID('paste from garc here'!$C$1,1+(('table for research'!$B239-1)*36+HEX2DEC('table for research'!AO$1))*2,2)</f>
        <v>00</v>
      </c>
    </row>
    <row r="240" spans="1:41" x14ac:dyDescent="0.4">
      <c r="A240" t="s">
        <v>243</v>
      </c>
      <c r="B240">
        <f>B239+1</f>
        <v>238</v>
      </c>
      <c r="C240" t="str">
        <f>MID('paste from garc here'!$C$1,1+(('table for research'!$B240-1)*36+HEX2DEC('table for research'!C$1))*2,2)</f>
        <v>64</v>
      </c>
      <c r="D240" t="str">
        <f>MID('paste from garc here'!$C$1,1+(('table for research'!$B240-1)*36+HEX2DEC('table for research'!D$1))*2,2)</f>
        <v>00</v>
      </c>
      <c r="E240" t="str">
        <f>MID('paste from garc here'!$C$1,1+(('table for research'!$B240-1)*36+HEX2DEC('table for research'!E$1))*2,2)</f>
        <v>48</v>
      </c>
      <c r="F240" t="str">
        <f>MID('paste from garc here'!$C$1,1+(('table for research'!$B240-1)*36+HEX2DEC('table for research'!F$1))*2,2)</f>
        <v>14</v>
      </c>
      <c r="G240" t="str">
        <f>MID('paste from garc here'!$C$1,1+(('table for research'!$B240-1)*36+HEX2DEC('table for research'!G$1))*2,2)</f>
        <v>00</v>
      </c>
      <c r="H240" t="str">
        <f>MID('paste from garc here'!$C$1,1+(('table for research'!$B240-1)*36+HEX2DEC('table for research'!H$1))*2,2)</f>
        <v>00</v>
      </c>
      <c r="I240" t="str">
        <f>MID('paste from garc here'!$C$1,1+(('table for research'!$B240-1)*36+HEX2DEC('table for research'!I$1))*2,2)</f>
        <v>64</v>
      </c>
      <c r="J240" t="str">
        <f>MID('paste from garc here'!$C$1,1+(('table for research'!$B240-1)*36+HEX2DEC('table for research'!J$1))*2,2)</f>
        <v>00</v>
      </c>
      <c r="K240" t="str">
        <f>DEC2HEX(_xlfn.BITAND(HEX2DEC(MID('paste from garc here'!$C$1,1+(('table for research'!$B240-1)*36+HEX2DEC(8))*2,2)),31),2)</f>
        <v>1F</v>
      </c>
      <c r="L240" t="str">
        <f>DEC2HEX(_xlfn.BITAND(HEX2DEC(MID('paste from garc here'!$C$1,1+(('table for research'!$B240-1)*36+HEX2DEC(8))*2,2)),32),2)</f>
        <v>00</v>
      </c>
      <c r="M240" t="str">
        <f>DEC2HEX(_xlfn.BITAND(HEX2DEC(MID('paste from garc here'!$C$1,1+(('table for research'!$B240-1)*36+HEX2DEC(8))*2,2)),64),2)</f>
        <v>00</v>
      </c>
      <c r="N240" t="str">
        <f>DEC2HEX(_xlfn.BITRSHIFT(_xlfn.BITAND(HEX2DEC(MID('paste from garc here'!$C$1,1+(('table for research'!$B240-1)*36+HEX2DEC(9))*2,2)&amp;MID('paste from garc here'!$C$1,1+(('table for research'!$B240-1)*36+HEX2DEC(8))*2,2)),1920),7),2)</f>
        <v>00</v>
      </c>
      <c r="O240" t="str">
        <f>DEC2HEX(_xlfn.BITRSHIFT(HEX2DEC(MID('paste from garc here'!$C$1,1+(('table for research'!$B240-1)*36+HEX2DEC(9))*2,2)&amp;MID('paste from garc here'!$C$1,1+(('table for research'!$B240-1)*36+HEX2DEC(8))*2,2)),11),2)</f>
        <v>00</v>
      </c>
      <c r="P240" t="str">
        <f>MID('paste from garc here'!$C$1,1+(('table for research'!$B240-1)*36+HEX2DEC('table for research'!P$1))*2,2)</f>
        <v>00</v>
      </c>
      <c r="Q240" t="str">
        <f>MID('paste from garc here'!$C$1,1+(('table for research'!$B240-1)*36+HEX2DEC('table for research'!Q$1))*2,2)</f>
        <v>00</v>
      </c>
      <c r="R240" t="str">
        <f>MID('paste from garc here'!$C$1,1+(('table for research'!$B240-1)*36+HEX2DEC('table for research'!R$1))*2,2)</f>
        <v>00</v>
      </c>
      <c r="S240" t="str">
        <f>MID('paste from garc here'!$C$1,1+(('table for research'!$B240-1)*36+HEX2DEC('table for research'!S$1))*2,2)</f>
        <v>01</v>
      </c>
      <c r="T240" t="str">
        <f>MID('paste from garc here'!$C$1,1+(('table for research'!$B240-1)*36+HEX2DEC('table for research'!T$1))*2,2)</f>
        <v>00</v>
      </c>
      <c r="U240" t="str">
        <f>MID('paste from garc here'!$C$1,1+(('table for research'!$B240-1)*36+HEX2DEC('table for research'!U$1))*2,2)</f>
        <v>67</v>
      </c>
      <c r="V240" t="str">
        <f>MID('paste from garc here'!$C$1,1+(('table for research'!$B240-1)*36+HEX2DEC('table for research'!V$1))*2,2)</f>
        <v>00</v>
      </c>
      <c r="W240" t="str">
        <f>MID('paste from garc here'!$C$1,1+(('table for research'!$B240-1)*36+HEX2DEC('table for research'!W$1))*2,2)</f>
        <v>00</v>
      </c>
      <c r="X240" t="str">
        <f>MID('paste from garc here'!$C$1,1+(('table for research'!$B240-1)*36+HEX2DEC('table for research'!X$1))*2,2)</f>
        <v>00</v>
      </c>
      <c r="Y240" t="str">
        <f>MID('paste from garc here'!$C$1,1+(('table for research'!$B240-1)*36+HEX2DEC('table for research'!Y$1))*2,2)</f>
        <v>00</v>
      </c>
      <c r="Z240" t="str">
        <f>MID('paste from garc here'!$C$1,1+(('table for research'!$B240-1)*36+HEX2DEC('table for research'!Z$1))*2,2)</f>
        <v>00</v>
      </c>
      <c r="AA240" t="str">
        <f>MID('paste from garc here'!$C$1,1+(('table for research'!$B240-1)*36+HEX2DEC('table for research'!AA$1))*2,2)</f>
        <v>00</v>
      </c>
      <c r="AB240" t="str">
        <f>MID('paste from garc here'!$C$1,1+(('table for research'!$B240-1)*36+HEX2DEC('table for research'!AB$1))*2,2)</f>
        <v>00</v>
      </c>
      <c r="AC240" t="str">
        <f>MID('paste from garc here'!$C$1,1+(('table for research'!$B240-1)*36+HEX2DEC('table for research'!AC$1))*2,2)</f>
        <v>00</v>
      </c>
      <c r="AD240" t="str">
        <f>MID('paste from garc here'!$C$1,1+(('table for research'!$B240-1)*36+HEX2DEC('table for research'!AD$1))*2,2)</f>
        <v>00</v>
      </c>
      <c r="AE240" t="str">
        <f>MID('paste from garc here'!$C$1,1+(('table for research'!$B240-1)*36+HEX2DEC('table for research'!AE$1))*2,2)</f>
        <v>00</v>
      </c>
      <c r="AF240" t="str">
        <f>MID('paste from garc here'!$C$1,1+(('table for research'!$B240-1)*36+HEX2DEC('table for research'!AF$1))*2,2)</f>
        <v>00</v>
      </c>
      <c r="AG240" t="str">
        <f>MID('paste from garc here'!$C$1,1+(('table for research'!$B240-1)*36+HEX2DEC('table for research'!AG$1))*2,2)</f>
        <v>00</v>
      </c>
      <c r="AH240" t="str">
        <f>MID('paste from garc here'!$C$1,1+(('table for research'!$B240-1)*36+HEX2DEC('table for research'!AH$1))*2,2)</f>
        <v>00</v>
      </c>
      <c r="AI240" t="str">
        <f>MID('paste from garc here'!$C$1,1+(('table for research'!$B240-1)*36+HEX2DEC('table for research'!AI$1))*2,2)</f>
        <v>00</v>
      </c>
      <c r="AJ240" t="str">
        <f>MID('paste from garc here'!$C$1,1+(('table for research'!$B240-1)*36+HEX2DEC('table for research'!AJ$1))*2,2)</f>
        <v>00</v>
      </c>
      <c r="AK240" t="str">
        <f>MID('paste from garc here'!$C$1,1+(('table for research'!$B240-1)*36+HEX2DEC('table for research'!AK$1))*2,2)</f>
        <v>00</v>
      </c>
      <c r="AL240" t="str">
        <f>MID('paste from garc here'!$C$1,1+(('table for research'!$B240-1)*36+HEX2DEC('table for research'!AL$1))*2,2)</f>
        <v>00</v>
      </c>
      <c r="AM240" t="str">
        <f>MID('paste from garc here'!$C$1,1+(('table for research'!$B240-1)*36+HEX2DEC('table for research'!AM$1))*2,2)</f>
        <v>00</v>
      </c>
      <c r="AN240" t="str">
        <f>MID('paste from garc here'!$C$1,1+(('table for research'!$B240-1)*36+HEX2DEC('table for research'!AN$1))*2,2)</f>
        <v>00</v>
      </c>
      <c r="AO240" t="str">
        <f>MID('paste from garc here'!$C$1,1+(('table for research'!$B240-1)*36+HEX2DEC('table for research'!AO$1))*2,2)</f>
        <v>00</v>
      </c>
    </row>
    <row r="241" spans="1:41" x14ac:dyDescent="0.4">
      <c r="A241" t="s">
        <v>244</v>
      </c>
      <c r="B241">
        <f>B240+1</f>
        <v>239</v>
      </c>
      <c r="C241" t="str">
        <f>MID('paste from garc here'!$C$1,1+(('table for research'!$B241-1)*36+HEX2DEC('table for research'!C$1))*2,2)</f>
        <v>64</v>
      </c>
      <c r="D241" t="str">
        <f>MID('paste from garc here'!$C$1,1+(('table for research'!$B241-1)*36+HEX2DEC('table for research'!D$1))*2,2)</f>
        <v>00</v>
      </c>
      <c r="E241" t="str">
        <f>MID('paste from garc here'!$C$1,1+(('table for research'!$B241-1)*36+HEX2DEC('table for research'!E$1))*2,2)</f>
        <v>49</v>
      </c>
      <c r="F241" t="str">
        <f>MID('paste from garc here'!$C$1,1+(('table for research'!$B241-1)*36+HEX2DEC('table for research'!F$1))*2,2)</f>
        <v>14</v>
      </c>
      <c r="G241" t="str">
        <f>MID('paste from garc here'!$C$1,1+(('table for research'!$B241-1)*36+HEX2DEC('table for research'!G$1))*2,2)</f>
        <v>00</v>
      </c>
      <c r="H241" t="str">
        <f>MID('paste from garc here'!$C$1,1+(('table for research'!$B241-1)*36+HEX2DEC('table for research'!H$1))*2,2)</f>
        <v>00</v>
      </c>
      <c r="I241" t="str">
        <f>MID('paste from garc here'!$C$1,1+(('table for research'!$B241-1)*36+HEX2DEC('table for research'!I$1))*2,2)</f>
        <v>1E</v>
      </c>
      <c r="J241" t="str">
        <f>MID('paste from garc here'!$C$1,1+(('table for research'!$B241-1)*36+HEX2DEC('table for research'!J$1))*2,2)</f>
        <v>00</v>
      </c>
      <c r="K241" t="str">
        <f>DEC2HEX(_xlfn.BITAND(HEX2DEC(MID('paste from garc here'!$C$1,1+(('table for research'!$B241-1)*36+HEX2DEC(8))*2,2)),31),2)</f>
        <v>1F</v>
      </c>
      <c r="L241" t="str">
        <f>DEC2HEX(_xlfn.BITAND(HEX2DEC(MID('paste from garc here'!$C$1,1+(('table for research'!$B241-1)*36+HEX2DEC(8))*2,2)),32),2)</f>
        <v>00</v>
      </c>
      <c r="M241" t="str">
        <f>DEC2HEX(_xlfn.BITAND(HEX2DEC(MID('paste from garc here'!$C$1,1+(('table for research'!$B241-1)*36+HEX2DEC(8))*2,2)),64),2)</f>
        <v>00</v>
      </c>
      <c r="N241" t="str">
        <f>DEC2HEX(_xlfn.BITRSHIFT(_xlfn.BITAND(HEX2DEC(MID('paste from garc here'!$C$1,1+(('table for research'!$B241-1)*36+HEX2DEC(9))*2,2)&amp;MID('paste from garc here'!$C$1,1+(('table for research'!$B241-1)*36+HEX2DEC(8))*2,2)),1920),7),2)</f>
        <v>00</v>
      </c>
      <c r="O241" t="str">
        <f>DEC2HEX(_xlfn.BITRSHIFT(HEX2DEC(MID('paste from garc here'!$C$1,1+(('table for research'!$B241-1)*36+HEX2DEC(9))*2,2)&amp;MID('paste from garc here'!$C$1,1+(('table for research'!$B241-1)*36+HEX2DEC(8))*2,2)),11),2)</f>
        <v>00</v>
      </c>
      <c r="P241" t="str">
        <f>MID('paste from garc here'!$C$1,1+(('table for research'!$B241-1)*36+HEX2DEC('table for research'!P$1))*2,2)</f>
        <v>00</v>
      </c>
      <c r="Q241" t="str">
        <f>MID('paste from garc here'!$C$1,1+(('table for research'!$B241-1)*36+HEX2DEC('table for research'!Q$1))*2,2)</f>
        <v>00</v>
      </c>
      <c r="R241" t="str">
        <f>MID('paste from garc here'!$C$1,1+(('table for research'!$B241-1)*36+HEX2DEC('table for research'!R$1))*2,2)</f>
        <v>00</v>
      </c>
      <c r="S241" t="str">
        <f>MID('paste from garc here'!$C$1,1+(('table for research'!$B241-1)*36+HEX2DEC('table for research'!S$1))*2,2)</f>
        <v>01</v>
      </c>
      <c r="T241" t="str">
        <f>MID('paste from garc here'!$C$1,1+(('table for research'!$B241-1)*36+HEX2DEC('table for research'!T$1))*2,2)</f>
        <v>00</v>
      </c>
      <c r="U241" t="str">
        <f>MID('paste from garc here'!$C$1,1+(('table for research'!$B241-1)*36+HEX2DEC('table for research'!U$1))*2,2)</f>
        <v>5E</v>
      </c>
      <c r="V241" t="str">
        <f>MID('paste from garc here'!$C$1,1+(('table for research'!$B241-1)*36+HEX2DEC('table for research'!V$1))*2,2)</f>
        <v>00</v>
      </c>
      <c r="W241" t="str">
        <f>MID('paste from garc here'!$C$1,1+(('table for research'!$B241-1)*36+HEX2DEC('table for research'!W$1))*2,2)</f>
        <v>00</v>
      </c>
      <c r="X241" t="str">
        <f>MID('paste from garc here'!$C$1,1+(('table for research'!$B241-1)*36+HEX2DEC('table for research'!X$1))*2,2)</f>
        <v>00</v>
      </c>
      <c r="Y241" t="str">
        <f>MID('paste from garc here'!$C$1,1+(('table for research'!$B241-1)*36+HEX2DEC('table for research'!Y$1))*2,2)</f>
        <v>00</v>
      </c>
      <c r="Z241" t="str">
        <f>MID('paste from garc here'!$C$1,1+(('table for research'!$B241-1)*36+HEX2DEC('table for research'!Z$1))*2,2)</f>
        <v>00</v>
      </c>
      <c r="AA241" t="str">
        <f>MID('paste from garc here'!$C$1,1+(('table for research'!$B241-1)*36+HEX2DEC('table for research'!AA$1))*2,2)</f>
        <v>00</v>
      </c>
      <c r="AB241" t="str">
        <f>MID('paste from garc here'!$C$1,1+(('table for research'!$B241-1)*36+HEX2DEC('table for research'!AB$1))*2,2)</f>
        <v>00</v>
      </c>
      <c r="AC241" t="str">
        <f>MID('paste from garc here'!$C$1,1+(('table for research'!$B241-1)*36+HEX2DEC('table for research'!AC$1))*2,2)</f>
        <v>00</v>
      </c>
      <c r="AD241" t="str">
        <f>MID('paste from garc here'!$C$1,1+(('table for research'!$B241-1)*36+HEX2DEC('table for research'!AD$1))*2,2)</f>
        <v>00</v>
      </c>
      <c r="AE241" t="str">
        <f>MID('paste from garc here'!$C$1,1+(('table for research'!$B241-1)*36+HEX2DEC('table for research'!AE$1))*2,2)</f>
        <v>00</v>
      </c>
      <c r="AF241" t="str">
        <f>MID('paste from garc here'!$C$1,1+(('table for research'!$B241-1)*36+HEX2DEC('table for research'!AF$1))*2,2)</f>
        <v>00</v>
      </c>
      <c r="AG241" t="str">
        <f>MID('paste from garc here'!$C$1,1+(('table for research'!$B241-1)*36+HEX2DEC('table for research'!AG$1))*2,2)</f>
        <v>00</v>
      </c>
      <c r="AH241" t="str">
        <f>MID('paste from garc here'!$C$1,1+(('table for research'!$B241-1)*36+HEX2DEC('table for research'!AH$1))*2,2)</f>
        <v>00</v>
      </c>
      <c r="AI241" t="str">
        <f>MID('paste from garc here'!$C$1,1+(('table for research'!$B241-1)*36+HEX2DEC('table for research'!AI$1))*2,2)</f>
        <v>00</v>
      </c>
      <c r="AJ241" t="str">
        <f>MID('paste from garc here'!$C$1,1+(('table for research'!$B241-1)*36+HEX2DEC('table for research'!AJ$1))*2,2)</f>
        <v>00</v>
      </c>
      <c r="AK241" t="str">
        <f>MID('paste from garc here'!$C$1,1+(('table for research'!$B241-1)*36+HEX2DEC('table for research'!AK$1))*2,2)</f>
        <v>00</v>
      </c>
      <c r="AL241" t="str">
        <f>MID('paste from garc here'!$C$1,1+(('table for research'!$B241-1)*36+HEX2DEC('table for research'!AL$1))*2,2)</f>
        <v>00</v>
      </c>
      <c r="AM241" t="str">
        <f>MID('paste from garc here'!$C$1,1+(('table for research'!$B241-1)*36+HEX2DEC('table for research'!AM$1))*2,2)</f>
        <v>00</v>
      </c>
      <c r="AN241" t="str">
        <f>MID('paste from garc here'!$C$1,1+(('table for research'!$B241-1)*36+HEX2DEC('table for research'!AN$1))*2,2)</f>
        <v>00</v>
      </c>
      <c r="AO241" t="str">
        <f>MID('paste from garc here'!$C$1,1+(('table for research'!$B241-1)*36+HEX2DEC('table for research'!AO$1))*2,2)</f>
        <v>00</v>
      </c>
    </row>
    <row r="242" spans="1:41" x14ac:dyDescent="0.4">
      <c r="A242" t="s">
        <v>245</v>
      </c>
      <c r="B242">
        <f>B241+1</f>
        <v>240</v>
      </c>
      <c r="C242" t="str">
        <f>MID('paste from garc here'!$C$1,1+(('table for research'!$B242-1)*36+HEX2DEC('table for research'!C$1))*2,2)</f>
        <v>64</v>
      </c>
      <c r="D242" t="str">
        <f>MID('paste from garc here'!$C$1,1+(('table for research'!$B242-1)*36+HEX2DEC('table for research'!D$1))*2,2)</f>
        <v>00</v>
      </c>
      <c r="E242" t="str">
        <f>MID('paste from garc here'!$C$1,1+(('table for research'!$B242-1)*36+HEX2DEC('table for research'!E$1))*2,2)</f>
        <v>4A</v>
      </c>
      <c r="F242" t="str">
        <f>MID('paste from garc here'!$C$1,1+(('table for research'!$B242-1)*36+HEX2DEC('table for research'!F$1))*2,2)</f>
        <v>14</v>
      </c>
      <c r="G242" t="str">
        <f>MID('paste from garc here'!$C$1,1+(('table for research'!$B242-1)*36+HEX2DEC('table for research'!G$1))*2,2)</f>
        <v>00</v>
      </c>
      <c r="H242" t="str">
        <f>MID('paste from garc here'!$C$1,1+(('table for research'!$B242-1)*36+HEX2DEC('table for research'!H$1))*2,2)</f>
        <v>00</v>
      </c>
      <c r="I242" t="str">
        <f>MID('paste from garc here'!$C$1,1+(('table for research'!$B242-1)*36+HEX2DEC('table for research'!I$1))*2,2)</f>
        <v>1E</v>
      </c>
      <c r="J242" t="str">
        <f>MID('paste from garc here'!$C$1,1+(('table for research'!$B242-1)*36+HEX2DEC('table for research'!J$1))*2,2)</f>
        <v>00</v>
      </c>
      <c r="K242" t="str">
        <f>DEC2HEX(_xlfn.BITAND(HEX2DEC(MID('paste from garc here'!$C$1,1+(('table for research'!$B242-1)*36+HEX2DEC(8))*2,2)),31),2)</f>
        <v>1F</v>
      </c>
      <c r="L242" t="str">
        <f>DEC2HEX(_xlfn.BITAND(HEX2DEC(MID('paste from garc here'!$C$1,1+(('table for research'!$B242-1)*36+HEX2DEC(8))*2,2)),32),2)</f>
        <v>00</v>
      </c>
      <c r="M242" t="str">
        <f>DEC2HEX(_xlfn.BITAND(HEX2DEC(MID('paste from garc here'!$C$1,1+(('table for research'!$B242-1)*36+HEX2DEC(8))*2,2)),64),2)</f>
        <v>00</v>
      </c>
      <c r="N242" t="str">
        <f>DEC2HEX(_xlfn.BITRSHIFT(_xlfn.BITAND(HEX2DEC(MID('paste from garc here'!$C$1,1+(('table for research'!$B242-1)*36+HEX2DEC(9))*2,2)&amp;MID('paste from garc here'!$C$1,1+(('table for research'!$B242-1)*36+HEX2DEC(8))*2,2)),1920),7),2)</f>
        <v>00</v>
      </c>
      <c r="O242" t="str">
        <f>DEC2HEX(_xlfn.BITRSHIFT(HEX2DEC(MID('paste from garc here'!$C$1,1+(('table for research'!$B242-1)*36+HEX2DEC(9))*2,2)&amp;MID('paste from garc here'!$C$1,1+(('table for research'!$B242-1)*36+HEX2DEC(8))*2,2)),11),2)</f>
        <v>00</v>
      </c>
      <c r="P242" t="str">
        <f>MID('paste from garc here'!$C$1,1+(('table for research'!$B242-1)*36+HEX2DEC('table for research'!P$1))*2,2)</f>
        <v>00</v>
      </c>
      <c r="Q242" t="str">
        <f>MID('paste from garc here'!$C$1,1+(('table for research'!$B242-1)*36+HEX2DEC('table for research'!Q$1))*2,2)</f>
        <v>00</v>
      </c>
      <c r="R242" t="str">
        <f>MID('paste from garc here'!$C$1,1+(('table for research'!$B242-1)*36+HEX2DEC('table for research'!R$1))*2,2)</f>
        <v>00</v>
      </c>
      <c r="S242" t="str">
        <f>MID('paste from garc here'!$C$1,1+(('table for research'!$B242-1)*36+HEX2DEC('table for research'!S$1))*2,2)</f>
        <v>01</v>
      </c>
      <c r="T242" t="str">
        <f>MID('paste from garc here'!$C$1,1+(('table for research'!$B242-1)*36+HEX2DEC('table for research'!T$1))*2,2)</f>
        <v>00</v>
      </c>
      <c r="U242" t="str">
        <f>MID('paste from garc here'!$C$1,1+(('table for research'!$B242-1)*36+HEX2DEC('table for research'!U$1))*2,2)</f>
        <v>5A</v>
      </c>
      <c r="V242" t="str">
        <f>MID('paste from garc here'!$C$1,1+(('table for research'!$B242-1)*36+HEX2DEC('table for research'!V$1))*2,2)</f>
        <v>00</v>
      </c>
      <c r="W242" t="str">
        <f>MID('paste from garc here'!$C$1,1+(('table for research'!$B242-1)*36+HEX2DEC('table for research'!W$1))*2,2)</f>
        <v>00</v>
      </c>
      <c r="X242" t="str">
        <f>MID('paste from garc here'!$C$1,1+(('table for research'!$B242-1)*36+HEX2DEC('table for research'!X$1))*2,2)</f>
        <v>00</v>
      </c>
      <c r="Y242" t="str">
        <f>MID('paste from garc here'!$C$1,1+(('table for research'!$B242-1)*36+HEX2DEC('table for research'!Y$1))*2,2)</f>
        <v>00</v>
      </c>
      <c r="Z242" t="str">
        <f>MID('paste from garc here'!$C$1,1+(('table for research'!$B242-1)*36+HEX2DEC('table for research'!Z$1))*2,2)</f>
        <v>00</v>
      </c>
      <c r="AA242" t="str">
        <f>MID('paste from garc here'!$C$1,1+(('table for research'!$B242-1)*36+HEX2DEC('table for research'!AA$1))*2,2)</f>
        <v>00</v>
      </c>
      <c r="AB242" t="str">
        <f>MID('paste from garc here'!$C$1,1+(('table for research'!$B242-1)*36+HEX2DEC('table for research'!AB$1))*2,2)</f>
        <v>00</v>
      </c>
      <c r="AC242" t="str">
        <f>MID('paste from garc here'!$C$1,1+(('table for research'!$B242-1)*36+HEX2DEC('table for research'!AC$1))*2,2)</f>
        <v>00</v>
      </c>
      <c r="AD242" t="str">
        <f>MID('paste from garc here'!$C$1,1+(('table for research'!$B242-1)*36+HEX2DEC('table for research'!AD$1))*2,2)</f>
        <v>00</v>
      </c>
      <c r="AE242" t="str">
        <f>MID('paste from garc here'!$C$1,1+(('table for research'!$B242-1)*36+HEX2DEC('table for research'!AE$1))*2,2)</f>
        <v>00</v>
      </c>
      <c r="AF242" t="str">
        <f>MID('paste from garc here'!$C$1,1+(('table for research'!$B242-1)*36+HEX2DEC('table for research'!AF$1))*2,2)</f>
        <v>00</v>
      </c>
      <c r="AG242" t="str">
        <f>MID('paste from garc here'!$C$1,1+(('table for research'!$B242-1)*36+HEX2DEC('table for research'!AG$1))*2,2)</f>
        <v>00</v>
      </c>
      <c r="AH242" t="str">
        <f>MID('paste from garc here'!$C$1,1+(('table for research'!$B242-1)*36+HEX2DEC('table for research'!AH$1))*2,2)</f>
        <v>00</v>
      </c>
      <c r="AI242" t="str">
        <f>MID('paste from garc here'!$C$1,1+(('table for research'!$B242-1)*36+HEX2DEC('table for research'!AI$1))*2,2)</f>
        <v>00</v>
      </c>
      <c r="AJ242" t="str">
        <f>MID('paste from garc here'!$C$1,1+(('table for research'!$B242-1)*36+HEX2DEC('table for research'!AJ$1))*2,2)</f>
        <v>00</v>
      </c>
      <c r="AK242" t="str">
        <f>MID('paste from garc here'!$C$1,1+(('table for research'!$B242-1)*36+HEX2DEC('table for research'!AK$1))*2,2)</f>
        <v>00</v>
      </c>
      <c r="AL242" t="str">
        <f>MID('paste from garc here'!$C$1,1+(('table for research'!$B242-1)*36+HEX2DEC('table for research'!AL$1))*2,2)</f>
        <v>00</v>
      </c>
      <c r="AM242" t="str">
        <f>MID('paste from garc here'!$C$1,1+(('table for research'!$B242-1)*36+HEX2DEC('table for research'!AM$1))*2,2)</f>
        <v>00</v>
      </c>
      <c r="AN242" t="str">
        <f>MID('paste from garc here'!$C$1,1+(('table for research'!$B242-1)*36+HEX2DEC('table for research'!AN$1))*2,2)</f>
        <v>00</v>
      </c>
      <c r="AO242" t="str">
        <f>MID('paste from garc here'!$C$1,1+(('table for research'!$B242-1)*36+HEX2DEC('table for research'!AO$1))*2,2)</f>
        <v>00</v>
      </c>
    </row>
    <row r="243" spans="1:41" x14ac:dyDescent="0.4">
      <c r="A243" t="s">
        <v>246</v>
      </c>
      <c r="B243">
        <f>B242+1</f>
        <v>241</v>
      </c>
      <c r="C243" t="str">
        <f>MID('paste from garc here'!$C$1,1+(('table for research'!$B243-1)*36+HEX2DEC('table for research'!C$1))*2,2)</f>
        <v>64</v>
      </c>
      <c r="D243" t="str">
        <f>MID('paste from garc here'!$C$1,1+(('table for research'!$B243-1)*36+HEX2DEC('table for research'!D$1))*2,2)</f>
        <v>00</v>
      </c>
      <c r="E243" t="str">
        <f>MID('paste from garc here'!$C$1,1+(('table for research'!$B243-1)*36+HEX2DEC('table for research'!E$1))*2,2)</f>
        <v>4B</v>
      </c>
      <c r="F243" t="str">
        <f>MID('paste from garc here'!$C$1,1+(('table for research'!$B243-1)*36+HEX2DEC('table for research'!F$1))*2,2)</f>
        <v>14</v>
      </c>
      <c r="G243" t="str">
        <f>MID('paste from garc here'!$C$1,1+(('table for research'!$B243-1)*36+HEX2DEC('table for research'!G$1))*2,2)</f>
        <v>00</v>
      </c>
      <c r="H243" t="str">
        <f>MID('paste from garc here'!$C$1,1+(('table for research'!$B243-1)*36+HEX2DEC('table for research'!H$1))*2,2)</f>
        <v>00</v>
      </c>
      <c r="I243" t="str">
        <f>MID('paste from garc here'!$C$1,1+(('table for research'!$B243-1)*36+HEX2DEC('table for research'!I$1))*2,2)</f>
        <v>1E</v>
      </c>
      <c r="J243" t="str">
        <f>MID('paste from garc here'!$C$1,1+(('table for research'!$B243-1)*36+HEX2DEC('table for research'!J$1))*2,2)</f>
        <v>00</v>
      </c>
      <c r="K243" t="str">
        <f>DEC2HEX(_xlfn.BITAND(HEX2DEC(MID('paste from garc here'!$C$1,1+(('table for research'!$B243-1)*36+HEX2DEC(8))*2,2)),31),2)</f>
        <v>1F</v>
      </c>
      <c r="L243" t="str">
        <f>DEC2HEX(_xlfn.BITAND(HEX2DEC(MID('paste from garc here'!$C$1,1+(('table for research'!$B243-1)*36+HEX2DEC(8))*2,2)),32),2)</f>
        <v>00</v>
      </c>
      <c r="M243" t="str">
        <f>DEC2HEX(_xlfn.BITAND(HEX2DEC(MID('paste from garc here'!$C$1,1+(('table for research'!$B243-1)*36+HEX2DEC(8))*2,2)),64),2)</f>
        <v>00</v>
      </c>
      <c r="N243" t="str">
        <f>DEC2HEX(_xlfn.BITRSHIFT(_xlfn.BITAND(HEX2DEC(MID('paste from garc here'!$C$1,1+(('table for research'!$B243-1)*36+HEX2DEC(9))*2,2)&amp;MID('paste from garc here'!$C$1,1+(('table for research'!$B243-1)*36+HEX2DEC(8))*2,2)),1920),7),2)</f>
        <v>00</v>
      </c>
      <c r="O243" t="str">
        <f>DEC2HEX(_xlfn.BITRSHIFT(HEX2DEC(MID('paste from garc here'!$C$1,1+(('table for research'!$B243-1)*36+HEX2DEC(9))*2,2)&amp;MID('paste from garc here'!$C$1,1+(('table for research'!$B243-1)*36+HEX2DEC(8))*2,2)),11),2)</f>
        <v>00</v>
      </c>
      <c r="P243" t="str">
        <f>MID('paste from garc here'!$C$1,1+(('table for research'!$B243-1)*36+HEX2DEC('table for research'!P$1))*2,2)</f>
        <v>00</v>
      </c>
      <c r="Q243" t="str">
        <f>MID('paste from garc here'!$C$1,1+(('table for research'!$B243-1)*36+HEX2DEC('table for research'!Q$1))*2,2)</f>
        <v>00</v>
      </c>
      <c r="R243" t="str">
        <f>MID('paste from garc here'!$C$1,1+(('table for research'!$B243-1)*36+HEX2DEC('table for research'!R$1))*2,2)</f>
        <v>00</v>
      </c>
      <c r="S243" t="str">
        <f>MID('paste from garc here'!$C$1,1+(('table for research'!$B243-1)*36+HEX2DEC('table for research'!S$1))*2,2)</f>
        <v>01</v>
      </c>
      <c r="T243" t="str">
        <f>MID('paste from garc here'!$C$1,1+(('table for research'!$B243-1)*36+HEX2DEC('table for research'!T$1))*2,2)</f>
        <v>00</v>
      </c>
      <c r="U243" t="str">
        <f>MID('paste from garc here'!$C$1,1+(('table for research'!$B243-1)*36+HEX2DEC('table for research'!U$1))*2,2)</f>
        <v>5B</v>
      </c>
      <c r="V243" t="str">
        <f>MID('paste from garc here'!$C$1,1+(('table for research'!$B243-1)*36+HEX2DEC('table for research'!V$1))*2,2)</f>
        <v>00</v>
      </c>
      <c r="W243" t="str">
        <f>MID('paste from garc here'!$C$1,1+(('table for research'!$B243-1)*36+HEX2DEC('table for research'!W$1))*2,2)</f>
        <v>00</v>
      </c>
      <c r="X243" t="str">
        <f>MID('paste from garc here'!$C$1,1+(('table for research'!$B243-1)*36+HEX2DEC('table for research'!X$1))*2,2)</f>
        <v>00</v>
      </c>
      <c r="Y243" t="str">
        <f>MID('paste from garc here'!$C$1,1+(('table for research'!$B243-1)*36+HEX2DEC('table for research'!Y$1))*2,2)</f>
        <v>00</v>
      </c>
      <c r="Z243" t="str">
        <f>MID('paste from garc here'!$C$1,1+(('table for research'!$B243-1)*36+HEX2DEC('table for research'!Z$1))*2,2)</f>
        <v>00</v>
      </c>
      <c r="AA243" t="str">
        <f>MID('paste from garc here'!$C$1,1+(('table for research'!$B243-1)*36+HEX2DEC('table for research'!AA$1))*2,2)</f>
        <v>00</v>
      </c>
      <c r="AB243" t="str">
        <f>MID('paste from garc here'!$C$1,1+(('table for research'!$B243-1)*36+HEX2DEC('table for research'!AB$1))*2,2)</f>
        <v>00</v>
      </c>
      <c r="AC243" t="str">
        <f>MID('paste from garc here'!$C$1,1+(('table for research'!$B243-1)*36+HEX2DEC('table for research'!AC$1))*2,2)</f>
        <v>00</v>
      </c>
      <c r="AD243" t="str">
        <f>MID('paste from garc here'!$C$1,1+(('table for research'!$B243-1)*36+HEX2DEC('table for research'!AD$1))*2,2)</f>
        <v>00</v>
      </c>
      <c r="AE243" t="str">
        <f>MID('paste from garc here'!$C$1,1+(('table for research'!$B243-1)*36+HEX2DEC('table for research'!AE$1))*2,2)</f>
        <v>00</v>
      </c>
      <c r="AF243" t="str">
        <f>MID('paste from garc here'!$C$1,1+(('table for research'!$B243-1)*36+HEX2DEC('table for research'!AF$1))*2,2)</f>
        <v>00</v>
      </c>
      <c r="AG243" t="str">
        <f>MID('paste from garc here'!$C$1,1+(('table for research'!$B243-1)*36+HEX2DEC('table for research'!AG$1))*2,2)</f>
        <v>00</v>
      </c>
      <c r="AH243" t="str">
        <f>MID('paste from garc here'!$C$1,1+(('table for research'!$B243-1)*36+HEX2DEC('table for research'!AH$1))*2,2)</f>
        <v>00</v>
      </c>
      <c r="AI243" t="str">
        <f>MID('paste from garc here'!$C$1,1+(('table for research'!$B243-1)*36+HEX2DEC('table for research'!AI$1))*2,2)</f>
        <v>00</v>
      </c>
      <c r="AJ243" t="str">
        <f>MID('paste from garc here'!$C$1,1+(('table for research'!$B243-1)*36+HEX2DEC('table for research'!AJ$1))*2,2)</f>
        <v>00</v>
      </c>
      <c r="AK243" t="str">
        <f>MID('paste from garc here'!$C$1,1+(('table for research'!$B243-1)*36+HEX2DEC('table for research'!AK$1))*2,2)</f>
        <v>00</v>
      </c>
      <c r="AL243" t="str">
        <f>MID('paste from garc here'!$C$1,1+(('table for research'!$B243-1)*36+HEX2DEC('table for research'!AL$1))*2,2)</f>
        <v>00</v>
      </c>
      <c r="AM243" t="str">
        <f>MID('paste from garc here'!$C$1,1+(('table for research'!$B243-1)*36+HEX2DEC('table for research'!AM$1))*2,2)</f>
        <v>00</v>
      </c>
      <c r="AN243" t="str">
        <f>MID('paste from garc here'!$C$1,1+(('table for research'!$B243-1)*36+HEX2DEC('table for research'!AN$1))*2,2)</f>
        <v>00</v>
      </c>
      <c r="AO243" t="str">
        <f>MID('paste from garc here'!$C$1,1+(('table for research'!$B243-1)*36+HEX2DEC('table for research'!AO$1))*2,2)</f>
        <v>00</v>
      </c>
    </row>
    <row r="244" spans="1:41" x14ac:dyDescent="0.4">
      <c r="A244" t="s">
        <v>247</v>
      </c>
      <c r="B244">
        <f>B243+1</f>
        <v>242</v>
      </c>
      <c r="C244" t="str">
        <f>MID('paste from garc here'!$C$1,1+(('table for research'!$B244-1)*36+HEX2DEC('table for research'!C$1))*2,2)</f>
        <v>64</v>
      </c>
      <c r="D244" t="str">
        <f>MID('paste from garc here'!$C$1,1+(('table for research'!$B244-1)*36+HEX2DEC('table for research'!D$1))*2,2)</f>
        <v>00</v>
      </c>
      <c r="E244" t="str">
        <f>MID('paste from garc here'!$C$1,1+(('table for research'!$B244-1)*36+HEX2DEC('table for research'!E$1))*2,2)</f>
        <v>4C</v>
      </c>
      <c r="F244" t="str">
        <f>MID('paste from garc here'!$C$1,1+(('table for research'!$B244-1)*36+HEX2DEC('table for research'!F$1))*2,2)</f>
        <v>14</v>
      </c>
      <c r="G244" t="str">
        <f>MID('paste from garc here'!$C$1,1+(('table for research'!$B244-1)*36+HEX2DEC('table for research'!G$1))*2,2)</f>
        <v>00</v>
      </c>
      <c r="H244" t="str">
        <f>MID('paste from garc here'!$C$1,1+(('table for research'!$B244-1)*36+HEX2DEC('table for research'!H$1))*2,2)</f>
        <v>00</v>
      </c>
      <c r="I244" t="str">
        <f>MID('paste from garc here'!$C$1,1+(('table for research'!$B244-1)*36+HEX2DEC('table for research'!I$1))*2,2)</f>
        <v>1E</v>
      </c>
      <c r="J244" t="str">
        <f>MID('paste from garc here'!$C$1,1+(('table for research'!$B244-1)*36+HEX2DEC('table for research'!J$1))*2,2)</f>
        <v>00</v>
      </c>
      <c r="K244" t="str">
        <f>DEC2HEX(_xlfn.BITAND(HEX2DEC(MID('paste from garc here'!$C$1,1+(('table for research'!$B244-1)*36+HEX2DEC(8))*2,2)),31),2)</f>
        <v>1F</v>
      </c>
      <c r="L244" t="str">
        <f>DEC2HEX(_xlfn.BITAND(HEX2DEC(MID('paste from garc here'!$C$1,1+(('table for research'!$B244-1)*36+HEX2DEC(8))*2,2)),32),2)</f>
        <v>00</v>
      </c>
      <c r="M244" t="str">
        <f>DEC2HEX(_xlfn.BITAND(HEX2DEC(MID('paste from garc here'!$C$1,1+(('table for research'!$B244-1)*36+HEX2DEC(8))*2,2)),64),2)</f>
        <v>00</v>
      </c>
      <c r="N244" t="str">
        <f>DEC2HEX(_xlfn.BITRSHIFT(_xlfn.BITAND(HEX2DEC(MID('paste from garc here'!$C$1,1+(('table for research'!$B244-1)*36+HEX2DEC(9))*2,2)&amp;MID('paste from garc here'!$C$1,1+(('table for research'!$B244-1)*36+HEX2DEC(8))*2,2)),1920),7),2)</f>
        <v>00</v>
      </c>
      <c r="O244" t="str">
        <f>DEC2HEX(_xlfn.BITRSHIFT(HEX2DEC(MID('paste from garc here'!$C$1,1+(('table for research'!$B244-1)*36+HEX2DEC(9))*2,2)&amp;MID('paste from garc here'!$C$1,1+(('table for research'!$B244-1)*36+HEX2DEC(8))*2,2)),11),2)</f>
        <v>00</v>
      </c>
      <c r="P244" t="str">
        <f>MID('paste from garc here'!$C$1,1+(('table for research'!$B244-1)*36+HEX2DEC('table for research'!P$1))*2,2)</f>
        <v>00</v>
      </c>
      <c r="Q244" t="str">
        <f>MID('paste from garc here'!$C$1,1+(('table for research'!$B244-1)*36+HEX2DEC('table for research'!Q$1))*2,2)</f>
        <v>00</v>
      </c>
      <c r="R244" t="str">
        <f>MID('paste from garc here'!$C$1,1+(('table for research'!$B244-1)*36+HEX2DEC('table for research'!R$1))*2,2)</f>
        <v>00</v>
      </c>
      <c r="S244" t="str">
        <f>MID('paste from garc here'!$C$1,1+(('table for research'!$B244-1)*36+HEX2DEC('table for research'!S$1))*2,2)</f>
        <v>01</v>
      </c>
      <c r="T244" t="str">
        <f>MID('paste from garc here'!$C$1,1+(('table for research'!$B244-1)*36+HEX2DEC('table for research'!T$1))*2,2)</f>
        <v>00</v>
      </c>
      <c r="U244" t="str">
        <f>MID('paste from garc here'!$C$1,1+(('table for research'!$B244-1)*36+HEX2DEC('table for research'!U$1))*2,2)</f>
        <v>5C</v>
      </c>
      <c r="V244" t="str">
        <f>MID('paste from garc here'!$C$1,1+(('table for research'!$B244-1)*36+HEX2DEC('table for research'!V$1))*2,2)</f>
        <v>00</v>
      </c>
      <c r="W244" t="str">
        <f>MID('paste from garc here'!$C$1,1+(('table for research'!$B244-1)*36+HEX2DEC('table for research'!W$1))*2,2)</f>
        <v>00</v>
      </c>
      <c r="X244" t="str">
        <f>MID('paste from garc here'!$C$1,1+(('table for research'!$B244-1)*36+HEX2DEC('table for research'!X$1))*2,2)</f>
        <v>00</v>
      </c>
      <c r="Y244" t="str">
        <f>MID('paste from garc here'!$C$1,1+(('table for research'!$B244-1)*36+HEX2DEC('table for research'!Y$1))*2,2)</f>
        <v>00</v>
      </c>
      <c r="Z244" t="str">
        <f>MID('paste from garc here'!$C$1,1+(('table for research'!$B244-1)*36+HEX2DEC('table for research'!Z$1))*2,2)</f>
        <v>00</v>
      </c>
      <c r="AA244" t="str">
        <f>MID('paste from garc here'!$C$1,1+(('table for research'!$B244-1)*36+HEX2DEC('table for research'!AA$1))*2,2)</f>
        <v>00</v>
      </c>
      <c r="AB244" t="str">
        <f>MID('paste from garc here'!$C$1,1+(('table for research'!$B244-1)*36+HEX2DEC('table for research'!AB$1))*2,2)</f>
        <v>00</v>
      </c>
      <c r="AC244" t="str">
        <f>MID('paste from garc here'!$C$1,1+(('table for research'!$B244-1)*36+HEX2DEC('table for research'!AC$1))*2,2)</f>
        <v>00</v>
      </c>
      <c r="AD244" t="str">
        <f>MID('paste from garc here'!$C$1,1+(('table for research'!$B244-1)*36+HEX2DEC('table for research'!AD$1))*2,2)</f>
        <v>00</v>
      </c>
      <c r="AE244" t="str">
        <f>MID('paste from garc here'!$C$1,1+(('table for research'!$B244-1)*36+HEX2DEC('table for research'!AE$1))*2,2)</f>
        <v>00</v>
      </c>
      <c r="AF244" t="str">
        <f>MID('paste from garc here'!$C$1,1+(('table for research'!$B244-1)*36+HEX2DEC('table for research'!AF$1))*2,2)</f>
        <v>00</v>
      </c>
      <c r="AG244" t="str">
        <f>MID('paste from garc here'!$C$1,1+(('table for research'!$B244-1)*36+HEX2DEC('table for research'!AG$1))*2,2)</f>
        <v>00</v>
      </c>
      <c r="AH244" t="str">
        <f>MID('paste from garc here'!$C$1,1+(('table for research'!$B244-1)*36+HEX2DEC('table for research'!AH$1))*2,2)</f>
        <v>00</v>
      </c>
      <c r="AI244" t="str">
        <f>MID('paste from garc here'!$C$1,1+(('table for research'!$B244-1)*36+HEX2DEC('table for research'!AI$1))*2,2)</f>
        <v>00</v>
      </c>
      <c r="AJ244" t="str">
        <f>MID('paste from garc here'!$C$1,1+(('table for research'!$B244-1)*36+HEX2DEC('table for research'!AJ$1))*2,2)</f>
        <v>00</v>
      </c>
      <c r="AK244" t="str">
        <f>MID('paste from garc here'!$C$1,1+(('table for research'!$B244-1)*36+HEX2DEC('table for research'!AK$1))*2,2)</f>
        <v>00</v>
      </c>
      <c r="AL244" t="str">
        <f>MID('paste from garc here'!$C$1,1+(('table for research'!$B244-1)*36+HEX2DEC('table for research'!AL$1))*2,2)</f>
        <v>00</v>
      </c>
      <c r="AM244" t="str">
        <f>MID('paste from garc here'!$C$1,1+(('table for research'!$B244-1)*36+HEX2DEC('table for research'!AM$1))*2,2)</f>
        <v>00</v>
      </c>
      <c r="AN244" t="str">
        <f>MID('paste from garc here'!$C$1,1+(('table for research'!$B244-1)*36+HEX2DEC('table for research'!AN$1))*2,2)</f>
        <v>00</v>
      </c>
      <c r="AO244" t="str">
        <f>MID('paste from garc here'!$C$1,1+(('table for research'!$B244-1)*36+HEX2DEC('table for research'!AO$1))*2,2)</f>
        <v>00</v>
      </c>
    </row>
    <row r="245" spans="1:41" x14ac:dyDescent="0.4">
      <c r="A245" t="s">
        <v>248</v>
      </c>
      <c r="B245">
        <f>B244+1</f>
        <v>243</v>
      </c>
      <c r="C245" t="str">
        <f>MID('paste from garc here'!$C$1,1+(('table for research'!$B245-1)*36+HEX2DEC('table for research'!C$1))*2,2)</f>
        <v>64</v>
      </c>
      <c r="D245" t="str">
        <f>MID('paste from garc here'!$C$1,1+(('table for research'!$B245-1)*36+HEX2DEC('table for research'!D$1))*2,2)</f>
        <v>00</v>
      </c>
      <c r="E245" t="str">
        <f>MID('paste from garc here'!$C$1,1+(('table for research'!$B245-1)*36+HEX2DEC('table for research'!E$1))*2,2)</f>
        <v>4D</v>
      </c>
      <c r="F245" t="str">
        <f>MID('paste from garc here'!$C$1,1+(('table for research'!$B245-1)*36+HEX2DEC('table for research'!F$1))*2,2)</f>
        <v>14</v>
      </c>
      <c r="G245" t="str">
        <f>MID('paste from garc here'!$C$1,1+(('table for research'!$B245-1)*36+HEX2DEC('table for research'!G$1))*2,2)</f>
        <v>00</v>
      </c>
      <c r="H245" t="str">
        <f>MID('paste from garc here'!$C$1,1+(('table for research'!$B245-1)*36+HEX2DEC('table for research'!H$1))*2,2)</f>
        <v>00</v>
      </c>
      <c r="I245" t="str">
        <f>MID('paste from garc here'!$C$1,1+(('table for research'!$B245-1)*36+HEX2DEC('table for research'!I$1))*2,2)</f>
        <v>1E</v>
      </c>
      <c r="J245" t="str">
        <f>MID('paste from garc here'!$C$1,1+(('table for research'!$B245-1)*36+HEX2DEC('table for research'!J$1))*2,2)</f>
        <v>00</v>
      </c>
      <c r="K245" t="str">
        <f>DEC2HEX(_xlfn.BITAND(HEX2DEC(MID('paste from garc here'!$C$1,1+(('table for research'!$B245-1)*36+HEX2DEC(8))*2,2)),31),2)</f>
        <v>1F</v>
      </c>
      <c r="L245" t="str">
        <f>DEC2HEX(_xlfn.BITAND(HEX2DEC(MID('paste from garc here'!$C$1,1+(('table for research'!$B245-1)*36+HEX2DEC(8))*2,2)),32),2)</f>
        <v>00</v>
      </c>
      <c r="M245" t="str">
        <f>DEC2HEX(_xlfn.BITAND(HEX2DEC(MID('paste from garc here'!$C$1,1+(('table for research'!$B245-1)*36+HEX2DEC(8))*2,2)),64),2)</f>
        <v>00</v>
      </c>
      <c r="N245" t="str">
        <f>DEC2HEX(_xlfn.BITRSHIFT(_xlfn.BITAND(HEX2DEC(MID('paste from garc here'!$C$1,1+(('table for research'!$B245-1)*36+HEX2DEC(9))*2,2)&amp;MID('paste from garc here'!$C$1,1+(('table for research'!$B245-1)*36+HEX2DEC(8))*2,2)),1920),7),2)</f>
        <v>00</v>
      </c>
      <c r="O245" t="str">
        <f>DEC2HEX(_xlfn.BITRSHIFT(HEX2DEC(MID('paste from garc here'!$C$1,1+(('table for research'!$B245-1)*36+HEX2DEC(9))*2,2)&amp;MID('paste from garc here'!$C$1,1+(('table for research'!$B245-1)*36+HEX2DEC(8))*2,2)),11),2)</f>
        <v>00</v>
      </c>
      <c r="P245" t="str">
        <f>MID('paste from garc here'!$C$1,1+(('table for research'!$B245-1)*36+HEX2DEC('table for research'!P$1))*2,2)</f>
        <v>00</v>
      </c>
      <c r="Q245" t="str">
        <f>MID('paste from garc here'!$C$1,1+(('table for research'!$B245-1)*36+HEX2DEC('table for research'!Q$1))*2,2)</f>
        <v>00</v>
      </c>
      <c r="R245" t="str">
        <f>MID('paste from garc here'!$C$1,1+(('table for research'!$B245-1)*36+HEX2DEC('table for research'!R$1))*2,2)</f>
        <v>00</v>
      </c>
      <c r="S245" t="str">
        <f>MID('paste from garc here'!$C$1,1+(('table for research'!$B245-1)*36+HEX2DEC('table for research'!S$1))*2,2)</f>
        <v>01</v>
      </c>
      <c r="T245" t="str">
        <f>MID('paste from garc here'!$C$1,1+(('table for research'!$B245-1)*36+HEX2DEC('table for research'!T$1))*2,2)</f>
        <v>00</v>
      </c>
      <c r="U245" t="str">
        <f>MID('paste from garc here'!$C$1,1+(('table for research'!$B245-1)*36+HEX2DEC('table for research'!U$1))*2,2)</f>
        <v>65</v>
      </c>
      <c r="V245" t="str">
        <f>MID('paste from garc here'!$C$1,1+(('table for research'!$B245-1)*36+HEX2DEC('table for research'!V$1))*2,2)</f>
        <v>00</v>
      </c>
      <c r="W245" t="str">
        <f>MID('paste from garc here'!$C$1,1+(('table for research'!$B245-1)*36+HEX2DEC('table for research'!W$1))*2,2)</f>
        <v>00</v>
      </c>
      <c r="X245" t="str">
        <f>MID('paste from garc here'!$C$1,1+(('table for research'!$B245-1)*36+HEX2DEC('table for research'!X$1))*2,2)</f>
        <v>00</v>
      </c>
      <c r="Y245" t="str">
        <f>MID('paste from garc here'!$C$1,1+(('table for research'!$B245-1)*36+HEX2DEC('table for research'!Y$1))*2,2)</f>
        <v>00</v>
      </c>
      <c r="Z245" t="str">
        <f>MID('paste from garc here'!$C$1,1+(('table for research'!$B245-1)*36+HEX2DEC('table for research'!Z$1))*2,2)</f>
        <v>00</v>
      </c>
      <c r="AA245" t="str">
        <f>MID('paste from garc here'!$C$1,1+(('table for research'!$B245-1)*36+HEX2DEC('table for research'!AA$1))*2,2)</f>
        <v>00</v>
      </c>
      <c r="AB245" t="str">
        <f>MID('paste from garc here'!$C$1,1+(('table for research'!$B245-1)*36+HEX2DEC('table for research'!AB$1))*2,2)</f>
        <v>00</v>
      </c>
      <c r="AC245" t="str">
        <f>MID('paste from garc here'!$C$1,1+(('table for research'!$B245-1)*36+HEX2DEC('table for research'!AC$1))*2,2)</f>
        <v>00</v>
      </c>
      <c r="AD245" t="str">
        <f>MID('paste from garc here'!$C$1,1+(('table for research'!$B245-1)*36+HEX2DEC('table for research'!AD$1))*2,2)</f>
        <v>00</v>
      </c>
      <c r="AE245" t="str">
        <f>MID('paste from garc here'!$C$1,1+(('table for research'!$B245-1)*36+HEX2DEC('table for research'!AE$1))*2,2)</f>
        <v>00</v>
      </c>
      <c r="AF245" t="str">
        <f>MID('paste from garc here'!$C$1,1+(('table for research'!$B245-1)*36+HEX2DEC('table for research'!AF$1))*2,2)</f>
        <v>00</v>
      </c>
      <c r="AG245" t="str">
        <f>MID('paste from garc here'!$C$1,1+(('table for research'!$B245-1)*36+HEX2DEC('table for research'!AG$1))*2,2)</f>
        <v>00</v>
      </c>
      <c r="AH245" t="str">
        <f>MID('paste from garc here'!$C$1,1+(('table for research'!$B245-1)*36+HEX2DEC('table for research'!AH$1))*2,2)</f>
        <v>00</v>
      </c>
      <c r="AI245" t="str">
        <f>MID('paste from garc here'!$C$1,1+(('table for research'!$B245-1)*36+HEX2DEC('table for research'!AI$1))*2,2)</f>
        <v>00</v>
      </c>
      <c r="AJ245" t="str">
        <f>MID('paste from garc here'!$C$1,1+(('table for research'!$B245-1)*36+HEX2DEC('table for research'!AJ$1))*2,2)</f>
        <v>00</v>
      </c>
      <c r="AK245" t="str">
        <f>MID('paste from garc here'!$C$1,1+(('table for research'!$B245-1)*36+HEX2DEC('table for research'!AK$1))*2,2)</f>
        <v>00</v>
      </c>
      <c r="AL245" t="str">
        <f>MID('paste from garc here'!$C$1,1+(('table for research'!$B245-1)*36+HEX2DEC('table for research'!AL$1))*2,2)</f>
        <v>00</v>
      </c>
      <c r="AM245" t="str">
        <f>MID('paste from garc here'!$C$1,1+(('table for research'!$B245-1)*36+HEX2DEC('table for research'!AM$1))*2,2)</f>
        <v>00</v>
      </c>
      <c r="AN245" t="str">
        <f>MID('paste from garc here'!$C$1,1+(('table for research'!$B245-1)*36+HEX2DEC('table for research'!AN$1))*2,2)</f>
        <v>00</v>
      </c>
      <c r="AO245" t="str">
        <f>MID('paste from garc here'!$C$1,1+(('table for research'!$B245-1)*36+HEX2DEC('table for research'!AO$1))*2,2)</f>
        <v>00</v>
      </c>
    </row>
    <row r="246" spans="1:41" x14ac:dyDescent="0.4">
      <c r="A246" t="s">
        <v>249</v>
      </c>
      <c r="B246">
        <f>B245+1</f>
        <v>244</v>
      </c>
      <c r="C246" t="str">
        <f>MID('paste from garc here'!$C$1,1+(('table for research'!$B246-1)*36+HEX2DEC('table for research'!C$1))*2,2)</f>
        <v>64</v>
      </c>
      <c r="D246" t="str">
        <f>MID('paste from garc here'!$C$1,1+(('table for research'!$B246-1)*36+HEX2DEC('table for research'!D$1))*2,2)</f>
        <v>00</v>
      </c>
      <c r="E246" t="str">
        <f>MID('paste from garc here'!$C$1,1+(('table for research'!$B246-1)*36+HEX2DEC('table for research'!E$1))*2,2)</f>
        <v>4E</v>
      </c>
      <c r="F246" t="str">
        <f>MID('paste from garc here'!$C$1,1+(('table for research'!$B246-1)*36+HEX2DEC('table for research'!F$1))*2,2)</f>
        <v>14</v>
      </c>
      <c r="G246" t="str">
        <f>MID('paste from garc here'!$C$1,1+(('table for research'!$B246-1)*36+HEX2DEC('table for research'!G$1))*2,2)</f>
        <v>00</v>
      </c>
      <c r="H246" t="str">
        <f>MID('paste from garc here'!$C$1,1+(('table for research'!$B246-1)*36+HEX2DEC('table for research'!H$1))*2,2)</f>
        <v>00</v>
      </c>
      <c r="I246" t="str">
        <f>MID('paste from garc here'!$C$1,1+(('table for research'!$B246-1)*36+HEX2DEC('table for research'!I$1))*2,2)</f>
        <v>32</v>
      </c>
      <c r="J246" t="str">
        <f>MID('paste from garc here'!$C$1,1+(('table for research'!$B246-1)*36+HEX2DEC('table for research'!J$1))*2,2)</f>
        <v>00</v>
      </c>
      <c r="K246" t="str">
        <f>DEC2HEX(_xlfn.BITAND(HEX2DEC(MID('paste from garc here'!$C$1,1+(('table for research'!$B246-1)*36+HEX2DEC(8))*2,2)),31),2)</f>
        <v>1F</v>
      </c>
      <c r="L246" t="str">
        <f>DEC2HEX(_xlfn.BITAND(HEX2DEC(MID('paste from garc here'!$C$1,1+(('table for research'!$B246-1)*36+HEX2DEC(8))*2,2)),32),2)</f>
        <v>00</v>
      </c>
      <c r="M246" t="str">
        <f>DEC2HEX(_xlfn.BITAND(HEX2DEC(MID('paste from garc here'!$C$1,1+(('table for research'!$B246-1)*36+HEX2DEC(8))*2,2)),64),2)</f>
        <v>00</v>
      </c>
      <c r="N246" t="str">
        <f>DEC2HEX(_xlfn.BITRSHIFT(_xlfn.BITAND(HEX2DEC(MID('paste from garc here'!$C$1,1+(('table for research'!$B246-1)*36+HEX2DEC(9))*2,2)&amp;MID('paste from garc here'!$C$1,1+(('table for research'!$B246-1)*36+HEX2DEC(8))*2,2)),1920),7),2)</f>
        <v>00</v>
      </c>
      <c r="O246" t="str">
        <f>DEC2HEX(_xlfn.BITRSHIFT(HEX2DEC(MID('paste from garc here'!$C$1,1+(('table for research'!$B246-1)*36+HEX2DEC(9))*2,2)&amp;MID('paste from garc here'!$C$1,1+(('table for research'!$B246-1)*36+HEX2DEC(8))*2,2)),11),2)</f>
        <v>00</v>
      </c>
      <c r="P246" t="str">
        <f>MID('paste from garc here'!$C$1,1+(('table for research'!$B246-1)*36+HEX2DEC('table for research'!P$1))*2,2)</f>
        <v>00</v>
      </c>
      <c r="Q246" t="str">
        <f>MID('paste from garc here'!$C$1,1+(('table for research'!$B246-1)*36+HEX2DEC('table for research'!Q$1))*2,2)</f>
        <v>00</v>
      </c>
      <c r="R246" t="str">
        <f>MID('paste from garc here'!$C$1,1+(('table for research'!$B246-1)*36+HEX2DEC('table for research'!R$1))*2,2)</f>
        <v>00</v>
      </c>
      <c r="S246" t="str">
        <f>MID('paste from garc here'!$C$1,1+(('table for research'!$B246-1)*36+HEX2DEC('table for research'!S$1))*2,2)</f>
        <v>01</v>
      </c>
      <c r="T246" t="str">
        <f>MID('paste from garc here'!$C$1,1+(('table for research'!$B246-1)*36+HEX2DEC('table for research'!T$1))*2,2)</f>
        <v>00</v>
      </c>
      <c r="U246" t="str">
        <f>MID('paste from garc here'!$C$1,1+(('table for research'!$B246-1)*36+HEX2DEC('table for research'!U$1))*2,2)</f>
        <v>6A</v>
      </c>
      <c r="V246" t="str">
        <f>MID('paste from garc here'!$C$1,1+(('table for research'!$B246-1)*36+HEX2DEC('table for research'!V$1))*2,2)</f>
        <v>00</v>
      </c>
      <c r="W246" t="str">
        <f>MID('paste from garc here'!$C$1,1+(('table for research'!$B246-1)*36+HEX2DEC('table for research'!W$1))*2,2)</f>
        <v>00</v>
      </c>
      <c r="X246" t="str">
        <f>MID('paste from garc here'!$C$1,1+(('table for research'!$B246-1)*36+HEX2DEC('table for research'!X$1))*2,2)</f>
        <v>00</v>
      </c>
      <c r="Y246" t="str">
        <f>MID('paste from garc here'!$C$1,1+(('table for research'!$B246-1)*36+HEX2DEC('table for research'!Y$1))*2,2)</f>
        <v>00</v>
      </c>
      <c r="Z246" t="str">
        <f>MID('paste from garc here'!$C$1,1+(('table for research'!$B246-1)*36+HEX2DEC('table for research'!Z$1))*2,2)</f>
        <v>00</v>
      </c>
      <c r="AA246" t="str">
        <f>MID('paste from garc here'!$C$1,1+(('table for research'!$B246-1)*36+HEX2DEC('table for research'!AA$1))*2,2)</f>
        <v>00</v>
      </c>
      <c r="AB246" t="str">
        <f>MID('paste from garc here'!$C$1,1+(('table for research'!$B246-1)*36+HEX2DEC('table for research'!AB$1))*2,2)</f>
        <v>00</v>
      </c>
      <c r="AC246" t="str">
        <f>MID('paste from garc here'!$C$1,1+(('table for research'!$B246-1)*36+HEX2DEC('table for research'!AC$1))*2,2)</f>
        <v>00</v>
      </c>
      <c r="AD246" t="str">
        <f>MID('paste from garc here'!$C$1,1+(('table for research'!$B246-1)*36+HEX2DEC('table for research'!AD$1))*2,2)</f>
        <v>00</v>
      </c>
      <c r="AE246" t="str">
        <f>MID('paste from garc here'!$C$1,1+(('table for research'!$B246-1)*36+HEX2DEC('table for research'!AE$1))*2,2)</f>
        <v>00</v>
      </c>
      <c r="AF246" t="str">
        <f>MID('paste from garc here'!$C$1,1+(('table for research'!$B246-1)*36+HEX2DEC('table for research'!AF$1))*2,2)</f>
        <v>00</v>
      </c>
      <c r="AG246" t="str">
        <f>MID('paste from garc here'!$C$1,1+(('table for research'!$B246-1)*36+HEX2DEC('table for research'!AG$1))*2,2)</f>
        <v>00</v>
      </c>
      <c r="AH246" t="str">
        <f>MID('paste from garc here'!$C$1,1+(('table for research'!$B246-1)*36+HEX2DEC('table for research'!AH$1))*2,2)</f>
        <v>00</v>
      </c>
      <c r="AI246" t="str">
        <f>MID('paste from garc here'!$C$1,1+(('table for research'!$B246-1)*36+HEX2DEC('table for research'!AI$1))*2,2)</f>
        <v>00</v>
      </c>
      <c r="AJ246" t="str">
        <f>MID('paste from garc here'!$C$1,1+(('table for research'!$B246-1)*36+HEX2DEC('table for research'!AJ$1))*2,2)</f>
        <v>00</v>
      </c>
      <c r="AK246" t="str">
        <f>MID('paste from garc here'!$C$1,1+(('table for research'!$B246-1)*36+HEX2DEC('table for research'!AK$1))*2,2)</f>
        <v>00</v>
      </c>
      <c r="AL246" t="str">
        <f>MID('paste from garc here'!$C$1,1+(('table for research'!$B246-1)*36+HEX2DEC('table for research'!AL$1))*2,2)</f>
        <v>00</v>
      </c>
      <c r="AM246" t="str">
        <f>MID('paste from garc here'!$C$1,1+(('table for research'!$B246-1)*36+HEX2DEC('table for research'!AM$1))*2,2)</f>
        <v>00</v>
      </c>
      <c r="AN246" t="str">
        <f>MID('paste from garc here'!$C$1,1+(('table for research'!$B246-1)*36+HEX2DEC('table for research'!AN$1))*2,2)</f>
        <v>00</v>
      </c>
      <c r="AO246" t="str">
        <f>MID('paste from garc here'!$C$1,1+(('table for research'!$B246-1)*36+HEX2DEC('table for research'!AO$1))*2,2)</f>
        <v>00</v>
      </c>
    </row>
    <row r="247" spans="1:41" x14ac:dyDescent="0.4">
      <c r="A247" t="s">
        <v>250</v>
      </c>
      <c r="B247">
        <f>B246+1</f>
        <v>245</v>
      </c>
      <c r="C247" t="str">
        <f>MID('paste from garc here'!$C$1,1+(('table for research'!$B247-1)*36+HEX2DEC('table for research'!C$1))*2,2)</f>
        <v>64</v>
      </c>
      <c r="D247" t="str">
        <f>MID('paste from garc here'!$C$1,1+(('table for research'!$B247-1)*36+HEX2DEC('table for research'!D$1))*2,2)</f>
        <v>00</v>
      </c>
      <c r="E247" t="str">
        <f>MID('paste from garc here'!$C$1,1+(('table for research'!$B247-1)*36+HEX2DEC('table for research'!E$1))*2,2)</f>
        <v>4F</v>
      </c>
      <c r="F247" t="str">
        <f>MID('paste from garc here'!$C$1,1+(('table for research'!$B247-1)*36+HEX2DEC('table for research'!F$1))*2,2)</f>
        <v>14</v>
      </c>
      <c r="G247" t="str">
        <f>MID('paste from garc here'!$C$1,1+(('table for research'!$B247-1)*36+HEX2DEC('table for research'!G$1))*2,2)</f>
        <v>00</v>
      </c>
      <c r="H247" t="str">
        <f>MID('paste from garc here'!$C$1,1+(('table for research'!$B247-1)*36+HEX2DEC('table for research'!H$1))*2,2)</f>
        <v>1C</v>
      </c>
      <c r="I247" t="str">
        <f>MID('paste from garc here'!$C$1,1+(('table for research'!$B247-1)*36+HEX2DEC('table for research'!I$1))*2,2)</f>
        <v>46</v>
      </c>
      <c r="J247" t="str">
        <f>MID('paste from garc here'!$C$1,1+(('table for research'!$B247-1)*36+HEX2DEC('table for research'!J$1))*2,2)</f>
        <v>00</v>
      </c>
      <c r="K247" t="str">
        <f>DEC2HEX(_xlfn.BITAND(HEX2DEC(MID('paste from garc here'!$C$1,1+(('table for research'!$B247-1)*36+HEX2DEC(8))*2,2)),31),2)</f>
        <v>1F</v>
      </c>
      <c r="L247" t="str">
        <f>DEC2HEX(_xlfn.BITAND(HEX2DEC(MID('paste from garc here'!$C$1,1+(('table for research'!$B247-1)*36+HEX2DEC(8))*2,2)),32),2)</f>
        <v>00</v>
      </c>
      <c r="M247" t="str">
        <f>DEC2HEX(_xlfn.BITAND(HEX2DEC(MID('paste from garc here'!$C$1,1+(('table for research'!$B247-1)*36+HEX2DEC(8))*2,2)),64),2)</f>
        <v>00</v>
      </c>
      <c r="N247" t="str">
        <f>DEC2HEX(_xlfn.BITRSHIFT(_xlfn.BITAND(HEX2DEC(MID('paste from garc here'!$C$1,1+(('table for research'!$B247-1)*36+HEX2DEC(9))*2,2)&amp;MID('paste from garc here'!$C$1,1+(('table for research'!$B247-1)*36+HEX2DEC(8))*2,2)),1920),7),2)</f>
        <v>00</v>
      </c>
      <c r="O247" t="str">
        <f>DEC2HEX(_xlfn.BITRSHIFT(HEX2DEC(MID('paste from garc here'!$C$1,1+(('table for research'!$B247-1)*36+HEX2DEC(9))*2,2)&amp;MID('paste from garc here'!$C$1,1+(('table for research'!$B247-1)*36+HEX2DEC(8))*2,2)),11),2)</f>
        <v>00</v>
      </c>
      <c r="P247" t="str">
        <f>MID('paste from garc here'!$C$1,1+(('table for research'!$B247-1)*36+HEX2DEC('table for research'!P$1))*2,2)</f>
        <v>00</v>
      </c>
      <c r="Q247" t="str">
        <f>MID('paste from garc here'!$C$1,1+(('table for research'!$B247-1)*36+HEX2DEC('table for research'!Q$1))*2,2)</f>
        <v>00</v>
      </c>
      <c r="R247" t="str">
        <f>MID('paste from garc here'!$C$1,1+(('table for research'!$B247-1)*36+HEX2DEC('table for research'!R$1))*2,2)</f>
        <v>00</v>
      </c>
      <c r="S247" t="str">
        <f>MID('paste from garc here'!$C$1,1+(('table for research'!$B247-1)*36+HEX2DEC('table for research'!S$1))*2,2)</f>
        <v>01</v>
      </c>
      <c r="T247" t="str">
        <f>MID('paste from garc here'!$C$1,1+(('table for research'!$B247-1)*36+HEX2DEC('table for research'!T$1))*2,2)</f>
        <v>00</v>
      </c>
      <c r="U247" t="str">
        <f>MID('paste from garc here'!$C$1,1+(('table for research'!$B247-1)*36+HEX2DEC('table for research'!U$1))*2,2)</f>
        <v>66</v>
      </c>
      <c r="V247" t="str">
        <f>MID('paste from garc here'!$C$1,1+(('table for research'!$B247-1)*36+HEX2DEC('table for research'!V$1))*2,2)</f>
        <v>00</v>
      </c>
      <c r="W247" t="str">
        <f>MID('paste from garc here'!$C$1,1+(('table for research'!$B247-1)*36+HEX2DEC('table for research'!W$1))*2,2)</f>
        <v>00</v>
      </c>
      <c r="X247" t="str">
        <f>MID('paste from garc here'!$C$1,1+(('table for research'!$B247-1)*36+HEX2DEC('table for research'!X$1))*2,2)</f>
        <v>00</v>
      </c>
      <c r="Y247" t="str">
        <f>MID('paste from garc here'!$C$1,1+(('table for research'!$B247-1)*36+HEX2DEC('table for research'!Y$1))*2,2)</f>
        <v>00</v>
      </c>
      <c r="Z247" t="str">
        <f>MID('paste from garc here'!$C$1,1+(('table for research'!$B247-1)*36+HEX2DEC('table for research'!Z$1))*2,2)</f>
        <v>00</v>
      </c>
      <c r="AA247" t="str">
        <f>MID('paste from garc here'!$C$1,1+(('table for research'!$B247-1)*36+HEX2DEC('table for research'!AA$1))*2,2)</f>
        <v>00</v>
      </c>
      <c r="AB247" t="str">
        <f>MID('paste from garc here'!$C$1,1+(('table for research'!$B247-1)*36+HEX2DEC('table for research'!AB$1))*2,2)</f>
        <v>00</v>
      </c>
      <c r="AC247" t="str">
        <f>MID('paste from garc here'!$C$1,1+(('table for research'!$B247-1)*36+HEX2DEC('table for research'!AC$1))*2,2)</f>
        <v>00</v>
      </c>
      <c r="AD247" t="str">
        <f>MID('paste from garc here'!$C$1,1+(('table for research'!$B247-1)*36+HEX2DEC('table for research'!AD$1))*2,2)</f>
        <v>00</v>
      </c>
      <c r="AE247" t="str">
        <f>MID('paste from garc here'!$C$1,1+(('table for research'!$B247-1)*36+HEX2DEC('table for research'!AE$1))*2,2)</f>
        <v>00</v>
      </c>
      <c r="AF247" t="str">
        <f>MID('paste from garc here'!$C$1,1+(('table for research'!$B247-1)*36+HEX2DEC('table for research'!AF$1))*2,2)</f>
        <v>00</v>
      </c>
      <c r="AG247" t="str">
        <f>MID('paste from garc here'!$C$1,1+(('table for research'!$B247-1)*36+HEX2DEC('table for research'!AG$1))*2,2)</f>
        <v>00</v>
      </c>
      <c r="AH247" t="str">
        <f>MID('paste from garc here'!$C$1,1+(('table for research'!$B247-1)*36+HEX2DEC('table for research'!AH$1))*2,2)</f>
        <v>00</v>
      </c>
      <c r="AI247" t="str">
        <f>MID('paste from garc here'!$C$1,1+(('table for research'!$B247-1)*36+HEX2DEC('table for research'!AI$1))*2,2)</f>
        <v>00</v>
      </c>
      <c r="AJ247" t="str">
        <f>MID('paste from garc here'!$C$1,1+(('table for research'!$B247-1)*36+HEX2DEC('table for research'!AJ$1))*2,2)</f>
        <v>00</v>
      </c>
      <c r="AK247" t="str">
        <f>MID('paste from garc here'!$C$1,1+(('table for research'!$B247-1)*36+HEX2DEC('table for research'!AK$1))*2,2)</f>
        <v>00</v>
      </c>
      <c r="AL247" t="str">
        <f>MID('paste from garc here'!$C$1,1+(('table for research'!$B247-1)*36+HEX2DEC('table for research'!AL$1))*2,2)</f>
        <v>00</v>
      </c>
      <c r="AM247" t="str">
        <f>MID('paste from garc here'!$C$1,1+(('table for research'!$B247-1)*36+HEX2DEC('table for research'!AM$1))*2,2)</f>
        <v>00</v>
      </c>
      <c r="AN247" t="str">
        <f>MID('paste from garc here'!$C$1,1+(('table for research'!$B247-1)*36+HEX2DEC('table for research'!AN$1))*2,2)</f>
        <v>00</v>
      </c>
      <c r="AO247" t="str">
        <f>MID('paste from garc here'!$C$1,1+(('table for research'!$B247-1)*36+HEX2DEC('table for research'!AO$1))*2,2)</f>
        <v>00</v>
      </c>
    </row>
    <row r="248" spans="1:41" x14ac:dyDescent="0.4">
      <c r="A248" t="s">
        <v>251</v>
      </c>
      <c r="B248">
        <f>B247+1</f>
        <v>246</v>
      </c>
      <c r="C248" t="str">
        <f>MID('paste from garc here'!$C$1,1+(('table for research'!$B248-1)*36+HEX2DEC('table for research'!C$1))*2,2)</f>
        <v>64</v>
      </c>
      <c r="D248" t="str">
        <f>MID('paste from garc here'!$C$1,1+(('table for research'!$B248-1)*36+HEX2DEC('table for research'!D$1))*2,2)</f>
        <v>00</v>
      </c>
      <c r="E248" t="str">
        <f>MID('paste from garc here'!$C$1,1+(('table for research'!$B248-1)*36+HEX2DEC('table for research'!E$1))*2,2)</f>
        <v>50</v>
      </c>
      <c r="F248" t="str">
        <f>MID('paste from garc here'!$C$1,1+(('table for research'!$B248-1)*36+HEX2DEC('table for research'!F$1))*2,2)</f>
        <v>14</v>
      </c>
      <c r="G248" t="str">
        <f>MID('paste from garc here'!$C$1,1+(('table for research'!$B248-1)*36+HEX2DEC('table for research'!G$1))*2,2)</f>
        <v>00</v>
      </c>
      <c r="H248" t="str">
        <f>MID('paste from garc here'!$C$1,1+(('table for research'!$B248-1)*36+HEX2DEC('table for research'!H$1))*2,2)</f>
        <v>00</v>
      </c>
      <c r="I248" t="str">
        <f>MID('paste from garc here'!$C$1,1+(('table for research'!$B248-1)*36+HEX2DEC('table for research'!I$1))*2,2)</f>
        <v>1E</v>
      </c>
      <c r="J248" t="str">
        <f>MID('paste from garc here'!$C$1,1+(('table for research'!$B248-1)*36+HEX2DEC('table for research'!J$1))*2,2)</f>
        <v>00</v>
      </c>
      <c r="K248" t="str">
        <f>DEC2HEX(_xlfn.BITAND(HEX2DEC(MID('paste from garc here'!$C$1,1+(('table for research'!$B248-1)*36+HEX2DEC(8))*2,2)),31),2)</f>
        <v>1F</v>
      </c>
      <c r="L248" t="str">
        <f>DEC2HEX(_xlfn.BITAND(HEX2DEC(MID('paste from garc here'!$C$1,1+(('table for research'!$B248-1)*36+HEX2DEC(8))*2,2)),32),2)</f>
        <v>00</v>
      </c>
      <c r="M248" t="str">
        <f>DEC2HEX(_xlfn.BITAND(HEX2DEC(MID('paste from garc here'!$C$1,1+(('table for research'!$B248-1)*36+HEX2DEC(8))*2,2)),64),2)</f>
        <v>00</v>
      </c>
      <c r="N248" t="str">
        <f>DEC2HEX(_xlfn.BITRSHIFT(_xlfn.BITAND(HEX2DEC(MID('paste from garc here'!$C$1,1+(('table for research'!$B248-1)*36+HEX2DEC(9))*2,2)&amp;MID('paste from garc here'!$C$1,1+(('table for research'!$B248-1)*36+HEX2DEC(8))*2,2)),1920),7),2)</f>
        <v>00</v>
      </c>
      <c r="O248" t="str">
        <f>DEC2HEX(_xlfn.BITRSHIFT(HEX2DEC(MID('paste from garc here'!$C$1,1+(('table for research'!$B248-1)*36+HEX2DEC(9))*2,2)&amp;MID('paste from garc here'!$C$1,1+(('table for research'!$B248-1)*36+HEX2DEC(8))*2,2)),11),2)</f>
        <v>00</v>
      </c>
      <c r="P248" t="str">
        <f>MID('paste from garc here'!$C$1,1+(('table for research'!$B248-1)*36+HEX2DEC('table for research'!P$1))*2,2)</f>
        <v>00</v>
      </c>
      <c r="Q248" t="str">
        <f>MID('paste from garc here'!$C$1,1+(('table for research'!$B248-1)*36+HEX2DEC('table for research'!Q$1))*2,2)</f>
        <v>00</v>
      </c>
      <c r="R248" t="str">
        <f>MID('paste from garc here'!$C$1,1+(('table for research'!$B248-1)*36+HEX2DEC('table for research'!R$1))*2,2)</f>
        <v>00</v>
      </c>
      <c r="S248" t="str">
        <f>MID('paste from garc here'!$C$1,1+(('table for research'!$B248-1)*36+HEX2DEC('table for research'!S$1))*2,2)</f>
        <v>01</v>
      </c>
      <c r="T248" t="str">
        <f>MID('paste from garc here'!$C$1,1+(('table for research'!$B248-1)*36+HEX2DEC('table for research'!T$1))*2,2)</f>
        <v>00</v>
      </c>
      <c r="U248" t="str">
        <f>MID('paste from garc here'!$C$1,1+(('table for research'!$B248-1)*36+HEX2DEC('table for research'!U$1))*2,2)</f>
        <v>5D</v>
      </c>
      <c r="V248" t="str">
        <f>MID('paste from garc here'!$C$1,1+(('table for research'!$B248-1)*36+HEX2DEC('table for research'!V$1))*2,2)</f>
        <v>00</v>
      </c>
      <c r="W248" t="str">
        <f>MID('paste from garc here'!$C$1,1+(('table for research'!$B248-1)*36+HEX2DEC('table for research'!W$1))*2,2)</f>
        <v>00</v>
      </c>
      <c r="X248" t="str">
        <f>MID('paste from garc here'!$C$1,1+(('table for research'!$B248-1)*36+HEX2DEC('table for research'!X$1))*2,2)</f>
        <v>00</v>
      </c>
      <c r="Y248" t="str">
        <f>MID('paste from garc here'!$C$1,1+(('table for research'!$B248-1)*36+HEX2DEC('table for research'!Y$1))*2,2)</f>
        <v>00</v>
      </c>
      <c r="Z248" t="str">
        <f>MID('paste from garc here'!$C$1,1+(('table for research'!$B248-1)*36+HEX2DEC('table for research'!Z$1))*2,2)</f>
        <v>00</v>
      </c>
      <c r="AA248" t="str">
        <f>MID('paste from garc here'!$C$1,1+(('table for research'!$B248-1)*36+HEX2DEC('table for research'!AA$1))*2,2)</f>
        <v>00</v>
      </c>
      <c r="AB248" t="str">
        <f>MID('paste from garc here'!$C$1,1+(('table for research'!$B248-1)*36+HEX2DEC('table for research'!AB$1))*2,2)</f>
        <v>00</v>
      </c>
      <c r="AC248" t="str">
        <f>MID('paste from garc here'!$C$1,1+(('table for research'!$B248-1)*36+HEX2DEC('table for research'!AC$1))*2,2)</f>
        <v>00</v>
      </c>
      <c r="AD248" t="str">
        <f>MID('paste from garc here'!$C$1,1+(('table for research'!$B248-1)*36+HEX2DEC('table for research'!AD$1))*2,2)</f>
        <v>00</v>
      </c>
      <c r="AE248" t="str">
        <f>MID('paste from garc here'!$C$1,1+(('table for research'!$B248-1)*36+HEX2DEC('table for research'!AE$1))*2,2)</f>
        <v>00</v>
      </c>
      <c r="AF248" t="str">
        <f>MID('paste from garc here'!$C$1,1+(('table for research'!$B248-1)*36+HEX2DEC('table for research'!AF$1))*2,2)</f>
        <v>00</v>
      </c>
      <c r="AG248" t="str">
        <f>MID('paste from garc here'!$C$1,1+(('table for research'!$B248-1)*36+HEX2DEC('table for research'!AG$1))*2,2)</f>
        <v>00</v>
      </c>
      <c r="AH248" t="str">
        <f>MID('paste from garc here'!$C$1,1+(('table for research'!$B248-1)*36+HEX2DEC('table for research'!AH$1))*2,2)</f>
        <v>00</v>
      </c>
      <c r="AI248" t="str">
        <f>MID('paste from garc here'!$C$1,1+(('table for research'!$B248-1)*36+HEX2DEC('table for research'!AI$1))*2,2)</f>
        <v>00</v>
      </c>
      <c r="AJ248" t="str">
        <f>MID('paste from garc here'!$C$1,1+(('table for research'!$B248-1)*36+HEX2DEC('table for research'!AJ$1))*2,2)</f>
        <v>00</v>
      </c>
      <c r="AK248" t="str">
        <f>MID('paste from garc here'!$C$1,1+(('table for research'!$B248-1)*36+HEX2DEC('table for research'!AK$1))*2,2)</f>
        <v>00</v>
      </c>
      <c r="AL248" t="str">
        <f>MID('paste from garc here'!$C$1,1+(('table for research'!$B248-1)*36+HEX2DEC('table for research'!AL$1))*2,2)</f>
        <v>00</v>
      </c>
      <c r="AM248" t="str">
        <f>MID('paste from garc here'!$C$1,1+(('table for research'!$B248-1)*36+HEX2DEC('table for research'!AM$1))*2,2)</f>
        <v>00</v>
      </c>
      <c r="AN248" t="str">
        <f>MID('paste from garc here'!$C$1,1+(('table for research'!$B248-1)*36+HEX2DEC('table for research'!AN$1))*2,2)</f>
        <v>00</v>
      </c>
      <c r="AO248" t="str">
        <f>MID('paste from garc here'!$C$1,1+(('table for research'!$B248-1)*36+HEX2DEC('table for research'!AO$1))*2,2)</f>
        <v>00</v>
      </c>
    </row>
    <row r="249" spans="1:41" x14ac:dyDescent="0.4">
      <c r="A249" t="s">
        <v>252</v>
      </c>
      <c r="B249">
        <f>B248+1</f>
        <v>247</v>
      </c>
      <c r="C249" t="str">
        <f>MID('paste from garc here'!$C$1,1+(('table for research'!$B249-1)*36+HEX2DEC('table for research'!C$1))*2,2)</f>
        <v>64</v>
      </c>
      <c r="D249" t="str">
        <f>MID('paste from garc here'!$C$1,1+(('table for research'!$B249-1)*36+HEX2DEC('table for research'!D$1))*2,2)</f>
        <v>00</v>
      </c>
      <c r="E249" t="str">
        <f>MID('paste from garc here'!$C$1,1+(('table for research'!$B249-1)*36+HEX2DEC('table for research'!E$1))*2,2)</f>
        <v>51</v>
      </c>
      <c r="F249" t="str">
        <f>MID('paste from garc here'!$C$1,1+(('table for research'!$B249-1)*36+HEX2DEC('table for research'!F$1))*2,2)</f>
        <v>14</v>
      </c>
      <c r="G249" t="str">
        <f>MID('paste from garc here'!$C$1,1+(('table for research'!$B249-1)*36+HEX2DEC('table for research'!G$1))*2,2)</f>
        <v>00</v>
      </c>
      <c r="H249" t="str">
        <f>MID('paste from garc here'!$C$1,1+(('table for research'!$B249-1)*36+HEX2DEC('table for research'!H$1))*2,2)</f>
        <v>00</v>
      </c>
      <c r="I249" t="str">
        <f>MID('paste from garc here'!$C$1,1+(('table for research'!$B249-1)*36+HEX2DEC('table for research'!I$1))*2,2)</f>
        <v>1E</v>
      </c>
      <c r="J249" t="str">
        <f>MID('paste from garc here'!$C$1,1+(('table for research'!$B249-1)*36+HEX2DEC('table for research'!J$1))*2,2)</f>
        <v>00</v>
      </c>
      <c r="K249" t="str">
        <f>DEC2HEX(_xlfn.BITAND(HEX2DEC(MID('paste from garc here'!$C$1,1+(('table for research'!$B249-1)*36+HEX2DEC(8))*2,2)),31),2)</f>
        <v>1F</v>
      </c>
      <c r="L249" t="str">
        <f>DEC2HEX(_xlfn.BITAND(HEX2DEC(MID('paste from garc here'!$C$1,1+(('table for research'!$B249-1)*36+HEX2DEC(8))*2,2)),32),2)</f>
        <v>00</v>
      </c>
      <c r="M249" t="str">
        <f>DEC2HEX(_xlfn.BITAND(HEX2DEC(MID('paste from garc here'!$C$1,1+(('table for research'!$B249-1)*36+HEX2DEC(8))*2,2)),64),2)</f>
        <v>00</v>
      </c>
      <c r="N249" t="str">
        <f>DEC2HEX(_xlfn.BITRSHIFT(_xlfn.BITAND(HEX2DEC(MID('paste from garc here'!$C$1,1+(('table for research'!$B249-1)*36+HEX2DEC(9))*2,2)&amp;MID('paste from garc here'!$C$1,1+(('table for research'!$B249-1)*36+HEX2DEC(8))*2,2)),1920),7),2)</f>
        <v>00</v>
      </c>
      <c r="O249" t="str">
        <f>DEC2HEX(_xlfn.BITRSHIFT(HEX2DEC(MID('paste from garc here'!$C$1,1+(('table for research'!$B249-1)*36+HEX2DEC(9))*2,2)&amp;MID('paste from garc here'!$C$1,1+(('table for research'!$B249-1)*36+HEX2DEC(8))*2,2)),11),2)</f>
        <v>00</v>
      </c>
      <c r="P249" t="str">
        <f>MID('paste from garc here'!$C$1,1+(('table for research'!$B249-1)*36+HEX2DEC('table for research'!P$1))*2,2)</f>
        <v>00</v>
      </c>
      <c r="Q249" t="str">
        <f>MID('paste from garc here'!$C$1,1+(('table for research'!$B249-1)*36+HEX2DEC('table for research'!Q$1))*2,2)</f>
        <v>00</v>
      </c>
      <c r="R249" t="str">
        <f>MID('paste from garc here'!$C$1,1+(('table for research'!$B249-1)*36+HEX2DEC('table for research'!R$1))*2,2)</f>
        <v>00</v>
      </c>
      <c r="S249" t="str">
        <f>MID('paste from garc here'!$C$1,1+(('table for research'!$B249-1)*36+HEX2DEC('table for research'!S$1))*2,2)</f>
        <v>01</v>
      </c>
      <c r="T249" t="str">
        <f>MID('paste from garc here'!$C$1,1+(('table for research'!$B249-1)*36+HEX2DEC('table for research'!T$1))*2,2)</f>
        <v>00</v>
      </c>
      <c r="U249" t="str">
        <f>MID('paste from garc here'!$C$1,1+(('table for research'!$B249-1)*36+HEX2DEC('table for research'!U$1))*2,2)</f>
        <v>68</v>
      </c>
      <c r="V249" t="str">
        <f>MID('paste from garc here'!$C$1,1+(('table for research'!$B249-1)*36+HEX2DEC('table for research'!V$1))*2,2)</f>
        <v>00</v>
      </c>
      <c r="W249" t="str">
        <f>MID('paste from garc here'!$C$1,1+(('table for research'!$B249-1)*36+HEX2DEC('table for research'!W$1))*2,2)</f>
        <v>00</v>
      </c>
      <c r="X249" t="str">
        <f>MID('paste from garc here'!$C$1,1+(('table for research'!$B249-1)*36+HEX2DEC('table for research'!X$1))*2,2)</f>
        <v>00</v>
      </c>
      <c r="Y249" t="str">
        <f>MID('paste from garc here'!$C$1,1+(('table for research'!$B249-1)*36+HEX2DEC('table for research'!Y$1))*2,2)</f>
        <v>00</v>
      </c>
      <c r="Z249" t="str">
        <f>MID('paste from garc here'!$C$1,1+(('table for research'!$B249-1)*36+HEX2DEC('table for research'!Z$1))*2,2)</f>
        <v>00</v>
      </c>
      <c r="AA249" t="str">
        <f>MID('paste from garc here'!$C$1,1+(('table for research'!$B249-1)*36+HEX2DEC('table for research'!AA$1))*2,2)</f>
        <v>00</v>
      </c>
      <c r="AB249" t="str">
        <f>MID('paste from garc here'!$C$1,1+(('table for research'!$B249-1)*36+HEX2DEC('table for research'!AB$1))*2,2)</f>
        <v>00</v>
      </c>
      <c r="AC249" t="str">
        <f>MID('paste from garc here'!$C$1,1+(('table for research'!$B249-1)*36+HEX2DEC('table for research'!AC$1))*2,2)</f>
        <v>00</v>
      </c>
      <c r="AD249" t="str">
        <f>MID('paste from garc here'!$C$1,1+(('table for research'!$B249-1)*36+HEX2DEC('table for research'!AD$1))*2,2)</f>
        <v>00</v>
      </c>
      <c r="AE249" t="str">
        <f>MID('paste from garc here'!$C$1,1+(('table for research'!$B249-1)*36+HEX2DEC('table for research'!AE$1))*2,2)</f>
        <v>00</v>
      </c>
      <c r="AF249" t="str">
        <f>MID('paste from garc here'!$C$1,1+(('table for research'!$B249-1)*36+HEX2DEC('table for research'!AF$1))*2,2)</f>
        <v>00</v>
      </c>
      <c r="AG249" t="str">
        <f>MID('paste from garc here'!$C$1,1+(('table for research'!$B249-1)*36+HEX2DEC('table for research'!AG$1))*2,2)</f>
        <v>00</v>
      </c>
      <c r="AH249" t="str">
        <f>MID('paste from garc here'!$C$1,1+(('table for research'!$B249-1)*36+HEX2DEC('table for research'!AH$1))*2,2)</f>
        <v>00</v>
      </c>
      <c r="AI249" t="str">
        <f>MID('paste from garc here'!$C$1,1+(('table for research'!$B249-1)*36+HEX2DEC('table for research'!AI$1))*2,2)</f>
        <v>00</v>
      </c>
      <c r="AJ249" t="str">
        <f>MID('paste from garc here'!$C$1,1+(('table for research'!$B249-1)*36+HEX2DEC('table for research'!AJ$1))*2,2)</f>
        <v>00</v>
      </c>
      <c r="AK249" t="str">
        <f>MID('paste from garc here'!$C$1,1+(('table for research'!$B249-1)*36+HEX2DEC('table for research'!AK$1))*2,2)</f>
        <v>00</v>
      </c>
      <c r="AL249" t="str">
        <f>MID('paste from garc here'!$C$1,1+(('table for research'!$B249-1)*36+HEX2DEC('table for research'!AL$1))*2,2)</f>
        <v>00</v>
      </c>
      <c r="AM249" t="str">
        <f>MID('paste from garc here'!$C$1,1+(('table for research'!$B249-1)*36+HEX2DEC('table for research'!AM$1))*2,2)</f>
        <v>00</v>
      </c>
      <c r="AN249" t="str">
        <f>MID('paste from garc here'!$C$1,1+(('table for research'!$B249-1)*36+HEX2DEC('table for research'!AN$1))*2,2)</f>
        <v>00</v>
      </c>
      <c r="AO249" t="str">
        <f>MID('paste from garc here'!$C$1,1+(('table for research'!$B249-1)*36+HEX2DEC('table for research'!AO$1))*2,2)</f>
        <v>00</v>
      </c>
    </row>
    <row r="250" spans="1:41" x14ac:dyDescent="0.4">
      <c r="A250" t="s">
        <v>253</v>
      </c>
      <c r="B250">
        <f>B249+1</f>
        <v>248</v>
      </c>
      <c r="C250" t="str">
        <f>MID('paste from garc here'!$C$1,1+(('table for research'!$B250-1)*36+HEX2DEC('table for research'!C$1))*2,2)</f>
        <v>64</v>
      </c>
      <c r="D250" t="str">
        <f>MID('paste from garc here'!$C$1,1+(('table for research'!$B250-1)*36+HEX2DEC('table for research'!D$1))*2,2)</f>
        <v>00</v>
      </c>
      <c r="E250" t="str">
        <f>MID('paste from garc here'!$C$1,1+(('table for research'!$B250-1)*36+HEX2DEC('table for research'!E$1))*2,2)</f>
        <v>52</v>
      </c>
      <c r="F250" t="str">
        <f>MID('paste from garc here'!$C$1,1+(('table for research'!$B250-1)*36+HEX2DEC('table for research'!F$1))*2,2)</f>
        <v>14</v>
      </c>
      <c r="G250" t="str">
        <f>MID('paste from garc here'!$C$1,1+(('table for research'!$B250-1)*36+HEX2DEC('table for research'!G$1))*2,2)</f>
        <v>00</v>
      </c>
      <c r="H250" t="str">
        <f>MID('paste from garc here'!$C$1,1+(('table for research'!$B250-1)*36+HEX2DEC('table for research'!H$1))*2,2)</f>
        <v>00</v>
      </c>
      <c r="I250" t="str">
        <f>MID('paste from garc here'!$C$1,1+(('table for research'!$B250-1)*36+HEX2DEC('table for research'!I$1))*2,2)</f>
        <v>1E</v>
      </c>
      <c r="J250" t="str">
        <f>MID('paste from garc here'!$C$1,1+(('table for research'!$B250-1)*36+HEX2DEC('table for research'!J$1))*2,2)</f>
        <v>00</v>
      </c>
      <c r="K250" t="str">
        <f>DEC2HEX(_xlfn.BITAND(HEX2DEC(MID('paste from garc here'!$C$1,1+(('table for research'!$B250-1)*36+HEX2DEC(8))*2,2)),31),2)</f>
        <v>1F</v>
      </c>
      <c r="L250" t="str">
        <f>DEC2HEX(_xlfn.BITAND(HEX2DEC(MID('paste from garc here'!$C$1,1+(('table for research'!$B250-1)*36+HEX2DEC(8))*2,2)),32),2)</f>
        <v>00</v>
      </c>
      <c r="M250" t="str">
        <f>DEC2HEX(_xlfn.BITAND(HEX2DEC(MID('paste from garc here'!$C$1,1+(('table for research'!$B250-1)*36+HEX2DEC(8))*2,2)),64),2)</f>
        <v>00</v>
      </c>
      <c r="N250" t="str">
        <f>DEC2HEX(_xlfn.BITRSHIFT(_xlfn.BITAND(HEX2DEC(MID('paste from garc here'!$C$1,1+(('table for research'!$B250-1)*36+HEX2DEC(9))*2,2)&amp;MID('paste from garc here'!$C$1,1+(('table for research'!$B250-1)*36+HEX2DEC(8))*2,2)),1920),7),2)</f>
        <v>00</v>
      </c>
      <c r="O250" t="str">
        <f>DEC2HEX(_xlfn.BITRSHIFT(HEX2DEC(MID('paste from garc here'!$C$1,1+(('table for research'!$B250-1)*36+HEX2DEC(9))*2,2)&amp;MID('paste from garc here'!$C$1,1+(('table for research'!$B250-1)*36+HEX2DEC(8))*2,2)),11),2)</f>
        <v>00</v>
      </c>
      <c r="P250" t="str">
        <f>MID('paste from garc here'!$C$1,1+(('table for research'!$B250-1)*36+HEX2DEC('table for research'!P$1))*2,2)</f>
        <v>00</v>
      </c>
      <c r="Q250" t="str">
        <f>MID('paste from garc here'!$C$1,1+(('table for research'!$B250-1)*36+HEX2DEC('table for research'!Q$1))*2,2)</f>
        <v>00</v>
      </c>
      <c r="R250" t="str">
        <f>MID('paste from garc here'!$C$1,1+(('table for research'!$B250-1)*36+HEX2DEC('table for research'!R$1))*2,2)</f>
        <v>00</v>
      </c>
      <c r="S250" t="str">
        <f>MID('paste from garc here'!$C$1,1+(('table for research'!$B250-1)*36+HEX2DEC('table for research'!S$1))*2,2)</f>
        <v>01</v>
      </c>
      <c r="T250" t="str">
        <f>MID('paste from garc here'!$C$1,1+(('table for research'!$B250-1)*36+HEX2DEC('table for research'!T$1))*2,2)</f>
        <v>00</v>
      </c>
      <c r="U250" t="str">
        <f>MID('paste from garc here'!$C$1,1+(('table for research'!$B250-1)*36+HEX2DEC('table for research'!U$1))*2,2)</f>
        <v>63</v>
      </c>
      <c r="V250" t="str">
        <f>MID('paste from garc here'!$C$1,1+(('table for research'!$B250-1)*36+HEX2DEC('table for research'!V$1))*2,2)</f>
        <v>00</v>
      </c>
      <c r="W250" t="str">
        <f>MID('paste from garc here'!$C$1,1+(('table for research'!$B250-1)*36+HEX2DEC('table for research'!W$1))*2,2)</f>
        <v>00</v>
      </c>
      <c r="X250" t="str">
        <f>MID('paste from garc here'!$C$1,1+(('table for research'!$B250-1)*36+HEX2DEC('table for research'!X$1))*2,2)</f>
        <v>00</v>
      </c>
      <c r="Y250" t="str">
        <f>MID('paste from garc here'!$C$1,1+(('table for research'!$B250-1)*36+HEX2DEC('table for research'!Y$1))*2,2)</f>
        <v>00</v>
      </c>
      <c r="Z250" t="str">
        <f>MID('paste from garc here'!$C$1,1+(('table for research'!$B250-1)*36+HEX2DEC('table for research'!Z$1))*2,2)</f>
        <v>00</v>
      </c>
      <c r="AA250" t="str">
        <f>MID('paste from garc here'!$C$1,1+(('table for research'!$B250-1)*36+HEX2DEC('table for research'!AA$1))*2,2)</f>
        <v>00</v>
      </c>
      <c r="AB250" t="str">
        <f>MID('paste from garc here'!$C$1,1+(('table for research'!$B250-1)*36+HEX2DEC('table for research'!AB$1))*2,2)</f>
        <v>00</v>
      </c>
      <c r="AC250" t="str">
        <f>MID('paste from garc here'!$C$1,1+(('table for research'!$B250-1)*36+HEX2DEC('table for research'!AC$1))*2,2)</f>
        <v>00</v>
      </c>
      <c r="AD250" t="str">
        <f>MID('paste from garc here'!$C$1,1+(('table for research'!$B250-1)*36+HEX2DEC('table for research'!AD$1))*2,2)</f>
        <v>00</v>
      </c>
      <c r="AE250" t="str">
        <f>MID('paste from garc here'!$C$1,1+(('table for research'!$B250-1)*36+HEX2DEC('table for research'!AE$1))*2,2)</f>
        <v>00</v>
      </c>
      <c r="AF250" t="str">
        <f>MID('paste from garc here'!$C$1,1+(('table for research'!$B250-1)*36+HEX2DEC('table for research'!AF$1))*2,2)</f>
        <v>00</v>
      </c>
      <c r="AG250" t="str">
        <f>MID('paste from garc here'!$C$1,1+(('table for research'!$B250-1)*36+HEX2DEC('table for research'!AG$1))*2,2)</f>
        <v>00</v>
      </c>
      <c r="AH250" t="str">
        <f>MID('paste from garc here'!$C$1,1+(('table for research'!$B250-1)*36+HEX2DEC('table for research'!AH$1))*2,2)</f>
        <v>00</v>
      </c>
      <c r="AI250" t="str">
        <f>MID('paste from garc here'!$C$1,1+(('table for research'!$B250-1)*36+HEX2DEC('table for research'!AI$1))*2,2)</f>
        <v>00</v>
      </c>
      <c r="AJ250" t="str">
        <f>MID('paste from garc here'!$C$1,1+(('table for research'!$B250-1)*36+HEX2DEC('table for research'!AJ$1))*2,2)</f>
        <v>00</v>
      </c>
      <c r="AK250" t="str">
        <f>MID('paste from garc here'!$C$1,1+(('table for research'!$B250-1)*36+HEX2DEC('table for research'!AK$1))*2,2)</f>
        <v>00</v>
      </c>
      <c r="AL250" t="str">
        <f>MID('paste from garc here'!$C$1,1+(('table for research'!$B250-1)*36+HEX2DEC('table for research'!AL$1))*2,2)</f>
        <v>00</v>
      </c>
      <c r="AM250" t="str">
        <f>MID('paste from garc here'!$C$1,1+(('table for research'!$B250-1)*36+HEX2DEC('table for research'!AM$1))*2,2)</f>
        <v>00</v>
      </c>
      <c r="AN250" t="str">
        <f>MID('paste from garc here'!$C$1,1+(('table for research'!$B250-1)*36+HEX2DEC('table for research'!AN$1))*2,2)</f>
        <v>00</v>
      </c>
      <c r="AO250" t="str">
        <f>MID('paste from garc here'!$C$1,1+(('table for research'!$B250-1)*36+HEX2DEC('table for research'!AO$1))*2,2)</f>
        <v>00</v>
      </c>
    </row>
    <row r="251" spans="1:41" x14ac:dyDescent="0.4">
      <c r="A251" t="s">
        <v>254</v>
      </c>
      <c r="B251">
        <f>B250+1</f>
        <v>249</v>
      </c>
      <c r="C251" t="str">
        <f>MID('paste from garc here'!$C$1,1+(('table for research'!$B251-1)*36+HEX2DEC('table for research'!C$1))*2,2)</f>
        <v>64</v>
      </c>
      <c r="D251" t="str">
        <f>MID('paste from garc here'!$C$1,1+(('table for research'!$B251-1)*36+HEX2DEC('table for research'!D$1))*2,2)</f>
        <v>00</v>
      </c>
      <c r="E251" t="str">
        <f>MID('paste from garc here'!$C$1,1+(('table for research'!$B251-1)*36+HEX2DEC('table for research'!E$1))*2,2)</f>
        <v>53</v>
      </c>
      <c r="F251" t="str">
        <f>MID('paste from garc here'!$C$1,1+(('table for research'!$B251-1)*36+HEX2DEC('table for research'!F$1))*2,2)</f>
        <v>14</v>
      </c>
      <c r="G251" t="str">
        <f>MID('paste from garc here'!$C$1,1+(('table for research'!$B251-1)*36+HEX2DEC('table for research'!G$1))*2,2)</f>
        <v>00</v>
      </c>
      <c r="H251" t="str">
        <f>MID('paste from garc here'!$C$1,1+(('table for research'!$B251-1)*36+HEX2DEC('table for research'!H$1))*2,2)</f>
        <v>00</v>
      </c>
      <c r="I251" t="str">
        <f>MID('paste from garc here'!$C$1,1+(('table for research'!$B251-1)*36+HEX2DEC('table for research'!I$1))*2,2)</f>
        <v>1E</v>
      </c>
      <c r="J251" t="str">
        <f>MID('paste from garc here'!$C$1,1+(('table for research'!$B251-1)*36+HEX2DEC('table for research'!J$1))*2,2)</f>
        <v>00</v>
      </c>
      <c r="K251" t="str">
        <f>DEC2HEX(_xlfn.BITAND(HEX2DEC(MID('paste from garc here'!$C$1,1+(('table for research'!$B251-1)*36+HEX2DEC(8))*2,2)),31),2)</f>
        <v>1F</v>
      </c>
      <c r="L251" t="str">
        <f>DEC2HEX(_xlfn.BITAND(HEX2DEC(MID('paste from garc here'!$C$1,1+(('table for research'!$B251-1)*36+HEX2DEC(8))*2,2)),32),2)</f>
        <v>00</v>
      </c>
      <c r="M251" t="str">
        <f>DEC2HEX(_xlfn.BITAND(HEX2DEC(MID('paste from garc here'!$C$1,1+(('table for research'!$B251-1)*36+HEX2DEC(8))*2,2)),64),2)</f>
        <v>00</v>
      </c>
      <c r="N251" t="str">
        <f>DEC2HEX(_xlfn.BITRSHIFT(_xlfn.BITAND(HEX2DEC(MID('paste from garc here'!$C$1,1+(('table for research'!$B251-1)*36+HEX2DEC(9))*2,2)&amp;MID('paste from garc here'!$C$1,1+(('table for research'!$B251-1)*36+HEX2DEC(8))*2,2)),1920),7),2)</f>
        <v>00</v>
      </c>
      <c r="O251" t="str">
        <f>DEC2HEX(_xlfn.BITRSHIFT(HEX2DEC(MID('paste from garc here'!$C$1,1+(('table for research'!$B251-1)*36+HEX2DEC(9))*2,2)&amp;MID('paste from garc here'!$C$1,1+(('table for research'!$B251-1)*36+HEX2DEC(8))*2,2)),11),2)</f>
        <v>00</v>
      </c>
      <c r="P251" t="str">
        <f>MID('paste from garc here'!$C$1,1+(('table for research'!$B251-1)*36+HEX2DEC('table for research'!P$1))*2,2)</f>
        <v>00</v>
      </c>
      <c r="Q251" t="str">
        <f>MID('paste from garc here'!$C$1,1+(('table for research'!$B251-1)*36+HEX2DEC('table for research'!Q$1))*2,2)</f>
        <v>00</v>
      </c>
      <c r="R251" t="str">
        <f>MID('paste from garc here'!$C$1,1+(('table for research'!$B251-1)*36+HEX2DEC('table for research'!R$1))*2,2)</f>
        <v>00</v>
      </c>
      <c r="S251" t="str">
        <f>MID('paste from garc here'!$C$1,1+(('table for research'!$B251-1)*36+HEX2DEC('table for research'!S$1))*2,2)</f>
        <v>01</v>
      </c>
      <c r="T251" t="str">
        <f>MID('paste from garc here'!$C$1,1+(('table for research'!$B251-1)*36+HEX2DEC('table for research'!T$1))*2,2)</f>
        <v>00</v>
      </c>
      <c r="U251" t="str">
        <f>MID('paste from garc here'!$C$1,1+(('table for research'!$B251-1)*36+HEX2DEC('table for research'!U$1))*2,2)</f>
        <v>60</v>
      </c>
      <c r="V251" t="str">
        <f>MID('paste from garc here'!$C$1,1+(('table for research'!$B251-1)*36+HEX2DEC('table for research'!V$1))*2,2)</f>
        <v>00</v>
      </c>
      <c r="W251" t="str">
        <f>MID('paste from garc here'!$C$1,1+(('table for research'!$B251-1)*36+HEX2DEC('table for research'!W$1))*2,2)</f>
        <v>00</v>
      </c>
      <c r="X251" t="str">
        <f>MID('paste from garc here'!$C$1,1+(('table for research'!$B251-1)*36+HEX2DEC('table for research'!X$1))*2,2)</f>
        <v>00</v>
      </c>
      <c r="Y251" t="str">
        <f>MID('paste from garc here'!$C$1,1+(('table for research'!$B251-1)*36+HEX2DEC('table for research'!Y$1))*2,2)</f>
        <v>00</v>
      </c>
      <c r="Z251" t="str">
        <f>MID('paste from garc here'!$C$1,1+(('table for research'!$B251-1)*36+HEX2DEC('table for research'!Z$1))*2,2)</f>
        <v>00</v>
      </c>
      <c r="AA251" t="str">
        <f>MID('paste from garc here'!$C$1,1+(('table for research'!$B251-1)*36+HEX2DEC('table for research'!AA$1))*2,2)</f>
        <v>00</v>
      </c>
      <c r="AB251" t="str">
        <f>MID('paste from garc here'!$C$1,1+(('table for research'!$B251-1)*36+HEX2DEC('table for research'!AB$1))*2,2)</f>
        <v>00</v>
      </c>
      <c r="AC251" t="str">
        <f>MID('paste from garc here'!$C$1,1+(('table for research'!$B251-1)*36+HEX2DEC('table for research'!AC$1))*2,2)</f>
        <v>00</v>
      </c>
      <c r="AD251" t="str">
        <f>MID('paste from garc here'!$C$1,1+(('table for research'!$B251-1)*36+HEX2DEC('table for research'!AD$1))*2,2)</f>
        <v>00</v>
      </c>
      <c r="AE251" t="str">
        <f>MID('paste from garc here'!$C$1,1+(('table for research'!$B251-1)*36+HEX2DEC('table for research'!AE$1))*2,2)</f>
        <v>00</v>
      </c>
      <c r="AF251" t="str">
        <f>MID('paste from garc here'!$C$1,1+(('table for research'!$B251-1)*36+HEX2DEC('table for research'!AF$1))*2,2)</f>
        <v>00</v>
      </c>
      <c r="AG251" t="str">
        <f>MID('paste from garc here'!$C$1,1+(('table for research'!$B251-1)*36+HEX2DEC('table for research'!AG$1))*2,2)</f>
        <v>00</v>
      </c>
      <c r="AH251" t="str">
        <f>MID('paste from garc here'!$C$1,1+(('table for research'!$B251-1)*36+HEX2DEC('table for research'!AH$1))*2,2)</f>
        <v>00</v>
      </c>
      <c r="AI251" t="str">
        <f>MID('paste from garc here'!$C$1,1+(('table for research'!$B251-1)*36+HEX2DEC('table for research'!AI$1))*2,2)</f>
        <v>00</v>
      </c>
      <c r="AJ251" t="str">
        <f>MID('paste from garc here'!$C$1,1+(('table for research'!$B251-1)*36+HEX2DEC('table for research'!AJ$1))*2,2)</f>
        <v>00</v>
      </c>
      <c r="AK251" t="str">
        <f>MID('paste from garc here'!$C$1,1+(('table for research'!$B251-1)*36+HEX2DEC('table for research'!AK$1))*2,2)</f>
        <v>00</v>
      </c>
      <c r="AL251" t="str">
        <f>MID('paste from garc here'!$C$1,1+(('table for research'!$B251-1)*36+HEX2DEC('table for research'!AL$1))*2,2)</f>
        <v>00</v>
      </c>
      <c r="AM251" t="str">
        <f>MID('paste from garc here'!$C$1,1+(('table for research'!$B251-1)*36+HEX2DEC('table for research'!AM$1))*2,2)</f>
        <v>00</v>
      </c>
      <c r="AN251" t="str">
        <f>MID('paste from garc here'!$C$1,1+(('table for research'!$B251-1)*36+HEX2DEC('table for research'!AN$1))*2,2)</f>
        <v>00</v>
      </c>
      <c r="AO251" t="str">
        <f>MID('paste from garc here'!$C$1,1+(('table for research'!$B251-1)*36+HEX2DEC('table for research'!AO$1))*2,2)</f>
        <v>00</v>
      </c>
    </row>
    <row r="252" spans="1:41" x14ac:dyDescent="0.4">
      <c r="A252" t="s">
        <v>255</v>
      </c>
      <c r="B252">
        <f>B251+1</f>
        <v>250</v>
      </c>
      <c r="C252" t="str">
        <f>MID('paste from garc here'!$C$1,1+(('table for research'!$B252-1)*36+HEX2DEC('table for research'!C$1))*2,2)</f>
        <v>64</v>
      </c>
      <c r="D252" t="str">
        <f>MID('paste from garc here'!$C$1,1+(('table for research'!$B252-1)*36+HEX2DEC('table for research'!D$1))*2,2)</f>
        <v>00</v>
      </c>
      <c r="E252" t="str">
        <f>MID('paste from garc here'!$C$1,1+(('table for research'!$B252-1)*36+HEX2DEC('table for research'!E$1))*2,2)</f>
        <v>54</v>
      </c>
      <c r="F252" t="str">
        <f>MID('paste from garc here'!$C$1,1+(('table for research'!$B252-1)*36+HEX2DEC('table for research'!F$1))*2,2)</f>
        <v>14</v>
      </c>
      <c r="G252" t="str">
        <f>MID('paste from garc here'!$C$1,1+(('table for research'!$B252-1)*36+HEX2DEC('table for research'!G$1))*2,2)</f>
        <v>00</v>
      </c>
      <c r="H252" t="str">
        <f>MID('paste from garc here'!$C$1,1+(('table for research'!$B252-1)*36+HEX2DEC('table for research'!H$1))*2,2)</f>
        <v>00</v>
      </c>
      <c r="I252" t="str">
        <f>MID('paste from garc here'!$C$1,1+(('table for research'!$B252-1)*36+HEX2DEC('table for research'!I$1))*2,2)</f>
        <v>46</v>
      </c>
      <c r="J252" t="str">
        <f>MID('paste from garc here'!$C$1,1+(('table for research'!$B252-1)*36+HEX2DEC('table for research'!J$1))*2,2)</f>
        <v>00</v>
      </c>
      <c r="K252" t="str">
        <f>DEC2HEX(_xlfn.BITAND(HEX2DEC(MID('paste from garc here'!$C$1,1+(('table for research'!$B252-1)*36+HEX2DEC(8))*2,2)),31),2)</f>
        <v>1F</v>
      </c>
      <c r="L252" t="str">
        <f>DEC2HEX(_xlfn.BITAND(HEX2DEC(MID('paste from garc here'!$C$1,1+(('table for research'!$B252-1)*36+HEX2DEC(8))*2,2)),32),2)</f>
        <v>00</v>
      </c>
      <c r="M252" t="str">
        <f>DEC2HEX(_xlfn.BITAND(HEX2DEC(MID('paste from garc here'!$C$1,1+(('table for research'!$B252-1)*36+HEX2DEC(8))*2,2)),64),2)</f>
        <v>00</v>
      </c>
      <c r="N252" t="str">
        <f>DEC2HEX(_xlfn.BITRSHIFT(_xlfn.BITAND(HEX2DEC(MID('paste from garc here'!$C$1,1+(('table for research'!$B252-1)*36+HEX2DEC(9))*2,2)&amp;MID('paste from garc here'!$C$1,1+(('table for research'!$B252-1)*36+HEX2DEC(8))*2,2)),1920),7),2)</f>
        <v>00</v>
      </c>
      <c r="O252" t="str">
        <f>DEC2HEX(_xlfn.BITRSHIFT(HEX2DEC(MID('paste from garc here'!$C$1,1+(('table for research'!$B252-1)*36+HEX2DEC(9))*2,2)&amp;MID('paste from garc here'!$C$1,1+(('table for research'!$B252-1)*36+HEX2DEC(8))*2,2)),11),2)</f>
        <v>00</v>
      </c>
      <c r="P252" t="str">
        <f>MID('paste from garc here'!$C$1,1+(('table for research'!$B252-1)*36+HEX2DEC('table for research'!P$1))*2,2)</f>
        <v>00</v>
      </c>
      <c r="Q252" t="str">
        <f>MID('paste from garc here'!$C$1,1+(('table for research'!$B252-1)*36+HEX2DEC('table for research'!Q$1))*2,2)</f>
        <v>00</v>
      </c>
      <c r="R252" t="str">
        <f>MID('paste from garc here'!$C$1,1+(('table for research'!$B252-1)*36+HEX2DEC('table for research'!R$1))*2,2)</f>
        <v>00</v>
      </c>
      <c r="S252" t="str">
        <f>MID('paste from garc here'!$C$1,1+(('table for research'!$B252-1)*36+HEX2DEC('table for research'!S$1))*2,2)</f>
        <v>01</v>
      </c>
      <c r="T252" t="str">
        <f>MID('paste from garc here'!$C$1,1+(('table for research'!$B252-1)*36+HEX2DEC('table for research'!T$1))*2,2)</f>
        <v>00</v>
      </c>
      <c r="U252" t="str">
        <f>MID('paste from garc here'!$C$1,1+(('table for research'!$B252-1)*36+HEX2DEC('table for research'!U$1))*2,2)</f>
        <v>61</v>
      </c>
      <c r="V252" t="str">
        <f>MID('paste from garc here'!$C$1,1+(('table for research'!$B252-1)*36+HEX2DEC('table for research'!V$1))*2,2)</f>
        <v>00</v>
      </c>
      <c r="W252" t="str">
        <f>MID('paste from garc here'!$C$1,1+(('table for research'!$B252-1)*36+HEX2DEC('table for research'!W$1))*2,2)</f>
        <v>00</v>
      </c>
      <c r="X252" t="str">
        <f>MID('paste from garc here'!$C$1,1+(('table for research'!$B252-1)*36+HEX2DEC('table for research'!X$1))*2,2)</f>
        <v>00</v>
      </c>
      <c r="Y252" t="str">
        <f>MID('paste from garc here'!$C$1,1+(('table for research'!$B252-1)*36+HEX2DEC('table for research'!Y$1))*2,2)</f>
        <v>00</v>
      </c>
      <c r="Z252" t="str">
        <f>MID('paste from garc here'!$C$1,1+(('table for research'!$B252-1)*36+HEX2DEC('table for research'!Z$1))*2,2)</f>
        <v>00</v>
      </c>
      <c r="AA252" t="str">
        <f>MID('paste from garc here'!$C$1,1+(('table for research'!$B252-1)*36+HEX2DEC('table for research'!AA$1))*2,2)</f>
        <v>00</v>
      </c>
      <c r="AB252" t="str">
        <f>MID('paste from garc here'!$C$1,1+(('table for research'!$B252-1)*36+HEX2DEC('table for research'!AB$1))*2,2)</f>
        <v>00</v>
      </c>
      <c r="AC252" t="str">
        <f>MID('paste from garc here'!$C$1,1+(('table for research'!$B252-1)*36+HEX2DEC('table for research'!AC$1))*2,2)</f>
        <v>00</v>
      </c>
      <c r="AD252" t="str">
        <f>MID('paste from garc here'!$C$1,1+(('table for research'!$B252-1)*36+HEX2DEC('table for research'!AD$1))*2,2)</f>
        <v>00</v>
      </c>
      <c r="AE252" t="str">
        <f>MID('paste from garc here'!$C$1,1+(('table for research'!$B252-1)*36+HEX2DEC('table for research'!AE$1))*2,2)</f>
        <v>00</v>
      </c>
      <c r="AF252" t="str">
        <f>MID('paste from garc here'!$C$1,1+(('table for research'!$B252-1)*36+HEX2DEC('table for research'!AF$1))*2,2)</f>
        <v>00</v>
      </c>
      <c r="AG252" t="str">
        <f>MID('paste from garc here'!$C$1,1+(('table for research'!$B252-1)*36+HEX2DEC('table for research'!AG$1))*2,2)</f>
        <v>00</v>
      </c>
      <c r="AH252" t="str">
        <f>MID('paste from garc here'!$C$1,1+(('table for research'!$B252-1)*36+HEX2DEC('table for research'!AH$1))*2,2)</f>
        <v>00</v>
      </c>
      <c r="AI252" t="str">
        <f>MID('paste from garc here'!$C$1,1+(('table for research'!$B252-1)*36+HEX2DEC('table for research'!AI$1))*2,2)</f>
        <v>00</v>
      </c>
      <c r="AJ252" t="str">
        <f>MID('paste from garc here'!$C$1,1+(('table for research'!$B252-1)*36+HEX2DEC('table for research'!AJ$1))*2,2)</f>
        <v>00</v>
      </c>
      <c r="AK252" t="str">
        <f>MID('paste from garc here'!$C$1,1+(('table for research'!$B252-1)*36+HEX2DEC('table for research'!AK$1))*2,2)</f>
        <v>00</v>
      </c>
      <c r="AL252" t="str">
        <f>MID('paste from garc here'!$C$1,1+(('table for research'!$B252-1)*36+HEX2DEC('table for research'!AL$1))*2,2)</f>
        <v>00</v>
      </c>
      <c r="AM252" t="str">
        <f>MID('paste from garc here'!$C$1,1+(('table for research'!$B252-1)*36+HEX2DEC('table for research'!AM$1))*2,2)</f>
        <v>00</v>
      </c>
      <c r="AN252" t="str">
        <f>MID('paste from garc here'!$C$1,1+(('table for research'!$B252-1)*36+HEX2DEC('table for research'!AN$1))*2,2)</f>
        <v>00</v>
      </c>
      <c r="AO252" t="str">
        <f>MID('paste from garc here'!$C$1,1+(('table for research'!$B252-1)*36+HEX2DEC('table for research'!AO$1))*2,2)</f>
        <v>00</v>
      </c>
    </row>
    <row r="253" spans="1:41" x14ac:dyDescent="0.4">
      <c r="A253" t="s">
        <v>256</v>
      </c>
      <c r="B253">
        <f>B252+1</f>
        <v>251</v>
      </c>
      <c r="C253" t="str">
        <f>MID('paste from garc here'!$C$1,1+(('table for research'!$B253-1)*36+HEX2DEC('table for research'!C$1))*2,2)</f>
        <v>64</v>
      </c>
      <c r="D253" t="str">
        <f>MID('paste from garc here'!$C$1,1+(('table for research'!$B253-1)*36+HEX2DEC('table for research'!D$1))*2,2)</f>
        <v>00</v>
      </c>
      <c r="E253" t="str">
        <f>MID('paste from garc here'!$C$1,1+(('table for research'!$B253-1)*36+HEX2DEC('table for research'!E$1))*2,2)</f>
        <v>55</v>
      </c>
      <c r="F253" t="str">
        <f>MID('paste from garc here'!$C$1,1+(('table for research'!$B253-1)*36+HEX2DEC('table for research'!F$1))*2,2)</f>
        <v>14</v>
      </c>
      <c r="G253" t="str">
        <f>MID('paste from garc here'!$C$1,1+(('table for research'!$B253-1)*36+HEX2DEC('table for research'!G$1))*2,2)</f>
        <v>00</v>
      </c>
      <c r="H253" t="str">
        <f>MID('paste from garc here'!$C$1,1+(('table for research'!$B253-1)*36+HEX2DEC('table for research'!H$1))*2,2)</f>
        <v>00</v>
      </c>
      <c r="I253" t="str">
        <f>MID('paste from garc here'!$C$1,1+(('table for research'!$B253-1)*36+HEX2DEC('table for research'!I$1))*2,2)</f>
        <v>0A</v>
      </c>
      <c r="J253" t="str">
        <f>MID('paste from garc here'!$C$1,1+(('table for research'!$B253-1)*36+HEX2DEC('table for research'!J$1))*2,2)</f>
        <v>00</v>
      </c>
      <c r="K253" t="str">
        <f>DEC2HEX(_xlfn.BITAND(HEX2DEC(MID('paste from garc here'!$C$1,1+(('table for research'!$B253-1)*36+HEX2DEC(8))*2,2)),31),2)</f>
        <v>1F</v>
      </c>
      <c r="L253" t="str">
        <f>DEC2HEX(_xlfn.BITAND(HEX2DEC(MID('paste from garc here'!$C$1,1+(('table for research'!$B253-1)*36+HEX2DEC(8))*2,2)),32),2)</f>
        <v>00</v>
      </c>
      <c r="M253" t="str">
        <f>DEC2HEX(_xlfn.BITAND(HEX2DEC(MID('paste from garc here'!$C$1,1+(('table for research'!$B253-1)*36+HEX2DEC(8))*2,2)),64),2)</f>
        <v>00</v>
      </c>
      <c r="N253" t="str">
        <f>DEC2HEX(_xlfn.BITRSHIFT(_xlfn.BITAND(HEX2DEC(MID('paste from garc here'!$C$1,1+(('table for research'!$B253-1)*36+HEX2DEC(9))*2,2)&amp;MID('paste from garc here'!$C$1,1+(('table for research'!$B253-1)*36+HEX2DEC(8))*2,2)),1920),7),2)</f>
        <v>00</v>
      </c>
      <c r="O253" t="str">
        <f>DEC2HEX(_xlfn.BITRSHIFT(HEX2DEC(MID('paste from garc here'!$C$1,1+(('table for research'!$B253-1)*36+HEX2DEC(9))*2,2)&amp;MID('paste from garc here'!$C$1,1+(('table for research'!$B253-1)*36+HEX2DEC(8))*2,2)),11),2)</f>
        <v>00</v>
      </c>
      <c r="P253" t="str">
        <f>MID('paste from garc here'!$C$1,1+(('table for research'!$B253-1)*36+HEX2DEC('table for research'!P$1))*2,2)</f>
        <v>00</v>
      </c>
      <c r="Q253" t="str">
        <f>MID('paste from garc here'!$C$1,1+(('table for research'!$B253-1)*36+HEX2DEC('table for research'!Q$1))*2,2)</f>
        <v>00</v>
      </c>
      <c r="R253" t="str">
        <f>MID('paste from garc here'!$C$1,1+(('table for research'!$B253-1)*36+HEX2DEC('table for research'!R$1))*2,2)</f>
        <v>00</v>
      </c>
      <c r="S253" t="str">
        <f>MID('paste from garc here'!$C$1,1+(('table for research'!$B253-1)*36+HEX2DEC('table for research'!S$1))*2,2)</f>
        <v>01</v>
      </c>
      <c r="T253" t="str">
        <f>MID('paste from garc here'!$C$1,1+(('table for research'!$B253-1)*36+HEX2DEC('table for research'!T$1))*2,2)</f>
        <v>00</v>
      </c>
      <c r="U253" t="str">
        <f>MID('paste from garc here'!$C$1,1+(('table for research'!$B253-1)*36+HEX2DEC('table for research'!U$1))*2,2)</f>
        <v>62</v>
      </c>
      <c r="V253" t="str">
        <f>MID('paste from garc here'!$C$1,1+(('table for research'!$B253-1)*36+HEX2DEC('table for research'!V$1))*2,2)</f>
        <v>00</v>
      </c>
      <c r="W253" t="str">
        <f>MID('paste from garc here'!$C$1,1+(('table for research'!$B253-1)*36+HEX2DEC('table for research'!W$1))*2,2)</f>
        <v>00</v>
      </c>
      <c r="X253" t="str">
        <f>MID('paste from garc here'!$C$1,1+(('table for research'!$B253-1)*36+HEX2DEC('table for research'!X$1))*2,2)</f>
        <v>00</v>
      </c>
      <c r="Y253" t="str">
        <f>MID('paste from garc here'!$C$1,1+(('table for research'!$B253-1)*36+HEX2DEC('table for research'!Y$1))*2,2)</f>
        <v>00</v>
      </c>
      <c r="Z253" t="str">
        <f>MID('paste from garc here'!$C$1,1+(('table for research'!$B253-1)*36+HEX2DEC('table for research'!Z$1))*2,2)</f>
        <v>00</v>
      </c>
      <c r="AA253" t="str">
        <f>MID('paste from garc here'!$C$1,1+(('table for research'!$B253-1)*36+HEX2DEC('table for research'!AA$1))*2,2)</f>
        <v>00</v>
      </c>
      <c r="AB253" t="str">
        <f>MID('paste from garc here'!$C$1,1+(('table for research'!$B253-1)*36+HEX2DEC('table for research'!AB$1))*2,2)</f>
        <v>00</v>
      </c>
      <c r="AC253" t="str">
        <f>MID('paste from garc here'!$C$1,1+(('table for research'!$B253-1)*36+HEX2DEC('table for research'!AC$1))*2,2)</f>
        <v>00</v>
      </c>
      <c r="AD253" t="str">
        <f>MID('paste from garc here'!$C$1,1+(('table for research'!$B253-1)*36+HEX2DEC('table for research'!AD$1))*2,2)</f>
        <v>00</v>
      </c>
      <c r="AE253" t="str">
        <f>MID('paste from garc here'!$C$1,1+(('table for research'!$B253-1)*36+HEX2DEC('table for research'!AE$1))*2,2)</f>
        <v>00</v>
      </c>
      <c r="AF253" t="str">
        <f>MID('paste from garc here'!$C$1,1+(('table for research'!$B253-1)*36+HEX2DEC('table for research'!AF$1))*2,2)</f>
        <v>00</v>
      </c>
      <c r="AG253" t="str">
        <f>MID('paste from garc here'!$C$1,1+(('table for research'!$B253-1)*36+HEX2DEC('table for research'!AG$1))*2,2)</f>
        <v>00</v>
      </c>
      <c r="AH253" t="str">
        <f>MID('paste from garc here'!$C$1,1+(('table for research'!$B253-1)*36+HEX2DEC('table for research'!AH$1))*2,2)</f>
        <v>00</v>
      </c>
      <c r="AI253" t="str">
        <f>MID('paste from garc here'!$C$1,1+(('table for research'!$B253-1)*36+HEX2DEC('table for research'!AI$1))*2,2)</f>
        <v>00</v>
      </c>
      <c r="AJ253" t="str">
        <f>MID('paste from garc here'!$C$1,1+(('table for research'!$B253-1)*36+HEX2DEC('table for research'!AJ$1))*2,2)</f>
        <v>00</v>
      </c>
      <c r="AK253" t="str">
        <f>MID('paste from garc here'!$C$1,1+(('table for research'!$B253-1)*36+HEX2DEC('table for research'!AK$1))*2,2)</f>
        <v>00</v>
      </c>
      <c r="AL253" t="str">
        <f>MID('paste from garc here'!$C$1,1+(('table for research'!$B253-1)*36+HEX2DEC('table for research'!AL$1))*2,2)</f>
        <v>00</v>
      </c>
      <c r="AM253" t="str">
        <f>MID('paste from garc here'!$C$1,1+(('table for research'!$B253-1)*36+HEX2DEC('table for research'!AM$1))*2,2)</f>
        <v>00</v>
      </c>
      <c r="AN253" t="str">
        <f>MID('paste from garc here'!$C$1,1+(('table for research'!$B253-1)*36+HEX2DEC('table for research'!AN$1))*2,2)</f>
        <v>00</v>
      </c>
      <c r="AO253" t="str">
        <f>MID('paste from garc here'!$C$1,1+(('table for research'!$B253-1)*36+HEX2DEC('table for research'!AO$1))*2,2)</f>
        <v>00</v>
      </c>
    </row>
    <row r="254" spans="1:41" x14ac:dyDescent="0.4">
      <c r="A254" t="s">
        <v>257</v>
      </c>
      <c r="B254">
        <f>B253+1</f>
        <v>252</v>
      </c>
      <c r="C254" t="str">
        <f>MID('paste from garc here'!$C$1,1+(('table for research'!$B254-1)*36+HEX2DEC('table for research'!C$1))*2,2)</f>
        <v>C8</v>
      </c>
      <c r="D254" t="str">
        <f>MID('paste from garc here'!$C$1,1+(('table for research'!$B254-1)*36+HEX2DEC('table for research'!D$1))*2,2)</f>
        <v>00</v>
      </c>
      <c r="E254" t="str">
        <f>MID('paste from garc here'!$C$1,1+(('table for research'!$B254-1)*36+HEX2DEC('table for research'!E$1))*2,2)</f>
        <v>56</v>
      </c>
      <c r="F254" t="str">
        <f>MID('paste from garc here'!$C$1,1+(('table for research'!$B254-1)*36+HEX2DEC('table for research'!F$1))*2,2)</f>
        <v>00</v>
      </c>
      <c r="G254" t="str">
        <f>MID('paste from garc here'!$C$1,1+(('table for research'!$B254-1)*36+HEX2DEC('table for research'!G$1))*2,2)</f>
        <v>00</v>
      </c>
      <c r="H254" t="str">
        <f>MID('paste from garc here'!$C$1,1+(('table for research'!$B254-1)*36+HEX2DEC('table for research'!H$1))*2,2)</f>
        <v>00</v>
      </c>
      <c r="I254" t="str">
        <f>MID('paste from garc here'!$C$1,1+(('table for research'!$B254-1)*36+HEX2DEC('table for research'!I$1))*2,2)</f>
        <v>1E</v>
      </c>
      <c r="J254" t="str">
        <f>MID('paste from garc here'!$C$1,1+(('table for research'!$B254-1)*36+HEX2DEC('table for research'!J$1))*2,2)</f>
        <v>00</v>
      </c>
      <c r="K254" t="str">
        <f>DEC2HEX(_xlfn.BITAND(HEX2DEC(MID('paste from garc here'!$C$1,1+(('table for research'!$B254-1)*36+HEX2DEC(8))*2,2)),31),2)</f>
        <v>1F</v>
      </c>
      <c r="L254" t="str">
        <f>DEC2HEX(_xlfn.BITAND(HEX2DEC(MID('paste from garc here'!$C$1,1+(('table for research'!$B254-1)*36+HEX2DEC(8))*2,2)),32),2)</f>
        <v>00</v>
      </c>
      <c r="M254" t="str">
        <f>DEC2HEX(_xlfn.BITAND(HEX2DEC(MID('paste from garc here'!$C$1,1+(('table for research'!$B254-1)*36+HEX2DEC(8))*2,2)),64),2)</f>
        <v>00</v>
      </c>
      <c r="N254" t="str">
        <f>DEC2HEX(_xlfn.BITRSHIFT(_xlfn.BITAND(HEX2DEC(MID('paste from garc here'!$C$1,1+(('table for research'!$B254-1)*36+HEX2DEC(9))*2,2)&amp;MID('paste from garc here'!$C$1,1+(('table for research'!$B254-1)*36+HEX2DEC(8))*2,2)),1920),7),2)</f>
        <v>00</v>
      </c>
      <c r="O254" t="str">
        <f>DEC2HEX(_xlfn.BITRSHIFT(HEX2DEC(MID('paste from garc here'!$C$1,1+(('table for research'!$B254-1)*36+HEX2DEC(9))*2,2)&amp;MID('paste from garc here'!$C$1,1+(('table for research'!$B254-1)*36+HEX2DEC(8))*2,2)),11),2)</f>
        <v>00</v>
      </c>
      <c r="P254" t="str">
        <f>MID('paste from garc here'!$C$1,1+(('table for research'!$B254-1)*36+HEX2DEC('table for research'!P$1))*2,2)</f>
        <v>06</v>
      </c>
      <c r="Q254" t="str">
        <f>MID('paste from garc here'!$C$1,1+(('table for research'!$B254-1)*36+HEX2DEC('table for research'!Q$1))*2,2)</f>
        <v>00</v>
      </c>
      <c r="R254" t="str">
        <f>MID('paste from garc here'!$C$1,1+(('table for research'!$B254-1)*36+HEX2DEC('table for research'!R$1))*2,2)</f>
        <v>00</v>
      </c>
      <c r="S254" t="str">
        <f>MID('paste from garc here'!$C$1,1+(('table for research'!$B254-1)*36+HEX2DEC('table for research'!S$1))*2,2)</f>
        <v>01</v>
      </c>
      <c r="T254" t="str">
        <f>MID('paste from garc here'!$C$1,1+(('table for research'!$B254-1)*36+HEX2DEC('table for research'!T$1))*2,2)</f>
        <v>00</v>
      </c>
      <c r="U254" t="str">
        <f>MID('paste from garc here'!$C$1,1+(('table for research'!$B254-1)*36+HEX2DEC('table for research'!U$1))*2,2)</f>
        <v>46</v>
      </c>
      <c r="V254" t="str">
        <f>MID('paste from garc here'!$C$1,1+(('table for research'!$B254-1)*36+HEX2DEC('table for research'!V$1))*2,2)</f>
        <v>00</v>
      </c>
      <c r="W254" t="str">
        <f>MID('paste from garc here'!$C$1,1+(('table for research'!$B254-1)*36+HEX2DEC('table for research'!W$1))*2,2)</f>
        <v>08</v>
      </c>
      <c r="X254" t="str">
        <f>MID('paste from garc here'!$C$1,1+(('table for research'!$B254-1)*36+HEX2DEC('table for research'!X$1))*2,2)</f>
        <v>00</v>
      </c>
      <c r="Y254" t="str">
        <f>MID('paste from garc here'!$C$1,1+(('table for research'!$B254-1)*36+HEX2DEC('table for research'!Y$1))*2,2)</f>
        <v>00</v>
      </c>
      <c r="Z254" t="str">
        <f>MID('paste from garc here'!$C$1,1+(('table for research'!$B254-1)*36+HEX2DEC('table for research'!Z$1))*2,2)</f>
        <v>00</v>
      </c>
      <c r="AA254" t="str">
        <f>MID('paste from garc here'!$C$1,1+(('table for research'!$B254-1)*36+HEX2DEC('table for research'!AA$1))*2,2)</f>
        <v>00</v>
      </c>
      <c r="AB254" t="str">
        <f>MID('paste from garc here'!$C$1,1+(('table for research'!$B254-1)*36+HEX2DEC('table for research'!AB$1))*2,2)</f>
        <v>00</v>
      </c>
      <c r="AC254" t="str">
        <f>MID('paste from garc here'!$C$1,1+(('table for research'!$B254-1)*36+HEX2DEC('table for research'!AC$1))*2,2)</f>
        <v>00</v>
      </c>
      <c r="AD254" t="str">
        <f>MID('paste from garc here'!$C$1,1+(('table for research'!$B254-1)*36+HEX2DEC('table for research'!AD$1))*2,2)</f>
        <v>00</v>
      </c>
      <c r="AE254" t="str">
        <f>MID('paste from garc here'!$C$1,1+(('table for research'!$B254-1)*36+HEX2DEC('table for research'!AE$1))*2,2)</f>
        <v>00</v>
      </c>
      <c r="AF254" t="str">
        <f>MID('paste from garc here'!$C$1,1+(('table for research'!$B254-1)*36+HEX2DEC('table for research'!AF$1))*2,2)</f>
        <v>00</v>
      </c>
      <c r="AG254" t="str">
        <f>MID('paste from garc here'!$C$1,1+(('table for research'!$B254-1)*36+HEX2DEC('table for research'!AG$1))*2,2)</f>
        <v>00</v>
      </c>
      <c r="AH254" t="str">
        <f>MID('paste from garc here'!$C$1,1+(('table for research'!$B254-1)*36+HEX2DEC('table for research'!AH$1))*2,2)</f>
        <v>00</v>
      </c>
      <c r="AI254" t="str">
        <f>MID('paste from garc here'!$C$1,1+(('table for research'!$B254-1)*36+HEX2DEC('table for research'!AI$1))*2,2)</f>
        <v>00</v>
      </c>
      <c r="AJ254" t="str">
        <f>MID('paste from garc here'!$C$1,1+(('table for research'!$B254-1)*36+HEX2DEC('table for research'!AJ$1))*2,2)</f>
        <v>00</v>
      </c>
      <c r="AK254" t="str">
        <f>MID('paste from garc here'!$C$1,1+(('table for research'!$B254-1)*36+HEX2DEC('table for research'!AK$1))*2,2)</f>
        <v>00</v>
      </c>
      <c r="AL254" t="str">
        <f>MID('paste from garc here'!$C$1,1+(('table for research'!$B254-1)*36+HEX2DEC('table for research'!AL$1))*2,2)</f>
        <v>00</v>
      </c>
      <c r="AM254" t="str">
        <f>MID('paste from garc here'!$C$1,1+(('table for research'!$B254-1)*36+HEX2DEC('table for research'!AM$1))*2,2)</f>
        <v>00</v>
      </c>
      <c r="AN254" t="str">
        <f>MID('paste from garc here'!$C$1,1+(('table for research'!$B254-1)*36+HEX2DEC('table for research'!AN$1))*2,2)</f>
        <v>00</v>
      </c>
      <c r="AO254" t="str">
        <f>MID('paste from garc here'!$C$1,1+(('table for research'!$B254-1)*36+HEX2DEC('table for research'!AO$1))*2,2)</f>
        <v>00</v>
      </c>
    </row>
    <row r="255" spans="1:41" x14ac:dyDescent="0.4">
      <c r="A255" t="s">
        <v>258</v>
      </c>
      <c r="B255">
        <f>B254+1</f>
        <v>253</v>
      </c>
      <c r="C255" t="str">
        <f>MID('paste from garc here'!$C$1,1+(('table for research'!$B255-1)*36+HEX2DEC('table for research'!C$1))*2,2)</f>
        <v>90</v>
      </c>
      <c r="D255" t="str">
        <f>MID('paste from garc here'!$C$1,1+(('table for research'!$B255-1)*36+HEX2DEC('table for research'!D$1))*2,2)</f>
        <v>01</v>
      </c>
      <c r="E255" t="str">
        <f>MID('paste from garc here'!$C$1,1+(('table for research'!$B255-1)*36+HEX2DEC('table for research'!E$1))*2,2)</f>
        <v>57</v>
      </c>
      <c r="F255" t="str">
        <f>MID('paste from garc here'!$C$1,1+(('table for research'!$B255-1)*36+HEX2DEC('table for research'!F$1))*2,2)</f>
        <v>04</v>
      </c>
      <c r="G255" t="str">
        <f>MID('paste from garc here'!$C$1,1+(('table for research'!$B255-1)*36+HEX2DEC('table for research'!G$1))*2,2)</f>
        <v>00</v>
      </c>
      <c r="H255" t="str">
        <f>MID('paste from garc here'!$C$1,1+(('table for research'!$B255-1)*36+HEX2DEC('table for research'!H$1))*2,2)</f>
        <v>00</v>
      </c>
      <c r="I255" t="str">
        <f>MID('paste from garc here'!$C$1,1+(('table for research'!$B255-1)*36+HEX2DEC('table for research'!I$1))*2,2)</f>
        <v>1E</v>
      </c>
      <c r="J255" t="str">
        <f>MID('paste from garc here'!$C$1,1+(('table for research'!$B255-1)*36+HEX2DEC('table for research'!J$1))*2,2)</f>
        <v>00</v>
      </c>
      <c r="K255" t="str">
        <f>DEC2HEX(_xlfn.BITAND(HEX2DEC(MID('paste from garc here'!$C$1,1+(('table for research'!$B255-1)*36+HEX2DEC(8))*2,2)),31),2)</f>
        <v>1F</v>
      </c>
      <c r="L255" t="str">
        <f>DEC2HEX(_xlfn.BITAND(HEX2DEC(MID('paste from garc here'!$C$1,1+(('table for research'!$B255-1)*36+HEX2DEC(8))*2,2)),32),2)</f>
        <v>00</v>
      </c>
      <c r="M255" t="str">
        <f>DEC2HEX(_xlfn.BITAND(HEX2DEC(MID('paste from garc here'!$C$1,1+(('table for research'!$B255-1)*36+HEX2DEC(8))*2,2)),64),2)</f>
        <v>00</v>
      </c>
      <c r="N255" t="str">
        <f>DEC2HEX(_xlfn.BITRSHIFT(_xlfn.BITAND(HEX2DEC(MID('paste from garc here'!$C$1,1+(('table for research'!$B255-1)*36+HEX2DEC(9))*2,2)&amp;MID('paste from garc here'!$C$1,1+(('table for research'!$B255-1)*36+HEX2DEC(8))*2,2)),1920),7),2)</f>
        <v>00</v>
      </c>
      <c r="O255" t="str">
        <f>DEC2HEX(_xlfn.BITRSHIFT(HEX2DEC(MID('paste from garc here'!$C$1,1+(('table for research'!$B255-1)*36+HEX2DEC(9))*2,2)&amp;MID('paste from garc here'!$C$1,1+(('table for research'!$B255-1)*36+HEX2DEC(8))*2,2)),11),2)</f>
        <v>00</v>
      </c>
      <c r="P255" t="str">
        <f>MID('paste from garc here'!$C$1,1+(('table for research'!$B255-1)*36+HEX2DEC('table for research'!P$1))*2,2)</f>
        <v>00</v>
      </c>
      <c r="Q255" t="str">
        <f>MID('paste from garc here'!$C$1,1+(('table for research'!$B255-1)*36+HEX2DEC('table for research'!Q$1))*2,2)</f>
        <v>00</v>
      </c>
      <c r="R255" t="str">
        <f>MID('paste from garc here'!$C$1,1+(('table for research'!$B255-1)*36+HEX2DEC('table for research'!R$1))*2,2)</f>
        <v>00</v>
      </c>
      <c r="S255" t="str">
        <f>MID('paste from garc here'!$C$1,1+(('table for research'!$B255-1)*36+HEX2DEC('table for research'!S$1))*2,2)</f>
        <v>01</v>
      </c>
      <c r="T255" t="str">
        <f>MID('paste from garc here'!$C$1,1+(('table for research'!$B255-1)*36+HEX2DEC('table for research'!T$1))*2,2)</f>
        <v>00</v>
      </c>
      <c r="U255" t="str">
        <f>MID('paste from garc here'!$C$1,1+(('table for research'!$B255-1)*36+HEX2DEC('table for research'!U$1))*2,2)</f>
        <v>11</v>
      </c>
      <c r="V255" t="str">
        <f>MID('paste from garc here'!$C$1,1+(('table for research'!$B255-1)*36+HEX2DEC('table for research'!V$1))*2,2)</f>
        <v>00</v>
      </c>
      <c r="W255" t="str">
        <f>MID('paste from garc here'!$C$1,1+(('table for research'!$B255-1)*36+HEX2DEC('table for research'!W$1))*2,2)</f>
        <v>00</v>
      </c>
      <c r="X255" t="str">
        <f>MID('paste from garc here'!$C$1,1+(('table for research'!$B255-1)*36+HEX2DEC('table for research'!X$1))*2,2)</f>
        <v>00</v>
      </c>
      <c r="Y255" t="str">
        <f>MID('paste from garc here'!$C$1,1+(('table for research'!$B255-1)*36+HEX2DEC('table for research'!Y$1))*2,2)</f>
        <v>00</v>
      </c>
      <c r="Z255" t="str">
        <f>MID('paste from garc here'!$C$1,1+(('table for research'!$B255-1)*36+HEX2DEC('table for research'!Z$1))*2,2)</f>
        <v>00</v>
      </c>
      <c r="AA255" t="str">
        <f>MID('paste from garc here'!$C$1,1+(('table for research'!$B255-1)*36+HEX2DEC('table for research'!AA$1))*2,2)</f>
        <v>00</v>
      </c>
      <c r="AB255" t="str">
        <f>MID('paste from garc here'!$C$1,1+(('table for research'!$B255-1)*36+HEX2DEC('table for research'!AB$1))*2,2)</f>
        <v>00</v>
      </c>
      <c r="AC255" t="str">
        <f>MID('paste from garc here'!$C$1,1+(('table for research'!$B255-1)*36+HEX2DEC('table for research'!AC$1))*2,2)</f>
        <v>00</v>
      </c>
      <c r="AD255" t="str">
        <f>MID('paste from garc here'!$C$1,1+(('table for research'!$B255-1)*36+HEX2DEC('table for research'!AD$1))*2,2)</f>
        <v>00</v>
      </c>
      <c r="AE255" t="str">
        <f>MID('paste from garc here'!$C$1,1+(('table for research'!$B255-1)*36+HEX2DEC('table for research'!AE$1))*2,2)</f>
        <v>00</v>
      </c>
      <c r="AF255" t="str">
        <f>MID('paste from garc here'!$C$1,1+(('table for research'!$B255-1)*36+HEX2DEC('table for research'!AF$1))*2,2)</f>
        <v>00</v>
      </c>
      <c r="AG255" t="str">
        <f>MID('paste from garc here'!$C$1,1+(('table for research'!$B255-1)*36+HEX2DEC('table for research'!AG$1))*2,2)</f>
        <v>00</v>
      </c>
      <c r="AH255" t="str">
        <f>MID('paste from garc here'!$C$1,1+(('table for research'!$B255-1)*36+HEX2DEC('table for research'!AH$1))*2,2)</f>
        <v>00</v>
      </c>
      <c r="AI255" t="str">
        <f>MID('paste from garc here'!$C$1,1+(('table for research'!$B255-1)*36+HEX2DEC('table for research'!AI$1))*2,2)</f>
        <v>00</v>
      </c>
      <c r="AJ255" t="str">
        <f>MID('paste from garc here'!$C$1,1+(('table for research'!$B255-1)*36+HEX2DEC('table for research'!AJ$1))*2,2)</f>
        <v>00</v>
      </c>
      <c r="AK255" t="str">
        <f>MID('paste from garc here'!$C$1,1+(('table for research'!$B255-1)*36+HEX2DEC('table for research'!AK$1))*2,2)</f>
        <v>00</v>
      </c>
      <c r="AL255" t="str">
        <f>MID('paste from garc here'!$C$1,1+(('table for research'!$B255-1)*36+HEX2DEC('table for research'!AL$1))*2,2)</f>
        <v>00</v>
      </c>
      <c r="AM255" t="str">
        <f>MID('paste from garc here'!$C$1,1+(('table for research'!$B255-1)*36+HEX2DEC('table for research'!AM$1))*2,2)</f>
        <v>00</v>
      </c>
      <c r="AN255" t="str">
        <f>MID('paste from garc here'!$C$1,1+(('table for research'!$B255-1)*36+HEX2DEC('table for research'!AN$1))*2,2)</f>
        <v>00</v>
      </c>
      <c r="AO255" t="str">
        <f>MID('paste from garc here'!$C$1,1+(('table for research'!$B255-1)*36+HEX2DEC('table for research'!AO$1))*2,2)</f>
        <v>00</v>
      </c>
    </row>
    <row r="256" spans="1:41" x14ac:dyDescent="0.4">
      <c r="A256" t="s">
        <v>259</v>
      </c>
      <c r="B256">
        <f>B255+1</f>
        <v>254</v>
      </c>
      <c r="C256" t="str">
        <f>MID('paste from garc here'!$C$1,1+(('table for research'!$B256-1)*36+HEX2DEC('table for research'!C$1))*2,2)</f>
        <v>C8</v>
      </c>
      <c r="D256" t="str">
        <f>MID('paste from garc here'!$C$1,1+(('table for research'!$B256-1)*36+HEX2DEC('table for research'!D$1))*2,2)</f>
        <v>00</v>
      </c>
      <c r="E256" t="str">
        <f>MID('paste from garc here'!$C$1,1+(('table for research'!$B256-1)*36+HEX2DEC('table for research'!E$1))*2,2)</f>
        <v>4D</v>
      </c>
      <c r="F256" t="str">
        <f>MID('paste from garc here'!$C$1,1+(('table for research'!$B256-1)*36+HEX2DEC('table for research'!F$1))*2,2)</f>
        <v>14</v>
      </c>
      <c r="G256" t="str">
        <f>MID('paste from garc here'!$C$1,1+(('table for research'!$B256-1)*36+HEX2DEC('table for research'!G$1))*2,2)</f>
        <v>00</v>
      </c>
      <c r="H256" t="str">
        <f>MID('paste from garc here'!$C$1,1+(('table for research'!$B256-1)*36+HEX2DEC('table for research'!H$1))*2,2)</f>
        <v>00</v>
      </c>
      <c r="I256" t="str">
        <f>MID('paste from garc here'!$C$1,1+(('table for research'!$B256-1)*36+HEX2DEC('table for research'!I$1))*2,2)</f>
        <v>0A</v>
      </c>
      <c r="J256" t="str">
        <f>MID('paste from garc here'!$C$1,1+(('table for research'!$B256-1)*36+HEX2DEC('table for research'!J$1))*2,2)</f>
        <v>00</v>
      </c>
      <c r="K256" t="str">
        <f>DEC2HEX(_xlfn.BITAND(HEX2DEC(MID('paste from garc here'!$C$1,1+(('table for research'!$B256-1)*36+HEX2DEC(8))*2,2)),31),2)</f>
        <v>1F</v>
      </c>
      <c r="L256" t="str">
        <f>DEC2HEX(_xlfn.BITAND(HEX2DEC(MID('paste from garc here'!$C$1,1+(('table for research'!$B256-1)*36+HEX2DEC(8))*2,2)),32),2)</f>
        <v>00</v>
      </c>
      <c r="M256" t="str">
        <f>DEC2HEX(_xlfn.BITAND(HEX2DEC(MID('paste from garc here'!$C$1,1+(('table for research'!$B256-1)*36+HEX2DEC(8))*2,2)),64),2)</f>
        <v>00</v>
      </c>
      <c r="N256" t="str">
        <f>DEC2HEX(_xlfn.BITRSHIFT(_xlfn.BITAND(HEX2DEC(MID('paste from garc here'!$C$1,1+(('table for research'!$B256-1)*36+HEX2DEC(9))*2,2)&amp;MID('paste from garc here'!$C$1,1+(('table for research'!$B256-1)*36+HEX2DEC(8))*2,2)),1920),7),2)</f>
        <v>00</v>
      </c>
      <c r="O256" t="str">
        <f>DEC2HEX(_xlfn.BITRSHIFT(HEX2DEC(MID('paste from garc here'!$C$1,1+(('table for research'!$B256-1)*36+HEX2DEC(9))*2,2)&amp;MID('paste from garc here'!$C$1,1+(('table for research'!$B256-1)*36+HEX2DEC(8))*2,2)),11),2)</f>
        <v>00</v>
      </c>
      <c r="P256" t="str">
        <f>MID('paste from garc here'!$C$1,1+(('table for research'!$B256-1)*36+HEX2DEC('table for research'!P$1))*2,2)</f>
        <v>00</v>
      </c>
      <c r="Q256" t="str">
        <f>MID('paste from garc here'!$C$1,1+(('table for research'!$B256-1)*36+HEX2DEC('table for research'!Q$1))*2,2)</f>
        <v>00</v>
      </c>
      <c r="R256" t="str">
        <f>MID('paste from garc here'!$C$1,1+(('table for research'!$B256-1)*36+HEX2DEC('table for research'!R$1))*2,2)</f>
        <v>00</v>
      </c>
      <c r="S256" t="str">
        <f>MID('paste from garc here'!$C$1,1+(('table for research'!$B256-1)*36+HEX2DEC('table for research'!S$1))*2,2)</f>
        <v>01</v>
      </c>
      <c r="T256" t="str">
        <f>MID('paste from garc here'!$C$1,1+(('table for research'!$B256-1)*36+HEX2DEC('table for research'!T$1))*2,2)</f>
        <v>00</v>
      </c>
      <c r="U256" t="str">
        <f>MID('paste from garc here'!$C$1,1+(('table for research'!$B256-1)*36+HEX2DEC('table for research'!U$1))*2,2)</f>
        <v>51</v>
      </c>
      <c r="V256" t="str">
        <f>MID('paste from garc here'!$C$1,1+(('table for research'!$B256-1)*36+HEX2DEC('table for research'!V$1))*2,2)</f>
        <v>00</v>
      </c>
      <c r="W256" t="str">
        <f>MID('paste from garc here'!$C$1,1+(('table for research'!$B256-1)*36+HEX2DEC('table for research'!W$1))*2,2)</f>
        <v>00</v>
      </c>
      <c r="X256" t="str">
        <f>MID('paste from garc here'!$C$1,1+(('table for research'!$B256-1)*36+HEX2DEC('table for research'!X$1))*2,2)</f>
        <v>00</v>
      </c>
      <c r="Y256" t="str">
        <f>MID('paste from garc here'!$C$1,1+(('table for research'!$B256-1)*36+HEX2DEC('table for research'!Y$1))*2,2)</f>
        <v>00</v>
      </c>
      <c r="Z256" t="str">
        <f>MID('paste from garc here'!$C$1,1+(('table for research'!$B256-1)*36+HEX2DEC('table for research'!Z$1))*2,2)</f>
        <v>00</v>
      </c>
      <c r="AA256" t="str">
        <f>MID('paste from garc here'!$C$1,1+(('table for research'!$B256-1)*36+HEX2DEC('table for research'!AA$1))*2,2)</f>
        <v>00</v>
      </c>
      <c r="AB256" t="str">
        <f>MID('paste from garc here'!$C$1,1+(('table for research'!$B256-1)*36+HEX2DEC('table for research'!AB$1))*2,2)</f>
        <v>00</v>
      </c>
      <c r="AC256" t="str">
        <f>MID('paste from garc here'!$C$1,1+(('table for research'!$B256-1)*36+HEX2DEC('table for research'!AC$1))*2,2)</f>
        <v>00</v>
      </c>
      <c r="AD256" t="str">
        <f>MID('paste from garc here'!$C$1,1+(('table for research'!$B256-1)*36+HEX2DEC('table for research'!AD$1))*2,2)</f>
        <v>00</v>
      </c>
      <c r="AE256" t="str">
        <f>MID('paste from garc here'!$C$1,1+(('table for research'!$B256-1)*36+HEX2DEC('table for research'!AE$1))*2,2)</f>
        <v>00</v>
      </c>
      <c r="AF256" t="str">
        <f>MID('paste from garc here'!$C$1,1+(('table for research'!$B256-1)*36+HEX2DEC('table for research'!AF$1))*2,2)</f>
        <v>00</v>
      </c>
      <c r="AG256" t="str">
        <f>MID('paste from garc here'!$C$1,1+(('table for research'!$B256-1)*36+HEX2DEC('table for research'!AG$1))*2,2)</f>
        <v>00</v>
      </c>
      <c r="AH256" t="str">
        <f>MID('paste from garc here'!$C$1,1+(('table for research'!$B256-1)*36+HEX2DEC('table for research'!AH$1))*2,2)</f>
        <v>00</v>
      </c>
      <c r="AI256" t="str">
        <f>MID('paste from garc here'!$C$1,1+(('table for research'!$B256-1)*36+HEX2DEC('table for research'!AI$1))*2,2)</f>
        <v>00</v>
      </c>
      <c r="AJ256" t="str">
        <f>MID('paste from garc here'!$C$1,1+(('table for research'!$B256-1)*36+HEX2DEC('table for research'!AJ$1))*2,2)</f>
        <v>00</v>
      </c>
      <c r="AK256" t="str">
        <f>MID('paste from garc here'!$C$1,1+(('table for research'!$B256-1)*36+HEX2DEC('table for research'!AK$1))*2,2)</f>
        <v>00</v>
      </c>
      <c r="AL256" t="str">
        <f>MID('paste from garc here'!$C$1,1+(('table for research'!$B256-1)*36+HEX2DEC('table for research'!AL$1))*2,2)</f>
        <v>00</v>
      </c>
      <c r="AM256" t="str">
        <f>MID('paste from garc here'!$C$1,1+(('table for research'!$B256-1)*36+HEX2DEC('table for research'!AM$1))*2,2)</f>
        <v>00</v>
      </c>
      <c r="AN256" t="str">
        <f>MID('paste from garc here'!$C$1,1+(('table for research'!$B256-1)*36+HEX2DEC('table for research'!AN$1))*2,2)</f>
        <v>00</v>
      </c>
      <c r="AO256" t="str">
        <f>MID('paste from garc here'!$C$1,1+(('table for research'!$B256-1)*36+HEX2DEC('table for research'!AO$1))*2,2)</f>
        <v>00</v>
      </c>
    </row>
    <row r="257" spans="1:41" x14ac:dyDescent="0.4">
      <c r="A257" t="s">
        <v>260</v>
      </c>
      <c r="B257">
        <f>B256+1</f>
        <v>255</v>
      </c>
      <c r="C257" t="str">
        <f>MID('paste from garc here'!$C$1,1+(('table for research'!$B257-1)*36+HEX2DEC('table for research'!C$1))*2,2)</f>
        <v>F4</v>
      </c>
      <c r="D257" t="str">
        <f>MID('paste from garc here'!$C$1,1+(('table for research'!$B257-1)*36+HEX2DEC('table for research'!D$1))*2,2)</f>
        <v>01</v>
      </c>
      <c r="E257" t="str">
        <f>MID('paste from garc here'!$C$1,1+(('table for research'!$B257-1)*36+HEX2DEC('table for research'!E$1))*2,2)</f>
        <v>30</v>
      </c>
      <c r="F257" t="str">
        <f>MID('paste from garc here'!$C$1,1+(('table for research'!$B257-1)*36+HEX2DEC('table for research'!F$1))*2,2)</f>
        <v>0A</v>
      </c>
      <c r="G257" t="str">
        <f>MID('paste from garc here'!$C$1,1+(('table for research'!$B257-1)*36+HEX2DEC('table for research'!G$1))*2,2)</f>
        <v>00</v>
      </c>
      <c r="H257" t="str">
        <f>MID('paste from garc here'!$C$1,1+(('table for research'!$B257-1)*36+HEX2DEC('table for research'!H$1))*2,2)</f>
        <v>00</v>
      </c>
      <c r="I257" t="str">
        <f>MID('paste from garc here'!$C$1,1+(('table for research'!$B257-1)*36+HEX2DEC('table for research'!I$1))*2,2)</f>
        <v>0A</v>
      </c>
      <c r="J257" t="str">
        <f>MID('paste from garc here'!$C$1,1+(('table for research'!$B257-1)*36+HEX2DEC('table for research'!J$1))*2,2)</f>
        <v>00</v>
      </c>
      <c r="K257" t="str">
        <f>DEC2HEX(_xlfn.BITAND(HEX2DEC(MID('paste from garc here'!$C$1,1+(('table for research'!$B257-1)*36+HEX2DEC(8))*2,2)),31),2)</f>
        <v>1F</v>
      </c>
      <c r="L257" t="str">
        <f>DEC2HEX(_xlfn.BITAND(HEX2DEC(MID('paste from garc here'!$C$1,1+(('table for research'!$B257-1)*36+HEX2DEC(8))*2,2)),32),2)</f>
        <v>00</v>
      </c>
      <c r="M257" t="str">
        <f>DEC2HEX(_xlfn.BITAND(HEX2DEC(MID('paste from garc here'!$C$1,1+(('table for research'!$B257-1)*36+HEX2DEC(8))*2,2)),64),2)</f>
        <v>00</v>
      </c>
      <c r="N257" t="str">
        <f>DEC2HEX(_xlfn.BITRSHIFT(_xlfn.BITAND(HEX2DEC(MID('paste from garc here'!$C$1,1+(('table for research'!$B257-1)*36+HEX2DEC(9))*2,2)&amp;MID('paste from garc here'!$C$1,1+(('table for research'!$B257-1)*36+HEX2DEC(8))*2,2)),1920),7),2)</f>
        <v>00</v>
      </c>
      <c r="O257" t="str">
        <f>DEC2HEX(_xlfn.BITRSHIFT(HEX2DEC(MID('paste from garc here'!$C$1,1+(('table for research'!$B257-1)*36+HEX2DEC(9))*2,2)&amp;MID('paste from garc here'!$C$1,1+(('table for research'!$B257-1)*36+HEX2DEC(8))*2,2)),11),2)</f>
        <v>00</v>
      </c>
      <c r="P257" t="str">
        <f>MID('paste from garc here'!$C$1,1+(('table for research'!$B257-1)*36+HEX2DEC('table for research'!P$1))*2,2)</f>
        <v>00</v>
      </c>
      <c r="Q257" t="str">
        <f>MID('paste from garc here'!$C$1,1+(('table for research'!$B257-1)*36+HEX2DEC('table for research'!Q$1))*2,2)</f>
        <v>00</v>
      </c>
      <c r="R257" t="str">
        <f>MID('paste from garc here'!$C$1,1+(('table for research'!$B257-1)*36+HEX2DEC('table for research'!R$1))*2,2)</f>
        <v>00</v>
      </c>
      <c r="S257" t="str">
        <f>MID('paste from garc here'!$C$1,1+(('table for research'!$B257-1)*36+HEX2DEC('table for research'!S$1))*2,2)</f>
        <v>01</v>
      </c>
      <c r="T257" t="str">
        <f>MID('paste from garc here'!$C$1,1+(('table for research'!$B257-1)*36+HEX2DEC('table for research'!T$1))*2,2)</f>
        <v>00</v>
      </c>
      <c r="U257" t="str">
        <f>MID('paste from garc here'!$C$1,1+(('table for research'!$B257-1)*36+HEX2DEC('table for research'!U$1))*2,2)</f>
        <v>51</v>
      </c>
      <c r="V257" t="str">
        <f>MID('paste from garc here'!$C$1,1+(('table for research'!$B257-1)*36+HEX2DEC('table for research'!V$1))*2,2)</f>
        <v>00</v>
      </c>
      <c r="W257" t="str">
        <f>MID('paste from garc here'!$C$1,1+(('table for research'!$B257-1)*36+HEX2DEC('table for research'!W$1))*2,2)</f>
        <v>00</v>
      </c>
      <c r="X257" t="str">
        <f>MID('paste from garc here'!$C$1,1+(('table for research'!$B257-1)*36+HEX2DEC('table for research'!X$1))*2,2)</f>
        <v>00</v>
      </c>
      <c r="Y257" t="str">
        <f>MID('paste from garc here'!$C$1,1+(('table for research'!$B257-1)*36+HEX2DEC('table for research'!Y$1))*2,2)</f>
        <v>00</v>
      </c>
      <c r="Z257" t="str">
        <f>MID('paste from garc here'!$C$1,1+(('table for research'!$B257-1)*36+HEX2DEC('table for research'!Z$1))*2,2)</f>
        <v>00</v>
      </c>
      <c r="AA257" t="str">
        <f>MID('paste from garc here'!$C$1,1+(('table for research'!$B257-1)*36+HEX2DEC('table for research'!AA$1))*2,2)</f>
        <v>00</v>
      </c>
      <c r="AB257" t="str">
        <f>MID('paste from garc here'!$C$1,1+(('table for research'!$B257-1)*36+HEX2DEC('table for research'!AB$1))*2,2)</f>
        <v>00</v>
      </c>
      <c r="AC257" t="str">
        <f>MID('paste from garc here'!$C$1,1+(('table for research'!$B257-1)*36+HEX2DEC('table for research'!AC$1))*2,2)</f>
        <v>00</v>
      </c>
      <c r="AD257" t="str">
        <f>MID('paste from garc here'!$C$1,1+(('table for research'!$B257-1)*36+HEX2DEC('table for research'!AD$1))*2,2)</f>
        <v>00</v>
      </c>
      <c r="AE257" t="str">
        <f>MID('paste from garc here'!$C$1,1+(('table for research'!$B257-1)*36+HEX2DEC('table for research'!AE$1))*2,2)</f>
        <v>00</v>
      </c>
      <c r="AF257" t="str">
        <f>MID('paste from garc here'!$C$1,1+(('table for research'!$B257-1)*36+HEX2DEC('table for research'!AF$1))*2,2)</f>
        <v>00</v>
      </c>
      <c r="AG257" t="str">
        <f>MID('paste from garc here'!$C$1,1+(('table for research'!$B257-1)*36+HEX2DEC('table for research'!AG$1))*2,2)</f>
        <v>00</v>
      </c>
      <c r="AH257" t="str">
        <f>MID('paste from garc here'!$C$1,1+(('table for research'!$B257-1)*36+HEX2DEC('table for research'!AH$1))*2,2)</f>
        <v>00</v>
      </c>
      <c r="AI257" t="str">
        <f>MID('paste from garc here'!$C$1,1+(('table for research'!$B257-1)*36+HEX2DEC('table for research'!AI$1))*2,2)</f>
        <v>00</v>
      </c>
      <c r="AJ257" t="str">
        <f>MID('paste from garc here'!$C$1,1+(('table for research'!$B257-1)*36+HEX2DEC('table for research'!AJ$1))*2,2)</f>
        <v>00</v>
      </c>
      <c r="AK257" t="str">
        <f>MID('paste from garc here'!$C$1,1+(('table for research'!$B257-1)*36+HEX2DEC('table for research'!AK$1))*2,2)</f>
        <v>00</v>
      </c>
      <c r="AL257" t="str">
        <f>MID('paste from garc here'!$C$1,1+(('table for research'!$B257-1)*36+HEX2DEC('table for research'!AL$1))*2,2)</f>
        <v>00</v>
      </c>
      <c r="AM257" t="str">
        <f>MID('paste from garc here'!$C$1,1+(('table for research'!$B257-1)*36+HEX2DEC('table for research'!AM$1))*2,2)</f>
        <v>00</v>
      </c>
      <c r="AN257" t="str">
        <f>MID('paste from garc here'!$C$1,1+(('table for research'!$B257-1)*36+HEX2DEC('table for research'!AN$1))*2,2)</f>
        <v>00</v>
      </c>
      <c r="AO257" t="str">
        <f>MID('paste from garc here'!$C$1,1+(('table for research'!$B257-1)*36+HEX2DEC('table for research'!AO$1))*2,2)</f>
        <v>00</v>
      </c>
    </row>
    <row r="258" spans="1:41" x14ac:dyDescent="0.4">
      <c r="A258" t="s">
        <v>261</v>
      </c>
      <c r="B258">
        <f>B257+1</f>
        <v>256</v>
      </c>
      <c r="C258" t="str">
        <f>MID('paste from garc here'!$C$1,1+(('table for research'!$B258-1)*36+HEX2DEC('table for research'!C$1))*2,2)</f>
        <v>E8</v>
      </c>
      <c r="D258" t="str">
        <f>MID('paste from garc here'!$C$1,1+(('table for research'!$B258-1)*36+HEX2DEC('table for research'!D$1))*2,2)</f>
        <v>03</v>
      </c>
      <c r="E258" t="str">
        <f>MID('paste from garc here'!$C$1,1+(('table for research'!$B258-1)*36+HEX2DEC('table for research'!E$1))*2,2)</f>
        <v>58</v>
      </c>
      <c r="F258" t="str">
        <f>MID('paste from garc here'!$C$1,1+(('table for research'!$B258-1)*36+HEX2DEC('table for research'!F$1))*2,2)</f>
        <v>00</v>
      </c>
      <c r="G258" t="str">
        <f>MID('paste from garc here'!$C$1,1+(('table for research'!$B258-1)*36+HEX2DEC('table for research'!G$1))*2,2)</f>
        <v>00</v>
      </c>
      <c r="H258" t="str">
        <f>MID('paste from garc here'!$C$1,1+(('table for research'!$B258-1)*36+HEX2DEC('table for research'!H$1))*2,2)</f>
        <v>00</v>
      </c>
      <c r="I258" t="str">
        <f>MID('paste from garc here'!$C$1,1+(('table for research'!$B258-1)*36+HEX2DEC('table for research'!I$1))*2,2)</f>
        <v>28</v>
      </c>
      <c r="J258" t="str">
        <f>MID('paste from garc here'!$C$1,1+(('table for research'!$B258-1)*36+HEX2DEC('table for research'!J$1))*2,2)</f>
        <v>00</v>
      </c>
      <c r="K258" t="str">
        <f>DEC2HEX(_xlfn.BITAND(HEX2DEC(MID('paste from garc here'!$C$1,1+(('table for research'!$B258-1)*36+HEX2DEC(8))*2,2)),31),2)</f>
        <v>1F</v>
      </c>
      <c r="L258" t="str">
        <f>DEC2HEX(_xlfn.BITAND(HEX2DEC(MID('paste from garc here'!$C$1,1+(('table for research'!$B258-1)*36+HEX2DEC(8))*2,2)),32),2)</f>
        <v>00</v>
      </c>
      <c r="M258" t="str">
        <f>DEC2HEX(_xlfn.BITAND(HEX2DEC(MID('paste from garc here'!$C$1,1+(('table for research'!$B258-1)*36+HEX2DEC(8))*2,2)),64),2)</f>
        <v>00</v>
      </c>
      <c r="N258" t="str">
        <f>DEC2HEX(_xlfn.BITRSHIFT(_xlfn.BITAND(HEX2DEC(MID('paste from garc here'!$C$1,1+(('table for research'!$B258-1)*36+HEX2DEC(9))*2,2)&amp;MID('paste from garc here'!$C$1,1+(('table for research'!$B258-1)*36+HEX2DEC(8))*2,2)),1920),7),2)</f>
        <v>00</v>
      </c>
      <c r="O258" t="str">
        <f>DEC2HEX(_xlfn.BITRSHIFT(HEX2DEC(MID('paste from garc here'!$C$1,1+(('table for research'!$B258-1)*36+HEX2DEC(9))*2,2)&amp;MID('paste from garc here'!$C$1,1+(('table for research'!$B258-1)*36+HEX2DEC(8))*2,2)),11),2)</f>
        <v>00</v>
      </c>
      <c r="P258" t="str">
        <f>MID('paste from garc here'!$C$1,1+(('table for research'!$B258-1)*36+HEX2DEC('table for research'!P$1))*2,2)</f>
        <v>00</v>
      </c>
      <c r="Q258" t="str">
        <f>MID('paste from garc here'!$C$1,1+(('table for research'!$B258-1)*36+HEX2DEC('table for research'!Q$1))*2,2)</f>
        <v>00</v>
      </c>
      <c r="R258" t="str">
        <f>MID('paste from garc here'!$C$1,1+(('table for research'!$B258-1)*36+HEX2DEC('table for research'!R$1))*2,2)</f>
        <v>00</v>
      </c>
      <c r="S258" t="str">
        <f>MID('paste from garc here'!$C$1,1+(('table for research'!$B258-1)*36+HEX2DEC('table for research'!S$1))*2,2)</f>
        <v>01</v>
      </c>
      <c r="T258" t="str">
        <f>MID('paste from garc here'!$C$1,1+(('table for research'!$B258-1)*36+HEX2DEC('table for research'!T$1))*2,2)</f>
        <v>00</v>
      </c>
      <c r="U258" t="str">
        <f>MID('paste from garc here'!$C$1,1+(('table for research'!$B258-1)*36+HEX2DEC('table for research'!U$1))*2,2)</f>
        <v>3E</v>
      </c>
      <c r="V258" t="str">
        <f>MID('paste from garc here'!$C$1,1+(('table for research'!$B258-1)*36+HEX2DEC('table for research'!V$1))*2,2)</f>
        <v>00</v>
      </c>
      <c r="W258" t="str">
        <f>MID('paste from garc here'!$C$1,1+(('table for research'!$B258-1)*36+HEX2DEC('table for research'!W$1))*2,2)</f>
        <v>00</v>
      </c>
      <c r="X258" t="str">
        <f>MID('paste from garc here'!$C$1,1+(('table for research'!$B258-1)*36+HEX2DEC('table for research'!X$1))*2,2)</f>
        <v>00</v>
      </c>
      <c r="Y258" t="str">
        <f>MID('paste from garc here'!$C$1,1+(('table for research'!$B258-1)*36+HEX2DEC('table for research'!Y$1))*2,2)</f>
        <v>00</v>
      </c>
      <c r="Z258" t="str">
        <f>MID('paste from garc here'!$C$1,1+(('table for research'!$B258-1)*36+HEX2DEC('table for research'!Z$1))*2,2)</f>
        <v>00</v>
      </c>
      <c r="AA258" t="str">
        <f>MID('paste from garc here'!$C$1,1+(('table for research'!$B258-1)*36+HEX2DEC('table for research'!AA$1))*2,2)</f>
        <v>00</v>
      </c>
      <c r="AB258" t="str">
        <f>MID('paste from garc here'!$C$1,1+(('table for research'!$B258-1)*36+HEX2DEC('table for research'!AB$1))*2,2)</f>
        <v>00</v>
      </c>
      <c r="AC258" t="str">
        <f>MID('paste from garc here'!$C$1,1+(('table for research'!$B258-1)*36+HEX2DEC('table for research'!AC$1))*2,2)</f>
        <v>00</v>
      </c>
      <c r="AD258" t="str">
        <f>MID('paste from garc here'!$C$1,1+(('table for research'!$B258-1)*36+HEX2DEC('table for research'!AD$1))*2,2)</f>
        <v>00</v>
      </c>
      <c r="AE258" t="str">
        <f>MID('paste from garc here'!$C$1,1+(('table for research'!$B258-1)*36+HEX2DEC('table for research'!AE$1))*2,2)</f>
        <v>00</v>
      </c>
      <c r="AF258" t="str">
        <f>MID('paste from garc here'!$C$1,1+(('table for research'!$B258-1)*36+HEX2DEC('table for research'!AF$1))*2,2)</f>
        <v>00</v>
      </c>
      <c r="AG258" t="str">
        <f>MID('paste from garc here'!$C$1,1+(('table for research'!$B258-1)*36+HEX2DEC('table for research'!AG$1))*2,2)</f>
        <v>00</v>
      </c>
      <c r="AH258" t="str">
        <f>MID('paste from garc here'!$C$1,1+(('table for research'!$B258-1)*36+HEX2DEC('table for research'!AH$1))*2,2)</f>
        <v>00</v>
      </c>
      <c r="AI258" t="str">
        <f>MID('paste from garc here'!$C$1,1+(('table for research'!$B258-1)*36+HEX2DEC('table for research'!AI$1))*2,2)</f>
        <v>00</v>
      </c>
      <c r="AJ258" t="str">
        <f>MID('paste from garc here'!$C$1,1+(('table for research'!$B258-1)*36+HEX2DEC('table for research'!AJ$1))*2,2)</f>
        <v>00</v>
      </c>
      <c r="AK258" t="str">
        <f>MID('paste from garc here'!$C$1,1+(('table for research'!$B258-1)*36+HEX2DEC('table for research'!AK$1))*2,2)</f>
        <v>00</v>
      </c>
      <c r="AL258" t="str">
        <f>MID('paste from garc here'!$C$1,1+(('table for research'!$B258-1)*36+HEX2DEC('table for research'!AL$1))*2,2)</f>
        <v>00</v>
      </c>
      <c r="AM258" t="str">
        <f>MID('paste from garc here'!$C$1,1+(('table for research'!$B258-1)*36+HEX2DEC('table for research'!AM$1))*2,2)</f>
        <v>00</v>
      </c>
      <c r="AN258" t="str">
        <f>MID('paste from garc here'!$C$1,1+(('table for research'!$B258-1)*36+HEX2DEC('table for research'!AN$1))*2,2)</f>
        <v>00</v>
      </c>
      <c r="AO258" t="str">
        <f>MID('paste from garc here'!$C$1,1+(('table for research'!$B258-1)*36+HEX2DEC('table for research'!AO$1))*2,2)</f>
        <v>00</v>
      </c>
    </row>
    <row r="259" spans="1:41" x14ac:dyDescent="0.4">
      <c r="A259" t="s">
        <v>262</v>
      </c>
      <c r="B259">
        <f>B258+1</f>
        <v>257</v>
      </c>
      <c r="C259" t="str">
        <f>MID('paste from garc here'!$C$1,1+(('table for research'!$B259-1)*36+HEX2DEC('table for research'!C$1))*2,2)</f>
        <v>64</v>
      </c>
      <c r="D259" t="str">
        <f>MID('paste from garc here'!$C$1,1+(('table for research'!$B259-1)*36+HEX2DEC('table for research'!D$1))*2,2)</f>
        <v>00</v>
      </c>
      <c r="E259" t="str">
        <f>MID('paste from garc here'!$C$1,1+(('table for research'!$B259-1)*36+HEX2DEC('table for research'!E$1))*2,2)</f>
        <v>59</v>
      </c>
      <c r="F259" t="str">
        <f>MID('paste from garc here'!$C$1,1+(('table for research'!$B259-1)*36+HEX2DEC('table for research'!F$1))*2,2)</f>
        <v>00</v>
      </c>
      <c r="G259" t="str">
        <f>MID('paste from garc here'!$C$1,1+(('table for research'!$B259-1)*36+HEX2DEC('table for research'!G$1))*2,2)</f>
        <v>00</v>
      </c>
      <c r="H259" t="str">
        <f>MID('paste from garc here'!$C$1,1+(('table for research'!$B259-1)*36+HEX2DEC('table for research'!H$1))*2,2)</f>
        <v>00</v>
      </c>
      <c r="I259" t="str">
        <f>MID('paste from garc here'!$C$1,1+(('table for research'!$B259-1)*36+HEX2DEC('table for research'!I$1))*2,2)</f>
        <v>0A</v>
      </c>
      <c r="J259" t="str">
        <f>MID('paste from garc here'!$C$1,1+(('table for research'!$B259-1)*36+HEX2DEC('table for research'!J$1))*2,2)</f>
        <v>00</v>
      </c>
      <c r="K259" t="str">
        <f>DEC2HEX(_xlfn.BITAND(HEX2DEC(MID('paste from garc here'!$C$1,1+(('table for research'!$B259-1)*36+HEX2DEC(8))*2,2)),31),2)</f>
        <v>1F</v>
      </c>
      <c r="L259" t="str">
        <f>DEC2HEX(_xlfn.BITAND(HEX2DEC(MID('paste from garc here'!$C$1,1+(('table for research'!$B259-1)*36+HEX2DEC(8))*2,2)),32),2)</f>
        <v>00</v>
      </c>
      <c r="M259" t="str">
        <f>DEC2HEX(_xlfn.BITAND(HEX2DEC(MID('paste from garc here'!$C$1,1+(('table for research'!$B259-1)*36+HEX2DEC(8))*2,2)),64),2)</f>
        <v>00</v>
      </c>
      <c r="N259" t="str">
        <f>DEC2HEX(_xlfn.BITRSHIFT(_xlfn.BITAND(HEX2DEC(MID('paste from garc here'!$C$1,1+(('table for research'!$B259-1)*36+HEX2DEC(9))*2,2)&amp;MID('paste from garc here'!$C$1,1+(('table for research'!$B259-1)*36+HEX2DEC(8))*2,2)),1920),7),2)</f>
        <v>00</v>
      </c>
      <c r="O259" t="str">
        <f>DEC2HEX(_xlfn.BITRSHIFT(HEX2DEC(MID('paste from garc here'!$C$1,1+(('table for research'!$B259-1)*36+HEX2DEC(9))*2,2)&amp;MID('paste from garc here'!$C$1,1+(('table for research'!$B259-1)*36+HEX2DEC(8))*2,2)),11),2)</f>
        <v>00</v>
      </c>
      <c r="P259" t="str">
        <f>MID('paste from garc here'!$C$1,1+(('table for research'!$B259-1)*36+HEX2DEC('table for research'!P$1))*2,2)</f>
        <v>00</v>
      </c>
      <c r="Q259" t="str">
        <f>MID('paste from garc here'!$C$1,1+(('table for research'!$B259-1)*36+HEX2DEC('table for research'!Q$1))*2,2)</f>
        <v>00</v>
      </c>
      <c r="R259" t="str">
        <f>MID('paste from garc here'!$C$1,1+(('table for research'!$B259-1)*36+HEX2DEC('table for research'!R$1))*2,2)</f>
        <v>00</v>
      </c>
      <c r="S259" t="str">
        <f>MID('paste from garc here'!$C$1,1+(('table for research'!$B259-1)*36+HEX2DEC('table for research'!S$1))*2,2)</f>
        <v>01</v>
      </c>
      <c r="T259" t="str">
        <f>MID('paste from garc here'!$C$1,1+(('table for research'!$B259-1)*36+HEX2DEC('table for research'!T$1))*2,2)</f>
        <v>00</v>
      </c>
      <c r="U259" t="str">
        <f>MID('paste from garc here'!$C$1,1+(('table for research'!$B259-1)*36+HEX2DEC('table for research'!U$1))*2,2)</f>
        <v>40</v>
      </c>
      <c r="V259" t="str">
        <f>MID('paste from garc here'!$C$1,1+(('table for research'!$B259-1)*36+HEX2DEC('table for research'!V$1))*2,2)</f>
        <v>00</v>
      </c>
      <c r="W259" t="str">
        <f>MID('paste from garc here'!$C$1,1+(('table for research'!$B259-1)*36+HEX2DEC('table for research'!W$1))*2,2)</f>
        <v>00</v>
      </c>
      <c r="X259" t="str">
        <f>MID('paste from garc here'!$C$1,1+(('table for research'!$B259-1)*36+HEX2DEC('table for research'!X$1))*2,2)</f>
        <v>00</v>
      </c>
      <c r="Y259" t="str">
        <f>MID('paste from garc here'!$C$1,1+(('table for research'!$B259-1)*36+HEX2DEC('table for research'!Y$1))*2,2)</f>
        <v>00</v>
      </c>
      <c r="Z259" t="str">
        <f>MID('paste from garc here'!$C$1,1+(('table for research'!$B259-1)*36+HEX2DEC('table for research'!Z$1))*2,2)</f>
        <v>00</v>
      </c>
      <c r="AA259" t="str">
        <f>MID('paste from garc here'!$C$1,1+(('table for research'!$B259-1)*36+HEX2DEC('table for research'!AA$1))*2,2)</f>
        <v>00</v>
      </c>
      <c r="AB259" t="str">
        <f>MID('paste from garc here'!$C$1,1+(('table for research'!$B259-1)*36+HEX2DEC('table for research'!AB$1))*2,2)</f>
        <v>00</v>
      </c>
      <c r="AC259" t="str">
        <f>MID('paste from garc here'!$C$1,1+(('table for research'!$B259-1)*36+HEX2DEC('table for research'!AC$1))*2,2)</f>
        <v>00</v>
      </c>
      <c r="AD259" t="str">
        <f>MID('paste from garc here'!$C$1,1+(('table for research'!$B259-1)*36+HEX2DEC('table for research'!AD$1))*2,2)</f>
        <v>00</v>
      </c>
      <c r="AE259" t="str">
        <f>MID('paste from garc here'!$C$1,1+(('table for research'!$B259-1)*36+HEX2DEC('table for research'!AE$1))*2,2)</f>
        <v>00</v>
      </c>
      <c r="AF259" t="str">
        <f>MID('paste from garc here'!$C$1,1+(('table for research'!$B259-1)*36+HEX2DEC('table for research'!AF$1))*2,2)</f>
        <v>00</v>
      </c>
      <c r="AG259" t="str">
        <f>MID('paste from garc here'!$C$1,1+(('table for research'!$B259-1)*36+HEX2DEC('table for research'!AG$1))*2,2)</f>
        <v>00</v>
      </c>
      <c r="AH259" t="str">
        <f>MID('paste from garc here'!$C$1,1+(('table for research'!$B259-1)*36+HEX2DEC('table for research'!AH$1))*2,2)</f>
        <v>00</v>
      </c>
      <c r="AI259" t="str">
        <f>MID('paste from garc here'!$C$1,1+(('table for research'!$B259-1)*36+HEX2DEC('table for research'!AI$1))*2,2)</f>
        <v>00</v>
      </c>
      <c r="AJ259" t="str">
        <f>MID('paste from garc here'!$C$1,1+(('table for research'!$B259-1)*36+HEX2DEC('table for research'!AJ$1))*2,2)</f>
        <v>00</v>
      </c>
      <c r="AK259" t="str">
        <f>MID('paste from garc here'!$C$1,1+(('table for research'!$B259-1)*36+HEX2DEC('table for research'!AK$1))*2,2)</f>
        <v>00</v>
      </c>
      <c r="AL259" t="str">
        <f>MID('paste from garc here'!$C$1,1+(('table for research'!$B259-1)*36+HEX2DEC('table for research'!AL$1))*2,2)</f>
        <v>00</v>
      </c>
      <c r="AM259" t="str">
        <f>MID('paste from garc here'!$C$1,1+(('table for research'!$B259-1)*36+HEX2DEC('table for research'!AM$1))*2,2)</f>
        <v>00</v>
      </c>
      <c r="AN259" t="str">
        <f>MID('paste from garc here'!$C$1,1+(('table for research'!$B259-1)*36+HEX2DEC('table for research'!AN$1))*2,2)</f>
        <v>00</v>
      </c>
      <c r="AO259" t="str">
        <f>MID('paste from garc here'!$C$1,1+(('table for research'!$B259-1)*36+HEX2DEC('table for research'!AO$1))*2,2)</f>
        <v>00</v>
      </c>
    </row>
    <row r="260" spans="1:41" x14ac:dyDescent="0.4">
      <c r="A260" t="s">
        <v>263</v>
      </c>
      <c r="B260">
        <f>B259+1</f>
        <v>258</v>
      </c>
      <c r="C260" t="str">
        <f>MID('paste from garc here'!$C$1,1+(('table for research'!$B260-1)*36+HEX2DEC('table for research'!C$1))*2,2)</f>
        <v>64</v>
      </c>
      <c r="D260" t="str">
        <f>MID('paste from garc here'!$C$1,1+(('table for research'!$B260-1)*36+HEX2DEC('table for research'!D$1))*2,2)</f>
        <v>00</v>
      </c>
      <c r="E260" t="str">
        <f>MID('paste from garc here'!$C$1,1+(('table for research'!$B260-1)*36+HEX2DEC('table for research'!E$1))*2,2)</f>
        <v>5A</v>
      </c>
      <c r="F260" t="str">
        <f>MID('paste from garc here'!$C$1,1+(('table for research'!$B260-1)*36+HEX2DEC('table for research'!F$1))*2,2)</f>
        <v>00</v>
      </c>
      <c r="G260" t="str">
        <f>MID('paste from garc here'!$C$1,1+(('table for research'!$B260-1)*36+HEX2DEC('table for research'!G$1))*2,2)</f>
        <v>00</v>
      </c>
      <c r="H260" t="str">
        <f>MID('paste from garc here'!$C$1,1+(('table for research'!$B260-1)*36+HEX2DEC('table for research'!H$1))*2,2)</f>
        <v>00</v>
      </c>
      <c r="I260" t="str">
        <f>MID('paste from garc here'!$C$1,1+(('table for research'!$B260-1)*36+HEX2DEC('table for research'!I$1))*2,2)</f>
        <v>5A</v>
      </c>
      <c r="J260" t="str">
        <f>MID('paste from garc here'!$C$1,1+(('table for research'!$B260-1)*36+HEX2DEC('table for research'!J$1))*2,2)</f>
        <v>00</v>
      </c>
      <c r="K260" t="str">
        <f>DEC2HEX(_xlfn.BITAND(HEX2DEC(MID('paste from garc here'!$C$1,1+(('table for research'!$B260-1)*36+HEX2DEC(8))*2,2)),31),2)</f>
        <v>1F</v>
      </c>
      <c r="L260" t="str">
        <f>DEC2HEX(_xlfn.BITAND(HEX2DEC(MID('paste from garc here'!$C$1,1+(('table for research'!$B260-1)*36+HEX2DEC(8))*2,2)),32),2)</f>
        <v>00</v>
      </c>
      <c r="M260" t="str">
        <f>DEC2HEX(_xlfn.BITAND(HEX2DEC(MID('paste from garc here'!$C$1,1+(('table for research'!$B260-1)*36+HEX2DEC(8))*2,2)),64),2)</f>
        <v>00</v>
      </c>
      <c r="N260" t="str">
        <f>DEC2HEX(_xlfn.BITRSHIFT(_xlfn.BITAND(HEX2DEC(MID('paste from garc here'!$C$1,1+(('table for research'!$B260-1)*36+HEX2DEC(9))*2,2)&amp;MID('paste from garc here'!$C$1,1+(('table for research'!$B260-1)*36+HEX2DEC(8))*2,2)),1920),7),2)</f>
        <v>00</v>
      </c>
      <c r="O260" t="str">
        <f>DEC2HEX(_xlfn.BITRSHIFT(HEX2DEC(MID('paste from garc here'!$C$1,1+(('table for research'!$B260-1)*36+HEX2DEC(9))*2,2)&amp;MID('paste from garc here'!$C$1,1+(('table for research'!$B260-1)*36+HEX2DEC(8))*2,2)),11),2)</f>
        <v>00</v>
      </c>
      <c r="P260" t="str">
        <f>MID('paste from garc here'!$C$1,1+(('table for research'!$B260-1)*36+HEX2DEC('table for research'!P$1))*2,2)</f>
        <v>00</v>
      </c>
      <c r="Q260" t="str">
        <f>MID('paste from garc here'!$C$1,1+(('table for research'!$B260-1)*36+HEX2DEC('table for research'!Q$1))*2,2)</f>
        <v>00</v>
      </c>
      <c r="R260" t="str">
        <f>MID('paste from garc here'!$C$1,1+(('table for research'!$B260-1)*36+HEX2DEC('table for research'!R$1))*2,2)</f>
        <v>00</v>
      </c>
      <c r="S260" t="str">
        <f>MID('paste from garc here'!$C$1,1+(('table for research'!$B260-1)*36+HEX2DEC('table for research'!S$1))*2,2)</f>
        <v>01</v>
      </c>
      <c r="T260" t="str">
        <f>MID('paste from garc here'!$C$1,1+(('table for research'!$B260-1)*36+HEX2DEC('table for research'!T$1))*2,2)</f>
        <v>00</v>
      </c>
      <c r="U260" t="str">
        <f>MID('paste from garc here'!$C$1,1+(('table for research'!$B260-1)*36+HEX2DEC('table for research'!U$1))*2,2)</f>
        <v>3D</v>
      </c>
      <c r="V260" t="str">
        <f>MID('paste from garc here'!$C$1,1+(('table for research'!$B260-1)*36+HEX2DEC('table for research'!V$1))*2,2)</f>
        <v>00</v>
      </c>
      <c r="W260" t="str">
        <f>MID('paste from garc here'!$C$1,1+(('table for research'!$B260-1)*36+HEX2DEC('table for research'!W$1))*2,2)</f>
        <v>00</v>
      </c>
      <c r="X260" t="str">
        <f>MID('paste from garc here'!$C$1,1+(('table for research'!$B260-1)*36+HEX2DEC('table for research'!X$1))*2,2)</f>
        <v>00</v>
      </c>
      <c r="Y260" t="str">
        <f>MID('paste from garc here'!$C$1,1+(('table for research'!$B260-1)*36+HEX2DEC('table for research'!Y$1))*2,2)</f>
        <v>00</v>
      </c>
      <c r="Z260" t="str">
        <f>MID('paste from garc here'!$C$1,1+(('table for research'!$B260-1)*36+HEX2DEC('table for research'!Z$1))*2,2)</f>
        <v>00</v>
      </c>
      <c r="AA260" t="str">
        <f>MID('paste from garc here'!$C$1,1+(('table for research'!$B260-1)*36+HEX2DEC('table for research'!AA$1))*2,2)</f>
        <v>00</v>
      </c>
      <c r="AB260" t="str">
        <f>MID('paste from garc here'!$C$1,1+(('table for research'!$B260-1)*36+HEX2DEC('table for research'!AB$1))*2,2)</f>
        <v>00</v>
      </c>
      <c r="AC260" t="str">
        <f>MID('paste from garc here'!$C$1,1+(('table for research'!$B260-1)*36+HEX2DEC('table for research'!AC$1))*2,2)</f>
        <v>00</v>
      </c>
      <c r="AD260" t="str">
        <f>MID('paste from garc here'!$C$1,1+(('table for research'!$B260-1)*36+HEX2DEC('table for research'!AD$1))*2,2)</f>
        <v>00</v>
      </c>
      <c r="AE260" t="str">
        <f>MID('paste from garc here'!$C$1,1+(('table for research'!$B260-1)*36+HEX2DEC('table for research'!AE$1))*2,2)</f>
        <v>00</v>
      </c>
      <c r="AF260" t="str">
        <f>MID('paste from garc here'!$C$1,1+(('table for research'!$B260-1)*36+HEX2DEC('table for research'!AF$1))*2,2)</f>
        <v>00</v>
      </c>
      <c r="AG260" t="str">
        <f>MID('paste from garc here'!$C$1,1+(('table for research'!$B260-1)*36+HEX2DEC('table for research'!AG$1))*2,2)</f>
        <v>00</v>
      </c>
      <c r="AH260" t="str">
        <f>MID('paste from garc here'!$C$1,1+(('table for research'!$B260-1)*36+HEX2DEC('table for research'!AH$1))*2,2)</f>
        <v>00</v>
      </c>
      <c r="AI260" t="str">
        <f>MID('paste from garc here'!$C$1,1+(('table for research'!$B260-1)*36+HEX2DEC('table for research'!AI$1))*2,2)</f>
        <v>00</v>
      </c>
      <c r="AJ260" t="str">
        <f>MID('paste from garc here'!$C$1,1+(('table for research'!$B260-1)*36+HEX2DEC('table for research'!AJ$1))*2,2)</f>
        <v>00</v>
      </c>
      <c r="AK260" t="str">
        <f>MID('paste from garc here'!$C$1,1+(('table for research'!$B260-1)*36+HEX2DEC('table for research'!AK$1))*2,2)</f>
        <v>00</v>
      </c>
      <c r="AL260" t="str">
        <f>MID('paste from garc here'!$C$1,1+(('table for research'!$B260-1)*36+HEX2DEC('table for research'!AL$1))*2,2)</f>
        <v>00</v>
      </c>
      <c r="AM260" t="str">
        <f>MID('paste from garc here'!$C$1,1+(('table for research'!$B260-1)*36+HEX2DEC('table for research'!AM$1))*2,2)</f>
        <v>00</v>
      </c>
      <c r="AN260" t="str">
        <f>MID('paste from garc here'!$C$1,1+(('table for research'!$B260-1)*36+HEX2DEC('table for research'!AN$1))*2,2)</f>
        <v>00</v>
      </c>
      <c r="AO260" t="str">
        <f>MID('paste from garc here'!$C$1,1+(('table for research'!$B260-1)*36+HEX2DEC('table for research'!AO$1))*2,2)</f>
        <v>00</v>
      </c>
    </row>
    <row r="261" spans="1:41" x14ac:dyDescent="0.4">
      <c r="A261" t="s">
        <v>264</v>
      </c>
      <c r="B261">
        <f>B260+1</f>
        <v>259</v>
      </c>
      <c r="C261" t="str">
        <f>MID('paste from garc here'!$C$1,1+(('table for research'!$B261-1)*36+HEX2DEC('table for research'!C$1))*2,2)</f>
        <v>64</v>
      </c>
      <c r="D261" t="str">
        <f>MID('paste from garc here'!$C$1,1+(('table for research'!$B261-1)*36+HEX2DEC('table for research'!D$1))*2,2)</f>
        <v>00</v>
      </c>
      <c r="E261" t="str">
        <f>MID('paste from garc here'!$C$1,1+(('table for research'!$B261-1)*36+HEX2DEC('table for research'!E$1))*2,2)</f>
        <v>5B</v>
      </c>
      <c r="F261" t="str">
        <f>MID('paste from garc here'!$C$1,1+(('table for research'!$B261-1)*36+HEX2DEC('table for research'!F$1))*2,2)</f>
        <v>00</v>
      </c>
      <c r="G261" t="str">
        <f>MID('paste from garc here'!$C$1,1+(('table for research'!$B261-1)*36+HEX2DEC('table for research'!G$1))*2,2)</f>
        <v>00</v>
      </c>
      <c r="H261" t="str">
        <f>MID('paste from garc here'!$C$1,1+(('table for research'!$B261-1)*36+HEX2DEC('table for research'!H$1))*2,2)</f>
        <v>00</v>
      </c>
      <c r="I261" t="str">
        <f>MID('paste from garc here'!$C$1,1+(('table for research'!$B261-1)*36+HEX2DEC('table for research'!I$1))*2,2)</f>
        <v>3C</v>
      </c>
      <c r="J261" t="str">
        <f>MID('paste from garc here'!$C$1,1+(('table for research'!$B261-1)*36+HEX2DEC('table for research'!J$1))*2,2)</f>
        <v>00</v>
      </c>
      <c r="K261" t="str">
        <f>DEC2HEX(_xlfn.BITAND(HEX2DEC(MID('paste from garc here'!$C$1,1+(('table for research'!$B261-1)*36+HEX2DEC(8))*2,2)),31),2)</f>
        <v>1F</v>
      </c>
      <c r="L261" t="str">
        <f>DEC2HEX(_xlfn.BITAND(HEX2DEC(MID('paste from garc here'!$C$1,1+(('table for research'!$B261-1)*36+HEX2DEC(8))*2,2)),32),2)</f>
        <v>00</v>
      </c>
      <c r="M261" t="str">
        <f>DEC2HEX(_xlfn.BITAND(HEX2DEC(MID('paste from garc here'!$C$1,1+(('table for research'!$B261-1)*36+HEX2DEC(8))*2,2)),64),2)</f>
        <v>00</v>
      </c>
      <c r="N261" t="str">
        <f>DEC2HEX(_xlfn.BITRSHIFT(_xlfn.BITAND(HEX2DEC(MID('paste from garc here'!$C$1,1+(('table for research'!$B261-1)*36+HEX2DEC(9))*2,2)&amp;MID('paste from garc here'!$C$1,1+(('table for research'!$B261-1)*36+HEX2DEC(8))*2,2)),1920),7),2)</f>
        <v>00</v>
      </c>
      <c r="O261" t="str">
        <f>DEC2HEX(_xlfn.BITRSHIFT(HEX2DEC(MID('paste from garc here'!$C$1,1+(('table for research'!$B261-1)*36+HEX2DEC(9))*2,2)&amp;MID('paste from garc here'!$C$1,1+(('table for research'!$B261-1)*36+HEX2DEC(8))*2,2)),11),2)</f>
        <v>00</v>
      </c>
      <c r="P261" t="str">
        <f>MID('paste from garc here'!$C$1,1+(('table for research'!$B261-1)*36+HEX2DEC('table for research'!P$1))*2,2)</f>
        <v>00</v>
      </c>
      <c r="Q261" t="str">
        <f>MID('paste from garc here'!$C$1,1+(('table for research'!$B261-1)*36+HEX2DEC('table for research'!Q$1))*2,2)</f>
        <v>00</v>
      </c>
      <c r="R261" t="str">
        <f>MID('paste from garc here'!$C$1,1+(('table for research'!$B261-1)*36+HEX2DEC('table for research'!R$1))*2,2)</f>
        <v>00</v>
      </c>
      <c r="S261" t="str">
        <f>MID('paste from garc here'!$C$1,1+(('table for research'!$B261-1)*36+HEX2DEC('table for research'!S$1))*2,2)</f>
        <v>01</v>
      </c>
      <c r="T261" t="str">
        <f>MID('paste from garc here'!$C$1,1+(('table for research'!$B261-1)*36+HEX2DEC('table for research'!T$1))*2,2)</f>
        <v>00</v>
      </c>
      <c r="U261" t="str">
        <f>MID('paste from garc here'!$C$1,1+(('table for research'!$B261-1)*36+HEX2DEC('table for research'!U$1))*2,2)</f>
        <v>3B</v>
      </c>
      <c r="V261" t="str">
        <f>MID('paste from garc here'!$C$1,1+(('table for research'!$B261-1)*36+HEX2DEC('table for research'!V$1))*2,2)</f>
        <v>00</v>
      </c>
      <c r="W261" t="str">
        <f>MID('paste from garc here'!$C$1,1+(('table for research'!$B261-1)*36+HEX2DEC('table for research'!W$1))*2,2)</f>
        <v>00</v>
      </c>
      <c r="X261" t="str">
        <f>MID('paste from garc here'!$C$1,1+(('table for research'!$B261-1)*36+HEX2DEC('table for research'!X$1))*2,2)</f>
        <v>00</v>
      </c>
      <c r="Y261" t="str">
        <f>MID('paste from garc here'!$C$1,1+(('table for research'!$B261-1)*36+HEX2DEC('table for research'!Y$1))*2,2)</f>
        <v>00</v>
      </c>
      <c r="Z261" t="str">
        <f>MID('paste from garc here'!$C$1,1+(('table for research'!$B261-1)*36+HEX2DEC('table for research'!Z$1))*2,2)</f>
        <v>00</v>
      </c>
      <c r="AA261" t="str">
        <f>MID('paste from garc here'!$C$1,1+(('table for research'!$B261-1)*36+HEX2DEC('table for research'!AA$1))*2,2)</f>
        <v>00</v>
      </c>
      <c r="AB261" t="str">
        <f>MID('paste from garc here'!$C$1,1+(('table for research'!$B261-1)*36+HEX2DEC('table for research'!AB$1))*2,2)</f>
        <v>00</v>
      </c>
      <c r="AC261" t="str">
        <f>MID('paste from garc here'!$C$1,1+(('table for research'!$B261-1)*36+HEX2DEC('table for research'!AC$1))*2,2)</f>
        <v>00</v>
      </c>
      <c r="AD261" t="str">
        <f>MID('paste from garc here'!$C$1,1+(('table for research'!$B261-1)*36+HEX2DEC('table for research'!AD$1))*2,2)</f>
        <v>00</v>
      </c>
      <c r="AE261" t="str">
        <f>MID('paste from garc here'!$C$1,1+(('table for research'!$B261-1)*36+HEX2DEC('table for research'!AE$1))*2,2)</f>
        <v>00</v>
      </c>
      <c r="AF261" t="str">
        <f>MID('paste from garc here'!$C$1,1+(('table for research'!$B261-1)*36+HEX2DEC('table for research'!AF$1))*2,2)</f>
        <v>00</v>
      </c>
      <c r="AG261" t="str">
        <f>MID('paste from garc here'!$C$1,1+(('table for research'!$B261-1)*36+HEX2DEC('table for research'!AG$1))*2,2)</f>
        <v>00</v>
      </c>
      <c r="AH261" t="str">
        <f>MID('paste from garc here'!$C$1,1+(('table for research'!$B261-1)*36+HEX2DEC('table for research'!AH$1))*2,2)</f>
        <v>00</v>
      </c>
      <c r="AI261" t="str">
        <f>MID('paste from garc here'!$C$1,1+(('table for research'!$B261-1)*36+HEX2DEC('table for research'!AI$1))*2,2)</f>
        <v>00</v>
      </c>
      <c r="AJ261" t="str">
        <f>MID('paste from garc here'!$C$1,1+(('table for research'!$B261-1)*36+HEX2DEC('table for research'!AJ$1))*2,2)</f>
        <v>00</v>
      </c>
      <c r="AK261" t="str">
        <f>MID('paste from garc here'!$C$1,1+(('table for research'!$B261-1)*36+HEX2DEC('table for research'!AK$1))*2,2)</f>
        <v>00</v>
      </c>
      <c r="AL261" t="str">
        <f>MID('paste from garc here'!$C$1,1+(('table for research'!$B261-1)*36+HEX2DEC('table for research'!AL$1))*2,2)</f>
        <v>00</v>
      </c>
      <c r="AM261" t="str">
        <f>MID('paste from garc here'!$C$1,1+(('table for research'!$B261-1)*36+HEX2DEC('table for research'!AM$1))*2,2)</f>
        <v>00</v>
      </c>
      <c r="AN261" t="str">
        <f>MID('paste from garc here'!$C$1,1+(('table for research'!$B261-1)*36+HEX2DEC('table for research'!AN$1))*2,2)</f>
        <v>00</v>
      </c>
      <c r="AO261" t="str">
        <f>MID('paste from garc here'!$C$1,1+(('table for research'!$B261-1)*36+HEX2DEC('table for research'!AO$1))*2,2)</f>
        <v>00</v>
      </c>
    </row>
    <row r="262" spans="1:41" x14ac:dyDescent="0.4">
      <c r="A262" t="s">
        <v>265</v>
      </c>
      <c r="B262">
        <f>B261+1</f>
        <v>260</v>
      </c>
      <c r="C262" t="str">
        <f>MID('paste from garc here'!$C$1,1+(('table for research'!$B262-1)*36+HEX2DEC('table for research'!C$1))*2,2)</f>
        <v>0A</v>
      </c>
      <c r="D262" t="str">
        <f>MID('paste from garc here'!$C$1,1+(('table for research'!$B262-1)*36+HEX2DEC('table for research'!D$1))*2,2)</f>
        <v>00</v>
      </c>
      <c r="E262" t="str">
        <f>MID('paste from garc here'!$C$1,1+(('table for research'!$B262-1)*36+HEX2DEC('table for research'!E$1))*2,2)</f>
        <v>00</v>
      </c>
      <c r="F262" t="str">
        <f>MID('paste from garc here'!$C$1,1+(('table for research'!$B262-1)*36+HEX2DEC('table for research'!F$1))*2,2)</f>
        <v>00</v>
      </c>
      <c r="G262" t="str">
        <f>MID('paste from garc here'!$C$1,1+(('table for research'!$B262-1)*36+HEX2DEC('table for research'!G$1))*2,2)</f>
        <v>00</v>
      </c>
      <c r="H262" t="str">
        <f>MID('paste from garc here'!$C$1,1+(('table for research'!$B262-1)*36+HEX2DEC('table for research'!H$1))*2,2)</f>
        <v>00</v>
      </c>
      <c r="I262" t="str">
        <f>MID('paste from garc here'!$C$1,1+(('table for research'!$B262-1)*36+HEX2DEC('table for research'!I$1))*2,2)</f>
        <v>0A</v>
      </c>
      <c r="J262" t="str">
        <f>MID('paste from garc here'!$C$1,1+(('table for research'!$B262-1)*36+HEX2DEC('table for research'!J$1))*2,2)</f>
        <v>00</v>
      </c>
      <c r="K262" t="str">
        <f>DEC2HEX(_xlfn.BITAND(HEX2DEC(MID('paste from garc here'!$C$1,1+(('table for research'!$B262-1)*36+HEX2DEC(8))*2,2)),31),2)</f>
        <v>1F</v>
      </c>
      <c r="L262" t="str">
        <f>DEC2HEX(_xlfn.BITAND(HEX2DEC(MID('paste from garc here'!$C$1,1+(('table for research'!$B262-1)*36+HEX2DEC(8))*2,2)),32),2)</f>
        <v>00</v>
      </c>
      <c r="M262" t="str">
        <f>DEC2HEX(_xlfn.BITAND(HEX2DEC(MID('paste from garc here'!$C$1,1+(('table for research'!$B262-1)*36+HEX2DEC(8))*2,2)),64),2)</f>
        <v>00</v>
      </c>
      <c r="N262" t="str">
        <f>DEC2HEX(_xlfn.BITRSHIFT(_xlfn.BITAND(HEX2DEC(MID('paste from garc here'!$C$1,1+(('table for research'!$B262-1)*36+HEX2DEC(9))*2,2)&amp;MID('paste from garc here'!$C$1,1+(('table for research'!$B262-1)*36+HEX2DEC(8))*2,2)),1920),7),2)</f>
        <v>00</v>
      </c>
      <c r="O262" t="str">
        <f>DEC2HEX(_xlfn.BITRSHIFT(HEX2DEC(MID('paste from garc here'!$C$1,1+(('table for research'!$B262-1)*36+HEX2DEC(9))*2,2)&amp;MID('paste from garc here'!$C$1,1+(('table for research'!$B262-1)*36+HEX2DEC(8))*2,2)),11),2)</f>
        <v>00</v>
      </c>
      <c r="P262" t="str">
        <f>MID('paste from garc here'!$C$1,1+(('table for research'!$B262-1)*36+HEX2DEC('table for research'!P$1))*2,2)</f>
        <v>00</v>
      </c>
      <c r="Q262" t="str">
        <f>MID('paste from garc here'!$C$1,1+(('table for research'!$B262-1)*36+HEX2DEC('table for research'!Q$1))*2,2)</f>
        <v>00</v>
      </c>
      <c r="R262" t="str">
        <f>MID('paste from garc here'!$C$1,1+(('table for research'!$B262-1)*36+HEX2DEC('table for research'!R$1))*2,2)</f>
        <v>00</v>
      </c>
      <c r="S262" t="str">
        <f>MID('paste from garc here'!$C$1,1+(('table for research'!$B262-1)*36+HEX2DEC('table for research'!S$1))*2,2)</f>
        <v>01</v>
      </c>
      <c r="T262" t="str">
        <f>MID('paste from garc here'!$C$1,1+(('table for research'!$B262-1)*36+HEX2DEC('table for research'!T$1))*2,2)</f>
        <v>00</v>
      </c>
      <c r="U262" t="str">
        <f>MID('paste from garc here'!$C$1,1+(('table for research'!$B262-1)*36+HEX2DEC('table for research'!U$1))*2,2)</f>
        <v>6B</v>
      </c>
      <c r="V262" t="str">
        <f>MID('paste from garc here'!$C$1,1+(('table for research'!$B262-1)*36+HEX2DEC('table for research'!V$1))*2,2)</f>
        <v>00</v>
      </c>
      <c r="W262" t="str">
        <f>MID('paste from garc here'!$C$1,1+(('table for research'!$B262-1)*36+HEX2DEC('table for research'!W$1))*2,2)</f>
        <v>00</v>
      </c>
      <c r="X262" t="str">
        <f>MID('paste from garc here'!$C$1,1+(('table for research'!$B262-1)*36+HEX2DEC('table for research'!X$1))*2,2)</f>
        <v>00</v>
      </c>
      <c r="Y262" t="str">
        <f>MID('paste from garc here'!$C$1,1+(('table for research'!$B262-1)*36+HEX2DEC('table for research'!Y$1))*2,2)</f>
        <v>00</v>
      </c>
      <c r="Z262" t="str">
        <f>MID('paste from garc here'!$C$1,1+(('table for research'!$B262-1)*36+HEX2DEC('table for research'!Z$1))*2,2)</f>
        <v>00</v>
      </c>
      <c r="AA262" t="str">
        <f>MID('paste from garc here'!$C$1,1+(('table for research'!$B262-1)*36+HEX2DEC('table for research'!AA$1))*2,2)</f>
        <v>00</v>
      </c>
      <c r="AB262" t="str">
        <f>MID('paste from garc here'!$C$1,1+(('table for research'!$B262-1)*36+HEX2DEC('table for research'!AB$1))*2,2)</f>
        <v>00</v>
      </c>
      <c r="AC262" t="str">
        <f>MID('paste from garc here'!$C$1,1+(('table for research'!$B262-1)*36+HEX2DEC('table for research'!AC$1))*2,2)</f>
        <v>00</v>
      </c>
      <c r="AD262" t="str">
        <f>MID('paste from garc here'!$C$1,1+(('table for research'!$B262-1)*36+HEX2DEC('table for research'!AD$1))*2,2)</f>
        <v>00</v>
      </c>
      <c r="AE262" t="str">
        <f>MID('paste from garc here'!$C$1,1+(('table for research'!$B262-1)*36+HEX2DEC('table for research'!AE$1))*2,2)</f>
        <v>00</v>
      </c>
      <c r="AF262" t="str">
        <f>MID('paste from garc here'!$C$1,1+(('table for research'!$B262-1)*36+HEX2DEC('table for research'!AF$1))*2,2)</f>
        <v>00</v>
      </c>
      <c r="AG262" t="str">
        <f>MID('paste from garc here'!$C$1,1+(('table for research'!$B262-1)*36+HEX2DEC('table for research'!AG$1))*2,2)</f>
        <v>00</v>
      </c>
      <c r="AH262" t="str">
        <f>MID('paste from garc here'!$C$1,1+(('table for research'!$B262-1)*36+HEX2DEC('table for research'!AH$1))*2,2)</f>
        <v>00</v>
      </c>
      <c r="AI262" t="str">
        <f>MID('paste from garc here'!$C$1,1+(('table for research'!$B262-1)*36+HEX2DEC('table for research'!AI$1))*2,2)</f>
        <v>00</v>
      </c>
      <c r="AJ262" t="str">
        <f>MID('paste from garc here'!$C$1,1+(('table for research'!$B262-1)*36+HEX2DEC('table for research'!AJ$1))*2,2)</f>
        <v>00</v>
      </c>
      <c r="AK262" t="str">
        <f>MID('paste from garc here'!$C$1,1+(('table for research'!$B262-1)*36+HEX2DEC('table for research'!AK$1))*2,2)</f>
        <v>00</v>
      </c>
      <c r="AL262" t="str">
        <f>MID('paste from garc here'!$C$1,1+(('table for research'!$B262-1)*36+HEX2DEC('table for research'!AL$1))*2,2)</f>
        <v>00</v>
      </c>
      <c r="AM262" t="str">
        <f>MID('paste from garc here'!$C$1,1+(('table for research'!$B262-1)*36+HEX2DEC('table for research'!AM$1))*2,2)</f>
        <v>00</v>
      </c>
      <c r="AN262" t="str">
        <f>MID('paste from garc here'!$C$1,1+(('table for research'!$B262-1)*36+HEX2DEC('table for research'!AN$1))*2,2)</f>
        <v>00</v>
      </c>
      <c r="AO262" t="str">
        <f>MID('paste from garc here'!$C$1,1+(('table for research'!$B262-1)*36+HEX2DEC('table for research'!AO$1))*2,2)</f>
        <v>00</v>
      </c>
    </row>
    <row r="263" spans="1:41" x14ac:dyDescent="0.4">
      <c r="A263" t="s">
        <v>266</v>
      </c>
      <c r="B263">
        <f>B262+1</f>
        <v>261</v>
      </c>
      <c r="C263" t="str">
        <f>MID('paste from garc here'!$C$1,1+(('table for research'!$B263-1)*36+HEX2DEC('table for research'!C$1))*2,2)</f>
        <v>0A</v>
      </c>
      <c r="D263" t="str">
        <f>MID('paste from garc here'!$C$1,1+(('table for research'!$B263-1)*36+HEX2DEC('table for research'!D$1))*2,2)</f>
        <v>00</v>
      </c>
      <c r="E263" t="str">
        <f>MID('paste from garc here'!$C$1,1+(('table for research'!$B263-1)*36+HEX2DEC('table for research'!E$1))*2,2)</f>
        <v>00</v>
      </c>
      <c r="F263" t="str">
        <f>MID('paste from garc here'!$C$1,1+(('table for research'!$B263-1)*36+HEX2DEC('table for research'!F$1))*2,2)</f>
        <v>00</v>
      </c>
      <c r="G263" t="str">
        <f>MID('paste from garc here'!$C$1,1+(('table for research'!$B263-1)*36+HEX2DEC('table for research'!G$1))*2,2)</f>
        <v>00</v>
      </c>
      <c r="H263" t="str">
        <f>MID('paste from garc here'!$C$1,1+(('table for research'!$B263-1)*36+HEX2DEC('table for research'!H$1))*2,2)</f>
        <v>00</v>
      </c>
      <c r="I263" t="str">
        <f>MID('paste from garc here'!$C$1,1+(('table for research'!$B263-1)*36+HEX2DEC('table for research'!I$1))*2,2)</f>
        <v>0A</v>
      </c>
      <c r="J263" t="str">
        <f>MID('paste from garc here'!$C$1,1+(('table for research'!$B263-1)*36+HEX2DEC('table for research'!J$1))*2,2)</f>
        <v>00</v>
      </c>
      <c r="K263" t="str">
        <f>DEC2HEX(_xlfn.BITAND(HEX2DEC(MID('paste from garc here'!$C$1,1+(('table for research'!$B263-1)*36+HEX2DEC(8))*2,2)),31),2)</f>
        <v>1F</v>
      </c>
      <c r="L263" t="str">
        <f>DEC2HEX(_xlfn.BITAND(HEX2DEC(MID('paste from garc here'!$C$1,1+(('table for research'!$B263-1)*36+HEX2DEC(8))*2,2)),32),2)</f>
        <v>00</v>
      </c>
      <c r="M263" t="str">
        <f>DEC2HEX(_xlfn.BITAND(HEX2DEC(MID('paste from garc here'!$C$1,1+(('table for research'!$B263-1)*36+HEX2DEC(8))*2,2)),64),2)</f>
        <v>00</v>
      </c>
      <c r="N263" t="str">
        <f>DEC2HEX(_xlfn.BITRSHIFT(_xlfn.BITAND(HEX2DEC(MID('paste from garc here'!$C$1,1+(('table for research'!$B263-1)*36+HEX2DEC(9))*2,2)&amp;MID('paste from garc here'!$C$1,1+(('table for research'!$B263-1)*36+HEX2DEC(8))*2,2)),1920),7),2)</f>
        <v>00</v>
      </c>
      <c r="O263" t="str">
        <f>DEC2HEX(_xlfn.BITRSHIFT(HEX2DEC(MID('paste from garc here'!$C$1,1+(('table for research'!$B263-1)*36+HEX2DEC(9))*2,2)&amp;MID('paste from garc here'!$C$1,1+(('table for research'!$B263-1)*36+HEX2DEC(8))*2,2)),11),2)</f>
        <v>00</v>
      </c>
      <c r="P263" t="str">
        <f>MID('paste from garc here'!$C$1,1+(('table for research'!$B263-1)*36+HEX2DEC('table for research'!P$1))*2,2)</f>
        <v>00</v>
      </c>
      <c r="Q263" t="str">
        <f>MID('paste from garc here'!$C$1,1+(('table for research'!$B263-1)*36+HEX2DEC('table for research'!Q$1))*2,2)</f>
        <v>00</v>
      </c>
      <c r="R263" t="str">
        <f>MID('paste from garc here'!$C$1,1+(('table for research'!$B263-1)*36+HEX2DEC('table for research'!R$1))*2,2)</f>
        <v>00</v>
      </c>
      <c r="S263" t="str">
        <f>MID('paste from garc here'!$C$1,1+(('table for research'!$B263-1)*36+HEX2DEC('table for research'!S$1))*2,2)</f>
        <v>01</v>
      </c>
      <c r="T263" t="str">
        <f>MID('paste from garc here'!$C$1,1+(('table for research'!$B263-1)*36+HEX2DEC('table for research'!T$1))*2,2)</f>
        <v>00</v>
      </c>
      <c r="U263" t="str">
        <f>MID('paste from garc here'!$C$1,1+(('table for research'!$B263-1)*36+HEX2DEC('table for research'!U$1))*2,2)</f>
        <v>6C</v>
      </c>
      <c r="V263" t="str">
        <f>MID('paste from garc here'!$C$1,1+(('table for research'!$B263-1)*36+HEX2DEC('table for research'!V$1))*2,2)</f>
        <v>00</v>
      </c>
      <c r="W263" t="str">
        <f>MID('paste from garc here'!$C$1,1+(('table for research'!$B263-1)*36+HEX2DEC('table for research'!W$1))*2,2)</f>
        <v>00</v>
      </c>
      <c r="X263" t="str">
        <f>MID('paste from garc here'!$C$1,1+(('table for research'!$B263-1)*36+HEX2DEC('table for research'!X$1))*2,2)</f>
        <v>00</v>
      </c>
      <c r="Y263" t="str">
        <f>MID('paste from garc here'!$C$1,1+(('table for research'!$B263-1)*36+HEX2DEC('table for research'!Y$1))*2,2)</f>
        <v>00</v>
      </c>
      <c r="Z263" t="str">
        <f>MID('paste from garc here'!$C$1,1+(('table for research'!$B263-1)*36+HEX2DEC('table for research'!Z$1))*2,2)</f>
        <v>00</v>
      </c>
      <c r="AA263" t="str">
        <f>MID('paste from garc here'!$C$1,1+(('table for research'!$B263-1)*36+HEX2DEC('table for research'!AA$1))*2,2)</f>
        <v>00</v>
      </c>
      <c r="AB263" t="str">
        <f>MID('paste from garc here'!$C$1,1+(('table for research'!$B263-1)*36+HEX2DEC('table for research'!AB$1))*2,2)</f>
        <v>00</v>
      </c>
      <c r="AC263" t="str">
        <f>MID('paste from garc here'!$C$1,1+(('table for research'!$B263-1)*36+HEX2DEC('table for research'!AC$1))*2,2)</f>
        <v>00</v>
      </c>
      <c r="AD263" t="str">
        <f>MID('paste from garc here'!$C$1,1+(('table for research'!$B263-1)*36+HEX2DEC('table for research'!AD$1))*2,2)</f>
        <v>00</v>
      </c>
      <c r="AE263" t="str">
        <f>MID('paste from garc here'!$C$1,1+(('table for research'!$B263-1)*36+HEX2DEC('table for research'!AE$1))*2,2)</f>
        <v>00</v>
      </c>
      <c r="AF263" t="str">
        <f>MID('paste from garc here'!$C$1,1+(('table for research'!$B263-1)*36+HEX2DEC('table for research'!AF$1))*2,2)</f>
        <v>00</v>
      </c>
      <c r="AG263" t="str">
        <f>MID('paste from garc here'!$C$1,1+(('table for research'!$B263-1)*36+HEX2DEC('table for research'!AG$1))*2,2)</f>
        <v>00</v>
      </c>
      <c r="AH263" t="str">
        <f>MID('paste from garc here'!$C$1,1+(('table for research'!$B263-1)*36+HEX2DEC('table for research'!AH$1))*2,2)</f>
        <v>00</v>
      </c>
      <c r="AI263" t="str">
        <f>MID('paste from garc here'!$C$1,1+(('table for research'!$B263-1)*36+HEX2DEC('table for research'!AI$1))*2,2)</f>
        <v>00</v>
      </c>
      <c r="AJ263" t="str">
        <f>MID('paste from garc here'!$C$1,1+(('table for research'!$B263-1)*36+HEX2DEC('table for research'!AJ$1))*2,2)</f>
        <v>00</v>
      </c>
      <c r="AK263" t="str">
        <f>MID('paste from garc here'!$C$1,1+(('table for research'!$B263-1)*36+HEX2DEC('table for research'!AK$1))*2,2)</f>
        <v>00</v>
      </c>
      <c r="AL263" t="str">
        <f>MID('paste from garc here'!$C$1,1+(('table for research'!$B263-1)*36+HEX2DEC('table for research'!AL$1))*2,2)</f>
        <v>00</v>
      </c>
      <c r="AM263" t="str">
        <f>MID('paste from garc here'!$C$1,1+(('table for research'!$B263-1)*36+HEX2DEC('table for research'!AM$1))*2,2)</f>
        <v>00</v>
      </c>
      <c r="AN263" t="str">
        <f>MID('paste from garc here'!$C$1,1+(('table for research'!$B263-1)*36+HEX2DEC('table for research'!AN$1))*2,2)</f>
        <v>00</v>
      </c>
      <c r="AO263" t="str">
        <f>MID('paste from garc here'!$C$1,1+(('table for research'!$B263-1)*36+HEX2DEC('table for research'!AO$1))*2,2)</f>
        <v>00</v>
      </c>
    </row>
    <row r="264" spans="1:41" x14ac:dyDescent="0.4">
      <c r="A264" t="s">
        <v>267</v>
      </c>
      <c r="B264">
        <f>B263+1</f>
        <v>262</v>
      </c>
      <c r="C264" t="str">
        <f>MID('paste from garc here'!$C$1,1+(('table for research'!$B264-1)*36+HEX2DEC('table for research'!C$1))*2,2)</f>
        <v>0A</v>
      </c>
      <c r="D264" t="str">
        <f>MID('paste from garc here'!$C$1,1+(('table for research'!$B264-1)*36+HEX2DEC('table for research'!D$1))*2,2)</f>
        <v>00</v>
      </c>
      <c r="E264" t="str">
        <f>MID('paste from garc here'!$C$1,1+(('table for research'!$B264-1)*36+HEX2DEC('table for research'!E$1))*2,2)</f>
        <v>00</v>
      </c>
      <c r="F264" t="str">
        <f>MID('paste from garc here'!$C$1,1+(('table for research'!$B264-1)*36+HEX2DEC('table for research'!F$1))*2,2)</f>
        <v>00</v>
      </c>
      <c r="G264" t="str">
        <f>MID('paste from garc here'!$C$1,1+(('table for research'!$B264-1)*36+HEX2DEC('table for research'!G$1))*2,2)</f>
        <v>00</v>
      </c>
      <c r="H264" t="str">
        <f>MID('paste from garc here'!$C$1,1+(('table for research'!$B264-1)*36+HEX2DEC('table for research'!H$1))*2,2)</f>
        <v>00</v>
      </c>
      <c r="I264" t="str">
        <f>MID('paste from garc here'!$C$1,1+(('table for research'!$B264-1)*36+HEX2DEC('table for research'!I$1))*2,2)</f>
        <v>0A</v>
      </c>
      <c r="J264" t="str">
        <f>MID('paste from garc here'!$C$1,1+(('table for research'!$B264-1)*36+HEX2DEC('table for research'!J$1))*2,2)</f>
        <v>00</v>
      </c>
      <c r="K264" t="str">
        <f>DEC2HEX(_xlfn.BITAND(HEX2DEC(MID('paste from garc here'!$C$1,1+(('table for research'!$B264-1)*36+HEX2DEC(8))*2,2)),31),2)</f>
        <v>1F</v>
      </c>
      <c r="L264" t="str">
        <f>DEC2HEX(_xlfn.BITAND(HEX2DEC(MID('paste from garc here'!$C$1,1+(('table for research'!$B264-1)*36+HEX2DEC(8))*2,2)),32),2)</f>
        <v>00</v>
      </c>
      <c r="M264" t="str">
        <f>DEC2HEX(_xlfn.BITAND(HEX2DEC(MID('paste from garc here'!$C$1,1+(('table for research'!$B264-1)*36+HEX2DEC(8))*2,2)),64),2)</f>
        <v>00</v>
      </c>
      <c r="N264" t="str">
        <f>DEC2HEX(_xlfn.BITRSHIFT(_xlfn.BITAND(HEX2DEC(MID('paste from garc here'!$C$1,1+(('table for research'!$B264-1)*36+HEX2DEC(9))*2,2)&amp;MID('paste from garc here'!$C$1,1+(('table for research'!$B264-1)*36+HEX2DEC(8))*2,2)),1920),7),2)</f>
        <v>00</v>
      </c>
      <c r="O264" t="str">
        <f>DEC2HEX(_xlfn.BITRSHIFT(HEX2DEC(MID('paste from garc here'!$C$1,1+(('table for research'!$B264-1)*36+HEX2DEC(9))*2,2)&amp;MID('paste from garc here'!$C$1,1+(('table for research'!$B264-1)*36+HEX2DEC(8))*2,2)),11),2)</f>
        <v>00</v>
      </c>
      <c r="P264" t="str">
        <f>MID('paste from garc here'!$C$1,1+(('table for research'!$B264-1)*36+HEX2DEC('table for research'!P$1))*2,2)</f>
        <v>00</v>
      </c>
      <c r="Q264" t="str">
        <f>MID('paste from garc here'!$C$1,1+(('table for research'!$B264-1)*36+HEX2DEC('table for research'!Q$1))*2,2)</f>
        <v>00</v>
      </c>
      <c r="R264" t="str">
        <f>MID('paste from garc here'!$C$1,1+(('table for research'!$B264-1)*36+HEX2DEC('table for research'!R$1))*2,2)</f>
        <v>00</v>
      </c>
      <c r="S264" t="str">
        <f>MID('paste from garc here'!$C$1,1+(('table for research'!$B264-1)*36+HEX2DEC('table for research'!S$1))*2,2)</f>
        <v>01</v>
      </c>
      <c r="T264" t="str">
        <f>MID('paste from garc here'!$C$1,1+(('table for research'!$B264-1)*36+HEX2DEC('table for research'!T$1))*2,2)</f>
        <v>00</v>
      </c>
      <c r="U264" t="str">
        <f>MID('paste from garc here'!$C$1,1+(('table for research'!$B264-1)*36+HEX2DEC('table for research'!U$1))*2,2)</f>
        <v>6D</v>
      </c>
      <c r="V264" t="str">
        <f>MID('paste from garc here'!$C$1,1+(('table for research'!$B264-1)*36+HEX2DEC('table for research'!V$1))*2,2)</f>
        <v>00</v>
      </c>
      <c r="W264" t="str">
        <f>MID('paste from garc here'!$C$1,1+(('table for research'!$B264-1)*36+HEX2DEC('table for research'!W$1))*2,2)</f>
        <v>00</v>
      </c>
      <c r="X264" t="str">
        <f>MID('paste from garc here'!$C$1,1+(('table for research'!$B264-1)*36+HEX2DEC('table for research'!X$1))*2,2)</f>
        <v>00</v>
      </c>
      <c r="Y264" t="str">
        <f>MID('paste from garc here'!$C$1,1+(('table for research'!$B264-1)*36+HEX2DEC('table for research'!Y$1))*2,2)</f>
        <v>00</v>
      </c>
      <c r="Z264" t="str">
        <f>MID('paste from garc here'!$C$1,1+(('table for research'!$B264-1)*36+HEX2DEC('table for research'!Z$1))*2,2)</f>
        <v>00</v>
      </c>
      <c r="AA264" t="str">
        <f>MID('paste from garc here'!$C$1,1+(('table for research'!$B264-1)*36+HEX2DEC('table for research'!AA$1))*2,2)</f>
        <v>00</v>
      </c>
      <c r="AB264" t="str">
        <f>MID('paste from garc here'!$C$1,1+(('table for research'!$B264-1)*36+HEX2DEC('table for research'!AB$1))*2,2)</f>
        <v>00</v>
      </c>
      <c r="AC264" t="str">
        <f>MID('paste from garc here'!$C$1,1+(('table for research'!$B264-1)*36+HEX2DEC('table for research'!AC$1))*2,2)</f>
        <v>00</v>
      </c>
      <c r="AD264" t="str">
        <f>MID('paste from garc here'!$C$1,1+(('table for research'!$B264-1)*36+HEX2DEC('table for research'!AD$1))*2,2)</f>
        <v>00</v>
      </c>
      <c r="AE264" t="str">
        <f>MID('paste from garc here'!$C$1,1+(('table for research'!$B264-1)*36+HEX2DEC('table for research'!AE$1))*2,2)</f>
        <v>00</v>
      </c>
      <c r="AF264" t="str">
        <f>MID('paste from garc here'!$C$1,1+(('table for research'!$B264-1)*36+HEX2DEC('table for research'!AF$1))*2,2)</f>
        <v>00</v>
      </c>
      <c r="AG264" t="str">
        <f>MID('paste from garc here'!$C$1,1+(('table for research'!$B264-1)*36+HEX2DEC('table for research'!AG$1))*2,2)</f>
        <v>00</v>
      </c>
      <c r="AH264" t="str">
        <f>MID('paste from garc here'!$C$1,1+(('table for research'!$B264-1)*36+HEX2DEC('table for research'!AH$1))*2,2)</f>
        <v>00</v>
      </c>
      <c r="AI264" t="str">
        <f>MID('paste from garc here'!$C$1,1+(('table for research'!$B264-1)*36+HEX2DEC('table for research'!AI$1))*2,2)</f>
        <v>00</v>
      </c>
      <c r="AJ264" t="str">
        <f>MID('paste from garc here'!$C$1,1+(('table for research'!$B264-1)*36+HEX2DEC('table for research'!AJ$1))*2,2)</f>
        <v>00</v>
      </c>
      <c r="AK264" t="str">
        <f>MID('paste from garc here'!$C$1,1+(('table for research'!$B264-1)*36+HEX2DEC('table for research'!AK$1))*2,2)</f>
        <v>00</v>
      </c>
      <c r="AL264" t="str">
        <f>MID('paste from garc here'!$C$1,1+(('table for research'!$B264-1)*36+HEX2DEC('table for research'!AL$1))*2,2)</f>
        <v>00</v>
      </c>
      <c r="AM264" t="str">
        <f>MID('paste from garc here'!$C$1,1+(('table for research'!$B264-1)*36+HEX2DEC('table for research'!AM$1))*2,2)</f>
        <v>00</v>
      </c>
      <c r="AN264" t="str">
        <f>MID('paste from garc here'!$C$1,1+(('table for research'!$B264-1)*36+HEX2DEC('table for research'!AN$1))*2,2)</f>
        <v>00</v>
      </c>
      <c r="AO264" t="str">
        <f>MID('paste from garc here'!$C$1,1+(('table for research'!$B264-1)*36+HEX2DEC('table for research'!AO$1))*2,2)</f>
        <v>00</v>
      </c>
    </row>
    <row r="265" spans="1:41" x14ac:dyDescent="0.4">
      <c r="A265" t="s">
        <v>268</v>
      </c>
      <c r="B265">
        <f>B264+1</f>
        <v>263</v>
      </c>
      <c r="C265" t="str">
        <f>MID('paste from garc here'!$C$1,1+(('table for research'!$B265-1)*36+HEX2DEC('table for research'!C$1))*2,2)</f>
        <v>0A</v>
      </c>
      <c r="D265" t="str">
        <f>MID('paste from garc here'!$C$1,1+(('table for research'!$B265-1)*36+HEX2DEC('table for research'!D$1))*2,2)</f>
        <v>00</v>
      </c>
      <c r="E265" t="str">
        <f>MID('paste from garc here'!$C$1,1+(('table for research'!$B265-1)*36+HEX2DEC('table for research'!E$1))*2,2)</f>
        <v>00</v>
      </c>
      <c r="F265" t="str">
        <f>MID('paste from garc here'!$C$1,1+(('table for research'!$B265-1)*36+HEX2DEC('table for research'!F$1))*2,2)</f>
        <v>00</v>
      </c>
      <c r="G265" t="str">
        <f>MID('paste from garc here'!$C$1,1+(('table for research'!$B265-1)*36+HEX2DEC('table for research'!G$1))*2,2)</f>
        <v>00</v>
      </c>
      <c r="H265" t="str">
        <f>MID('paste from garc here'!$C$1,1+(('table for research'!$B265-1)*36+HEX2DEC('table for research'!H$1))*2,2)</f>
        <v>00</v>
      </c>
      <c r="I265" t="str">
        <f>MID('paste from garc here'!$C$1,1+(('table for research'!$B265-1)*36+HEX2DEC('table for research'!I$1))*2,2)</f>
        <v>0A</v>
      </c>
      <c r="J265" t="str">
        <f>MID('paste from garc here'!$C$1,1+(('table for research'!$B265-1)*36+HEX2DEC('table for research'!J$1))*2,2)</f>
        <v>00</v>
      </c>
      <c r="K265" t="str">
        <f>DEC2HEX(_xlfn.BITAND(HEX2DEC(MID('paste from garc here'!$C$1,1+(('table for research'!$B265-1)*36+HEX2DEC(8))*2,2)),31),2)</f>
        <v>1F</v>
      </c>
      <c r="L265" t="str">
        <f>DEC2HEX(_xlfn.BITAND(HEX2DEC(MID('paste from garc here'!$C$1,1+(('table for research'!$B265-1)*36+HEX2DEC(8))*2,2)),32),2)</f>
        <v>00</v>
      </c>
      <c r="M265" t="str">
        <f>DEC2HEX(_xlfn.BITAND(HEX2DEC(MID('paste from garc here'!$C$1,1+(('table for research'!$B265-1)*36+HEX2DEC(8))*2,2)),64),2)</f>
        <v>00</v>
      </c>
      <c r="N265" t="str">
        <f>DEC2HEX(_xlfn.BITRSHIFT(_xlfn.BITAND(HEX2DEC(MID('paste from garc here'!$C$1,1+(('table for research'!$B265-1)*36+HEX2DEC(9))*2,2)&amp;MID('paste from garc here'!$C$1,1+(('table for research'!$B265-1)*36+HEX2DEC(8))*2,2)),1920),7),2)</f>
        <v>00</v>
      </c>
      <c r="O265" t="str">
        <f>DEC2HEX(_xlfn.BITRSHIFT(HEX2DEC(MID('paste from garc here'!$C$1,1+(('table for research'!$B265-1)*36+HEX2DEC(9))*2,2)&amp;MID('paste from garc here'!$C$1,1+(('table for research'!$B265-1)*36+HEX2DEC(8))*2,2)),11),2)</f>
        <v>00</v>
      </c>
      <c r="P265" t="str">
        <f>MID('paste from garc here'!$C$1,1+(('table for research'!$B265-1)*36+HEX2DEC('table for research'!P$1))*2,2)</f>
        <v>00</v>
      </c>
      <c r="Q265" t="str">
        <f>MID('paste from garc here'!$C$1,1+(('table for research'!$B265-1)*36+HEX2DEC('table for research'!Q$1))*2,2)</f>
        <v>00</v>
      </c>
      <c r="R265" t="str">
        <f>MID('paste from garc here'!$C$1,1+(('table for research'!$B265-1)*36+HEX2DEC('table for research'!R$1))*2,2)</f>
        <v>00</v>
      </c>
      <c r="S265" t="str">
        <f>MID('paste from garc here'!$C$1,1+(('table for research'!$B265-1)*36+HEX2DEC('table for research'!S$1))*2,2)</f>
        <v>01</v>
      </c>
      <c r="T265" t="str">
        <f>MID('paste from garc here'!$C$1,1+(('table for research'!$B265-1)*36+HEX2DEC('table for research'!T$1))*2,2)</f>
        <v>00</v>
      </c>
      <c r="U265" t="str">
        <f>MID('paste from garc here'!$C$1,1+(('table for research'!$B265-1)*36+HEX2DEC('table for research'!U$1))*2,2)</f>
        <v>6E</v>
      </c>
      <c r="V265" t="str">
        <f>MID('paste from garc here'!$C$1,1+(('table for research'!$B265-1)*36+HEX2DEC('table for research'!V$1))*2,2)</f>
        <v>00</v>
      </c>
      <c r="W265" t="str">
        <f>MID('paste from garc here'!$C$1,1+(('table for research'!$B265-1)*36+HEX2DEC('table for research'!W$1))*2,2)</f>
        <v>00</v>
      </c>
      <c r="X265" t="str">
        <f>MID('paste from garc here'!$C$1,1+(('table for research'!$B265-1)*36+HEX2DEC('table for research'!X$1))*2,2)</f>
        <v>00</v>
      </c>
      <c r="Y265" t="str">
        <f>MID('paste from garc here'!$C$1,1+(('table for research'!$B265-1)*36+HEX2DEC('table for research'!Y$1))*2,2)</f>
        <v>00</v>
      </c>
      <c r="Z265" t="str">
        <f>MID('paste from garc here'!$C$1,1+(('table for research'!$B265-1)*36+HEX2DEC('table for research'!Z$1))*2,2)</f>
        <v>00</v>
      </c>
      <c r="AA265" t="str">
        <f>MID('paste from garc here'!$C$1,1+(('table for research'!$B265-1)*36+HEX2DEC('table for research'!AA$1))*2,2)</f>
        <v>00</v>
      </c>
      <c r="AB265" t="str">
        <f>MID('paste from garc here'!$C$1,1+(('table for research'!$B265-1)*36+HEX2DEC('table for research'!AB$1))*2,2)</f>
        <v>00</v>
      </c>
      <c r="AC265" t="str">
        <f>MID('paste from garc here'!$C$1,1+(('table for research'!$B265-1)*36+HEX2DEC('table for research'!AC$1))*2,2)</f>
        <v>00</v>
      </c>
      <c r="AD265" t="str">
        <f>MID('paste from garc here'!$C$1,1+(('table for research'!$B265-1)*36+HEX2DEC('table for research'!AD$1))*2,2)</f>
        <v>00</v>
      </c>
      <c r="AE265" t="str">
        <f>MID('paste from garc here'!$C$1,1+(('table for research'!$B265-1)*36+HEX2DEC('table for research'!AE$1))*2,2)</f>
        <v>00</v>
      </c>
      <c r="AF265" t="str">
        <f>MID('paste from garc here'!$C$1,1+(('table for research'!$B265-1)*36+HEX2DEC('table for research'!AF$1))*2,2)</f>
        <v>00</v>
      </c>
      <c r="AG265" t="str">
        <f>MID('paste from garc here'!$C$1,1+(('table for research'!$B265-1)*36+HEX2DEC('table for research'!AG$1))*2,2)</f>
        <v>00</v>
      </c>
      <c r="AH265" t="str">
        <f>MID('paste from garc here'!$C$1,1+(('table for research'!$B265-1)*36+HEX2DEC('table for research'!AH$1))*2,2)</f>
        <v>00</v>
      </c>
      <c r="AI265" t="str">
        <f>MID('paste from garc here'!$C$1,1+(('table for research'!$B265-1)*36+HEX2DEC('table for research'!AI$1))*2,2)</f>
        <v>00</v>
      </c>
      <c r="AJ265" t="str">
        <f>MID('paste from garc here'!$C$1,1+(('table for research'!$B265-1)*36+HEX2DEC('table for research'!AJ$1))*2,2)</f>
        <v>00</v>
      </c>
      <c r="AK265" t="str">
        <f>MID('paste from garc here'!$C$1,1+(('table for research'!$B265-1)*36+HEX2DEC('table for research'!AK$1))*2,2)</f>
        <v>00</v>
      </c>
      <c r="AL265" t="str">
        <f>MID('paste from garc here'!$C$1,1+(('table for research'!$B265-1)*36+HEX2DEC('table for research'!AL$1))*2,2)</f>
        <v>00</v>
      </c>
      <c r="AM265" t="str">
        <f>MID('paste from garc here'!$C$1,1+(('table for research'!$B265-1)*36+HEX2DEC('table for research'!AM$1))*2,2)</f>
        <v>00</v>
      </c>
      <c r="AN265" t="str">
        <f>MID('paste from garc here'!$C$1,1+(('table for research'!$B265-1)*36+HEX2DEC('table for research'!AN$1))*2,2)</f>
        <v>00</v>
      </c>
      <c r="AO265" t="str">
        <f>MID('paste from garc here'!$C$1,1+(('table for research'!$B265-1)*36+HEX2DEC('table for research'!AO$1))*2,2)</f>
        <v>00</v>
      </c>
    </row>
    <row r="266" spans="1:41" x14ac:dyDescent="0.4">
      <c r="A266" t="s">
        <v>269</v>
      </c>
      <c r="B266">
        <f>B265+1</f>
        <v>264</v>
      </c>
      <c r="C266" t="str">
        <f>MID('paste from garc here'!$C$1,1+(('table for research'!$B266-1)*36+HEX2DEC('table for research'!C$1))*2,2)</f>
        <v>0A</v>
      </c>
      <c r="D266" t="str">
        <f>MID('paste from garc here'!$C$1,1+(('table for research'!$B266-1)*36+HEX2DEC('table for research'!D$1))*2,2)</f>
        <v>00</v>
      </c>
      <c r="E266" t="str">
        <f>MID('paste from garc here'!$C$1,1+(('table for research'!$B266-1)*36+HEX2DEC('table for research'!E$1))*2,2)</f>
        <v>00</v>
      </c>
      <c r="F266" t="str">
        <f>MID('paste from garc here'!$C$1,1+(('table for research'!$B266-1)*36+HEX2DEC('table for research'!F$1))*2,2)</f>
        <v>00</v>
      </c>
      <c r="G266" t="str">
        <f>MID('paste from garc here'!$C$1,1+(('table for research'!$B266-1)*36+HEX2DEC('table for research'!G$1))*2,2)</f>
        <v>00</v>
      </c>
      <c r="H266" t="str">
        <f>MID('paste from garc here'!$C$1,1+(('table for research'!$B266-1)*36+HEX2DEC('table for research'!H$1))*2,2)</f>
        <v>00</v>
      </c>
      <c r="I266" t="str">
        <f>MID('paste from garc here'!$C$1,1+(('table for research'!$B266-1)*36+HEX2DEC('table for research'!I$1))*2,2)</f>
        <v>0A</v>
      </c>
      <c r="J266" t="str">
        <f>MID('paste from garc here'!$C$1,1+(('table for research'!$B266-1)*36+HEX2DEC('table for research'!J$1))*2,2)</f>
        <v>00</v>
      </c>
      <c r="K266" t="str">
        <f>DEC2HEX(_xlfn.BITAND(HEX2DEC(MID('paste from garc here'!$C$1,1+(('table for research'!$B266-1)*36+HEX2DEC(8))*2,2)),31),2)</f>
        <v>1F</v>
      </c>
      <c r="L266" t="str">
        <f>DEC2HEX(_xlfn.BITAND(HEX2DEC(MID('paste from garc here'!$C$1,1+(('table for research'!$B266-1)*36+HEX2DEC(8))*2,2)),32),2)</f>
        <v>00</v>
      </c>
      <c r="M266" t="str">
        <f>DEC2HEX(_xlfn.BITAND(HEX2DEC(MID('paste from garc here'!$C$1,1+(('table for research'!$B266-1)*36+HEX2DEC(8))*2,2)),64),2)</f>
        <v>00</v>
      </c>
      <c r="N266" t="str">
        <f>DEC2HEX(_xlfn.BITRSHIFT(_xlfn.BITAND(HEX2DEC(MID('paste from garc here'!$C$1,1+(('table for research'!$B266-1)*36+HEX2DEC(9))*2,2)&amp;MID('paste from garc here'!$C$1,1+(('table for research'!$B266-1)*36+HEX2DEC(8))*2,2)),1920),7),2)</f>
        <v>00</v>
      </c>
      <c r="O266" t="str">
        <f>DEC2HEX(_xlfn.BITRSHIFT(HEX2DEC(MID('paste from garc here'!$C$1,1+(('table for research'!$B266-1)*36+HEX2DEC(9))*2,2)&amp;MID('paste from garc here'!$C$1,1+(('table for research'!$B266-1)*36+HEX2DEC(8))*2,2)),11),2)</f>
        <v>00</v>
      </c>
      <c r="P266" t="str">
        <f>MID('paste from garc here'!$C$1,1+(('table for research'!$B266-1)*36+HEX2DEC('table for research'!P$1))*2,2)</f>
        <v>00</v>
      </c>
      <c r="Q266" t="str">
        <f>MID('paste from garc here'!$C$1,1+(('table for research'!$B266-1)*36+HEX2DEC('table for research'!Q$1))*2,2)</f>
        <v>00</v>
      </c>
      <c r="R266" t="str">
        <f>MID('paste from garc here'!$C$1,1+(('table for research'!$B266-1)*36+HEX2DEC('table for research'!R$1))*2,2)</f>
        <v>00</v>
      </c>
      <c r="S266" t="str">
        <f>MID('paste from garc here'!$C$1,1+(('table for research'!$B266-1)*36+HEX2DEC('table for research'!S$1))*2,2)</f>
        <v>01</v>
      </c>
      <c r="T266" t="str">
        <f>MID('paste from garc here'!$C$1,1+(('table for research'!$B266-1)*36+HEX2DEC('table for research'!T$1))*2,2)</f>
        <v>00</v>
      </c>
      <c r="U266" t="str">
        <f>MID('paste from garc here'!$C$1,1+(('table for research'!$B266-1)*36+HEX2DEC('table for research'!U$1))*2,2)</f>
        <v>6F</v>
      </c>
      <c r="V266" t="str">
        <f>MID('paste from garc here'!$C$1,1+(('table for research'!$B266-1)*36+HEX2DEC('table for research'!V$1))*2,2)</f>
        <v>00</v>
      </c>
      <c r="W266" t="str">
        <f>MID('paste from garc here'!$C$1,1+(('table for research'!$B266-1)*36+HEX2DEC('table for research'!W$1))*2,2)</f>
        <v>00</v>
      </c>
      <c r="X266" t="str">
        <f>MID('paste from garc here'!$C$1,1+(('table for research'!$B266-1)*36+HEX2DEC('table for research'!X$1))*2,2)</f>
        <v>00</v>
      </c>
      <c r="Y266" t="str">
        <f>MID('paste from garc here'!$C$1,1+(('table for research'!$B266-1)*36+HEX2DEC('table for research'!Y$1))*2,2)</f>
        <v>00</v>
      </c>
      <c r="Z266" t="str">
        <f>MID('paste from garc here'!$C$1,1+(('table for research'!$B266-1)*36+HEX2DEC('table for research'!Z$1))*2,2)</f>
        <v>00</v>
      </c>
      <c r="AA266" t="str">
        <f>MID('paste from garc here'!$C$1,1+(('table for research'!$B266-1)*36+HEX2DEC('table for research'!AA$1))*2,2)</f>
        <v>00</v>
      </c>
      <c r="AB266" t="str">
        <f>MID('paste from garc here'!$C$1,1+(('table for research'!$B266-1)*36+HEX2DEC('table for research'!AB$1))*2,2)</f>
        <v>00</v>
      </c>
      <c r="AC266" t="str">
        <f>MID('paste from garc here'!$C$1,1+(('table for research'!$B266-1)*36+HEX2DEC('table for research'!AC$1))*2,2)</f>
        <v>00</v>
      </c>
      <c r="AD266" t="str">
        <f>MID('paste from garc here'!$C$1,1+(('table for research'!$B266-1)*36+HEX2DEC('table for research'!AD$1))*2,2)</f>
        <v>00</v>
      </c>
      <c r="AE266" t="str">
        <f>MID('paste from garc here'!$C$1,1+(('table for research'!$B266-1)*36+HEX2DEC('table for research'!AE$1))*2,2)</f>
        <v>00</v>
      </c>
      <c r="AF266" t="str">
        <f>MID('paste from garc here'!$C$1,1+(('table for research'!$B266-1)*36+HEX2DEC('table for research'!AF$1))*2,2)</f>
        <v>00</v>
      </c>
      <c r="AG266" t="str">
        <f>MID('paste from garc here'!$C$1,1+(('table for research'!$B266-1)*36+HEX2DEC('table for research'!AG$1))*2,2)</f>
        <v>00</v>
      </c>
      <c r="AH266" t="str">
        <f>MID('paste from garc here'!$C$1,1+(('table for research'!$B266-1)*36+HEX2DEC('table for research'!AH$1))*2,2)</f>
        <v>00</v>
      </c>
      <c r="AI266" t="str">
        <f>MID('paste from garc here'!$C$1,1+(('table for research'!$B266-1)*36+HEX2DEC('table for research'!AI$1))*2,2)</f>
        <v>00</v>
      </c>
      <c r="AJ266" t="str">
        <f>MID('paste from garc here'!$C$1,1+(('table for research'!$B266-1)*36+HEX2DEC('table for research'!AJ$1))*2,2)</f>
        <v>00</v>
      </c>
      <c r="AK266" t="str">
        <f>MID('paste from garc here'!$C$1,1+(('table for research'!$B266-1)*36+HEX2DEC('table for research'!AK$1))*2,2)</f>
        <v>00</v>
      </c>
      <c r="AL266" t="str">
        <f>MID('paste from garc here'!$C$1,1+(('table for research'!$B266-1)*36+HEX2DEC('table for research'!AL$1))*2,2)</f>
        <v>00</v>
      </c>
      <c r="AM266" t="str">
        <f>MID('paste from garc here'!$C$1,1+(('table for research'!$B266-1)*36+HEX2DEC('table for research'!AM$1))*2,2)</f>
        <v>00</v>
      </c>
      <c r="AN266" t="str">
        <f>MID('paste from garc here'!$C$1,1+(('table for research'!$B266-1)*36+HEX2DEC('table for research'!AN$1))*2,2)</f>
        <v>00</v>
      </c>
      <c r="AO266" t="str">
        <f>MID('paste from garc here'!$C$1,1+(('table for research'!$B266-1)*36+HEX2DEC('table for research'!AO$1))*2,2)</f>
        <v>00</v>
      </c>
    </row>
    <row r="267" spans="1:41" x14ac:dyDescent="0.4">
      <c r="A267" t="s">
        <v>270</v>
      </c>
      <c r="B267">
        <f>B266+1</f>
        <v>265</v>
      </c>
      <c r="C267" t="str">
        <f>MID('paste from garc here'!$C$1,1+(('table for research'!$B267-1)*36+HEX2DEC('table for research'!C$1))*2,2)</f>
        <v>90</v>
      </c>
      <c r="D267" t="str">
        <f>MID('paste from garc here'!$C$1,1+(('table for research'!$B267-1)*36+HEX2DEC('table for research'!D$1))*2,2)</f>
        <v>01</v>
      </c>
      <c r="E267" t="str">
        <f>MID('paste from garc here'!$C$1,1+(('table for research'!$B267-1)*36+HEX2DEC('table for research'!E$1))*2,2)</f>
        <v>5C</v>
      </c>
      <c r="F267" t="str">
        <f>MID('paste from garc here'!$C$1,1+(('table for research'!$B267-1)*36+HEX2DEC('table for research'!F$1))*2,2)</f>
        <v>0A</v>
      </c>
      <c r="G267" t="str">
        <f>MID('paste from garc here'!$C$1,1+(('table for research'!$B267-1)*36+HEX2DEC('table for research'!G$1))*2,2)</f>
        <v>00</v>
      </c>
      <c r="H267" t="str">
        <f>MID('paste from garc here'!$C$1,1+(('table for research'!$B267-1)*36+HEX2DEC('table for research'!H$1))*2,2)</f>
        <v>00</v>
      </c>
      <c r="I267" t="str">
        <f>MID('paste from garc here'!$C$1,1+(('table for research'!$B267-1)*36+HEX2DEC('table for research'!I$1))*2,2)</f>
        <v>0A</v>
      </c>
      <c r="J267" t="str">
        <f>MID('paste from garc here'!$C$1,1+(('table for research'!$B267-1)*36+HEX2DEC('table for research'!J$1))*2,2)</f>
        <v>00</v>
      </c>
      <c r="K267" t="str">
        <f>DEC2HEX(_xlfn.BITAND(HEX2DEC(MID('paste from garc here'!$C$1,1+(('table for research'!$B267-1)*36+HEX2DEC(8))*2,2)),31),2)</f>
        <v>1F</v>
      </c>
      <c r="L267" t="str">
        <f>DEC2HEX(_xlfn.BITAND(HEX2DEC(MID('paste from garc here'!$C$1,1+(('table for research'!$B267-1)*36+HEX2DEC(8))*2,2)),32),2)</f>
        <v>00</v>
      </c>
      <c r="M267" t="str">
        <f>DEC2HEX(_xlfn.BITAND(HEX2DEC(MID('paste from garc here'!$C$1,1+(('table for research'!$B267-1)*36+HEX2DEC(8))*2,2)),64),2)</f>
        <v>00</v>
      </c>
      <c r="N267" t="str">
        <f>DEC2HEX(_xlfn.BITRSHIFT(_xlfn.BITAND(HEX2DEC(MID('paste from garc here'!$C$1,1+(('table for research'!$B267-1)*36+HEX2DEC(9))*2,2)&amp;MID('paste from garc here'!$C$1,1+(('table for research'!$B267-1)*36+HEX2DEC(8))*2,2)),1920),7),2)</f>
        <v>00</v>
      </c>
      <c r="O267" t="str">
        <f>DEC2HEX(_xlfn.BITRSHIFT(HEX2DEC(MID('paste from garc here'!$C$1,1+(('table for research'!$B267-1)*36+HEX2DEC(9))*2,2)&amp;MID('paste from garc here'!$C$1,1+(('table for research'!$B267-1)*36+HEX2DEC(8))*2,2)),11),2)</f>
        <v>00</v>
      </c>
      <c r="P267" t="str">
        <f>MID('paste from garc here'!$C$1,1+(('table for research'!$B267-1)*36+HEX2DEC('table for research'!P$1))*2,2)</f>
        <v>00</v>
      </c>
      <c r="Q267" t="str">
        <f>MID('paste from garc here'!$C$1,1+(('table for research'!$B267-1)*36+HEX2DEC('table for research'!Q$1))*2,2)</f>
        <v>00</v>
      </c>
      <c r="R267" t="str">
        <f>MID('paste from garc here'!$C$1,1+(('table for research'!$B267-1)*36+HEX2DEC('table for research'!R$1))*2,2)</f>
        <v>00</v>
      </c>
      <c r="S267" t="str">
        <f>MID('paste from garc here'!$C$1,1+(('table for research'!$B267-1)*36+HEX2DEC('table for research'!S$1))*2,2)</f>
        <v>01</v>
      </c>
      <c r="T267" t="str">
        <f>MID('paste from garc here'!$C$1,1+(('table for research'!$B267-1)*36+HEX2DEC('table for research'!T$1))*2,2)</f>
        <v>00</v>
      </c>
      <c r="U267" t="str">
        <f>MID('paste from garc here'!$C$1,1+(('table for research'!$B267-1)*36+HEX2DEC('table for research'!U$1))*2,2)</f>
        <v>19</v>
      </c>
      <c r="V267" t="str">
        <f>MID('paste from garc here'!$C$1,1+(('table for research'!$B267-1)*36+HEX2DEC('table for research'!V$1))*2,2)</f>
        <v>00</v>
      </c>
      <c r="W267" t="str">
        <f>MID('paste from garc here'!$C$1,1+(('table for research'!$B267-1)*36+HEX2DEC('table for research'!W$1))*2,2)</f>
        <v>00</v>
      </c>
      <c r="X267" t="str">
        <f>MID('paste from garc here'!$C$1,1+(('table for research'!$B267-1)*36+HEX2DEC('table for research'!X$1))*2,2)</f>
        <v>00</v>
      </c>
      <c r="Y267" t="str">
        <f>MID('paste from garc here'!$C$1,1+(('table for research'!$B267-1)*36+HEX2DEC('table for research'!Y$1))*2,2)</f>
        <v>00</v>
      </c>
      <c r="Z267" t="str">
        <f>MID('paste from garc here'!$C$1,1+(('table for research'!$B267-1)*36+HEX2DEC('table for research'!Z$1))*2,2)</f>
        <v>00</v>
      </c>
      <c r="AA267" t="str">
        <f>MID('paste from garc here'!$C$1,1+(('table for research'!$B267-1)*36+HEX2DEC('table for research'!AA$1))*2,2)</f>
        <v>00</v>
      </c>
      <c r="AB267" t="str">
        <f>MID('paste from garc here'!$C$1,1+(('table for research'!$B267-1)*36+HEX2DEC('table for research'!AB$1))*2,2)</f>
        <v>00</v>
      </c>
      <c r="AC267" t="str">
        <f>MID('paste from garc here'!$C$1,1+(('table for research'!$B267-1)*36+HEX2DEC('table for research'!AC$1))*2,2)</f>
        <v>00</v>
      </c>
      <c r="AD267" t="str">
        <f>MID('paste from garc here'!$C$1,1+(('table for research'!$B267-1)*36+HEX2DEC('table for research'!AD$1))*2,2)</f>
        <v>00</v>
      </c>
      <c r="AE267" t="str">
        <f>MID('paste from garc here'!$C$1,1+(('table for research'!$B267-1)*36+HEX2DEC('table for research'!AE$1))*2,2)</f>
        <v>00</v>
      </c>
      <c r="AF267" t="str">
        <f>MID('paste from garc here'!$C$1,1+(('table for research'!$B267-1)*36+HEX2DEC('table for research'!AF$1))*2,2)</f>
        <v>00</v>
      </c>
      <c r="AG267" t="str">
        <f>MID('paste from garc here'!$C$1,1+(('table for research'!$B267-1)*36+HEX2DEC('table for research'!AG$1))*2,2)</f>
        <v>00</v>
      </c>
      <c r="AH267" t="str">
        <f>MID('paste from garc here'!$C$1,1+(('table for research'!$B267-1)*36+HEX2DEC('table for research'!AH$1))*2,2)</f>
        <v>00</v>
      </c>
      <c r="AI267" t="str">
        <f>MID('paste from garc here'!$C$1,1+(('table for research'!$B267-1)*36+HEX2DEC('table for research'!AI$1))*2,2)</f>
        <v>00</v>
      </c>
      <c r="AJ267" t="str">
        <f>MID('paste from garc here'!$C$1,1+(('table for research'!$B267-1)*36+HEX2DEC('table for research'!AJ$1))*2,2)</f>
        <v>00</v>
      </c>
      <c r="AK267" t="str">
        <f>MID('paste from garc here'!$C$1,1+(('table for research'!$B267-1)*36+HEX2DEC('table for research'!AK$1))*2,2)</f>
        <v>00</v>
      </c>
      <c r="AL267" t="str">
        <f>MID('paste from garc here'!$C$1,1+(('table for research'!$B267-1)*36+HEX2DEC('table for research'!AL$1))*2,2)</f>
        <v>00</v>
      </c>
      <c r="AM267" t="str">
        <f>MID('paste from garc here'!$C$1,1+(('table for research'!$B267-1)*36+HEX2DEC('table for research'!AM$1))*2,2)</f>
        <v>00</v>
      </c>
      <c r="AN267" t="str">
        <f>MID('paste from garc here'!$C$1,1+(('table for research'!$B267-1)*36+HEX2DEC('table for research'!AN$1))*2,2)</f>
        <v>00</v>
      </c>
      <c r="AO267" t="str">
        <f>MID('paste from garc here'!$C$1,1+(('table for research'!$B267-1)*36+HEX2DEC('table for research'!AO$1))*2,2)</f>
        <v>00</v>
      </c>
    </row>
    <row r="268" spans="1:41" x14ac:dyDescent="0.4">
      <c r="A268" t="s">
        <v>271</v>
      </c>
      <c r="B268">
        <f>B267+1</f>
        <v>266</v>
      </c>
      <c r="C268" t="str">
        <f>MID('paste from garc here'!$C$1,1+(('table for research'!$B268-1)*36+HEX2DEC('table for research'!C$1))*2,2)</f>
        <v>90</v>
      </c>
      <c r="D268" t="str">
        <f>MID('paste from garc here'!$C$1,1+(('table for research'!$B268-1)*36+HEX2DEC('table for research'!D$1))*2,2)</f>
        <v>01</v>
      </c>
      <c r="E268" t="str">
        <f>MID('paste from garc here'!$C$1,1+(('table for research'!$B268-1)*36+HEX2DEC('table for research'!E$1))*2,2)</f>
        <v>5D</v>
      </c>
      <c r="F268" t="str">
        <f>MID('paste from garc here'!$C$1,1+(('table for research'!$B268-1)*36+HEX2DEC('table for research'!F$1))*2,2)</f>
        <v>0A</v>
      </c>
      <c r="G268" t="str">
        <f>MID('paste from garc here'!$C$1,1+(('table for research'!$B268-1)*36+HEX2DEC('table for research'!G$1))*2,2)</f>
        <v>00</v>
      </c>
      <c r="H268" t="str">
        <f>MID('paste from garc here'!$C$1,1+(('table for research'!$B268-1)*36+HEX2DEC('table for research'!H$1))*2,2)</f>
        <v>00</v>
      </c>
      <c r="I268" t="str">
        <f>MID('paste from garc here'!$C$1,1+(('table for research'!$B268-1)*36+HEX2DEC('table for research'!I$1))*2,2)</f>
        <v>0A</v>
      </c>
      <c r="J268" t="str">
        <f>MID('paste from garc here'!$C$1,1+(('table for research'!$B268-1)*36+HEX2DEC('table for research'!J$1))*2,2)</f>
        <v>00</v>
      </c>
      <c r="K268" t="str">
        <f>DEC2HEX(_xlfn.BITAND(HEX2DEC(MID('paste from garc here'!$C$1,1+(('table for research'!$B268-1)*36+HEX2DEC(8))*2,2)),31),2)</f>
        <v>1F</v>
      </c>
      <c r="L268" t="str">
        <f>DEC2HEX(_xlfn.BITAND(HEX2DEC(MID('paste from garc here'!$C$1,1+(('table for research'!$B268-1)*36+HEX2DEC(8))*2,2)),32),2)</f>
        <v>00</v>
      </c>
      <c r="M268" t="str">
        <f>DEC2HEX(_xlfn.BITAND(HEX2DEC(MID('paste from garc here'!$C$1,1+(('table for research'!$B268-1)*36+HEX2DEC(8))*2,2)),64),2)</f>
        <v>00</v>
      </c>
      <c r="N268" t="str">
        <f>DEC2HEX(_xlfn.BITRSHIFT(_xlfn.BITAND(HEX2DEC(MID('paste from garc here'!$C$1,1+(('table for research'!$B268-1)*36+HEX2DEC(9))*2,2)&amp;MID('paste from garc here'!$C$1,1+(('table for research'!$B268-1)*36+HEX2DEC(8))*2,2)),1920),7),2)</f>
        <v>00</v>
      </c>
      <c r="O268" t="str">
        <f>DEC2HEX(_xlfn.BITRSHIFT(HEX2DEC(MID('paste from garc here'!$C$1,1+(('table for research'!$B268-1)*36+HEX2DEC(9))*2,2)&amp;MID('paste from garc here'!$C$1,1+(('table for research'!$B268-1)*36+HEX2DEC(8))*2,2)),11),2)</f>
        <v>00</v>
      </c>
      <c r="P268" t="str">
        <f>MID('paste from garc here'!$C$1,1+(('table for research'!$B268-1)*36+HEX2DEC('table for research'!P$1))*2,2)</f>
        <v>00</v>
      </c>
      <c r="Q268" t="str">
        <f>MID('paste from garc here'!$C$1,1+(('table for research'!$B268-1)*36+HEX2DEC('table for research'!Q$1))*2,2)</f>
        <v>00</v>
      </c>
      <c r="R268" t="str">
        <f>MID('paste from garc here'!$C$1,1+(('table for research'!$B268-1)*36+HEX2DEC('table for research'!R$1))*2,2)</f>
        <v>00</v>
      </c>
      <c r="S268" t="str">
        <f>MID('paste from garc here'!$C$1,1+(('table for research'!$B268-1)*36+HEX2DEC('table for research'!S$1))*2,2)</f>
        <v>01</v>
      </c>
      <c r="T268" t="str">
        <f>MID('paste from garc here'!$C$1,1+(('table for research'!$B268-1)*36+HEX2DEC('table for research'!T$1))*2,2)</f>
        <v>00</v>
      </c>
      <c r="U268" t="str">
        <f>MID('paste from garc here'!$C$1,1+(('table for research'!$B268-1)*36+HEX2DEC('table for research'!U$1))*2,2)</f>
        <v>34</v>
      </c>
      <c r="V268" t="str">
        <f>MID('paste from garc here'!$C$1,1+(('table for research'!$B268-1)*36+HEX2DEC('table for research'!V$1))*2,2)</f>
        <v>00</v>
      </c>
      <c r="W268" t="str">
        <f>MID('paste from garc here'!$C$1,1+(('table for research'!$B268-1)*36+HEX2DEC('table for research'!W$1))*2,2)</f>
        <v>00</v>
      </c>
      <c r="X268" t="str">
        <f>MID('paste from garc here'!$C$1,1+(('table for research'!$B268-1)*36+HEX2DEC('table for research'!X$1))*2,2)</f>
        <v>00</v>
      </c>
      <c r="Y268" t="str">
        <f>MID('paste from garc here'!$C$1,1+(('table for research'!$B268-1)*36+HEX2DEC('table for research'!Y$1))*2,2)</f>
        <v>00</v>
      </c>
      <c r="Z268" t="str">
        <f>MID('paste from garc here'!$C$1,1+(('table for research'!$B268-1)*36+HEX2DEC('table for research'!Z$1))*2,2)</f>
        <v>00</v>
      </c>
      <c r="AA268" t="str">
        <f>MID('paste from garc here'!$C$1,1+(('table for research'!$B268-1)*36+HEX2DEC('table for research'!AA$1))*2,2)</f>
        <v>00</v>
      </c>
      <c r="AB268" t="str">
        <f>MID('paste from garc here'!$C$1,1+(('table for research'!$B268-1)*36+HEX2DEC('table for research'!AB$1))*2,2)</f>
        <v>00</v>
      </c>
      <c r="AC268" t="str">
        <f>MID('paste from garc here'!$C$1,1+(('table for research'!$B268-1)*36+HEX2DEC('table for research'!AC$1))*2,2)</f>
        <v>00</v>
      </c>
      <c r="AD268" t="str">
        <f>MID('paste from garc here'!$C$1,1+(('table for research'!$B268-1)*36+HEX2DEC('table for research'!AD$1))*2,2)</f>
        <v>00</v>
      </c>
      <c r="AE268" t="str">
        <f>MID('paste from garc here'!$C$1,1+(('table for research'!$B268-1)*36+HEX2DEC('table for research'!AE$1))*2,2)</f>
        <v>00</v>
      </c>
      <c r="AF268" t="str">
        <f>MID('paste from garc here'!$C$1,1+(('table for research'!$B268-1)*36+HEX2DEC('table for research'!AF$1))*2,2)</f>
        <v>00</v>
      </c>
      <c r="AG268" t="str">
        <f>MID('paste from garc here'!$C$1,1+(('table for research'!$B268-1)*36+HEX2DEC('table for research'!AG$1))*2,2)</f>
        <v>00</v>
      </c>
      <c r="AH268" t="str">
        <f>MID('paste from garc here'!$C$1,1+(('table for research'!$B268-1)*36+HEX2DEC('table for research'!AH$1))*2,2)</f>
        <v>00</v>
      </c>
      <c r="AI268" t="str">
        <f>MID('paste from garc here'!$C$1,1+(('table for research'!$B268-1)*36+HEX2DEC('table for research'!AI$1))*2,2)</f>
        <v>00</v>
      </c>
      <c r="AJ268" t="str">
        <f>MID('paste from garc here'!$C$1,1+(('table for research'!$B268-1)*36+HEX2DEC('table for research'!AJ$1))*2,2)</f>
        <v>00</v>
      </c>
      <c r="AK268" t="str">
        <f>MID('paste from garc here'!$C$1,1+(('table for research'!$B268-1)*36+HEX2DEC('table for research'!AK$1))*2,2)</f>
        <v>00</v>
      </c>
      <c r="AL268" t="str">
        <f>MID('paste from garc here'!$C$1,1+(('table for research'!$B268-1)*36+HEX2DEC('table for research'!AL$1))*2,2)</f>
        <v>00</v>
      </c>
      <c r="AM268" t="str">
        <f>MID('paste from garc here'!$C$1,1+(('table for research'!$B268-1)*36+HEX2DEC('table for research'!AM$1))*2,2)</f>
        <v>00</v>
      </c>
      <c r="AN268" t="str">
        <f>MID('paste from garc here'!$C$1,1+(('table for research'!$B268-1)*36+HEX2DEC('table for research'!AN$1))*2,2)</f>
        <v>00</v>
      </c>
      <c r="AO268" t="str">
        <f>MID('paste from garc here'!$C$1,1+(('table for research'!$B268-1)*36+HEX2DEC('table for research'!AO$1))*2,2)</f>
        <v>00</v>
      </c>
    </row>
    <row r="269" spans="1:41" x14ac:dyDescent="0.4">
      <c r="A269" t="s">
        <v>272</v>
      </c>
      <c r="B269">
        <f>B268+1</f>
        <v>267</v>
      </c>
      <c r="C269" t="str">
        <f>MID('paste from garc here'!$C$1,1+(('table for research'!$B269-1)*36+HEX2DEC('table for research'!C$1))*2,2)</f>
        <v>90</v>
      </c>
      <c r="D269" t="str">
        <f>MID('paste from garc here'!$C$1,1+(('table for research'!$B269-1)*36+HEX2DEC('table for research'!D$1))*2,2)</f>
        <v>01</v>
      </c>
      <c r="E269" t="str">
        <f>MID('paste from garc here'!$C$1,1+(('table for research'!$B269-1)*36+HEX2DEC('table for research'!E$1))*2,2)</f>
        <v>5E</v>
      </c>
      <c r="F269" t="str">
        <f>MID('paste from garc here'!$C$1,1+(('table for research'!$B269-1)*36+HEX2DEC('table for research'!F$1))*2,2)</f>
        <v>0A</v>
      </c>
      <c r="G269" t="str">
        <f>MID('paste from garc here'!$C$1,1+(('table for research'!$B269-1)*36+HEX2DEC('table for research'!G$1))*2,2)</f>
        <v>00</v>
      </c>
      <c r="H269" t="str">
        <f>MID('paste from garc here'!$C$1,1+(('table for research'!$B269-1)*36+HEX2DEC('table for research'!H$1))*2,2)</f>
        <v>00</v>
      </c>
      <c r="I269" t="str">
        <f>MID('paste from garc here'!$C$1,1+(('table for research'!$B269-1)*36+HEX2DEC('table for research'!I$1))*2,2)</f>
        <v>0A</v>
      </c>
      <c r="J269" t="str">
        <f>MID('paste from garc here'!$C$1,1+(('table for research'!$B269-1)*36+HEX2DEC('table for research'!J$1))*2,2)</f>
        <v>00</v>
      </c>
      <c r="K269" t="str">
        <f>DEC2HEX(_xlfn.BITAND(HEX2DEC(MID('paste from garc here'!$C$1,1+(('table for research'!$B269-1)*36+HEX2DEC(8))*2,2)),31),2)</f>
        <v>1F</v>
      </c>
      <c r="L269" t="str">
        <f>DEC2HEX(_xlfn.BITAND(HEX2DEC(MID('paste from garc here'!$C$1,1+(('table for research'!$B269-1)*36+HEX2DEC(8))*2,2)),32),2)</f>
        <v>00</v>
      </c>
      <c r="M269" t="str">
        <f>DEC2HEX(_xlfn.BITAND(HEX2DEC(MID('paste from garc here'!$C$1,1+(('table for research'!$B269-1)*36+HEX2DEC(8))*2,2)),64),2)</f>
        <v>00</v>
      </c>
      <c r="N269" t="str">
        <f>DEC2HEX(_xlfn.BITRSHIFT(_xlfn.BITAND(HEX2DEC(MID('paste from garc here'!$C$1,1+(('table for research'!$B269-1)*36+HEX2DEC(9))*2,2)&amp;MID('paste from garc here'!$C$1,1+(('table for research'!$B269-1)*36+HEX2DEC(8))*2,2)),1920),7),2)</f>
        <v>00</v>
      </c>
      <c r="O269" t="str">
        <f>DEC2HEX(_xlfn.BITRSHIFT(HEX2DEC(MID('paste from garc here'!$C$1,1+(('table for research'!$B269-1)*36+HEX2DEC(9))*2,2)&amp;MID('paste from garc here'!$C$1,1+(('table for research'!$B269-1)*36+HEX2DEC(8))*2,2)),11),2)</f>
        <v>00</v>
      </c>
      <c r="P269" t="str">
        <f>MID('paste from garc here'!$C$1,1+(('table for research'!$B269-1)*36+HEX2DEC('table for research'!P$1))*2,2)</f>
        <v>00</v>
      </c>
      <c r="Q269" t="str">
        <f>MID('paste from garc here'!$C$1,1+(('table for research'!$B269-1)*36+HEX2DEC('table for research'!Q$1))*2,2)</f>
        <v>00</v>
      </c>
      <c r="R269" t="str">
        <f>MID('paste from garc here'!$C$1,1+(('table for research'!$B269-1)*36+HEX2DEC('table for research'!R$1))*2,2)</f>
        <v>00</v>
      </c>
      <c r="S269" t="str">
        <f>MID('paste from garc here'!$C$1,1+(('table for research'!$B269-1)*36+HEX2DEC('table for research'!S$1))*2,2)</f>
        <v>01</v>
      </c>
      <c r="T269" t="str">
        <f>MID('paste from garc here'!$C$1,1+(('table for research'!$B269-1)*36+HEX2DEC('table for research'!T$1))*2,2)</f>
        <v>00</v>
      </c>
      <c r="U269" t="str">
        <f>MID('paste from garc here'!$C$1,1+(('table for research'!$B269-1)*36+HEX2DEC('table for research'!U$1))*2,2)</f>
        <v>26</v>
      </c>
      <c r="V269" t="str">
        <f>MID('paste from garc here'!$C$1,1+(('table for research'!$B269-1)*36+HEX2DEC('table for research'!V$1))*2,2)</f>
        <v>00</v>
      </c>
      <c r="W269" t="str">
        <f>MID('paste from garc here'!$C$1,1+(('table for research'!$B269-1)*36+HEX2DEC('table for research'!W$1))*2,2)</f>
        <v>00</v>
      </c>
      <c r="X269" t="str">
        <f>MID('paste from garc here'!$C$1,1+(('table for research'!$B269-1)*36+HEX2DEC('table for research'!X$1))*2,2)</f>
        <v>00</v>
      </c>
      <c r="Y269" t="str">
        <f>MID('paste from garc here'!$C$1,1+(('table for research'!$B269-1)*36+HEX2DEC('table for research'!Y$1))*2,2)</f>
        <v>00</v>
      </c>
      <c r="Z269" t="str">
        <f>MID('paste from garc here'!$C$1,1+(('table for research'!$B269-1)*36+HEX2DEC('table for research'!Z$1))*2,2)</f>
        <v>00</v>
      </c>
      <c r="AA269" t="str">
        <f>MID('paste from garc here'!$C$1,1+(('table for research'!$B269-1)*36+HEX2DEC('table for research'!AA$1))*2,2)</f>
        <v>00</v>
      </c>
      <c r="AB269" t="str">
        <f>MID('paste from garc here'!$C$1,1+(('table for research'!$B269-1)*36+HEX2DEC('table for research'!AB$1))*2,2)</f>
        <v>00</v>
      </c>
      <c r="AC269" t="str">
        <f>MID('paste from garc here'!$C$1,1+(('table for research'!$B269-1)*36+HEX2DEC('table for research'!AC$1))*2,2)</f>
        <v>00</v>
      </c>
      <c r="AD269" t="str">
        <f>MID('paste from garc here'!$C$1,1+(('table for research'!$B269-1)*36+HEX2DEC('table for research'!AD$1))*2,2)</f>
        <v>00</v>
      </c>
      <c r="AE269" t="str">
        <f>MID('paste from garc here'!$C$1,1+(('table for research'!$B269-1)*36+HEX2DEC('table for research'!AE$1))*2,2)</f>
        <v>00</v>
      </c>
      <c r="AF269" t="str">
        <f>MID('paste from garc here'!$C$1,1+(('table for research'!$B269-1)*36+HEX2DEC('table for research'!AF$1))*2,2)</f>
        <v>00</v>
      </c>
      <c r="AG269" t="str">
        <f>MID('paste from garc here'!$C$1,1+(('table for research'!$B269-1)*36+HEX2DEC('table for research'!AG$1))*2,2)</f>
        <v>00</v>
      </c>
      <c r="AH269" t="str">
        <f>MID('paste from garc here'!$C$1,1+(('table for research'!$B269-1)*36+HEX2DEC('table for research'!AH$1))*2,2)</f>
        <v>00</v>
      </c>
      <c r="AI269" t="str">
        <f>MID('paste from garc here'!$C$1,1+(('table for research'!$B269-1)*36+HEX2DEC('table for research'!AI$1))*2,2)</f>
        <v>00</v>
      </c>
      <c r="AJ269" t="str">
        <f>MID('paste from garc here'!$C$1,1+(('table for research'!$B269-1)*36+HEX2DEC('table for research'!AJ$1))*2,2)</f>
        <v>00</v>
      </c>
      <c r="AK269" t="str">
        <f>MID('paste from garc here'!$C$1,1+(('table for research'!$B269-1)*36+HEX2DEC('table for research'!AK$1))*2,2)</f>
        <v>00</v>
      </c>
      <c r="AL269" t="str">
        <f>MID('paste from garc here'!$C$1,1+(('table for research'!$B269-1)*36+HEX2DEC('table for research'!AL$1))*2,2)</f>
        <v>00</v>
      </c>
      <c r="AM269" t="str">
        <f>MID('paste from garc here'!$C$1,1+(('table for research'!$B269-1)*36+HEX2DEC('table for research'!AM$1))*2,2)</f>
        <v>00</v>
      </c>
      <c r="AN269" t="str">
        <f>MID('paste from garc here'!$C$1,1+(('table for research'!$B269-1)*36+HEX2DEC('table for research'!AN$1))*2,2)</f>
        <v>00</v>
      </c>
      <c r="AO269" t="str">
        <f>MID('paste from garc here'!$C$1,1+(('table for research'!$B269-1)*36+HEX2DEC('table for research'!AO$1))*2,2)</f>
        <v>00</v>
      </c>
    </row>
    <row r="270" spans="1:41" x14ac:dyDescent="0.4">
      <c r="A270" t="s">
        <v>273</v>
      </c>
      <c r="B270">
        <f>B269+1</f>
        <v>268</v>
      </c>
      <c r="C270" t="str">
        <f>MID('paste from garc here'!$C$1,1+(('table for research'!$B270-1)*36+HEX2DEC('table for research'!C$1))*2,2)</f>
        <v>A0</v>
      </c>
      <c r="D270" t="str">
        <f>MID('paste from garc here'!$C$1,1+(('table for research'!$B270-1)*36+HEX2DEC('table for research'!D$1))*2,2)</f>
        <v>0F</v>
      </c>
      <c r="E270" t="str">
        <f>MID('paste from garc here'!$C$1,1+(('table for research'!$B270-1)*36+HEX2DEC('table for research'!E$1))*2,2)</f>
        <v>5F</v>
      </c>
      <c r="F270" t="str">
        <f>MID('paste from garc here'!$C$1,1+(('table for research'!$B270-1)*36+HEX2DEC('table for research'!F$1))*2,2)</f>
        <v>14</v>
      </c>
      <c r="G270" t="str">
        <f>MID('paste from garc here'!$C$1,1+(('table for research'!$B270-1)*36+HEX2DEC('table for research'!G$1))*2,2)</f>
        <v>00</v>
      </c>
      <c r="H270" t="str">
        <f>MID('paste from garc here'!$C$1,1+(('table for research'!$B270-1)*36+HEX2DEC('table for research'!H$1))*2,2)</f>
        <v>00</v>
      </c>
      <c r="I270" t="str">
        <f>MID('paste from garc here'!$C$1,1+(('table for research'!$B270-1)*36+HEX2DEC('table for research'!I$1))*2,2)</f>
        <v>0A</v>
      </c>
      <c r="J270" t="str">
        <f>MID('paste from garc here'!$C$1,1+(('table for research'!$B270-1)*36+HEX2DEC('table for research'!J$1))*2,2)</f>
        <v>00</v>
      </c>
      <c r="K270" t="str">
        <f>DEC2HEX(_xlfn.BITAND(HEX2DEC(MID('paste from garc here'!$C$1,1+(('table for research'!$B270-1)*36+HEX2DEC(8))*2,2)),31),2)</f>
        <v>1F</v>
      </c>
      <c r="L270" t="str">
        <f>DEC2HEX(_xlfn.BITAND(HEX2DEC(MID('paste from garc here'!$C$1,1+(('table for research'!$B270-1)*36+HEX2DEC(8))*2,2)),32),2)</f>
        <v>00</v>
      </c>
      <c r="M270" t="str">
        <f>DEC2HEX(_xlfn.BITAND(HEX2DEC(MID('paste from garc here'!$C$1,1+(('table for research'!$B270-1)*36+HEX2DEC(8))*2,2)),64),2)</f>
        <v>00</v>
      </c>
      <c r="N270" t="str">
        <f>DEC2HEX(_xlfn.BITRSHIFT(_xlfn.BITAND(HEX2DEC(MID('paste from garc here'!$C$1,1+(('table for research'!$B270-1)*36+HEX2DEC(9))*2,2)&amp;MID('paste from garc here'!$C$1,1+(('table for research'!$B270-1)*36+HEX2DEC(8))*2,2)),1920),7),2)</f>
        <v>00</v>
      </c>
      <c r="O270" t="str">
        <f>DEC2HEX(_xlfn.BITRSHIFT(HEX2DEC(MID('paste from garc here'!$C$1,1+(('table for research'!$B270-1)*36+HEX2DEC(9))*2,2)&amp;MID('paste from garc here'!$C$1,1+(('table for research'!$B270-1)*36+HEX2DEC(8))*2,2)),11),2)</f>
        <v>00</v>
      </c>
      <c r="P270" t="str">
        <f>MID('paste from garc here'!$C$1,1+(('table for research'!$B270-1)*36+HEX2DEC('table for research'!P$1))*2,2)</f>
        <v>00</v>
      </c>
      <c r="Q270" t="str">
        <f>MID('paste from garc here'!$C$1,1+(('table for research'!$B270-1)*36+HEX2DEC('table for research'!Q$1))*2,2)</f>
        <v>00</v>
      </c>
      <c r="R270" t="str">
        <f>MID('paste from garc here'!$C$1,1+(('table for research'!$B270-1)*36+HEX2DEC('table for research'!R$1))*2,2)</f>
        <v>00</v>
      </c>
      <c r="S270" t="str">
        <f>MID('paste from garc here'!$C$1,1+(('table for research'!$B270-1)*36+HEX2DEC('table for research'!S$1))*2,2)</f>
        <v>01</v>
      </c>
      <c r="T270" t="str">
        <f>MID('paste from garc here'!$C$1,1+(('table for research'!$B270-1)*36+HEX2DEC('table for research'!T$1))*2,2)</f>
        <v>00</v>
      </c>
      <c r="U270" t="str">
        <f>MID('paste from garc here'!$C$1,1+(('table for research'!$B270-1)*36+HEX2DEC('table for research'!U$1))*2,2)</f>
        <v>32</v>
      </c>
      <c r="V270" t="str">
        <f>MID('paste from garc here'!$C$1,1+(('table for research'!$B270-1)*36+HEX2DEC('table for research'!V$1))*2,2)</f>
        <v>00</v>
      </c>
      <c r="W270" t="str">
        <f>MID('paste from garc here'!$C$1,1+(('table for research'!$B270-1)*36+HEX2DEC('table for research'!W$1))*2,2)</f>
        <v>00</v>
      </c>
      <c r="X270" t="str">
        <f>MID('paste from garc here'!$C$1,1+(('table for research'!$B270-1)*36+HEX2DEC('table for research'!X$1))*2,2)</f>
        <v>00</v>
      </c>
      <c r="Y270" t="str">
        <f>MID('paste from garc here'!$C$1,1+(('table for research'!$B270-1)*36+HEX2DEC('table for research'!Y$1))*2,2)</f>
        <v>00</v>
      </c>
      <c r="Z270" t="str">
        <f>MID('paste from garc here'!$C$1,1+(('table for research'!$B270-1)*36+HEX2DEC('table for research'!Z$1))*2,2)</f>
        <v>00</v>
      </c>
      <c r="AA270" t="str">
        <f>MID('paste from garc here'!$C$1,1+(('table for research'!$B270-1)*36+HEX2DEC('table for research'!AA$1))*2,2)</f>
        <v>00</v>
      </c>
      <c r="AB270" t="str">
        <f>MID('paste from garc here'!$C$1,1+(('table for research'!$B270-1)*36+HEX2DEC('table for research'!AB$1))*2,2)</f>
        <v>00</v>
      </c>
      <c r="AC270" t="str">
        <f>MID('paste from garc here'!$C$1,1+(('table for research'!$B270-1)*36+HEX2DEC('table for research'!AC$1))*2,2)</f>
        <v>00</v>
      </c>
      <c r="AD270" t="str">
        <f>MID('paste from garc here'!$C$1,1+(('table for research'!$B270-1)*36+HEX2DEC('table for research'!AD$1))*2,2)</f>
        <v>00</v>
      </c>
      <c r="AE270" t="str">
        <f>MID('paste from garc here'!$C$1,1+(('table for research'!$B270-1)*36+HEX2DEC('table for research'!AE$1))*2,2)</f>
        <v>00</v>
      </c>
      <c r="AF270" t="str">
        <f>MID('paste from garc here'!$C$1,1+(('table for research'!$B270-1)*36+HEX2DEC('table for research'!AF$1))*2,2)</f>
        <v>00</v>
      </c>
      <c r="AG270" t="str">
        <f>MID('paste from garc here'!$C$1,1+(('table for research'!$B270-1)*36+HEX2DEC('table for research'!AG$1))*2,2)</f>
        <v>00</v>
      </c>
      <c r="AH270" t="str">
        <f>MID('paste from garc here'!$C$1,1+(('table for research'!$B270-1)*36+HEX2DEC('table for research'!AH$1))*2,2)</f>
        <v>00</v>
      </c>
      <c r="AI270" t="str">
        <f>MID('paste from garc here'!$C$1,1+(('table for research'!$B270-1)*36+HEX2DEC('table for research'!AI$1))*2,2)</f>
        <v>00</v>
      </c>
      <c r="AJ270" t="str">
        <f>MID('paste from garc here'!$C$1,1+(('table for research'!$B270-1)*36+HEX2DEC('table for research'!AJ$1))*2,2)</f>
        <v>00</v>
      </c>
      <c r="AK270" t="str">
        <f>MID('paste from garc here'!$C$1,1+(('table for research'!$B270-1)*36+HEX2DEC('table for research'!AK$1))*2,2)</f>
        <v>00</v>
      </c>
      <c r="AL270" t="str">
        <f>MID('paste from garc here'!$C$1,1+(('table for research'!$B270-1)*36+HEX2DEC('table for research'!AL$1))*2,2)</f>
        <v>00</v>
      </c>
      <c r="AM270" t="str">
        <f>MID('paste from garc here'!$C$1,1+(('table for research'!$B270-1)*36+HEX2DEC('table for research'!AM$1))*2,2)</f>
        <v>00</v>
      </c>
      <c r="AN270" t="str">
        <f>MID('paste from garc here'!$C$1,1+(('table for research'!$B270-1)*36+HEX2DEC('table for research'!AN$1))*2,2)</f>
        <v>00</v>
      </c>
      <c r="AO270" t="str">
        <f>MID('paste from garc here'!$C$1,1+(('table for research'!$B270-1)*36+HEX2DEC('table for research'!AO$1))*2,2)</f>
        <v>00</v>
      </c>
    </row>
    <row r="271" spans="1:41" x14ac:dyDescent="0.4">
      <c r="A271" t="s">
        <v>274</v>
      </c>
      <c r="B271">
        <f>B270+1</f>
        <v>269</v>
      </c>
      <c r="C271" t="str">
        <f>MID('paste from garc here'!$C$1,1+(('table for research'!$B271-1)*36+HEX2DEC('table for research'!C$1))*2,2)</f>
        <v>D0</v>
      </c>
      <c r="D271" t="str">
        <f>MID('paste from garc here'!$C$1,1+(('table for research'!$B271-1)*36+HEX2DEC('table for research'!D$1))*2,2)</f>
        <v>07</v>
      </c>
      <c r="E271" t="str">
        <f>MID('paste from garc here'!$C$1,1+(('table for research'!$B271-1)*36+HEX2DEC('table for research'!E$1))*2,2)</f>
        <v>60</v>
      </c>
      <c r="F271" t="str">
        <f>MID('paste from garc here'!$C$1,1+(('table for research'!$B271-1)*36+HEX2DEC('table for research'!F$1))*2,2)</f>
        <v>03</v>
      </c>
      <c r="G271" t="str">
        <f>MID('paste from garc here'!$C$1,1+(('table for research'!$B271-1)*36+HEX2DEC('table for research'!G$1))*2,2)</f>
        <v>00</v>
      </c>
      <c r="H271" t="str">
        <f>MID('paste from garc here'!$C$1,1+(('table for research'!$B271-1)*36+HEX2DEC('table for research'!H$1))*2,2)</f>
        <v>00</v>
      </c>
      <c r="I271" t="str">
        <f>MID('paste from garc here'!$C$1,1+(('table for research'!$B271-1)*36+HEX2DEC('table for research'!I$1))*2,2)</f>
        <v>1E</v>
      </c>
      <c r="J271" t="str">
        <f>MID('paste from garc here'!$C$1,1+(('table for research'!$B271-1)*36+HEX2DEC('table for research'!J$1))*2,2)</f>
        <v>00</v>
      </c>
      <c r="K271" t="str">
        <f>DEC2HEX(_xlfn.BITAND(HEX2DEC(MID('paste from garc here'!$C$1,1+(('table for research'!$B271-1)*36+HEX2DEC(8))*2,2)),31),2)</f>
        <v>1F</v>
      </c>
      <c r="L271" t="str">
        <f>DEC2HEX(_xlfn.BITAND(HEX2DEC(MID('paste from garc here'!$C$1,1+(('table for research'!$B271-1)*36+HEX2DEC(8))*2,2)),32),2)</f>
        <v>00</v>
      </c>
      <c r="M271" t="str">
        <f>DEC2HEX(_xlfn.BITAND(HEX2DEC(MID('paste from garc here'!$C$1,1+(('table for research'!$B271-1)*36+HEX2DEC(8))*2,2)),64),2)</f>
        <v>00</v>
      </c>
      <c r="N271" t="str">
        <f>DEC2HEX(_xlfn.BITRSHIFT(_xlfn.BITAND(HEX2DEC(MID('paste from garc here'!$C$1,1+(('table for research'!$B271-1)*36+HEX2DEC(9))*2,2)&amp;MID('paste from garc here'!$C$1,1+(('table for research'!$B271-1)*36+HEX2DEC(8))*2,2)),1920),7),2)</f>
        <v>00</v>
      </c>
      <c r="O271" t="str">
        <f>DEC2HEX(_xlfn.BITRSHIFT(HEX2DEC(MID('paste from garc here'!$C$1,1+(('table for research'!$B271-1)*36+HEX2DEC(9))*2,2)&amp;MID('paste from garc here'!$C$1,1+(('table for research'!$B271-1)*36+HEX2DEC(8))*2,2)),11),2)</f>
        <v>00</v>
      </c>
      <c r="P271" t="str">
        <f>MID('paste from garc here'!$C$1,1+(('table for research'!$B271-1)*36+HEX2DEC('table for research'!P$1))*2,2)</f>
        <v>00</v>
      </c>
      <c r="Q271" t="str">
        <f>MID('paste from garc here'!$C$1,1+(('table for research'!$B271-1)*36+HEX2DEC('table for research'!Q$1))*2,2)</f>
        <v>00</v>
      </c>
      <c r="R271" t="str">
        <f>MID('paste from garc here'!$C$1,1+(('table for research'!$B271-1)*36+HEX2DEC('table for research'!R$1))*2,2)</f>
        <v>00</v>
      </c>
      <c r="S271" t="str">
        <f>MID('paste from garc here'!$C$1,1+(('table for research'!$B271-1)*36+HEX2DEC('table for research'!S$1))*2,2)</f>
        <v>01</v>
      </c>
      <c r="T271" t="str">
        <f>MID('paste from garc here'!$C$1,1+(('table for research'!$B271-1)*36+HEX2DEC('table for research'!T$1))*2,2)</f>
        <v>00</v>
      </c>
      <c r="U271" t="str">
        <f>MID('paste from garc here'!$C$1,1+(('table for research'!$B271-1)*36+HEX2DEC('table for research'!U$1))*2,2)</f>
        <v>0F</v>
      </c>
      <c r="V271" t="str">
        <f>MID('paste from garc here'!$C$1,1+(('table for research'!$B271-1)*36+HEX2DEC('table for research'!V$1))*2,2)</f>
        <v>00</v>
      </c>
      <c r="W271" t="str">
        <f>MID('paste from garc here'!$C$1,1+(('table for research'!$B271-1)*36+HEX2DEC('table for research'!W$1))*2,2)</f>
        <v>00</v>
      </c>
      <c r="X271" t="str">
        <f>MID('paste from garc here'!$C$1,1+(('table for research'!$B271-1)*36+HEX2DEC('table for research'!X$1))*2,2)</f>
        <v>00</v>
      </c>
      <c r="Y271" t="str">
        <f>MID('paste from garc here'!$C$1,1+(('table for research'!$B271-1)*36+HEX2DEC('table for research'!Y$1))*2,2)</f>
        <v>00</v>
      </c>
      <c r="Z271" t="str">
        <f>MID('paste from garc here'!$C$1,1+(('table for research'!$B271-1)*36+HEX2DEC('table for research'!Z$1))*2,2)</f>
        <v>00</v>
      </c>
      <c r="AA271" t="str">
        <f>MID('paste from garc here'!$C$1,1+(('table for research'!$B271-1)*36+HEX2DEC('table for research'!AA$1))*2,2)</f>
        <v>00</v>
      </c>
      <c r="AB271" t="str">
        <f>MID('paste from garc here'!$C$1,1+(('table for research'!$B271-1)*36+HEX2DEC('table for research'!AB$1))*2,2)</f>
        <v>00</v>
      </c>
      <c r="AC271" t="str">
        <f>MID('paste from garc here'!$C$1,1+(('table for research'!$B271-1)*36+HEX2DEC('table for research'!AC$1))*2,2)</f>
        <v>00</v>
      </c>
      <c r="AD271" t="str">
        <f>MID('paste from garc here'!$C$1,1+(('table for research'!$B271-1)*36+HEX2DEC('table for research'!AD$1))*2,2)</f>
        <v>00</v>
      </c>
      <c r="AE271" t="str">
        <f>MID('paste from garc here'!$C$1,1+(('table for research'!$B271-1)*36+HEX2DEC('table for research'!AE$1))*2,2)</f>
        <v>00</v>
      </c>
      <c r="AF271" t="str">
        <f>MID('paste from garc here'!$C$1,1+(('table for research'!$B271-1)*36+HEX2DEC('table for research'!AF$1))*2,2)</f>
        <v>00</v>
      </c>
      <c r="AG271" t="str">
        <f>MID('paste from garc here'!$C$1,1+(('table for research'!$B271-1)*36+HEX2DEC('table for research'!AG$1))*2,2)</f>
        <v>00</v>
      </c>
      <c r="AH271" t="str">
        <f>MID('paste from garc here'!$C$1,1+(('table for research'!$B271-1)*36+HEX2DEC('table for research'!AH$1))*2,2)</f>
        <v>00</v>
      </c>
      <c r="AI271" t="str">
        <f>MID('paste from garc here'!$C$1,1+(('table for research'!$B271-1)*36+HEX2DEC('table for research'!AI$1))*2,2)</f>
        <v>00</v>
      </c>
      <c r="AJ271" t="str">
        <f>MID('paste from garc here'!$C$1,1+(('table for research'!$B271-1)*36+HEX2DEC('table for research'!AJ$1))*2,2)</f>
        <v>00</v>
      </c>
      <c r="AK271" t="str">
        <f>MID('paste from garc here'!$C$1,1+(('table for research'!$B271-1)*36+HEX2DEC('table for research'!AK$1))*2,2)</f>
        <v>00</v>
      </c>
      <c r="AL271" t="str">
        <f>MID('paste from garc here'!$C$1,1+(('table for research'!$B271-1)*36+HEX2DEC('table for research'!AL$1))*2,2)</f>
        <v>00</v>
      </c>
      <c r="AM271" t="str">
        <f>MID('paste from garc here'!$C$1,1+(('table for research'!$B271-1)*36+HEX2DEC('table for research'!AM$1))*2,2)</f>
        <v>00</v>
      </c>
      <c r="AN271" t="str">
        <f>MID('paste from garc here'!$C$1,1+(('table for research'!$B271-1)*36+HEX2DEC('table for research'!AN$1))*2,2)</f>
        <v>00</v>
      </c>
      <c r="AO271" t="str">
        <f>MID('paste from garc here'!$C$1,1+(('table for research'!$B271-1)*36+HEX2DEC('table for research'!AO$1))*2,2)</f>
        <v>00</v>
      </c>
    </row>
    <row r="272" spans="1:41" x14ac:dyDescent="0.4">
      <c r="A272" t="s">
        <v>275</v>
      </c>
      <c r="B272">
        <f>B271+1</f>
        <v>270</v>
      </c>
      <c r="C272" t="str">
        <f>MID('paste from garc here'!$C$1,1+(('table for research'!$B272-1)*36+HEX2DEC('table for research'!C$1))*2,2)</f>
        <v>EC</v>
      </c>
      <c r="D272" t="str">
        <f>MID('paste from garc here'!$C$1,1+(('table for research'!$B272-1)*36+HEX2DEC('table for research'!D$1))*2,2)</f>
        <v>13</v>
      </c>
      <c r="E272" t="str">
        <f>MID('paste from garc here'!$C$1,1+(('table for research'!$B272-1)*36+HEX2DEC('table for research'!E$1))*2,2)</f>
        <v>61</v>
      </c>
      <c r="F272" t="str">
        <f>MID('paste from garc here'!$C$1,1+(('table for research'!$B272-1)*36+HEX2DEC('table for research'!F$1))*2,2)</f>
        <v>1E</v>
      </c>
      <c r="G272" t="str">
        <f>MID('paste from garc here'!$C$1,1+(('table for research'!$B272-1)*36+HEX2DEC('table for research'!G$1))*2,2)</f>
        <v>00</v>
      </c>
      <c r="H272" t="str">
        <f>MID('paste from garc here'!$C$1,1+(('table for research'!$B272-1)*36+HEX2DEC('table for research'!H$1))*2,2)</f>
        <v>00</v>
      </c>
      <c r="I272" t="str">
        <f>MID('paste from garc here'!$C$1,1+(('table for research'!$B272-1)*36+HEX2DEC('table for research'!I$1))*2,2)</f>
        <v>1E</v>
      </c>
      <c r="J272" t="str">
        <f>MID('paste from garc here'!$C$1,1+(('table for research'!$B272-1)*36+HEX2DEC('table for research'!J$1))*2,2)</f>
        <v>00</v>
      </c>
      <c r="K272" t="str">
        <f>DEC2HEX(_xlfn.BITAND(HEX2DEC(MID('paste from garc here'!$C$1,1+(('table for research'!$B272-1)*36+HEX2DEC(8))*2,2)),31),2)</f>
        <v>1F</v>
      </c>
      <c r="L272" t="str">
        <f>DEC2HEX(_xlfn.BITAND(HEX2DEC(MID('paste from garc here'!$C$1,1+(('table for research'!$B272-1)*36+HEX2DEC(8))*2,2)),32),2)</f>
        <v>00</v>
      </c>
      <c r="M272" t="str">
        <f>DEC2HEX(_xlfn.BITAND(HEX2DEC(MID('paste from garc here'!$C$1,1+(('table for research'!$B272-1)*36+HEX2DEC(8))*2,2)),64),2)</f>
        <v>00</v>
      </c>
      <c r="N272" t="str">
        <f>DEC2HEX(_xlfn.BITRSHIFT(_xlfn.BITAND(HEX2DEC(MID('paste from garc here'!$C$1,1+(('table for research'!$B272-1)*36+HEX2DEC(9))*2,2)&amp;MID('paste from garc here'!$C$1,1+(('table for research'!$B272-1)*36+HEX2DEC(8))*2,2)),1920),7),2)</f>
        <v>00</v>
      </c>
      <c r="O272" t="str">
        <f>DEC2HEX(_xlfn.BITRSHIFT(HEX2DEC(MID('paste from garc here'!$C$1,1+(('table for research'!$B272-1)*36+HEX2DEC(9))*2,2)&amp;MID('paste from garc here'!$C$1,1+(('table for research'!$B272-1)*36+HEX2DEC(8))*2,2)),11),2)</f>
        <v>00</v>
      </c>
      <c r="P272" t="str">
        <f>MID('paste from garc here'!$C$1,1+(('table for research'!$B272-1)*36+HEX2DEC('table for research'!P$1))*2,2)</f>
        <v>00</v>
      </c>
      <c r="Q272" t="str">
        <f>MID('paste from garc here'!$C$1,1+(('table for research'!$B272-1)*36+HEX2DEC('table for research'!Q$1))*2,2)</f>
        <v>00</v>
      </c>
      <c r="R272" t="str">
        <f>MID('paste from garc here'!$C$1,1+(('table for research'!$B272-1)*36+HEX2DEC('table for research'!R$1))*2,2)</f>
        <v>00</v>
      </c>
      <c r="S272" t="str">
        <f>MID('paste from garc here'!$C$1,1+(('table for research'!$B272-1)*36+HEX2DEC('table for research'!S$1))*2,2)</f>
        <v>01</v>
      </c>
      <c r="T272" t="str">
        <f>MID('paste from garc here'!$C$1,1+(('table for research'!$B272-1)*36+HEX2DEC('table for research'!T$1))*2,2)</f>
        <v>00</v>
      </c>
      <c r="U272" t="str">
        <f>MID('paste from garc here'!$C$1,1+(('table for research'!$B272-1)*36+HEX2DEC('table for research'!U$1))*2,2)</f>
        <v>10</v>
      </c>
      <c r="V272" t="str">
        <f>MID('paste from garc here'!$C$1,1+(('table for research'!$B272-1)*36+HEX2DEC('table for research'!V$1))*2,2)</f>
        <v>00</v>
      </c>
      <c r="W272" t="str">
        <f>MID('paste from garc here'!$C$1,1+(('table for research'!$B272-1)*36+HEX2DEC('table for research'!W$1))*2,2)</f>
        <v>00</v>
      </c>
      <c r="X272" t="str">
        <f>MID('paste from garc here'!$C$1,1+(('table for research'!$B272-1)*36+HEX2DEC('table for research'!X$1))*2,2)</f>
        <v>00</v>
      </c>
      <c r="Y272" t="str">
        <f>MID('paste from garc here'!$C$1,1+(('table for research'!$B272-1)*36+HEX2DEC('table for research'!Y$1))*2,2)</f>
        <v>00</v>
      </c>
      <c r="Z272" t="str">
        <f>MID('paste from garc here'!$C$1,1+(('table for research'!$B272-1)*36+HEX2DEC('table for research'!Z$1))*2,2)</f>
        <v>00</v>
      </c>
      <c r="AA272" t="str">
        <f>MID('paste from garc here'!$C$1,1+(('table for research'!$B272-1)*36+HEX2DEC('table for research'!AA$1))*2,2)</f>
        <v>00</v>
      </c>
      <c r="AB272" t="str">
        <f>MID('paste from garc here'!$C$1,1+(('table for research'!$B272-1)*36+HEX2DEC('table for research'!AB$1))*2,2)</f>
        <v>00</v>
      </c>
      <c r="AC272" t="str">
        <f>MID('paste from garc here'!$C$1,1+(('table for research'!$B272-1)*36+HEX2DEC('table for research'!AC$1))*2,2)</f>
        <v>00</v>
      </c>
      <c r="AD272" t="str">
        <f>MID('paste from garc here'!$C$1,1+(('table for research'!$B272-1)*36+HEX2DEC('table for research'!AD$1))*2,2)</f>
        <v>00</v>
      </c>
      <c r="AE272" t="str">
        <f>MID('paste from garc here'!$C$1,1+(('table for research'!$B272-1)*36+HEX2DEC('table for research'!AE$1))*2,2)</f>
        <v>00</v>
      </c>
      <c r="AF272" t="str">
        <f>MID('paste from garc here'!$C$1,1+(('table for research'!$B272-1)*36+HEX2DEC('table for research'!AF$1))*2,2)</f>
        <v>00</v>
      </c>
      <c r="AG272" t="str">
        <f>MID('paste from garc here'!$C$1,1+(('table for research'!$B272-1)*36+HEX2DEC('table for research'!AG$1))*2,2)</f>
        <v>00</v>
      </c>
      <c r="AH272" t="str">
        <f>MID('paste from garc here'!$C$1,1+(('table for research'!$B272-1)*36+HEX2DEC('table for research'!AH$1))*2,2)</f>
        <v>00</v>
      </c>
      <c r="AI272" t="str">
        <f>MID('paste from garc here'!$C$1,1+(('table for research'!$B272-1)*36+HEX2DEC('table for research'!AI$1))*2,2)</f>
        <v>00</v>
      </c>
      <c r="AJ272" t="str">
        <f>MID('paste from garc here'!$C$1,1+(('table for research'!$B272-1)*36+HEX2DEC('table for research'!AJ$1))*2,2)</f>
        <v>00</v>
      </c>
      <c r="AK272" t="str">
        <f>MID('paste from garc here'!$C$1,1+(('table for research'!$B272-1)*36+HEX2DEC('table for research'!AK$1))*2,2)</f>
        <v>00</v>
      </c>
      <c r="AL272" t="str">
        <f>MID('paste from garc here'!$C$1,1+(('table for research'!$B272-1)*36+HEX2DEC('table for research'!AL$1))*2,2)</f>
        <v>00</v>
      </c>
      <c r="AM272" t="str">
        <f>MID('paste from garc here'!$C$1,1+(('table for research'!$B272-1)*36+HEX2DEC('table for research'!AM$1))*2,2)</f>
        <v>00</v>
      </c>
      <c r="AN272" t="str">
        <f>MID('paste from garc here'!$C$1,1+(('table for research'!$B272-1)*36+HEX2DEC('table for research'!AN$1))*2,2)</f>
        <v>00</v>
      </c>
      <c r="AO272" t="str">
        <f>MID('paste from garc here'!$C$1,1+(('table for research'!$B272-1)*36+HEX2DEC('table for research'!AO$1))*2,2)</f>
        <v>00</v>
      </c>
    </row>
    <row r="273" spans="1:41" x14ac:dyDescent="0.4">
      <c r="A273" t="s">
        <v>276</v>
      </c>
      <c r="B273">
        <f>B272+1</f>
        <v>271</v>
      </c>
      <c r="C273" t="str">
        <f>MID('paste from garc here'!$C$1,1+(('table for research'!$B273-1)*36+HEX2DEC('table for research'!C$1))*2,2)</f>
        <v>64</v>
      </c>
      <c r="D273" t="str">
        <f>MID('paste from garc here'!$C$1,1+(('table for research'!$B273-1)*36+HEX2DEC('table for research'!D$1))*2,2)</f>
        <v>00</v>
      </c>
      <c r="E273" t="str">
        <f>MID('paste from garc here'!$C$1,1+(('table for research'!$B273-1)*36+HEX2DEC('table for research'!E$1))*2,2)</f>
        <v>62</v>
      </c>
      <c r="F273" t="str">
        <f>MID('paste from garc here'!$C$1,1+(('table for research'!$B273-1)*36+HEX2DEC('table for research'!F$1))*2,2)</f>
        <v>00</v>
      </c>
      <c r="G273" t="str">
        <f>MID('paste from garc here'!$C$1,1+(('table for research'!$B273-1)*36+HEX2DEC('table for research'!G$1))*2,2)</f>
        <v>00</v>
      </c>
      <c r="H273" t="str">
        <f>MID('paste from garc here'!$C$1,1+(('table for research'!$B273-1)*36+HEX2DEC('table for research'!H$1))*2,2)</f>
        <v>00</v>
      </c>
      <c r="I273" t="str">
        <f>MID('paste from garc here'!$C$1,1+(('table for research'!$B273-1)*36+HEX2DEC('table for research'!I$1))*2,2)</f>
        <v>0A</v>
      </c>
      <c r="J273" t="str">
        <f>MID('paste from garc here'!$C$1,1+(('table for research'!$B273-1)*36+HEX2DEC('table for research'!J$1))*2,2)</f>
        <v>00</v>
      </c>
      <c r="K273" t="str">
        <f>DEC2HEX(_xlfn.BITAND(HEX2DEC(MID('paste from garc here'!$C$1,1+(('table for research'!$B273-1)*36+HEX2DEC(8))*2,2)),31),2)</f>
        <v>1F</v>
      </c>
      <c r="L273" t="str">
        <f>DEC2HEX(_xlfn.BITAND(HEX2DEC(MID('paste from garc here'!$C$1,1+(('table for research'!$B273-1)*36+HEX2DEC(8))*2,2)),32),2)</f>
        <v>00</v>
      </c>
      <c r="M273" t="str">
        <f>DEC2HEX(_xlfn.BITAND(HEX2DEC(MID('paste from garc here'!$C$1,1+(('table for research'!$B273-1)*36+HEX2DEC(8))*2,2)),64),2)</f>
        <v>00</v>
      </c>
      <c r="N273" t="str">
        <f>DEC2HEX(_xlfn.BITRSHIFT(_xlfn.BITAND(HEX2DEC(MID('paste from garc here'!$C$1,1+(('table for research'!$B273-1)*36+HEX2DEC(9))*2,2)&amp;MID('paste from garc here'!$C$1,1+(('table for research'!$B273-1)*36+HEX2DEC(8))*2,2)),1920),7),2)</f>
        <v>00</v>
      </c>
      <c r="O273" t="str">
        <f>DEC2HEX(_xlfn.BITRSHIFT(HEX2DEC(MID('paste from garc here'!$C$1,1+(('table for research'!$B273-1)*36+HEX2DEC(9))*2,2)&amp;MID('paste from garc here'!$C$1,1+(('table for research'!$B273-1)*36+HEX2DEC(8))*2,2)),11),2)</f>
        <v>00</v>
      </c>
      <c r="P273" t="str">
        <f>MID('paste from garc here'!$C$1,1+(('table for research'!$B273-1)*36+HEX2DEC('table for research'!P$1))*2,2)</f>
        <v>00</v>
      </c>
      <c r="Q273" t="str">
        <f>MID('paste from garc here'!$C$1,1+(('table for research'!$B273-1)*36+HEX2DEC('table for research'!Q$1))*2,2)</f>
        <v>00</v>
      </c>
      <c r="R273" t="str">
        <f>MID('paste from garc here'!$C$1,1+(('table for research'!$B273-1)*36+HEX2DEC('table for research'!R$1))*2,2)</f>
        <v>00</v>
      </c>
      <c r="S273" t="str">
        <f>MID('paste from garc here'!$C$1,1+(('table for research'!$B273-1)*36+HEX2DEC('table for research'!S$1))*2,2)</f>
        <v>01</v>
      </c>
      <c r="T273" t="str">
        <f>MID('paste from garc here'!$C$1,1+(('table for research'!$B273-1)*36+HEX2DEC('table for research'!T$1))*2,2)</f>
        <v>01</v>
      </c>
      <c r="U273" t="str">
        <f>MID('paste from garc here'!$C$1,1+(('table for research'!$B273-1)*36+HEX2DEC('table for research'!U$1))*2,2)</f>
        <v>1E</v>
      </c>
      <c r="V273" t="str">
        <f>MID('paste from garc here'!$C$1,1+(('table for research'!$B273-1)*36+HEX2DEC('table for research'!V$1))*2,2)</f>
        <v>00</v>
      </c>
      <c r="W273" t="str">
        <f>MID('paste from garc here'!$C$1,1+(('table for research'!$B273-1)*36+HEX2DEC('table for research'!W$1))*2,2)</f>
        <v>00</v>
      </c>
      <c r="X273" t="str">
        <f>MID('paste from garc here'!$C$1,1+(('table for research'!$B273-1)*36+HEX2DEC('table for research'!X$1))*2,2)</f>
        <v>00</v>
      </c>
      <c r="Y273" t="str">
        <f>MID('paste from garc here'!$C$1,1+(('table for research'!$B273-1)*36+HEX2DEC('table for research'!Y$1))*2,2)</f>
        <v>00</v>
      </c>
      <c r="Z273" t="str">
        <f>MID('paste from garc here'!$C$1,1+(('table for research'!$B273-1)*36+HEX2DEC('table for research'!Z$1))*2,2)</f>
        <v>00</v>
      </c>
      <c r="AA273" t="str">
        <f>MID('paste from garc here'!$C$1,1+(('table for research'!$B273-1)*36+HEX2DEC('table for research'!AA$1))*2,2)</f>
        <v>00</v>
      </c>
      <c r="AB273" t="str">
        <f>MID('paste from garc here'!$C$1,1+(('table for research'!$B273-1)*36+HEX2DEC('table for research'!AB$1))*2,2)</f>
        <v>00</v>
      </c>
      <c r="AC273" t="str">
        <f>MID('paste from garc here'!$C$1,1+(('table for research'!$B273-1)*36+HEX2DEC('table for research'!AC$1))*2,2)</f>
        <v>00</v>
      </c>
      <c r="AD273" t="str">
        <f>MID('paste from garc here'!$C$1,1+(('table for research'!$B273-1)*36+HEX2DEC('table for research'!AD$1))*2,2)</f>
        <v>00</v>
      </c>
      <c r="AE273" t="str">
        <f>MID('paste from garc here'!$C$1,1+(('table for research'!$B273-1)*36+HEX2DEC('table for research'!AE$1))*2,2)</f>
        <v>00</v>
      </c>
      <c r="AF273" t="str">
        <f>MID('paste from garc here'!$C$1,1+(('table for research'!$B273-1)*36+HEX2DEC('table for research'!AF$1))*2,2)</f>
        <v>00</v>
      </c>
      <c r="AG273" t="str">
        <f>MID('paste from garc here'!$C$1,1+(('table for research'!$B273-1)*36+HEX2DEC('table for research'!AG$1))*2,2)</f>
        <v>00</v>
      </c>
      <c r="AH273" t="str">
        <f>MID('paste from garc here'!$C$1,1+(('table for research'!$B273-1)*36+HEX2DEC('table for research'!AH$1))*2,2)</f>
        <v>00</v>
      </c>
      <c r="AI273" t="str">
        <f>MID('paste from garc here'!$C$1,1+(('table for research'!$B273-1)*36+HEX2DEC('table for research'!AI$1))*2,2)</f>
        <v>00</v>
      </c>
      <c r="AJ273" t="str">
        <f>MID('paste from garc here'!$C$1,1+(('table for research'!$B273-1)*36+HEX2DEC('table for research'!AJ$1))*2,2)</f>
        <v>00</v>
      </c>
      <c r="AK273" t="str">
        <f>MID('paste from garc here'!$C$1,1+(('table for research'!$B273-1)*36+HEX2DEC('table for research'!AK$1))*2,2)</f>
        <v>00</v>
      </c>
      <c r="AL273" t="str">
        <f>MID('paste from garc here'!$C$1,1+(('table for research'!$B273-1)*36+HEX2DEC('table for research'!AL$1))*2,2)</f>
        <v>00</v>
      </c>
      <c r="AM273" t="str">
        <f>MID('paste from garc here'!$C$1,1+(('table for research'!$B273-1)*36+HEX2DEC('table for research'!AM$1))*2,2)</f>
        <v>00</v>
      </c>
      <c r="AN273" t="str">
        <f>MID('paste from garc here'!$C$1,1+(('table for research'!$B273-1)*36+HEX2DEC('table for research'!AN$1))*2,2)</f>
        <v>00</v>
      </c>
      <c r="AO273" t="str">
        <f>MID('paste from garc here'!$C$1,1+(('table for research'!$B273-1)*36+HEX2DEC('table for research'!AO$1))*2,2)</f>
        <v>00</v>
      </c>
    </row>
    <row r="274" spans="1:41" x14ac:dyDescent="0.4">
      <c r="A274" t="s">
        <v>277</v>
      </c>
      <c r="B274">
        <f>B273+1</f>
        <v>272</v>
      </c>
      <c r="C274" t="str">
        <f>MID('paste from garc here'!$C$1,1+(('table for research'!$B274-1)*36+HEX2DEC('table for research'!C$1))*2,2)</f>
        <v>DC</v>
      </c>
      <c r="D274" t="str">
        <f>MID('paste from garc here'!$C$1,1+(('table for research'!$B274-1)*36+HEX2DEC('table for research'!D$1))*2,2)</f>
        <v>05</v>
      </c>
      <c r="E274" t="str">
        <f>MID('paste from garc here'!$C$1,1+(('table for research'!$B274-1)*36+HEX2DEC('table for research'!E$1))*2,2)</f>
        <v>51</v>
      </c>
      <c r="F274" t="str">
        <f>MID('paste from garc here'!$C$1,1+(('table for research'!$B274-1)*36+HEX2DEC('table for research'!F$1))*2,2)</f>
        <v>14</v>
      </c>
      <c r="G274" t="str">
        <f>MID('paste from garc here'!$C$1,1+(('table for research'!$B274-1)*36+HEX2DEC('table for research'!G$1))*2,2)</f>
        <v>00</v>
      </c>
      <c r="H274" t="str">
        <f>MID('paste from garc here'!$C$1,1+(('table for research'!$B274-1)*36+HEX2DEC('table for research'!H$1))*2,2)</f>
        <v>1D</v>
      </c>
      <c r="I274" t="str">
        <f>MID('paste from garc here'!$C$1,1+(('table for research'!$B274-1)*36+HEX2DEC('table for research'!I$1))*2,2)</f>
        <v>1E</v>
      </c>
      <c r="J274" t="str">
        <f>MID('paste from garc here'!$C$1,1+(('table for research'!$B274-1)*36+HEX2DEC('table for research'!J$1))*2,2)</f>
        <v>00</v>
      </c>
      <c r="K274" t="str">
        <f>DEC2HEX(_xlfn.BITAND(HEX2DEC(MID('paste from garc here'!$C$1,1+(('table for research'!$B274-1)*36+HEX2DEC(8))*2,2)),31),2)</f>
        <v>1F</v>
      </c>
      <c r="L274" t="str">
        <f>DEC2HEX(_xlfn.BITAND(HEX2DEC(MID('paste from garc here'!$C$1,1+(('table for research'!$B274-1)*36+HEX2DEC(8))*2,2)),32),2)</f>
        <v>00</v>
      </c>
      <c r="M274" t="str">
        <f>DEC2HEX(_xlfn.BITAND(HEX2DEC(MID('paste from garc here'!$C$1,1+(('table for research'!$B274-1)*36+HEX2DEC(8))*2,2)),64),2)</f>
        <v>00</v>
      </c>
      <c r="N274" t="str">
        <f>DEC2HEX(_xlfn.BITRSHIFT(_xlfn.BITAND(HEX2DEC(MID('paste from garc here'!$C$1,1+(('table for research'!$B274-1)*36+HEX2DEC(9))*2,2)&amp;MID('paste from garc here'!$C$1,1+(('table for research'!$B274-1)*36+HEX2DEC(8))*2,2)),1920),7),2)</f>
        <v>00</v>
      </c>
      <c r="O274" t="str">
        <f>DEC2HEX(_xlfn.BITRSHIFT(HEX2DEC(MID('paste from garc here'!$C$1,1+(('table for research'!$B274-1)*36+HEX2DEC(9))*2,2)&amp;MID('paste from garc here'!$C$1,1+(('table for research'!$B274-1)*36+HEX2DEC(8))*2,2)),11),2)</f>
        <v>00</v>
      </c>
      <c r="P274" t="str">
        <f>MID('paste from garc here'!$C$1,1+(('table for research'!$B274-1)*36+HEX2DEC('table for research'!P$1))*2,2)</f>
        <v>00</v>
      </c>
      <c r="Q274" t="str">
        <f>MID('paste from garc here'!$C$1,1+(('table for research'!$B274-1)*36+HEX2DEC('table for research'!Q$1))*2,2)</f>
        <v>00</v>
      </c>
      <c r="R274" t="str">
        <f>MID('paste from garc here'!$C$1,1+(('table for research'!$B274-1)*36+HEX2DEC('table for research'!R$1))*2,2)</f>
        <v>00</v>
      </c>
      <c r="S274" t="str">
        <f>MID('paste from garc here'!$C$1,1+(('table for research'!$B274-1)*36+HEX2DEC('table for research'!S$1))*2,2)</f>
        <v>01</v>
      </c>
      <c r="T274" t="str">
        <f>MID('paste from garc here'!$C$1,1+(('table for research'!$B274-1)*36+HEX2DEC('table for research'!T$1))*2,2)</f>
        <v>00</v>
      </c>
      <c r="U274" t="str">
        <f>MID('paste from garc here'!$C$1,1+(('table for research'!$B274-1)*36+HEX2DEC('table for research'!U$1))*2,2)</f>
        <v>0A</v>
      </c>
      <c r="V274" t="str">
        <f>MID('paste from garc here'!$C$1,1+(('table for research'!$B274-1)*36+HEX2DEC('table for research'!V$1))*2,2)</f>
        <v>00</v>
      </c>
      <c r="W274" t="str">
        <f>MID('paste from garc here'!$C$1,1+(('table for research'!$B274-1)*36+HEX2DEC('table for research'!W$1))*2,2)</f>
        <v>00</v>
      </c>
      <c r="X274" t="str">
        <f>MID('paste from garc here'!$C$1,1+(('table for research'!$B274-1)*36+HEX2DEC('table for research'!X$1))*2,2)</f>
        <v>00</v>
      </c>
      <c r="Y274" t="str">
        <f>MID('paste from garc here'!$C$1,1+(('table for research'!$B274-1)*36+HEX2DEC('table for research'!Y$1))*2,2)</f>
        <v>00</v>
      </c>
      <c r="Z274" t="str">
        <f>MID('paste from garc here'!$C$1,1+(('table for research'!$B274-1)*36+HEX2DEC('table for research'!Z$1))*2,2)</f>
        <v>00</v>
      </c>
      <c r="AA274" t="str">
        <f>MID('paste from garc here'!$C$1,1+(('table for research'!$B274-1)*36+HEX2DEC('table for research'!AA$1))*2,2)</f>
        <v>00</v>
      </c>
      <c r="AB274" t="str">
        <f>MID('paste from garc here'!$C$1,1+(('table for research'!$B274-1)*36+HEX2DEC('table for research'!AB$1))*2,2)</f>
        <v>00</v>
      </c>
      <c r="AC274" t="str">
        <f>MID('paste from garc here'!$C$1,1+(('table for research'!$B274-1)*36+HEX2DEC('table for research'!AC$1))*2,2)</f>
        <v>00</v>
      </c>
      <c r="AD274" t="str">
        <f>MID('paste from garc here'!$C$1,1+(('table for research'!$B274-1)*36+HEX2DEC('table for research'!AD$1))*2,2)</f>
        <v>00</v>
      </c>
      <c r="AE274" t="str">
        <f>MID('paste from garc here'!$C$1,1+(('table for research'!$B274-1)*36+HEX2DEC('table for research'!AE$1))*2,2)</f>
        <v>00</v>
      </c>
      <c r="AF274" t="str">
        <f>MID('paste from garc here'!$C$1,1+(('table for research'!$B274-1)*36+HEX2DEC('table for research'!AF$1))*2,2)</f>
        <v>00</v>
      </c>
      <c r="AG274" t="str">
        <f>MID('paste from garc here'!$C$1,1+(('table for research'!$B274-1)*36+HEX2DEC('table for research'!AG$1))*2,2)</f>
        <v>00</v>
      </c>
      <c r="AH274" t="str">
        <f>MID('paste from garc here'!$C$1,1+(('table for research'!$B274-1)*36+HEX2DEC('table for research'!AH$1))*2,2)</f>
        <v>00</v>
      </c>
      <c r="AI274" t="str">
        <f>MID('paste from garc here'!$C$1,1+(('table for research'!$B274-1)*36+HEX2DEC('table for research'!AI$1))*2,2)</f>
        <v>00</v>
      </c>
      <c r="AJ274" t="str">
        <f>MID('paste from garc here'!$C$1,1+(('table for research'!$B274-1)*36+HEX2DEC('table for research'!AJ$1))*2,2)</f>
        <v>00</v>
      </c>
      <c r="AK274" t="str">
        <f>MID('paste from garc here'!$C$1,1+(('table for research'!$B274-1)*36+HEX2DEC('table for research'!AK$1))*2,2)</f>
        <v>00</v>
      </c>
      <c r="AL274" t="str">
        <f>MID('paste from garc here'!$C$1,1+(('table for research'!$B274-1)*36+HEX2DEC('table for research'!AL$1))*2,2)</f>
        <v>00</v>
      </c>
      <c r="AM274" t="str">
        <f>MID('paste from garc here'!$C$1,1+(('table for research'!$B274-1)*36+HEX2DEC('table for research'!AM$1))*2,2)</f>
        <v>00</v>
      </c>
      <c r="AN274" t="str">
        <f>MID('paste from garc here'!$C$1,1+(('table for research'!$B274-1)*36+HEX2DEC('table for research'!AN$1))*2,2)</f>
        <v>00</v>
      </c>
      <c r="AO274" t="str">
        <f>MID('paste from garc here'!$C$1,1+(('table for research'!$B274-1)*36+HEX2DEC('table for research'!AO$1))*2,2)</f>
        <v>00</v>
      </c>
    </row>
    <row r="275" spans="1:41" x14ac:dyDescent="0.4">
      <c r="A275" t="s">
        <v>278</v>
      </c>
      <c r="B275">
        <f>B274+1</f>
        <v>273</v>
      </c>
      <c r="C275" t="str">
        <f>MID('paste from garc here'!$C$1,1+(('table for research'!$B275-1)*36+HEX2DEC('table for research'!C$1))*2,2)</f>
        <v>DC</v>
      </c>
      <c r="D275" t="str">
        <f>MID('paste from garc here'!$C$1,1+(('table for research'!$B275-1)*36+HEX2DEC('table for research'!D$1))*2,2)</f>
        <v>05</v>
      </c>
      <c r="E275" t="str">
        <f>MID('paste from garc here'!$C$1,1+(('table for research'!$B275-1)*36+HEX2DEC('table for research'!E$1))*2,2)</f>
        <v>64</v>
      </c>
      <c r="F275" t="str">
        <f>MID('paste from garc here'!$C$1,1+(('table for research'!$B275-1)*36+HEX2DEC('table for research'!F$1))*2,2)</f>
        <v>00</v>
      </c>
      <c r="G275" t="str">
        <f>MID('paste from garc here'!$C$1,1+(('table for research'!$B275-1)*36+HEX2DEC('table for research'!G$1))*2,2)</f>
        <v>00</v>
      </c>
      <c r="H275" t="str">
        <f>MID('paste from garc here'!$C$1,1+(('table for research'!$B275-1)*36+HEX2DEC('table for research'!H$1))*2,2)</f>
        <v>1E</v>
      </c>
      <c r="I275" t="str">
        <f>MID('paste from garc here'!$C$1,1+(('table for research'!$B275-1)*36+HEX2DEC('table for research'!I$1))*2,2)</f>
        <v>1E</v>
      </c>
      <c r="J275" t="str">
        <f>MID('paste from garc here'!$C$1,1+(('table for research'!$B275-1)*36+HEX2DEC('table for research'!J$1))*2,2)</f>
        <v>00</v>
      </c>
      <c r="K275" t="str">
        <f>DEC2HEX(_xlfn.BITAND(HEX2DEC(MID('paste from garc here'!$C$1,1+(('table for research'!$B275-1)*36+HEX2DEC(8))*2,2)),31),2)</f>
        <v>1F</v>
      </c>
      <c r="L275" t="str">
        <f>DEC2HEX(_xlfn.BITAND(HEX2DEC(MID('paste from garc here'!$C$1,1+(('table for research'!$B275-1)*36+HEX2DEC(8))*2,2)),32),2)</f>
        <v>00</v>
      </c>
      <c r="M275" t="str">
        <f>DEC2HEX(_xlfn.BITAND(HEX2DEC(MID('paste from garc here'!$C$1,1+(('table for research'!$B275-1)*36+HEX2DEC(8))*2,2)),64),2)</f>
        <v>00</v>
      </c>
      <c r="N275" t="str">
        <f>DEC2HEX(_xlfn.BITRSHIFT(_xlfn.BITAND(HEX2DEC(MID('paste from garc here'!$C$1,1+(('table for research'!$B275-1)*36+HEX2DEC(9))*2,2)&amp;MID('paste from garc here'!$C$1,1+(('table for research'!$B275-1)*36+HEX2DEC(8))*2,2)),1920),7),2)</f>
        <v>00</v>
      </c>
      <c r="O275" t="str">
        <f>DEC2HEX(_xlfn.BITRSHIFT(HEX2DEC(MID('paste from garc here'!$C$1,1+(('table for research'!$B275-1)*36+HEX2DEC(9))*2,2)&amp;MID('paste from garc here'!$C$1,1+(('table for research'!$B275-1)*36+HEX2DEC(8))*2,2)),11),2)</f>
        <v>00</v>
      </c>
      <c r="P275" t="str">
        <f>MID('paste from garc here'!$C$1,1+(('table for research'!$B275-1)*36+HEX2DEC('table for research'!P$1))*2,2)</f>
        <v>00</v>
      </c>
      <c r="Q275" t="str">
        <f>MID('paste from garc here'!$C$1,1+(('table for research'!$B275-1)*36+HEX2DEC('table for research'!Q$1))*2,2)</f>
        <v>00</v>
      </c>
      <c r="R275" t="str">
        <f>MID('paste from garc here'!$C$1,1+(('table for research'!$B275-1)*36+HEX2DEC('table for research'!R$1))*2,2)</f>
        <v>00</v>
      </c>
      <c r="S275" t="str">
        <f>MID('paste from garc here'!$C$1,1+(('table for research'!$B275-1)*36+HEX2DEC('table for research'!S$1))*2,2)</f>
        <v>01</v>
      </c>
      <c r="T275" t="str">
        <f>MID('paste from garc here'!$C$1,1+(('table for research'!$B275-1)*36+HEX2DEC('table for research'!T$1))*2,2)</f>
        <v>00</v>
      </c>
      <c r="U275" t="str">
        <f>MID('paste from garc here'!$C$1,1+(('table for research'!$B275-1)*36+HEX2DEC('table for research'!U$1))*2,2)</f>
        <v>09</v>
      </c>
      <c r="V275" t="str">
        <f>MID('paste from garc here'!$C$1,1+(('table for research'!$B275-1)*36+HEX2DEC('table for research'!V$1))*2,2)</f>
        <v>00</v>
      </c>
      <c r="W275" t="str">
        <f>MID('paste from garc here'!$C$1,1+(('table for research'!$B275-1)*36+HEX2DEC('table for research'!W$1))*2,2)</f>
        <v>00</v>
      </c>
      <c r="X275" t="str">
        <f>MID('paste from garc here'!$C$1,1+(('table for research'!$B275-1)*36+HEX2DEC('table for research'!X$1))*2,2)</f>
        <v>00</v>
      </c>
      <c r="Y275" t="str">
        <f>MID('paste from garc here'!$C$1,1+(('table for research'!$B275-1)*36+HEX2DEC('table for research'!Y$1))*2,2)</f>
        <v>00</v>
      </c>
      <c r="Z275" t="str">
        <f>MID('paste from garc here'!$C$1,1+(('table for research'!$B275-1)*36+HEX2DEC('table for research'!Z$1))*2,2)</f>
        <v>00</v>
      </c>
      <c r="AA275" t="str">
        <f>MID('paste from garc here'!$C$1,1+(('table for research'!$B275-1)*36+HEX2DEC('table for research'!AA$1))*2,2)</f>
        <v>00</v>
      </c>
      <c r="AB275" t="str">
        <f>MID('paste from garc here'!$C$1,1+(('table for research'!$B275-1)*36+HEX2DEC('table for research'!AB$1))*2,2)</f>
        <v>00</v>
      </c>
      <c r="AC275" t="str">
        <f>MID('paste from garc here'!$C$1,1+(('table for research'!$B275-1)*36+HEX2DEC('table for research'!AC$1))*2,2)</f>
        <v>00</v>
      </c>
      <c r="AD275" t="str">
        <f>MID('paste from garc here'!$C$1,1+(('table for research'!$B275-1)*36+HEX2DEC('table for research'!AD$1))*2,2)</f>
        <v>00</v>
      </c>
      <c r="AE275" t="str">
        <f>MID('paste from garc here'!$C$1,1+(('table for research'!$B275-1)*36+HEX2DEC('table for research'!AE$1))*2,2)</f>
        <v>00</v>
      </c>
      <c r="AF275" t="str">
        <f>MID('paste from garc here'!$C$1,1+(('table for research'!$B275-1)*36+HEX2DEC('table for research'!AF$1))*2,2)</f>
        <v>00</v>
      </c>
      <c r="AG275" t="str">
        <f>MID('paste from garc here'!$C$1,1+(('table for research'!$B275-1)*36+HEX2DEC('table for research'!AG$1))*2,2)</f>
        <v>00</v>
      </c>
      <c r="AH275" t="str">
        <f>MID('paste from garc here'!$C$1,1+(('table for research'!$B275-1)*36+HEX2DEC('table for research'!AH$1))*2,2)</f>
        <v>00</v>
      </c>
      <c r="AI275" t="str">
        <f>MID('paste from garc here'!$C$1,1+(('table for research'!$B275-1)*36+HEX2DEC('table for research'!AI$1))*2,2)</f>
        <v>00</v>
      </c>
      <c r="AJ275" t="str">
        <f>MID('paste from garc here'!$C$1,1+(('table for research'!$B275-1)*36+HEX2DEC('table for research'!AJ$1))*2,2)</f>
        <v>00</v>
      </c>
      <c r="AK275" t="str">
        <f>MID('paste from garc here'!$C$1,1+(('table for research'!$B275-1)*36+HEX2DEC('table for research'!AK$1))*2,2)</f>
        <v>00</v>
      </c>
      <c r="AL275" t="str">
        <f>MID('paste from garc here'!$C$1,1+(('table for research'!$B275-1)*36+HEX2DEC('table for research'!AL$1))*2,2)</f>
        <v>00</v>
      </c>
      <c r="AM275" t="str">
        <f>MID('paste from garc here'!$C$1,1+(('table for research'!$B275-1)*36+HEX2DEC('table for research'!AM$1))*2,2)</f>
        <v>00</v>
      </c>
      <c r="AN275" t="str">
        <f>MID('paste from garc here'!$C$1,1+(('table for research'!$B275-1)*36+HEX2DEC('table for research'!AN$1))*2,2)</f>
        <v>00</v>
      </c>
      <c r="AO275" t="str">
        <f>MID('paste from garc here'!$C$1,1+(('table for research'!$B275-1)*36+HEX2DEC('table for research'!AO$1))*2,2)</f>
        <v>00</v>
      </c>
    </row>
    <row r="276" spans="1:41" x14ac:dyDescent="0.4">
      <c r="A276" t="s">
        <v>279</v>
      </c>
      <c r="B276">
        <f>B275+1</f>
        <v>274</v>
      </c>
      <c r="C276" t="str">
        <f>MID('paste from garc here'!$C$1,1+(('table for research'!$B276-1)*36+HEX2DEC('table for research'!C$1))*2,2)</f>
        <v>64</v>
      </c>
      <c r="D276" t="str">
        <f>MID('paste from garc here'!$C$1,1+(('table for research'!$B276-1)*36+HEX2DEC('table for research'!D$1))*2,2)</f>
        <v>00</v>
      </c>
      <c r="E276" t="str">
        <f>MID('paste from garc here'!$C$1,1+(('table for research'!$B276-1)*36+HEX2DEC('table for research'!E$1))*2,2)</f>
        <v>65</v>
      </c>
      <c r="F276" t="str">
        <f>MID('paste from garc here'!$C$1,1+(('table for research'!$B276-1)*36+HEX2DEC('table for research'!F$1))*2,2)</f>
        <v>00</v>
      </c>
      <c r="G276" t="str">
        <f>MID('paste from garc here'!$C$1,1+(('table for research'!$B276-1)*36+HEX2DEC('table for research'!G$1))*2,2)</f>
        <v>00</v>
      </c>
      <c r="H276" t="str">
        <f>MID('paste from garc here'!$C$1,1+(('table for research'!$B276-1)*36+HEX2DEC('table for research'!H$1))*2,2)</f>
        <v>00</v>
      </c>
      <c r="I276" t="str">
        <f>MID('paste from garc here'!$C$1,1+(('table for research'!$B276-1)*36+HEX2DEC('table for research'!I$1))*2,2)</f>
        <v>0A</v>
      </c>
      <c r="J276" t="str">
        <f>MID('paste from garc here'!$C$1,1+(('table for research'!$B276-1)*36+HEX2DEC('table for research'!J$1))*2,2)</f>
        <v>00</v>
      </c>
      <c r="K276" t="str">
        <f>DEC2HEX(_xlfn.BITAND(HEX2DEC(MID('paste from garc here'!$C$1,1+(('table for research'!$B276-1)*36+HEX2DEC(8))*2,2)),31),2)</f>
        <v>1F</v>
      </c>
      <c r="L276" t="str">
        <f>DEC2HEX(_xlfn.BITAND(HEX2DEC(MID('paste from garc here'!$C$1,1+(('table for research'!$B276-1)*36+HEX2DEC(8))*2,2)),32),2)</f>
        <v>00</v>
      </c>
      <c r="M276" t="str">
        <f>DEC2HEX(_xlfn.BITAND(HEX2DEC(MID('paste from garc here'!$C$1,1+(('table for research'!$B276-1)*36+HEX2DEC(8))*2,2)),64),2)</f>
        <v>00</v>
      </c>
      <c r="N276" t="str">
        <f>DEC2HEX(_xlfn.BITRSHIFT(_xlfn.BITAND(HEX2DEC(MID('paste from garc here'!$C$1,1+(('table for research'!$B276-1)*36+HEX2DEC(9))*2,2)&amp;MID('paste from garc here'!$C$1,1+(('table for research'!$B276-1)*36+HEX2DEC(8))*2,2)),1920),7),2)</f>
        <v>00</v>
      </c>
      <c r="O276" t="str">
        <f>DEC2HEX(_xlfn.BITRSHIFT(HEX2DEC(MID('paste from garc here'!$C$1,1+(('table for research'!$B276-1)*36+HEX2DEC(9))*2,2)&amp;MID('paste from garc here'!$C$1,1+(('table for research'!$B276-1)*36+HEX2DEC(8))*2,2)),11),2)</f>
        <v>00</v>
      </c>
      <c r="P276" t="str">
        <f>MID('paste from garc here'!$C$1,1+(('table for research'!$B276-1)*36+HEX2DEC('table for research'!P$1))*2,2)</f>
        <v>00</v>
      </c>
      <c r="Q276" t="str">
        <f>MID('paste from garc here'!$C$1,1+(('table for research'!$B276-1)*36+HEX2DEC('table for research'!Q$1))*2,2)</f>
        <v>00</v>
      </c>
      <c r="R276" t="str">
        <f>MID('paste from garc here'!$C$1,1+(('table for research'!$B276-1)*36+HEX2DEC('table for research'!R$1))*2,2)</f>
        <v>00</v>
      </c>
      <c r="S276" t="str">
        <f>MID('paste from garc here'!$C$1,1+(('table for research'!$B276-1)*36+HEX2DEC('table for research'!S$1))*2,2)</f>
        <v>01</v>
      </c>
      <c r="T276" t="str">
        <f>MID('paste from garc here'!$C$1,1+(('table for research'!$B276-1)*36+HEX2DEC('table for research'!T$1))*2,2)</f>
        <v>00</v>
      </c>
      <c r="U276" t="str">
        <f>MID('paste from garc here'!$C$1,1+(('table for research'!$B276-1)*36+HEX2DEC('table for research'!U$1))*2,2)</f>
        <v>3C</v>
      </c>
      <c r="V276" t="str">
        <f>MID('paste from garc here'!$C$1,1+(('table for research'!$B276-1)*36+HEX2DEC('table for research'!V$1))*2,2)</f>
        <v>00</v>
      </c>
      <c r="W276" t="str">
        <f>MID('paste from garc here'!$C$1,1+(('table for research'!$B276-1)*36+HEX2DEC('table for research'!W$1))*2,2)</f>
        <v>00</v>
      </c>
      <c r="X276" t="str">
        <f>MID('paste from garc here'!$C$1,1+(('table for research'!$B276-1)*36+HEX2DEC('table for research'!X$1))*2,2)</f>
        <v>00</v>
      </c>
      <c r="Y276" t="str">
        <f>MID('paste from garc here'!$C$1,1+(('table for research'!$B276-1)*36+HEX2DEC('table for research'!Y$1))*2,2)</f>
        <v>00</v>
      </c>
      <c r="Z276" t="str">
        <f>MID('paste from garc here'!$C$1,1+(('table for research'!$B276-1)*36+HEX2DEC('table for research'!Z$1))*2,2)</f>
        <v>00</v>
      </c>
      <c r="AA276" t="str">
        <f>MID('paste from garc here'!$C$1,1+(('table for research'!$B276-1)*36+HEX2DEC('table for research'!AA$1))*2,2)</f>
        <v>00</v>
      </c>
      <c r="AB276" t="str">
        <f>MID('paste from garc here'!$C$1,1+(('table for research'!$B276-1)*36+HEX2DEC('table for research'!AB$1))*2,2)</f>
        <v>00</v>
      </c>
      <c r="AC276" t="str">
        <f>MID('paste from garc here'!$C$1,1+(('table for research'!$B276-1)*36+HEX2DEC('table for research'!AC$1))*2,2)</f>
        <v>00</v>
      </c>
      <c r="AD276" t="str">
        <f>MID('paste from garc here'!$C$1,1+(('table for research'!$B276-1)*36+HEX2DEC('table for research'!AD$1))*2,2)</f>
        <v>00</v>
      </c>
      <c r="AE276" t="str">
        <f>MID('paste from garc here'!$C$1,1+(('table for research'!$B276-1)*36+HEX2DEC('table for research'!AE$1))*2,2)</f>
        <v>00</v>
      </c>
      <c r="AF276" t="str">
        <f>MID('paste from garc here'!$C$1,1+(('table for research'!$B276-1)*36+HEX2DEC('table for research'!AF$1))*2,2)</f>
        <v>00</v>
      </c>
      <c r="AG276" t="str">
        <f>MID('paste from garc here'!$C$1,1+(('table for research'!$B276-1)*36+HEX2DEC('table for research'!AG$1))*2,2)</f>
        <v>00</v>
      </c>
      <c r="AH276" t="str">
        <f>MID('paste from garc here'!$C$1,1+(('table for research'!$B276-1)*36+HEX2DEC('table for research'!AH$1))*2,2)</f>
        <v>00</v>
      </c>
      <c r="AI276" t="str">
        <f>MID('paste from garc here'!$C$1,1+(('table for research'!$B276-1)*36+HEX2DEC('table for research'!AI$1))*2,2)</f>
        <v>00</v>
      </c>
      <c r="AJ276" t="str">
        <f>MID('paste from garc here'!$C$1,1+(('table for research'!$B276-1)*36+HEX2DEC('table for research'!AJ$1))*2,2)</f>
        <v>00</v>
      </c>
      <c r="AK276" t="str">
        <f>MID('paste from garc here'!$C$1,1+(('table for research'!$B276-1)*36+HEX2DEC('table for research'!AK$1))*2,2)</f>
        <v>00</v>
      </c>
      <c r="AL276" t="str">
        <f>MID('paste from garc here'!$C$1,1+(('table for research'!$B276-1)*36+HEX2DEC('table for research'!AL$1))*2,2)</f>
        <v>00</v>
      </c>
      <c r="AM276" t="str">
        <f>MID('paste from garc here'!$C$1,1+(('table for research'!$B276-1)*36+HEX2DEC('table for research'!AM$1))*2,2)</f>
        <v>00</v>
      </c>
      <c r="AN276" t="str">
        <f>MID('paste from garc here'!$C$1,1+(('table for research'!$B276-1)*36+HEX2DEC('table for research'!AN$1))*2,2)</f>
        <v>00</v>
      </c>
      <c r="AO276" t="str">
        <f>MID('paste from garc here'!$C$1,1+(('table for research'!$B276-1)*36+HEX2DEC('table for research'!AO$1))*2,2)</f>
        <v>00</v>
      </c>
    </row>
    <row r="277" spans="1:41" x14ac:dyDescent="0.4">
      <c r="A277" t="s">
        <v>280</v>
      </c>
      <c r="B277">
        <f>B276+1</f>
        <v>275</v>
      </c>
      <c r="C277" t="str">
        <f>MID('paste from garc here'!$C$1,1+(('table for research'!$B277-1)*36+HEX2DEC('table for research'!C$1))*2,2)</f>
        <v>78</v>
      </c>
      <c r="D277" t="str">
        <f>MID('paste from garc here'!$C$1,1+(('table for research'!$B277-1)*36+HEX2DEC('table for research'!D$1))*2,2)</f>
        <v>00</v>
      </c>
      <c r="E277" t="str">
        <f>MID('paste from garc here'!$C$1,1+(('table for research'!$B277-1)*36+HEX2DEC('table for research'!E$1))*2,2)</f>
        <v>66</v>
      </c>
      <c r="F277" t="str">
        <f>MID('paste from garc here'!$C$1,1+(('table for research'!$B277-1)*36+HEX2DEC('table for research'!F$1))*2,2)</f>
        <v>00</v>
      </c>
      <c r="G277" t="str">
        <f>MID('paste from garc here'!$C$1,1+(('table for research'!$B277-1)*36+HEX2DEC('table for research'!G$1))*2,2)</f>
        <v>00</v>
      </c>
      <c r="H277" t="str">
        <f>MID('paste from garc here'!$C$1,1+(('table for research'!$B277-1)*36+HEX2DEC('table for research'!H$1))*2,2)</f>
        <v>00</v>
      </c>
      <c r="I277" t="str">
        <f>MID('paste from garc here'!$C$1,1+(('table for research'!$B277-1)*36+HEX2DEC('table for research'!I$1))*2,2)</f>
        <v>0A</v>
      </c>
      <c r="J277" t="str">
        <f>MID('paste from garc here'!$C$1,1+(('table for research'!$B277-1)*36+HEX2DEC('table for research'!J$1))*2,2)</f>
        <v>00</v>
      </c>
      <c r="K277" t="str">
        <f>DEC2HEX(_xlfn.BITAND(HEX2DEC(MID('paste from garc here'!$C$1,1+(('table for research'!$B277-1)*36+HEX2DEC(8))*2,2)),31),2)</f>
        <v>1F</v>
      </c>
      <c r="L277" t="str">
        <f>DEC2HEX(_xlfn.BITAND(HEX2DEC(MID('paste from garc here'!$C$1,1+(('table for research'!$B277-1)*36+HEX2DEC(8))*2,2)),32),2)</f>
        <v>00</v>
      </c>
      <c r="M277" t="str">
        <f>DEC2HEX(_xlfn.BITAND(HEX2DEC(MID('paste from garc here'!$C$1,1+(('table for research'!$B277-1)*36+HEX2DEC(8))*2,2)),64),2)</f>
        <v>00</v>
      </c>
      <c r="N277" t="str">
        <f>DEC2HEX(_xlfn.BITRSHIFT(_xlfn.BITAND(HEX2DEC(MID('paste from garc here'!$C$1,1+(('table for research'!$B277-1)*36+HEX2DEC(9))*2,2)&amp;MID('paste from garc here'!$C$1,1+(('table for research'!$B277-1)*36+HEX2DEC(8))*2,2)),1920),7),2)</f>
        <v>00</v>
      </c>
      <c r="O277" t="str">
        <f>DEC2HEX(_xlfn.BITRSHIFT(HEX2DEC(MID('paste from garc here'!$C$1,1+(('table for research'!$B277-1)*36+HEX2DEC(9))*2,2)&amp;MID('paste from garc here'!$C$1,1+(('table for research'!$B277-1)*36+HEX2DEC(8))*2,2)),11),2)</f>
        <v>00</v>
      </c>
      <c r="P277" t="str">
        <f>MID('paste from garc here'!$C$1,1+(('table for research'!$B277-1)*36+HEX2DEC('table for research'!P$1))*2,2)</f>
        <v>00</v>
      </c>
      <c r="Q277" t="str">
        <f>MID('paste from garc here'!$C$1,1+(('table for research'!$B277-1)*36+HEX2DEC('table for research'!Q$1))*2,2)</f>
        <v>00</v>
      </c>
      <c r="R277" t="str">
        <f>MID('paste from garc here'!$C$1,1+(('table for research'!$B277-1)*36+HEX2DEC('table for research'!R$1))*2,2)</f>
        <v>00</v>
      </c>
      <c r="S277" t="str">
        <f>MID('paste from garc here'!$C$1,1+(('table for research'!$B277-1)*36+HEX2DEC('table for research'!S$1))*2,2)</f>
        <v>01</v>
      </c>
      <c r="T277" t="str">
        <f>MID('paste from garc here'!$C$1,1+(('table for research'!$B277-1)*36+HEX2DEC('table for research'!T$1))*2,2)</f>
        <v>01</v>
      </c>
      <c r="U277" t="str">
        <f>MID('paste from garc here'!$C$1,1+(('table for research'!$B277-1)*36+HEX2DEC('table for research'!U$1))*2,2)</f>
        <v>13</v>
      </c>
      <c r="V277" t="str">
        <f>MID('paste from garc here'!$C$1,1+(('table for research'!$B277-1)*36+HEX2DEC('table for research'!V$1))*2,2)</f>
        <v>00</v>
      </c>
      <c r="W277" t="str">
        <f>MID('paste from garc here'!$C$1,1+(('table for research'!$B277-1)*36+HEX2DEC('table for research'!W$1))*2,2)</f>
        <v>00</v>
      </c>
      <c r="X277" t="str">
        <f>MID('paste from garc here'!$C$1,1+(('table for research'!$B277-1)*36+HEX2DEC('table for research'!X$1))*2,2)</f>
        <v>00</v>
      </c>
      <c r="Y277" t="str">
        <f>MID('paste from garc here'!$C$1,1+(('table for research'!$B277-1)*36+HEX2DEC('table for research'!Y$1))*2,2)</f>
        <v>00</v>
      </c>
      <c r="Z277" t="str">
        <f>MID('paste from garc here'!$C$1,1+(('table for research'!$B277-1)*36+HEX2DEC('table for research'!Z$1))*2,2)</f>
        <v>00</v>
      </c>
      <c r="AA277" t="str">
        <f>MID('paste from garc here'!$C$1,1+(('table for research'!$B277-1)*36+HEX2DEC('table for research'!AA$1))*2,2)</f>
        <v>00</v>
      </c>
      <c r="AB277" t="str">
        <f>MID('paste from garc here'!$C$1,1+(('table for research'!$B277-1)*36+HEX2DEC('table for research'!AB$1))*2,2)</f>
        <v>00</v>
      </c>
      <c r="AC277" t="str">
        <f>MID('paste from garc here'!$C$1,1+(('table for research'!$B277-1)*36+HEX2DEC('table for research'!AC$1))*2,2)</f>
        <v>00</v>
      </c>
      <c r="AD277" t="str">
        <f>MID('paste from garc here'!$C$1,1+(('table for research'!$B277-1)*36+HEX2DEC('table for research'!AD$1))*2,2)</f>
        <v>00</v>
      </c>
      <c r="AE277" t="str">
        <f>MID('paste from garc here'!$C$1,1+(('table for research'!$B277-1)*36+HEX2DEC('table for research'!AE$1))*2,2)</f>
        <v>00</v>
      </c>
      <c r="AF277" t="str">
        <f>MID('paste from garc here'!$C$1,1+(('table for research'!$B277-1)*36+HEX2DEC('table for research'!AF$1))*2,2)</f>
        <v>00</v>
      </c>
      <c r="AG277" t="str">
        <f>MID('paste from garc here'!$C$1,1+(('table for research'!$B277-1)*36+HEX2DEC('table for research'!AG$1))*2,2)</f>
        <v>00</v>
      </c>
      <c r="AH277" t="str">
        <f>MID('paste from garc here'!$C$1,1+(('table for research'!$B277-1)*36+HEX2DEC('table for research'!AH$1))*2,2)</f>
        <v>00</v>
      </c>
      <c r="AI277" t="str">
        <f>MID('paste from garc here'!$C$1,1+(('table for research'!$B277-1)*36+HEX2DEC('table for research'!AI$1))*2,2)</f>
        <v>00</v>
      </c>
      <c r="AJ277" t="str">
        <f>MID('paste from garc here'!$C$1,1+(('table for research'!$B277-1)*36+HEX2DEC('table for research'!AJ$1))*2,2)</f>
        <v>00</v>
      </c>
      <c r="AK277" t="str">
        <f>MID('paste from garc here'!$C$1,1+(('table for research'!$B277-1)*36+HEX2DEC('table for research'!AK$1))*2,2)</f>
        <v>00</v>
      </c>
      <c r="AL277" t="str">
        <f>MID('paste from garc here'!$C$1,1+(('table for research'!$B277-1)*36+HEX2DEC('table for research'!AL$1))*2,2)</f>
        <v>00</v>
      </c>
      <c r="AM277" t="str">
        <f>MID('paste from garc here'!$C$1,1+(('table for research'!$B277-1)*36+HEX2DEC('table for research'!AM$1))*2,2)</f>
        <v>00</v>
      </c>
      <c r="AN277" t="str">
        <f>MID('paste from garc here'!$C$1,1+(('table for research'!$B277-1)*36+HEX2DEC('table for research'!AN$1))*2,2)</f>
        <v>00</v>
      </c>
      <c r="AO277" t="str">
        <f>MID('paste from garc here'!$C$1,1+(('table for research'!$B277-1)*36+HEX2DEC('table for research'!AO$1))*2,2)</f>
        <v>00</v>
      </c>
    </row>
    <row r="278" spans="1:41" x14ac:dyDescent="0.4">
      <c r="A278" t="s">
        <v>281</v>
      </c>
      <c r="B278">
        <f>B277+1</f>
        <v>276</v>
      </c>
      <c r="C278" t="str">
        <f>MID('paste from garc here'!$C$1,1+(('table for research'!$B278-1)*36+HEX2DEC('table for research'!C$1))*2,2)</f>
        <v>90</v>
      </c>
      <c r="D278" t="str">
        <f>MID('paste from garc here'!$C$1,1+(('table for research'!$B278-1)*36+HEX2DEC('table for research'!D$1))*2,2)</f>
        <v>01</v>
      </c>
      <c r="E278" t="str">
        <f>MID('paste from garc here'!$C$1,1+(('table for research'!$B278-1)*36+HEX2DEC('table for research'!E$1))*2,2)</f>
        <v>67</v>
      </c>
      <c r="F278" t="str">
        <f>MID('paste from garc here'!$C$1,1+(('table for research'!$B278-1)*36+HEX2DEC('table for research'!F$1))*2,2)</f>
        <v>28</v>
      </c>
      <c r="G278" t="str">
        <f>MID('paste from garc here'!$C$1,1+(('table for research'!$B278-1)*36+HEX2DEC('table for research'!G$1))*2,2)</f>
        <v>00</v>
      </c>
      <c r="H278" t="str">
        <f>MID('paste from garc here'!$C$1,1+(('table for research'!$B278-1)*36+HEX2DEC('table for research'!H$1))*2,2)</f>
        <v>00</v>
      </c>
      <c r="I278" t="str">
        <f>MID('paste from garc here'!$C$1,1+(('table for research'!$B278-1)*36+HEX2DEC('table for research'!I$1))*2,2)</f>
        <v>0A</v>
      </c>
      <c r="J278" t="str">
        <f>MID('paste from garc here'!$C$1,1+(('table for research'!$B278-1)*36+HEX2DEC('table for research'!J$1))*2,2)</f>
        <v>00</v>
      </c>
      <c r="K278" t="str">
        <f>DEC2HEX(_xlfn.BITAND(HEX2DEC(MID('paste from garc here'!$C$1,1+(('table for research'!$B278-1)*36+HEX2DEC(8))*2,2)),31),2)</f>
        <v>1F</v>
      </c>
      <c r="L278" t="str">
        <f>DEC2HEX(_xlfn.BITAND(HEX2DEC(MID('paste from garc here'!$C$1,1+(('table for research'!$B278-1)*36+HEX2DEC(8))*2,2)),32),2)</f>
        <v>00</v>
      </c>
      <c r="M278" t="str">
        <f>DEC2HEX(_xlfn.BITAND(HEX2DEC(MID('paste from garc here'!$C$1,1+(('table for research'!$B278-1)*36+HEX2DEC(8))*2,2)),64),2)</f>
        <v>00</v>
      </c>
      <c r="N278" t="str">
        <f>DEC2HEX(_xlfn.BITRSHIFT(_xlfn.BITAND(HEX2DEC(MID('paste from garc here'!$C$1,1+(('table for research'!$B278-1)*36+HEX2DEC(9))*2,2)&amp;MID('paste from garc here'!$C$1,1+(('table for research'!$B278-1)*36+HEX2DEC(8))*2,2)),1920),7),2)</f>
        <v>00</v>
      </c>
      <c r="O278" t="str">
        <f>DEC2HEX(_xlfn.BITRSHIFT(HEX2DEC(MID('paste from garc here'!$C$1,1+(('table for research'!$B278-1)*36+HEX2DEC(9))*2,2)&amp;MID('paste from garc here'!$C$1,1+(('table for research'!$B278-1)*36+HEX2DEC(8))*2,2)),11),2)</f>
        <v>00</v>
      </c>
      <c r="P278" t="str">
        <f>MID('paste from garc here'!$C$1,1+(('table for research'!$B278-1)*36+HEX2DEC('table for research'!P$1))*2,2)</f>
        <v>00</v>
      </c>
      <c r="Q278" t="str">
        <f>MID('paste from garc here'!$C$1,1+(('table for research'!$B278-1)*36+HEX2DEC('table for research'!Q$1))*2,2)</f>
        <v>00</v>
      </c>
      <c r="R278" t="str">
        <f>MID('paste from garc here'!$C$1,1+(('table for research'!$B278-1)*36+HEX2DEC('table for research'!R$1))*2,2)</f>
        <v>00</v>
      </c>
      <c r="S278" t="str">
        <f>MID('paste from garc here'!$C$1,1+(('table for research'!$B278-1)*36+HEX2DEC('table for research'!S$1))*2,2)</f>
        <v>01</v>
      </c>
      <c r="T278" t="str">
        <f>MID('paste from garc here'!$C$1,1+(('table for research'!$B278-1)*36+HEX2DEC('table for research'!T$1))*2,2)</f>
        <v>00</v>
      </c>
      <c r="U278" t="str">
        <f>MID('paste from garc here'!$C$1,1+(('table for research'!$B278-1)*36+HEX2DEC('table for research'!U$1))*2,2)</f>
        <v>23</v>
      </c>
      <c r="V278" t="str">
        <f>MID('paste from garc here'!$C$1,1+(('table for research'!$B278-1)*36+HEX2DEC('table for research'!V$1))*2,2)</f>
        <v>00</v>
      </c>
      <c r="W278" t="str">
        <f>MID('paste from garc here'!$C$1,1+(('table for research'!$B278-1)*36+HEX2DEC('table for research'!W$1))*2,2)</f>
        <v>00</v>
      </c>
      <c r="X278" t="str">
        <f>MID('paste from garc here'!$C$1,1+(('table for research'!$B278-1)*36+HEX2DEC('table for research'!X$1))*2,2)</f>
        <v>00</v>
      </c>
      <c r="Y278" t="str">
        <f>MID('paste from garc here'!$C$1,1+(('table for research'!$B278-1)*36+HEX2DEC('table for research'!Y$1))*2,2)</f>
        <v>00</v>
      </c>
      <c r="Z278" t="str">
        <f>MID('paste from garc here'!$C$1,1+(('table for research'!$B278-1)*36+HEX2DEC('table for research'!Z$1))*2,2)</f>
        <v>00</v>
      </c>
      <c r="AA278" t="str">
        <f>MID('paste from garc here'!$C$1,1+(('table for research'!$B278-1)*36+HEX2DEC('table for research'!AA$1))*2,2)</f>
        <v>00</v>
      </c>
      <c r="AB278" t="str">
        <f>MID('paste from garc here'!$C$1,1+(('table for research'!$B278-1)*36+HEX2DEC('table for research'!AB$1))*2,2)</f>
        <v>00</v>
      </c>
      <c r="AC278" t="str">
        <f>MID('paste from garc here'!$C$1,1+(('table for research'!$B278-1)*36+HEX2DEC('table for research'!AC$1))*2,2)</f>
        <v>00</v>
      </c>
      <c r="AD278" t="str">
        <f>MID('paste from garc here'!$C$1,1+(('table for research'!$B278-1)*36+HEX2DEC('table for research'!AD$1))*2,2)</f>
        <v>00</v>
      </c>
      <c r="AE278" t="str">
        <f>MID('paste from garc here'!$C$1,1+(('table for research'!$B278-1)*36+HEX2DEC('table for research'!AE$1))*2,2)</f>
        <v>00</v>
      </c>
      <c r="AF278" t="str">
        <f>MID('paste from garc here'!$C$1,1+(('table for research'!$B278-1)*36+HEX2DEC('table for research'!AF$1))*2,2)</f>
        <v>00</v>
      </c>
      <c r="AG278" t="str">
        <f>MID('paste from garc here'!$C$1,1+(('table for research'!$B278-1)*36+HEX2DEC('table for research'!AG$1))*2,2)</f>
        <v>00</v>
      </c>
      <c r="AH278" t="str">
        <f>MID('paste from garc here'!$C$1,1+(('table for research'!$B278-1)*36+HEX2DEC('table for research'!AH$1))*2,2)</f>
        <v>00</v>
      </c>
      <c r="AI278" t="str">
        <f>MID('paste from garc here'!$C$1,1+(('table for research'!$B278-1)*36+HEX2DEC('table for research'!AI$1))*2,2)</f>
        <v>00</v>
      </c>
      <c r="AJ278" t="str">
        <f>MID('paste from garc here'!$C$1,1+(('table for research'!$B278-1)*36+HEX2DEC('table for research'!AJ$1))*2,2)</f>
        <v>00</v>
      </c>
      <c r="AK278" t="str">
        <f>MID('paste from garc here'!$C$1,1+(('table for research'!$B278-1)*36+HEX2DEC('table for research'!AK$1))*2,2)</f>
        <v>00</v>
      </c>
      <c r="AL278" t="str">
        <f>MID('paste from garc here'!$C$1,1+(('table for research'!$B278-1)*36+HEX2DEC('table for research'!AL$1))*2,2)</f>
        <v>00</v>
      </c>
      <c r="AM278" t="str">
        <f>MID('paste from garc here'!$C$1,1+(('table for research'!$B278-1)*36+HEX2DEC('table for research'!AM$1))*2,2)</f>
        <v>00</v>
      </c>
      <c r="AN278" t="str">
        <f>MID('paste from garc here'!$C$1,1+(('table for research'!$B278-1)*36+HEX2DEC('table for research'!AN$1))*2,2)</f>
        <v>00</v>
      </c>
      <c r="AO278" t="str">
        <f>MID('paste from garc here'!$C$1,1+(('table for research'!$B278-1)*36+HEX2DEC('table for research'!AO$1))*2,2)</f>
        <v>00</v>
      </c>
    </row>
    <row r="279" spans="1:41" x14ac:dyDescent="0.4">
      <c r="A279" t="s">
        <v>282</v>
      </c>
      <c r="B279">
        <f>B278+1</f>
        <v>277</v>
      </c>
      <c r="C279" t="str">
        <f>MID('paste from garc here'!$C$1,1+(('table for research'!$B279-1)*36+HEX2DEC('table for research'!C$1))*2,2)</f>
        <v>90</v>
      </c>
      <c r="D279" t="str">
        <f>MID('paste from garc here'!$C$1,1+(('table for research'!$B279-1)*36+HEX2DEC('table for research'!D$1))*2,2)</f>
        <v>01</v>
      </c>
      <c r="E279" t="str">
        <f>MID('paste from garc here'!$C$1,1+(('table for research'!$B279-1)*36+HEX2DEC('table for research'!E$1))*2,2)</f>
        <v>68</v>
      </c>
      <c r="F279" t="str">
        <f>MID('paste from garc here'!$C$1,1+(('table for research'!$B279-1)*36+HEX2DEC('table for research'!F$1))*2,2)</f>
        <v>21</v>
      </c>
      <c r="G279" t="str">
        <f>MID('paste from garc here'!$C$1,1+(('table for research'!$B279-1)*36+HEX2DEC('table for research'!G$1))*2,2)</f>
        <v>00</v>
      </c>
      <c r="H279" t="str">
        <f>MID('paste from garc here'!$C$1,1+(('table for research'!$B279-1)*36+HEX2DEC('table for research'!H$1))*2,2)</f>
        <v>00</v>
      </c>
      <c r="I279" t="str">
        <f>MID('paste from garc here'!$C$1,1+(('table for research'!$B279-1)*36+HEX2DEC('table for research'!I$1))*2,2)</f>
        <v>1E</v>
      </c>
      <c r="J279" t="str">
        <f>MID('paste from garc here'!$C$1,1+(('table for research'!$B279-1)*36+HEX2DEC('table for research'!J$1))*2,2)</f>
        <v>00</v>
      </c>
      <c r="K279" t="str">
        <f>DEC2HEX(_xlfn.BITAND(HEX2DEC(MID('paste from garc here'!$C$1,1+(('table for research'!$B279-1)*36+HEX2DEC(8))*2,2)),31),2)</f>
        <v>1F</v>
      </c>
      <c r="L279" t="str">
        <f>DEC2HEX(_xlfn.BITAND(HEX2DEC(MID('paste from garc here'!$C$1,1+(('table for research'!$B279-1)*36+HEX2DEC(8))*2,2)),32),2)</f>
        <v>00</v>
      </c>
      <c r="M279" t="str">
        <f>DEC2HEX(_xlfn.BITAND(HEX2DEC(MID('paste from garc here'!$C$1,1+(('table for research'!$B279-1)*36+HEX2DEC(8))*2,2)),64),2)</f>
        <v>00</v>
      </c>
      <c r="N279" t="str">
        <f>DEC2HEX(_xlfn.BITRSHIFT(_xlfn.BITAND(HEX2DEC(MID('paste from garc here'!$C$1,1+(('table for research'!$B279-1)*36+HEX2DEC(9))*2,2)&amp;MID('paste from garc here'!$C$1,1+(('table for research'!$B279-1)*36+HEX2DEC(8))*2,2)),1920),7),2)</f>
        <v>00</v>
      </c>
      <c r="O279" t="str">
        <f>DEC2HEX(_xlfn.BITRSHIFT(HEX2DEC(MID('paste from garc here'!$C$1,1+(('table for research'!$B279-1)*36+HEX2DEC(9))*2,2)&amp;MID('paste from garc here'!$C$1,1+(('table for research'!$B279-1)*36+HEX2DEC(8))*2,2)),11),2)</f>
        <v>00</v>
      </c>
      <c r="P279" t="str">
        <f>MID('paste from garc here'!$C$1,1+(('table for research'!$B279-1)*36+HEX2DEC('table for research'!P$1))*2,2)</f>
        <v>00</v>
      </c>
      <c r="Q279" t="str">
        <f>MID('paste from garc here'!$C$1,1+(('table for research'!$B279-1)*36+HEX2DEC('table for research'!Q$1))*2,2)</f>
        <v>00</v>
      </c>
      <c r="R279" t="str">
        <f>MID('paste from garc here'!$C$1,1+(('table for research'!$B279-1)*36+HEX2DEC('table for research'!R$1))*2,2)</f>
        <v>00</v>
      </c>
      <c r="S279" t="str">
        <f>MID('paste from garc here'!$C$1,1+(('table for research'!$B279-1)*36+HEX2DEC('table for research'!S$1))*2,2)</f>
        <v>01</v>
      </c>
      <c r="T279" t="str">
        <f>MID('paste from garc here'!$C$1,1+(('table for research'!$B279-1)*36+HEX2DEC('table for research'!T$1))*2,2)</f>
        <v>00</v>
      </c>
      <c r="U279" t="str">
        <f>MID('paste from garc here'!$C$1,1+(('table for research'!$B279-1)*36+HEX2DEC('table for research'!U$1))*2,2)</f>
        <v>24</v>
      </c>
      <c r="V279" t="str">
        <f>MID('paste from garc here'!$C$1,1+(('table for research'!$B279-1)*36+HEX2DEC('table for research'!V$1))*2,2)</f>
        <v>00</v>
      </c>
      <c r="W279" t="str">
        <f>MID('paste from garc here'!$C$1,1+(('table for research'!$B279-1)*36+HEX2DEC('table for research'!W$1))*2,2)</f>
        <v>00</v>
      </c>
      <c r="X279" t="str">
        <f>MID('paste from garc here'!$C$1,1+(('table for research'!$B279-1)*36+HEX2DEC('table for research'!X$1))*2,2)</f>
        <v>00</v>
      </c>
      <c r="Y279" t="str">
        <f>MID('paste from garc here'!$C$1,1+(('table for research'!$B279-1)*36+HEX2DEC('table for research'!Y$1))*2,2)</f>
        <v>00</v>
      </c>
      <c r="Z279" t="str">
        <f>MID('paste from garc here'!$C$1,1+(('table for research'!$B279-1)*36+HEX2DEC('table for research'!Z$1))*2,2)</f>
        <v>00</v>
      </c>
      <c r="AA279" t="str">
        <f>MID('paste from garc here'!$C$1,1+(('table for research'!$B279-1)*36+HEX2DEC('table for research'!AA$1))*2,2)</f>
        <v>00</v>
      </c>
      <c r="AB279" t="str">
        <f>MID('paste from garc here'!$C$1,1+(('table for research'!$B279-1)*36+HEX2DEC('table for research'!AB$1))*2,2)</f>
        <v>00</v>
      </c>
      <c r="AC279" t="str">
        <f>MID('paste from garc here'!$C$1,1+(('table for research'!$B279-1)*36+HEX2DEC('table for research'!AC$1))*2,2)</f>
        <v>00</v>
      </c>
      <c r="AD279" t="str">
        <f>MID('paste from garc here'!$C$1,1+(('table for research'!$B279-1)*36+HEX2DEC('table for research'!AD$1))*2,2)</f>
        <v>00</v>
      </c>
      <c r="AE279" t="str">
        <f>MID('paste from garc here'!$C$1,1+(('table for research'!$B279-1)*36+HEX2DEC('table for research'!AE$1))*2,2)</f>
        <v>00</v>
      </c>
      <c r="AF279" t="str">
        <f>MID('paste from garc here'!$C$1,1+(('table for research'!$B279-1)*36+HEX2DEC('table for research'!AF$1))*2,2)</f>
        <v>00</v>
      </c>
      <c r="AG279" t="str">
        <f>MID('paste from garc here'!$C$1,1+(('table for research'!$B279-1)*36+HEX2DEC('table for research'!AG$1))*2,2)</f>
        <v>00</v>
      </c>
      <c r="AH279" t="str">
        <f>MID('paste from garc here'!$C$1,1+(('table for research'!$B279-1)*36+HEX2DEC('table for research'!AH$1))*2,2)</f>
        <v>00</v>
      </c>
      <c r="AI279" t="str">
        <f>MID('paste from garc here'!$C$1,1+(('table for research'!$B279-1)*36+HEX2DEC('table for research'!AI$1))*2,2)</f>
        <v>00</v>
      </c>
      <c r="AJ279" t="str">
        <f>MID('paste from garc here'!$C$1,1+(('table for research'!$B279-1)*36+HEX2DEC('table for research'!AJ$1))*2,2)</f>
        <v>00</v>
      </c>
      <c r="AK279" t="str">
        <f>MID('paste from garc here'!$C$1,1+(('table for research'!$B279-1)*36+HEX2DEC('table for research'!AK$1))*2,2)</f>
        <v>00</v>
      </c>
      <c r="AL279" t="str">
        <f>MID('paste from garc here'!$C$1,1+(('table for research'!$B279-1)*36+HEX2DEC('table for research'!AL$1))*2,2)</f>
        <v>00</v>
      </c>
      <c r="AM279" t="str">
        <f>MID('paste from garc here'!$C$1,1+(('table for research'!$B279-1)*36+HEX2DEC('table for research'!AM$1))*2,2)</f>
        <v>00</v>
      </c>
      <c r="AN279" t="str">
        <f>MID('paste from garc here'!$C$1,1+(('table for research'!$B279-1)*36+HEX2DEC('table for research'!AN$1))*2,2)</f>
        <v>00</v>
      </c>
      <c r="AO279" t="str">
        <f>MID('paste from garc here'!$C$1,1+(('table for research'!$B279-1)*36+HEX2DEC('table for research'!AO$1))*2,2)</f>
        <v>00</v>
      </c>
    </row>
    <row r="280" spans="1:41" x14ac:dyDescent="0.4">
      <c r="A280" t="s">
        <v>283</v>
      </c>
      <c r="B280">
        <f>B279+1</f>
        <v>278</v>
      </c>
      <c r="C280" t="str">
        <f>MID('paste from garc here'!$C$1,1+(('table for research'!$B280-1)*36+HEX2DEC('table for research'!C$1))*2,2)</f>
        <v>C8</v>
      </c>
      <c r="D280" t="str">
        <f>MID('paste from garc here'!$C$1,1+(('table for research'!$B280-1)*36+HEX2DEC('table for research'!D$1))*2,2)</f>
        <v>00</v>
      </c>
      <c r="E280" t="str">
        <f>MID('paste from garc here'!$C$1,1+(('table for research'!$B280-1)*36+HEX2DEC('table for research'!E$1))*2,2)</f>
        <v>69</v>
      </c>
      <c r="F280" t="str">
        <f>MID('paste from garc here'!$C$1,1+(('table for research'!$B280-1)*36+HEX2DEC('table for research'!F$1))*2,2)</f>
        <v>00</v>
      </c>
      <c r="G280" t="str">
        <f>MID('paste from garc here'!$C$1,1+(('table for research'!$B280-1)*36+HEX2DEC('table for research'!G$1))*2,2)</f>
        <v>00</v>
      </c>
      <c r="H280" t="str">
        <f>MID('paste from garc here'!$C$1,1+(('table for research'!$B280-1)*36+HEX2DEC('table for research'!H$1))*2,2)</f>
        <v>00</v>
      </c>
      <c r="I280" t="str">
        <f>MID('paste from garc here'!$C$1,1+(('table for research'!$B280-1)*36+HEX2DEC('table for research'!I$1))*2,2)</f>
        <v>82</v>
      </c>
      <c r="J280" t="str">
        <f>MID('paste from garc here'!$C$1,1+(('table for research'!$B280-1)*36+HEX2DEC('table for research'!J$1))*2,2)</f>
        <v>00</v>
      </c>
      <c r="K280" t="str">
        <f>DEC2HEX(_xlfn.BITAND(HEX2DEC(MID('paste from garc here'!$C$1,1+(('table for research'!$B280-1)*36+HEX2DEC(8))*2,2)),31),2)</f>
        <v>1F</v>
      </c>
      <c r="L280" t="str">
        <f>DEC2HEX(_xlfn.BITAND(HEX2DEC(MID('paste from garc here'!$C$1,1+(('table for research'!$B280-1)*36+HEX2DEC(8))*2,2)),32),2)</f>
        <v>00</v>
      </c>
      <c r="M280" t="str">
        <f>DEC2HEX(_xlfn.BITAND(HEX2DEC(MID('paste from garc here'!$C$1,1+(('table for research'!$B280-1)*36+HEX2DEC(8))*2,2)),64),2)</f>
        <v>00</v>
      </c>
      <c r="N280" t="str">
        <f>DEC2HEX(_xlfn.BITRSHIFT(_xlfn.BITAND(HEX2DEC(MID('paste from garc here'!$C$1,1+(('table for research'!$B280-1)*36+HEX2DEC(9))*2,2)&amp;MID('paste from garc here'!$C$1,1+(('table for research'!$B280-1)*36+HEX2DEC(8))*2,2)),1920),7),2)</f>
        <v>00</v>
      </c>
      <c r="O280" t="str">
        <f>DEC2HEX(_xlfn.BITRSHIFT(HEX2DEC(MID('paste from garc here'!$C$1,1+(('table for research'!$B280-1)*36+HEX2DEC(9))*2,2)&amp;MID('paste from garc here'!$C$1,1+(('table for research'!$B280-1)*36+HEX2DEC(8))*2,2)),11),2)</f>
        <v>00</v>
      </c>
      <c r="P280" t="str">
        <f>MID('paste from garc here'!$C$1,1+(('table for research'!$B280-1)*36+HEX2DEC('table for research'!P$1))*2,2)</f>
        <v>00</v>
      </c>
      <c r="Q280" t="str">
        <f>MID('paste from garc here'!$C$1,1+(('table for research'!$B280-1)*36+HEX2DEC('table for research'!Q$1))*2,2)</f>
        <v>00</v>
      </c>
      <c r="R280" t="str">
        <f>MID('paste from garc here'!$C$1,1+(('table for research'!$B280-1)*36+HEX2DEC('table for research'!R$1))*2,2)</f>
        <v>00</v>
      </c>
      <c r="S280" t="str">
        <f>MID('paste from garc here'!$C$1,1+(('table for research'!$B280-1)*36+HEX2DEC('table for research'!S$1))*2,2)</f>
        <v>01</v>
      </c>
      <c r="T280" t="str">
        <f>MID('paste from garc here'!$C$1,1+(('table for research'!$B280-1)*36+HEX2DEC('table for research'!T$1))*2,2)</f>
        <v>00</v>
      </c>
      <c r="U280" t="str">
        <f>MID('paste from garc here'!$C$1,1+(('table for research'!$B280-1)*36+HEX2DEC('table for research'!U$1))*2,2)</f>
        <v>17</v>
      </c>
      <c r="V280" t="str">
        <f>MID('paste from garc here'!$C$1,1+(('table for research'!$B280-1)*36+HEX2DEC('table for research'!V$1))*2,2)</f>
        <v>00</v>
      </c>
      <c r="W280" t="str">
        <f>MID('paste from garc here'!$C$1,1+(('table for research'!$B280-1)*36+HEX2DEC('table for research'!W$1))*2,2)</f>
        <v>00</v>
      </c>
      <c r="X280" t="str">
        <f>MID('paste from garc here'!$C$1,1+(('table for research'!$B280-1)*36+HEX2DEC('table for research'!X$1))*2,2)</f>
        <v>00</v>
      </c>
      <c r="Y280" t="str">
        <f>MID('paste from garc here'!$C$1,1+(('table for research'!$B280-1)*36+HEX2DEC('table for research'!Y$1))*2,2)</f>
        <v>00</v>
      </c>
      <c r="Z280" t="str">
        <f>MID('paste from garc here'!$C$1,1+(('table for research'!$B280-1)*36+HEX2DEC('table for research'!Z$1))*2,2)</f>
        <v>00</v>
      </c>
      <c r="AA280" t="str">
        <f>MID('paste from garc here'!$C$1,1+(('table for research'!$B280-1)*36+HEX2DEC('table for research'!AA$1))*2,2)</f>
        <v>00</v>
      </c>
      <c r="AB280" t="str">
        <f>MID('paste from garc here'!$C$1,1+(('table for research'!$B280-1)*36+HEX2DEC('table for research'!AB$1))*2,2)</f>
        <v>00</v>
      </c>
      <c r="AC280" t="str">
        <f>MID('paste from garc here'!$C$1,1+(('table for research'!$B280-1)*36+HEX2DEC('table for research'!AC$1))*2,2)</f>
        <v>00</v>
      </c>
      <c r="AD280" t="str">
        <f>MID('paste from garc here'!$C$1,1+(('table for research'!$B280-1)*36+HEX2DEC('table for research'!AD$1))*2,2)</f>
        <v>00</v>
      </c>
      <c r="AE280" t="str">
        <f>MID('paste from garc here'!$C$1,1+(('table for research'!$B280-1)*36+HEX2DEC('table for research'!AE$1))*2,2)</f>
        <v>00</v>
      </c>
      <c r="AF280" t="str">
        <f>MID('paste from garc here'!$C$1,1+(('table for research'!$B280-1)*36+HEX2DEC('table for research'!AF$1))*2,2)</f>
        <v>00</v>
      </c>
      <c r="AG280" t="str">
        <f>MID('paste from garc here'!$C$1,1+(('table for research'!$B280-1)*36+HEX2DEC('table for research'!AG$1))*2,2)</f>
        <v>00</v>
      </c>
      <c r="AH280" t="str">
        <f>MID('paste from garc here'!$C$1,1+(('table for research'!$B280-1)*36+HEX2DEC('table for research'!AH$1))*2,2)</f>
        <v>00</v>
      </c>
      <c r="AI280" t="str">
        <f>MID('paste from garc here'!$C$1,1+(('table for research'!$B280-1)*36+HEX2DEC('table for research'!AI$1))*2,2)</f>
        <v>00</v>
      </c>
      <c r="AJ280" t="str">
        <f>MID('paste from garc here'!$C$1,1+(('table for research'!$B280-1)*36+HEX2DEC('table for research'!AJ$1))*2,2)</f>
        <v>00</v>
      </c>
      <c r="AK280" t="str">
        <f>MID('paste from garc here'!$C$1,1+(('table for research'!$B280-1)*36+HEX2DEC('table for research'!AK$1))*2,2)</f>
        <v>00</v>
      </c>
      <c r="AL280" t="str">
        <f>MID('paste from garc here'!$C$1,1+(('table for research'!$B280-1)*36+HEX2DEC('table for research'!AL$1))*2,2)</f>
        <v>00</v>
      </c>
      <c r="AM280" t="str">
        <f>MID('paste from garc here'!$C$1,1+(('table for research'!$B280-1)*36+HEX2DEC('table for research'!AM$1))*2,2)</f>
        <v>00</v>
      </c>
      <c r="AN280" t="str">
        <f>MID('paste from garc here'!$C$1,1+(('table for research'!$B280-1)*36+HEX2DEC('table for research'!AN$1))*2,2)</f>
        <v>00</v>
      </c>
      <c r="AO280" t="str">
        <f>MID('paste from garc here'!$C$1,1+(('table for research'!$B280-1)*36+HEX2DEC('table for research'!AO$1))*2,2)</f>
        <v>00</v>
      </c>
    </row>
    <row r="281" spans="1:41" x14ac:dyDescent="0.4">
      <c r="A281" t="s">
        <v>284</v>
      </c>
      <c r="B281">
        <f>B280+1</f>
        <v>279</v>
      </c>
      <c r="C281" t="str">
        <f>MID('paste from garc here'!$C$1,1+(('table for research'!$B281-1)*36+HEX2DEC('table for research'!C$1))*2,2)</f>
        <v>90</v>
      </c>
      <c r="D281" t="str">
        <f>MID('paste from garc here'!$C$1,1+(('table for research'!$B281-1)*36+HEX2DEC('table for research'!D$1))*2,2)</f>
        <v>01</v>
      </c>
      <c r="E281" t="str">
        <f>MID('paste from garc here'!$C$1,1+(('table for research'!$B281-1)*36+HEX2DEC('table for research'!E$1))*2,2)</f>
        <v>6A</v>
      </c>
      <c r="F281" t="str">
        <f>MID('paste from garc here'!$C$1,1+(('table for research'!$B281-1)*36+HEX2DEC('table for research'!F$1))*2,2)</f>
        <v>00</v>
      </c>
      <c r="G281" t="str">
        <f>MID('paste from garc here'!$C$1,1+(('table for research'!$B281-1)*36+HEX2DEC('table for research'!G$1))*2,2)</f>
        <v>00</v>
      </c>
      <c r="H281" t="str">
        <f>MID('paste from garc here'!$C$1,1+(('table for research'!$B281-1)*36+HEX2DEC('table for research'!H$1))*2,2)</f>
        <v>00</v>
      </c>
      <c r="I281" t="str">
        <f>MID('paste from garc here'!$C$1,1+(('table for research'!$B281-1)*36+HEX2DEC('table for research'!I$1))*2,2)</f>
        <v>0A</v>
      </c>
      <c r="J281" t="str">
        <f>MID('paste from garc here'!$C$1,1+(('table for research'!$B281-1)*36+HEX2DEC('table for research'!J$1))*2,2)</f>
        <v>00</v>
      </c>
      <c r="K281" t="str">
        <f>DEC2HEX(_xlfn.BITAND(HEX2DEC(MID('paste from garc here'!$C$1,1+(('table for research'!$B281-1)*36+HEX2DEC(8))*2,2)),31),2)</f>
        <v>1F</v>
      </c>
      <c r="L281" t="str">
        <f>DEC2HEX(_xlfn.BITAND(HEX2DEC(MID('paste from garc here'!$C$1,1+(('table for research'!$B281-1)*36+HEX2DEC(8))*2,2)),32),2)</f>
        <v>00</v>
      </c>
      <c r="M281" t="str">
        <f>DEC2HEX(_xlfn.BITAND(HEX2DEC(MID('paste from garc here'!$C$1,1+(('table for research'!$B281-1)*36+HEX2DEC(8))*2,2)),64),2)</f>
        <v>00</v>
      </c>
      <c r="N281" t="str">
        <f>DEC2HEX(_xlfn.BITRSHIFT(_xlfn.BITAND(HEX2DEC(MID('paste from garc here'!$C$1,1+(('table for research'!$B281-1)*36+HEX2DEC(9))*2,2)&amp;MID('paste from garc here'!$C$1,1+(('table for research'!$B281-1)*36+HEX2DEC(8))*2,2)),1920),7),2)</f>
        <v>00</v>
      </c>
      <c r="O281" t="str">
        <f>DEC2HEX(_xlfn.BITRSHIFT(HEX2DEC(MID('paste from garc here'!$C$1,1+(('table for research'!$B281-1)*36+HEX2DEC(9))*2,2)&amp;MID('paste from garc here'!$C$1,1+(('table for research'!$B281-1)*36+HEX2DEC(8))*2,2)),11),2)</f>
        <v>00</v>
      </c>
      <c r="P281" t="str">
        <f>MID('paste from garc here'!$C$1,1+(('table for research'!$B281-1)*36+HEX2DEC('table for research'!P$1))*2,2)</f>
        <v>00</v>
      </c>
      <c r="Q281" t="str">
        <f>MID('paste from garc here'!$C$1,1+(('table for research'!$B281-1)*36+HEX2DEC('table for research'!Q$1))*2,2)</f>
        <v>00</v>
      </c>
      <c r="R281" t="str">
        <f>MID('paste from garc here'!$C$1,1+(('table for research'!$B281-1)*36+HEX2DEC('table for research'!R$1))*2,2)</f>
        <v>00</v>
      </c>
      <c r="S281" t="str">
        <f>MID('paste from garc here'!$C$1,1+(('table for research'!$B281-1)*36+HEX2DEC('table for research'!S$1))*2,2)</f>
        <v>01</v>
      </c>
      <c r="T281" t="str">
        <f>MID('paste from garc here'!$C$1,1+(('table for research'!$B281-1)*36+HEX2DEC('table for research'!T$1))*2,2)</f>
        <v>00</v>
      </c>
      <c r="U281" t="str">
        <f>MID('paste from garc here'!$C$1,1+(('table for research'!$B281-1)*36+HEX2DEC('table for research'!U$1))*2,2)</f>
        <v>1B</v>
      </c>
      <c r="V281" t="str">
        <f>MID('paste from garc here'!$C$1,1+(('table for research'!$B281-1)*36+HEX2DEC('table for research'!V$1))*2,2)</f>
        <v>00</v>
      </c>
      <c r="W281" t="str">
        <f>MID('paste from garc here'!$C$1,1+(('table for research'!$B281-1)*36+HEX2DEC('table for research'!W$1))*2,2)</f>
        <v>00</v>
      </c>
      <c r="X281" t="str">
        <f>MID('paste from garc here'!$C$1,1+(('table for research'!$B281-1)*36+HEX2DEC('table for research'!X$1))*2,2)</f>
        <v>00</v>
      </c>
      <c r="Y281" t="str">
        <f>MID('paste from garc here'!$C$1,1+(('table for research'!$B281-1)*36+HEX2DEC('table for research'!Y$1))*2,2)</f>
        <v>00</v>
      </c>
      <c r="Z281" t="str">
        <f>MID('paste from garc here'!$C$1,1+(('table for research'!$B281-1)*36+HEX2DEC('table for research'!Z$1))*2,2)</f>
        <v>00</v>
      </c>
      <c r="AA281" t="str">
        <f>MID('paste from garc here'!$C$1,1+(('table for research'!$B281-1)*36+HEX2DEC('table for research'!AA$1))*2,2)</f>
        <v>00</v>
      </c>
      <c r="AB281" t="str">
        <f>MID('paste from garc here'!$C$1,1+(('table for research'!$B281-1)*36+HEX2DEC('table for research'!AB$1))*2,2)</f>
        <v>00</v>
      </c>
      <c r="AC281" t="str">
        <f>MID('paste from garc here'!$C$1,1+(('table for research'!$B281-1)*36+HEX2DEC('table for research'!AC$1))*2,2)</f>
        <v>00</v>
      </c>
      <c r="AD281" t="str">
        <f>MID('paste from garc here'!$C$1,1+(('table for research'!$B281-1)*36+HEX2DEC('table for research'!AD$1))*2,2)</f>
        <v>00</v>
      </c>
      <c r="AE281" t="str">
        <f>MID('paste from garc here'!$C$1,1+(('table for research'!$B281-1)*36+HEX2DEC('table for research'!AE$1))*2,2)</f>
        <v>00</v>
      </c>
      <c r="AF281" t="str">
        <f>MID('paste from garc here'!$C$1,1+(('table for research'!$B281-1)*36+HEX2DEC('table for research'!AF$1))*2,2)</f>
        <v>00</v>
      </c>
      <c r="AG281" t="str">
        <f>MID('paste from garc here'!$C$1,1+(('table for research'!$B281-1)*36+HEX2DEC('table for research'!AG$1))*2,2)</f>
        <v>00</v>
      </c>
      <c r="AH281" t="str">
        <f>MID('paste from garc here'!$C$1,1+(('table for research'!$B281-1)*36+HEX2DEC('table for research'!AH$1))*2,2)</f>
        <v>00</v>
      </c>
      <c r="AI281" t="str">
        <f>MID('paste from garc here'!$C$1,1+(('table for research'!$B281-1)*36+HEX2DEC('table for research'!AI$1))*2,2)</f>
        <v>00</v>
      </c>
      <c r="AJ281" t="str">
        <f>MID('paste from garc here'!$C$1,1+(('table for research'!$B281-1)*36+HEX2DEC('table for research'!AJ$1))*2,2)</f>
        <v>00</v>
      </c>
      <c r="AK281" t="str">
        <f>MID('paste from garc here'!$C$1,1+(('table for research'!$B281-1)*36+HEX2DEC('table for research'!AK$1))*2,2)</f>
        <v>00</v>
      </c>
      <c r="AL281" t="str">
        <f>MID('paste from garc here'!$C$1,1+(('table for research'!$B281-1)*36+HEX2DEC('table for research'!AL$1))*2,2)</f>
        <v>00</v>
      </c>
      <c r="AM281" t="str">
        <f>MID('paste from garc here'!$C$1,1+(('table for research'!$B281-1)*36+HEX2DEC('table for research'!AM$1))*2,2)</f>
        <v>00</v>
      </c>
      <c r="AN281" t="str">
        <f>MID('paste from garc here'!$C$1,1+(('table for research'!$B281-1)*36+HEX2DEC('table for research'!AN$1))*2,2)</f>
        <v>00</v>
      </c>
      <c r="AO281" t="str">
        <f>MID('paste from garc here'!$C$1,1+(('table for research'!$B281-1)*36+HEX2DEC('table for research'!AO$1))*2,2)</f>
        <v>00</v>
      </c>
    </row>
    <row r="282" spans="1:41" x14ac:dyDescent="0.4">
      <c r="A282" t="s">
        <v>285</v>
      </c>
      <c r="B282">
        <f>B281+1</f>
        <v>280</v>
      </c>
      <c r="C282" t="str">
        <f>MID('paste from garc here'!$C$1,1+(('table for research'!$B282-1)*36+HEX2DEC('table for research'!C$1))*2,2)</f>
        <v>90</v>
      </c>
      <c r="D282" t="str">
        <f>MID('paste from garc here'!$C$1,1+(('table for research'!$B282-1)*36+HEX2DEC('table for research'!D$1))*2,2)</f>
        <v>01</v>
      </c>
      <c r="E282" t="str">
        <f>MID('paste from garc here'!$C$1,1+(('table for research'!$B282-1)*36+HEX2DEC('table for research'!E$1))*2,2)</f>
        <v>6B</v>
      </c>
      <c r="F282" t="str">
        <f>MID('paste from garc here'!$C$1,1+(('table for research'!$B282-1)*36+HEX2DEC('table for research'!F$1))*2,2)</f>
        <v>00</v>
      </c>
      <c r="G282" t="str">
        <f>MID('paste from garc here'!$C$1,1+(('table for research'!$B282-1)*36+HEX2DEC('table for research'!G$1))*2,2)</f>
        <v>00</v>
      </c>
      <c r="H282" t="str">
        <f>MID('paste from garc here'!$C$1,1+(('table for research'!$B282-1)*36+HEX2DEC('table for research'!H$1))*2,2)</f>
        <v>00</v>
      </c>
      <c r="I282" t="str">
        <f>MID('paste from garc here'!$C$1,1+(('table for research'!$B282-1)*36+HEX2DEC('table for research'!I$1))*2,2)</f>
        <v>0A</v>
      </c>
      <c r="J282" t="str">
        <f>MID('paste from garc here'!$C$1,1+(('table for research'!$B282-1)*36+HEX2DEC('table for research'!J$1))*2,2)</f>
        <v>00</v>
      </c>
      <c r="K282" t="str">
        <f>DEC2HEX(_xlfn.BITAND(HEX2DEC(MID('paste from garc here'!$C$1,1+(('table for research'!$B282-1)*36+HEX2DEC(8))*2,2)),31),2)</f>
        <v>1F</v>
      </c>
      <c r="L282" t="str">
        <f>DEC2HEX(_xlfn.BITAND(HEX2DEC(MID('paste from garc here'!$C$1,1+(('table for research'!$B282-1)*36+HEX2DEC(8))*2,2)),32),2)</f>
        <v>00</v>
      </c>
      <c r="M282" t="str">
        <f>DEC2HEX(_xlfn.BITAND(HEX2DEC(MID('paste from garc here'!$C$1,1+(('table for research'!$B282-1)*36+HEX2DEC(8))*2,2)),64),2)</f>
        <v>00</v>
      </c>
      <c r="N282" t="str">
        <f>DEC2HEX(_xlfn.BITRSHIFT(_xlfn.BITAND(HEX2DEC(MID('paste from garc here'!$C$1,1+(('table for research'!$B282-1)*36+HEX2DEC(9))*2,2)&amp;MID('paste from garc here'!$C$1,1+(('table for research'!$B282-1)*36+HEX2DEC(8))*2,2)),1920),7),2)</f>
        <v>00</v>
      </c>
      <c r="O282" t="str">
        <f>DEC2HEX(_xlfn.BITRSHIFT(HEX2DEC(MID('paste from garc here'!$C$1,1+(('table for research'!$B282-1)*36+HEX2DEC(9))*2,2)&amp;MID('paste from garc here'!$C$1,1+(('table for research'!$B282-1)*36+HEX2DEC(8))*2,2)),11),2)</f>
        <v>00</v>
      </c>
      <c r="P282" t="str">
        <f>MID('paste from garc here'!$C$1,1+(('table for research'!$B282-1)*36+HEX2DEC('table for research'!P$1))*2,2)</f>
        <v>00</v>
      </c>
      <c r="Q282" t="str">
        <f>MID('paste from garc here'!$C$1,1+(('table for research'!$B282-1)*36+HEX2DEC('table for research'!Q$1))*2,2)</f>
        <v>00</v>
      </c>
      <c r="R282" t="str">
        <f>MID('paste from garc here'!$C$1,1+(('table for research'!$B282-1)*36+HEX2DEC('table for research'!R$1))*2,2)</f>
        <v>00</v>
      </c>
      <c r="S282" t="str">
        <f>MID('paste from garc here'!$C$1,1+(('table for research'!$B282-1)*36+HEX2DEC('table for research'!S$1))*2,2)</f>
        <v>01</v>
      </c>
      <c r="T282" t="str">
        <f>MID('paste from garc here'!$C$1,1+(('table for research'!$B282-1)*36+HEX2DEC('table for research'!T$1))*2,2)</f>
        <v>00</v>
      </c>
      <c r="U282" t="str">
        <f>MID('paste from garc here'!$C$1,1+(('table for research'!$B282-1)*36+HEX2DEC('table for research'!U$1))*2,2)</f>
        <v>1C</v>
      </c>
      <c r="V282" t="str">
        <f>MID('paste from garc here'!$C$1,1+(('table for research'!$B282-1)*36+HEX2DEC('table for research'!V$1))*2,2)</f>
        <v>00</v>
      </c>
      <c r="W282" t="str">
        <f>MID('paste from garc here'!$C$1,1+(('table for research'!$B282-1)*36+HEX2DEC('table for research'!W$1))*2,2)</f>
        <v>00</v>
      </c>
      <c r="X282" t="str">
        <f>MID('paste from garc here'!$C$1,1+(('table for research'!$B282-1)*36+HEX2DEC('table for research'!X$1))*2,2)</f>
        <v>00</v>
      </c>
      <c r="Y282" t="str">
        <f>MID('paste from garc here'!$C$1,1+(('table for research'!$B282-1)*36+HEX2DEC('table for research'!Y$1))*2,2)</f>
        <v>00</v>
      </c>
      <c r="Z282" t="str">
        <f>MID('paste from garc here'!$C$1,1+(('table for research'!$B282-1)*36+HEX2DEC('table for research'!Z$1))*2,2)</f>
        <v>00</v>
      </c>
      <c r="AA282" t="str">
        <f>MID('paste from garc here'!$C$1,1+(('table for research'!$B282-1)*36+HEX2DEC('table for research'!AA$1))*2,2)</f>
        <v>00</v>
      </c>
      <c r="AB282" t="str">
        <f>MID('paste from garc here'!$C$1,1+(('table for research'!$B282-1)*36+HEX2DEC('table for research'!AB$1))*2,2)</f>
        <v>00</v>
      </c>
      <c r="AC282" t="str">
        <f>MID('paste from garc here'!$C$1,1+(('table for research'!$B282-1)*36+HEX2DEC('table for research'!AC$1))*2,2)</f>
        <v>00</v>
      </c>
      <c r="AD282" t="str">
        <f>MID('paste from garc here'!$C$1,1+(('table for research'!$B282-1)*36+HEX2DEC('table for research'!AD$1))*2,2)</f>
        <v>00</v>
      </c>
      <c r="AE282" t="str">
        <f>MID('paste from garc here'!$C$1,1+(('table for research'!$B282-1)*36+HEX2DEC('table for research'!AE$1))*2,2)</f>
        <v>00</v>
      </c>
      <c r="AF282" t="str">
        <f>MID('paste from garc here'!$C$1,1+(('table for research'!$B282-1)*36+HEX2DEC('table for research'!AF$1))*2,2)</f>
        <v>00</v>
      </c>
      <c r="AG282" t="str">
        <f>MID('paste from garc here'!$C$1,1+(('table for research'!$B282-1)*36+HEX2DEC('table for research'!AG$1))*2,2)</f>
        <v>00</v>
      </c>
      <c r="AH282" t="str">
        <f>MID('paste from garc here'!$C$1,1+(('table for research'!$B282-1)*36+HEX2DEC('table for research'!AH$1))*2,2)</f>
        <v>00</v>
      </c>
      <c r="AI282" t="str">
        <f>MID('paste from garc here'!$C$1,1+(('table for research'!$B282-1)*36+HEX2DEC('table for research'!AI$1))*2,2)</f>
        <v>00</v>
      </c>
      <c r="AJ282" t="str">
        <f>MID('paste from garc here'!$C$1,1+(('table for research'!$B282-1)*36+HEX2DEC('table for research'!AJ$1))*2,2)</f>
        <v>00</v>
      </c>
      <c r="AK282" t="str">
        <f>MID('paste from garc here'!$C$1,1+(('table for research'!$B282-1)*36+HEX2DEC('table for research'!AK$1))*2,2)</f>
        <v>00</v>
      </c>
      <c r="AL282" t="str">
        <f>MID('paste from garc here'!$C$1,1+(('table for research'!$B282-1)*36+HEX2DEC('table for research'!AL$1))*2,2)</f>
        <v>00</v>
      </c>
      <c r="AM282" t="str">
        <f>MID('paste from garc here'!$C$1,1+(('table for research'!$B282-1)*36+HEX2DEC('table for research'!AM$1))*2,2)</f>
        <v>00</v>
      </c>
      <c r="AN282" t="str">
        <f>MID('paste from garc here'!$C$1,1+(('table for research'!$B282-1)*36+HEX2DEC('table for research'!AN$1))*2,2)</f>
        <v>00</v>
      </c>
      <c r="AO282" t="str">
        <f>MID('paste from garc here'!$C$1,1+(('table for research'!$B282-1)*36+HEX2DEC('table for research'!AO$1))*2,2)</f>
        <v>00</v>
      </c>
    </row>
    <row r="283" spans="1:41" x14ac:dyDescent="0.4">
      <c r="A283" t="s">
        <v>286</v>
      </c>
      <c r="B283">
        <f>B282+1</f>
        <v>281</v>
      </c>
      <c r="C283" t="str">
        <f>MID('paste from garc here'!$C$1,1+(('table for research'!$B283-1)*36+HEX2DEC('table for research'!C$1))*2,2)</f>
        <v>8E</v>
      </c>
      <c r="D283" t="str">
        <f>MID('paste from garc here'!$C$1,1+(('table for research'!$B283-1)*36+HEX2DEC('table for research'!D$1))*2,2)</f>
        <v>12</v>
      </c>
      <c r="E283" t="str">
        <f>MID('paste from garc here'!$C$1,1+(('table for research'!$B283-1)*36+HEX2DEC('table for research'!E$1))*2,2)</f>
        <v>6C</v>
      </c>
      <c r="F283" t="str">
        <f>MID('paste from garc here'!$C$1,1+(('table for research'!$B283-1)*36+HEX2DEC('table for research'!F$1))*2,2)</f>
        <v>0C</v>
      </c>
      <c r="G283" t="str">
        <f>MID('paste from garc here'!$C$1,1+(('table for research'!$B283-1)*36+HEX2DEC('table for research'!G$1))*2,2)</f>
        <v>00</v>
      </c>
      <c r="H283" t="str">
        <f>MID('paste from garc here'!$C$1,1+(('table for research'!$B283-1)*36+HEX2DEC('table for research'!H$1))*2,2)</f>
        <v>00</v>
      </c>
      <c r="I283" t="str">
        <f>MID('paste from garc here'!$C$1,1+(('table for research'!$B283-1)*36+HEX2DEC('table for research'!I$1))*2,2)</f>
        <v>1E</v>
      </c>
      <c r="J283" t="str">
        <f>MID('paste from garc here'!$C$1,1+(('table for research'!$B283-1)*36+HEX2DEC('table for research'!J$1))*2,2)</f>
        <v>00</v>
      </c>
      <c r="K283" t="str">
        <f>DEC2HEX(_xlfn.BITAND(HEX2DEC(MID('paste from garc here'!$C$1,1+(('table for research'!$B283-1)*36+HEX2DEC(8))*2,2)),31),2)</f>
        <v>1F</v>
      </c>
      <c r="L283" t="str">
        <f>DEC2HEX(_xlfn.BITAND(HEX2DEC(MID('paste from garc here'!$C$1,1+(('table for research'!$B283-1)*36+HEX2DEC(8))*2,2)),32),2)</f>
        <v>00</v>
      </c>
      <c r="M283" t="str">
        <f>DEC2HEX(_xlfn.BITAND(HEX2DEC(MID('paste from garc here'!$C$1,1+(('table for research'!$B283-1)*36+HEX2DEC(8))*2,2)),64),2)</f>
        <v>00</v>
      </c>
      <c r="N283" t="str">
        <f>DEC2HEX(_xlfn.BITRSHIFT(_xlfn.BITAND(HEX2DEC(MID('paste from garc here'!$C$1,1+(('table for research'!$B283-1)*36+HEX2DEC(9))*2,2)&amp;MID('paste from garc here'!$C$1,1+(('table for research'!$B283-1)*36+HEX2DEC(8))*2,2)),1920),7),2)</f>
        <v>00</v>
      </c>
      <c r="O283" t="str">
        <f>DEC2HEX(_xlfn.BITRSHIFT(HEX2DEC(MID('paste from garc here'!$C$1,1+(('table for research'!$B283-1)*36+HEX2DEC(9))*2,2)&amp;MID('paste from garc here'!$C$1,1+(('table for research'!$B283-1)*36+HEX2DEC(8))*2,2)),11),2)</f>
        <v>00</v>
      </c>
      <c r="P283" t="str">
        <f>MID('paste from garc here'!$C$1,1+(('table for research'!$B283-1)*36+HEX2DEC('table for research'!P$1))*2,2)</f>
        <v>00</v>
      </c>
      <c r="Q283" t="str">
        <f>MID('paste from garc here'!$C$1,1+(('table for research'!$B283-1)*36+HEX2DEC('table for research'!Q$1))*2,2)</f>
        <v>00</v>
      </c>
      <c r="R283" t="str">
        <f>MID('paste from garc here'!$C$1,1+(('table for research'!$B283-1)*36+HEX2DEC('table for research'!R$1))*2,2)</f>
        <v>00</v>
      </c>
      <c r="S283" t="str">
        <f>MID('paste from garc here'!$C$1,1+(('table for research'!$B283-1)*36+HEX2DEC('table for research'!S$1))*2,2)</f>
        <v>01</v>
      </c>
      <c r="T283" t="str">
        <f>MID('paste from garc here'!$C$1,1+(('table for research'!$B283-1)*36+HEX2DEC('table for research'!T$1))*2,2)</f>
        <v>00</v>
      </c>
      <c r="U283" t="str">
        <f>MID('paste from garc here'!$C$1,1+(('table for research'!$B283-1)*36+HEX2DEC('table for research'!U$1))*2,2)</f>
        <v>18</v>
      </c>
      <c r="V283" t="str">
        <f>MID('paste from garc here'!$C$1,1+(('table for research'!$B283-1)*36+HEX2DEC('table for research'!V$1))*2,2)</f>
        <v>00</v>
      </c>
      <c r="W283" t="str">
        <f>MID('paste from garc here'!$C$1,1+(('table for research'!$B283-1)*36+HEX2DEC('table for research'!W$1))*2,2)</f>
        <v>00</v>
      </c>
      <c r="X283" t="str">
        <f>MID('paste from garc here'!$C$1,1+(('table for research'!$B283-1)*36+HEX2DEC('table for research'!X$1))*2,2)</f>
        <v>00</v>
      </c>
      <c r="Y283" t="str">
        <f>MID('paste from garc here'!$C$1,1+(('table for research'!$B283-1)*36+HEX2DEC('table for research'!Y$1))*2,2)</f>
        <v>00</v>
      </c>
      <c r="Z283" t="str">
        <f>MID('paste from garc here'!$C$1,1+(('table for research'!$B283-1)*36+HEX2DEC('table for research'!Z$1))*2,2)</f>
        <v>00</v>
      </c>
      <c r="AA283" t="str">
        <f>MID('paste from garc here'!$C$1,1+(('table for research'!$B283-1)*36+HEX2DEC('table for research'!AA$1))*2,2)</f>
        <v>00</v>
      </c>
      <c r="AB283" t="str">
        <f>MID('paste from garc here'!$C$1,1+(('table for research'!$B283-1)*36+HEX2DEC('table for research'!AB$1))*2,2)</f>
        <v>00</v>
      </c>
      <c r="AC283" t="str">
        <f>MID('paste from garc here'!$C$1,1+(('table for research'!$B283-1)*36+HEX2DEC('table for research'!AC$1))*2,2)</f>
        <v>00</v>
      </c>
      <c r="AD283" t="str">
        <f>MID('paste from garc here'!$C$1,1+(('table for research'!$B283-1)*36+HEX2DEC('table for research'!AD$1))*2,2)</f>
        <v>00</v>
      </c>
      <c r="AE283" t="str">
        <f>MID('paste from garc here'!$C$1,1+(('table for research'!$B283-1)*36+HEX2DEC('table for research'!AE$1))*2,2)</f>
        <v>00</v>
      </c>
      <c r="AF283" t="str">
        <f>MID('paste from garc here'!$C$1,1+(('table for research'!$B283-1)*36+HEX2DEC('table for research'!AF$1))*2,2)</f>
        <v>00</v>
      </c>
      <c r="AG283" t="str">
        <f>MID('paste from garc here'!$C$1,1+(('table for research'!$B283-1)*36+HEX2DEC('table for research'!AG$1))*2,2)</f>
        <v>00</v>
      </c>
      <c r="AH283" t="str">
        <f>MID('paste from garc here'!$C$1,1+(('table for research'!$B283-1)*36+HEX2DEC('table for research'!AH$1))*2,2)</f>
        <v>00</v>
      </c>
      <c r="AI283" t="str">
        <f>MID('paste from garc here'!$C$1,1+(('table for research'!$B283-1)*36+HEX2DEC('table for research'!AI$1))*2,2)</f>
        <v>00</v>
      </c>
      <c r="AJ283" t="str">
        <f>MID('paste from garc here'!$C$1,1+(('table for research'!$B283-1)*36+HEX2DEC('table for research'!AJ$1))*2,2)</f>
        <v>00</v>
      </c>
      <c r="AK283" t="str">
        <f>MID('paste from garc here'!$C$1,1+(('table for research'!$B283-1)*36+HEX2DEC('table for research'!AK$1))*2,2)</f>
        <v>00</v>
      </c>
      <c r="AL283" t="str">
        <f>MID('paste from garc here'!$C$1,1+(('table for research'!$B283-1)*36+HEX2DEC('table for research'!AL$1))*2,2)</f>
        <v>00</v>
      </c>
      <c r="AM283" t="str">
        <f>MID('paste from garc here'!$C$1,1+(('table for research'!$B283-1)*36+HEX2DEC('table for research'!AM$1))*2,2)</f>
        <v>00</v>
      </c>
      <c r="AN283" t="str">
        <f>MID('paste from garc here'!$C$1,1+(('table for research'!$B283-1)*36+HEX2DEC('table for research'!AN$1))*2,2)</f>
        <v>00</v>
      </c>
      <c r="AO283" t="str">
        <f>MID('paste from garc here'!$C$1,1+(('table for research'!$B283-1)*36+HEX2DEC('table for research'!AO$1))*2,2)</f>
        <v>00</v>
      </c>
    </row>
    <row r="284" spans="1:41" x14ac:dyDescent="0.4">
      <c r="A284" t="s">
        <v>287</v>
      </c>
      <c r="B284">
        <f>B283+1</f>
        <v>282</v>
      </c>
      <c r="C284" t="str">
        <f>MID('paste from garc here'!$C$1,1+(('table for research'!$B284-1)*36+HEX2DEC('table for research'!C$1))*2,2)</f>
        <v>90</v>
      </c>
      <c r="D284" t="str">
        <f>MID('paste from garc here'!$C$1,1+(('table for research'!$B284-1)*36+HEX2DEC('table for research'!D$1))*2,2)</f>
        <v>01</v>
      </c>
      <c r="E284" t="str">
        <f>MID('paste from garc here'!$C$1,1+(('table for research'!$B284-1)*36+HEX2DEC('table for research'!E$1))*2,2)</f>
        <v>6D</v>
      </c>
      <c r="F284" t="str">
        <f>MID('paste from garc here'!$C$1,1+(('table for research'!$B284-1)*36+HEX2DEC('table for research'!F$1))*2,2)</f>
        <v>05</v>
      </c>
      <c r="G284" t="str">
        <f>MID('paste from garc here'!$C$1,1+(('table for research'!$B284-1)*36+HEX2DEC('table for research'!G$1))*2,2)</f>
        <v>00</v>
      </c>
      <c r="H284" t="str">
        <f>MID('paste from garc here'!$C$1,1+(('table for research'!$B284-1)*36+HEX2DEC('table for research'!H$1))*2,2)</f>
        <v>00</v>
      </c>
      <c r="I284" t="str">
        <f>MID('paste from garc here'!$C$1,1+(('table for research'!$B284-1)*36+HEX2DEC('table for research'!I$1))*2,2)</f>
        <v>28</v>
      </c>
      <c r="J284" t="str">
        <f>MID('paste from garc here'!$C$1,1+(('table for research'!$B284-1)*36+HEX2DEC('table for research'!J$1))*2,2)</f>
        <v>00</v>
      </c>
      <c r="K284" t="str">
        <f>DEC2HEX(_xlfn.BITAND(HEX2DEC(MID('paste from garc here'!$C$1,1+(('table for research'!$B284-1)*36+HEX2DEC(8))*2,2)),31),2)</f>
        <v>1F</v>
      </c>
      <c r="L284" t="str">
        <f>DEC2HEX(_xlfn.BITAND(HEX2DEC(MID('paste from garc here'!$C$1,1+(('table for research'!$B284-1)*36+HEX2DEC(8))*2,2)),32),2)</f>
        <v>00</v>
      </c>
      <c r="M284" t="str">
        <f>DEC2HEX(_xlfn.BITAND(HEX2DEC(MID('paste from garc here'!$C$1,1+(('table for research'!$B284-1)*36+HEX2DEC(8))*2,2)),64),2)</f>
        <v>00</v>
      </c>
      <c r="N284" t="str">
        <f>DEC2HEX(_xlfn.BITRSHIFT(_xlfn.BITAND(HEX2DEC(MID('paste from garc here'!$C$1,1+(('table for research'!$B284-1)*36+HEX2DEC(9))*2,2)&amp;MID('paste from garc here'!$C$1,1+(('table for research'!$B284-1)*36+HEX2DEC(8))*2,2)),1920),7),2)</f>
        <v>00</v>
      </c>
      <c r="O284" t="str">
        <f>DEC2HEX(_xlfn.BITRSHIFT(HEX2DEC(MID('paste from garc here'!$C$1,1+(('table for research'!$B284-1)*36+HEX2DEC(9))*2,2)&amp;MID('paste from garc here'!$C$1,1+(('table for research'!$B284-1)*36+HEX2DEC(8))*2,2)),11),2)</f>
        <v>00</v>
      </c>
      <c r="P284" t="str">
        <f>MID('paste from garc here'!$C$1,1+(('table for research'!$B284-1)*36+HEX2DEC('table for research'!P$1))*2,2)</f>
        <v>00</v>
      </c>
      <c r="Q284" t="str">
        <f>MID('paste from garc here'!$C$1,1+(('table for research'!$B284-1)*36+HEX2DEC('table for research'!Q$1))*2,2)</f>
        <v>00</v>
      </c>
      <c r="R284" t="str">
        <f>MID('paste from garc here'!$C$1,1+(('table for research'!$B284-1)*36+HEX2DEC('table for research'!R$1))*2,2)</f>
        <v>00</v>
      </c>
      <c r="S284" t="str">
        <f>MID('paste from garc here'!$C$1,1+(('table for research'!$B284-1)*36+HEX2DEC('table for research'!S$1))*2,2)</f>
        <v>01</v>
      </c>
      <c r="T284" t="str">
        <f>MID('paste from garc here'!$C$1,1+(('table for research'!$B284-1)*36+HEX2DEC('table for research'!T$1))*2,2)</f>
        <v>00</v>
      </c>
      <c r="U284" t="str">
        <f>MID('paste from garc here'!$C$1,1+(('table for research'!$B284-1)*36+HEX2DEC('table for research'!U$1))*2,2)</f>
        <v>0E</v>
      </c>
      <c r="V284" t="str">
        <f>MID('paste from garc here'!$C$1,1+(('table for research'!$B284-1)*36+HEX2DEC('table for research'!V$1))*2,2)</f>
        <v>00</v>
      </c>
      <c r="W284" t="str">
        <f>MID('paste from garc here'!$C$1,1+(('table for research'!$B284-1)*36+HEX2DEC('table for research'!W$1))*2,2)</f>
        <v>00</v>
      </c>
      <c r="X284" t="str">
        <f>MID('paste from garc here'!$C$1,1+(('table for research'!$B284-1)*36+HEX2DEC('table for research'!X$1))*2,2)</f>
        <v>00</v>
      </c>
      <c r="Y284" t="str">
        <f>MID('paste from garc here'!$C$1,1+(('table for research'!$B284-1)*36+HEX2DEC('table for research'!Y$1))*2,2)</f>
        <v>00</v>
      </c>
      <c r="Z284" t="str">
        <f>MID('paste from garc here'!$C$1,1+(('table for research'!$B284-1)*36+HEX2DEC('table for research'!Z$1))*2,2)</f>
        <v>00</v>
      </c>
      <c r="AA284" t="str">
        <f>MID('paste from garc here'!$C$1,1+(('table for research'!$B284-1)*36+HEX2DEC('table for research'!AA$1))*2,2)</f>
        <v>00</v>
      </c>
      <c r="AB284" t="str">
        <f>MID('paste from garc here'!$C$1,1+(('table for research'!$B284-1)*36+HEX2DEC('table for research'!AB$1))*2,2)</f>
        <v>00</v>
      </c>
      <c r="AC284" t="str">
        <f>MID('paste from garc here'!$C$1,1+(('table for research'!$B284-1)*36+HEX2DEC('table for research'!AC$1))*2,2)</f>
        <v>00</v>
      </c>
      <c r="AD284" t="str">
        <f>MID('paste from garc here'!$C$1,1+(('table for research'!$B284-1)*36+HEX2DEC('table for research'!AD$1))*2,2)</f>
        <v>00</v>
      </c>
      <c r="AE284" t="str">
        <f>MID('paste from garc here'!$C$1,1+(('table for research'!$B284-1)*36+HEX2DEC('table for research'!AE$1))*2,2)</f>
        <v>00</v>
      </c>
      <c r="AF284" t="str">
        <f>MID('paste from garc here'!$C$1,1+(('table for research'!$B284-1)*36+HEX2DEC('table for research'!AF$1))*2,2)</f>
        <v>00</v>
      </c>
      <c r="AG284" t="str">
        <f>MID('paste from garc here'!$C$1,1+(('table for research'!$B284-1)*36+HEX2DEC('table for research'!AG$1))*2,2)</f>
        <v>00</v>
      </c>
      <c r="AH284" t="str">
        <f>MID('paste from garc here'!$C$1,1+(('table for research'!$B284-1)*36+HEX2DEC('table for research'!AH$1))*2,2)</f>
        <v>00</v>
      </c>
      <c r="AI284" t="str">
        <f>MID('paste from garc here'!$C$1,1+(('table for research'!$B284-1)*36+HEX2DEC('table for research'!AI$1))*2,2)</f>
        <v>00</v>
      </c>
      <c r="AJ284" t="str">
        <f>MID('paste from garc here'!$C$1,1+(('table for research'!$B284-1)*36+HEX2DEC('table for research'!AJ$1))*2,2)</f>
        <v>00</v>
      </c>
      <c r="AK284" t="str">
        <f>MID('paste from garc here'!$C$1,1+(('table for research'!$B284-1)*36+HEX2DEC('table for research'!AK$1))*2,2)</f>
        <v>00</v>
      </c>
      <c r="AL284" t="str">
        <f>MID('paste from garc here'!$C$1,1+(('table for research'!$B284-1)*36+HEX2DEC('table for research'!AL$1))*2,2)</f>
        <v>00</v>
      </c>
      <c r="AM284" t="str">
        <f>MID('paste from garc here'!$C$1,1+(('table for research'!$B284-1)*36+HEX2DEC('table for research'!AM$1))*2,2)</f>
        <v>00</v>
      </c>
      <c r="AN284" t="str">
        <f>MID('paste from garc here'!$C$1,1+(('table for research'!$B284-1)*36+HEX2DEC('table for research'!AN$1))*2,2)</f>
        <v>00</v>
      </c>
      <c r="AO284" t="str">
        <f>MID('paste from garc here'!$C$1,1+(('table for research'!$B284-1)*36+HEX2DEC('table for research'!AO$1))*2,2)</f>
        <v>00</v>
      </c>
    </row>
    <row r="285" spans="1:41" x14ac:dyDescent="0.4">
      <c r="A285" t="s">
        <v>288</v>
      </c>
      <c r="B285">
        <f>B284+1</f>
        <v>283</v>
      </c>
      <c r="C285" t="str">
        <f>MID('paste from garc here'!$C$1,1+(('table for research'!$B285-1)*36+HEX2DEC('table for research'!C$1))*2,2)</f>
        <v>90</v>
      </c>
      <c r="D285" t="str">
        <f>MID('paste from garc here'!$C$1,1+(('table for research'!$B285-1)*36+HEX2DEC('table for research'!D$1))*2,2)</f>
        <v>01</v>
      </c>
      <c r="E285" t="str">
        <f>MID('paste from garc here'!$C$1,1+(('table for research'!$B285-1)*36+HEX2DEC('table for research'!E$1))*2,2)</f>
        <v>6E</v>
      </c>
      <c r="F285" t="str">
        <f>MID('paste from garc here'!$C$1,1+(('table for research'!$B285-1)*36+HEX2DEC('table for research'!F$1))*2,2)</f>
        <v>05</v>
      </c>
      <c r="G285" t="str">
        <f>MID('paste from garc here'!$C$1,1+(('table for research'!$B285-1)*36+HEX2DEC('table for research'!G$1))*2,2)</f>
        <v>00</v>
      </c>
      <c r="H285" t="str">
        <f>MID('paste from garc here'!$C$1,1+(('table for research'!$B285-1)*36+HEX2DEC('table for research'!H$1))*2,2)</f>
        <v>00</v>
      </c>
      <c r="I285" t="str">
        <f>MID('paste from garc here'!$C$1,1+(('table for research'!$B285-1)*36+HEX2DEC('table for research'!I$1))*2,2)</f>
        <v>0A</v>
      </c>
      <c r="J285" t="str">
        <f>MID('paste from garc here'!$C$1,1+(('table for research'!$B285-1)*36+HEX2DEC('table for research'!J$1))*2,2)</f>
        <v>00</v>
      </c>
      <c r="K285" t="str">
        <f>DEC2HEX(_xlfn.BITAND(HEX2DEC(MID('paste from garc here'!$C$1,1+(('table for research'!$B285-1)*36+HEX2DEC(8))*2,2)),31),2)</f>
        <v>1F</v>
      </c>
      <c r="L285" t="str">
        <f>DEC2HEX(_xlfn.BITAND(HEX2DEC(MID('paste from garc here'!$C$1,1+(('table for research'!$B285-1)*36+HEX2DEC(8))*2,2)),32),2)</f>
        <v>00</v>
      </c>
      <c r="M285" t="str">
        <f>DEC2HEX(_xlfn.BITAND(HEX2DEC(MID('paste from garc here'!$C$1,1+(('table for research'!$B285-1)*36+HEX2DEC(8))*2,2)),64),2)</f>
        <v>00</v>
      </c>
      <c r="N285" t="str">
        <f>DEC2HEX(_xlfn.BITRSHIFT(_xlfn.BITAND(HEX2DEC(MID('paste from garc here'!$C$1,1+(('table for research'!$B285-1)*36+HEX2DEC(9))*2,2)&amp;MID('paste from garc here'!$C$1,1+(('table for research'!$B285-1)*36+HEX2DEC(8))*2,2)),1920),7),2)</f>
        <v>00</v>
      </c>
      <c r="O285" t="str">
        <f>DEC2HEX(_xlfn.BITRSHIFT(HEX2DEC(MID('paste from garc here'!$C$1,1+(('table for research'!$B285-1)*36+HEX2DEC(9))*2,2)&amp;MID('paste from garc here'!$C$1,1+(('table for research'!$B285-1)*36+HEX2DEC(8))*2,2)),11),2)</f>
        <v>00</v>
      </c>
      <c r="P285" t="str">
        <f>MID('paste from garc here'!$C$1,1+(('table for research'!$B285-1)*36+HEX2DEC('table for research'!P$1))*2,2)</f>
        <v>00</v>
      </c>
      <c r="Q285" t="str">
        <f>MID('paste from garc here'!$C$1,1+(('table for research'!$B285-1)*36+HEX2DEC('table for research'!Q$1))*2,2)</f>
        <v>00</v>
      </c>
      <c r="R285" t="str">
        <f>MID('paste from garc here'!$C$1,1+(('table for research'!$B285-1)*36+HEX2DEC('table for research'!R$1))*2,2)</f>
        <v>00</v>
      </c>
      <c r="S285" t="str">
        <f>MID('paste from garc here'!$C$1,1+(('table for research'!$B285-1)*36+HEX2DEC('table for research'!S$1))*2,2)</f>
        <v>01</v>
      </c>
      <c r="T285" t="str">
        <f>MID('paste from garc here'!$C$1,1+(('table for research'!$B285-1)*36+HEX2DEC('table for research'!T$1))*2,2)</f>
        <v>00</v>
      </c>
      <c r="U285" t="str">
        <f>MID('paste from garc here'!$C$1,1+(('table for research'!$B285-1)*36+HEX2DEC('table for research'!U$1))*2,2)</f>
        <v>0D</v>
      </c>
      <c r="V285" t="str">
        <f>MID('paste from garc here'!$C$1,1+(('table for research'!$B285-1)*36+HEX2DEC('table for research'!V$1))*2,2)</f>
        <v>00</v>
      </c>
      <c r="W285" t="str">
        <f>MID('paste from garc here'!$C$1,1+(('table for research'!$B285-1)*36+HEX2DEC('table for research'!W$1))*2,2)</f>
        <v>00</v>
      </c>
      <c r="X285" t="str">
        <f>MID('paste from garc here'!$C$1,1+(('table for research'!$B285-1)*36+HEX2DEC('table for research'!X$1))*2,2)</f>
        <v>00</v>
      </c>
      <c r="Y285" t="str">
        <f>MID('paste from garc here'!$C$1,1+(('table for research'!$B285-1)*36+HEX2DEC('table for research'!Y$1))*2,2)</f>
        <v>00</v>
      </c>
      <c r="Z285" t="str">
        <f>MID('paste from garc here'!$C$1,1+(('table for research'!$B285-1)*36+HEX2DEC('table for research'!Z$1))*2,2)</f>
        <v>00</v>
      </c>
      <c r="AA285" t="str">
        <f>MID('paste from garc here'!$C$1,1+(('table for research'!$B285-1)*36+HEX2DEC('table for research'!AA$1))*2,2)</f>
        <v>00</v>
      </c>
      <c r="AB285" t="str">
        <f>MID('paste from garc here'!$C$1,1+(('table for research'!$B285-1)*36+HEX2DEC('table for research'!AB$1))*2,2)</f>
        <v>00</v>
      </c>
      <c r="AC285" t="str">
        <f>MID('paste from garc here'!$C$1,1+(('table for research'!$B285-1)*36+HEX2DEC('table for research'!AC$1))*2,2)</f>
        <v>00</v>
      </c>
      <c r="AD285" t="str">
        <f>MID('paste from garc here'!$C$1,1+(('table for research'!$B285-1)*36+HEX2DEC('table for research'!AD$1))*2,2)</f>
        <v>00</v>
      </c>
      <c r="AE285" t="str">
        <f>MID('paste from garc here'!$C$1,1+(('table for research'!$B285-1)*36+HEX2DEC('table for research'!AE$1))*2,2)</f>
        <v>00</v>
      </c>
      <c r="AF285" t="str">
        <f>MID('paste from garc here'!$C$1,1+(('table for research'!$B285-1)*36+HEX2DEC('table for research'!AF$1))*2,2)</f>
        <v>00</v>
      </c>
      <c r="AG285" t="str">
        <f>MID('paste from garc here'!$C$1,1+(('table for research'!$B285-1)*36+HEX2DEC('table for research'!AG$1))*2,2)</f>
        <v>00</v>
      </c>
      <c r="AH285" t="str">
        <f>MID('paste from garc here'!$C$1,1+(('table for research'!$B285-1)*36+HEX2DEC('table for research'!AH$1))*2,2)</f>
        <v>00</v>
      </c>
      <c r="AI285" t="str">
        <f>MID('paste from garc here'!$C$1,1+(('table for research'!$B285-1)*36+HEX2DEC('table for research'!AI$1))*2,2)</f>
        <v>00</v>
      </c>
      <c r="AJ285" t="str">
        <f>MID('paste from garc here'!$C$1,1+(('table for research'!$B285-1)*36+HEX2DEC('table for research'!AJ$1))*2,2)</f>
        <v>00</v>
      </c>
      <c r="AK285" t="str">
        <f>MID('paste from garc here'!$C$1,1+(('table for research'!$B285-1)*36+HEX2DEC('table for research'!AK$1))*2,2)</f>
        <v>00</v>
      </c>
      <c r="AL285" t="str">
        <f>MID('paste from garc here'!$C$1,1+(('table for research'!$B285-1)*36+HEX2DEC('table for research'!AL$1))*2,2)</f>
        <v>00</v>
      </c>
      <c r="AM285" t="str">
        <f>MID('paste from garc here'!$C$1,1+(('table for research'!$B285-1)*36+HEX2DEC('table for research'!AM$1))*2,2)</f>
        <v>00</v>
      </c>
      <c r="AN285" t="str">
        <f>MID('paste from garc here'!$C$1,1+(('table for research'!$B285-1)*36+HEX2DEC('table for research'!AN$1))*2,2)</f>
        <v>00</v>
      </c>
      <c r="AO285" t="str">
        <f>MID('paste from garc here'!$C$1,1+(('table for research'!$B285-1)*36+HEX2DEC('table for research'!AO$1))*2,2)</f>
        <v>00</v>
      </c>
    </row>
    <row r="286" spans="1:41" x14ac:dyDescent="0.4">
      <c r="A286" t="s">
        <v>289</v>
      </c>
      <c r="B286">
        <f>B285+1</f>
        <v>284</v>
      </c>
      <c r="C286" t="str">
        <f>MID('paste from garc here'!$C$1,1+(('table for research'!$B286-1)*36+HEX2DEC('table for research'!C$1))*2,2)</f>
        <v>90</v>
      </c>
      <c r="D286" t="str">
        <f>MID('paste from garc here'!$C$1,1+(('table for research'!$B286-1)*36+HEX2DEC('table for research'!D$1))*2,2)</f>
        <v>01</v>
      </c>
      <c r="E286" t="str">
        <f>MID('paste from garc here'!$C$1,1+(('table for research'!$B286-1)*36+HEX2DEC('table for research'!E$1))*2,2)</f>
        <v>6F</v>
      </c>
      <c r="F286" t="str">
        <f>MID('paste from garc here'!$C$1,1+(('table for research'!$B286-1)*36+HEX2DEC('table for research'!F$1))*2,2)</f>
        <v>05</v>
      </c>
      <c r="G286" t="str">
        <f>MID('paste from garc here'!$C$1,1+(('table for research'!$B286-1)*36+HEX2DEC('table for research'!G$1))*2,2)</f>
        <v>00</v>
      </c>
      <c r="H286" t="str">
        <f>MID('paste from garc here'!$C$1,1+(('table for research'!$B286-1)*36+HEX2DEC('table for research'!H$1))*2,2)</f>
        <v>00</v>
      </c>
      <c r="I286" t="str">
        <f>MID('paste from garc here'!$C$1,1+(('table for research'!$B286-1)*36+HEX2DEC('table for research'!I$1))*2,2)</f>
        <v>3C</v>
      </c>
      <c r="J286" t="str">
        <f>MID('paste from garc here'!$C$1,1+(('table for research'!$B286-1)*36+HEX2DEC('table for research'!J$1))*2,2)</f>
        <v>00</v>
      </c>
      <c r="K286" t="str">
        <f>DEC2HEX(_xlfn.BITAND(HEX2DEC(MID('paste from garc here'!$C$1,1+(('table for research'!$B286-1)*36+HEX2DEC(8))*2,2)),31),2)</f>
        <v>1F</v>
      </c>
      <c r="L286" t="str">
        <f>DEC2HEX(_xlfn.BITAND(HEX2DEC(MID('paste from garc here'!$C$1,1+(('table for research'!$B286-1)*36+HEX2DEC(8))*2,2)),32),2)</f>
        <v>00</v>
      </c>
      <c r="M286" t="str">
        <f>DEC2HEX(_xlfn.BITAND(HEX2DEC(MID('paste from garc here'!$C$1,1+(('table for research'!$B286-1)*36+HEX2DEC(8))*2,2)),64),2)</f>
        <v>00</v>
      </c>
      <c r="N286" t="str">
        <f>DEC2HEX(_xlfn.BITRSHIFT(_xlfn.BITAND(HEX2DEC(MID('paste from garc here'!$C$1,1+(('table for research'!$B286-1)*36+HEX2DEC(9))*2,2)&amp;MID('paste from garc here'!$C$1,1+(('table for research'!$B286-1)*36+HEX2DEC(8))*2,2)),1920),7),2)</f>
        <v>00</v>
      </c>
      <c r="O286" t="str">
        <f>DEC2HEX(_xlfn.BITRSHIFT(HEX2DEC(MID('paste from garc here'!$C$1,1+(('table for research'!$B286-1)*36+HEX2DEC(9))*2,2)&amp;MID('paste from garc here'!$C$1,1+(('table for research'!$B286-1)*36+HEX2DEC(8))*2,2)),11),2)</f>
        <v>00</v>
      </c>
      <c r="P286" t="str">
        <f>MID('paste from garc here'!$C$1,1+(('table for research'!$B286-1)*36+HEX2DEC('table for research'!P$1))*2,2)</f>
        <v>00</v>
      </c>
      <c r="Q286" t="str">
        <f>MID('paste from garc here'!$C$1,1+(('table for research'!$B286-1)*36+HEX2DEC('table for research'!Q$1))*2,2)</f>
        <v>00</v>
      </c>
      <c r="R286" t="str">
        <f>MID('paste from garc here'!$C$1,1+(('table for research'!$B286-1)*36+HEX2DEC('table for research'!R$1))*2,2)</f>
        <v>00</v>
      </c>
      <c r="S286" t="str">
        <f>MID('paste from garc here'!$C$1,1+(('table for research'!$B286-1)*36+HEX2DEC('table for research'!S$1))*2,2)</f>
        <v>01</v>
      </c>
      <c r="T286" t="str">
        <f>MID('paste from garc here'!$C$1,1+(('table for research'!$B286-1)*36+HEX2DEC('table for research'!T$1))*2,2)</f>
        <v>00</v>
      </c>
      <c r="U286" t="str">
        <f>MID('paste from garc here'!$C$1,1+(('table for research'!$B286-1)*36+HEX2DEC('table for research'!U$1))*2,2)</f>
        <v>0C</v>
      </c>
      <c r="V286" t="str">
        <f>MID('paste from garc here'!$C$1,1+(('table for research'!$B286-1)*36+HEX2DEC('table for research'!V$1))*2,2)</f>
        <v>00</v>
      </c>
      <c r="W286" t="str">
        <f>MID('paste from garc here'!$C$1,1+(('table for research'!$B286-1)*36+HEX2DEC('table for research'!W$1))*2,2)</f>
        <v>00</v>
      </c>
      <c r="X286" t="str">
        <f>MID('paste from garc here'!$C$1,1+(('table for research'!$B286-1)*36+HEX2DEC('table for research'!X$1))*2,2)</f>
        <v>00</v>
      </c>
      <c r="Y286" t="str">
        <f>MID('paste from garc here'!$C$1,1+(('table for research'!$B286-1)*36+HEX2DEC('table for research'!Y$1))*2,2)</f>
        <v>00</v>
      </c>
      <c r="Z286" t="str">
        <f>MID('paste from garc here'!$C$1,1+(('table for research'!$B286-1)*36+HEX2DEC('table for research'!Z$1))*2,2)</f>
        <v>00</v>
      </c>
      <c r="AA286" t="str">
        <f>MID('paste from garc here'!$C$1,1+(('table for research'!$B286-1)*36+HEX2DEC('table for research'!AA$1))*2,2)</f>
        <v>00</v>
      </c>
      <c r="AB286" t="str">
        <f>MID('paste from garc here'!$C$1,1+(('table for research'!$B286-1)*36+HEX2DEC('table for research'!AB$1))*2,2)</f>
        <v>00</v>
      </c>
      <c r="AC286" t="str">
        <f>MID('paste from garc here'!$C$1,1+(('table for research'!$B286-1)*36+HEX2DEC('table for research'!AC$1))*2,2)</f>
        <v>00</v>
      </c>
      <c r="AD286" t="str">
        <f>MID('paste from garc here'!$C$1,1+(('table for research'!$B286-1)*36+HEX2DEC('table for research'!AD$1))*2,2)</f>
        <v>00</v>
      </c>
      <c r="AE286" t="str">
        <f>MID('paste from garc here'!$C$1,1+(('table for research'!$B286-1)*36+HEX2DEC('table for research'!AE$1))*2,2)</f>
        <v>00</v>
      </c>
      <c r="AF286" t="str">
        <f>MID('paste from garc here'!$C$1,1+(('table for research'!$B286-1)*36+HEX2DEC('table for research'!AF$1))*2,2)</f>
        <v>00</v>
      </c>
      <c r="AG286" t="str">
        <f>MID('paste from garc here'!$C$1,1+(('table for research'!$B286-1)*36+HEX2DEC('table for research'!AG$1))*2,2)</f>
        <v>00</v>
      </c>
      <c r="AH286" t="str">
        <f>MID('paste from garc here'!$C$1,1+(('table for research'!$B286-1)*36+HEX2DEC('table for research'!AH$1))*2,2)</f>
        <v>00</v>
      </c>
      <c r="AI286" t="str">
        <f>MID('paste from garc here'!$C$1,1+(('table for research'!$B286-1)*36+HEX2DEC('table for research'!AI$1))*2,2)</f>
        <v>00</v>
      </c>
      <c r="AJ286" t="str">
        <f>MID('paste from garc here'!$C$1,1+(('table for research'!$B286-1)*36+HEX2DEC('table for research'!AJ$1))*2,2)</f>
        <v>00</v>
      </c>
      <c r="AK286" t="str">
        <f>MID('paste from garc here'!$C$1,1+(('table for research'!$B286-1)*36+HEX2DEC('table for research'!AK$1))*2,2)</f>
        <v>00</v>
      </c>
      <c r="AL286" t="str">
        <f>MID('paste from garc here'!$C$1,1+(('table for research'!$B286-1)*36+HEX2DEC('table for research'!AL$1))*2,2)</f>
        <v>00</v>
      </c>
      <c r="AM286" t="str">
        <f>MID('paste from garc here'!$C$1,1+(('table for research'!$B286-1)*36+HEX2DEC('table for research'!AM$1))*2,2)</f>
        <v>00</v>
      </c>
      <c r="AN286" t="str">
        <f>MID('paste from garc here'!$C$1,1+(('table for research'!$B286-1)*36+HEX2DEC('table for research'!AN$1))*2,2)</f>
        <v>00</v>
      </c>
      <c r="AO286" t="str">
        <f>MID('paste from garc here'!$C$1,1+(('table for research'!$B286-1)*36+HEX2DEC('table for research'!AO$1))*2,2)</f>
        <v>00</v>
      </c>
    </row>
    <row r="287" spans="1:41" x14ac:dyDescent="0.4">
      <c r="A287" t="s">
        <v>290</v>
      </c>
      <c r="B287">
        <f>B286+1</f>
        <v>285</v>
      </c>
      <c r="C287" t="str">
        <f>MID('paste from garc here'!$C$1,1+(('table for research'!$B287-1)*36+HEX2DEC('table for research'!C$1))*2,2)</f>
        <v>90</v>
      </c>
      <c r="D287" t="str">
        <f>MID('paste from garc here'!$C$1,1+(('table for research'!$B287-1)*36+HEX2DEC('table for research'!D$1))*2,2)</f>
        <v>01</v>
      </c>
      <c r="E287" t="str">
        <f>MID('paste from garc here'!$C$1,1+(('table for research'!$B287-1)*36+HEX2DEC('table for research'!E$1))*2,2)</f>
        <v>70</v>
      </c>
      <c r="F287" t="str">
        <f>MID('paste from garc here'!$C$1,1+(('table for research'!$B287-1)*36+HEX2DEC('table for research'!F$1))*2,2)</f>
        <v>05</v>
      </c>
      <c r="G287" t="str">
        <f>MID('paste from garc here'!$C$1,1+(('table for research'!$B287-1)*36+HEX2DEC('table for research'!G$1))*2,2)</f>
        <v>00</v>
      </c>
      <c r="H287" t="str">
        <f>MID('paste from garc here'!$C$1,1+(('table for research'!$B287-1)*36+HEX2DEC('table for research'!H$1))*2,2)</f>
        <v>00</v>
      </c>
      <c r="I287" t="str">
        <f>MID('paste from garc here'!$C$1,1+(('table for research'!$B287-1)*36+HEX2DEC('table for research'!I$1))*2,2)</f>
        <v>3C</v>
      </c>
      <c r="J287" t="str">
        <f>MID('paste from garc here'!$C$1,1+(('table for research'!$B287-1)*36+HEX2DEC('table for research'!J$1))*2,2)</f>
        <v>00</v>
      </c>
      <c r="K287" t="str">
        <f>DEC2HEX(_xlfn.BITAND(HEX2DEC(MID('paste from garc here'!$C$1,1+(('table for research'!$B287-1)*36+HEX2DEC(8))*2,2)),31),2)</f>
        <v>1F</v>
      </c>
      <c r="L287" t="str">
        <f>DEC2HEX(_xlfn.BITAND(HEX2DEC(MID('paste from garc here'!$C$1,1+(('table for research'!$B287-1)*36+HEX2DEC(8))*2,2)),32),2)</f>
        <v>00</v>
      </c>
      <c r="M287" t="str">
        <f>DEC2HEX(_xlfn.BITAND(HEX2DEC(MID('paste from garc here'!$C$1,1+(('table for research'!$B287-1)*36+HEX2DEC(8))*2,2)),64),2)</f>
        <v>00</v>
      </c>
      <c r="N287" t="str">
        <f>DEC2HEX(_xlfn.BITRSHIFT(_xlfn.BITAND(HEX2DEC(MID('paste from garc here'!$C$1,1+(('table for research'!$B287-1)*36+HEX2DEC(9))*2,2)&amp;MID('paste from garc here'!$C$1,1+(('table for research'!$B287-1)*36+HEX2DEC(8))*2,2)),1920),7),2)</f>
        <v>00</v>
      </c>
      <c r="O287" t="str">
        <f>DEC2HEX(_xlfn.BITRSHIFT(HEX2DEC(MID('paste from garc here'!$C$1,1+(('table for research'!$B287-1)*36+HEX2DEC(9))*2,2)&amp;MID('paste from garc here'!$C$1,1+(('table for research'!$B287-1)*36+HEX2DEC(8))*2,2)),11),2)</f>
        <v>00</v>
      </c>
      <c r="P287" t="str">
        <f>MID('paste from garc here'!$C$1,1+(('table for research'!$B287-1)*36+HEX2DEC('table for research'!P$1))*2,2)</f>
        <v>00</v>
      </c>
      <c r="Q287" t="str">
        <f>MID('paste from garc here'!$C$1,1+(('table for research'!$B287-1)*36+HEX2DEC('table for research'!Q$1))*2,2)</f>
        <v>00</v>
      </c>
      <c r="R287" t="str">
        <f>MID('paste from garc here'!$C$1,1+(('table for research'!$B287-1)*36+HEX2DEC('table for research'!R$1))*2,2)</f>
        <v>00</v>
      </c>
      <c r="S287" t="str">
        <f>MID('paste from garc here'!$C$1,1+(('table for research'!$B287-1)*36+HEX2DEC('table for research'!S$1))*2,2)</f>
        <v>01</v>
      </c>
      <c r="T287" t="str">
        <f>MID('paste from garc here'!$C$1,1+(('table for research'!$B287-1)*36+HEX2DEC('table for research'!T$1))*2,2)</f>
        <v>00</v>
      </c>
      <c r="U287" t="str">
        <f>MID('paste from garc here'!$C$1,1+(('table for research'!$B287-1)*36+HEX2DEC('table for research'!U$1))*2,2)</f>
        <v>0B</v>
      </c>
      <c r="V287" t="str">
        <f>MID('paste from garc here'!$C$1,1+(('table for research'!$B287-1)*36+HEX2DEC('table for research'!V$1))*2,2)</f>
        <v>00</v>
      </c>
      <c r="W287" t="str">
        <f>MID('paste from garc here'!$C$1,1+(('table for research'!$B287-1)*36+HEX2DEC('table for research'!W$1))*2,2)</f>
        <v>00</v>
      </c>
      <c r="X287" t="str">
        <f>MID('paste from garc here'!$C$1,1+(('table for research'!$B287-1)*36+HEX2DEC('table for research'!X$1))*2,2)</f>
        <v>00</v>
      </c>
      <c r="Y287" t="str">
        <f>MID('paste from garc here'!$C$1,1+(('table for research'!$B287-1)*36+HEX2DEC('table for research'!Y$1))*2,2)</f>
        <v>00</v>
      </c>
      <c r="Z287" t="str">
        <f>MID('paste from garc here'!$C$1,1+(('table for research'!$B287-1)*36+HEX2DEC('table for research'!Z$1))*2,2)</f>
        <v>00</v>
      </c>
      <c r="AA287" t="str">
        <f>MID('paste from garc here'!$C$1,1+(('table for research'!$B287-1)*36+HEX2DEC('table for research'!AA$1))*2,2)</f>
        <v>00</v>
      </c>
      <c r="AB287" t="str">
        <f>MID('paste from garc here'!$C$1,1+(('table for research'!$B287-1)*36+HEX2DEC('table for research'!AB$1))*2,2)</f>
        <v>00</v>
      </c>
      <c r="AC287" t="str">
        <f>MID('paste from garc here'!$C$1,1+(('table for research'!$B287-1)*36+HEX2DEC('table for research'!AC$1))*2,2)</f>
        <v>00</v>
      </c>
      <c r="AD287" t="str">
        <f>MID('paste from garc here'!$C$1,1+(('table for research'!$B287-1)*36+HEX2DEC('table for research'!AD$1))*2,2)</f>
        <v>00</v>
      </c>
      <c r="AE287" t="str">
        <f>MID('paste from garc here'!$C$1,1+(('table for research'!$B287-1)*36+HEX2DEC('table for research'!AE$1))*2,2)</f>
        <v>00</v>
      </c>
      <c r="AF287" t="str">
        <f>MID('paste from garc here'!$C$1,1+(('table for research'!$B287-1)*36+HEX2DEC('table for research'!AF$1))*2,2)</f>
        <v>00</v>
      </c>
      <c r="AG287" t="str">
        <f>MID('paste from garc here'!$C$1,1+(('table for research'!$B287-1)*36+HEX2DEC('table for research'!AG$1))*2,2)</f>
        <v>00</v>
      </c>
      <c r="AH287" t="str">
        <f>MID('paste from garc here'!$C$1,1+(('table for research'!$B287-1)*36+HEX2DEC('table for research'!AH$1))*2,2)</f>
        <v>00</v>
      </c>
      <c r="AI287" t="str">
        <f>MID('paste from garc here'!$C$1,1+(('table for research'!$B287-1)*36+HEX2DEC('table for research'!AI$1))*2,2)</f>
        <v>00</v>
      </c>
      <c r="AJ287" t="str">
        <f>MID('paste from garc here'!$C$1,1+(('table for research'!$B287-1)*36+HEX2DEC('table for research'!AJ$1))*2,2)</f>
        <v>00</v>
      </c>
      <c r="AK287" t="str">
        <f>MID('paste from garc here'!$C$1,1+(('table for research'!$B287-1)*36+HEX2DEC('table for research'!AK$1))*2,2)</f>
        <v>00</v>
      </c>
      <c r="AL287" t="str">
        <f>MID('paste from garc here'!$C$1,1+(('table for research'!$B287-1)*36+HEX2DEC('table for research'!AL$1))*2,2)</f>
        <v>00</v>
      </c>
      <c r="AM287" t="str">
        <f>MID('paste from garc here'!$C$1,1+(('table for research'!$B287-1)*36+HEX2DEC('table for research'!AM$1))*2,2)</f>
        <v>00</v>
      </c>
      <c r="AN287" t="str">
        <f>MID('paste from garc here'!$C$1,1+(('table for research'!$B287-1)*36+HEX2DEC('table for research'!AN$1))*2,2)</f>
        <v>00</v>
      </c>
      <c r="AO287" t="str">
        <f>MID('paste from garc here'!$C$1,1+(('table for research'!$B287-1)*36+HEX2DEC('table for research'!AO$1))*2,2)</f>
        <v>00</v>
      </c>
    </row>
    <row r="288" spans="1:41" x14ac:dyDescent="0.4">
      <c r="A288" t="s">
        <v>291</v>
      </c>
      <c r="B288">
        <f>B287+1</f>
        <v>286</v>
      </c>
      <c r="C288" t="str">
        <f>MID('paste from garc here'!$C$1,1+(('table for research'!$B288-1)*36+HEX2DEC('table for research'!C$1))*2,2)</f>
        <v>C8</v>
      </c>
      <c r="D288" t="str">
        <f>MID('paste from garc here'!$C$1,1+(('table for research'!$B288-1)*36+HEX2DEC('table for research'!D$1))*2,2)</f>
        <v>00</v>
      </c>
      <c r="E288" t="str">
        <f>MID('paste from garc here'!$C$1,1+(('table for research'!$B288-1)*36+HEX2DEC('table for research'!E$1))*2,2)</f>
        <v>71</v>
      </c>
      <c r="F288" t="str">
        <f>MID('paste from garc here'!$C$1,1+(('table for research'!$B288-1)*36+HEX2DEC('table for research'!F$1))*2,2)</f>
        <v>00</v>
      </c>
      <c r="G288" t="str">
        <f>MID('paste from garc here'!$C$1,1+(('table for research'!$B288-1)*36+HEX2DEC('table for research'!G$1))*2,2)</f>
        <v>00</v>
      </c>
      <c r="H288" t="str">
        <f>MID('paste from garc here'!$C$1,1+(('table for research'!$B288-1)*36+HEX2DEC('table for research'!H$1))*2,2)</f>
        <v>00</v>
      </c>
      <c r="I288" t="str">
        <f>MID('paste from garc here'!$C$1,1+(('table for research'!$B288-1)*36+HEX2DEC('table for research'!I$1))*2,2)</f>
        <v>5A</v>
      </c>
      <c r="J288" t="str">
        <f>MID('paste from garc here'!$C$1,1+(('table for research'!$B288-1)*36+HEX2DEC('table for research'!J$1))*2,2)</f>
        <v>00</v>
      </c>
      <c r="K288" t="str">
        <f>DEC2HEX(_xlfn.BITAND(HEX2DEC(MID('paste from garc here'!$C$1,1+(('table for research'!$B288-1)*36+HEX2DEC(8))*2,2)),31),2)</f>
        <v>1F</v>
      </c>
      <c r="L288" t="str">
        <f>DEC2HEX(_xlfn.BITAND(HEX2DEC(MID('paste from garc here'!$C$1,1+(('table for research'!$B288-1)*36+HEX2DEC(8))*2,2)),32),2)</f>
        <v>00</v>
      </c>
      <c r="M288" t="str">
        <f>DEC2HEX(_xlfn.BITAND(HEX2DEC(MID('paste from garc here'!$C$1,1+(('table for research'!$B288-1)*36+HEX2DEC(8))*2,2)),64),2)</f>
        <v>00</v>
      </c>
      <c r="N288" t="str">
        <f>DEC2HEX(_xlfn.BITRSHIFT(_xlfn.BITAND(HEX2DEC(MID('paste from garc here'!$C$1,1+(('table for research'!$B288-1)*36+HEX2DEC(9))*2,2)&amp;MID('paste from garc here'!$C$1,1+(('table for research'!$B288-1)*36+HEX2DEC(8))*2,2)),1920),7),2)</f>
        <v>00</v>
      </c>
      <c r="O288" t="str">
        <f>DEC2HEX(_xlfn.BITRSHIFT(HEX2DEC(MID('paste from garc here'!$C$1,1+(('table for research'!$B288-1)*36+HEX2DEC(9))*2,2)&amp;MID('paste from garc here'!$C$1,1+(('table for research'!$B288-1)*36+HEX2DEC(8))*2,2)),11),2)</f>
        <v>00</v>
      </c>
      <c r="P288" t="str">
        <f>MID('paste from garc here'!$C$1,1+(('table for research'!$B288-1)*36+HEX2DEC('table for research'!P$1))*2,2)</f>
        <v>00</v>
      </c>
      <c r="Q288" t="str">
        <f>MID('paste from garc here'!$C$1,1+(('table for research'!$B288-1)*36+HEX2DEC('table for research'!Q$1))*2,2)</f>
        <v>00</v>
      </c>
      <c r="R288" t="str">
        <f>MID('paste from garc here'!$C$1,1+(('table for research'!$B288-1)*36+HEX2DEC('table for research'!R$1))*2,2)</f>
        <v>00</v>
      </c>
      <c r="S288" t="str">
        <f>MID('paste from garc here'!$C$1,1+(('table for research'!$B288-1)*36+HEX2DEC('table for research'!S$1))*2,2)</f>
        <v>01</v>
      </c>
      <c r="T288" t="str">
        <f>MID('paste from garc here'!$C$1,1+(('table for research'!$B288-1)*36+HEX2DEC('table for research'!T$1))*2,2)</f>
        <v>00</v>
      </c>
      <c r="U288" t="str">
        <f>MID('paste from garc here'!$C$1,1+(('table for research'!$B288-1)*36+HEX2DEC('table for research'!U$1))*2,2)</f>
        <v>36</v>
      </c>
      <c r="V288" t="str">
        <f>MID('paste from garc here'!$C$1,1+(('table for research'!$B288-1)*36+HEX2DEC('table for research'!V$1))*2,2)</f>
        <v>00</v>
      </c>
      <c r="W288" t="str">
        <f>MID('paste from garc here'!$C$1,1+(('table for research'!$B288-1)*36+HEX2DEC('table for research'!W$1))*2,2)</f>
        <v>00</v>
      </c>
      <c r="X288" t="str">
        <f>MID('paste from garc here'!$C$1,1+(('table for research'!$B288-1)*36+HEX2DEC('table for research'!X$1))*2,2)</f>
        <v>00</v>
      </c>
      <c r="Y288" t="str">
        <f>MID('paste from garc here'!$C$1,1+(('table for research'!$B288-1)*36+HEX2DEC('table for research'!Y$1))*2,2)</f>
        <v>00</v>
      </c>
      <c r="Z288" t="str">
        <f>MID('paste from garc here'!$C$1,1+(('table for research'!$B288-1)*36+HEX2DEC('table for research'!Z$1))*2,2)</f>
        <v>00</v>
      </c>
      <c r="AA288" t="str">
        <f>MID('paste from garc here'!$C$1,1+(('table for research'!$B288-1)*36+HEX2DEC('table for research'!AA$1))*2,2)</f>
        <v>00</v>
      </c>
      <c r="AB288" t="str">
        <f>MID('paste from garc here'!$C$1,1+(('table for research'!$B288-1)*36+HEX2DEC('table for research'!AB$1))*2,2)</f>
        <v>00</v>
      </c>
      <c r="AC288" t="str">
        <f>MID('paste from garc here'!$C$1,1+(('table for research'!$B288-1)*36+HEX2DEC('table for research'!AC$1))*2,2)</f>
        <v>00</v>
      </c>
      <c r="AD288" t="str">
        <f>MID('paste from garc here'!$C$1,1+(('table for research'!$B288-1)*36+HEX2DEC('table for research'!AD$1))*2,2)</f>
        <v>00</v>
      </c>
      <c r="AE288" t="str">
        <f>MID('paste from garc here'!$C$1,1+(('table for research'!$B288-1)*36+HEX2DEC('table for research'!AE$1))*2,2)</f>
        <v>00</v>
      </c>
      <c r="AF288" t="str">
        <f>MID('paste from garc here'!$C$1,1+(('table for research'!$B288-1)*36+HEX2DEC('table for research'!AF$1))*2,2)</f>
        <v>00</v>
      </c>
      <c r="AG288" t="str">
        <f>MID('paste from garc here'!$C$1,1+(('table for research'!$B288-1)*36+HEX2DEC('table for research'!AG$1))*2,2)</f>
        <v>00</v>
      </c>
      <c r="AH288" t="str">
        <f>MID('paste from garc here'!$C$1,1+(('table for research'!$B288-1)*36+HEX2DEC('table for research'!AH$1))*2,2)</f>
        <v>00</v>
      </c>
      <c r="AI288" t="str">
        <f>MID('paste from garc here'!$C$1,1+(('table for research'!$B288-1)*36+HEX2DEC('table for research'!AI$1))*2,2)</f>
        <v>00</v>
      </c>
      <c r="AJ288" t="str">
        <f>MID('paste from garc here'!$C$1,1+(('table for research'!$B288-1)*36+HEX2DEC('table for research'!AJ$1))*2,2)</f>
        <v>00</v>
      </c>
      <c r="AK288" t="str">
        <f>MID('paste from garc here'!$C$1,1+(('table for research'!$B288-1)*36+HEX2DEC('table for research'!AK$1))*2,2)</f>
        <v>00</v>
      </c>
      <c r="AL288" t="str">
        <f>MID('paste from garc here'!$C$1,1+(('table for research'!$B288-1)*36+HEX2DEC('table for research'!AL$1))*2,2)</f>
        <v>00</v>
      </c>
      <c r="AM288" t="str">
        <f>MID('paste from garc here'!$C$1,1+(('table for research'!$B288-1)*36+HEX2DEC('table for research'!AM$1))*2,2)</f>
        <v>00</v>
      </c>
      <c r="AN288" t="str">
        <f>MID('paste from garc here'!$C$1,1+(('table for research'!$B288-1)*36+HEX2DEC('table for research'!AN$1))*2,2)</f>
        <v>00</v>
      </c>
      <c r="AO288" t="str">
        <f>MID('paste from garc here'!$C$1,1+(('table for research'!$B288-1)*36+HEX2DEC('table for research'!AO$1))*2,2)</f>
        <v>00</v>
      </c>
    </row>
    <row r="289" spans="1:41" x14ac:dyDescent="0.4">
      <c r="A289" t="s">
        <v>292</v>
      </c>
      <c r="B289">
        <f>B288+1</f>
        <v>287</v>
      </c>
      <c r="C289" t="str">
        <f>MID('paste from garc here'!$C$1,1+(('table for research'!$B289-1)*36+HEX2DEC('table for research'!C$1))*2,2)</f>
        <v>94</v>
      </c>
      <c r="D289" t="str">
        <f>MID('paste from garc here'!$C$1,1+(('table for research'!$B289-1)*36+HEX2DEC('table for research'!D$1))*2,2)</f>
        <v>11</v>
      </c>
      <c r="E289" t="str">
        <f>MID('paste from garc here'!$C$1,1+(('table for research'!$B289-1)*36+HEX2DEC('table for research'!E$1))*2,2)</f>
        <v>72</v>
      </c>
      <c r="F289" t="str">
        <f>MID('paste from garc here'!$C$1,1+(('table for research'!$B289-1)*36+HEX2DEC('table for research'!F$1))*2,2)</f>
        <v>00</v>
      </c>
      <c r="G289" t="str">
        <f>MID('paste from garc here'!$C$1,1+(('table for research'!$B289-1)*36+HEX2DEC('table for research'!G$1))*2,2)</f>
        <v>00</v>
      </c>
      <c r="H289" t="str">
        <f>MID('paste from garc here'!$C$1,1+(('table for research'!$B289-1)*36+HEX2DEC('table for research'!H$1))*2,2)</f>
        <v>00</v>
      </c>
      <c r="I289" t="str">
        <f>MID('paste from garc here'!$C$1,1+(('table for research'!$B289-1)*36+HEX2DEC('table for research'!I$1))*2,2)</f>
        <v>0A</v>
      </c>
      <c r="J289" t="str">
        <f>MID('paste from garc here'!$C$1,1+(('table for research'!$B289-1)*36+HEX2DEC('table for research'!J$1))*2,2)</f>
        <v>00</v>
      </c>
      <c r="K289" t="str">
        <f>DEC2HEX(_xlfn.BITAND(HEX2DEC(MID('paste from garc here'!$C$1,1+(('table for research'!$B289-1)*36+HEX2DEC(8))*2,2)),31),2)</f>
        <v>1F</v>
      </c>
      <c r="L289" t="str">
        <f>DEC2HEX(_xlfn.BITAND(HEX2DEC(MID('paste from garc here'!$C$1,1+(('table for research'!$B289-1)*36+HEX2DEC(8))*2,2)),32),2)</f>
        <v>00</v>
      </c>
      <c r="M289" t="str">
        <f>DEC2HEX(_xlfn.BITAND(HEX2DEC(MID('paste from garc here'!$C$1,1+(('table for research'!$B289-1)*36+HEX2DEC(8))*2,2)),64),2)</f>
        <v>00</v>
      </c>
      <c r="N289" t="str">
        <f>DEC2HEX(_xlfn.BITRSHIFT(_xlfn.BITAND(HEX2DEC(MID('paste from garc here'!$C$1,1+(('table for research'!$B289-1)*36+HEX2DEC(9))*2,2)&amp;MID('paste from garc here'!$C$1,1+(('table for research'!$B289-1)*36+HEX2DEC(8))*2,2)),1920),7),2)</f>
        <v>00</v>
      </c>
      <c r="O289" t="str">
        <f>DEC2HEX(_xlfn.BITRSHIFT(HEX2DEC(MID('paste from garc here'!$C$1,1+(('table for research'!$B289-1)*36+HEX2DEC(9))*2,2)&amp;MID('paste from garc here'!$C$1,1+(('table for research'!$B289-1)*36+HEX2DEC(8))*2,2)),11),2)</f>
        <v>00</v>
      </c>
      <c r="P289" t="str">
        <f>MID('paste from garc here'!$C$1,1+(('table for research'!$B289-1)*36+HEX2DEC('table for research'!P$1))*2,2)</f>
        <v>00</v>
      </c>
      <c r="Q289" t="str">
        <f>MID('paste from garc here'!$C$1,1+(('table for research'!$B289-1)*36+HEX2DEC('table for research'!Q$1))*2,2)</f>
        <v>00</v>
      </c>
      <c r="R289" t="str">
        <f>MID('paste from garc here'!$C$1,1+(('table for research'!$B289-1)*36+HEX2DEC('table for research'!R$1))*2,2)</f>
        <v>00</v>
      </c>
      <c r="S289" t="str">
        <f>MID('paste from garc here'!$C$1,1+(('table for research'!$B289-1)*36+HEX2DEC('table for research'!S$1))*2,2)</f>
        <v>01</v>
      </c>
      <c r="T289" t="str">
        <f>MID('paste from garc here'!$C$1,1+(('table for research'!$B289-1)*36+HEX2DEC('table for research'!T$1))*2,2)</f>
        <v>00</v>
      </c>
      <c r="U289" t="str">
        <f>MID('paste from garc here'!$C$1,1+(('table for research'!$B289-1)*36+HEX2DEC('table for research'!U$1))*2,2)</f>
        <v>06</v>
      </c>
      <c r="V289" t="str">
        <f>MID('paste from garc here'!$C$1,1+(('table for research'!$B289-1)*36+HEX2DEC('table for research'!V$1))*2,2)</f>
        <v>00</v>
      </c>
      <c r="W289" t="str">
        <f>MID('paste from garc here'!$C$1,1+(('table for research'!$B289-1)*36+HEX2DEC('table for research'!W$1))*2,2)</f>
        <v>00</v>
      </c>
      <c r="X289" t="str">
        <f>MID('paste from garc here'!$C$1,1+(('table for research'!$B289-1)*36+HEX2DEC('table for research'!X$1))*2,2)</f>
        <v>00</v>
      </c>
      <c r="Y289" t="str">
        <f>MID('paste from garc here'!$C$1,1+(('table for research'!$B289-1)*36+HEX2DEC('table for research'!Y$1))*2,2)</f>
        <v>00</v>
      </c>
      <c r="Z289" t="str">
        <f>MID('paste from garc here'!$C$1,1+(('table for research'!$B289-1)*36+HEX2DEC('table for research'!Z$1))*2,2)</f>
        <v>00</v>
      </c>
      <c r="AA289" t="str">
        <f>MID('paste from garc here'!$C$1,1+(('table for research'!$B289-1)*36+HEX2DEC('table for research'!AA$1))*2,2)</f>
        <v>00</v>
      </c>
      <c r="AB289" t="str">
        <f>MID('paste from garc here'!$C$1,1+(('table for research'!$B289-1)*36+HEX2DEC('table for research'!AB$1))*2,2)</f>
        <v>00</v>
      </c>
      <c r="AC289" t="str">
        <f>MID('paste from garc here'!$C$1,1+(('table for research'!$B289-1)*36+HEX2DEC('table for research'!AC$1))*2,2)</f>
        <v>00</v>
      </c>
      <c r="AD289" t="str">
        <f>MID('paste from garc here'!$C$1,1+(('table for research'!$B289-1)*36+HEX2DEC('table for research'!AD$1))*2,2)</f>
        <v>00</v>
      </c>
      <c r="AE289" t="str">
        <f>MID('paste from garc here'!$C$1,1+(('table for research'!$B289-1)*36+HEX2DEC('table for research'!AE$1))*2,2)</f>
        <v>00</v>
      </c>
      <c r="AF289" t="str">
        <f>MID('paste from garc here'!$C$1,1+(('table for research'!$B289-1)*36+HEX2DEC('table for research'!AF$1))*2,2)</f>
        <v>00</v>
      </c>
      <c r="AG289" t="str">
        <f>MID('paste from garc here'!$C$1,1+(('table for research'!$B289-1)*36+HEX2DEC('table for research'!AG$1))*2,2)</f>
        <v>00</v>
      </c>
      <c r="AH289" t="str">
        <f>MID('paste from garc here'!$C$1,1+(('table for research'!$B289-1)*36+HEX2DEC('table for research'!AH$1))*2,2)</f>
        <v>00</v>
      </c>
      <c r="AI289" t="str">
        <f>MID('paste from garc here'!$C$1,1+(('table for research'!$B289-1)*36+HEX2DEC('table for research'!AI$1))*2,2)</f>
        <v>00</v>
      </c>
      <c r="AJ289" t="str">
        <f>MID('paste from garc here'!$C$1,1+(('table for research'!$B289-1)*36+HEX2DEC('table for research'!AJ$1))*2,2)</f>
        <v>00</v>
      </c>
      <c r="AK289" t="str">
        <f>MID('paste from garc here'!$C$1,1+(('table for research'!$B289-1)*36+HEX2DEC('table for research'!AK$1))*2,2)</f>
        <v>00</v>
      </c>
      <c r="AL289" t="str">
        <f>MID('paste from garc here'!$C$1,1+(('table for research'!$B289-1)*36+HEX2DEC('table for research'!AL$1))*2,2)</f>
        <v>00</v>
      </c>
      <c r="AM289" t="str">
        <f>MID('paste from garc here'!$C$1,1+(('table for research'!$B289-1)*36+HEX2DEC('table for research'!AM$1))*2,2)</f>
        <v>00</v>
      </c>
      <c r="AN289" t="str">
        <f>MID('paste from garc here'!$C$1,1+(('table for research'!$B289-1)*36+HEX2DEC('table for research'!AN$1))*2,2)</f>
        <v>00</v>
      </c>
      <c r="AO289" t="str">
        <f>MID('paste from garc here'!$C$1,1+(('table for research'!$B289-1)*36+HEX2DEC('table for research'!AO$1))*2,2)</f>
        <v>00</v>
      </c>
    </row>
    <row r="290" spans="1:41" x14ac:dyDescent="0.4">
      <c r="A290" t="s">
        <v>293</v>
      </c>
      <c r="B290">
        <f>B289+1</f>
        <v>288</v>
      </c>
      <c r="C290" t="str">
        <f>MID('paste from garc here'!$C$1,1+(('table for research'!$B290-1)*36+HEX2DEC('table for research'!C$1))*2,2)</f>
        <v>90</v>
      </c>
      <c r="D290" t="str">
        <f>MID('paste from garc here'!$C$1,1+(('table for research'!$B290-1)*36+HEX2DEC('table for research'!D$1))*2,2)</f>
        <v>01</v>
      </c>
      <c r="E290" t="str">
        <f>MID('paste from garc here'!$C$1,1+(('table for research'!$B290-1)*36+HEX2DEC('table for research'!E$1))*2,2)</f>
        <v>73</v>
      </c>
      <c r="F290" t="str">
        <f>MID('paste from garc here'!$C$1,1+(('table for research'!$B290-1)*36+HEX2DEC('table for research'!F$1))*2,2)</f>
        <v>04</v>
      </c>
      <c r="G290" t="str">
        <f>MID('paste from garc here'!$C$1,1+(('table for research'!$B290-1)*36+HEX2DEC('table for research'!G$1))*2,2)</f>
        <v>00</v>
      </c>
      <c r="H290" t="str">
        <f>MID('paste from garc here'!$C$1,1+(('table for research'!$B290-1)*36+HEX2DEC('table for research'!H$1))*2,2)</f>
        <v>00</v>
      </c>
      <c r="I290" t="str">
        <f>MID('paste from garc here'!$C$1,1+(('table for research'!$B290-1)*36+HEX2DEC('table for research'!I$1))*2,2)</f>
        <v>50</v>
      </c>
      <c r="J290" t="str">
        <f>MID('paste from garc here'!$C$1,1+(('table for research'!$B290-1)*36+HEX2DEC('table for research'!J$1))*2,2)</f>
        <v>00</v>
      </c>
      <c r="K290" t="str">
        <f>DEC2HEX(_xlfn.BITAND(HEX2DEC(MID('paste from garc here'!$C$1,1+(('table for research'!$B290-1)*36+HEX2DEC(8))*2,2)),31),2)</f>
        <v>1F</v>
      </c>
      <c r="L290" t="str">
        <f>DEC2HEX(_xlfn.BITAND(HEX2DEC(MID('paste from garc here'!$C$1,1+(('table for research'!$B290-1)*36+HEX2DEC(8))*2,2)),32),2)</f>
        <v>00</v>
      </c>
      <c r="M290" t="str">
        <f>DEC2HEX(_xlfn.BITAND(HEX2DEC(MID('paste from garc here'!$C$1,1+(('table for research'!$B290-1)*36+HEX2DEC(8))*2,2)),64),2)</f>
        <v>00</v>
      </c>
      <c r="N290" t="str">
        <f>DEC2HEX(_xlfn.BITRSHIFT(_xlfn.BITAND(HEX2DEC(MID('paste from garc here'!$C$1,1+(('table for research'!$B290-1)*36+HEX2DEC(9))*2,2)&amp;MID('paste from garc here'!$C$1,1+(('table for research'!$B290-1)*36+HEX2DEC(8))*2,2)),1920),7),2)</f>
        <v>00</v>
      </c>
      <c r="O290" t="str">
        <f>DEC2HEX(_xlfn.BITRSHIFT(HEX2DEC(MID('paste from garc here'!$C$1,1+(('table for research'!$B290-1)*36+HEX2DEC(9))*2,2)&amp;MID('paste from garc here'!$C$1,1+(('table for research'!$B290-1)*36+HEX2DEC(8))*2,2)),11),2)</f>
        <v>00</v>
      </c>
      <c r="P290" t="str">
        <f>MID('paste from garc here'!$C$1,1+(('table for research'!$B290-1)*36+HEX2DEC('table for research'!P$1))*2,2)</f>
        <v>00</v>
      </c>
      <c r="Q290" t="str">
        <f>MID('paste from garc here'!$C$1,1+(('table for research'!$B290-1)*36+HEX2DEC('table for research'!Q$1))*2,2)</f>
        <v>00</v>
      </c>
      <c r="R290" t="str">
        <f>MID('paste from garc here'!$C$1,1+(('table for research'!$B290-1)*36+HEX2DEC('table for research'!R$1))*2,2)</f>
        <v>00</v>
      </c>
      <c r="S290" t="str">
        <f>MID('paste from garc here'!$C$1,1+(('table for research'!$B290-1)*36+HEX2DEC('table for research'!S$1))*2,2)</f>
        <v>01</v>
      </c>
      <c r="T290" t="str">
        <f>MID('paste from garc here'!$C$1,1+(('table for research'!$B290-1)*36+HEX2DEC('table for research'!T$1))*2,2)</f>
        <v>00</v>
      </c>
      <c r="U290" t="str">
        <f>MID('paste from garc here'!$C$1,1+(('table for research'!$B290-1)*36+HEX2DEC('table for research'!U$1))*2,2)</f>
        <v>16</v>
      </c>
      <c r="V290" t="str">
        <f>MID('paste from garc here'!$C$1,1+(('table for research'!$B290-1)*36+HEX2DEC('table for research'!V$1))*2,2)</f>
        <v>00</v>
      </c>
      <c r="W290" t="str">
        <f>MID('paste from garc here'!$C$1,1+(('table for research'!$B290-1)*36+HEX2DEC('table for research'!W$1))*2,2)</f>
        <v>00</v>
      </c>
      <c r="X290" t="str">
        <f>MID('paste from garc here'!$C$1,1+(('table for research'!$B290-1)*36+HEX2DEC('table for research'!X$1))*2,2)</f>
        <v>00</v>
      </c>
      <c r="Y290" t="str">
        <f>MID('paste from garc here'!$C$1,1+(('table for research'!$B290-1)*36+HEX2DEC('table for research'!Y$1))*2,2)</f>
        <v>00</v>
      </c>
      <c r="Z290" t="str">
        <f>MID('paste from garc here'!$C$1,1+(('table for research'!$B290-1)*36+HEX2DEC('table for research'!Z$1))*2,2)</f>
        <v>00</v>
      </c>
      <c r="AA290" t="str">
        <f>MID('paste from garc here'!$C$1,1+(('table for research'!$B290-1)*36+HEX2DEC('table for research'!AA$1))*2,2)</f>
        <v>00</v>
      </c>
      <c r="AB290" t="str">
        <f>MID('paste from garc here'!$C$1,1+(('table for research'!$B290-1)*36+HEX2DEC('table for research'!AB$1))*2,2)</f>
        <v>00</v>
      </c>
      <c r="AC290" t="str">
        <f>MID('paste from garc here'!$C$1,1+(('table for research'!$B290-1)*36+HEX2DEC('table for research'!AC$1))*2,2)</f>
        <v>00</v>
      </c>
      <c r="AD290" t="str">
        <f>MID('paste from garc here'!$C$1,1+(('table for research'!$B290-1)*36+HEX2DEC('table for research'!AD$1))*2,2)</f>
        <v>00</v>
      </c>
      <c r="AE290" t="str">
        <f>MID('paste from garc here'!$C$1,1+(('table for research'!$B290-1)*36+HEX2DEC('table for research'!AE$1))*2,2)</f>
        <v>00</v>
      </c>
      <c r="AF290" t="str">
        <f>MID('paste from garc here'!$C$1,1+(('table for research'!$B290-1)*36+HEX2DEC('table for research'!AF$1))*2,2)</f>
        <v>00</v>
      </c>
      <c r="AG290" t="str">
        <f>MID('paste from garc here'!$C$1,1+(('table for research'!$B290-1)*36+HEX2DEC('table for research'!AG$1))*2,2)</f>
        <v>00</v>
      </c>
      <c r="AH290" t="str">
        <f>MID('paste from garc here'!$C$1,1+(('table for research'!$B290-1)*36+HEX2DEC('table for research'!AH$1))*2,2)</f>
        <v>00</v>
      </c>
      <c r="AI290" t="str">
        <f>MID('paste from garc here'!$C$1,1+(('table for research'!$B290-1)*36+HEX2DEC('table for research'!AI$1))*2,2)</f>
        <v>00</v>
      </c>
      <c r="AJ290" t="str">
        <f>MID('paste from garc here'!$C$1,1+(('table for research'!$B290-1)*36+HEX2DEC('table for research'!AJ$1))*2,2)</f>
        <v>00</v>
      </c>
      <c r="AK290" t="str">
        <f>MID('paste from garc here'!$C$1,1+(('table for research'!$B290-1)*36+HEX2DEC('table for research'!AK$1))*2,2)</f>
        <v>00</v>
      </c>
      <c r="AL290" t="str">
        <f>MID('paste from garc here'!$C$1,1+(('table for research'!$B290-1)*36+HEX2DEC('table for research'!AL$1))*2,2)</f>
        <v>00</v>
      </c>
      <c r="AM290" t="str">
        <f>MID('paste from garc here'!$C$1,1+(('table for research'!$B290-1)*36+HEX2DEC('table for research'!AM$1))*2,2)</f>
        <v>00</v>
      </c>
      <c r="AN290" t="str">
        <f>MID('paste from garc here'!$C$1,1+(('table for research'!$B290-1)*36+HEX2DEC('table for research'!AN$1))*2,2)</f>
        <v>00</v>
      </c>
      <c r="AO290" t="str">
        <f>MID('paste from garc here'!$C$1,1+(('table for research'!$B290-1)*36+HEX2DEC('table for research'!AO$1))*2,2)</f>
        <v>00</v>
      </c>
    </row>
    <row r="291" spans="1:41" x14ac:dyDescent="0.4">
      <c r="A291" t="s">
        <v>294</v>
      </c>
      <c r="B291">
        <f>B290+1</f>
        <v>289</v>
      </c>
      <c r="C291" t="str">
        <f>MID('paste from garc here'!$C$1,1+(('table for research'!$B291-1)*36+HEX2DEC('table for research'!C$1))*2,2)</f>
        <v>F4</v>
      </c>
      <c r="D291" t="str">
        <f>MID('paste from garc here'!$C$1,1+(('table for research'!$B291-1)*36+HEX2DEC('table for research'!D$1))*2,2)</f>
        <v>01</v>
      </c>
      <c r="E291" t="str">
        <f>MID('paste from garc here'!$C$1,1+(('table for research'!$B291-1)*36+HEX2DEC('table for research'!E$1))*2,2)</f>
        <v>74</v>
      </c>
      <c r="F291" t="str">
        <f>MID('paste from garc here'!$C$1,1+(('table for research'!$B291-1)*36+HEX2DEC('table for research'!F$1))*2,2)</f>
        <v>08</v>
      </c>
      <c r="G291" t="str">
        <f>MID('paste from garc here'!$C$1,1+(('table for research'!$B291-1)*36+HEX2DEC('table for research'!G$1))*2,2)</f>
        <v>00</v>
      </c>
      <c r="H291" t="str">
        <f>MID('paste from garc here'!$C$1,1+(('table for research'!$B291-1)*36+HEX2DEC('table for research'!H$1))*2,2)</f>
        <v>00</v>
      </c>
      <c r="I291" t="str">
        <f>MID('paste from garc here'!$C$1,1+(('table for research'!$B291-1)*36+HEX2DEC('table for research'!I$1))*2,2)</f>
        <v>46</v>
      </c>
      <c r="J291" t="str">
        <f>MID('paste from garc here'!$C$1,1+(('table for research'!$B291-1)*36+HEX2DEC('table for research'!J$1))*2,2)</f>
        <v>00</v>
      </c>
      <c r="K291" t="str">
        <f>DEC2HEX(_xlfn.BITAND(HEX2DEC(MID('paste from garc here'!$C$1,1+(('table for research'!$B291-1)*36+HEX2DEC(8))*2,2)),31),2)</f>
        <v>1F</v>
      </c>
      <c r="L291" t="str">
        <f>DEC2HEX(_xlfn.BITAND(HEX2DEC(MID('paste from garc here'!$C$1,1+(('table for research'!$B291-1)*36+HEX2DEC(8))*2,2)),32),2)</f>
        <v>00</v>
      </c>
      <c r="M291" t="str">
        <f>DEC2HEX(_xlfn.BITAND(HEX2DEC(MID('paste from garc here'!$C$1,1+(('table for research'!$B291-1)*36+HEX2DEC(8))*2,2)),64),2)</f>
        <v>00</v>
      </c>
      <c r="N291" t="str">
        <f>DEC2HEX(_xlfn.BITRSHIFT(_xlfn.BITAND(HEX2DEC(MID('paste from garc here'!$C$1,1+(('table for research'!$B291-1)*36+HEX2DEC(9))*2,2)&amp;MID('paste from garc here'!$C$1,1+(('table for research'!$B291-1)*36+HEX2DEC(8))*2,2)),1920),7),2)</f>
        <v>00</v>
      </c>
      <c r="O291" t="str">
        <f>DEC2HEX(_xlfn.BITRSHIFT(HEX2DEC(MID('paste from garc here'!$C$1,1+(('table for research'!$B291-1)*36+HEX2DEC(9))*2,2)&amp;MID('paste from garc here'!$C$1,1+(('table for research'!$B291-1)*36+HEX2DEC(8))*2,2)),11),2)</f>
        <v>00</v>
      </c>
      <c r="P291" t="str">
        <f>MID('paste from garc here'!$C$1,1+(('table for research'!$B291-1)*36+HEX2DEC('table for research'!P$1))*2,2)</f>
        <v>00</v>
      </c>
      <c r="Q291" t="str">
        <f>MID('paste from garc here'!$C$1,1+(('table for research'!$B291-1)*36+HEX2DEC('table for research'!Q$1))*2,2)</f>
        <v>00</v>
      </c>
      <c r="R291" t="str">
        <f>MID('paste from garc here'!$C$1,1+(('table for research'!$B291-1)*36+HEX2DEC('table for research'!R$1))*2,2)</f>
        <v>00</v>
      </c>
      <c r="S291" t="str">
        <f>MID('paste from garc here'!$C$1,1+(('table for research'!$B291-1)*36+HEX2DEC('table for research'!S$1))*2,2)</f>
        <v>01</v>
      </c>
      <c r="T291" t="str">
        <f>MID('paste from garc here'!$C$1,1+(('table for research'!$B291-1)*36+HEX2DEC('table for research'!T$1))*2,2)</f>
        <v>00</v>
      </c>
      <c r="U291" t="str">
        <f>MID('paste from garc here'!$C$1,1+(('table for research'!$B291-1)*36+HEX2DEC('table for research'!U$1))*2,2)</f>
        <v>04</v>
      </c>
      <c r="V291" t="str">
        <f>MID('paste from garc here'!$C$1,1+(('table for research'!$B291-1)*36+HEX2DEC('table for research'!V$1))*2,2)</f>
        <v>00</v>
      </c>
      <c r="W291" t="str">
        <f>MID('paste from garc here'!$C$1,1+(('table for research'!$B291-1)*36+HEX2DEC('table for research'!W$1))*2,2)</f>
        <v>00</v>
      </c>
      <c r="X291" t="str">
        <f>MID('paste from garc here'!$C$1,1+(('table for research'!$B291-1)*36+HEX2DEC('table for research'!X$1))*2,2)</f>
        <v>00</v>
      </c>
      <c r="Y291" t="str">
        <f>MID('paste from garc here'!$C$1,1+(('table for research'!$B291-1)*36+HEX2DEC('table for research'!Y$1))*2,2)</f>
        <v>00</v>
      </c>
      <c r="Z291" t="str">
        <f>MID('paste from garc here'!$C$1,1+(('table for research'!$B291-1)*36+HEX2DEC('table for research'!Z$1))*2,2)</f>
        <v>00</v>
      </c>
      <c r="AA291" t="str">
        <f>MID('paste from garc here'!$C$1,1+(('table for research'!$B291-1)*36+HEX2DEC('table for research'!AA$1))*2,2)</f>
        <v>00</v>
      </c>
      <c r="AB291" t="str">
        <f>MID('paste from garc here'!$C$1,1+(('table for research'!$B291-1)*36+HEX2DEC('table for research'!AB$1))*2,2)</f>
        <v>00</v>
      </c>
      <c r="AC291" t="str">
        <f>MID('paste from garc here'!$C$1,1+(('table for research'!$B291-1)*36+HEX2DEC('table for research'!AC$1))*2,2)</f>
        <v>00</v>
      </c>
      <c r="AD291" t="str">
        <f>MID('paste from garc here'!$C$1,1+(('table for research'!$B291-1)*36+HEX2DEC('table for research'!AD$1))*2,2)</f>
        <v>00</v>
      </c>
      <c r="AE291" t="str">
        <f>MID('paste from garc here'!$C$1,1+(('table for research'!$B291-1)*36+HEX2DEC('table for research'!AE$1))*2,2)</f>
        <v>00</v>
      </c>
      <c r="AF291" t="str">
        <f>MID('paste from garc here'!$C$1,1+(('table for research'!$B291-1)*36+HEX2DEC('table for research'!AF$1))*2,2)</f>
        <v>00</v>
      </c>
      <c r="AG291" t="str">
        <f>MID('paste from garc here'!$C$1,1+(('table for research'!$B291-1)*36+HEX2DEC('table for research'!AG$1))*2,2)</f>
        <v>00</v>
      </c>
      <c r="AH291" t="str">
        <f>MID('paste from garc here'!$C$1,1+(('table for research'!$B291-1)*36+HEX2DEC('table for research'!AH$1))*2,2)</f>
        <v>00</v>
      </c>
      <c r="AI291" t="str">
        <f>MID('paste from garc here'!$C$1,1+(('table for research'!$B291-1)*36+HEX2DEC('table for research'!AI$1))*2,2)</f>
        <v>00</v>
      </c>
      <c r="AJ291" t="str">
        <f>MID('paste from garc here'!$C$1,1+(('table for research'!$B291-1)*36+HEX2DEC('table for research'!AJ$1))*2,2)</f>
        <v>00</v>
      </c>
      <c r="AK291" t="str">
        <f>MID('paste from garc here'!$C$1,1+(('table for research'!$B291-1)*36+HEX2DEC('table for research'!AK$1))*2,2)</f>
        <v>00</v>
      </c>
      <c r="AL291" t="str">
        <f>MID('paste from garc here'!$C$1,1+(('table for research'!$B291-1)*36+HEX2DEC('table for research'!AL$1))*2,2)</f>
        <v>00</v>
      </c>
      <c r="AM291" t="str">
        <f>MID('paste from garc here'!$C$1,1+(('table for research'!$B291-1)*36+HEX2DEC('table for research'!AM$1))*2,2)</f>
        <v>00</v>
      </c>
      <c r="AN291" t="str">
        <f>MID('paste from garc here'!$C$1,1+(('table for research'!$B291-1)*36+HEX2DEC('table for research'!AN$1))*2,2)</f>
        <v>00</v>
      </c>
      <c r="AO291" t="str">
        <f>MID('paste from garc here'!$C$1,1+(('table for research'!$B291-1)*36+HEX2DEC('table for research'!AO$1))*2,2)</f>
        <v>00</v>
      </c>
    </row>
    <row r="292" spans="1:41" x14ac:dyDescent="0.4">
      <c r="A292" t="s">
        <v>295</v>
      </c>
      <c r="B292">
        <f>B291+1</f>
        <v>290</v>
      </c>
      <c r="C292" t="str">
        <f>MID('paste from garc here'!$C$1,1+(('table for research'!$B292-1)*36+HEX2DEC('table for research'!C$1))*2,2)</f>
        <v>F4</v>
      </c>
      <c r="D292" t="str">
        <f>MID('paste from garc here'!$C$1,1+(('table for research'!$B292-1)*36+HEX2DEC('table for research'!D$1))*2,2)</f>
        <v>01</v>
      </c>
      <c r="E292" t="str">
        <f>MID('paste from garc here'!$C$1,1+(('table for research'!$B292-1)*36+HEX2DEC('table for research'!E$1))*2,2)</f>
        <v>75</v>
      </c>
      <c r="F292" t="str">
        <f>MID('paste from garc here'!$C$1,1+(('table for research'!$B292-1)*36+HEX2DEC('table for research'!F$1))*2,2)</f>
        <v>08</v>
      </c>
      <c r="G292" t="str">
        <f>MID('paste from garc here'!$C$1,1+(('table for research'!$B292-1)*36+HEX2DEC('table for research'!G$1))*2,2)</f>
        <v>00</v>
      </c>
      <c r="H292" t="str">
        <f>MID('paste from garc here'!$C$1,1+(('table for research'!$B292-1)*36+HEX2DEC('table for research'!H$1))*2,2)</f>
        <v>00</v>
      </c>
      <c r="I292" t="str">
        <f>MID('paste from garc here'!$C$1,1+(('table for research'!$B292-1)*36+HEX2DEC('table for research'!I$1))*2,2)</f>
        <v>46</v>
      </c>
      <c r="J292" t="str">
        <f>MID('paste from garc here'!$C$1,1+(('table for research'!$B292-1)*36+HEX2DEC('table for research'!J$1))*2,2)</f>
        <v>00</v>
      </c>
      <c r="K292" t="str">
        <f>DEC2HEX(_xlfn.BITAND(HEX2DEC(MID('paste from garc here'!$C$1,1+(('table for research'!$B292-1)*36+HEX2DEC(8))*2,2)),31),2)</f>
        <v>1F</v>
      </c>
      <c r="L292" t="str">
        <f>DEC2HEX(_xlfn.BITAND(HEX2DEC(MID('paste from garc here'!$C$1,1+(('table for research'!$B292-1)*36+HEX2DEC(8))*2,2)),32),2)</f>
        <v>00</v>
      </c>
      <c r="M292" t="str">
        <f>DEC2HEX(_xlfn.BITAND(HEX2DEC(MID('paste from garc here'!$C$1,1+(('table for research'!$B292-1)*36+HEX2DEC(8))*2,2)),64),2)</f>
        <v>00</v>
      </c>
      <c r="N292" t="str">
        <f>DEC2HEX(_xlfn.BITRSHIFT(_xlfn.BITAND(HEX2DEC(MID('paste from garc here'!$C$1,1+(('table for research'!$B292-1)*36+HEX2DEC(9))*2,2)&amp;MID('paste from garc here'!$C$1,1+(('table for research'!$B292-1)*36+HEX2DEC(8))*2,2)),1920),7),2)</f>
        <v>00</v>
      </c>
      <c r="O292" t="str">
        <f>DEC2HEX(_xlfn.BITRSHIFT(HEX2DEC(MID('paste from garc here'!$C$1,1+(('table for research'!$B292-1)*36+HEX2DEC(9))*2,2)&amp;MID('paste from garc here'!$C$1,1+(('table for research'!$B292-1)*36+HEX2DEC(8))*2,2)),11),2)</f>
        <v>00</v>
      </c>
      <c r="P292" t="str">
        <f>MID('paste from garc here'!$C$1,1+(('table for research'!$B292-1)*36+HEX2DEC('table for research'!P$1))*2,2)</f>
        <v>00</v>
      </c>
      <c r="Q292" t="str">
        <f>MID('paste from garc here'!$C$1,1+(('table for research'!$B292-1)*36+HEX2DEC('table for research'!Q$1))*2,2)</f>
        <v>00</v>
      </c>
      <c r="R292" t="str">
        <f>MID('paste from garc here'!$C$1,1+(('table for research'!$B292-1)*36+HEX2DEC('table for research'!R$1))*2,2)</f>
        <v>00</v>
      </c>
      <c r="S292" t="str">
        <f>MID('paste from garc here'!$C$1,1+(('table for research'!$B292-1)*36+HEX2DEC('table for research'!S$1))*2,2)</f>
        <v>01</v>
      </c>
      <c r="T292" t="str">
        <f>MID('paste from garc here'!$C$1,1+(('table for research'!$B292-1)*36+HEX2DEC('table for research'!T$1))*2,2)</f>
        <v>00</v>
      </c>
      <c r="U292" t="str">
        <f>MID('paste from garc here'!$C$1,1+(('table for research'!$B292-1)*36+HEX2DEC('table for research'!U$1))*2,2)</f>
        <v>04</v>
      </c>
      <c r="V292" t="str">
        <f>MID('paste from garc here'!$C$1,1+(('table for research'!$B292-1)*36+HEX2DEC('table for research'!V$1))*2,2)</f>
        <v>00</v>
      </c>
      <c r="W292" t="str">
        <f>MID('paste from garc here'!$C$1,1+(('table for research'!$B292-1)*36+HEX2DEC('table for research'!W$1))*2,2)</f>
        <v>00</v>
      </c>
      <c r="X292" t="str">
        <f>MID('paste from garc here'!$C$1,1+(('table for research'!$B292-1)*36+HEX2DEC('table for research'!X$1))*2,2)</f>
        <v>00</v>
      </c>
      <c r="Y292" t="str">
        <f>MID('paste from garc here'!$C$1,1+(('table for research'!$B292-1)*36+HEX2DEC('table for research'!Y$1))*2,2)</f>
        <v>00</v>
      </c>
      <c r="Z292" t="str">
        <f>MID('paste from garc here'!$C$1,1+(('table for research'!$B292-1)*36+HEX2DEC('table for research'!Z$1))*2,2)</f>
        <v>00</v>
      </c>
      <c r="AA292" t="str">
        <f>MID('paste from garc here'!$C$1,1+(('table for research'!$B292-1)*36+HEX2DEC('table for research'!AA$1))*2,2)</f>
        <v>00</v>
      </c>
      <c r="AB292" t="str">
        <f>MID('paste from garc here'!$C$1,1+(('table for research'!$B292-1)*36+HEX2DEC('table for research'!AB$1))*2,2)</f>
        <v>00</v>
      </c>
      <c r="AC292" t="str">
        <f>MID('paste from garc here'!$C$1,1+(('table for research'!$B292-1)*36+HEX2DEC('table for research'!AC$1))*2,2)</f>
        <v>00</v>
      </c>
      <c r="AD292" t="str">
        <f>MID('paste from garc here'!$C$1,1+(('table for research'!$B292-1)*36+HEX2DEC('table for research'!AD$1))*2,2)</f>
        <v>00</v>
      </c>
      <c r="AE292" t="str">
        <f>MID('paste from garc here'!$C$1,1+(('table for research'!$B292-1)*36+HEX2DEC('table for research'!AE$1))*2,2)</f>
        <v>00</v>
      </c>
      <c r="AF292" t="str">
        <f>MID('paste from garc here'!$C$1,1+(('table for research'!$B292-1)*36+HEX2DEC('table for research'!AF$1))*2,2)</f>
        <v>00</v>
      </c>
      <c r="AG292" t="str">
        <f>MID('paste from garc here'!$C$1,1+(('table for research'!$B292-1)*36+HEX2DEC('table for research'!AG$1))*2,2)</f>
        <v>00</v>
      </c>
      <c r="AH292" t="str">
        <f>MID('paste from garc here'!$C$1,1+(('table for research'!$B292-1)*36+HEX2DEC('table for research'!AH$1))*2,2)</f>
        <v>00</v>
      </c>
      <c r="AI292" t="str">
        <f>MID('paste from garc here'!$C$1,1+(('table for research'!$B292-1)*36+HEX2DEC('table for research'!AI$1))*2,2)</f>
        <v>00</v>
      </c>
      <c r="AJ292" t="str">
        <f>MID('paste from garc here'!$C$1,1+(('table for research'!$B292-1)*36+HEX2DEC('table for research'!AJ$1))*2,2)</f>
        <v>00</v>
      </c>
      <c r="AK292" t="str">
        <f>MID('paste from garc here'!$C$1,1+(('table for research'!$B292-1)*36+HEX2DEC('table for research'!AK$1))*2,2)</f>
        <v>00</v>
      </c>
      <c r="AL292" t="str">
        <f>MID('paste from garc here'!$C$1,1+(('table for research'!$B292-1)*36+HEX2DEC('table for research'!AL$1))*2,2)</f>
        <v>00</v>
      </c>
      <c r="AM292" t="str">
        <f>MID('paste from garc here'!$C$1,1+(('table for research'!$B292-1)*36+HEX2DEC('table for research'!AM$1))*2,2)</f>
        <v>00</v>
      </c>
      <c r="AN292" t="str">
        <f>MID('paste from garc here'!$C$1,1+(('table for research'!$B292-1)*36+HEX2DEC('table for research'!AN$1))*2,2)</f>
        <v>00</v>
      </c>
      <c r="AO292" t="str">
        <f>MID('paste from garc here'!$C$1,1+(('table for research'!$B292-1)*36+HEX2DEC('table for research'!AO$1))*2,2)</f>
        <v>00</v>
      </c>
    </row>
    <row r="293" spans="1:41" x14ac:dyDescent="0.4">
      <c r="A293" t="s">
        <v>296</v>
      </c>
      <c r="B293">
        <f>B292+1</f>
        <v>291</v>
      </c>
      <c r="C293" t="str">
        <f>MID('paste from garc here'!$C$1,1+(('table for research'!$B293-1)*36+HEX2DEC('table for research'!C$1))*2,2)</f>
        <v>F4</v>
      </c>
      <c r="D293" t="str">
        <f>MID('paste from garc here'!$C$1,1+(('table for research'!$B293-1)*36+HEX2DEC('table for research'!D$1))*2,2)</f>
        <v>01</v>
      </c>
      <c r="E293" t="str">
        <f>MID('paste from garc here'!$C$1,1+(('table for research'!$B293-1)*36+HEX2DEC('table for research'!E$1))*2,2)</f>
        <v>76</v>
      </c>
      <c r="F293" t="str">
        <f>MID('paste from garc here'!$C$1,1+(('table for research'!$B293-1)*36+HEX2DEC('table for research'!F$1))*2,2)</f>
        <v>08</v>
      </c>
      <c r="G293" t="str">
        <f>MID('paste from garc here'!$C$1,1+(('table for research'!$B293-1)*36+HEX2DEC('table for research'!G$1))*2,2)</f>
        <v>00</v>
      </c>
      <c r="H293" t="str">
        <f>MID('paste from garc here'!$C$1,1+(('table for research'!$B293-1)*36+HEX2DEC('table for research'!H$1))*2,2)</f>
        <v>00</v>
      </c>
      <c r="I293" t="str">
        <f>MID('paste from garc here'!$C$1,1+(('table for research'!$B293-1)*36+HEX2DEC('table for research'!I$1))*2,2)</f>
        <v>46</v>
      </c>
      <c r="J293" t="str">
        <f>MID('paste from garc here'!$C$1,1+(('table for research'!$B293-1)*36+HEX2DEC('table for research'!J$1))*2,2)</f>
        <v>00</v>
      </c>
      <c r="K293" t="str">
        <f>DEC2HEX(_xlfn.BITAND(HEX2DEC(MID('paste from garc here'!$C$1,1+(('table for research'!$B293-1)*36+HEX2DEC(8))*2,2)),31),2)</f>
        <v>1F</v>
      </c>
      <c r="L293" t="str">
        <f>DEC2HEX(_xlfn.BITAND(HEX2DEC(MID('paste from garc here'!$C$1,1+(('table for research'!$B293-1)*36+HEX2DEC(8))*2,2)),32),2)</f>
        <v>00</v>
      </c>
      <c r="M293" t="str">
        <f>DEC2HEX(_xlfn.BITAND(HEX2DEC(MID('paste from garc here'!$C$1,1+(('table for research'!$B293-1)*36+HEX2DEC(8))*2,2)),64),2)</f>
        <v>00</v>
      </c>
      <c r="N293" t="str">
        <f>DEC2HEX(_xlfn.BITRSHIFT(_xlfn.BITAND(HEX2DEC(MID('paste from garc here'!$C$1,1+(('table for research'!$B293-1)*36+HEX2DEC(9))*2,2)&amp;MID('paste from garc here'!$C$1,1+(('table for research'!$B293-1)*36+HEX2DEC(8))*2,2)),1920),7),2)</f>
        <v>00</v>
      </c>
      <c r="O293" t="str">
        <f>DEC2HEX(_xlfn.BITRSHIFT(HEX2DEC(MID('paste from garc here'!$C$1,1+(('table for research'!$B293-1)*36+HEX2DEC(9))*2,2)&amp;MID('paste from garc here'!$C$1,1+(('table for research'!$B293-1)*36+HEX2DEC(8))*2,2)),11),2)</f>
        <v>00</v>
      </c>
      <c r="P293" t="str">
        <f>MID('paste from garc here'!$C$1,1+(('table for research'!$B293-1)*36+HEX2DEC('table for research'!P$1))*2,2)</f>
        <v>00</v>
      </c>
      <c r="Q293" t="str">
        <f>MID('paste from garc here'!$C$1,1+(('table for research'!$B293-1)*36+HEX2DEC('table for research'!Q$1))*2,2)</f>
        <v>00</v>
      </c>
      <c r="R293" t="str">
        <f>MID('paste from garc here'!$C$1,1+(('table for research'!$B293-1)*36+HEX2DEC('table for research'!R$1))*2,2)</f>
        <v>00</v>
      </c>
      <c r="S293" t="str">
        <f>MID('paste from garc here'!$C$1,1+(('table for research'!$B293-1)*36+HEX2DEC('table for research'!S$1))*2,2)</f>
        <v>01</v>
      </c>
      <c r="T293" t="str">
        <f>MID('paste from garc here'!$C$1,1+(('table for research'!$B293-1)*36+HEX2DEC('table for research'!T$1))*2,2)</f>
        <v>00</v>
      </c>
      <c r="U293" t="str">
        <f>MID('paste from garc here'!$C$1,1+(('table for research'!$B293-1)*36+HEX2DEC('table for research'!U$1))*2,2)</f>
        <v>04</v>
      </c>
      <c r="V293" t="str">
        <f>MID('paste from garc here'!$C$1,1+(('table for research'!$B293-1)*36+HEX2DEC('table for research'!V$1))*2,2)</f>
        <v>00</v>
      </c>
      <c r="W293" t="str">
        <f>MID('paste from garc here'!$C$1,1+(('table for research'!$B293-1)*36+HEX2DEC('table for research'!W$1))*2,2)</f>
        <v>00</v>
      </c>
      <c r="X293" t="str">
        <f>MID('paste from garc here'!$C$1,1+(('table for research'!$B293-1)*36+HEX2DEC('table for research'!X$1))*2,2)</f>
        <v>00</v>
      </c>
      <c r="Y293" t="str">
        <f>MID('paste from garc here'!$C$1,1+(('table for research'!$B293-1)*36+HEX2DEC('table for research'!Y$1))*2,2)</f>
        <v>00</v>
      </c>
      <c r="Z293" t="str">
        <f>MID('paste from garc here'!$C$1,1+(('table for research'!$B293-1)*36+HEX2DEC('table for research'!Z$1))*2,2)</f>
        <v>00</v>
      </c>
      <c r="AA293" t="str">
        <f>MID('paste from garc here'!$C$1,1+(('table for research'!$B293-1)*36+HEX2DEC('table for research'!AA$1))*2,2)</f>
        <v>00</v>
      </c>
      <c r="AB293" t="str">
        <f>MID('paste from garc here'!$C$1,1+(('table for research'!$B293-1)*36+HEX2DEC('table for research'!AB$1))*2,2)</f>
        <v>00</v>
      </c>
      <c r="AC293" t="str">
        <f>MID('paste from garc here'!$C$1,1+(('table for research'!$B293-1)*36+HEX2DEC('table for research'!AC$1))*2,2)</f>
        <v>00</v>
      </c>
      <c r="AD293" t="str">
        <f>MID('paste from garc here'!$C$1,1+(('table for research'!$B293-1)*36+HEX2DEC('table for research'!AD$1))*2,2)</f>
        <v>00</v>
      </c>
      <c r="AE293" t="str">
        <f>MID('paste from garc here'!$C$1,1+(('table for research'!$B293-1)*36+HEX2DEC('table for research'!AE$1))*2,2)</f>
        <v>00</v>
      </c>
      <c r="AF293" t="str">
        <f>MID('paste from garc here'!$C$1,1+(('table for research'!$B293-1)*36+HEX2DEC('table for research'!AF$1))*2,2)</f>
        <v>00</v>
      </c>
      <c r="AG293" t="str">
        <f>MID('paste from garc here'!$C$1,1+(('table for research'!$B293-1)*36+HEX2DEC('table for research'!AG$1))*2,2)</f>
        <v>00</v>
      </c>
      <c r="AH293" t="str">
        <f>MID('paste from garc here'!$C$1,1+(('table for research'!$B293-1)*36+HEX2DEC('table for research'!AH$1))*2,2)</f>
        <v>00</v>
      </c>
      <c r="AI293" t="str">
        <f>MID('paste from garc here'!$C$1,1+(('table for research'!$B293-1)*36+HEX2DEC('table for research'!AI$1))*2,2)</f>
        <v>00</v>
      </c>
      <c r="AJ293" t="str">
        <f>MID('paste from garc here'!$C$1,1+(('table for research'!$B293-1)*36+HEX2DEC('table for research'!AJ$1))*2,2)</f>
        <v>00</v>
      </c>
      <c r="AK293" t="str">
        <f>MID('paste from garc here'!$C$1,1+(('table for research'!$B293-1)*36+HEX2DEC('table for research'!AK$1))*2,2)</f>
        <v>00</v>
      </c>
      <c r="AL293" t="str">
        <f>MID('paste from garc here'!$C$1,1+(('table for research'!$B293-1)*36+HEX2DEC('table for research'!AL$1))*2,2)</f>
        <v>00</v>
      </c>
      <c r="AM293" t="str">
        <f>MID('paste from garc here'!$C$1,1+(('table for research'!$B293-1)*36+HEX2DEC('table for research'!AM$1))*2,2)</f>
        <v>00</v>
      </c>
      <c r="AN293" t="str">
        <f>MID('paste from garc here'!$C$1,1+(('table for research'!$B293-1)*36+HEX2DEC('table for research'!AN$1))*2,2)</f>
        <v>00</v>
      </c>
      <c r="AO293" t="str">
        <f>MID('paste from garc here'!$C$1,1+(('table for research'!$B293-1)*36+HEX2DEC('table for research'!AO$1))*2,2)</f>
        <v>00</v>
      </c>
    </row>
    <row r="294" spans="1:41" x14ac:dyDescent="0.4">
      <c r="A294" t="s">
        <v>297</v>
      </c>
      <c r="B294">
        <f>B293+1</f>
        <v>292</v>
      </c>
      <c r="C294" t="str">
        <f>MID('paste from garc here'!$C$1,1+(('table for research'!$B294-1)*36+HEX2DEC('table for research'!C$1))*2,2)</f>
        <v>F4</v>
      </c>
      <c r="D294" t="str">
        <f>MID('paste from garc here'!$C$1,1+(('table for research'!$B294-1)*36+HEX2DEC('table for research'!D$1))*2,2)</f>
        <v>01</v>
      </c>
      <c r="E294" t="str">
        <f>MID('paste from garc here'!$C$1,1+(('table for research'!$B294-1)*36+HEX2DEC('table for research'!E$1))*2,2)</f>
        <v>77</v>
      </c>
      <c r="F294" t="str">
        <f>MID('paste from garc here'!$C$1,1+(('table for research'!$B294-1)*36+HEX2DEC('table for research'!F$1))*2,2)</f>
        <v>08</v>
      </c>
      <c r="G294" t="str">
        <f>MID('paste from garc here'!$C$1,1+(('table for research'!$B294-1)*36+HEX2DEC('table for research'!G$1))*2,2)</f>
        <v>00</v>
      </c>
      <c r="H294" t="str">
        <f>MID('paste from garc here'!$C$1,1+(('table for research'!$B294-1)*36+HEX2DEC('table for research'!H$1))*2,2)</f>
        <v>00</v>
      </c>
      <c r="I294" t="str">
        <f>MID('paste from garc here'!$C$1,1+(('table for research'!$B294-1)*36+HEX2DEC('table for research'!I$1))*2,2)</f>
        <v>46</v>
      </c>
      <c r="J294" t="str">
        <f>MID('paste from garc here'!$C$1,1+(('table for research'!$B294-1)*36+HEX2DEC('table for research'!J$1))*2,2)</f>
        <v>00</v>
      </c>
      <c r="K294" t="str">
        <f>DEC2HEX(_xlfn.BITAND(HEX2DEC(MID('paste from garc here'!$C$1,1+(('table for research'!$B294-1)*36+HEX2DEC(8))*2,2)),31),2)</f>
        <v>1F</v>
      </c>
      <c r="L294" t="str">
        <f>DEC2HEX(_xlfn.BITAND(HEX2DEC(MID('paste from garc here'!$C$1,1+(('table for research'!$B294-1)*36+HEX2DEC(8))*2,2)),32),2)</f>
        <v>00</v>
      </c>
      <c r="M294" t="str">
        <f>DEC2HEX(_xlfn.BITAND(HEX2DEC(MID('paste from garc here'!$C$1,1+(('table for research'!$B294-1)*36+HEX2DEC(8))*2,2)),64),2)</f>
        <v>00</v>
      </c>
      <c r="N294" t="str">
        <f>DEC2HEX(_xlfn.BITRSHIFT(_xlfn.BITAND(HEX2DEC(MID('paste from garc here'!$C$1,1+(('table for research'!$B294-1)*36+HEX2DEC(9))*2,2)&amp;MID('paste from garc here'!$C$1,1+(('table for research'!$B294-1)*36+HEX2DEC(8))*2,2)),1920),7),2)</f>
        <v>00</v>
      </c>
      <c r="O294" t="str">
        <f>DEC2HEX(_xlfn.BITRSHIFT(HEX2DEC(MID('paste from garc here'!$C$1,1+(('table for research'!$B294-1)*36+HEX2DEC(9))*2,2)&amp;MID('paste from garc here'!$C$1,1+(('table for research'!$B294-1)*36+HEX2DEC(8))*2,2)),11),2)</f>
        <v>00</v>
      </c>
      <c r="P294" t="str">
        <f>MID('paste from garc here'!$C$1,1+(('table for research'!$B294-1)*36+HEX2DEC('table for research'!P$1))*2,2)</f>
        <v>00</v>
      </c>
      <c r="Q294" t="str">
        <f>MID('paste from garc here'!$C$1,1+(('table for research'!$B294-1)*36+HEX2DEC('table for research'!Q$1))*2,2)</f>
        <v>00</v>
      </c>
      <c r="R294" t="str">
        <f>MID('paste from garc here'!$C$1,1+(('table for research'!$B294-1)*36+HEX2DEC('table for research'!R$1))*2,2)</f>
        <v>00</v>
      </c>
      <c r="S294" t="str">
        <f>MID('paste from garc here'!$C$1,1+(('table for research'!$B294-1)*36+HEX2DEC('table for research'!S$1))*2,2)</f>
        <v>01</v>
      </c>
      <c r="T294" t="str">
        <f>MID('paste from garc here'!$C$1,1+(('table for research'!$B294-1)*36+HEX2DEC('table for research'!T$1))*2,2)</f>
        <v>00</v>
      </c>
      <c r="U294" t="str">
        <f>MID('paste from garc here'!$C$1,1+(('table for research'!$B294-1)*36+HEX2DEC('table for research'!U$1))*2,2)</f>
        <v>04</v>
      </c>
      <c r="V294" t="str">
        <f>MID('paste from garc here'!$C$1,1+(('table for research'!$B294-1)*36+HEX2DEC('table for research'!V$1))*2,2)</f>
        <v>00</v>
      </c>
      <c r="W294" t="str">
        <f>MID('paste from garc here'!$C$1,1+(('table for research'!$B294-1)*36+HEX2DEC('table for research'!W$1))*2,2)</f>
        <v>00</v>
      </c>
      <c r="X294" t="str">
        <f>MID('paste from garc here'!$C$1,1+(('table for research'!$B294-1)*36+HEX2DEC('table for research'!X$1))*2,2)</f>
        <v>00</v>
      </c>
      <c r="Y294" t="str">
        <f>MID('paste from garc here'!$C$1,1+(('table for research'!$B294-1)*36+HEX2DEC('table for research'!Y$1))*2,2)</f>
        <v>00</v>
      </c>
      <c r="Z294" t="str">
        <f>MID('paste from garc here'!$C$1,1+(('table for research'!$B294-1)*36+HEX2DEC('table for research'!Z$1))*2,2)</f>
        <v>00</v>
      </c>
      <c r="AA294" t="str">
        <f>MID('paste from garc here'!$C$1,1+(('table for research'!$B294-1)*36+HEX2DEC('table for research'!AA$1))*2,2)</f>
        <v>00</v>
      </c>
      <c r="AB294" t="str">
        <f>MID('paste from garc here'!$C$1,1+(('table for research'!$B294-1)*36+HEX2DEC('table for research'!AB$1))*2,2)</f>
        <v>00</v>
      </c>
      <c r="AC294" t="str">
        <f>MID('paste from garc here'!$C$1,1+(('table for research'!$B294-1)*36+HEX2DEC('table for research'!AC$1))*2,2)</f>
        <v>00</v>
      </c>
      <c r="AD294" t="str">
        <f>MID('paste from garc here'!$C$1,1+(('table for research'!$B294-1)*36+HEX2DEC('table for research'!AD$1))*2,2)</f>
        <v>00</v>
      </c>
      <c r="AE294" t="str">
        <f>MID('paste from garc here'!$C$1,1+(('table for research'!$B294-1)*36+HEX2DEC('table for research'!AE$1))*2,2)</f>
        <v>00</v>
      </c>
      <c r="AF294" t="str">
        <f>MID('paste from garc here'!$C$1,1+(('table for research'!$B294-1)*36+HEX2DEC('table for research'!AF$1))*2,2)</f>
        <v>00</v>
      </c>
      <c r="AG294" t="str">
        <f>MID('paste from garc here'!$C$1,1+(('table for research'!$B294-1)*36+HEX2DEC('table for research'!AG$1))*2,2)</f>
        <v>00</v>
      </c>
      <c r="AH294" t="str">
        <f>MID('paste from garc here'!$C$1,1+(('table for research'!$B294-1)*36+HEX2DEC('table for research'!AH$1))*2,2)</f>
        <v>00</v>
      </c>
      <c r="AI294" t="str">
        <f>MID('paste from garc here'!$C$1,1+(('table for research'!$B294-1)*36+HEX2DEC('table for research'!AI$1))*2,2)</f>
        <v>00</v>
      </c>
      <c r="AJ294" t="str">
        <f>MID('paste from garc here'!$C$1,1+(('table for research'!$B294-1)*36+HEX2DEC('table for research'!AJ$1))*2,2)</f>
        <v>00</v>
      </c>
      <c r="AK294" t="str">
        <f>MID('paste from garc here'!$C$1,1+(('table for research'!$B294-1)*36+HEX2DEC('table for research'!AK$1))*2,2)</f>
        <v>00</v>
      </c>
      <c r="AL294" t="str">
        <f>MID('paste from garc here'!$C$1,1+(('table for research'!$B294-1)*36+HEX2DEC('table for research'!AL$1))*2,2)</f>
        <v>00</v>
      </c>
      <c r="AM294" t="str">
        <f>MID('paste from garc here'!$C$1,1+(('table for research'!$B294-1)*36+HEX2DEC('table for research'!AM$1))*2,2)</f>
        <v>00</v>
      </c>
      <c r="AN294" t="str">
        <f>MID('paste from garc here'!$C$1,1+(('table for research'!$B294-1)*36+HEX2DEC('table for research'!AN$1))*2,2)</f>
        <v>00</v>
      </c>
      <c r="AO294" t="str">
        <f>MID('paste from garc here'!$C$1,1+(('table for research'!$B294-1)*36+HEX2DEC('table for research'!AO$1))*2,2)</f>
        <v>00</v>
      </c>
    </row>
    <row r="295" spans="1:41" x14ac:dyDescent="0.4">
      <c r="A295" t="s">
        <v>298</v>
      </c>
      <c r="B295">
        <f>B294+1</f>
        <v>293</v>
      </c>
      <c r="C295" t="str">
        <f>MID('paste from garc here'!$C$1,1+(('table for research'!$B295-1)*36+HEX2DEC('table for research'!C$1))*2,2)</f>
        <v>F4</v>
      </c>
      <c r="D295" t="str">
        <f>MID('paste from garc here'!$C$1,1+(('table for research'!$B295-1)*36+HEX2DEC('table for research'!D$1))*2,2)</f>
        <v>01</v>
      </c>
      <c r="E295" t="str">
        <f>MID('paste from garc here'!$C$1,1+(('table for research'!$B295-1)*36+HEX2DEC('table for research'!E$1))*2,2)</f>
        <v>78</v>
      </c>
      <c r="F295" t="str">
        <f>MID('paste from garc here'!$C$1,1+(('table for research'!$B295-1)*36+HEX2DEC('table for research'!F$1))*2,2)</f>
        <v>08</v>
      </c>
      <c r="G295" t="str">
        <f>MID('paste from garc here'!$C$1,1+(('table for research'!$B295-1)*36+HEX2DEC('table for research'!G$1))*2,2)</f>
        <v>00</v>
      </c>
      <c r="H295" t="str">
        <f>MID('paste from garc here'!$C$1,1+(('table for research'!$B295-1)*36+HEX2DEC('table for research'!H$1))*2,2)</f>
        <v>00</v>
      </c>
      <c r="I295" t="str">
        <f>MID('paste from garc here'!$C$1,1+(('table for research'!$B295-1)*36+HEX2DEC('table for research'!I$1))*2,2)</f>
        <v>46</v>
      </c>
      <c r="J295" t="str">
        <f>MID('paste from garc here'!$C$1,1+(('table for research'!$B295-1)*36+HEX2DEC('table for research'!J$1))*2,2)</f>
        <v>00</v>
      </c>
      <c r="K295" t="str">
        <f>DEC2HEX(_xlfn.BITAND(HEX2DEC(MID('paste from garc here'!$C$1,1+(('table for research'!$B295-1)*36+HEX2DEC(8))*2,2)),31),2)</f>
        <v>1F</v>
      </c>
      <c r="L295" t="str">
        <f>DEC2HEX(_xlfn.BITAND(HEX2DEC(MID('paste from garc here'!$C$1,1+(('table for research'!$B295-1)*36+HEX2DEC(8))*2,2)),32),2)</f>
        <v>00</v>
      </c>
      <c r="M295" t="str">
        <f>DEC2HEX(_xlfn.BITAND(HEX2DEC(MID('paste from garc here'!$C$1,1+(('table for research'!$B295-1)*36+HEX2DEC(8))*2,2)),64),2)</f>
        <v>00</v>
      </c>
      <c r="N295" t="str">
        <f>DEC2HEX(_xlfn.BITRSHIFT(_xlfn.BITAND(HEX2DEC(MID('paste from garc here'!$C$1,1+(('table for research'!$B295-1)*36+HEX2DEC(9))*2,2)&amp;MID('paste from garc here'!$C$1,1+(('table for research'!$B295-1)*36+HEX2DEC(8))*2,2)),1920),7),2)</f>
        <v>00</v>
      </c>
      <c r="O295" t="str">
        <f>DEC2HEX(_xlfn.BITRSHIFT(HEX2DEC(MID('paste from garc here'!$C$1,1+(('table for research'!$B295-1)*36+HEX2DEC(9))*2,2)&amp;MID('paste from garc here'!$C$1,1+(('table for research'!$B295-1)*36+HEX2DEC(8))*2,2)),11),2)</f>
        <v>00</v>
      </c>
      <c r="P295" t="str">
        <f>MID('paste from garc here'!$C$1,1+(('table for research'!$B295-1)*36+HEX2DEC('table for research'!P$1))*2,2)</f>
        <v>00</v>
      </c>
      <c r="Q295" t="str">
        <f>MID('paste from garc here'!$C$1,1+(('table for research'!$B295-1)*36+HEX2DEC('table for research'!Q$1))*2,2)</f>
        <v>00</v>
      </c>
      <c r="R295" t="str">
        <f>MID('paste from garc here'!$C$1,1+(('table for research'!$B295-1)*36+HEX2DEC('table for research'!R$1))*2,2)</f>
        <v>00</v>
      </c>
      <c r="S295" t="str">
        <f>MID('paste from garc here'!$C$1,1+(('table for research'!$B295-1)*36+HEX2DEC('table for research'!S$1))*2,2)</f>
        <v>01</v>
      </c>
      <c r="T295" t="str">
        <f>MID('paste from garc here'!$C$1,1+(('table for research'!$B295-1)*36+HEX2DEC('table for research'!T$1))*2,2)</f>
        <v>00</v>
      </c>
      <c r="U295" t="str">
        <f>MID('paste from garc here'!$C$1,1+(('table for research'!$B295-1)*36+HEX2DEC('table for research'!U$1))*2,2)</f>
        <v>04</v>
      </c>
      <c r="V295" t="str">
        <f>MID('paste from garc here'!$C$1,1+(('table for research'!$B295-1)*36+HEX2DEC('table for research'!V$1))*2,2)</f>
        <v>00</v>
      </c>
      <c r="W295" t="str">
        <f>MID('paste from garc here'!$C$1,1+(('table for research'!$B295-1)*36+HEX2DEC('table for research'!W$1))*2,2)</f>
        <v>00</v>
      </c>
      <c r="X295" t="str">
        <f>MID('paste from garc here'!$C$1,1+(('table for research'!$B295-1)*36+HEX2DEC('table for research'!X$1))*2,2)</f>
        <v>00</v>
      </c>
      <c r="Y295" t="str">
        <f>MID('paste from garc here'!$C$1,1+(('table for research'!$B295-1)*36+HEX2DEC('table for research'!Y$1))*2,2)</f>
        <v>00</v>
      </c>
      <c r="Z295" t="str">
        <f>MID('paste from garc here'!$C$1,1+(('table for research'!$B295-1)*36+HEX2DEC('table for research'!Z$1))*2,2)</f>
        <v>00</v>
      </c>
      <c r="AA295" t="str">
        <f>MID('paste from garc here'!$C$1,1+(('table for research'!$B295-1)*36+HEX2DEC('table for research'!AA$1))*2,2)</f>
        <v>00</v>
      </c>
      <c r="AB295" t="str">
        <f>MID('paste from garc here'!$C$1,1+(('table for research'!$B295-1)*36+HEX2DEC('table for research'!AB$1))*2,2)</f>
        <v>00</v>
      </c>
      <c r="AC295" t="str">
        <f>MID('paste from garc here'!$C$1,1+(('table for research'!$B295-1)*36+HEX2DEC('table for research'!AC$1))*2,2)</f>
        <v>00</v>
      </c>
      <c r="AD295" t="str">
        <f>MID('paste from garc here'!$C$1,1+(('table for research'!$B295-1)*36+HEX2DEC('table for research'!AD$1))*2,2)</f>
        <v>00</v>
      </c>
      <c r="AE295" t="str">
        <f>MID('paste from garc here'!$C$1,1+(('table for research'!$B295-1)*36+HEX2DEC('table for research'!AE$1))*2,2)</f>
        <v>00</v>
      </c>
      <c r="AF295" t="str">
        <f>MID('paste from garc here'!$C$1,1+(('table for research'!$B295-1)*36+HEX2DEC('table for research'!AF$1))*2,2)</f>
        <v>00</v>
      </c>
      <c r="AG295" t="str">
        <f>MID('paste from garc here'!$C$1,1+(('table for research'!$B295-1)*36+HEX2DEC('table for research'!AG$1))*2,2)</f>
        <v>00</v>
      </c>
      <c r="AH295" t="str">
        <f>MID('paste from garc here'!$C$1,1+(('table for research'!$B295-1)*36+HEX2DEC('table for research'!AH$1))*2,2)</f>
        <v>00</v>
      </c>
      <c r="AI295" t="str">
        <f>MID('paste from garc here'!$C$1,1+(('table for research'!$B295-1)*36+HEX2DEC('table for research'!AI$1))*2,2)</f>
        <v>00</v>
      </c>
      <c r="AJ295" t="str">
        <f>MID('paste from garc here'!$C$1,1+(('table for research'!$B295-1)*36+HEX2DEC('table for research'!AJ$1))*2,2)</f>
        <v>00</v>
      </c>
      <c r="AK295" t="str">
        <f>MID('paste from garc here'!$C$1,1+(('table for research'!$B295-1)*36+HEX2DEC('table for research'!AK$1))*2,2)</f>
        <v>00</v>
      </c>
      <c r="AL295" t="str">
        <f>MID('paste from garc here'!$C$1,1+(('table for research'!$B295-1)*36+HEX2DEC('table for research'!AL$1))*2,2)</f>
        <v>00</v>
      </c>
      <c r="AM295" t="str">
        <f>MID('paste from garc here'!$C$1,1+(('table for research'!$B295-1)*36+HEX2DEC('table for research'!AM$1))*2,2)</f>
        <v>00</v>
      </c>
      <c r="AN295" t="str">
        <f>MID('paste from garc here'!$C$1,1+(('table for research'!$B295-1)*36+HEX2DEC('table for research'!AN$1))*2,2)</f>
        <v>00</v>
      </c>
      <c r="AO295" t="str">
        <f>MID('paste from garc here'!$C$1,1+(('table for research'!$B295-1)*36+HEX2DEC('table for research'!AO$1))*2,2)</f>
        <v>00</v>
      </c>
    </row>
    <row r="296" spans="1:41" x14ac:dyDescent="0.4">
      <c r="A296" t="s">
        <v>299</v>
      </c>
      <c r="B296">
        <f>B295+1</f>
        <v>294</v>
      </c>
      <c r="C296" t="str">
        <f>MID('paste from garc here'!$C$1,1+(('table for research'!$B296-1)*36+HEX2DEC('table for research'!C$1))*2,2)</f>
        <v>F4</v>
      </c>
      <c r="D296" t="str">
        <f>MID('paste from garc here'!$C$1,1+(('table for research'!$B296-1)*36+HEX2DEC('table for research'!D$1))*2,2)</f>
        <v>01</v>
      </c>
      <c r="E296" t="str">
        <f>MID('paste from garc here'!$C$1,1+(('table for research'!$B296-1)*36+HEX2DEC('table for research'!E$1))*2,2)</f>
        <v>79</v>
      </c>
      <c r="F296" t="str">
        <f>MID('paste from garc here'!$C$1,1+(('table for research'!$B296-1)*36+HEX2DEC('table for research'!F$1))*2,2)</f>
        <v>08</v>
      </c>
      <c r="G296" t="str">
        <f>MID('paste from garc here'!$C$1,1+(('table for research'!$B296-1)*36+HEX2DEC('table for research'!G$1))*2,2)</f>
        <v>00</v>
      </c>
      <c r="H296" t="str">
        <f>MID('paste from garc here'!$C$1,1+(('table for research'!$B296-1)*36+HEX2DEC('table for research'!H$1))*2,2)</f>
        <v>00</v>
      </c>
      <c r="I296" t="str">
        <f>MID('paste from garc here'!$C$1,1+(('table for research'!$B296-1)*36+HEX2DEC('table for research'!I$1))*2,2)</f>
        <v>46</v>
      </c>
      <c r="J296" t="str">
        <f>MID('paste from garc here'!$C$1,1+(('table for research'!$B296-1)*36+HEX2DEC('table for research'!J$1))*2,2)</f>
        <v>00</v>
      </c>
      <c r="K296" t="str">
        <f>DEC2HEX(_xlfn.BITAND(HEX2DEC(MID('paste from garc here'!$C$1,1+(('table for research'!$B296-1)*36+HEX2DEC(8))*2,2)),31),2)</f>
        <v>1F</v>
      </c>
      <c r="L296" t="str">
        <f>DEC2HEX(_xlfn.BITAND(HEX2DEC(MID('paste from garc here'!$C$1,1+(('table for research'!$B296-1)*36+HEX2DEC(8))*2,2)),32),2)</f>
        <v>00</v>
      </c>
      <c r="M296" t="str">
        <f>DEC2HEX(_xlfn.BITAND(HEX2DEC(MID('paste from garc here'!$C$1,1+(('table for research'!$B296-1)*36+HEX2DEC(8))*2,2)),64),2)</f>
        <v>00</v>
      </c>
      <c r="N296" t="str">
        <f>DEC2HEX(_xlfn.BITRSHIFT(_xlfn.BITAND(HEX2DEC(MID('paste from garc here'!$C$1,1+(('table for research'!$B296-1)*36+HEX2DEC(9))*2,2)&amp;MID('paste from garc here'!$C$1,1+(('table for research'!$B296-1)*36+HEX2DEC(8))*2,2)),1920),7),2)</f>
        <v>00</v>
      </c>
      <c r="O296" t="str">
        <f>DEC2HEX(_xlfn.BITRSHIFT(HEX2DEC(MID('paste from garc here'!$C$1,1+(('table for research'!$B296-1)*36+HEX2DEC(9))*2,2)&amp;MID('paste from garc here'!$C$1,1+(('table for research'!$B296-1)*36+HEX2DEC(8))*2,2)),11),2)</f>
        <v>00</v>
      </c>
      <c r="P296" t="str">
        <f>MID('paste from garc here'!$C$1,1+(('table for research'!$B296-1)*36+HEX2DEC('table for research'!P$1))*2,2)</f>
        <v>00</v>
      </c>
      <c r="Q296" t="str">
        <f>MID('paste from garc here'!$C$1,1+(('table for research'!$B296-1)*36+HEX2DEC('table for research'!Q$1))*2,2)</f>
        <v>00</v>
      </c>
      <c r="R296" t="str">
        <f>MID('paste from garc here'!$C$1,1+(('table for research'!$B296-1)*36+HEX2DEC('table for research'!R$1))*2,2)</f>
        <v>00</v>
      </c>
      <c r="S296" t="str">
        <f>MID('paste from garc here'!$C$1,1+(('table for research'!$B296-1)*36+HEX2DEC('table for research'!S$1))*2,2)</f>
        <v>01</v>
      </c>
      <c r="T296" t="str">
        <f>MID('paste from garc here'!$C$1,1+(('table for research'!$B296-1)*36+HEX2DEC('table for research'!T$1))*2,2)</f>
        <v>00</v>
      </c>
      <c r="U296" t="str">
        <f>MID('paste from garc here'!$C$1,1+(('table for research'!$B296-1)*36+HEX2DEC('table for research'!U$1))*2,2)</f>
        <v>04</v>
      </c>
      <c r="V296" t="str">
        <f>MID('paste from garc here'!$C$1,1+(('table for research'!$B296-1)*36+HEX2DEC('table for research'!V$1))*2,2)</f>
        <v>00</v>
      </c>
      <c r="W296" t="str">
        <f>MID('paste from garc here'!$C$1,1+(('table for research'!$B296-1)*36+HEX2DEC('table for research'!W$1))*2,2)</f>
        <v>00</v>
      </c>
      <c r="X296" t="str">
        <f>MID('paste from garc here'!$C$1,1+(('table for research'!$B296-1)*36+HEX2DEC('table for research'!X$1))*2,2)</f>
        <v>00</v>
      </c>
      <c r="Y296" t="str">
        <f>MID('paste from garc here'!$C$1,1+(('table for research'!$B296-1)*36+HEX2DEC('table for research'!Y$1))*2,2)</f>
        <v>00</v>
      </c>
      <c r="Z296" t="str">
        <f>MID('paste from garc here'!$C$1,1+(('table for research'!$B296-1)*36+HEX2DEC('table for research'!Z$1))*2,2)</f>
        <v>00</v>
      </c>
      <c r="AA296" t="str">
        <f>MID('paste from garc here'!$C$1,1+(('table for research'!$B296-1)*36+HEX2DEC('table for research'!AA$1))*2,2)</f>
        <v>00</v>
      </c>
      <c r="AB296" t="str">
        <f>MID('paste from garc here'!$C$1,1+(('table for research'!$B296-1)*36+HEX2DEC('table for research'!AB$1))*2,2)</f>
        <v>00</v>
      </c>
      <c r="AC296" t="str">
        <f>MID('paste from garc here'!$C$1,1+(('table for research'!$B296-1)*36+HEX2DEC('table for research'!AC$1))*2,2)</f>
        <v>00</v>
      </c>
      <c r="AD296" t="str">
        <f>MID('paste from garc here'!$C$1,1+(('table for research'!$B296-1)*36+HEX2DEC('table for research'!AD$1))*2,2)</f>
        <v>00</v>
      </c>
      <c r="AE296" t="str">
        <f>MID('paste from garc here'!$C$1,1+(('table for research'!$B296-1)*36+HEX2DEC('table for research'!AE$1))*2,2)</f>
        <v>00</v>
      </c>
      <c r="AF296" t="str">
        <f>MID('paste from garc here'!$C$1,1+(('table for research'!$B296-1)*36+HEX2DEC('table for research'!AF$1))*2,2)</f>
        <v>00</v>
      </c>
      <c r="AG296" t="str">
        <f>MID('paste from garc here'!$C$1,1+(('table for research'!$B296-1)*36+HEX2DEC('table for research'!AG$1))*2,2)</f>
        <v>00</v>
      </c>
      <c r="AH296" t="str">
        <f>MID('paste from garc here'!$C$1,1+(('table for research'!$B296-1)*36+HEX2DEC('table for research'!AH$1))*2,2)</f>
        <v>00</v>
      </c>
      <c r="AI296" t="str">
        <f>MID('paste from garc here'!$C$1,1+(('table for research'!$B296-1)*36+HEX2DEC('table for research'!AI$1))*2,2)</f>
        <v>00</v>
      </c>
      <c r="AJ296" t="str">
        <f>MID('paste from garc here'!$C$1,1+(('table for research'!$B296-1)*36+HEX2DEC('table for research'!AJ$1))*2,2)</f>
        <v>00</v>
      </c>
      <c r="AK296" t="str">
        <f>MID('paste from garc here'!$C$1,1+(('table for research'!$B296-1)*36+HEX2DEC('table for research'!AK$1))*2,2)</f>
        <v>00</v>
      </c>
      <c r="AL296" t="str">
        <f>MID('paste from garc here'!$C$1,1+(('table for research'!$B296-1)*36+HEX2DEC('table for research'!AL$1))*2,2)</f>
        <v>00</v>
      </c>
      <c r="AM296" t="str">
        <f>MID('paste from garc here'!$C$1,1+(('table for research'!$B296-1)*36+HEX2DEC('table for research'!AM$1))*2,2)</f>
        <v>00</v>
      </c>
      <c r="AN296" t="str">
        <f>MID('paste from garc here'!$C$1,1+(('table for research'!$B296-1)*36+HEX2DEC('table for research'!AN$1))*2,2)</f>
        <v>00</v>
      </c>
      <c r="AO296" t="str">
        <f>MID('paste from garc here'!$C$1,1+(('table for research'!$B296-1)*36+HEX2DEC('table for research'!AO$1))*2,2)</f>
        <v>00</v>
      </c>
    </row>
    <row r="297" spans="1:41" x14ac:dyDescent="0.4">
      <c r="A297" t="s">
        <v>300</v>
      </c>
      <c r="B297">
        <f>B296+1</f>
        <v>295</v>
      </c>
      <c r="C297" t="str">
        <f>MID('paste from garc here'!$C$1,1+(('table for research'!$B297-1)*36+HEX2DEC('table for research'!C$1))*2,2)</f>
        <v>96</v>
      </c>
      <c r="D297" t="str">
        <f>MID('paste from garc here'!$C$1,1+(('table for research'!$B297-1)*36+HEX2DEC('table for research'!D$1))*2,2)</f>
        <v>00</v>
      </c>
      <c r="E297" t="str">
        <f>MID('paste from garc here'!$C$1,1+(('table for research'!$B297-1)*36+HEX2DEC('table for research'!E$1))*2,2)</f>
        <v>7A</v>
      </c>
      <c r="F297" t="str">
        <f>MID('paste from garc here'!$C$1,1+(('table for research'!$B297-1)*36+HEX2DEC('table for research'!F$1))*2,2)</f>
        <v>00</v>
      </c>
      <c r="G297" t="str">
        <f>MID('paste from garc here'!$C$1,1+(('table for research'!$B297-1)*36+HEX2DEC('table for research'!G$1))*2,2)</f>
        <v>00</v>
      </c>
      <c r="H297" t="str">
        <f>MID('paste from garc here'!$C$1,1+(('table for research'!$B297-1)*36+HEX2DEC('table for research'!H$1))*2,2)</f>
        <v>00</v>
      </c>
      <c r="I297" t="str">
        <f>MID('paste from garc here'!$C$1,1+(('table for research'!$B297-1)*36+HEX2DEC('table for research'!I$1))*2,2)</f>
        <v>0A</v>
      </c>
      <c r="J297" t="str">
        <f>MID('paste from garc here'!$C$1,1+(('table for research'!$B297-1)*36+HEX2DEC('table for research'!J$1))*2,2)</f>
        <v>00</v>
      </c>
      <c r="K297" t="str">
        <f>DEC2HEX(_xlfn.BITAND(HEX2DEC(MID('paste from garc here'!$C$1,1+(('table for research'!$B297-1)*36+HEX2DEC(8))*2,2)),31),2)</f>
        <v>1F</v>
      </c>
      <c r="L297" t="str">
        <f>DEC2HEX(_xlfn.BITAND(HEX2DEC(MID('paste from garc here'!$C$1,1+(('table for research'!$B297-1)*36+HEX2DEC(8))*2,2)),32),2)</f>
        <v>00</v>
      </c>
      <c r="M297" t="str">
        <f>DEC2HEX(_xlfn.BITAND(HEX2DEC(MID('paste from garc here'!$C$1,1+(('table for research'!$B297-1)*36+HEX2DEC(8))*2,2)),64),2)</f>
        <v>00</v>
      </c>
      <c r="N297" t="str">
        <f>DEC2HEX(_xlfn.BITRSHIFT(_xlfn.BITAND(HEX2DEC(MID('paste from garc here'!$C$1,1+(('table for research'!$B297-1)*36+HEX2DEC(9))*2,2)&amp;MID('paste from garc here'!$C$1,1+(('table for research'!$B297-1)*36+HEX2DEC(8))*2,2)),1920),7),2)</f>
        <v>00</v>
      </c>
      <c r="O297" t="str">
        <f>DEC2HEX(_xlfn.BITRSHIFT(HEX2DEC(MID('paste from garc here'!$C$1,1+(('table for research'!$B297-1)*36+HEX2DEC(9))*2,2)&amp;MID('paste from garc here'!$C$1,1+(('table for research'!$B297-1)*36+HEX2DEC(8))*2,2)),11),2)</f>
        <v>00</v>
      </c>
      <c r="P297" t="str">
        <f>MID('paste from garc here'!$C$1,1+(('table for research'!$B297-1)*36+HEX2DEC('table for research'!P$1))*2,2)</f>
        <v>00</v>
      </c>
      <c r="Q297" t="str">
        <f>MID('paste from garc here'!$C$1,1+(('table for research'!$B297-1)*36+HEX2DEC('table for research'!Q$1))*2,2)</f>
        <v>00</v>
      </c>
      <c r="R297" t="str">
        <f>MID('paste from garc here'!$C$1,1+(('table for research'!$B297-1)*36+HEX2DEC('table for research'!R$1))*2,2)</f>
        <v>00</v>
      </c>
      <c r="S297" t="str">
        <f>MID('paste from garc here'!$C$1,1+(('table for research'!$B297-1)*36+HEX2DEC('table for research'!S$1))*2,2)</f>
        <v>01</v>
      </c>
      <c r="T297" t="str">
        <f>MID('paste from garc here'!$C$1,1+(('table for research'!$B297-1)*36+HEX2DEC('table for research'!T$1))*2,2)</f>
        <v>00</v>
      </c>
      <c r="U297" t="str">
        <f>MID('paste from garc here'!$C$1,1+(('table for research'!$B297-1)*36+HEX2DEC('table for research'!U$1))*2,2)</f>
        <v>1A</v>
      </c>
      <c r="V297" t="str">
        <f>MID('paste from garc here'!$C$1,1+(('table for research'!$B297-1)*36+HEX2DEC('table for research'!V$1))*2,2)</f>
        <v>00</v>
      </c>
      <c r="W297" t="str">
        <f>MID('paste from garc here'!$C$1,1+(('table for research'!$B297-1)*36+HEX2DEC('table for research'!W$1))*2,2)</f>
        <v>00</v>
      </c>
      <c r="X297" t="str">
        <f>MID('paste from garc here'!$C$1,1+(('table for research'!$B297-1)*36+HEX2DEC('table for research'!X$1))*2,2)</f>
        <v>00</v>
      </c>
      <c r="Y297" t="str">
        <f>MID('paste from garc here'!$C$1,1+(('table for research'!$B297-1)*36+HEX2DEC('table for research'!Y$1))*2,2)</f>
        <v>00</v>
      </c>
      <c r="Z297" t="str">
        <f>MID('paste from garc here'!$C$1,1+(('table for research'!$B297-1)*36+HEX2DEC('table for research'!Z$1))*2,2)</f>
        <v>00</v>
      </c>
      <c r="AA297" t="str">
        <f>MID('paste from garc here'!$C$1,1+(('table for research'!$B297-1)*36+HEX2DEC('table for research'!AA$1))*2,2)</f>
        <v>00</v>
      </c>
      <c r="AB297" t="str">
        <f>MID('paste from garc here'!$C$1,1+(('table for research'!$B297-1)*36+HEX2DEC('table for research'!AB$1))*2,2)</f>
        <v>00</v>
      </c>
      <c r="AC297" t="str">
        <f>MID('paste from garc here'!$C$1,1+(('table for research'!$B297-1)*36+HEX2DEC('table for research'!AC$1))*2,2)</f>
        <v>00</v>
      </c>
      <c r="AD297" t="str">
        <f>MID('paste from garc here'!$C$1,1+(('table for research'!$B297-1)*36+HEX2DEC('table for research'!AD$1))*2,2)</f>
        <v>00</v>
      </c>
      <c r="AE297" t="str">
        <f>MID('paste from garc here'!$C$1,1+(('table for research'!$B297-1)*36+HEX2DEC('table for research'!AE$1))*2,2)</f>
        <v>00</v>
      </c>
      <c r="AF297" t="str">
        <f>MID('paste from garc here'!$C$1,1+(('table for research'!$B297-1)*36+HEX2DEC('table for research'!AF$1))*2,2)</f>
        <v>00</v>
      </c>
      <c r="AG297" t="str">
        <f>MID('paste from garc here'!$C$1,1+(('table for research'!$B297-1)*36+HEX2DEC('table for research'!AG$1))*2,2)</f>
        <v>00</v>
      </c>
      <c r="AH297" t="str">
        <f>MID('paste from garc here'!$C$1,1+(('table for research'!$B297-1)*36+HEX2DEC('table for research'!AH$1))*2,2)</f>
        <v>00</v>
      </c>
      <c r="AI297" t="str">
        <f>MID('paste from garc here'!$C$1,1+(('table for research'!$B297-1)*36+HEX2DEC('table for research'!AI$1))*2,2)</f>
        <v>00</v>
      </c>
      <c r="AJ297" t="str">
        <f>MID('paste from garc here'!$C$1,1+(('table for research'!$B297-1)*36+HEX2DEC('table for research'!AJ$1))*2,2)</f>
        <v>00</v>
      </c>
      <c r="AK297" t="str">
        <f>MID('paste from garc here'!$C$1,1+(('table for research'!$B297-1)*36+HEX2DEC('table for research'!AK$1))*2,2)</f>
        <v>00</v>
      </c>
      <c r="AL297" t="str">
        <f>MID('paste from garc here'!$C$1,1+(('table for research'!$B297-1)*36+HEX2DEC('table for research'!AL$1))*2,2)</f>
        <v>00</v>
      </c>
      <c r="AM297" t="str">
        <f>MID('paste from garc here'!$C$1,1+(('table for research'!$B297-1)*36+HEX2DEC('table for research'!AM$1))*2,2)</f>
        <v>00</v>
      </c>
      <c r="AN297" t="str">
        <f>MID('paste from garc here'!$C$1,1+(('table for research'!$B297-1)*36+HEX2DEC('table for research'!AN$1))*2,2)</f>
        <v>00</v>
      </c>
      <c r="AO297" t="str">
        <f>MID('paste from garc here'!$C$1,1+(('table for research'!$B297-1)*36+HEX2DEC('table for research'!AO$1))*2,2)</f>
        <v>00</v>
      </c>
    </row>
    <row r="298" spans="1:41" x14ac:dyDescent="0.4">
      <c r="A298" t="s">
        <v>301</v>
      </c>
      <c r="B298">
        <f>B297+1</f>
        <v>296</v>
      </c>
      <c r="C298" t="str">
        <f>MID('paste from garc here'!$C$1,1+(('table for research'!$B298-1)*36+HEX2DEC('table for research'!C$1))*2,2)</f>
        <v>90</v>
      </c>
      <c r="D298" t="str">
        <f>MID('paste from garc here'!$C$1,1+(('table for research'!$B298-1)*36+HEX2DEC('table for research'!D$1))*2,2)</f>
        <v>01</v>
      </c>
      <c r="E298" t="str">
        <f>MID('paste from garc here'!$C$1,1+(('table for research'!$B298-1)*36+HEX2DEC('table for research'!E$1))*2,2)</f>
        <v>7B</v>
      </c>
      <c r="F298" t="str">
        <f>MID('paste from garc here'!$C$1,1+(('table for research'!$B298-1)*36+HEX2DEC('table for research'!F$1))*2,2)</f>
        <v>64</v>
      </c>
      <c r="G298" t="str">
        <f>MID('paste from garc here'!$C$1,1+(('table for research'!$B298-1)*36+HEX2DEC('table for research'!G$1))*2,2)</f>
        <v>00</v>
      </c>
      <c r="H298" t="str">
        <f>MID('paste from garc here'!$C$1,1+(('table for research'!$B298-1)*36+HEX2DEC('table for research'!H$1))*2,2)</f>
        <v>00</v>
      </c>
      <c r="I298" t="str">
        <f>MID('paste from garc here'!$C$1,1+(('table for research'!$B298-1)*36+HEX2DEC('table for research'!I$1))*2,2)</f>
        <v>0A</v>
      </c>
      <c r="J298" t="str">
        <f>MID('paste from garc here'!$C$1,1+(('table for research'!$B298-1)*36+HEX2DEC('table for research'!J$1))*2,2)</f>
        <v>00</v>
      </c>
      <c r="K298" t="str">
        <f>DEC2HEX(_xlfn.BITAND(HEX2DEC(MID('paste from garc here'!$C$1,1+(('table for research'!$B298-1)*36+HEX2DEC(8))*2,2)),31),2)</f>
        <v>1F</v>
      </c>
      <c r="L298" t="str">
        <f>DEC2HEX(_xlfn.BITAND(HEX2DEC(MID('paste from garc here'!$C$1,1+(('table for research'!$B298-1)*36+HEX2DEC(8))*2,2)),32),2)</f>
        <v>00</v>
      </c>
      <c r="M298" t="str">
        <f>DEC2HEX(_xlfn.BITAND(HEX2DEC(MID('paste from garc here'!$C$1,1+(('table for research'!$B298-1)*36+HEX2DEC(8))*2,2)),64),2)</f>
        <v>00</v>
      </c>
      <c r="N298" t="str">
        <f>DEC2HEX(_xlfn.BITRSHIFT(_xlfn.BITAND(HEX2DEC(MID('paste from garc here'!$C$1,1+(('table for research'!$B298-1)*36+HEX2DEC(9))*2,2)&amp;MID('paste from garc here'!$C$1,1+(('table for research'!$B298-1)*36+HEX2DEC(8))*2,2)),1920),7),2)</f>
        <v>00</v>
      </c>
      <c r="O298" t="str">
        <f>DEC2HEX(_xlfn.BITRSHIFT(HEX2DEC(MID('paste from garc here'!$C$1,1+(('table for research'!$B298-1)*36+HEX2DEC(9))*2,2)&amp;MID('paste from garc here'!$C$1,1+(('table for research'!$B298-1)*36+HEX2DEC(8))*2,2)),11),2)</f>
        <v>00</v>
      </c>
      <c r="P298" t="str">
        <f>MID('paste from garc here'!$C$1,1+(('table for research'!$B298-1)*36+HEX2DEC('table for research'!P$1))*2,2)</f>
        <v>00</v>
      </c>
      <c r="Q298" t="str">
        <f>MID('paste from garc here'!$C$1,1+(('table for research'!$B298-1)*36+HEX2DEC('table for research'!Q$1))*2,2)</f>
        <v>00</v>
      </c>
      <c r="R298" t="str">
        <f>MID('paste from garc here'!$C$1,1+(('table for research'!$B298-1)*36+HEX2DEC('table for research'!R$1))*2,2)</f>
        <v>00</v>
      </c>
      <c r="S298" t="str">
        <f>MID('paste from garc here'!$C$1,1+(('table for research'!$B298-1)*36+HEX2DEC('table for research'!S$1))*2,2)</f>
        <v>01</v>
      </c>
      <c r="T298" t="str">
        <f>MID('paste from garc here'!$C$1,1+(('table for research'!$B298-1)*36+HEX2DEC('table for research'!T$1))*2,2)</f>
        <v>00</v>
      </c>
      <c r="U298" t="str">
        <f>MID('paste from garc here'!$C$1,1+(('table for research'!$B298-1)*36+HEX2DEC('table for research'!U$1))*2,2)</f>
        <v>10</v>
      </c>
      <c r="V298" t="str">
        <f>MID('paste from garc here'!$C$1,1+(('table for research'!$B298-1)*36+HEX2DEC('table for research'!V$1))*2,2)</f>
        <v>00</v>
      </c>
      <c r="W298" t="str">
        <f>MID('paste from garc here'!$C$1,1+(('table for research'!$B298-1)*36+HEX2DEC('table for research'!W$1))*2,2)</f>
        <v>00</v>
      </c>
      <c r="X298" t="str">
        <f>MID('paste from garc here'!$C$1,1+(('table for research'!$B298-1)*36+HEX2DEC('table for research'!X$1))*2,2)</f>
        <v>00</v>
      </c>
      <c r="Y298" t="str">
        <f>MID('paste from garc here'!$C$1,1+(('table for research'!$B298-1)*36+HEX2DEC('table for research'!Y$1))*2,2)</f>
        <v>00</v>
      </c>
      <c r="Z298" t="str">
        <f>MID('paste from garc here'!$C$1,1+(('table for research'!$B298-1)*36+HEX2DEC('table for research'!Z$1))*2,2)</f>
        <v>00</v>
      </c>
      <c r="AA298" t="str">
        <f>MID('paste from garc here'!$C$1,1+(('table for research'!$B298-1)*36+HEX2DEC('table for research'!AA$1))*2,2)</f>
        <v>00</v>
      </c>
      <c r="AB298" t="str">
        <f>MID('paste from garc here'!$C$1,1+(('table for research'!$B298-1)*36+HEX2DEC('table for research'!AB$1))*2,2)</f>
        <v>00</v>
      </c>
      <c r="AC298" t="str">
        <f>MID('paste from garc here'!$C$1,1+(('table for research'!$B298-1)*36+HEX2DEC('table for research'!AC$1))*2,2)</f>
        <v>00</v>
      </c>
      <c r="AD298" t="str">
        <f>MID('paste from garc here'!$C$1,1+(('table for research'!$B298-1)*36+HEX2DEC('table for research'!AD$1))*2,2)</f>
        <v>00</v>
      </c>
      <c r="AE298" t="str">
        <f>MID('paste from garc here'!$C$1,1+(('table for research'!$B298-1)*36+HEX2DEC('table for research'!AE$1))*2,2)</f>
        <v>00</v>
      </c>
      <c r="AF298" t="str">
        <f>MID('paste from garc here'!$C$1,1+(('table for research'!$B298-1)*36+HEX2DEC('table for research'!AF$1))*2,2)</f>
        <v>00</v>
      </c>
      <c r="AG298" t="str">
        <f>MID('paste from garc here'!$C$1,1+(('table for research'!$B298-1)*36+HEX2DEC('table for research'!AG$1))*2,2)</f>
        <v>00</v>
      </c>
      <c r="AH298" t="str">
        <f>MID('paste from garc here'!$C$1,1+(('table for research'!$B298-1)*36+HEX2DEC('table for research'!AH$1))*2,2)</f>
        <v>00</v>
      </c>
      <c r="AI298" t="str">
        <f>MID('paste from garc here'!$C$1,1+(('table for research'!$B298-1)*36+HEX2DEC('table for research'!AI$1))*2,2)</f>
        <v>00</v>
      </c>
      <c r="AJ298" t="str">
        <f>MID('paste from garc here'!$C$1,1+(('table for research'!$B298-1)*36+HEX2DEC('table for research'!AJ$1))*2,2)</f>
        <v>00</v>
      </c>
      <c r="AK298" t="str">
        <f>MID('paste from garc here'!$C$1,1+(('table for research'!$B298-1)*36+HEX2DEC('table for research'!AK$1))*2,2)</f>
        <v>00</v>
      </c>
      <c r="AL298" t="str">
        <f>MID('paste from garc here'!$C$1,1+(('table for research'!$B298-1)*36+HEX2DEC('table for research'!AL$1))*2,2)</f>
        <v>00</v>
      </c>
      <c r="AM298" t="str">
        <f>MID('paste from garc here'!$C$1,1+(('table for research'!$B298-1)*36+HEX2DEC('table for research'!AM$1))*2,2)</f>
        <v>00</v>
      </c>
      <c r="AN298" t="str">
        <f>MID('paste from garc here'!$C$1,1+(('table for research'!$B298-1)*36+HEX2DEC('table for research'!AN$1))*2,2)</f>
        <v>00</v>
      </c>
      <c r="AO298" t="str">
        <f>MID('paste from garc here'!$C$1,1+(('table for research'!$B298-1)*36+HEX2DEC('table for research'!AO$1))*2,2)</f>
        <v>00</v>
      </c>
    </row>
    <row r="299" spans="1:41" x14ac:dyDescent="0.4">
      <c r="A299" t="s">
        <v>302</v>
      </c>
      <c r="B299">
        <f>B298+1</f>
        <v>297</v>
      </c>
      <c r="C299" t="str">
        <f>MID('paste from garc here'!$C$1,1+(('table for research'!$B299-1)*36+HEX2DEC('table for research'!C$1))*2,2)</f>
        <v>94</v>
      </c>
      <c r="D299" t="str">
        <f>MID('paste from garc here'!$C$1,1+(('table for research'!$B299-1)*36+HEX2DEC('table for research'!D$1))*2,2)</f>
        <v>11</v>
      </c>
      <c r="E299" t="str">
        <f>MID('paste from garc here'!$C$1,1+(('table for research'!$B299-1)*36+HEX2DEC('table for research'!E$1))*2,2)</f>
        <v>7C</v>
      </c>
      <c r="F299" t="str">
        <f>MID('paste from garc here'!$C$1,1+(('table for research'!$B299-1)*36+HEX2DEC('table for research'!F$1))*2,2)</f>
        <v>00</v>
      </c>
      <c r="G299" t="str">
        <f>MID('paste from garc here'!$C$1,1+(('table for research'!$B299-1)*36+HEX2DEC('table for research'!G$1))*2,2)</f>
        <v>00</v>
      </c>
      <c r="H299" t="str">
        <f>MID('paste from garc here'!$C$1,1+(('table for research'!$B299-1)*36+HEX2DEC('table for research'!H$1))*2,2)</f>
        <v>00</v>
      </c>
      <c r="I299" t="str">
        <f>MID('paste from garc here'!$C$1,1+(('table for research'!$B299-1)*36+HEX2DEC('table for research'!I$1))*2,2)</f>
        <v>0A</v>
      </c>
      <c r="J299" t="str">
        <f>MID('paste from garc here'!$C$1,1+(('table for research'!$B299-1)*36+HEX2DEC('table for research'!J$1))*2,2)</f>
        <v>00</v>
      </c>
      <c r="K299" t="str">
        <f>DEC2HEX(_xlfn.BITAND(HEX2DEC(MID('paste from garc here'!$C$1,1+(('table for research'!$B299-1)*36+HEX2DEC(8))*2,2)),31),2)</f>
        <v>1F</v>
      </c>
      <c r="L299" t="str">
        <f>DEC2HEX(_xlfn.BITAND(HEX2DEC(MID('paste from garc here'!$C$1,1+(('table for research'!$B299-1)*36+HEX2DEC(8))*2,2)),32),2)</f>
        <v>00</v>
      </c>
      <c r="M299" t="str">
        <f>DEC2HEX(_xlfn.BITAND(HEX2DEC(MID('paste from garc here'!$C$1,1+(('table for research'!$B299-1)*36+HEX2DEC(8))*2,2)),64),2)</f>
        <v>00</v>
      </c>
      <c r="N299" t="str">
        <f>DEC2HEX(_xlfn.BITRSHIFT(_xlfn.BITAND(HEX2DEC(MID('paste from garc here'!$C$1,1+(('table for research'!$B299-1)*36+HEX2DEC(9))*2,2)&amp;MID('paste from garc here'!$C$1,1+(('table for research'!$B299-1)*36+HEX2DEC(8))*2,2)),1920),7),2)</f>
        <v>00</v>
      </c>
      <c r="O299" t="str">
        <f>DEC2HEX(_xlfn.BITRSHIFT(HEX2DEC(MID('paste from garc here'!$C$1,1+(('table for research'!$B299-1)*36+HEX2DEC(9))*2,2)&amp;MID('paste from garc here'!$C$1,1+(('table for research'!$B299-1)*36+HEX2DEC(8))*2,2)),11),2)</f>
        <v>00</v>
      </c>
      <c r="P299" t="str">
        <f>MID('paste from garc here'!$C$1,1+(('table for research'!$B299-1)*36+HEX2DEC('table for research'!P$1))*2,2)</f>
        <v>00</v>
      </c>
      <c r="Q299" t="str">
        <f>MID('paste from garc here'!$C$1,1+(('table for research'!$B299-1)*36+HEX2DEC('table for research'!Q$1))*2,2)</f>
        <v>00</v>
      </c>
      <c r="R299" t="str">
        <f>MID('paste from garc here'!$C$1,1+(('table for research'!$B299-1)*36+HEX2DEC('table for research'!R$1))*2,2)</f>
        <v>00</v>
      </c>
      <c r="S299" t="str">
        <f>MID('paste from garc here'!$C$1,1+(('table for research'!$B299-1)*36+HEX2DEC('table for research'!S$1))*2,2)</f>
        <v>01</v>
      </c>
      <c r="T299" t="str">
        <f>MID('paste from garc here'!$C$1,1+(('table for research'!$B299-1)*36+HEX2DEC('table for research'!T$1))*2,2)</f>
        <v>00</v>
      </c>
      <c r="U299" t="str">
        <f>MID('paste from garc here'!$C$1,1+(('table for research'!$B299-1)*36+HEX2DEC('table for research'!U$1))*2,2)</f>
        <v>08</v>
      </c>
      <c r="V299" t="str">
        <f>MID('paste from garc here'!$C$1,1+(('table for research'!$B299-1)*36+HEX2DEC('table for research'!V$1))*2,2)</f>
        <v>00</v>
      </c>
      <c r="W299" t="str">
        <f>MID('paste from garc here'!$C$1,1+(('table for research'!$B299-1)*36+HEX2DEC('table for research'!W$1))*2,2)</f>
        <v>00</v>
      </c>
      <c r="X299" t="str">
        <f>MID('paste from garc here'!$C$1,1+(('table for research'!$B299-1)*36+HEX2DEC('table for research'!X$1))*2,2)</f>
        <v>00</v>
      </c>
      <c r="Y299" t="str">
        <f>MID('paste from garc here'!$C$1,1+(('table for research'!$B299-1)*36+HEX2DEC('table for research'!Y$1))*2,2)</f>
        <v>00</v>
      </c>
      <c r="Z299" t="str">
        <f>MID('paste from garc here'!$C$1,1+(('table for research'!$B299-1)*36+HEX2DEC('table for research'!Z$1))*2,2)</f>
        <v>00</v>
      </c>
      <c r="AA299" t="str">
        <f>MID('paste from garc here'!$C$1,1+(('table for research'!$B299-1)*36+HEX2DEC('table for research'!AA$1))*2,2)</f>
        <v>00</v>
      </c>
      <c r="AB299" t="str">
        <f>MID('paste from garc here'!$C$1,1+(('table for research'!$B299-1)*36+HEX2DEC('table for research'!AB$1))*2,2)</f>
        <v>00</v>
      </c>
      <c r="AC299" t="str">
        <f>MID('paste from garc here'!$C$1,1+(('table for research'!$B299-1)*36+HEX2DEC('table for research'!AC$1))*2,2)</f>
        <v>00</v>
      </c>
      <c r="AD299" t="str">
        <f>MID('paste from garc here'!$C$1,1+(('table for research'!$B299-1)*36+HEX2DEC('table for research'!AD$1))*2,2)</f>
        <v>00</v>
      </c>
      <c r="AE299" t="str">
        <f>MID('paste from garc here'!$C$1,1+(('table for research'!$B299-1)*36+HEX2DEC('table for research'!AE$1))*2,2)</f>
        <v>00</v>
      </c>
      <c r="AF299" t="str">
        <f>MID('paste from garc here'!$C$1,1+(('table for research'!$B299-1)*36+HEX2DEC('table for research'!AF$1))*2,2)</f>
        <v>00</v>
      </c>
      <c r="AG299" t="str">
        <f>MID('paste from garc here'!$C$1,1+(('table for research'!$B299-1)*36+HEX2DEC('table for research'!AG$1))*2,2)</f>
        <v>00</v>
      </c>
      <c r="AH299" t="str">
        <f>MID('paste from garc here'!$C$1,1+(('table for research'!$B299-1)*36+HEX2DEC('table for research'!AH$1))*2,2)</f>
        <v>00</v>
      </c>
      <c r="AI299" t="str">
        <f>MID('paste from garc here'!$C$1,1+(('table for research'!$B299-1)*36+HEX2DEC('table for research'!AI$1))*2,2)</f>
        <v>00</v>
      </c>
      <c r="AJ299" t="str">
        <f>MID('paste from garc here'!$C$1,1+(('table for research'!$B299-1)*36+HEX2DEC('table for research'!AJ$1))*2,2)</f>
        <v>00</v>
      </c>
      <c r="AK299" t="str">
        <f>MID('paste from garc here'!$C$1,1+(('table for research'!$B299-1)*36+HEX2DEC('table for research'!AK$1))*2,2)</f>
        <v>00</v>
      </c>
      <c r="AL299" t="str">
        <f>MID('paste from garc here'!$C$1,1+(('table for research'!$B299-1)*36+HEX2DEC('table for research'!AL$1))*2,2)</f>
        <v>00</v>
      </c>
      <c r="AM299" t="str">
        <f>MID('paste from garc here'!$C$1,1+(('table for research'!$B299-1)*36+HEX2DEC('table for research'!AM$1))*2,2)</f>
        <v>00</v>
      </c>
      <c r="AN299" t="str">
        <f>MID('paste from garc here'!$C$1,1+(('table for research'!$B299-1)*36+HEX2DEC('table for research'!AN$1))*2,2)</f>
        <v>00</v>
      </c>
      <c r="AO299" t="str">
        <f>MID('paste from garc here'!$C$1,1+(('table for research'!$B299-1)*36+HEX2DEC('table for research'!AO$1))*2,2)</f>
        <v>00</v>
      </c>
    </row>
    <row r="300" spans="1:41" x14ac:dyDescent="0.4">
      <c r="A300" t="s">
        <v>303</v>
      </c>
      <c r="B300">
        <f>B299+1</f>
        <v>298</v>
      </c>
      <c r="C300" t="str">
        <f>MID('paste from garc here'!$C$1,1+(('table for research'!$B300-1)*36+HEX2DEC('table for research'!C$1))*2,2)</f>
        <v>64</v>
      </c>
      <c r="D300" t="str">
        <f>MID('paste from garc here'!$C$1,1+(('table for research'!$B300-1)*36+HEX2DEC('table for research'!D$1))*2,2)</f>
        <v>00</v>
      </c>
      <c r="E300" t="str">
        <f>MID('paste from garc here'!$C$1,1+(('table for research'!$B300-1)*36+HEX2DEC('table for research'!E$1))*2,2)</f>
        <v>7D</v>
      </c>
      <c r="F300" t="str">
        <f>MID('paste from garc here'!$C$1,1+(('table for research'!$B300-1)*36+HEX2DEC('table for research'!F$1))*2,2)</f>
        <v>14</v>
      </c>
      <c r="G300" t="str">
        <f>MID('paste from garc here'!$C$1,1+(('table for research'!$B300-1)*36+HEX2DEC('table for research'!G$1))*2,2)</f>
        <v>00</v>
      </c>
      <c r="H300" t="str">
        <f>MID('paste from garc here'!$C$1,1+(('table for research'!$B300-1)*36+HEX2DEC('table for research'!H$1))*2,2)</f>
        <v>00</v>
      </c>
      <c r="I300" t="str">
        <f>MID('paste from garc here'!$C$1,1+(('table for research'!$B300-1)*36+HEX2DEC('table for research'!I$1))*2,2)</f>
        <v>5A</v>
      </c>
      <c r="J300" t="str">
        <f>MID('paste from garc here'!$C$1,1+(('table for research'!$B300-1)*36+HEX2DEC('table for research'!J$1))*2,2)</f>
        <v>00</v>
      </c>
      <c r="K300" t="str">
        <f>DEC2HEX(_xlfn.BITAND(HEX2DEC(MID('paste from garc here'!$C$1,1+(('table for research'!$B300-1)*36+HEX2DEC(8))*2,2)),31),2)</f>
        <v>1F</v>
      </c>
      <c r="L300" t="str">
        <f>DEC2HEX(_xlfn.BITAND(HEX2DEC(MID('paste from garc here'!$C$1,1+(('table for research'!$B300-1)*36+HEX2DEC(8))*2,2)),32),2)</f>
        <v>00</v>
      </c>
      <c r="M300" t="str">
        <f>DEC2HEX(_xlfn.BITAND(HEX2DEC(MID('paste from garc here'!$C$1,1+(('table for research'!$B300-1)*36+HEX2DEC(8))*2,2)),64),2)</f>
        <v>00</v>
      </c>
      <c r="N300" t="str">
        <f>DEC2HEX(_xlfn.BITRSHIFT(_xlfn.BITAND(HEX2DEC(MID('paste from garc here'!$C$1,1+(('table for research'!$B300-1)*36+HEX2DEC(9))*2,2)&amp;MID('paste from garc here'!$C$1,1+(('table for research'!$B300-1)*36+HEX2DEC(8))*2,2)),1920),7),2)</f>
        <v>00</v>
      </c>
      <c r="O300" t="str">
        <f>DEC2HEX(_xlfn.BITRSHIFT(HEX2DEC(MID('paste from garc here'!$C$1,1+(('table for research'!$B300-1)*36+HEX2DEC(9))*2,2)&amp;MID('paste from garc here'!$C$1,1+(('table for research'!$B300-1)*36+HEX2DEC(8))*2,2)),11),2)</f>
        <v>00</v>
      </c>
      <c r="P300" t="str">
        <f>MID('paste from garc here'!$C$1,1+(('table for research'!$B300-1)*36+HEX2DEC('table for research'!P$1))*2,2)</f>
        <v>00</v>
      </c>
      <c r="Q300" t="str">
        <f>MID('paste from garc here'!$C$1,1+(('table for research'!$B300-1)*36+HEX2DEC('table for research'!Q$1))*2,2)</f>
        <v>00</v>
      </c>
      <c r="R300" t="str">
        <f>MID('paste from garc here'!$C$1,1+(('table for research'!$B300-1)*36+HEX2DEC('table for research'!R$1))*2,2)</f>
        <v>00</v>
      </c>
      <c r="S300" t="str">
        <f>MID('paste from garc here'!$C$1,1+(('table for research'!$B300-1)*36+HEX2DEC('table for research'!S$1))*2,2)</f>
        <v>01</v>
      </c>
      <c r="T300" t="str">
        <f>MID('paste from garc here'!$C$1,1+(('table for research'!$B300-1)*36+HEX2DEC('table for research'!T$1))*2,2)</f>
        <v>00</v>
      </c>
      <c r="U300" t="str">
        <f>MID('paste from garc here'!$C$1,1+(('table for research'!$B300-1)*36+HEX2DEC('table for research'!U$1))*2,2)</f>
        <v>94</v>
      </c>
      <c r="V300" t="str">
        <f>MID('paste from garc here'!$C$1,1+(('table for research'!$B300-1)*36+HEX2DEC('table for research'!V$1))*2,2)</f>
        <v>00</v>
      </c>
      <c r="W300" t="str">
        <f>MID('paste from garc here'!$C$1,1+(('table for research'!$B300-1)*36+HEX2DEC('table for research'!W$1))*2,2)</f>
        <v>00</v>
      </c>
      <c r="X300" t="str">
        <f>MID('paste from garc here'!$C$1,1+(('table for research'!$B300-1)*36+HEX2DEC('table for research'!X$1))*2,2)</f>
        <v>00</v>
      </c>
      <c r="Y300" t="str">
        <f>MID('paste from garc here'!$C$1,1+(('table for research'!$B300-1)*36+HEX2DEC('table for research'!Y$1))*2,2)</f>
        <v>00</v>
      </c>
      <c r="Z300" t="str">
        <f>MID('paste from garc here'!$C$1,1+(('table for research'!$B300-1)*36+HEX2DEC('table for research'!Z$1))*2,2)</f>
        <v>00</v>
      </c>
      <c r="AA300" t="str">
        <f>MID('paste from garc here'!$C$1,1+(('table for research'!$B300-1)*36+HEX2DEC('table for research'!AA$1))*2,2)</f>
        <v>00</v>
      </c>
      <c r="AB300" t="str">
        <f>MID('paste from garc here'!$C$1,1+(('table for research'!$B300-1)*36+HEX2DEC('table for research'!AB$1))*2,2)</f>
        <v>00</v>
      </c>
      <c r="AC300" t="str">
        <f>MID('paste from garc here'!$C$1,1+(('table for research'!$B300-1)*36+HEX2DEC('table for research'!AC$1))*2,2)</f>
        <v>00</v>
      </c>
      <c r="AD300" t="str">
        <f>MID('paste from garc here'!$C$1,1+(('table for research'!$B300-1)*36+HEX2DEC('table for research'!AD$1))*2,2)</f>
        <v>00</v>
      </c>
      <c r="AE300" t="str">
        <f>MID('paste from garc here'!$C$1,1+(('table for research'!$B300-1)*36+HEX2DEC('table for research'!AE$1))*2,2)</f>
        <v>00</v>
      </c>
      <c r="AF300" t="str">
        <f>MID('paste from garc here'!$C$1,1+(('table for research'!$B300-1)*36+HEX2DEC('table for research'!AF$1))*2,2)</f>
        <v>00</v>
      </c>
      <c r="AG300" t="str">
        <f>MID('paste from garc here'!$C$1,1+(('table for research'!$B300-1)*36+HEX2DEC('table for research'!AG$1))*2,2)</f>
        <v>00</v>
      </c>
      <c r="AH300" t="str">
        <f>MID('paste from garc here'!$C$1,1+(('table for research'!$B300-1)*36+HEX2DEC('table for research'!AH$1))*2,2)</f>
        <v>00</v>
      </c>
      <c r="AI300" t="str">
        <f>MID('paste from garc here'!$C$1,1+(('table for research'!$B300-1)*36+HEX2DEC('table for research'!AI$1))*2,2)</f>
        <v>00</v>
      </c>
      <c r="AJ300" t="str">
        <f>MID('paste from garc here'!$C$1,1+(('table for research'!$B300-1)*36+HEX2DEC('table for research'!AJ$1))*2,2)</f>
        <v>00</v>
      </c>
      <c r="AK300" t="str">
        <f>MID('paste from garc here'!$C$1,1+(('table for research'!$B300-1)*36+HEX2DEC('table for research'!AK$1))*2,2)</f>
        <v>00</v>
      </c>
      <c r="AL300" t="str">
        <f>MID('paste from garc here'!$C$1,1+(('table for research'!$B300-1)*36+HEX2DEC('table for research'!AL$1))*2,2)</f>
        <v>00</v>
      </c>
      <c r="AM300" t="str">
        <f>MID('paste from garc here'!$C$1,1+(('table for research'!$B300-1)*36+HEX2DEC('table for research'!AM$1))*2,2)</f>
        <v>00</v>
      </c>
      <c r="AN300" t="str">
        <f>MID('paste from garc here'!$C$1,1+(('table for research'!$B300-1)*36+HEX2DEC('table for research'!AN$1))*2,2)</f>
        <v>00</v>
      </c>
      <c r="AO300" t="str">
        <f>MID('paste from garc here'!$C$1,1+(('table for research'!$B300-1)*36+HEX2DEC('table for research'!AO$1))*2,2)</f>
        <v>00</v>
      </c>
    </row>
    <row r="301" spans="1:41" x14ac:dyDescent="0.4">
      <c r="A301" t="s">
        <v>304</v>
      </c>
      <c r="B301">
        <f>B300+1</f>
        <v>299</v>
      </c>
      <c r="C301" t="str">
        <f>MID('paste from garc here'!$C$1,1+(('table for research'!$B301-1)*36+HEX2DEC('table for research'!C$1))*2,2)</f>
        <v>64</v>
      </c>
      <c r="D301" t="str">
        <f>MID('paste from garc here'!$C$1,1+(('table for research'!$B301-1)*36+HEX2DEC('table for research'!D$1))*2,2)</f>
        <v>00</v>
      </c>
      <c r="E301" t="str">
        <f>MID('paste from garc here'!$C$1,1+(('table for research'!$B301-1)*36+HEX2DEC('table for research'!E$1))*2,2)</f>
        <v>7E</v>
      </c>
      <c r="F301" t="str">
        <f>MID('paste from garc here'!$C$1,1+(('table for research'!$B301-1)*36+HEX2DEC('table for research'!F$1))*2,2)</f>
        <v>14</v>
      </c>
      <c r="G301" t="str">
        <f>MID('paste from garc here'!$C$1,1+(('table for research'!$B301-1)*36+HEX2DEC('table for research'!G$1))*2,2)</f>
        <v>00</v>
      </c>
      <c r="H301" t="str">
        <f>MID('paste from garc here'!$C$1,1+(('table for research'!$B301-1)*36+HEX2DEC('table for research'!H$1))*2,2)</f>
        <v>00</v>
      </c>
      <c r="I301" t="str">
        <f>MID('paste from garc here'!$C$1,1+(('table for research'!$B301-1)*36+HEX2DEC('table for research'!I$1))*2,2)</f>
        <v>5A</v>
      </c>
      <c r="J301" t="str">
        <f>MID('paste from garc here'!$C$1,1+(('table for research'!$B301-1)*36+HEX2DEC('table for research'!J$1))*2,2)</f>
        <v>00</v>
      </c>
      <c r="K301" t="str">
        <f>DEC2HEX(_xlfn.BITAND(HEX2DEC(MID('paste from garc here'!$C$1,1+(('table for research'!$B301-1)*36+HEX2DEC(8))*2,2)),31),2)</f>
        <v>1F</v>
      </c>
      <c r="L301" t="str">
        <f>DEC2HEX(_xlfn.BITAND(HEX2DEC(MID('paste from garc here'!$C$1,1+(('table for research'!$B301-1)*36+HEX2DEC(8))*2,2)),32),2)</f>
        <v>00</v>
      </c>
      <c r="M301" t="str">
        <f>DEC2HEX(_xlfn.BITAND(HEX2DEC(MID('paste from garc here'!$C$1,1+(('table for research'!$B301-1)*36+HEX2DEC(8))*2,2)),64),2)</f>
        <v>00</v>
      </c>
      <c r="N301" t="str">
        <f>DEC2HEX(_xlfn.BITRSHIFT(_xlfn.BITAND(HEX2DEC(MID('paste from garc here'!$C$1,1+(('table for research'!$B301-1)*36+HEX2DEC(9))*2,2)&amp;MID('paste from garc here'!$C$1,1+(('table for research'!$B301-1)*36+HEX2DEC(8))*2,2)),1920),7),2)</f>
        <v>00</v>
      </c>
      <c r="O301" t="str">
        <f>DEC2HEX(_xlfn.BITRSHIFT(HEX2DEC(MID('paste from garc here'!$C$1,1+(('table for research'!$B301-1)*36+HEX2DEC(9))*2,2)&amp;MID('paste from garc here'!$C$1,1+(('table for research'!$B301-1)*36+HEX2DEC(8))*2,2)),11),2)</f>
        <v>00</v>
      </c>
      <c r="P301" t="str">
        <f>MID('paste from garc here'!$C$1,1+(('table for research'!$B301-1)*36+HEX2DEC('table for research'!P$1))*2,2)</f>
        <v>00</v>
      </c>
      <c r="Q301" t="str">
        <f>MID('paste from garc here'!$C$1,1+(('table for research'!$B301-1)*36+HEX2DEC('table for research'!Q$1))*2,2)</f>
        <v>00</v>
      </c>
      <c r="R301" t="str">
        <f>MID('paste from garc here'!$C$1,1+(('table for research'!$B301-1)*36+HEX2DEC('table for research'!R$1))*2,2)</f>
        <v>00</v>
      </c>
      <c r="S301" t="str">
        <f>MID('paste from garc here'!$C$1,1+(('table for research'!$B301-1)*36+HEX2DEC('table for research'!S$1))*2,2)</f>
        <v>01</v>
      </c>
      <c r="T301" t="str">
        <f>MID('paste from garc here'!$C$1,1+(('table for research'!$B301-1)*36+HEX2DEC('table for research'!T$1))*2,2)</f>
        <v>00</v>
      </c>
      <c r="U301" t="str">
        <f>MID('paste from garc here'!$C$1,1+(('table for research'!$B301-1)*36+HEX2DEC('table for research'!U$1))*2,2)</f>
        <v>95</v>
      </c>
      <c r="V301" t="str">
        <f>MID('paste from garc here'!$C$1,1+(('table for research'!$B301-1)*36+HEX2DEC('table for research'!V$1))*2,2)</f>
        <v>00</v>
      </c>
      <c r="W301" t="str">
        <f>MID('paste from garc here'!$C$1,1+(('table for research'!$B301-1)*36+HEX2DEC('table for research'!W$1))*2,2)</f>
        <v>00</v>
      </c>
      <c r="X301" t="str">
        <f>MID('paste from garc here'!$C$1,1+(('table for research'!$B301-1)*36+HEX2DEC('table for research'!X$1))*2,2)</f>
        <v>00</v>
      </c>
      <c r="Y301" t="str">
        <f>MID('paste from garc here'!$C$1,1+(('table for research'!$B301-1)*36+HEX2DEC('table for research'!Y$1))*2,2)</f>
        <v>00</v>
      </c>
      <c r="Z301" t="str">
        <f>MID('paste from garc here'!$C$1,1+(('table for research'!$B301-1)*36+HEX2DEC('table for research'!Z$1))*2,2)</f>
        <v>00</v>
      </c>
      <c r="AA301" t="str">
        <f>MID('paste from garc here'!$C$1,1+(('table for research'!$B301-1)*36+HEX2DEC('table for research'!AA$1))*2,2)</f>
        <v>00</v>
      </c>
      <c r="AB301" t="str">
        <f>MID('paste from garc here'!$C$1,1+(('table for research'!$B301-1)*36+HEX2DEC('table for research'!AB$1))*2,2)</f>
        <v>00</v>
      </c>
      <c r="AC301" t="str">
        <f>MID('paste from garc here'!$C$1,1+(('table for research'!$B301-1)*36+HEX2DEC('table for research'!AC$1))*2,2)</f>
        <v>00</v>
      </c>
      <c r="AD301" t="str">
        <f>MID('paste from garc here'!$C$1,1+(('table for research'!$B301-1)*36+HEX2DEC('table for research'!AD$1))*2,2)</f>
        <v>00</v>
      </c>
      <c r="AE301" t="str">
        <f>MID('paste from garc here'!$C$1,1+(('table for research'!$B301-1)*36+HEX2DEC('table for research'!AE$1))*2,2)</f>
        <v>00</v>
      </c>
      <c r="AF301" t="str">
        <f>MID('paste from garc here'!$C$1,1+(('table for research'!$B301-1)*36+HEX2DEC('table for research'!AF$1))*2,2)</f>
        <v>00</v>
      </c>
      <c r="AG301" t="str">
        <f>MID('paste from garc here'!$C$1,1+(('table for research'!$B301-1)*36+HEX2DEC('table for research'!AG$1))*2,2)</f>
        <v>00</v>
      </c>
      <c r="AH301" t="str">
        <f>MID('paste from garc here'!$C$1,1+(('table for research'!$B301-1)*36+HEX2DEC('table for research'!AH$1))*2,2)</f>
        <v>00</v>
      </c>
      <c r="AI301" t="str">
        <f>MID('paste from garc here'!$C$1,1+(('table for research'!$B301-1)*36+HEX2DEC('table for research'!AI$1))*2,2)</f>
        <v>00</v>
      </c>
      <c r="AJ301" t="str">
        <f>MID('paste from garc here'!$C$1,1+(('table for research'!$B301-1)*36+HEX2DEC('table for research'!AJ$1))*2,2)</f>
        <v>00</v>
      </c>
      <c r="AK301" t="str">
        <f>MID('paste from garc here'!$C$1,1+(('table for research'!$B301-1)*36+HEX2DEC('table for research'!AK$1))*2,2)</f>
        <v>00</v>
      </c>
      <c r="AL301" t="str">
        <f>MID('paste from garc here'!$C$1,1+(('table for research'!$B301-1)*36+HEX2DEC('table for research'!AL$1))*2,2)</f>
        <v>00</v>
      </c>
      <c r="AM301" t="str">
        <f>MID('paste from garc here'!$C$1,1+(('table for research'!$B301-1)*36+HEX2DEC('table for research'!AM$1))*2,2)</f>
        <v>00</v>
      </c>
      <c r="AN301" t="str">
        <f>MID('paste from garc here'!$C$1,1+(('table for research'!$B301-1)*36+HEX2DEC('table for research'!AN$1))*2,2)</f>
        <v>00</v>
      </c>
      <c r="AO301" t="str">
        <f>MID('paste from garc here'!$C$1,1+(('table for research'!$B301-1)*36+HEX2DEC('table for research'!AO$1))*2,2)</f>
        <v>00</v>
      </c>
    </row>
    <row r="302" spans="1:41" x14ac:dyDescent="0.4">
      <c r="A302" t="s">
        <v>305</v>
      </c>
      <c r="B302">
        <f>B301+1</f>
        <v>300</v>
      </c>
      <c r="C302" t="str">
        <f>MID('paste from garc here'!$C$1,1+(('table for research'!$B302-1)*36+HEX2DEC('table for research'!C$1))*2,2)</f>
        <v>64</v>
      </c>
      <c r="D302" t="str">
        <f>MID('paste from garc here'!$C$1,1+(('table for research'!$B302-1)*36+HEX2DEC('table for research'!D$1))*2,2)</f>
        <v>00</v>
      </c>
      <c r="E302" t="str">
        <f>MID('paste from garc here'!$C$1,1+(('table for research'!$B302-1)*36+HEX2DEC('table for research'!E$1))*2,2)</f>
        <v>7F</v>
      </c>
      <c r="F302" t="str">
        <f>MID('paste from garc here'!$C$1,1+(('table for research'!$B302-1)*36+HEX2DEC('table for research'!F$1))*2,2)</f>
        <v>14</v>
      </c>
      <c r="G302" t="str">
        <f>MID('paste from garc here'!$C$1,1+(('table for research'!$B302-1)*36+HEX2DEC('table for research'!G$1))*2,2)</f>
        <v>00</v>
      </c>
      <c r="H302" t="str">
        <f>MID('paste from garc here'!$C$1,1+(('table for research'!$B302-1)*36+HEX2DEC('table for research'!H$1))*2,2)</f>
        <v>00</v>
      </c>
      <c r="I302" t="str">
        <f>MID('paste from garc here'!$C$1,1+(('table for research'!$B302-1)*36+HEX2DEC('table for research'!I$1))*2,2)</f>
        <v>5A</v>
      </c>
      <c r="J302" t="str">
        <f>MID('paste from garc here'!$C$1,1+(('table for research'!$B302-1)*36+HEX2DEC('table for research'!J$1))*2,2)</f>
        <v>00</v>
      </c>
      <c r="K302" t="str">
        <f>DEC2HEX(_xlfn.BITAND(HEX2DEC(MID('paste from garc here'!$C$1,1+(('table for research'!$B302-1)*36+HEX2DEC(8))*2,2)),31),2)</f>
        <v>1F</v>
      </c>
      <c r="L302" t="str">
        <f>DEC2HEX(_xlfn.BITAND(HEX2DEC(MID('paste from garc here'!$C$1,1+(('table for research'!$B302-1)*36+HEX2DEC(8))*2,2)),32),2)</f>
        <v>00</v>
      </c>
      <c r="M302" t="str">
        <f>DEC2HEX(_xlfn.BITAND(HEX2DEC(MID('paste from garc here'!$C$1,1+(('table for research'!$B302-1)*36+HEX2DEC(8))*2,2)),64),2)</f>
        <v>00</v>
      </c>
      <c r="N302" t="str">
        <f>DEC2HEX(_xlfn.BITRSHIFT(_xlfn.BITAND(HEX2DEC(MID('paste from garc here'!$C$1,1+(('table for research'!$B302-1)*36+HEX2DEC(9))*2,2)&amp;MID('paste from garc here'!$C$1,1+(('table for research'!$B302-1)*36+HEX2DEC(8))*2,2)),1920),7),2)</f>
        <v>00</v>
      </c>
      <c r="O302" t="str">
        <f>DEC2HEX(_xlfn.BITRSHIFT(HEX2DEC(MID('paste from garc here'!$C$1,1+(('table for research'!$B302-1)*36+HEX2DEC(9))*2,2)&amp;MID('paste from garc here'!$C$1,1+(('table for research'!$B302-1)*36+HEX2DEC(8))*2,2)),11),2)</f>
        <v>00</v>
      </c>
      <c r="P302" t="str">
        <f>MID('paste from garc here'!$C$1,1+(('table for research'!$B302-1)*36+HEX2DEC('table for research'!P$1))*2,2)</f>
        <v>00</v>
      </c>
      <c r="Q302" t="str">
        <f>MID('paste from garc here'!$C$1,1+(('table for research'!$B302-1)*36+HEX2DEC('table for research'!Q$1))*2,2)</f>
        <v>00</v>
      </c>
      <c r="R302" t="str">
        <f>MID('paste from garc here'!$C$1,1+(('table for research'!$B302-1)*36+HEX2DEC('table for research'!R$1))*2,2)</f>
        <v>00</v>
      </c>
      <c r="S302" t="str">
        <f>MID('paste from garc here'!$C$1,1+(('table for research'!$B302-1)*36+HEX2DEC('table for research'!S$1))*2,2)</f>
        <v>01</v>
      </c>
      <c r="T302" t="str">
        <f>MID('paste from garc here'!$C$1,1+(('table for research'!$B302-1)*36+HEX2DEC('table for research'!T$1))*2,2)</f>
        <v>00</v>
      </c>
      <c r="U302" t="str">
        <f>MID('paste from garc here'!$C$1,1+(('table for research'!$B302-1)*36+HEX2DEC('table for research'!U$1))*2,2)</f>
        <v>96</v>
      </c>
      <c r="V302" t="str">
        <f>MID('paste from garc here'!$C$1,1+(('table for research'!$B302-1)*36+HEX2DEC('table for research'!V$1))*2,2)</f>
        <v>00</v>
      </c>
      <c r="W302" t="str">
        <f>MID('paste from garc here'!$C$1,1+(('table for research'!$B302-1)*36+HEX2DEC('table for research'!W$1))*2,2)</f>
        <v>00</v>
      </c>
      <c r="X302" t="str">
        <f>MID('paste from garc here'!$C$1,1+(('table for research'!$B302-1)*36+HEX2DEC('table for research'!X$1))*2,2)</f>
        <v>00</v>
      </c>
      <c r="Y302" t="str">
        <f>MID('paste from garc here'!$C$1,1+(('table for research'!$B302-1)*36+HEX2DEC('table for research'!Y$1))*2,2)</f>
        <v>00</v>
      </c>
      <c r="Z302" t="str">
        <f>MID('paste from garc here'!$C$1,1+(('table for research'!$B302-1)*36+HEX2DEC('table for research'!Z$1))*2,2)</f>
        <v>00</v>
      </c>
      <c r="AA302" t="str">
        <f>MID('paste from garc here'!$C$1,1+(('table for research'!$B302-1)*36+HEX2DEC('table for research'!AA$1))*2,2)</f>
        <v>00</v>
      </c>
      <c r="AB302" t="str">
        <f>MID('paste from garc here'!$C$1,1+(('table for research'!$B302-1)*36+HEX2DEC('table for research'!AB$1))*2,2)</f>
        <v>00</v>
      </c>
      <c r="AC302" t="str">
        <f>MID('paste from garc here'!$C$1,1+(('table for research'!$B302-1)*36+HEX2DEC('table for research'!AC$1))*2,2)</f>
        <v>00</v>
      </c>
      <c r="AD302" t="str">
        <f>MID('paste from garc here'!$C$1,1+(('table for research'!$B302-1)*36+HEX2DEC('table for research'!AD$1))*2,2)</f>
        <v>00</v>
      </c>
      <c r="AE302" t="str">
        <f>MID('paste from garc here'!$C$1,1+(('table for research'!$B302-1)*36+HEX2DEC('table for research'!AE$1))*2,2)</f>
        <v>00</v>
      </c>
      <c r="AF302" t="str">
        <f>MID('paste from garc here'!$C$1,1+(('table for research'!$B302-1)*36+HEX2DEC('table for research'!AF$1))*2,2)</f>
        <v>00</v>
      </c>
      <c r="AG302" t="str">
        <f>MID('paste from garc here'!$C$1,1+(('table for research'!$B302-1)*36+HEX2DEC('table for research'!AG$1))*2,2)</f>
        <v>00</v>
      </c>
      <c r="AH302" t="str">
        <f>MID('paste from garc here'!$C$1,1+(('table for research'!$B302-1)*36+HEX2DEC('table for research'!AH$1))*2,2)</f>
        <v>00</v>
      </c>
      <c r="AI302" t="str">
        <f>MID('paste from garc here'!$C$1,1+(('table for research'!$B302-1)*36+HEX2DEC('table for research'!AI$1))*2,2)</f>
        <v>00</v>
      </c>
      <c r="AJ302" t="str">
        <f>MID('paste from garc here'!$C$1,1+(('table for research'!$B302-1)*36+HEX2DEC('table for research'!AJ$1))*2,2)</f>
        <v>00</v>
      </c>
      <c r="AK302" t="str">
        <f>MID('paste from garc here'!$C$1,1+(('table for research'!$B302-1)*36+HEX2DEC('table for research'!AK$1))*2,2)</f>
        <v>00</v>
      </c>
      <c r="AL302" t="str">
        <f>MID('paste from garc here'!$C$1,1+(('table for research'!$B302-1)*36+HEX2DEC('table for research'!AL$1))*2,2)</f>
        <v>00</v>
      </c>
      <c r="AM302" t="str">
        <f>MID('paste from garc here'!$C$1,1+(('table for research'!$B302-1)*36+HEX2DEC('table for research'!AM$1))*2,2)</f>
        <v>00</v>
      </c>
      <c r="AN302" t="str">
        <f>MID('paste from garc here'!$C$1,1+(('table for research'!$B302-1)*36+HEX2DEC('table for research'!AN$1))*2,2)</f>
        <v>00</v>
      </c>
      <c r="AO302" t="str">
        <f>MID('paste from garc here'!$C$1,1+(('table for research'!$B302-1)*36+HEX2DEC('table for research'!AO$1))*2,2)</f>
        <v>00</v>
      </c>
    </row>
    <row r="303" spans="1:41" x14ac:dyDescent="0.4">
      <c r="A303" t="s">
        <v>306</v>
      </c>
      <c r="B303">
        <f>B302+1</f>
        <v>301</v>
      </c>
      <c r="C303" t="str">
        <f>MID('paste from garc here'!$C$1,1+(('table for research'!$B303-1)*36+HEX2DEC('table for research'!C$1))*2,2)</f>
        <v>64</v>
      </c>
      <c r="D303" t="str">
        <f>MID('paste from garc here'!$C$1,1+(('table for research'!$B303-1)*36+HEX2DEC('table for research'!D$1))*2,2)</f>
        <v>00</v>
      </c>
      <c r="E303" t="str">
        <f>MID('paste from garc here'!$C$1,1+(('table for research'!$B303-1)*36+HEX2DEC('table for research'!E$1))*2,2)</f>
        <v>80</v>
      </c>
      <c r="F303" t="str">
        <f>MID('paste from garc here'!$C$1,1+(('table for research'!$B303-1)*36+HEX2DEC('table for research'!F$1))*2,2)</f>
        <v>14</v>
      </c>
      <c r="G303" t="str">
        <f>MID('paste from garc here'!$C$1,1+(('table for research'!$B303-1)*36+HEX2DEC('table for research'!G$1))*2,2)</f>
        <v>00</v>
      </c>
      <c r="H303" t="str">
        <f>MID('paste from garc here'!$C$1,1+(('table for research'!$B303-1)*36+HEX2DEC('table for research'!H$1))*2,2)</f>
        <v>00</v>
      </c>
      <c r="I303" t="str">
        <f>MID('paste from garc here'!$C$1,1+(('table for research'!$B303-1)*36+HEX2DEC('table for research'!I$1))*2,2)</f>
        <v>5A</v>
      </c>
      <c r="J303" t="str">
        <f>MID('paste from garc here'!$C$1,1+(('table for research'!$B303-1)*36+HEX2DEC('table for research'!J$1))*2,2)</f>
        <v>00</v>
      </c>
      <c r="K303" t="str">
        <f>DEC2HEX(_xlfn.BITAND(HEX2DEC(MID('paste from garc here'!$C$1,1+(('table for research'!$B303-1)*36+HEX2DEC(8))*2,2)),31),2)</f>
        <v>1F</v>
      </c>
      <c r="L303" t="str">
        <f>DEC2HEX(_xlfn.BITAND(HEX2DEC(MID('paste from garc here'!$C$1,1+(('table for research'!$B303-1)*36+HEX2DEC(8))*2,2)),32),2)</f>
        <v>00</v>
      </c>
      <c r="M303" t="str">
        <f>DEC2HEX(_xlfn.BITAND(HEX2DEC(MID('paste from garc here'!$C$1,1+(('table for research'!$B303-1)*36+HEX2DEC(8))*2,2)),64),2)</f>
        <v>00</v>
      </c>
      <c r="N303" t="str">
        <f>DEC2HEX(_xlfn.BITRSHIFT(_xlfn.BITAND(HEX2DEC(MID('paste from garc here'!$C$1,1+(('table for research'!$B303-1)*36+HEX2DEC(9))*2,2)&amp;MID('paste from garc here'!$C$1,1+(('table for research'!$B303-1)*36+HEX2DEC(8))*2,2)),1920),7),2)</f>
        <v>00</v>
      </c>
      <c r="O303" t="str">
        <f>DEC2HEX(_xlfn.BITRSHIFT(HEX2DEC(MID('paste from garc here'!$C$1,1+(('table for research'!$B303-1)*36+HEX2DEC(9))*2,2)&amp;MID('paste from garc here'!$C$1,1+(('table for research'!$B303-1)*36+HEX2DEC(8))*2,2)),11),2)</f>
        <v>00</v>
      </c>
      <c r="P303" t="str">
        <f>MID('paste from garc here'!$C$1,1+(('table for research'!$B303-1)*36+HEX2DEC('table for research'!P$1))*2,2)</f>
        <v>00</v>
      </c>
      <c r="Q303" t="str">
        <f>MID('paste from garc here'!$C$1,1+(('table for research'!$B303-1)*36+HEX2DEC('table for research'!Q$1))*2,2)</f>
        <v>00</v>
      </c>
      <c r="R303" t="str">
        <f>MID('paste from garc here'!$C$1,1+(('table for research'!$B303-1)*36+HEX2DEC('table for research'!R$1))*2,2)</f>
        <v>00</v>
      </c>
      <c r="S303" t="str">
        <f>MID('paste from garc here'!$C$1,1+(('table for research'!$B303-1)*36+HEX2DEC('table for research'!S$1))*2,2)</f>
        <v>01</v>
      </c>
      <c r="T303" t="str">
        <f>MID('paste from garc here'!$C$1,1+(('table for research'!$B303-1)*36+HEX2DEC('table for research'!T$1))*2,2)</f>
        <v>00</v>
      </c>
      <c r="U303" t="str">
        <f>MID('paste from garc here'!$C$1,1+(('table for research'!$B303-1)*36+HEX2DEC('table for research'!U$1))*2,2)</f>
        <v>97</v>
      </c>
      <c r="V303" t="str">
        <f>MID('paste from garc here'!$C$1,1+(('table for research'!$B303-1)*36+HEX2DEC('table for research'!V$1))*2,2)</f>
        <v>00</v>
      </c>
      <c r="W303" t="str">
        <f>MID('paste from garc here'!$C$1,1+(('table for research'!$B303-1)*36+HEX2DEC('table for research'!W$1))*2,2)</f>
        <v>00</v>
      </c>
      <c r="X303" t="str">
        <f>MID('paste from garc here'!$C$1,1+(('table for research'!$B303-1)*36+HEX2DEC('table for research'!X$1))*2,2)</f>
        <v>00</v>
      </c>
      <c r="Y303" t="str">
        <f>MID('paste from garc here'!$C$1,1+(('table for research'!$B303-1)*36+HEX2DEC('table for research'!Y$1))*2,2)</f>
        <v>00</v>
      </c>
      <c r="Z303" t="str">
        <f>MID('paste from garc here'!$C$1,1+(('table for research'!$B303-1)*36+HEX2DEC('table for research'!Z$1))*2,2)</f>
        <v>00</v>
      </c>
      <c r="AA303" t="str">
        <f>MID('paste from garc here'!$C$1,1+(('table for research'!$B303-1)*36+HEX2DEC('table for research'!AA$1))*2,2)</f>
        <v>00</v>
      </c>
      <c r="AB303" t="str">
        <f>MID('paste from garc here'!$C$1,1+(('table for research'!$B303-1)*36+HEX2DEC('table for research'!AB$1))*2,2)</f>
        <v>00</v>
      </c>
      <c r="AC303" t="str">
        <f>MID('paste from garc here'!$C$1,1+(('table for research'!$B303-1)*36+HEX2DEC('table for research'!AC$1))*2,2)</f>
        <v>00</v>
      </c>
      <c r="AD303" t="str">
        <f>MID('paste from garc here'!$C$1,1+(('table for research'!$B303-1)*36+HEX2DEC('table for research'!AD$1))*2,2)</f>
        <v>00</v>
      </c>
      <c r="AE303" t="str">
        <f>MID('paste from garc here'!$C$1,1+(('table for research'!$B303-1)*36+HEX2DEC('table for research'!AE$1))*2,2)</f>
        <v>00</v>
      </c>
      <c r="AF303" t="str">
        <f>MID('paste from garc here'!$C$1,1+(('table for research'!$B303-1)*36+HEX2DEC('table for research'!AF$1))*2,2)</f>
        <v>00</v>
      </c>
      <c r="AG303" t="str">
        <f>MID('paste from garc here'!$C$1,1+(('table for research'!$B303-1)*36+HEX2DEC('table for research'!AG$1))*2,2)</f>
        <v>00</v>
      </c>
      <c r="AH303" t="str">
        <f>MID('paste from garc here'!$C$1,1+(('table for research'!$B303-1)*36+HEX2DEC('table for research'!AH$1))*2,2)</f>
        <v>00</v>
      </c>
      <c r="AI303" t="str">
        <f>MID('paste from garc here'!$C$1,1+(('table for research'!$B303-1)*36+HEX2DEC('table for research'!AI$1))*2,2)</f>
        <v>00</v>
      </c>
      <c r="AJ303" t="str">
        <f>MID('paste from garc here'!$C$1,1+(('table for research'!$B303-1)*36+HEX2DEC('table for research'!AJ$1))*2,2)</f>
        <v>00</v>
      </c>
      <c r="AK303" t="str">
        <f>MID('paste from garc here'!$C$1,1+(('table for research'!$B303-1)*36+HEX2DEC('table for research'!AK$1))*2,2)</f>
        <v>00</v>
      </c>
      <c r="AL303" t="str">
        <f>MID('paste from garc here'!$C$1,1+(('table for research'!$B303-1)*36+HEX2DEC('table for research'!AL$1))*2,2)</f>
        <v>00</v>
      </c>
      <c r="AM303" t="str">
        <f>MID('paste from garc here'!$C$1,1+(('table for research'!$B303-1)*36+HEX2DEC('table for research'!AM$1))*2,2)</f>
        <v>00</v>
      </c>
      <c r="AN303" t="str">
        <f>MID('paste from garc here'!$C$1,1+(('table for research'!$B303-1)*36+HEX2DEC('table for research'!AN$1))*2,2)</f>
        <v>00</v>
      </c>
      <c r="AO303" t="str">
        <f>MID('paste from garc here'!$C$1,1+(('table for research'!$B303-1)*36+HEX2DEC('table for research'!AO$1))*2,2)</f>
        <v>00</v>
      </c>
    </row>
    <row r="304" spans="1:41" x14ac:dyDescent="0.4">
      <c r="A304" t="s">
        <v>307</v>
      </c>
      <c r="B304">
        <f>B303+1</f>
        <v>302</v>
      </c>
      <c r="C304" t="str">
        <f>MID('paste from garc here'!$C$1,1+(('table for research'!$B304-1)*36+HEX2DEC('table for research'!C$1))*2,2)</f>
        <v>64</v>
      </c>
      <c r="D304" t="str">
        <f>MID('paste from garc here'!$C$1,1+(('table for research'!$B304-1)*36+HEX2DEC('table for research'!D$1))*2,2)</f>
        <v>00</v>
      </c>
      <c r="E304" t="str">
        <f>MID('paste from garc here'!$C$1,1+(('table for research'!$B304-1)*36+HEX2DEC('table for research'!E$1))*2,2)</f>
        <v>81</v>
      </c>
      <c r="F304" t="str">
        <f>MID('paste from garc here'!$C$1,1+(('table for research'!$B304-1)*36+HEX2DEC('table for research'!F$1))*2,2)</f>
        <v>14</v>
      </c>
      <c r="G304" t="str">
        <f>MID('paste from garc here'!$C$1,1+(('table for research'!$B304-1)*36+HEX2DEC('table for research'!G$1))*2,2)</f>
        <v>00</v>
      </c>
      <c r="H304" t="str">
        <f>MID('paste from garc here'!$C$1,1+(('table for research'!$B304-1)*36+HEX2DEC('table for research'!H$1))*2,2)</f>
        <v>00</v>
      </c>
      <c r="I304" t="str">
        <f>MID('paste from garc here'!$C$1,1+(('table for research'!$B304-1)*36+HEX2DEC('table for research'!I$1))*2,2)</f>
        <v>5A</v>
      </c>
      <c r="J304" t="str">
        <f>MID('paste from garc here'!$C$1,1+(('table for research'!$B304-1)*36+HEX2DEC('table for research'!J$1))*2,2)</f>
        <v>00</v>
      </c>
      <c r="K304" t="str">
        <f>DEC2HEX(_xlfn.BITAND(HEX2DEC(MID('paste from garc here'!$C$1,1+(('table for research'!$B304-1)*36+HEX2DEC(8))*2,2)),31),2)</f>
        <v>1F</v>
      </c>
      <c r="L304" t="str">
        <f>DEC2HEX(_xlfn.BITAND(HEX2DEC(MID('paste from garc here'!$C$1,1+(('table for research'!$B304-1)*36+HEX2DEC(8))*2,2)),32),2)</f>
        <v>00</v>
      </c>
      <c r="M304" t="str">
        <f>DEC2HEX(_xlfn.BITAND(HEX2DEC(MID('paste from garc here'!$C$1,1+(('table for research'!$B304-1)*36+HEX2DEC(8))*2,2)),64),2)</f>
        <v>00</v>
      </c>
      <c r="N304" t="str">
        <f>DEC2HEX(_xlfn.BITRSHIFT(_xlfn.BITAND(HEX2DEC(MID('paste from garc here'!$C$1,1+(('table for research'!$B304-1)*36+HEX2DEC(9))*2,2)&amp;MID('paste from garc here'!$C$1,1+(('table for research'!$B304-1)*36+HEX2DEC(8))*2,2)),1920),7),2)</f>
        <v>00</v>
      </c>
      <c r="O304" t="str">
        <f>DEC2HEX(_xlfn.BITRSHIFT(HEX2DEC(MID('paste from garc here'!$C$1,1+(('table for research'!$B304-1)*36+HEX2DEC(9))*2,2)&amp;MID('paste from garc here'!$C$1,1+(('table for research'!$B304-1)*36+HEX2DEC(8))*2,2)),11),2)</f>
        <v>00</v>
      </c>
      <c r="P304" t="str">
        <f>MID('paste from garc here'!$C$1,1+(('table for research'!$B304-1)*36+HEX2DEC('table for research'!P$1))*2,2)</f>
        <v>00</v>
      </c>
      <c r="Q304" t="str">
        <f>MID('paste from garc here'!$C$1,1+(('table for research'!$B304-1)*36+HEX2DEC('table for research'!Q$1))*2,2)</f>
        <v>00</v>
      </c>
      <c r="R304" t="str">
        <f>MID('paste from garc here'!$C$1,1+(('table for research'!$B304-1)*36+HEX2DEC('table for research'!R$1))*2,2)</f>
        <v>00</v>
      </c>
      <c r="S304" t="str">
        <f>MID('paste from garc here'!$C$1,1+(('table for research'!$B304-1)*36+HEX2DEC('table for research'!S$1))*2,2)</f>
        <v>01</v>
      </c>
      <c r="T304" t="str">
        <f>MID('paste from garc here'!$C$1,1+(('table for research'!$B304-1)*36+HEX2DEC('table for research'!T$1))*2,2)</f>
        <v>00</v>
      </c>
      <c r="U304" t="str">
        <f>MID('paste from garc here'!$C$1,1+(('table for research'!$B304-1)*36+HEX2DEC('table for research'!U$1))*2,2)</f>
        <v>98</v>
      </c>
      <c r="V304" t="str">
        <f>MID('paste from garc here'!$C$1,1+(('table for research'!$B304-1)*36+HEX2DEC('table for research'!V$1))*2,2)</f>
        <v>00</v>
      </c>
      <c r="W304" t="str">
        <f>MID('paste from garc here'!$C$1,1+(('table for research'!$B304-1)*36+HEX2DEC('table for research'!W$1))*2,2)</f>
        <v>00</v>
      </c>
      <c r="X304" t="str">
        <f>MID('paste from garc here'!$C$1,1+(('table for research'!$B304-1)*36+HEX2DEC('table for research'!X$1))*2,2)</f>
        <v>00</v>
      </c>
      <c r="Y304" t="str">
        <f>MID('paste from garc here'!$C$1,1+(('table for research'!$B304-1)*36+HEX2DEC('table for research'!Y$1))*2,2)</f>
        <v>00</v>
      </c>
      <c r="Z304" t="str">
        <f>MID('paste from garc here'!$C$1,1+(('table for research'!$B304-1)*36+HEX2DEC('table for research'!Z$1))*2,2)</f>
        <v>00</v>
      </c>
      <c r="AA304" t="str">
        <f>MID('paste from garc here'!$C$1,1+(('table for research'!$B304-1)*36+HEX2DEC('table for research'!AA$1))*2,2)</f>
        <v>00</v>
      </c>
      <c r="AB304" t="str">
        <f>MID('paste from garc here'!$C$1,1+(('table for research'!$B304-1)*36+HEX2DEC('table for research'!AB$1))*2,2)</f>
        <v>00</v>
      </c>
      <c r="AC304" t="str">
        <f>MID('paste from garc here'!$C$1,1+(('table for research'!$B304-1)*36+HEX2DEC('table for research'!AC$1))*2,2)</f>
        <v>00</v>
      </c>
      <c r="AD304" t="str">
        <f>MID('paste from garc here'!$C$1,1+(('table for research'!$B304-1)*36+HEX2DEC('table for research'!AD$1))*2,2)</f>
        <v>00</v>
      </c>
      <c r="AE304" t="str">
        <f>MID('paste from garc here'!$C$1,1+(('table for research'!$B304-1)*36+HEX2DEC('table for research'!AE$1))*2,2)</f>
        <v>00</v>
      </c>
      <c r="AF304" t="str">
        <f>MID('paste from garc here'!$C$1,1+(('table for research'!$B304-1)*36+HEX2DEC('table for research'!AF$1))*2,2)</f>
        <v>00</v>
      </c>
      <c r="AG304" t="str">
        <f>MID('paste from garc here'!$C$1,1+(('table for research'!$B304-1)*36+HEX2DEC('table for research'!AG$1))*2,2)</f>
        <v>00</v>
      </c>
      <c r="AH304" t="str">
        <f>MID('paste from garc here'!$C$1,1+(('table for research'!$B304-1)*36+HEX2DEC('table for research'!AH$1))*2,2)</f>
        <v>00</v>
      </c>
      <c r="AI304" t="str">
        <f>MID('paste from garc here'!$C$1,1+(('table for research'!$B304-1)*36+HEX2DEC('table for research'!AI$1))*2,2)</f>
        <v>00</v>
      </c>
      <c r="AJ304" t="str">
        <f>MID('paste from garc here'!$C$1,1+(('table for research'!$B304-1)*36+HEX2DEC('table for research'!AJ$1))*2,2)</f>
        <v>00</v>
      </c>
      <c r="AK304" t="str">
        <f>MID('paste from garc here'!$C$1,1+(('table for research'!$B304-1)*36+HEX2DEC('table for research'!AK$1))*2,2)</f>
        <v>00</v>
      </c>
      <c r="AL304" t="str">
        <f>MID('paste from garc here'!$C$1,1+(('table for research'!$B304-1)*36+HEX2DEC('table for research'!AL$1))*2,2)</f>
        <v>00</v>
      </c>
      <c r="AM304" t="str">
        <f>MID('paste from garc here'!$C$1,1+(('table for research'!$B304-1)*36+HEX2DEC('table for research'!AM$1))*2,2)</f>
        <v>00</v>
      </c>
      <c r="AN304" t="str">
        <f>MID('paste from garc here'!$C$1,1+(('table for research'!$B304-1)*36+HEX2DEC('table for research'!AN$1))*2,2)</f>
        <v>00</v>
      </c>
      <c r="AO304" t="str">
        <f>MID('paste from garc here'!$C$1,1+(('table for research'!$B304-1)*36+HEX2DEC('table for research'!AO$1))*2,2)</f>
        <v>00</v>
      </c>
    </row>
    <row r="305" spans="1:41" x14ac:dyDescent="0.4">
      <c r="A305" t="s">
        <v>308</v>
      </c>
      <c r="B305">
        <f>B304+1</f>
        <v>303</v>
      </c>
      <c r="C305" t="str">
        <f>MID('paste from garc here'!$C$1,1+(('table for research'!$B305-1)*36+HEX2DEC('table for research'!C$1))*2,2)</f>
        <v>64</v>
      </c>
      <c r="D305" t="str">
        <f>MID('paste from garc here'!$C$1,1+(('table for research'!$B305-1)*36+HEX2DEC('table for research'!D$1))*2,2)</f>
        <v>00</v>
      </c>
      <c r="E305" t="str">
        <f>MID('paste from garc here'!$C$1,1+(('table for research'!$B305-1)*36+HEX2DEC('table for research'!E$1))*2,2)</f>
        <v>82</v>
      </c>
      <c r="F305" t="str">
        <f>MID('paste from garc here'!$C$1,1+(('table for research'!$B305-1)*36+HEX2DEC('table for research'!F$1))*2,2)</f>
        <v>14</v>
      </c>
      <c r="G305" t="str">
        <f>MID('paste from garc here'!$C$1,1+(('table for research'!$B305-1)*36+HEX2DEC('table for research'!G$1))*2,2)</f>
        <v>00</v>
      </c>
      <c r="H305" t="str">
        <f>MID('paste from garc here'!$C$1,1+(('table for research'!$B305-1)*36+HEX2DEC('table for research'!H$1))*2,2)</f>
        <v>00</v>
      </c>
      <c r="I305" t="str">
        <f>MID('paste from garc here'!$C$1,1+(('table for research'!$B305-1)*36+HEX2DEC('table for research'!I$1))*2,2)</f>
        <v>5A</v>
      </c>
      <c r="J305" t="str">
        <f>MID('paste from garc here'!$C$1,1+(('table for research'!$B305-1)*36+HEX2DEC('table for research'!J$1))*2,2)</f>
        <v>00</v>
      </c>
      <c r="K305" t="str">
        <f>DEC2HEX(_xlfn.BITAND(HEX2DEC(MID('paste from garc here'!$C$1,1+(('table for research'!$B305-1)*36+HEX2DEC(8))*2,2)),31),2)</f>
        <v>1F</v>
      </c>
      <c r="L305" t="str">
        <f>DEC2HEX(_xlfn.BITAND(HEX2DEC(MID('paste from garc here'!$C$1,1+(('table for research'!$B305-1)*36+HEX2DEC(8))*2,2)),32),2)</f>
        <v>00</v>
      </c>
      <c r="M305" t="str">
        <f>DEC2HEX(_xlfn.BITAND(HEX2DEC(MID('paste from garc here'!$C$1,1+(('table for research'!$B305-1)*36+HEX2DEC(8))*2,2)),64),2)</f>
        <v>00</v>
      </c>
      <c r="N305" t="str">
        <f>DEC2HEX(_xlfn.BITRSHIFT(_xlfn.BITAND(HEX2DEC(MID('paste from garc here'!$C$1,1+(('table for research'!$B305-1)*36+HEX2DEC(9))*2,2)&amp;MID('paste from garc here'!$C$1,1+(('table for research'!$B305-1)*36+HEX2DEC(8))*2,2)),1920),7),2)</f>
        <v>00</v>
      </c>
      <c r="O305" t="str">
        <f>DEC2HEX(_xlfn.BITRSHIFT(HEX2DEC(MID('paste from garc here'!$C$1,1+(('table for research'!$B305-1)*36+HEX2DEC(9))*2,2)&amp;MID('paste from garc here'!$C$1,1+(('table for research'!$B305-1)*36+HEX2DEC(8))*2,2)),11),2)</f>
        <v>00</v>
      </c>
      <c r="P305" t="str">
        <f>MID('paste from garc here'!$C$1,1+(('table for research'!$B305-1)*36+HEX2DEC('table for research'!P$1))*2,2)</f>
        <v>00</v>
      </c>
      <c r="Q305" t="str">
        <f>MID('paste from garc here'!$C$1,1+(('table for research'!$B305-1)*36+HEX2DEC('table for research'!Q$1))*2,2)</f>
        <v>00</v>
      </c>
      <c r="R305" t="str">
        <f>MID('paste from garc here'!$C$1,1+(('table for research'!$B305-1)*36+HEX2DEC('table for research'!R$1))*2,2)</f>
        <v>00</v>
      </c>
      <c r="S305" t="str">
        <f>MID('paste from garc here'!$C$1,1+(('table for research'!$B305-1)*36+HEX2DEC('table for research'!S$1))*2,2)</f>
        <v>01</v>
      </c>
      <c r="T305" t="str">
        <f>MID('paste from garc here'!$C$1,1+(('table for research'!$B305-1)*36+HEX2DEC('table for research'!T$1))*2,2)</f>
        <v>00</v>
      </c>
      <c r="U305" t="str">
        <f>MID('paste from garc here'!$C$1,1+(('table for research'!$B305-1)*36+HEX2DEC('table for research'!U$1))*2,2)</f>
        <v>99</v>
      </c>
      <c r="V305" t="str">
        <f>MID('paste from garc here'!$C$1,1+(('table for research'!$B305-1)*36+HEX2DEC('table for research'!V$1))*2,2)</f>
        <v>00</v>
      </c>
      <c r="W305" t="str">
        <f>MID('paste from garc here'!$C$1,1+(('table for research'!$B305-1)*36+HEX2DEC('table for research'!W$1))*2,2)</f>
        <v>00</v>
      </c>
      <c r="X305" t="str">
        <f>MID('paste from garc here'!$C$1,1+(('table for research'!$B305-1)*36+HEX2DEC('table for research'!X$1))*2,2)</f>
        <v>00</v>
      </c>
      <c r="Y305" t="str">
        <f>MID('paste from garc here'!$C$1,1+(('table for research'!$B305-1)*36+HEX2DEC('table for research'!Y$1))*2,2)</f>
        <v>00</v>
      </c>
      <c r="Z305" t="str">
        <f>MID('paste from garc here'!$C$1,1+(('table for research'!$B305-1)*36+HEX2DEC('table for research'!Z$1))*2,2)</f>
        <v>00</v>
      </c>
      <c r="AA305" t="str">
        <f>MID('paste from garc here'!$C$1,1+(('table for research'!$B305-1)*36+HEX2DEC('table for research'!AA$1))*2,2)</f>
        <v>00</v>
      </c>
      <c r="AB305" t="str">
        <f>MID('paste from garc here'!$C$1,1+(('table for research'!$B305-1)*36+HEX2DEC('table for research'!AB$1))*2,2)</f>
        <v>00</v>
      </c>
      <c r="AC305" t="str">
        <f>MID('paste from garc here'!$C$1,1+(('table for research'!$B305-1)*36+HEX2DEC('table for research'!AC$1))*2,2)</f>
        <v>00</v>
      </c>
      <c r="AD305" t="str">
        <f>MID('paste from garc here'!$C$1,1+(('table for research'!$B305-1)*36+HEX2DEC('table for research'!AD$1))*2,2)</f>
        <v>00</v>
      </c>
      <c r="AE305" t="str">
        <f>MID('paste from garc here'!$C$1,1+(('table for research'!$B305-1)*36+HEX2DEC('table for research'!AE$1))*2,2)</f>
        <v>00</v>
      </c>
      <c r="AF305" t="str">
        <f>MID('paste from garc here'!$C$1,1+(('table for research'!$B305-1)*36+HEX2DEC('table for research'!AF$1))*2,2)</f>
        <v>00</v>
      </c>
      <c r="AG305" t="str">
        <f>MID('paste from garc here'!$C$1,1+(('table for research'!$B305-1)*36+HEX2DEC('table for research'!AG$1))*2,2)</f>
        <v>00</v>
      </c>
      <c r="AH305" t="str">
        <f>MID('paste from garc here'!$C$1,1+(('table for research'!$B305-1)*36+HEX2DEC('table for research'!AH$1))*2,2)</f>
        <v>00</v>
      </c>
      <c r="AI305" t="str">
        <f>MID('paste from garc here'!$C$1,1+(('table for research'!$B305-1)*36+HEX2DEC('table for research'!AI$1))*2,2)</f>
        <v>00</v>
      </c>
      <c r="AJ305" t="str">
        <f>MID('paste from garc here'!$C$1,1+(('table for research'!$B305-1)*36+HEX2DEC('table for research'!AJ$1))*2,2)</f>
        <v>00</v>
      </c>
      <c r="AK305" t="str">
        <f>MID('paste from garc here'!$C$1,1+(('table for research'!$B305-1)*36+HEX2DEC('table for research'!AK$1))*2,2)</f>
        <v>00</v>
      </c>
      <c r="AL305" t="str">
        <f>MID('paste from garc here'!$C$1,1+(('table for research'!$B305-1)*36+HEX2DEC('table for research'!AL$1))*2,2)</f>
        <v>00</v>
      </c>
      <c r="AM305" t="str">
        <f>MID('paste from garc here'!$C$1,1+(('table for research'!$B305-1)*36+HEX2DEC('table for research'!AM$1))*2,2)</f>
        <v>00</v>
      </c>
      <c r="AN305" t="str">
        <f>MID('paste from garc here'!$C$1,1+(('table for research'!$B305-1)*36+HEX2DEC('table for research'!AN$1))*2,2)</f>
        <v>00</v>
      </c>
      <c r="AO305" t="str">
        <f>MID('paste from garc here'!$C$1,1+(('table for research'!$B305-1)*36+HEX2DEC('table for research'!AO$1))*2,2)</f>
        <v>00</v>
      </c>
    </row>
    <row r="306" spans="1:41" x14ac:dyDescent="0.4">
      <c r="A306" t="s">
        <v>309</v>
      </c>
      <c r="B306">
        <f>B305+1</f>
        <v>304</v>
      </c>
      <c r="C306" t="str">
        <f>MID('paste from garc here'!$C$1,1+(('table for research'!$B306-1)*36+HEX2DEC('table for research'!C$1))*2,2)</f>
        <v>64</v>
      </c>
      <c r="D306" t="str">
        <f>MID('paste from garc here'!$C$1,1+(('table for research'!$B306-1)*36+HEX2DEC('table for research'!D$1))*2,2)</f>
        <v>00</v>
      </c>
      <c r="E306" t="str">
        <f>MID('paste from garc here'!$C$1,1+(('table for research'!$B306-1)*36+HEX2DEC('table for research'!E$1))*2,2)</f>
        <v>83</v>
      </c>
      <c r="F306" t="str">
        <f>MID('paste from garc here'!$C$1,1+(('table for research'!$B306-1)*36+HEX2DEC('table for research'!F$1))*2,2)</f>
        <v>14</v>
      </c>
      <c r="G306" t="str">
        <f>MID('paste from garc here'!$C$1,1+(('table for research'!$B306-1)*36+HEX2DEC('table for research'!G$1))*2,2)</f>
        <v>00</v>
      </c>
      <c r="H306" t="str">
        <f>MID('paste from garc here'!$C$1,1+(('table for research'!$B306-1)*36+HEX2DEC('table for research'!H$1))*2,2)</f>
        <v>00</v>
      </c>
      <c r="I306" t="str">
        <f>MID('paste from garc here'!$C$1,1+(('table for research'!$B306-1)*36+HEX2DEC('table for research'!I$1))*2,2)</f>
        <v>5A</v>
      </c>
      <c r="J306" t="str">
        <f>MID('paste from garc here'!$C$1,1+(('table for research'!$B306-1)*36+HEX2DEC('table for research'!J$1))*2,2)</f>
        <v>00</v>
      </c>
      <c r="K306" t="str">
        <f>DEC2HEX(_xlfn.BITAND(HEX2DEC(MID('paste from garc here'!$C$1,1+(('table for research'!$B306-1)*36+HEX2DEC(8))*2,2)),31),2)</f>
        <v>1F</v>
      </c>
      <c r="L306" t="str">
        <f>DEC2HEX(_xlfn.BITAND(HEX2DEC(MID('paste from garc here'!$C$1,1+(('table for research'!$B306-1)*36+HEX2DEC(8))*2,2)),32),2)</f>
        <v>00</v>
      </c>
      <c r="M306" t="str">
        <f>DEC2HEX(_xlfn.BITAND(HEX2DEC(MID('paste from garc here'!$C$1,1+(('table for research'!$B306-1)*36+HEX2DEC(8))*2,2)),64),2)</f>
        <v>00</v>
      </c>
      <c r="N306" t="str">
        <f>DEC2HEX(_xlfn.BITRSHIFT(_xlfn.BITAND(HEX2DEC(MID('paste from garc here'!$C$1,1+(('table for research'!$B306-1)*36+HEX2DEC(9))*2,2)&amp;MID('paste from garc here'!$C$1,1+(('table for research'!$B306-1)*36+HEX2DEC(8))*2,2)),1920),7),2)</f>
        <v>00</v>
      </c>
      <c r="O306" t="str">
        <f>DEC2HEX(_xlfn.BITRSHIFT(HEX2DEC(MID('paste from garc here'!$C$1,1+(('table for research'!$B306-1)*36+HEX2DEC(9))*2,2)&amp;MID('paste from garc here'!$C$1,1+(('table for research'!$B306-1)*36+HEX2DEC(8))*2,2)),11),2)</f>
        <v>00</v>
      </c>
      <c r="P306" t="str">
        <f>MID('paste from garc here'!$C$1,1+(('table for research'!$B306-1)*36+HEX2DEC('table for research'!P$1))*2,2)</f>
        <v>00</v>
      </c>
      <c r="Q306" t="str">
        <f>MID('paste from garc here'!$C$1,1+(('table for research'!$B306-1)*36+HEX2DEC('table for research'!Q$1))*2,2)</f>
        <v>00</v>
      </c>
      <c r="R306" t="str">
        <f>MID('paste from garc here'!$C$1,1+(('table for research'!$B306-1)*36+HEX2DEC('table for research'!R$1))*2,2)</f>
        <v>00</v>
      </c>
      <c r="S306" t="str">
        <f>MID('paste from garc here'!$C$1,1+(('table for research'!$B306-1)*36+HEX2DEC('table for research'!S$1))*2,2)</f>
        <v>01</v>
      </c>
      <c r="T306" t="str">
        <f>MID('paste from garc here'!$C$1,1+(('table for research'!$B306-1)*36+HEX2DEC('table for research'!T$1))*2,2)</f>
        <v>00</v>
      </c>
      <c r="U306" t="str">
        <f>MID('paste from garc here'!$C$1,1+(('table for research'!$B306-1)*36+HEX2DEC('table for research'!U$1))*2,2)</f>
        <v>9A</v>
      </c>
      <c r="V306" t="str">
        <f>MID('paste from garc here'!$C$1,1+(('table for research'!$B306-1)*36+HEX2DEC('table for research'!V$1))*2,2)</f>
        <v>00</v>
      </c>
      <c r="W306" t="str">
        <f>MID('paste from garc here'!$C$1,1+(('table for research'!$B306-1)*36+HEX2DEC('table for research'!W$1))*2,2)</f>
        <v>00</v>
      </c>
      <c r="X306" t="str">
        <f>MID('paste from garc here'!$C$1,1+(('table for research'!$B306-1)*36+HEX2DEC('table for research'!X$1))*2,2)</f>
        <v>00</v>
      </c>
      <c r="Y306" t="str">
        <f>MID('paste from garc here'!$C$1,1+(('table for research'!$B306-1)*36+HEX2DEC('table for research'!Y$1))*2,2)</f>
        <v>00</v>
      </c>
      <c r="Z306" t="str">
        <f>MID('paste from garc here'!$C$1,1+(('table for research'!$B306-1)*36+HEX2DEC('table for research'!Z$1))*2,2)</f>
        <v>00</v>
      </c>
      <c r="AA306" t="str">
        <f>MID('paste from garc here'!$C$1,1+(('table for research'!$B306-1)*36+HEX2DEC('table for research'!AA$1))*2,2)</f>
        <v>00</v>
      </c>
      <c r="AB306" t="str">
        <f>MID('paste from garc here'!$C$1,1+(('table for research'!$B306-1)*36+HEX2DEC('table for research'!AB$1))*2,2)</f>
        <v>00</v>
      </c>
      <c r="AC306" t="str">
        <f>MID('paste from garc here'!$C$1,1+(('table for research'!$B306-1)*36+HEX2DEC('table for research'!AC$1))*2,2)</f>
        <v>00</v>
      </c>
      <c r="AD306" t="str">
        <f>MID('paste from garc here'!$C$1,1+(('table for research'!$B306-1)*36+HEX2DEC('table for research'!AD$1))*2,2)</f>
        <v>00</v>
      </c>
      <c r="AE306" t="str">
        <f>MID('paste from garc here'!$C$1,1+(('table for research'!$B306-1)*36+HEX2DEC('table for research'!AE$1))*2,2)</f>
        <v>00</v>
      </c>
      <c r="AF306" t="str">
        <f>MID('paste from garc here'!$C$1,1+(('table for research'!$B306-1)*36+HEX2DEC('table for research'!AF$1))*2,2)</f>
        <v>00</v>
      </c>
      <c r="AG306" t="str">
        <f>MID('paste from garc here'!$C$1,1+(('table for research'!$B306-1)*36+HEX2DEC('table for research'!AG$1))*2,2)</f>
        <v>00</v>
      </c>
      <c r="AH306" t="str">
        <f>MID('paste from garc here'!$C$1,1+(('table for research'!$B306-1)*36+HEX2DEC('table for research'!AH$1))*2,2)</f>
        <v>00</v>
      </c>
      <c r="AI306" t="str">
        <f>MID('paste from garc here'!$C$1,1+(('table for research'!$B306-1)*36+HEX2DEC('table for research'!AI$1))*2,2)</f>
        <v>00</v>
      </c>
      <c r="AJ306" t="str">
        <f>MID('paste from garc here'!$C$1,1+(('table for research'!$B306-1)*36+HEX2DEC('table for research'!AJ$1))*2,2)</f>
        <v>00</v>
      </c>
      <c r="AK306" t="str">
        <f>MID('paste from garc here'!$C$1,1+(('table for research'!$B306-1)*36+HEX2DEC('table for research'!AK$1))*2,2)</f>
        <v>00</v>
      </c>
      <c r="AL306" t="str">
        <f>MID('paste from garc here'!$C$1,1+(('table for research'!$B306-1)*36+HEX2DEC('table for research'!AL$1))*2,2)</f>
        <v>00</v>
      </c>
      <c r="AM306" t="str">
        <f>MID('paste from garc here'!$C$1,1+(('table for research'!$B306-1)*36+HEX2DEC('table for research'!AM$1))*2,2)</f>
        <v>00</v>
      </c>
      <c r="AN306" t="str">
        <f>MID('paste from garc here'!$C$1,1+(('table for research'!$B306-1)*36+HEX2DEC('table for research'!AN$1))*2,2)</f>
        <v>00</v>
      </c>
      <c r="AO306" t="str">
        <f>MID('paste from garc here'!$C$1,1+(('table for research'!$B306-1)*36+HEX2DEC('table for research'!AO$1))*2,2)</f>
        <v>00</v>
      </c>
    </row>
    <row r="307" spans="1:41" x14ac:dyDescent="0.4">
      <c r="A307" t="s">
        <v>310</v>
      </c>
      <c r="B307">
        <f>B306+1</f>
        <v>305</v>
      </c>
      <c r="C307" t="str">
        <f>MID('paste from garc here'!$C$1,1+(('table for research'!$B307-1)*36+HEX2DEC('table for research'!C$1))*2,2)</f>
        <v>64</v>
      </c>
      <c r="D307" t="str">
        <f>MID('paste from garc here'!$C$1,1+(('table for research'!$B307-1)*36+HEX2DEC('table for research'!D$1))*2,2)</f>
        <v>00</v>
      </c>
      <c r="E307" t="str">
        <f>MID('paste from garc here'!$C$1,1+(('table for research'!$B307-1)*36+HEX2DEC('table for research'!E$1))*2,2)</f>
        <v>84</v>
      </c>
      <c r="F307" t="str">
        <f>MID('paste from garc here'!$C$1,1+(('table for research'!$B307-1)*36+HEX2DEC('table for research'!F$1))*2,2)</f>
        <v>14</v>
      </c>
      <c r="G307" t="str">
        <f>MID('paste from garc here'!$C$1,1+(('table for research'!$B307-1)*36+HEX2DEC('table for research'!G$1))*2,2)</f>
        <v>00</v>
      </c>
      <c r="H307" t="str">
        <f>MID('paste from garc here'!$C$1,1+(('table for research'!$B307-1)*36+HEX2DEC('table for research'!H$1))*2,2)</f>
        <v>00</v>
      </c>
      <c r="I307" t="str">
        <f>MID('paste from garc here'!$C$1,1+(('table for research'!$B307-1)*36+HEX2DEC('table for research'!I$1))*2,2)</f>
        <v>5A</v>
      </c>
      <c r="J307" t="str">
        <f>MID('paste from garc here'!$C$1,1+(('table for research'!$B307-1)*36+HEX2DEC('table for research'!J$1))*2,2)</f>
        <v>00</v>
      </c>
      <c r="K307" t="str">
        <f>DEC2HEX(_xlfn.BITAND(HEX2DEC(MID('paste from garc here'!$C$1,1+(('table for research'!$B307-1)*36+HEX2DEC(8))*2,2)),31),2)</f>
        <v>1F</v>
      </c>
      <c r="L307" t="str">
        <f>DEC2HEX(_xlfn.BITAND(HEX2DEC(MID('paste from garc here'!$C$1,1+(('table for research'!$B307-1)*36+HEX2DEC(8))*2,2)),32),2)</f>
        <v>00</v>
      </c>
      <c r="M307" t="str">
        <f>DEC2HEX(_xlfn.BITAND(HEX2DEC(MID('paste from garc here'!$C$1,1+(('table for research'!$B307-1)*36+HEX2DEC(8))*2,2)),64),2)</f>
        <v>00</v>
      </c>
      <c r="N307" t="str">
        <f>DEC2HEX(_xlfn.BITRSHIFT(_xlfn.BITAND(HEX2DEC(MID('paste from garc here'!$C$1,1+(('table for research'!$B307-1)*36+HEX2DEC(9))*2,2)&amp;MID('paste from garc here'!$C$1,1+(('table for research'!$B307-1)*36+HEX2DEC(8))*2,2)),1920),7),2)</f>
        <v>00</v>
      </c>
      <c r="O307" t="str">
        <f>DEC2HEX(_xlfn.BITRSHIFT(HEX2DEC(MID('paste from garc here'!$C$1,1+(('table for research'!$B307-1)*36+HEX2DEC(9))*2,2)&amp;MID('paste from garc here'!$C$1,1+(('table for research'!$B307-1)*36+HEX2DEC(8))*2,2)),11),2)</f>
        <v>00</v>
      </c>
      <c r="P307" t="str">
        <f>MID('paste from garc here'!$C$1,1+(('table for research'!$B307-1)*36+HEX2DEC('table for research'!P$1))*2,2)</f>
        <v>00</v>
      </c>
      <c r="Q307" t="str">
        <f>MID('paste from garc here'!$C$1,1+(('table for research'!$B307-1)*36+HEX2DEC('table for research'!Q$1))*2,2)</f>
        <v>00</v>
      </c>
      <c r="R307" t="str">
        <f>MID('paste from garc here'!$C$1,1+(('table for research'!$B307-1)*36+HEX2DEC('table for research'!R$1))*2,2)</f>
        <v>00</v>
      </c>
      <c r="S307" t="str">
        <f>MID('paste from garc here'!$C$1,1+(('table for research'!$B307-1)*36+HEX2DEC('table for research'!S$1))*2,2)</f>
        <v>01</v>
      </c>
      <c r="T307" t="str">
        <f>MID('paste from garc here'!$C$1,1+(('table for research'!$B307-1)*36+HEX2DEC('table for research'!T$1))*2,2)</f>
        <v>00</v>
      </c>
      <c r="U307" t="str">
        <f>MID('paste from garc here'!$C$1,1+(('table for research'!$B307-1)*36+HEX2DEC('table for research'!U$1))*2,2)</f>
        <v>9B</v>
      </c>
      <c r="V307" t="str">
        <f>MID('paste from garc here'!$C$1,1+(('table for research'!$B307-1)*36+HEX2DEC('table for research'!V$1))*2,2)</f>
        <v>01</v>
      </c>
      <c r="W307" t="str">
        <f>MID('paste from garc here'!$C$1,1+(('table for research'!$B307-1)*36+HEX2DEC('table for research'!W$1))*2,2)</f>
        <v>00</v>
      </c>
      <c r="X307" t="str">
        <f>MID('paste from garc here'!$C$1,1+(('table for research'!$B307-1)*36+HEX2DEC('table for research'!X$1))*2,2)</f>
        <v>00</v>
      </c>
      <c r="Y307" t="str">
        <f>MID('paste from garc here'!$C$1,1+(('table for research'!$B307-1)*36+HEX2DEC('table for research'!Y$1))*2,2)</f>
        <v>00</v>
      </c>
      <c r="Z307" t="str">
        <f>MID('paste from garc here'!$C$1,1+(('table for research'!$B307-1)*36+HEX2DEC('table for research'!Z$1))*2,2)</f>
        <v>00</v>
      </c>
      <c r="AA307" t="str">
        <f>MID('paste from garc here'!$C$1,1+(('table for research'!$B307-1)*36+HEX2DEC('table for research'!AA$1))*2,2)</f>
        <v>00</v>
      </c>
      <c r="AB307" t="str">
        <f>MID('paste from garc here'!$C$1,1+(('table for research'!$B307-1)*36+HEX2DEC('table for research'!AB$1))*2,2)</f>
        <v>00</v>
      </c>
      <c r="AC307" t="str">
        <f>MID('paste from garc here'!$C$1,1+(('table for research'!$B307-1)*36+HEX2DEC('table for research'!AC$1))*2,2)</f>
        <v>00</v>
      </c>
      <c r="AD307" t="str">
        <f>MID('paste from garc here'!$C$1,1+(('table for research'!$B307-1)*36+HEX2DEC('table for research'!AD$1))*2,2)</f>
        <v>00</v>
      </c>
      <c r="AE307" t="str">
        <f>MID('paste from garc here'!$C$1,1+(('table for research'!$B307-1)*36+HEX2DEC('table for research'!AE$1))*2,2)</f>
        <v>00</v>
      </c>
      <c r="AF307" t="str">
        <f>MID('paste from garc here'!$C$1,1+(('table for research'!$B307-1)*36+HEX2DEC('table for research'!AF$1))*2,2)</f>
        <v>00</v>
      </c>
      <c r="AG307" t="str">
        <f>MID('paste from garc here'!$C$1,1+(('table for research'!$B307-1)*36+HEX2DEC('table for research'!AG$1))*2,2)</f>
        <v>00</v>
      </c>
      <c r="AH307" t="str">
        <f>MID('paste from garc here'!$C$1,1+(('table for research'!$B307-1)*36+HEX2DEC('table for research'!AH$1))*2,2)</f>
        <v>00</v>
      </c>
      <c r="AI307" t="str">
        <f>MID('paste from garc here'!$C$1,1+(('table for research'!$B307-1)*36+HEX2DEC('table for research'!AI$1))*2,2)</f>
        <v>00</v>
      </c>
      <c r="AJ307" t="str">
        <f>MID('paste from garc here'!$C$1,1+(('table for research'!$B307-1)*36+HEX2DEC('table for research'!AJ$1))*2,2)</f>
        <v>00</v>
      </c>
      <c r="AK307" t="str">
        <f>MID('paste from garc here'!$C$1,1+(('table for research'!$B307-1)*36+HEX2DEC('table for research'!AK$1))*2,2)</f>
        <v>00</v>
      </c>
      <c r="AL307" t="str">
        <f>MID('paste from garc here'!$C$1,1+(('table for research'!$B307-1)*36+HEX2DEC('table for research'!AL$1))*2,2)</f>
        <v>00</v>
      </c>
      <c r="AM307" t="str">
        <f>MID('paste from garc here'!$C$1,1+(('table for research'!$B307-1)*36+HEX2DEC('table for research'!AM$1))*2,2)</f>
        <v>00</v>
      </c>
      <c r="AN307" t="str">
        <f>MID('paste from garc here'!$C$1,1+(('table for research'!$B307-1)*36+HEX2DEC('table for research'!AN$1))*2,2)</f>
        <v>00</v>
      </c>
      <c r="AO307" t="str">
        <f>MID('paste from garc here'!$C$1,1+(('table for research'!$B307-1)*36+HEX2DEC('table for research'!AO$1))*2,2)</f>
        <v>00</v>
      </c>
    </row>
    <row r="308" spans="1:41" x14ac:dyDescent="0.4">
      <c r="A308" t="s">
        <v>311</v>
      </c>
      <c r="B308">
        <f>B307+1</f>
        <v>306</v>
      </c>
      <c r="C308" t="str">
        <f>MID('paste from garc here'!$C$1,1+(('table for research'!$B308-1)*36+HEX2DEC('table for research'!C$1))*2,2)</f>
        <v>64</v>
      </c>
      <c r="D308" t="str">
        <f>MID('paste from garc here'!$C$1,1+(('table for research'!$B308-1)*36+HEX2DEC('table for research'!D$1))*2,2)</f>
        <v>00</v>
      </c>
      <c r="E308" t="str">
        <f>MID('paste from garc here'!$C$1,1+(('table for research'!$B308-1)*36+HEX2DEC('table for research'!E$1))*2,2)</f>
        <v>85</v>
      </c>
      <c r="F308" t="str">
        <f>MID('paste from garc here'!$C$1,1+(('table for research'!$B308-1)*36+HEX2DEC('table for research'!F$1))*2,2)</f>
        <v>14</v>
      </c>
      <c r="G308" t="str">
        <f>MID('paste from garc here'!$C$1,1+(('table for research'!$B308-1)*36+HEX2DEC('table for research'!G$1))*2,2)</f>
        <v>00</v>
      </c>
      <c r="H308" t="str">
        <f>MID('paste from garc here'!$C$1,1+(('table for research'!$B308-1)*36+HEX2DEC('table for research'!H$1))*2,2)</f>
        <v>00</v>
      </c>
      <c r="I308" t="str">
        <f>MID('paste from garc here'!$C$1,1+(('table for research'!$B308-1)*36+HEX2DEC('table for research'!I$1))*2,2)</f>
        <v>5A</v>
      </c>
      <c r="J308" t="str">
        <f>MID('paste from garc here'!$C$1,1+(('table for research'!$B308-1)*36+HEX2DEC('table for research'!J$1))*2,2)</f>
        <v>00</v>
      </c>
      <c r="K308" t="str">
        <f>DEC2HEX(_xlfn.BITAND(HEX2DEC(MID('paste from garc here'!$C$1,1+(('table for research'!$B308-1)*36+HEX2DEC(8))*2,2)),31),2)</f>
        <v>1F</v>
      </c>
      <c r="L308" t="str">
        <f>DEC2HEX(_xlfn.BITAND(HEX2DEC(MID('paste from garc here'!$C$1,1+(('table for research'!$B308-1)*36+HEX2DEC(8))*2,2)),32),2)</f>
        <v>00</v>
      </c>
      <c r="M308" t="str">
        <f>DEC2HEX(_xlfn.BITAND(HEX2DEC(MID('paste from garc here'!$C$1,1+(('table for research'!$B308-1)*36+HEX2DEC(8))*2,2)),64),2)</f>
        <v>00</v>
      </c>
      <c r="N308" t="str">
        <f>DEC2HEX(_xlfn.BITRSHIFT(_xlfn.BITAND(HEX2DEC(MID('paste from garc here'!$C$1,1+(('table for research'!$B308-1)*36+HEX2DEC(9))*2,2)&amp;MID('paste from garc here'!$C$1,1+(('table for research'!$B308-1)*36+HEX2DEC(8))*2,2)),1920),7),2)</f>
        <v>00</v>
      </c>
      <c r="O308" t="str">
        <f>DEC2HEX(_xlfn.BITRSHIFT(HEX2DEC(MID('paste from garc here'!$C$1,1+(('table for research'!$B308-1)*36+HEX2DEC(9))*2,2)&amp;MID('paste from garc here'!$C$1,1+(('table for research'!$B308-1)*36+HEX2DEC(8))*2,2)),11),2)</f>
        <v>00</v>
      </c>
      <c r="P308" t="str">
        <f>MID('paste from garc here'!$C$1,1+(('table for research'!$B308-1)*36+HEX2DEC('table for research'!P$1))*2,2)</f>
        <v>00</v>
      </c>
      <c r="Q308" t="str">
        <f>MID('paste from garc here'!$C$1,1+(('table for research'!$B308-1)*36+HEX2DEC('table for research'!Q$1))*2,2)</f>
        <v>00</v>
      </c>
      <c r="R308" t="str">
        <f>MID('paste from garc here'!$C$1,1+(('table for research'!$B308-1)*36+HEX2DEC('table for research'!R$1))*2,2)</f>
        <v>00</v>
      </c>
      <c r="S308" t="str">
        <f>MID('paste from garc here'!$C$1,1+(('table for research'!$B308-1)*36+HEX2DEC('table for research'!S$1))*2,2)</f>
        <v>01</v>
      </c>
      <c r="T308" t="str">
        <f>MID('paste from garc here'!$C$1,1+(('table for research'!$B308-1)*36+HEX2DEC('table for research'!T$1))*2,2)</f>
        <v>00</v>
      </c>
      <c r="U308" t="str">
        <f>MID('paste from garc here'!$C$1,1+(('table for research'!$B308-1)*36+HEX2DEC('table for research'!U$1))*2,2)</f>
        <v>9C</v>
      </c>
      <c r="V308" t="str">
        <f>MID('paste from garc here'!$C$1,1+(('table for research'!$B308-1)*36+HEX2DEC('table for research'!V$1))*2,2)</f>
        <v>00</v>
      </c>
      <c r="W308" t="str">
        <f>MID('paste from garc here'!$C$1,1+(('table for research'!$B308-1)*36+HEX2DEC('table for research'!W$1))*2,2)</f>
        <v>00</v>
      </c>
      <c r="X308" t="str">
        <f>MID('paste from garc here'!$C$1,1+(('table for research'!$B308-1)*36+HEX2DEC('table for research'!X$1))*2,2)</f>
        <v>00</v>
      </c>
      <c r="Y308" t="str">
        <f>MID('paste from garc here'!$C$1,1+(('table for research'!$B308-1)*36+HEX2DEC('table for research'!Y$1))*2,2)</f>
        <v>00</v>
      </c>
      <c r="Z308" t="str">
        <f>MID('paste from garc here'!$C$1,1+(('table for research'!$B308-1)*36+HEX2DEC('table for research'!Z$1))*2,2)</f>
        <v>00</v>
      </c>
      <c r="AA308" t="str">
        <f>MID('paste from garc here'!$C$1,1+(('table for research'!$B308-1)*36+HEX2DEC('table for research'!AA$1))*2,2)</f>
        <v>00</v>
      </c>
      <c r="AB308" t="str">
        <f>MID('paste from garc here'!$C$1,1+(('table for research'!$B308-1)*36+HEX2DEC('table for research'!AB$1))*2,2)</f>
        <v>00</v>
      </c>
      <c r="AC308" t="str">
        <f>MID('paste from garc here'!$C$1,1+(('table for research'!$B308-1)*36+HEX2DEC('table for research'!AC$1))*2,2)</f>
        <v>00</v>
      </c>
      <c r="AD308" t="str">
        <f>MID('paste from garc here'!$C$1,1+(('table for research'!$B308-1)*36+HEX2DEC('table for research'!AD$1))*2,2)</f>
        <v>00</v>
      </c>
      <c r="AE308" t="str">
        <f>MID('paste from garc here'!$C$1,1+(('table for research'!$B308-1)*36+HEX2DEC('table for research'!AE$1))*2,2)</f>
        <v>00</v>
      </c>
      <c r="AF308" t="str">
        <f>MID('paste from garc here'!$C$1,1+(('table for research'!$B308-1)*36+HEX2DEC('table for research'!AF$1))*2,2)</f>
        <v>00</v>
      </c>
      <c r="AG308" t="str">
        <f>MID('paste from garc here'!$C$1,1+(('table for research'!$B308-1)*36+HEX2DEC('table for research'!AG$1))*2,2)</f>
        <v>00</v>
      </c>
      <c r="AH308" t="str">
        <f>MID('paste from garc here'!$C$1,1+(('table for research'!$B308-1)*36+HEX2DEC('table for research'!AH$1))*2,2)</f>
        <v>00</v>
      </c>
      <c r="AI308" t="str">
        <f>MID('paste from garc here'!$C$1,1+(('table for research'!$B308-1)*36+HEX2DEC('table for research'!AI$1))*2,2)</f>
        <v>00</v>
      </c>
      <c r="AJ308" t="str">
        <f>MID('paste from garc here'!$C$1,1+(('table for research'!$B308-1)*36+HEX2DEC('table for research'!AJ$1))*2,2)</f>
        <v>00</v>
      </c>
      <c r="AK308" t="str">
        <f>MID('paste from garc here'!$C$1,1+(('table for research'!$B308-1)*36+HEX2DEC('table for research'!AK$1))*2,2)</f>
        <v>00</v>
      </c>
      <c r="AL308" t="str">
        <f>MID('paste from garc here'!$C$1,1+(('table for research'!$B308-1)*36+HEX2DEC('table for research'!AL$1))*2,2)</f>
        <v>00</v>
      </c>
      <c r="AM308" t="str">
        <f>MID('paste from garc here'!$C$1,1+(('table for research'!$B308-1)*36+HEX2DEC('table for research'!AM$1))*2,2)</f>
        <v>00</v>
      </c>
      <c r="AN308" t="str">
        <f>MID('paste from garc here'!$C$1,1+(('table for research'!$B308-1)*36+HEX2DEC('table for research'!AN$1))*2,2)</f>
        <v>00</v>
      </c>
      <c r="AO308" t="str">
        <f>MID('paste from garc here'!$C$1,1+(('table for research'!$B308-1)*36+HEX2DEC('table for research'!AO$1))*2,2)</f>
        <v>00</v>
      </c>
    </row>
    <row r="309" spans="1:41" x14ac:dyDescent="0.4">
      <c r="A309" t="s">
        <v>312</v>
      </c>
      <c r="B309">
        <f>B308+1</f>
        <v>307</v>
      </c>
      <c r="C309" t="str">
        <f>MID('paste from garc here'!$C$1,1+(('table for research'!$B309-1)*36+HEX2DEC('table for research'!C$1))*2,2)</f>
        <v>64</v>
      </c>
      <c r="D309" t="str">
        <f>MID('paste from garc here'!$C$1,1+(('table for research'!$B309-1)*36+HEX2DEC('table for research'!D$1))*2,2)</f>
        <v>00</v>
      </c>
      <c r="E309" t="str">
        <f>MID('paste from garc here'!$C$1,1+(('table for research'!$B309-1)*36+HEX2DEC('table for research'!E$1))*2,2)</f>
        <v>86</v>
      </c>
      <c r="F309" t="str">
        <f>MID('paste from garc here'!$C$1,1+(('table for research'!$B309-1)*36+HEX2DEC('table for research'!F$1))*2,2)</f>
        <v>14</v>
      </c>
      <c r="G309" t="str">
        <f>MID('paste from garc here'!$C$1,1+(('table for research'!$B309-1)*36+HEX2DEC('table for research'!G$1))*2,2)</f>
        <v>00</v>
      </c>
      <c r="H309" t="str">
        <f>MID('paste from garc here'!$C$1,1+(('table for research'!$B309-1)*36+HEX2DEC('table for research'!H$1))*2,2)</f>
        <v>00</v>
      </c>
      <c r="I309" t="str">
        <f>MID('paste from garc here'!$C$1,1+(('table for research'!$B309-1)*36+HEX2DEC('table for research'!I$1))*2,2)</f>
        <v>5A</v>
      </c>
      <c r="J309" t="str">
        <f>MID('paste from garc here'!$C$1,1+(('table for research'!$B309-1)*36+HEX2DEC('table for research'!J$1))*2,2)</f>
        <v>00</v>
      </c>
      <c r="K309" t="str">
        <f>DEC2HEX(_xlfn.BITAND(HEX2DEC(MID('paste from garc here'!$C$1,1+(('table for research'!$B309-1)*36+HEX2DEC(8))*2,2)),31),2)</f>
        <v>1F</v>
      </c>
      <c r="L309" t="str">
        <f>DEC2HEX(_xlfn.BITAND(HEX2DEC(MID('paste from garc here'!$C$1,1+(('table for research'!$B309-1)*36+HEX2DEC(8))*2,2)),32),2)</f>
        <v>00</v>
      </c>
      <c r="M309" t="str">
        <f>DEC2HEX(_xlfn.BITAND(HEX2DEC(MID('paste from garc here'!$C$1,1+(('table for research'!$B309-1)*36+HEX2DEC(8))*2,2)),64),2)</f>
        <v>00</v>
      </c>
      <c r="N309" t="str">
        <f>DEC2HEX(_xlfn.BITRSHIFT(_xlfn.BITAND(HEX2DEC(MID('paste from garc here'!$C$1,1+(('table for research'!$B309-1)*36+HEX2DEC(9))*2,2)&amp;MID('paste from garc here'!$C$1,1+(('table for research'!$B309-1)*36+HEX2DEC(8))*2,2)),1920),7),2)</f>
        <v>00</v>
      </c>
      <c r="O309" t="str">
        <f>DEC2HEX(_xlfn.BITRSHIFT(HEX2DEC(MID('paste from garc here'!$C$1,1+(('table for research'!$B309-1)*36+HEX2DEC(9))*2,2)&amp;MID('paste from garc here'!$C$1,1+(('table for research'!$B309-1)*36+HEX2DEC(8))*2,2)),11),2)</f>
        <v>00</v>
      </c>
      <c r="P309" t="str">
        <f>MID('paste from garc here'!$C$1,1+(('table for research'!$B309-1)*36+HEX2DEC('table for research'!P$1))*2,2)</f>
        <v>00</v>
      </c>
      <c r="Q309" t="str">
        <f>MID('paste from garc here'!$C$1,1+(('table for research'!$B309-1)*36+HEX2DEC('table for research'!Q$1))*2,2)</f>
        <v>00</v>
      </c>
      <c r="R309" t="str">
        <f>MID('paste from garc here'!$C$1,1+(('table for research'!$B309-1)*36+HEX2DEC('table for research'!R$1))*2,2)</f>
        <v>00</v>
      </c>
      <c r="S309" t="str">
        <f>MID('paste from garc here'!$C$1,1+(('table for research'!$B309-1)*36+HEX2DEC('table for research'!S$1))*2,2)</f>
        <v>01</v>
      </c>
      <c r="T309" t="str">
        <f>MID('paste from garc here'!$C$1,1+(('table for research'!$B309-1)*36+HEX2DEC('table for research'!T$1))*2,2)</f>
        <v>00</v>
      </c>
      <c r="U309" t="str">
        <f>MID('paste from garc here'!$C$1,1+(('table for research'!$B309-1)*36+HEX2DEC('table for research'!U$1))*2,2)</f>
        <v>9D</v>
      </c>
      <c r="V309" t="str">
        <f>MID('paste from garc here'!$C$1,1+(('table for research'!$B309-1)*36+HEX2DEC('table for research'!V$1))*2,2)</f>
        <v>00</v>
      </c>
      <c r="W309" t="str">
        <f>MID('paste from garc here'!$C$1,1+(('table for research'!$B309-1)*36+HEX2DEC('table for research'!W$1))*2,2)</f>
        <v>00</v>
      </c>
      <c r="X309" t="str">
        <f>MID('paste from garc here'!$C$1,1+(('table for research'!$B309-1)*36+HEX2DEC('table for research'!X$1))*2,2)</f>
        <v>00</v>
      </c>
      <c r="Y309" t="str">
        <f>MID('paste from garc here'!$C$1,1+(('table for research'!$B309-1)*36+HEX2DEC('table for research'!Y$1))*2,2)</f>
        <v>00</v>
      </c>
      <c r="Z309" t="str">
        <f>MID('paste from garc here'!$C$1,1+(('table for research'!$B309-1)*36+HEX2DEC('table for research'!Z$1))*2,2)</f>
        <v>00</v>
      </c>
      <c r="AA309" t="str">
        <f>MID('paste from garc here'!$C$1,1+(('table for research'!$B309-1)*36+HEX2DEC('table for research'!AA$1))*2,2)</f>
        <v>00</v>
      </c>
      <c r="AB309" t="str">
        <f>MID('paste from garc here'!$C$1,1+(('table for research'!$B309-1)*36+HEX2DEC('table for research'!AB$1))*2,2)</f>
        <v>00</v>
      </c>
      <c r="AC309" t="str">
        <f>MID('paste from garc here'!$C$1,1+(('table for research'!$B309-1)*36+HEX2DEC('table for research'!AC$1))*2,2)</f>
        <v>00</v>
      </c>
      <c r="AD309" t="str">
        <f>MID('paste from garc here'!$C$1,1+(('table for research'!$B309-1)*36+HEX2DEC('table for research'!AD$1))*2,2)</f>
        <v>00</v>
      </c>
      <c r="AE309" t="str">
        <f>MID('paste from garc here'!$C$1,1+(('table for research'!$B309-1)*36+HEX2DEC('table for research'!AE$1))*2,2)</f>
        <v>00</v>
      </c>
      <c r="AF309" t="str">
        <f>MID('paste from garc here'!$C$1,1+(('table for research'!$B309-1)*36+HEX2DEC('table for research'!AF$1))*2,2)</f>
        <v>00</v>
      </c>
      <c r="AG309" t="str">
        <f>MID('paste from garc here'!$C$1,1+(('table for research'!$B309-1)*36+HEX2DEC('table for research'!AG$1))*2,2)</f>
        <v>00</v>
      </c>
      <c r="AH309" t="str">
        <f>MID('paste from garc here'!$C$1,1+(('table for research'!$B309-1)*36+HEX2DEC('table for research'!AH$1))*2,2)</f>
        <v>00</v>
      </c>
      <c r="AI309" t="str">
        <f>MID('paste from garc here'!$C$1,1+(('table for research'!$B309-1)*36+HEX2DEC('table for research'!AI$1))*2,2)</f>
        <v>00</v>
      </c>
      <c r="AJ309" t="str">
        <f>MID('paste from garc here'!$C$1,1+(('table for research'!$B309-1)*36+HEX2DEC('table for research'!AJ$1))*2,2)</f>
        <v>00</v>
      </c>
      <c r="AK309" t="str">
        <f>MID('paste from garc here'!$C$1,1+(('table for research'!$B309-1)*36+HEX2DEC('table for research'!AK$1))*2,2)</f>
        <v>00</v>
      </c>
      <c r="AL309" t="str">
        <f>MID('paste from garc here'!$C$1,1+(('table for research'!$B309-1)*36+HEX2DEC('table for research'!AL$1))*2,2)</f>
        <v>00</v>
      </c>
      <c r="AM309" t="str">
        <f>MID('paste from garc here'!$C$1,1+(('table for research'!$B309-1)*36+HEX2DEC('table for research'!AM$1))*2,2)</f>
        <v>00</v>
      </c>
      <c r="AN309" t="str">
        <f>MID('paste from garc here'!$C$1,1+(('table for research'!$B309-1)*36+HEX2DEC('table for research'!AN$1))*2,2)</f>
        <v>00</v>
      </c>
      <c r="AO309" t="str">
        <f>MID('paste from garc here'!$C$1,1+(('table for research'!$B309-1)*36+HEX2DEC('table for research'!AO$1))*2,2)</f>
        <v>00</v>
      </c>
    </row>
    <row r="310" spans="1:41" x14ac:dyDescent="0.4">
      <c r="A310" t="s">
        <v>313</v>
      </c>
      <c r="B310">
        <f>B309+1</f>
        <v>308</v>
      </c>
      <c r="C310" t="str">
        <f>MID('paste from garc here'!$C$1,1+(('table for research'!$B310-1)*36+HEX2DEC('table for research'!C$1))*2,2)</f>
        <v>64</v>
      </c>
      <c r="D310" t="str">
        <f>MID('paste from garc here'!$C$1,1+(('table for research'!$B310-1)*36+HEX2DEC('table for research'!D$1))*2,2)</f>
        <v>00</v>
      </c>
      <c r="E310" t="str">
        <f>MID('paste from garc here'!$C$1,1+(('table for research'!$B310-1)*36+HEX2DEC('table for research'!E$1))*2,2)</f>
        <v>87</v>
      </c>
      <c r="F310" t="str">
        <f>MID('paste from garc here'!$C$1,1+(('table for research'!$B310-1)*36+HEX2DEC('table for research'!F$1))*2,2)</f>
        <v>14</v>
      </c>
      <c r="G310" t="str">
        <f>MID('paste from garc here'!$C$1,1+(('table for research'!$B310-1)*36+HEX2DEC('table for research'!G$1))*2,2)</f>
        <v>00</v>
      </c>
      <c r="H310" t="str">
        <f>MID('paste from garc here'!$C$1,1+(('table for research'!$B310-1)*36+HEX2DEC('table for research'!H$1))*2,2)</f>
        <v>00</v>
      </c>
      <c r="I310" t="str">
        <f>MID('paste from garc here'!$C$1,1+(('table for research'!$B310-1)*36+HEX2DEC('table for research'!I$1))*2,2)</f>
        <v>5A</v>
      </c>
      <c r="J310" t="str">
        <f>MID('paste from garc here'!$C$1,1+(('table for research'!$B310-1)*36+HEX2DEC('table for research'!J$1))*2,2)</f>
        <v>00</v>
      </c>
      <c r="K310" t="str">
        <f>DEC2HEX(_xlfn.BITAND(HEX2DEC(MID('paste from garc here'!$C$1,1+(('table for research'!$B310-1)*36+HEX2DEC(8))*2,2)),31),2)</f>
        <v>1F</v>
      </c>
      <c r="L310" t="str">
        <f>DEC2HEX(_xlfn.BITAND(HEX2DEC(MID('paste from garc here'!$C$1,1+(('table for research'!$B310-1)*36+HEX2DEC(8))*2,2)),32),2)</f>
        <v>00</v>
      </c>
      <c r="M310" t="str">
        <f>DEC2HEX(_xlfn.BITAND(HEX2DEC(MID('paste from garc here'!$C$1,1+(('table for research'!$B310-1)*36+HEX2DEC(8))*2,2)),64),2)</f>
        <v>00</v>
      </c>
      <c r="N310" t="str">
        <f>DEC2HEX(_xlfn.BITRSHIFT(_xlfn.BITAND(HEX2DEC(MID('paste from garc here'!$C$1,1+(('table for research'!$B310-1)*36+HEX2DEC(9))*2,2)&amp;MID('paste from garc here'!$C$1,1+(('table for research'!$B310-1)*36+HEX2DEC(8))*2,2)),1920),7),2)</f>
        <v>00</v>
      </c>
      <c r="O310" t="str">
        <f>DEC2HEX(_xlfn.BITRSHIFT(HEX2DEC(MID('paste from garc here'!$C$1,1+(('table for research'!$B310-1)*36+HEX2DEC(9))*2,2)&amp;MID('paste from garc here'!$C$1,1+(('table for research'!$B310-1)*36+HEX2DEC(8))*2,2)),11),2)</f>
        <v>00</v>
      </c>
      <c r="P310" t="str">
        <f>MID('paste from garc here'!$C$1,1+(('table for research'!$B310-1)*36+HEX2DEC('table for research'!P$1))*2,2)</f>
        <v>00</v>
      </c>
      <c r="Q310" t="str">
        <f>MID('paste from garc here'!$C$1,1+(('table for research'!$B310-1)*36+HEX2DEC('table for research'!Q$1))*2,2)</f>
        <v>00</v>
      </c>
      <c r="R310" t="str">
        <f>MID('paste from garc here'!$C$1,1+(('table for research'!$B310-1)*36+HEX2DEC('table for research'!R$1))*2,2)</f>
        <v>00</v>
      </c>
      <c r="S310" t="str">
        <f>MID('paste from garc here'!$C$1,1+(('table for research'!$B310-1)*36+HEX2DEC('table for research'!S$1))*2,2)</f>
        <v>01</v>
      </c>
      <c r="T310" t="str">
        <f>MID('paste from garc here'!$C$1,1+(('table for research'!$B310-1)*36+HEX2DEC('table for research'!T$1))*2,2)</f>
        <v>00</v>
      </c>
      <c r="U310" t="str">
        <f>MID('paste from garc here'!$C$1,1+(('table for research'!$B310-1)*36+HEX2DEC('table for research'!U$1))*2,2)</f>
        <v>9E</v>
      </c>
      <c r="V310" t="str">
        <f>MID('paste from garc here'!$C$1,1+(('table for research'!$B310-1)*36+HEX2DEC('table for research'!V$1))*2,2)</f>
        <v>00</v>
      </c>
      <c r="W310" t="str">
        <f>MID('paste from garc here'!$C$1,1+(('table for research'!$B310-1)*36+HEX2DEC('table for research'!W$1))*2,2)</f>
        <v>00</v>
      </c>
      <c r="X310" t="str">
        <f>MID('paste from garc here'!$C$1,1+(('table for research'!$B310-1)*36+HEX2DEC('table for research'!X$1))*2,2)</f>
        <v>00</v>
      </c>
      <c r="Y310" t="str">
        <f>MID('paste from garc here'!$C$1,1+(('table for research'!$B310-1)*36+HEX2DEC('table for research'!Y$1))*2,2)</f>
        <v>00</v>
      </c>
      <c r="Z310" t="str">
        <f>MID('paste from garc here'!$C$1,1+(('table for research'!$B310-1)*36+HEX2DEC('table for research'!Z$1))*2,2)</f>
        <v>00</v>
      </c>
      <c r="AA310" t="str">
        <f>MID('paste from garc here'!$C$1,1+(('table for research'!$B310-1)*36+HEX2DEC('table for research'!AA$1))*2,2)</f>
        <v>00</v>
      </c>
      <c r="AB310" t="str">
        <f>MID('paste from garc here'!$C$1,1+(('table for research'!$B310-1)*36+HEX2DEC('table for research'!AB$1))*2,2)</f>
        <v>00</v>
      </c>
      <c r="AC310" t="str">
        <f>MID('paste from garc here'!$C$1,1+(('table for research'!$B310-1)*36+HEX2DEC('table for research'!AC$1))*2,2)</f>
        <v>00</v>
      </c>
      <c r="AD310" t="str">
        <f>MID('paste from garc here'!$C$1,1+(('table for research'!$B310-1)*36+HEX2DEC('table for research'!AD$1))*2,2)</f>
        <v>00</v>
      </c>
      <c r="AE310" t="str">
        <f>MID('paste from garc here'!$C$1,1+(('table for research'!$B310-1)*36+HEX2DEC('table for research'!AE$1))*2,2)</f>
        <v>00</v>
      </c>
      <c r="AF310" t="str">
        <f>MID('paste from garc here'!$C$1,1+(('table for research'!$B310-1)*36+HEX2DEC('table for research'!AF$1))*2,2)</f>
        <v>00</v>
      </c>
      <c r="AG310" t="str">
        <f>MID('paste from garc here'!$C$1,1+(('table for research'!$B310-1)*36+HEX2DEC('table for research'!AG$1))*2,2)</f>
        <v>00</v>
      </c>
      <c r="AH310" t="str">
        <f>MID('paste from garc here'!$C$1,1+(('table for research'!$B310-1)*36+HEX2DEC('table for research'!AH$1))*2,2)</f>
        <v>00</v>
      </c>
      <c r="AI310" t="str">
        <f>MID('paste from garc here'!$C$1,1+(('table for research'!$B310-1)*36+HEX2DEC('table for research'!AI$1))*2,2)</f>
        <v>00</v>
      </c>
      <c r="AJ310" t="str">
        <f>MID('paste from garc here'!$C$1,1+(('table for research'!$B310-1)*36+HEX2DEC('table for research'!AJ$1))*2,2)</f>
        <v>00</v>
      </c>
      <c r="AK310" t="str">
        <f>MID('paste from garc here'!$C$1,1+(('table for research'!$B310-1)*36+HEX2DEC('table for research'!AK$1))*2,2)</f>
        <v>00</v>
      </c>
      <c r="AL310" t="str">
        <f>MID('paste from garc here'!$C$1,1+(('table for research'!$B310-1)*36+HEX2DEC('table for research'!AL$1))*2,2)</f>
        <v>00</v>
      </c>
      <c r="AM310" t="str">
        <f>MID('paste from garc here'!$C$1,1+(('table for research'!$B310-1)*36+HEX2DEC('table for research'!AM$1))*2,2)</f>
        <v>00</v>
      </c>
      <c r="AN310" t="str">
        <f>MID('paste from garc here'!$C$1,1+(('table for research'!$B310-1)*36+HEX2DEC('table for research'!AN$1))*2,2)</f>
        <v>00</v>
      </c>
      <c r="AO310" t="str">
        <f>MID('paste from garc here'!$C$1,1+(('table for research'!$B310-1)*36+HEX2DEC('table for research'!AO$1))*2,2)</f>
        <v>00</v>
      </c>
    </row>
    <row r="311" spans="1:41" x14ac:dyDescent="0.4">
      <c r="A311" t="s">
        <v>314</v>
      </c>
      <c r="B311">
        <f>B310+1</f>
        <v>309</v>
      </c>
      <c r="C311" t="str">
        <f>MID('paste from garc here'!$C$1,1+(('table for research'!$B311-1)*36+HEX2DEC('table for research'!C$1))*2,2)</f>
        <v>64</v>
      </c>
      <c r="D311" t="str">
        <f>MID('paste from garc here'!$C$1,1+(('table for research'!$B311-1)*36+HEX2DEC('table for research'!D$1))*2,2)</f>
        <v>00</v>
      </c>
      <c r="E311" t="str">
        <f>MID('paste from garc here'!$C$1,1+(('table for research'!$B311-1)*36+HEX2DEC('table for research'!E$1))*2,2)</f>
        <v>88</v>
      </c>
      <c r="F311" t="str">
        <f>MID('paste from garc here'!$C$1,1+(('table for research'!$B311-1)*36+HEX2DEC('table for research'!F$1))*2,2)</f>
        <v>14</v>
      </c>
      <c r="G311" t="str">
        <f>MID('paste from garc here'!$C$1,1+(('table for research'!$B311-1)*36+HEX2DEC('table for research'!G$1))*2,2)</f>
        <v>00</v>
      </c>
      <c r="H311" t="str">
        <f>MID('paste from garc here'!$C$1,1+(('table for research'!$B311-1)*36+HEX2DEC('table for research'!H$1))*2,2)</f>
        <v>00</v>
      </c>
      <c r="I311" t="str">
        <f>MID('paste from garc here'!$C$1,1+(('table for research'!$B311-1)*36+HEX2DEC('table for research'!I$1))*2,2)</f>
        <v>5A</v>
      </c>
      <c r="J311" t="str">
        <f>MID('paste from garc here'!$C$1,1+(('table for research'!$B311-1)*36+HEX2DEC('table for research'!J$1))*2,2)</f>
        <v>00</v>
      </c>
      <c r="K311" t="str">
        <f>DEC2HEX(_xlfn.BITAND(HEX2DEC(MID('paste from garc here'!$C$1,1+(('table for research'!$B311-1)*36+HEX2DEC(8))*2,2)),31),2)</f>
        <v>1F</v>
      </c>
      <c r="L311" t="str">
        <f>DEC2HEX(_xlfn.BITAND(HEX2DEC(MID('paste from garc here'!$C$1,1+(('table for research'!$B311-1)*36+HEX2DEC(8))*2,2)),32),2)</f>
        <v>00</v>
      </c>
      <c r="M311" t="str">
        <f>DEC2HEX(_xlfn.BITAND(HEX2DEC(MID('paste from garc here'!$C$1,1+(('table for research'!$B311-1)*36+HEX2DEC(8))*2,2)),64),2)</f>
        <v>00</v>
      </c>
      <c r="N311" t="str">
        <f>DEC2HEX(_xlfn.BITRSHIFT(_xlfn.BITAND(HEX2DEC(MID('paste from garc here'!$C$1,1+(('table for research'!$B311-1)*36+HEX2DEC(9))*2,2)&amp;MID('paste from garc here'!$C$1,1+(('table for research'!$B311-1)*36+HEX2DEC(8))*2,2)),1920),7),2)</f>
        <v>00</v>
      </c>
      <c r="O311" t="str">
        <f>DEC2HEX(_xlfn.BITRSHIFT(HEX2DEC(MID('paste from garc here'!$C$1,1+(('table for research'!$B311-1)*36+HEX2DEC(9))*2,2)&amp;MID('paste from garc here'!$C$1,1+(('table for research'!$B311-1)*36+HEX2DEC(8))*2,2)),11),2)</f>
        <v>00</v>
      </c>
      <c r="P311" t="str">
        <f>MID('paste from garc here'!$C$1,1+(('table for research'!$B311-1)*36+HEX2DEC('table for research'!P$1))*2,2)</f>
        <v>00</v>
      </c>
      <c r="Q311" t="str">
        <f>MID('paste from garc here'!$C$1,1+(('table for research'!$B311-1)*36+HEX2DEC('table for research'!Q$1))*2,2)</f>
        <v>00</v>
      </c>
      <c r="R311" t="str">
        <f>MID('paste from garc here'!$C$1,1+(('table for research'!$B311-1)*36+HEX2DEC('table for research'!R$1))*2,2)</f>
        <v>00</v>
      </c>
      <c r="S311" t="str">
        <f>MID('paste from garc here'!$C$1,1+(('table for research'!$B311-1)*36+HEX2DEC('table for research'!S$1))*2,2)</f>
        <v>01</v>
      </c>
      <c r="T311" t="str">
        <f>MID('paste from garc here'!$C$1,1+(('table for research'!$B311-1)*36+HEX2DEC('table for research'!T$1))*2,2)</f>
        <v>00</v>
      </c>
      <c r="U311" t="str">
        <f>MID('paste from garc here'!$C$1,1+(('table for research'!$B311-1)*36+HEX2DEC('table for research'!U$1))*2,2)</f>
        <v>9F</v>
      </c>
      <c r="V311" t="str">
        <f>MID('paste from garc here'!$C$1,1+(('table for research'!$B311-1)*36+HEX2DEC('table for research'!V$1))*2,2)</f>
        <v>00</v>
      </c>
      <c r="W311" t="str">
        <f>MID('paste from garc here'!$C$1,1+(('table for research'!$B311-1)*36+HEX2DEC('table for research'!W$1))*2,2)</f>
        <v>00</v>
      </c>
      <c r="X311" t="str">
        <f>MID('paste from garc here'!$C$1,1+(('table for research'!$B311-1)*36+HEX2DEC('table for research'!X$1))*2,2)</f>
        <v>00</v>
      </c>
      <c r="Y311" t="str">
        <f>MID('paste from garc here'!$C$1,1+(('table for research'!$B311-1)*36+HEX2DEC('table for research'!Y$1))*2,2)</f>
        <v>00</v>
      </c>
      <c r="Z311" t="str">
        <f>MID('paste from garc here'!$C$1,1+(('table for research'!$B311-1)*36+HEX2DEC('table for research'!Z$1))*2,2)</f>
        <v>00</v>
      </c>
      <c r="AA311" t="str">
        <f>MID('paste from garc here'!$C$1,1+(('table for research'!$B311-1)*36+HEX2DEC('table for research'!AA$1))*2,2)</f>
        <v>00</v>
      </c>
      <c r="AB311" t="str">
        <f>MID('paste from garc here'!$C$1,1+(('table for research'!$B311-1)*36+HEX2DEC('table for research'!AB$1))*2,2)</f>
        <v>00</v>
      </c>
      <c r="AC311" t="str">
        <f>MID('paste from garc here'!$C$1,1+(('table for research'!$B311-1)*36+HEX2DEC('table for research'!AC$1))*2,2)</f>
        <v>00</v>
      </c>
      <c r="AD311" t="str">
        <f>MID('paste from garc here'!$C$1,1+(('table for research'!$B311-1)*36+HEX2DEC('table for research'!AD$1))*2,2)</f>
        <v>00</v>
      </c>
      <c r="AE311" t="str">
        <f>MID('paste from garc here'!$C$1,1+(('table for research'!$B311-1)*36+HEX2DEC('table for research'!AE$1))*2,2)</f>
        <v>00</v>
      </c>
      <c r="AF311" t="str">
        <f>MID('paste from garc here'!$C$1,1+(('table for research'!$B311-1)*36+HEX2DEC('table for research'!AF$1))*2,2)</f>
        <v>00</v>
      </c>
      <c r="AG311" t="str">
        <f>MID('paste from garc here'!$C$1,1+(('table for research'!$B311-1)*36+HEX2DEC('table for research'!AG$1))*2,2)</f>
        <v>00</v>
      </c>
      <c r="AH311" t="str">
        <f>MID('paste from garc here'!$C$1,1+(('table for research'!$B311-1)*36+HEX2DEC('table for research'!AH$1))*2,2)</f>
        <v>00</v>
      </c>
      <c r="AI311" t="str">
        <f>MID('paste from garc here'!$C$1,1+(('table for research'!$B311-1)*36+HEX2DEC('table for research'!AI$1))*2,2)</f>
        <v>00</v>
      </c>
      <c r="AJ311" t="str">
        <f>MID('paste from garc here'!$C$1,1+(('table for research'!$B311-1)*36+HEX2DEC('table for research'!AJ$1))*2,2)</f>
        <v>00</v>
      </c>
      <c r="AK311" t="str">
        <f>MID('paste from garc here'!$C$1,1+(('table for research'!$B311-1)*36+HEX2DEC('table for research'!AK$1))*2,2)</f>
        <v>00</v>
      </c>
      <c r="AL311" t="str">
        <f>MID('paste from garc here'!$C$1,1+(('table for research'!$B311-1)*36+HEX2DEC('table for research'!AL$1))*2,2)</f>
        <v>00</v>
      </c>
      <c r="AM311" t="str">
        <f>MID('paste from garc here'!$C$1,1+(('table for research'!$B311-1)*36+HEX2DEC('table for research'!AM$1))*2,2)</f>
        <v>00</v>
      </c>
      <c r="AN311" t="str">
        <f>MID('paste from garc here'!$C$1,1+(('table for research'!$B311-1)*36+HEX2DEC('table for research'!AN$1))*2,2)</f>
        <v>00</v>
      </c>
      <c r="AO311" t="str">
        <f>MID('paste from garc here'!$C$1,1+(('table for research'!$B311-1)*36+HEX2DEC('table for research'!AO$1))*2,2)</f>
        <v>00</v>
      </c>
    </row>
    <row r="312" spans="1:41" x14ac:dyDescent="0.4">
      <c r="A312" t="s">
        <v>315</v>
      </c>
      <c r="B312">
        <f>B311+1</f>
        <v>310</v>
      </c>
      <c r="C312" t="str">
        <f>MID('paste from garc here'!$C$1,1+(('table for research'!$B312-1)*36+HEX2DEC('table for research'!C$1))*2,2)</f>
        <v>64</v>
      </c>
      <c r="D312" t="str">
        <f>MID('paste from garc here'!$C$1,1+(('table for research'!$B312-1)*36+HEX2DEC('table for research'!D$1))*2,2)</f>
        <v>00</v>
      </c>
      <c r="E312" t="str">
        <f>MID('paste from garc here'!$C$1,1+(('table for research'!$B312-1)*36+HEX2DEC('table for research'!E$1))*2,2)</f>
        <v>89</v>
      </c>
      <c r="F312" t="str">
        <f>MID('paste from garc here'!$C$1,1+(('table for research'!$B312-1)*36+HEX2DEC('table for research'!F$1))*2,2)</f>
        <v>14</v>
      </c>
      <c r="G312" t="str">
        <f>MID('paste from garc here'!$C$1,1+(('table for research'!$B312-1)*36+HEX2DEC('table for research'!G$1))*2,2)</f>
        <v>00</v>
      </c>
      <c r="H312" t="str">
        <f>MID('paste from garc here'!$C$1,1+(('table for research'!$B312-1)*36+HEX2DEC('table for research'!H$1))*2,2)</f>
        <v>00</v>
      </c>
      <c r="I312" t="str">
        <f>MID('paste from garc here'!$C$1,1+(('table for research'!$B312-1)*36+HEX2DEC('table for research'!I$1))*2,2)</f>
        <v>5A</v>
      </c>
      <c r="J312" t="str">
        <f>MID('paste from garc here'!$C$1,1+(('table for research'!$B312-1)*36+HEX2DEC('table for research'!J$1))*2,2)</f>
        <v>00</v>
      </c>
      <c r="K312" t="str">
        <f>DEC2HEX(_xlfn.BITAND(HEX2DEC(MID('paste from garc here'!$C$1,1+(('table for research'!$B312-1)*36+HEX2DEC(8))*2,2)),31),2)</f>
        <v>1F</v>
      </c>
      <c r="L312" t="str">
        <f>DEC2HEX(_xlfn.BITAND(HEX2DEC(MID('paste from garc here'!$C$1,1+(('table for research'!$B312-1)*36+HEX2DEC(8))*2,2)),32),2)</f>
        <v>00</v>
      </c>
      <c r="M312" t="str">
        <f>DEC2HEX(_xlfn.BITAND(HEX2DEC(MID('paste from garc here'!$C$1,1+(('table for research'!$B312-1)*36+HEX2DEC(8))*2,2)),64),2)</f>
        <v>00</v>
      </c>
      <c r="N312" t="str">
        <f>DEC2HEX(_xlfn.BITRSHIFT(_xlfn.BITAND(HEX2DEC(MID('paste from garc here'!$C$1,1+(('table for research'!$B312-1)*36+HEX2DEC(9))*2,2)&amp;MID('paste from garc here'!$C$1,1+(('table for research'!$B312-1)*36+HEX2DEC(8))*2,2)),1920),7),2)</f>
        <v>00</v>
      </c>
      <c r="O312" t="str">
        <f>DEC2HEX(_xlfn.BITRSHIFT(HEX2DEC(MID('paste from garc here'!$C$1,1+(('table for research'!$B312-1)*36+HEX2DEC(9))*2,2)&amp;MID('paste from garc here'!$C$1,1+(('table for research'!$B312-1)*36+HEX2DEC(8))*2,2)),11),2)</f>
        <v>00</v>
      </c>
      <c r="P312" t="str">
        <f>MID('paste from garc here'!$C$1,1+(('table for research'!$B312-1)*36+HEX2DEC('table for research'!P$1))*2,2)</f>
        <v>00</v>
      </c>
      <c r="Q312" t="str">
        <f>MID('paste from garc here'!$C$1,1+(('table for research'!$B312-1)*36+HEX2DEC('table for research'!Q$1))*2,2)</f>
        <v>00</v>
      </c>
      <c r="R312" t="str">
        <f>MID('paste from garc here'!$C$1,1+(('table for research'!$B312-1)*36+HEX2DEC('table for research'!R$1))*2,2)</f>
        <v>00</v>
      </c>
      <c r="S312" t="str">
        <f>MID('paste from garc here'!$C$1,1+(('table for research'!$B312-1)*36+HEX2DEC('table for research'!S$1))*2,2)</f>
        <v>01</v>
      </c>
      <c r="T312" t="str">
        <f>MID('paste from garc here'!$C$1,1+(('table for research'!$B312-1)*36+HEX2DEC('table for research'!T$1))*2,2)</f>
        <v>00</v>
      </c>
      <c r="U312" t="str">
        <f>MID('paste from garc here'!$C$1,1+(('table for research'!$B312-1)*36+HEX2DEC('table for research'!U$1))*2,2)</f>
        <v>A0</v>
      </c>
      <c r="V312" t="str">
        <f>MID('paste from garc here'!$C$1,1+(('table for research'!$B312-1)*36+HEX2DEC('table for research'!V$1))*2,2)</f>
        <v>00</v>
      </c>
      <c r="W312" t="str">
        <f>MID('paste from garc here'!$C$1,1+(('table for research'!$B312-1)*36+HEX2DEC('table for research'!W$1))*2,2)</f>
        <v>00</v>
      </c>
      <c r="X312" t="str">
        <f>MID('paste from garc here'!$C$1,1+(('table for research'!$B312-1)*36+HEX2DEC('table for research'!X$1))*2,2)</f>
        <v>00</v>
      </c>
      <c r="Y312" t="str">
        <f>MID('paste from garc here'!$C$1,1+(('table for research'!$B312-1)*36+HEX2DEC('table for research'!Y$1))*2,2)</f>
        <v>00</v>
      </c>
      <c r="Z312" t="str">
        <f>MID('paste from garc here'!$C$1,1+(('table for research'!$B312-1)*36+HEX2DEC('table for research'!Z$1))*2,2)</f>
        <v>00</v>
      </c>
      <c r="AA312" t="str">
        <f>MID('paste from garc here'!$C$1,1+(('table for research'!$B312-1)*36+HEX2DEC('table for research'!AA$1))*2,2)</f>
        <v>00</v>
      </c>
      <c r="AB312" t="str">
        <f>MID('paste from garc here'!$C$1,1+(('table for research'!$B312-1)*36+HEX2DEC('table for research'!AB$1))*2,2)</f>
        <v>00</v>
      </c>
      <c r="AC312" t="str">
        <f>MID('paste from garc here'!$C$1,1+(('table for research'!$B312-1)*36+HEX2DEC('table for research'!AC$1))*2,2)</f>
        <v>00</v>
      </c>
      <c r="AD312" t="str">
        <f>MID('paste from garc here'!$C$1,1+(('table for research'!$B312-1)*36+HEX2DEC('table for research'!AD$1))*2,2)</f>
        <v>00</v>
      </c>
      <c r="AE312" t="str">
        <f>MID('paste from garc here'!$C$1,1+(('table for research'!$B312-1)*36+HEX2DEC('table for research'!AE$1))*2,2)</f>
        <v>00</v>
      </c>
      <c r="AF312" t="str">
        <f>MID('paste from garc here'!$C$1,1+(('table for research'!$B312-1)*36+HEX2DEC('table for research'!AF$1))*2,2)</f>
        <v>00</v>
      </c>
      <c r="AG312" t="str">
        <f>MID('paste from garc here'!$C$1,1+(('table for research'!$B312-1)*36+HEX2DEC('table for research'!AG$1))*2,2)</f>
        <v>00</v>
      </c>
      <c r="AH312" t="str">
        <f>MID('paste from garc here'!$C$1,1+(('table for research'!$B312-1)*36+HEX2DEC('table for research'!AH$1))*2,2)</f>
        <v>00</v>
      </c>
      <c r="AI312" t="str">
        <f>MID('paste from garc here'!$C$1,1+(('table for research'!$B312-1)*36+HEX2DEC('table for research'!AI$1))*2,2)</f>
        <v>00</v>
      </c>
      <c r="AJ312" t="str">
        <f>MID('paste from garc here'!$C$1,1+(('table for research'!$B312-1)*36+HEX2DEC('table for research'!AJ$1))*2,2)</f>
        <v>00</v>
      </c>
      <c r="AK312" t="str">
        <f>MID('paste from garc here'!$C$1,1+(('table for research'!$B312-1)*36+HEX2DEC('table for research'!AK$1))*2,2)</f>
        <v>00</v>
      </c>
      <c r="AL312" t="str">
        <f>MID('paste from garc here'!$C$1,1+(('table for research'!$B312-1)*36+HEX2DEC('table for research'!AL$1))*2,2)</f>
        <v>00</v>
      </c>
      <c r="AM312" t="str">
        <f>MID('paste from garc here'!$C$1,1+(('table for research'!$B312-1)*36+HEX2DEC('table for research'!AM$1))*2,2)</f>
        <v>00</v>
      </c>
      <c r="AN312" t="str">
        <f>MID('paste from garc here'!$C$1,1+(('table for research'!$B312-1)*36+HEX2DEC('table for research'!AN$1))*2,2)</f>
        <v>00</v>
      </c>
      <c r="AO312" t="str">
        <f>MID('paste from garc here'!$C$1,1+(('table for research'!$B312-1)*36+HEX2DEC('table for research'!AO$1))*2,2)</f>
        <v>00</v>
      </c>
    </row>
    <row r="313" spans="1:41" x14ac:dyDescent="0.4">
      <c r="A313" t="s">
        <v>316</v>
      </c>
      <c r="B313">
        <f>B312+1</f>
        <v>311</v>
      </c>
      <c r="C313" t="str">
        <f>MID('paste from garc here'!$C$1,1+(('table for research'!$B313-1)*36+HEX2DEC('table for research'!C$1))*2,2)</f>
        <v>64</v>
      </c>
      <c r="D313" t="str">
        <f>MID('paste from garc here'!$C$1,1+(('table for research'!$B313-1)*36+HEX2DEC('table for research'!D$1))*2,2)</f>
        <v>00</v>
      </c>
      <c r="E313" t="str">
        <f>MID('paste from garc here'!$C$1,1+(('table for research'!$B313-1)*36+HEX2DEC('table for research'!E$1))*2,2)</f>
        <v>8A</v>
      </c>
      <c r="F313" t="str">
        <f>MID('paste from garc here'!$C$1,1+(('table for research'!$B313-1)*36+HEX2DEC('table for research'!F$1))*2,2)</f>
        <v>14</v>
      </c>
      <c r="G313" t="str">
        <f>MID('paste from garc here'!$C$1,1+(('table for research'!$B313-1)*36+HEX2DEC('table for research'!G$1))*2,2)</f>
        <v>00</v>
      </c>
      <c r="H313" t="str">
        <f>MID('paste from garc here'!$C$1,1+(('table for research'!$B313-1)*36+HEX2DEC('table for research'!H$1))*2,2)</f>
        <v>00</v>
      </c>
      <c r="I313" t="str">
        <f>MID('paste from garc here'!$C$1,1+(('table for research'!$B313-1)*36+HEX2DEC('table for research'!I$1))*2,2)</f>
        <v>5A</v>
      </c>
      <c r="J313" t="str">
        <f>MID('paste from garc here'!$C$1,1+(('table for research'!$B313-1)*36+HEX2DEC('table for research'!J$1))*2,2)</f>
        <v>00</v>
      </c>
      <c r="K313" t="str">
        <f>DEC2HEX(_xlfn.BITAND(HEX2DEC(MID('paste from garc here'!$C$1,1+(('table for research'!$B313-1)*36+HEX2DEC(8))*2,2)),31),2)</f>
        <v>1F</v>
      </c>
      <c r="L313" t="str">
        <f>DEC2HEX(_xlfn.BITAND(HEX2DEC(MID('paste from garc here'!$C$1,1+(('table for research'!$B313-1)*36+HEX2DEC(8))*2,2)),32),2)</f>
        <v>00</v>
      </c>
      <c r="M313" t="str">
        <f>DEC2HEX(_xlfn.BITAND(HEX2DEC(MID('paste from garc here'!$C$1,1+(('table for research'!$B313-1)*36+HEX2DEC(8))*2,2)),64),2)</f>
        <v>00</v>
      </c>
      <c r="N313" t="str">
        <f>DEC2HEX(_xlfn.BITRSHIFT(_xlfn.BITAND(HEX2DEC(MID('paste from garc here'!$C$1,1+(('table for research'!$B313-1)*36+HEX2DEC(9))*2,2)&amp;MID('paste from garc here'!$C$1,1+(('table for research'!$B313-1)*36+HEX2DEC(8))*2,2)),1920),7),2)</f>
        <v>00</v>
      </c>
      <c r="O313" t="str">
        <f>DEC2HEX(_xlfn.BITRSHIFT(HEX2DEC(MID('paste from garc here'!$C$1,1+(('table for research'!$B313-1)*36+HEX2DEC(9))*2,2)&amp;MID('paste from garc here'!$C$1,1+(('table for research'!$B313-1)*36+HEX2DEC(8))*2,2)),11),2)</f>
        <v>00</v>
      </c>
      <c r="P313" t="str">
        <f>MID('paste from garc here'!$C$1,1+(('table for research'!$B313-1)*36+HEX2DEC('table for research'!P$1))*2,2)</f>
        <v>00</v>
      </c>
      <c r="Q313" t="str">
        <f>MID('paste from garc here'!$C$1,1+(('table for research'!$B313-1)*36+HEX2DEC('table for research'!Q$1))*2,2)</f>
        <v>00</v>
      </c>
      <c r="R313" t="str">
        <f>MID('paste from garc here'!$C$1,1+(('table for research'!$B313-1)*36+HEX2DEC('table for research'!R$1))*2,2)</f>
        <v>00</v>
      </c>
      <c r="S313" t="str">
        <f>MID('paste from garc here'!$C$1,1+(('table for research'!$B313-1)*36+HEX2DEC('table for research'!S$1))*2,2)</f>
        <v>01</v>
      </c>
      <c r="T313" t="str">
        <f>MID('paste from garc here'!$C$1,1+(('table for research'!$B313-1)*36+HEX2DEC('table for research'!T$1))*2,2)</f>
        <v>00</v>
      </c>
      <c r="U313" t="str">
        <f>MID('paste from garc here'!$C$1,1+(('table for research'!$B313-1)*36+HEX2DEC('table for research'!U$1))*2,2)</f>
        <v>A1</v>
      </c>
      <c r="V313" t="str">
        <f>MID('paste from garc here'!$C$1,1+(('table for research'!$B313-1)*36+HEX2DEC('table for research'!V$1))*2,2)</f>
        <v>00</v>
      </c>
      <c r="W313" t="str">
        <f>MID('paste from garc here'!$C$1,1+(('table for research'!$B313-1)*36+HEX2DEC('table for research'!W$1))*2,2)</f>
        <v>00</v>
      </c>
      <c r="X313" t="str">
        <f>MID('paste from garc here'!$C$1,1+(('table for research'!$B313-1)*36+HEX2DEC('table for research'!X$1))*2,2)</f>
        <v>00</v>
      </c>
      <c r="Y313" t="str">
        <f>MID('paste from garc here'!$C$1,1+(('table for research'!$B313-1)*36+HEX2DEC('table for research'!Y$1))*2,2)</f>
        <v>00</v>
      </c>
      <c r="Z313" t="str">
        <f>MID('paste from garc here'!$C$1,1+(('table for research'!$B313-1)*36+HEX2DEC('table for research'!Z$1))*2,2)</f>
        <v>00</v>
      </c>
      <c r="AA313" t="str">
        <f>MID('paste from garc here'!$C$1,1+(('table for research'!$B313-1)*36+HEX2DEC('table for research'!AA$1))*2,2)</f>
        <v>00</v>
      </c>
      <c r="AB313" t="str">
        <f>MID('paste from garc here'!$C$1,1+(('table for research'!$B313-1)*36+HEX2DEC('table for research'!AB$1))*2,2)</f>
        <v>00</v>
      </c>
      <c r="AC313" t="str">
        <f>MID('paste from garc here'!$C$1,1+(('table for research'!$B313-1)*36+HEX2DEC('table for research'!AC$1))*2,2)</f>
        <v>00</v>
      </c>
      <c r="AD313" t="str">
        <f>MID('paste from garc here'!$C$1,1+(('table for research'!$B313-1)*36+HEX2DEC('table for research'!AD$1))*2,2)</f>
        <v>00</v>
      </c>
      <c r="AE313" t="str">
        <f>MID('paste from garc here'!$C$1,1+(('table for research'!$B313-1)*36+HEX2DEC('table for research'!AE$1))*2,2)</f>
        <v>00</v>
      </c>
      <c r="AF313" t="str">
        <f>MID('paste from garc here'!$C$1,1+(('table for research'!$B313-1)*36+HEX2DEC('table for research'!AF$1))*2,2)</f>
        <v>00</v>
      </c>
      <c r="AG313" t="str">
        <f>MID('paste from garc here'!$C$1,1+(('table for research'!$B313-1)*36+HEX2DEC('table for research'!AG$1))*2,2)</f>
        <v>00</v>
      </c>
      <c r="AH313" t="str">
        <f>MID('paste from garc here'!$C$1,1+(('table for research'!$B313-1)*36+HEX2DEC('table for research'!AH$1))*2,2)</f>
        <v>00</v>
      </c>
      <c r="AI313" t="str">
        <f>MID('paste from garc here'!$C$1,1+(('table for research'!$B313-1)*36+HEX2DEC('table for research'!AI$1))*2,2)</f>
        <v>00</v>
      </c>
      <c r="AJ313" t="str">
        <f>MID('paste from garc here'!$C$1,1+(('table for research'!$B313-1)*36+HEX2DEC('table for research'!AJ$1))*2,2)</f>
        <v>00</v>
      </c>
      <c r="AK313" t="str">
        <f>MID('paste from garc here'!$C$1,1+(('table for research'!$B313-1)*36+HEX2DEC('table for research'!AK$1))*2,2)</f>
        <v>00</v>
      </c>
      <c r="AL313" t="str">
        <f>MID('paste from garc here'!$C$1,1+(('table for research'!$B313-1)*36+HEX2DEC('table for research'!AL$1))*2,2)</f>
        <v>00</v>
      </c>
      <c r="AM313" t="str">
        <f>MID('paste from garc here'!$C$1,1+(('table for research'!$B313-1)*36+HEX2DEC('table for research'!AM$1))*2,2)</f>
        <v>00</v>
      </c>
      <c r="AN313" t="str">
        <f>MID('paste from garc here'!$C$1,1+(('table for research'!$B313-1)*36+HEX2DEC('table for research'!AN$1))*2,2)</f>
        <v>00</v>
      </c>
      <c r="AO313" t="str">
        <f>MID('paste from garc here'!$C$1,1+(('table for research'!$B313-1)*36+HEX2DEC('table for research'!AO$1))*2,2)</f>
        <v>00</v>
      </c>
    </row>
    <row r="314" spans="1:41" x14ac:dyDescent="0.4">
      <c r="A314" t="s">
        <v>317</v>
      </c>
      <c r="B314">
        <f>B313+1</f>
        <v>312</v>
      </c>
      <c r="C314" t="str">
        <f>MID('paste from garc here'!$C$1,1+(('table for research'!$B314-1)*36+HEX2DEC('table for research'!C$1))*2,2)</f>
        <v>64</v>
      </c>
      <c r="D314" t="str">
        <f>MID('paste from garc here'!$C$1,1+(('table for research'!$B314-1)*36+HEX2DEC('table for research'!D$1))*2,2)</f>
        <v>00</v>
      </c>
      <c r="E314" t="str">
        <f>MID('paste from garc here'!$C$1,1+(('table for research'!$B314-1)*36+HEX2DEC('table for research'!E$1))*2,2)</f>
        <v>8B</v>
      </c>
      <c r="F314" t="str">
        <f>MID('paste from garc here'!$C$1,1+(('table for research'!$B314-1)*36+HEX2DEC('table for research'!F$1))*2,2)</f>
        <v>14</v>
      </c>
      <c r="G314" t="str">
        <f>MID('paste from garc here'!$C$1,1+(('table for research'!$B314-1)*36+HEX2DEC('table for research'!G$1))*2,2)</f>
        <v>00</v>
      </c>
      <c r="H314" t="str">
        <f>MID('paste from garc here'!$C$1,1+(('table for research'!$B314-1)*36+HEX2DEC('table for research'!H$1))*2,2)</f>
        <v>00</v>
      </c>
      <c r="I314" t="str">
        <f>MID('paste from garc here'!$C$1,1+(('table for research'!$B314-1)*36+HEX2DEC('table for research'!I$1))*2,2)</f>
        <v>5A</v>
      </c>
      <c r="J314" t="str">
        <f>MID('paste from garc here'!$C$1,1+(('table for research'!$B314-1)*36+HEX2DEC('table for research'!J$1))*2,2)</f>
        <v>00</v>
      </c>
      <c r="K314" t="str">
        <f>DEC2HEX(_xlfn.BITAND(HEX2DEC(MID('paste from garc here'!$C$1,1+(('table for research'!$B314-1)*36+HEX2DEC(8))*2,2)),31),2)</f>
        <v>1F</v>
      </c>
      <c r="L314" t="str">
        <f>DEC2HEX(_xlfn.BITAND(HEX2DEC(MID('paste from garc here'!$C$1,1+(('table for research'!$B314-1)*36+HEX2DEC(8))*2,2)),32),2)</f>
        <v>00</v>
      </c>
      <c r="M314" t="str">
        <f>DEC2HEX(_xlfn.BITAND(HEX2DEC(MID('paste from garc here'!$C$1,1+(('table for research'!$B314-1)*36+HEX2DEC(8))*2,2)),64),2)</f>
        <v>00</v>
      </c>
      <c r="N314" t="str">
        <f>DEC2HEX(_xlfn.BITRSHIFT(_xlfn.BITAND(HEX2DEC(MID('paste from garc here'!$C$1,1+(('table for research'!$B314-1)*36+HEX2DEC(9))*2,2)&amp;MID('paste from garc here'!$C$1,1+(('table for research'!$B314-1)*36+HEX2DEC(8))*2,2)),1920),7),2)</f>
        <v>00</v>
      </c>
      <c r="O314" t="str">
        <f>DEC2HEX(_xlfn.BITRSHIFT(HEX2DEC(MID('paste from garc here'!$C$1,1+(('table for research'!$B314-1)*36+HEX2DEC(9))*2,2)&amp;MID('paste from garc here'!$C$1,1+(('table for research'!$B314-1)*36+HEX2DEC(8))*2,2)),11),2)</f>
        <v>00</v>
      </c>
      <c r="P314" t="str">
        <f>MID('paste from garc here'!$C$1,1+(('table for research'!$B314-1)*36+HEX2DEC('table for research'!P$1))*2,2)</f>
        <v>00</v>
      </c>
      <c r="Q314" t="str">
        <f>MID('paste from garc here'!$C$1,1+(('table for research'!$B314-1)*36+HEX2DEC('table for research'!Q$1))*2,2)</f>
        <v>00</v>
      </c>
      <c r="R314" t="str">
        <f>MID('paste from garc here'!$C$1,1+(('table for research'!$B314-1)*36+HEX2DEC('table for research'!R$1))*2,2)</f>
        <v>00</v>
      </c>
      <c r="S314" t="str">
        <f>MID('paste from garc here'!$C$1,1+(('table for research'!$B314-1)*36+HEX2DEC('table for research'!S$1))*2,2)</f>
        <v>01</v>
      </c>
      <c r="T314" t="str">
        <f>MID('paste from garc here'!$C$1,1+(('table for research'!$B314-1)*36+HEX2DEC('table for research'!T$1))*2,2)</f>
        <v>00</v>
      </c>
      <c r="U314" t="str">
        <f>MID('paste from garc here'!$C$1,1+(('table for research'!$B314-1)*36+HEX2DEC('table for research'!U$1))*2,2)</f>
        <v>A2</v>
      </c>
      <c r="V314" t="str">
        <f>MID('paste from garc here'!$C$1,1+(('table for research'!$B314-1)*36+HEX2DEC('table for research'!V$1))*2,2)</f>
        <v>00</v>
      </c>
      <c r="W314" t="str">
        <f>MID('paste from garc here'!$C$1,1+(('table for research'!$B314-1)*36+HEX2DEC('table for research'!W$1))*2,2)</f>
        <v>00</v>
      </c>
      <c r="X314" t="str">
        <f>MID('paste from garc here'!$C$1,1+(('table for research'!$B314-1)*36+HEX2DEC('table for research'!X$1))*2,2)</f>
        <v>00</v>
      </c>
      <c r="Y314" t="str">
        <f>MID('paste from garc here'!$C$1,1+(('table for research'!$B314-1)*36+HEX2DEC('table for research'!Y$1))*2,2)</f>
        <v>00</v>
      </c>
      <c r="Z314" t="str">
        <f>MID('paste from garc here'!$C$1,1+(('table for research'!$B314-1)*36+HEX2DEC('table for research'!Z$1))*2,2)</f>
        <v>00</v>
      </c>
      <c r="AA314" t="str">
        <f>MID('paste from garc here'!$C$1,1+(('table for research'!$B314-1)*36+HEX2DEC('table for research'!AA$1))*2,2)</f>
        <v>00</v>
      </c>
      <c r="AB314" t="str">
        <f>MID('paste from garc here'!$C$1,1+(('table for research'!$B314-1)*36+HEX2DEC('table for research'!AB$1))*2,2)</f>
        <v>00</v>
      </c>
      <c r="AC314" t="str">
        <f>MID('paste from garc here'!$C$1,1+(('table for research'!$B314-1)*36+HEX2DEC('table for research'!AC$1))*2,2)</f>
        <v>00</v>
      </c>
      <c r="AD314" t="str">
        <f>MID('paste from garc here'!$C$1,1+(('table for research'!$B314-1)*36+HEX2DEC('table for research'!AD$1))*2,2)</f>
        <v>00</v>
      </c>
      <c r="AE314" t="str">
        <f>MID('paste from garc here'!$C$1,1+(('table for research'!$B314-1)*36+HEX2DEC('table for research'!AE$1))*2,2)</f>
        <v>00</v>
      </c>
      <c r="AF314" t="str">
        <f>MID('paste from garc here'!$C$1,1+(('table for research'!$B314-1)*36+HEX2DEC('table for research'!AF$1))*2,2)</f>
        <v>00</v>
      </c>
      <c r="AG314" t="str">
        <f>MID('paste from garc here'!$C$1,1+(('table for research'!$B314-1)*36+HEX2DEC('table for research'!AG$1))*2,2)</f>
        <v>00</v>
      </c>
      <c r="AH314" t="str">
        <f>MID('paste from garc here'!$C$1,1+(('table for research'!$B314-1)*36+HEX2DEC('table for research'!AH$1))*2,2)</f>
        <v>00</v>
      </c>
      <c r="AI314" t="str">
        <f>MID('paste from garc here'!$C$1,1+(('table for research'!$B314-1)*36+HEX2DEC('table for research'!AI$1))*2,2)</f>
        <v>00</v>
      </c>
      <c r="AJ314" t="str">
        <f>MID('paste from garc here'!$C$1,1+(('table for research'!$B314-1)*36+HEX2DEC('table for research'!AJ$1))*2,2)</f>
        <v>00</v>
      </c>
      <c r="AK314" t="str">
        <f>MID('paste from garc here'!$C$1,1+(('table for research'!$B314-1)*36+HEX2DEC('table for research'!AK$1))*2,2)</f>
        <v>00</v>
      </c>
      <c r="AL314" t="str">
        <f>MID('paste from garc here'!$C$1,1+(('table for research'!$B314-1)*36+HEX2DEC('table for research'!AL$1))*2,2)</f>
        <v>00</v>
      </c>
      <c r="AM314" t="str">
        <f>MID('paste from garc here'!$C$1,1+(('table for research'!$B314-1)*36+HEX2DEC('table for research'!AM$1))*2,2)</f>
        <v>00</v>
      </c>
      <c r="AN314" t="str">
        <f>MID('paste from garc here'!$C$1,1+(('table for research'!$B314-1)*36+HEX2DEC('table for research'!AN$1))*2,2)</f>
        <v>00</v>
      </c>
      <c r="AO314" t="str">
        <f>MID('paste from garc here'!$C$1,1+(('table for research'!$B314-1)*36+HEX2DEC('table for research'!AO$1))*2,2)</f>
        <v>00</v>
      </c>
    </row>
    <row r="315" spans="1:41" x14ac:dyDescent="0.4">
      <c r="A315" t="s">
        <v>318</v>
      </c>
      <c r="B315">
        <f>B314+1</f>
        <v>313</v>
      </c>
      <c r="C315" t="str">
        <f>MID('paste from garc here'!$C$1,1+(('table for research'!$B315-1)*36+HEX2DEC('table for research'!C$1))*2,2)</f>
        <v>64</v>
      </c>
      <c r="D315" t="str">
        <f>MID('paste from garc here'!$C$1,1+(('table for research'!$B315-1)*36+HEX2DEC('table for research'!D$1))*2,2)</f>
        <v>00</v>
      </c>
      <c r="E315" t="str">
        <f>MID('paste from garc here'!$C$1,1+(('table for research'!$B315-1)*36+HEX2DEC('table for research'!E$1))*2,2)</f>
        <v>8C</v>
      </c>
      <c r="F315" t="str">
        <f>MID('paste from garc here'!$C$1,1+(('table for research'!$B315-1)*36+HEX2DEC('table for research'!F$1))*2,2)</f>
        <v>14</v>
      </c>
      <c r="G315" t="str">
        <f>MID('paste from garc here'!$C$1,1+(('table for research'!$B315-1)*36+HEX2DEC('table for research'!G$1))*2,2)</f>
        <v>00</v>
      </c>
      <c r="H315" t="str">
        <f>MID('paste from garc here'!$C$1,1+(('table for research'!$B315-1)*36+HEX2DEC('table for research'!H$1))*2,2)</f>
        <v>00</v>
      </c>
      <c r="I315" t="str">
        <f>MID('paste from garc here'!$C$1,1+(('table for research'!$B315-1)*36+HEX2DEC('table for research'!I$1))*2,2)</f>
        <v>5A</v>
      </c>
      <c r="J315" t="str">
        <f>MID('paste from garc here'!$C$1,1+(('table for research'!$B315-1)*36+HEX2DEC('table for research'!J$1))*2,2)</f>
        <v>00</v>
      </c>
      <c r="K315" t="str">
        <f>DEC2HEX(_xlfn.BITAND(HEX2DEC(MID('paste from garc here'!$C$1,1+(('table for research'!$B315-1)*36+HEX2DEC(8))*2,2)),31),2)</f>
        <v>1F</v>
      </c>
      <c r="L315" t="str">
        <f>DEC2HEX(_xlfn.BITAND(HEX2DEC(MID('paste from garc here'!$C$1,1+(('table for research'!$B315-1)*36+HEX2DEC(8))*2,2)),32),2)</f>
        <v>00</v>
      </c>
      <c r="M315" t="str">
        <f>DEC2HEX(_xlfn.BITAND(HEX2DEC(MID('paste from garc here'!$C$1,1+(('table for research'!$B315-1)*36+HEX2DEC(8))*2,2)),64),2)</f>
        <v>00</v>
      </c>
      <c r="N315" t="str">
        <f>DEC2HEX(_xlfn.BITRSHIFT(_xlfn.BITAND(HEX2DEC(MID('paste from garc here'!$C$1,1+(('table for research'!$B315-1)*36+HEX2DEC(9))*2,2)&amp;MID('paste from garc here'!$C$1,1+(('table for research'!$B315-1)*36+HEX2DEC(8))*2,2)),1920),7),2)</f>
        <v>00</v>
      </c>
      <c r="O315" t="str">
        <f>DEC2HEX(_xlfn.BITRSHIFT(HEX2DEC(MID('paste from garc here'!$C$1,1+(('table for research'!$B315-1)*36+HEX2DEC(9))*2,2)&amp;MID('paste from garc here'!$C$1,1+(('table for research'!$B315-1)*36+HEX2DEC(8))*2,2)),11),2)</f>
        <v>00</v>
      </c>
      <c r="P315" t="str">
        <f>MID('paste from garc here'!$C$1,1+(('table for research'!$B315-1)*36+HEX2DEC('table for research'!P$1))*2,2)</f>
        <v>00</v>
      </c>
      <c r="Q315" t="str">
        <f>MID('paste from garc here'!$C$1,1+(('table for research'!$B315-1)*36+HEX2DEC('table for research'!Q$1))*2,2)</f>
        <v>00</v>
      </c>
      <c r="R315" t="str">
        <f>MID('paste from garc here'!$C$1,1+(('table for research'!$B315-1)*36+HEX2DEC('table for research'!R$1))*2,2)</f>
        <v>00</v>
      </c>
      <c r="S315" t="str">
        <f>MID('paste from garc here'!$C$1,1+(('table for research'!$B315-1)*36+HEX2DEC('table for research'!S$1))*2,2)</f>
        <v>01</v>
      </c>
      <c r="T315" t="str">
        <f>MID('paste from garc here'!$C$1,1+(('table for research'!$B315-1)*36+HEX2DEC('table for research'!T$1))*2,2)</f>
        <v>00</v>
      </c>
      <c r="U315" t="str">
        <f>MID('paste from garc here'!$C$1,1+(('table for research'!$B315-1)*36+HEX2DEC('table for research'!U$1))*2,2)</f>
        <v>A3</v>
      </c>
      <c r="V315" t="str">
        <f>MID('paste from garc here'!$C$1,1+(('table for research'!$B315-1)*36+HEX2DEC('table for research'!V$1))*2,2)</f>
        <v>00</v>
      </c>
      <c r="W315" t="str">
        <f>MID('paste from garc here'!$C$1,1+(('table for research'!$B315-1)*36+HEX2DEC('table for research'!W$1))*2,2)</f>
        <v>00</v>
      </c>
      <c r="X315" t="str">
        <f>MID('paste from garc here'!$C$1,1+(('table for research'!$B315-1)*36+HEX2DEC('table for research'!X$1))*2,2)</f>
        <v>00</v>
      </c>
      <c r="Y315" t="str">
        <f>MID('paste from garc here'!$C$1,1+(('table for research'!$B315-1)*36+HEX2DEC('table for research'!Y$1))*2,2)</f>
        <v>00</v>
      </c>
      <c r="Z315" t="str">
        <f>MID('paste from garc here'!$C$1,1+(('table for research'!$B315-1)*36+HEX2DEC('table for research'!Z$1))*2,2)</f>
        <v>00</v>
      </c>
      <c r="AA315" t="str">
        <f>MID('paste from garc here'!$C$1,1+(('table for research'!$B315-1)*36+HEX2DEC('table for research'!AA$1))*2,2)</f>
        <v>00</v>
      </c>
      <c r="AB315" t="str">
        <f>MID('paste from garc here'!$C$1,1+(('table for research'!$B315-1)*36+HEX2DEC('table for research'!AB$1))*2,2)</f>
        <v>00</v>
      </c>
      <c r="AC315" t="str">
        <f>MID('paste from garc here'!$C$1,1+(('table for research'!$B315-1)*36+HEX2DEC('table for research'!AC$1))*2,2)</f>
        <v>00</v>
      </c>
      <c r="AD315" t="str">
        <f>MID('paste from garc here'!$C$1,1+(('table for research'!$B315-1)*36+HEX2DEC('table for research'!AD$1))*2,2)</f>
        <v>00</v>
      </c>
      <c r="AE315" t="str">
        <f>MID('paste from garc here'!$C$1,1+(('table for research'!$B315-1)*36+HEX2DEC('table for research'!AE$1))*2,2)</f>
        <v>00</v>
      </c>
      <c r="AF315" t="str">
        <f>MID('paste from garc here'!$C$1,1+(('table for research'!$B315-1)*36+HEX2DEC('table for research'!AF$1))*2,2)</f>
        <v>00</v>
      </c>
      <c r="AG315" t="str">
        <f>MID('paste from garc here'!$C$1,1+(('table for research'!$B315-1)*36+HEX2DEC('table for research'!AG$1))*2,2)</f>
        <v>00</v>
      </c>
      <c r="AH315" t="str">
        <f>MID('paste from garc here'!$C$1,1+(('table for research'!$B315-1)*36+HEX2DEC('table for research'!AH$1))*2,2)</f>
        <v>00</v>
      </c>
      <c r="AI315" t="str">
        <f>MID('paste from garc here'!$C$1,1+(('table for research'!$B315-1)*36+HEX2DEC('table for research'!AI$1))*2,2)</f>
        <v>00</v>
      </c>
      <c r="AJ315" t="str">
        <f>MID('paste from garc here'!$C$1,1+(('table for research'!$B315-1)*36+HEX2DEC('table for research'!AJ$1))*2,2)</f>
        <v>00</v>
      </c>
      <c r="AK315" t="str">
        <f>MID('paste from garc here'!$C$1,1+(('table for research'!$B315-1)*36+HEX2DEC('table for research'!AK$1))*2,2)</f>
        <v>00</v>
      </c>
      <c r="AL315" t="str">
        <f>MID('paste from garc here'!$C$1,1+(('table for research'!$B315-1)*36+HEX2DEC('table for research'!AL$1))*2,2)</f>
        <v>00</v>
      </c>
      <c r="AM315" t="str">
        <f>MID('paste from garc here'!$C$1,1+(('table for research'!$B315-1)*36+HEX2DEC('table for research'!AM$1))*2,2)</f>
        <v>00</v>
      </c>
      <c r="AN315" t="str">
        <f>MID('paste from garc here'!$C$1,1+(('table for research'!$B315-1)*36+HEX2DEC('table for research'!AN$1))*2,2)</f>
        <v>00</v>
      </c>
      <c r="AO315" t="str">
        <f>MID('paste from garc here'!$C$1,1+(('table for research'!$B315-1)*36+HEX2DEC('table for research'!AO$1))*2,2)</f>
        <v>00</v>
      </c>
    </row>
    <row r="316" spans="1:41" x14ac:dyDescent="0.4">
      <c r="A316" t="s">
        <v>319</v>
      </c>
      <c r="B316">
        <f>B315+1</f>
        <v>314</v>
      </c>
      <c r="C316" t="str">
        <f>MID('paste from garc here'!$C$1,1+(('table for research'!$B316-1)*36+HEX2DEC('table for research'!C$1))*2,2)</f>
        <v>C8</v>
      </c>
      <c r="D316" t="str">
        <f>MID('paste from garc here'!$C$1,1+(('table for research'!$B316-1)*36+HEX2DEC('table for research'!D$1))*2,2)</f>
        <v>00</v>
      </c>
      <c r="E316" t="str">
        <f>MID('paste from garc here'!$C$1,1+(('table for research'!$B316-1)*36+HEX2DEC('table for research'!E$1))*2,2)</f>
        <v>52</v>
      </c>
      <c r="F316" t="str">
        <f>MID('paste from garc here'!$C$1,1+(('table for research'!$B316-1)*36+HEX2DEC('table for research'!F$1))*2,2)</f>
        <v>14</v>
      </c>
      <c r="G316" t="str">
        <f>MID('paste from garc here'!$C$1,1+(('table for research'!$B316-1)*36+HEX2DEC('table for research'!G$1))*2,2)</f>
        <v>00</v>
      </c>
      <c r="H316" t="str">
        <f>MID('paste from garc here'!$C$1,1+(('table for research'!$B316-1)*36+HEX2DEC('table for research'!H$1))*2,2)</f>
        <v>00</v>
      </c>
      <c r="I316" t="str">
        <f>MID('paste from garc here'!$C$1,1+(('table for research'!$B316-1)*36+HEX2DEC('table for research'!I$1))*2,2)</f>
        <v>0A</v>
      </c>
      <c r="J316" t="str">
        <f>MID('paste from garc here'!$C$1,1+(('table for research'!$B316-1)*36+HEX2DEC('table for research'!J$1))*2,2)</f>
        <v>00</v>
      </c>
      <c r="K316" t="str">
        <f>DEC2HEX(_xlfn.BITAND(HEX2DEC(MID('paste from garc here'!$C$1,1+(('table for research'!$B316-1)*36+HEX2DEC(8))*2,2)),31),2)</f>
        <v>1F</v>
      </c>
      <c r="L316" t="str">
        <f>DEC2HEX(_xlfn.BITAND(HEX2DEC(MID('paste from garc here'!$C$1,1+(('table for research'!$B316-1)*36+HEX2DEC(8))*2,2)),32),2)</f>
        <v>00</v>
      </c>
      <c r="M316" t="str">
        <f>DEC2HEX(_xlfn.BITAND(HEX2DEC(MID('paste from garc here'!$C$1,1+(('table for research'!$B316-1)*36+HEX2DEC(8))*2,2)),64),2)</f>
        <v>00</v>
      </c>
      <c r="N316" t="str">
        <f>DEC2HEX(_xlfn.BITRSHIFT(_xlfn.BITAND(HEX2DEC(MID('paste from garc here'!$C$1,1+(('table for research'!$B316-1)*36+HEX2DEC(9))*2,2)&amp;MID('paste from garc here'!$C$1,1+(('table for research'!$B316-1)*36+HEX2DEC(8))*2,2)),1920),7),2)</f>
        <v>00</v>
      </c>
      <c r="O316" t="str">
        <f>DEC2HEX(_xlfn.BITRSHIFT(HEX2DEC(MID('paste from garc here'!$C$1,1+(('table for research'!$B316-1)*36+HEX2DEC(9))*2,2)&amp;MID('paste from garc here'!$C$1,1+(('table for research'!$B316-1)*36+HEX2DEC(8))*2,2)),11),2)</f>
        <v>00</v>
      </c>
      <c r="P316" t="str">
        <f>MID('paste from garc here'!$C$1,1+(('table for research'!$B316-1)*36+HEX2DEC('table for research'!P$1))*2,2)</f>
        <v>00</v>
      </c>
      <c r="Q316" t="str">
        <f>MID('paste from garc here'!$C$1,1+(('table for research'!$B316-1)*36+HEX2DEC('table for research'!Q$1))*2,2)</f>
        <v>00</v>
      </c>
      <c r="R316" t="str">
        <f>MID('paste from garc here'!$C$1,1+(('table for research'!$B316-1)*36+HEX2DEC('table for research'!R$1))*2,2)</f>
        <v>00</v>
      </c>
      <c r="S316" t="str">
        <f>MID('paste from garc here'!$C$1,1+(('table for research'!$B316-1)*36+HEX2DEC('table for research'!S$1))*2,2)</f>
        <v>01</v>
      </c>
      <c r="T316" t="str">
        <f>MID('paste from garc here'!$C$1,1+(('table for research'!$B316-1)*36+HEX2DEC('table for research'!T$1))*2,2)</f>
        <v>00</v>
      </c>
      <c r="U316" t="str">
        <f>MID('paste from garc here'!$C$1,1+(('table for research'!$B316-1)*36+HEX2DEC('table for research'!U$1))*2,2)</f>
        <v>52</v>
      </c>
      <c r="V316" t="str">
        <f>MID('paste from garc here'!$C$1,1+(('table for research'!$B316-1)*36+HEX2DEC('table for research'!V$1))*2,2)</f>
        <v>00</v>
      </c>
      <c r="W316" t="str">
        <f>MID('paste from garc here'!$C$1,1+(('table for research'!$B316-1)*36+HEX2DEC('table for research'!W$1))*2,2)</f>
        <v>00</v>
      </c>
      <c r="X316" t="str">
        <f>MID('paste from garc here'!$C$1,1+(('table for research'!$B316-1)*36+HEX2DEC('table for research'!X$1))*2,2)</f>
        <v>00</v>
      </c>
      <c r="Y316" t="str">
        <f>MID('paste from garc here'!$C$1,1+(('table for research'!$B316-1)*36+HEX2DEC('table for research'!Y$1))*2,2)</f>
        <v>00</v>
      </c>
      <c r="Z316" t="str">
        <f>MID('paste from garc here'!$C$1,1+(('table for research'!$B316-1)*36+HEX2DEC('table for research'!Z$1))*2,2)</f>
        <v>00</v>
      </c>
      <c r="AA316" t="str">
        <f>MID('paste from garc here'!$C$1,1+(('table for research'!$B316-1)*36+HEX2DEC('table for research'!AA$1))*2,2)</f>
        <v>00</v>
      </c>
      <c r="AB316" t="str">
        <f>MID('paste from garc here'!$C$1,1+(('table for research'!$B316-1)*36+HEX2DEC('table for research'!AB$1))*2,2)</f>
        <v>00</v>
      </c>
      <c r="AC316" t="str">
        <f>MID('paste from garc here'!$C$1,1+(('table for research'!$B316-1)*36+HEX2DEC('table for research'!AC$1))*2,2)</f>
        <v>00</v>
      </c>
      <c r="AD316" t="str">
        <f>MID('paste from garc here'!$C$1,1+(('table for research'!$B316-1)*36+HEX2DEC('table for research'!AD$1))*2,2)</f>
        <v>00</v>
      </c>
      <c r="AE316" t="str">
        <f>MID('paste from garc here'!$C$1,1+(('table for research'!$B316-1)*36+HEX2DEC('table for research'!AE$1))*2,2)</f>
        <v>00</v>
      </c>
      <c r="AF316" t="str">
        <f>MID('paste from garc here'!$C$1,1+(('table for research'!$B316-1)*36+HEX2DEC('table for research'!AF$1))*2,2)</f>
        <v>00</v>
      </c>
      <c r="AG316" t="str">
        <f>MID('paste from garc here'!$C$1,1+(('table for research'!$B316-1)*36+HEX2DEC('table for research'!AG$1))*2,2)</f>
        <v>00</v>
      </c>
      <c r="AH316" t="str">
        <f>MID('paste from garc here'!$C$1,1+(('table for research'!$B316-1)*36+HEX2DEC('table for research'!AH$1))*2,2)</f>
        <v>00</v>
      </c>
      <c r="AI316" t="str">
        <f>MID('paste from garc here'!$C$1,1+(('table for research'!$B316-1)*36+HEX2DEC('table for research'!AI$1))*2,2)</f>
        <v>00</v>
      </c>
      <c r="AJ316" t="str">
        <f>MID('paste from garc here'!$C$1,1+(('table for research'!$B316-1)*36+HEX2DEC('table for research'!AJ$1))*2,2)</f>
        <v>00</v>
      </c>
      <c r="AK316" t="str">
        <f>MID('paste from garc here'!$C$1,1+(('table for research'!$B316-1)*36+HEX2DEC('table for research'!AK$1))*2,2)</f>
        <v>00</v>
      </c>
      <c r="AL316" t="str">
        <f>MID('paste from garc here'!$C$1,1+(('table for research'!$B316-1)*36+HEX2DEC('table for research'!AL$1))*2,2)</f>
        <v>00</v>
      </c>
      <c r="AM316" t="str">
        <f>MID('paste from garc here'!$C$1,1+(('table for research'!$B316-1)*36+HEX2DEC('table for research'!AM$1))*2,2)</f>
        <v>00</v>
      </c>
      <c r="AN316" t="str">
        <f>MID('paste from garc here'!$C$1,1+(('table for research'!$B316-1)*36+HEX2DEC('table for research'!AN$1))*2,2)</f>
        <v>00</v>
      </c>
      <c r="AO316" t="str">
        <f>MID('paste from garc here'!$C$1,1+(('table for research'!$B316-1)*36+HEX2DEC('table for research'!AO$1))*2,2)</f>
        <v>00</v>
      </c>
    </row>
    <row r="317" spans="1:41" x14ac:dyDescent="0.4">
      <c r="A317" t="s">
        <v>320</v>
      </c>
      <c r="B317">
        <f>B316+1</f>
        <v>315</v>
      </c>
      <c r="C317" t="str">
        <f>MID('paste from garc here'!$C$1,1+(('table for research'!$B317-1)*36+HEX2DEC('table for research'!C$1))*2,2)</f>
        <v>C8</v>
      </c>
      <c r="D317" t="str">
        <f>MID('paste from garc here'!$C$1,1+(('table for research'!$B317-1)*36+HEX2DEC('table for research'!D$1))*2,2)</f>
        <v>00</v>
      </c>
      <c r="E317" t="str">
        <f>MID('paste from garc here'!$C$1,1+(('table for research'!$B317-1)*36+HEX2DEC('table for research'!E$1))*2,2)</f>
        <v>48</v>
      </c>
      <c r="F317" t="str">
        <f>MID('paste from garc here'!$C$1,1+(('table for research'!$B317-1)*36+HEX2DEC('table for research'!F$1))*2,2)</f>
        <v>14</v>
      </c>
      <c r="G317" t="str">
        <f>MID('paste from garc here'!$C$1,1+(('table for research'!$B317-1)*36+HEX2DEC('table for research'!G$1))*2,2)</f>
        <v>00</v>
      </c>
      <c r="H317" t="str">
        <f>MID('paste from garc here'!$C$1,1+(('table for research'!$B317-1)*36+HEX2DEC('table for research'!H$1))*2,2)</f>
        <v>00</v>
      </c>
      <c r="I317" t="str">
        <f>MID('paste from garc here'!$C$1,1+(('table for research'!$B317-1)*36+HEX2DEC('table for research'!I$1))*2,2)</f>
        <v>0A</v>
      </c>
      <c r="J317" t="str">
        <f>MID('paste from garc here'!$C$1,1+(('table for research'!$B317-1)*36+HEX2DEC('table for research'!J$1))*2,2)</f>
        <v>00</v>
      </c>
      <c r="K317" t="str">
        <f>DEC2HEX(_xlfn.BITAND(HEX2DEC(MID('paste from garc here'!$C$1,1+(('table for research'!$B317-1)*36+HEX2DEC(8))*2,2)),31),2)</f>
        <v>1F</v>
      </c>
      <c r="L317" t="str">
        <f>DEC2HEX(_xlfn.BITAND(HEX2DEC(MID('paste from garc here'!$C$1,1+(('table for research'!$B317-1)*36+HEX2DEC(8))*2,2)),32),2)</f>
        <v>00</v>
      </c>
      <c r="M317" t="str">
        <f>DEC2HEX(_xlfn.BITAND(HEX2DEC(MID('paste from garc here'!$C$1,1+(('table for research'!$B317-1)*36+HEX2DEC(8))*2,2)),64),2)</f>
        <v>00</v>
      </c>
      <c r="N317" t="str">
        <f>DEC2HEX(_xlfn.BITRSHIFT(_xlfn.BITAND(HEX2DEC(MID('paste from garc here'!$C$1,1+(('table for research'!$B317-1)*36+HEX2DEC(9))*2,2)&amp;MID('paste from garc here'!$C$1,1+(('table for research'!$B317-1)*36+HEX2DEC(8))*2,2)),1920),7),2)</f>
        <v>00</v>
      </c>
      <c r="O317" t="str">
        <f>DEC2HEX(_xlfn.BITRSHIFT(HEX2DEC(MID('paste from garc here'!$C$1,1+(('table for research'!$B317-1)*36+HEX2DEC(9))*2,2)&amp;MID('paste from garc here'!$C$1,1+(('table for research'!$B317-1)*36+HEX2DEC(8))*2,2)),11),2)</f>
        <v>00</v>
      </c>
      <c r="P317" t="str">
        <f>MID('paste from garc here'!$C$1,1+(('table for research'!$B317-1)*36+HEX2DEC('table for research'!P$1))*2,2)</f>
        <v>00</v>
      </c>
      <c r="Q317" t="str">
        <f>MID('paste from garc here'!$C$1,1+(('table for research'!$B317-1)*36+HEX2DEC('table for research'!Q$1))*2,2)</f>
        <v>00</v>
      </c>
      <c r="R317" t="str">
        <f>MID('paste from garc here'!$C$1,1+(('table for research'!$B317-1)*36+HEX2DEC('table for research'!R$1))*2,2)</f>
        <v>00</v>
      </c>
      <c r="S317" t="str">
        <f>MID('paste from garc here'!$C$1,1+(('table for research'!$B317-1)*36+HEX2DEC('table for research'!S$1))*2,2)</f>
        <v>01</v>
      </c>
      <c r="T317" t="str">
        <f>MID('paste from garc here'!$C$1,1+(('table for research'!$B317-1)*36+HEX2DEC('table for research'!T$1))*2,2)</f>
        <v>00</v>
      </c>
      <c r="U317" t="str">
        <f>MID('paste from garc here'!$C$1,1+(('table for research'!$B317-1)*36+HEX2DEC('table for research'!U$1))*2,2)</f>
        <v>52</v>
      </c>
      <c r="V317" t="str">
        <f>MID('paste from garc here'!$C$1,1+(('table for research'!$B317-1)*36+HEX2DEC('table for research'!V$1))*2,2)</f>
        <v>00</v>
      </c>
      <c r="W317" t="str">
        <f>MID('paste from garc here'!$C$1,1+(('table for research'!$B317-1)*36+HEX2DEC('table for research'!W$1))*2,2)</f>
        <v>00</v>
      </c>
      <c r="X317" t="str">
        <f>MID('paste from garc here'!$C$1,1+(('table for research'!$B317-1)*36+HEX2DEC('table for research'!X$1))*2,2)</f>
        <v>00</v>
      </c>
      <c r="Y317" t="str">
        <f>MID('paste from garc here'!$C$1,1+(('table for research'!$B317-1)*36+HEX2DEC('table for research'!Y$1))*2,2)</f>
        <v>00</v>
      </c>
      <c r="Z317" t="str">
        <f>MID('paste from garc here'!$C$1,1+(('table for research'!$B317-1)*36+HEX2DEC('table for research'!Z$1))*2,2)</f>
        <v>00</v>
      </c>
      <c r="AA317" t="str">
        <f>MID('paste from garc here'!$C$1,1+(('table for research'!$B317-1)*36+HEX2DEC('table for research'!AA$1))*2,2)</f>
        <v>00</v>
      </c>
      <c r="AB317" t="str">
        <f>MID('paste from garc here'!$C$1,1+(('table for research'!$B317-1)*36+HEX2DEC('table for research'!AB$1))*2,2)</f>
        <v>00</v>
      </c>
      <c r="AC317" t="str">
        <f>MID('paste from garc here'!$C$1,1+(('table for research'!$B317-1)*36+HEX2DEC('table for research'!AC$1))*2,2)</f>
        <v>00</v>
      </c>
      <c r="AD317" t="str">
        <f>MID('paste from garc here'!$C$1,1+(('table for research'!$B317-1)*36+HEX2DEC('table for research'!AD$1))*2,2)</f>
        <v>00</v>
      </c>
      <c r="AE317" t="str">
        <f>MID('paste from garc here'!$C$1,1+(('table for research'!$B317-1)*36+HEX2DEC('table for research'!AE$1))*2,2)</f>
        <v>00</v>
      </c>
      <c r="AF317" t="str">
        <f>MID('paste from garc here'!$C$1,1+(('table for research'!$B317-1)*36+HEX2DEC('table for research'!AF$1))*2,2)</f>
        <v>00</v>
      </c>
      <c r="AG317" t="str">
        <f>MID('paste from garc here'!$C$1,1+(('table for research'!$B317-1)*36+HEX2DEC('table for research'!AG$1))*2,2)</f>
        <v>00</v>
      </c>
      <c r="AH317" t="str">
        <f>MID('paste from garc here'!$C$1,1+(('table for research'!$B317-1)*36+HEX2DEC('table for research'!AH$1))*2,2)</f>
        <v>00</v>
      </c>
      <c r="AI317" t="str">
        <f>MID('paste from garc here'!$C$1,1+(('table for research'!$B317-1)*36+HEX2DEC('table for research'!AI$1))*2,2)</f>
        <v>00</v>
      </c>
      <c r="AJ317" t="str">
        <f>MID('paste from garc here'!$C$1,1+(('table for research'!$B317-1)*36+HEX2DEC('table for research'!AJ$1))*2,2)</f>
        <v>00</v>
      </c>
      <c r="AK317" t="str">
        <f>MID('paste from garc here'!$C$1,1+(('table for research'!$B317-1)*36+HEX2DEC('table for research'!AK$1))*2,2)</f>
        <v>00</v>
      </c>
      <c r="AL317" t="str">
        <f>MID('paste from garc here'!$C$1,1+(('table for research'!$B317-1)*36+HEX2DEC('table for research'!AL$1))*2,2)</f>
        <v>00</v>
      </c>
      <c r="AM317" t="str">
        <f>MID('paste from garc here'!$C$1,1+(('table for research'!$B317-1)*36+HEX2DEC('table for research'!AM$1))*2,2)</f>
        <v>00</v>
      </c>
      <c r="AN317" t="str">
        <f>MID('paste from garc here'!$C$1,1+(('table for research'!$B317-1)*36+HEX2DEC('table for research'!AN$1))*2,2)</f>
        <v>00</v>
      </c>
      <c r="AO317" t="str">
        <f>MID('paste from garc here'!$C$1,1+(('table for research'!$B317-1)*36+HEX2DEC('table for research'!AO$1))*2,2)</f>
        <v>00</v>
      </c>
    </row>
    <row r="318" spans="1:41" x14ac:dyDescent="0.4">
      <c r="A318" t="s">
        <v>321</v>
      </c>
      <c r="B318">
        <f>B317+1</f>
        <v>316</v>
      </c>
      <c r="C318" t="str">
        <f>MID('paste from garc here'!$C$1,1+(('table for research'!$B318-1)*36+HEX2DEC('table for research'!C$1))*2,2)</f>
        <v>F4</v>
      </c>
      <c r="D318" t="str">
        <f>MID('paste from garc here'!$C$1,1+(('table for research'!$B318-1)*36+HEX2DEC('table for research'!D$1))*2,2)</f>
        <v>01</v>
      </c>
      <c r="E318" t="str">
        <f>MID('paste from garc here'!$C$1,1+(('table for research'!$B318-1)*36+HEX2DEC('table for research'!E$1))*2,2)</f>
        <v>6A</v>
      </c>
      <c r="F318" t="str">
        <f>MID('paste from garc here'!$C$1,1+(('table for research'!$B318-1)*36+HEX2DEC('table for research'!F$1))*2,2)</f>
        <v>00</v>
      </c>
      <c r="G318" t="str">
        <f>MID('paste from garc here'!$C$1,1+(('table for research'!$B318-1)*36+HEX2DEC('table for research'!G$1))*2,2)</f>
        <v>00</v>
      </c>
      <c r="H318" t="str">
        <f>MID('paste from garc here'!$C$1,1+(('table for research'!$B318-1)*36+HEX2DEC('table for research'!H$1))*2,2)</f>
        <v>00</v>
      </c>
      <c r="I318" t="str">
        <f>MID('paste from garc here'!$C$1,1+(('table for research'!$B318-1)*36+HEX2DEC('table for research'!I$1))*2,2)</f>
        <v>0A</v>
      </c>
      <c r="J318" t="str">
        <f>MID('paste from garc here'!$C$1,1+(('table for research'!$B318-1)*36+HEX2DEC('table for research'!J$1))*2,2)</f>
        <v>00</v>
      </c>
      <c r="K318" t="str">
        <f>DEC2HEX(_xlfn.BITAND(HEX2DEC(MID('paste from garc here'!$C$1,1+(('table for research'!$B318-1)*36+HEX2DEC(8))*2,2)),31),2)</f>
        <v>1F</v>
      </c>
      <c r="L318" t="str">
        <f>DEC2HEX(_xlfn.BITAND(HEX2DEC(MID('paste from garc here'!$C$1,1+(('table for research'!$B318-1)*36+HEX2DEC(8))*2,2)),32),2)</f>
        <v>00</v>
      </c>
      <c r="M318" t="str">
        <f>DEC2HEX(_xlfn.BITAND(HEX2DEC(MID('paste from garc here'!$C$1,1+(('table for research'!$B318-1)*36+HEX2DEC(8))*2,2)),64),2)</f>
        <v>00</v>
      </c>
      <c r="N318" t="str">
        <f>DEC2HEX(_xlfn.BITRSHIFT(_xlfn.BITAND(HEX2DEC(MID('paste from garc here'!$C$1,1+(('table for research'!$B318-1)*36+HEX2DEC(9))*2,2)&amp;MID('paste from garc here'!$C$1,1+(('table for research'!$B318-1)*36+HEX2DEC(8))*2,2)),1920),7),2)</f>
        <v>00</v>
      </c>
      <c r="O318" t="str">
        <f>DEC2HEX(_xlfn.BITRSHIFT(HEX2DEC(MID('paste from garc here'!$C$1,1+(('table for research'!$B318-1)*36+HEX2DEC(9))*2,2)&amp;MID('paste from garc here'!$C$1,1+(('table for research'!$B318-1)*36+HEX2DEC(8))*2,2)),11),2)</f>
        <v>00</v>
      </c>
      <c r="P318" t="str">
        <f>MID('paste from garc here'!$C$1,1+(('table for research'!$B318-1)*36+HEX2DEC('table for research'!P$1))*2,2)</f>
        <v>00</v>
      </c>
      <c r="Q318" t="str">
        <f>MID('paste from garc here'!$C$1,1+(('table for research'!$B318-1)*36+HEX2DEC('table for research'!Q$1))*2,2)</f>
        <v>00</v>
      </c>
      <c r="R318" t="str">
        <f>MID('paste from garc here'!$C$1,1+(('table for research'!$B318-1)*36+HEX2DEC('table for research'!R$1))*2,2)</f>
        <v>00</v>
      </c>
      <c r="S318" t="str">
        <f>MID('paste from garc here'!$C$1,1+(('table for research'!$B318-1)*36+HEX2DEC('table for research'!S$1))*2,2)</f>
        <v>01</v>
      </c>
      <c r="T318" t="str">
        <f>MID('paste from garc here'!$C$1,1+(('table for research'!$B318-1)*36+HEX2DEC('table for research'!T$1))*2,2)</f>
        <v>00</v>
      </c>
      <c r="U318" t="str">
        <f>MID('paste from garc here'!$C$1,1+(('table for research'!$B318-1)*36+HEX2DEC('table for research'!U$1))*2,2)</f>
        <v>52</v>
      </c>
      <c r="V318" t="str">
        <f>MID('paste from garc here'!$C$1,1+(('table for research'!$B318-1)*36+HEX2DEC('table for research'!V$1))*2,2)</f>
        <v>00</v>
      </c>
      <c r="W318" t="str">
        <f>MID('paste from garc here'!$C$1,1+(('table for research'!$B318-1)*36+HEX2DEC('table for research'!W$1))*2,2)</f>
        <v>00</v>
      </c>
      <c r="X318" t="str">
        <f>MID('paste from garc here'!$C$1,1+(('table for research'!$B318-1)*36+HEX2DEC('table for research'!X$1))*2,2)</f>
        <v>00</v>
      </c>
      <c r="Y318" t="str">
        <f>MID('paste from garc here'!$C$1,1+(('table for research'!$B318-1)*36+HEX2DEC('table for research'!Y$1))*2,2)</f>
        <v>00</v>
      </c>
      <c r="Z318" t="str">
        <f>MID('paste from garc here'!$C$1,1+(('table for research'!$B318-1)*36+HEX2DEC('table for research'!Z$1))*2,2)</f>
        <v>00</v>
      </c>
      <c r="AA318" t="str">
        <f>MID('paste from garc here'!$C$1,1+(('table for research'!$B318-1)*36+HEX2DEC('table for research'!AA$1))*2,2)</f>
        <v>00</v>
      </c>
      <c r="AB318" t="str">
        <f>MID('paste from garc here'!$C$1,1+(('table for research'!$B318-1)*36+HEX2DEC('table for research'!AB$1))*2,2)</f>
        <v>00</v>
      </c>
      <c r="AC318" t="str">
        <f>MID('paste from garc here'!$C$1,1+(('table for research'!$B318-1)*36+HEX2DEC('table for research'!AC$1))*2,2)</f>
        <v>00</v>
      </c>
      <c r="AD318" t="str">
        <f>MID('paste from garc here'!$C$1,1+(('table for research'!$B318-1)*36+HEX2DEC('table for research'!AD$1))*2,2)</f>
        <v>00</v>
      </c>
      <c r="AE318" t="str">
        <f>MID('paste from garc here'!$C$1,1+(('table for research'!$B318-1)*36+HEX2DEC('table for research'!AE$1))*2,2)</f>
        <v>00</v>
      </c>
      <c r="AF318" t="str">
        <f>MID('paste from garc here'!$C$1,1+(('table for research'!$B318-1)*36+HEX2DEC('table for research'!AF$1))*2,2)</f>
        <v>00</v>
      </c>
      <c r="AG318" t="str">
        <f>MID('paste from garc here'!$C$1,1+(('table for research'!$B318-1)*36+HEX2DEC('table for research'!AG$1))*2,2)</f>
        <v>00</v>
      </c>
      <c r="AH318" t="str">
        <f>MID('paste from garc here'!$C$1,1+(('table for research'!$B318-1)*36+HEX2DEC('table for research'!AH$1))*2,2)</f>
        <v>00</v>
      </c>
      <c r="AI318" t="str">
        <f>MID('paste from garc here'!$C$1,1+(('table for research'!$B318-1)*36+HEX2DEC('table for research'!AI$1))*2,2)</f>
        <v>00</v>
      </c>
      <c r="AJ318" t="str">
        <f>MID('paste from garc here'!$C$1,1+(('table for research'!$B318-1)*36+HEX2DEC('table for research'!AJ$1))*2,2)</f>
        <v>00</v>
      </c>
      <c r="AK318" t="str">
        <f>MID('paste from garc here'!$C$1,1+(('table for research'!$B318-1)*36+HEX2DEC('table for research'!AK$1))*2,2)</f>
        <v>00</v>
      </c>
      <c r="AL318" t="str">
        <f>MID('paste from garc here'!$C$1,1+(('table for research'!$B318-1)*36+HEX2DEC('table for research'!AL$1))*2,2)</f>
        <v>00</v>
      </c>
      <c r="AM318" t="str">
        <f>MID('paste from garc here'!$C$1,1+(('table for research'!$B318-1)*36+HEX2DEC('table for research'!AM$1))*2,2)</f>
        <v>00</v>
      </c>
      <c r="AN318" t="str">
        <f>MID('paste from garc here'!$C$1,1+(('table for research'!$B318-1)*36+HEX2DEC('table for research'!AN$1))*2,2)</f>
        <v>00</v>
      </c>
      <c r="AO318" t="str">
        <f>MID('paste from garc here'!$C$1,1+(('table for research'!$B318-1)*36+HEX2DEC('table for research'!AO$1))*2,2)</f>
        <v>00</v>
      </c>
    </row>
    <row r="319" spans="1:41" x14ac:dyDescent="0.4">
      <c r="A319" t="s">
        <v>322</v>
      </c>
      <c r="B319">
        <f>B318+1</f>
        <v>317</v>
      </c>
      <c r="C319" t="str">
        <f>MID('paste from garc here'!$C$1,1+(('table for research'!$B319-1)*36+HEX2DEC('table for research'!C$1))*2,2)</f>
        <v>C8</v>
      </c>
      <c r="D319" t="str">
        <f>MID('paste from garc here'!$C$1,1+(('table for research'!$B319-1)*36+HEX2DEC('table for research'!D$1))*2,2)</f>
        <v>00</v>
      </c>
      <c r="E319" t="str">
        <f>MID('paste from garc here'!$C$1,1+(('table for research'!$B319-1)*36+HEX2DEC('table for research'!E$1))*2,2)</f>
        <v>4D</v>
      </c>
      <c r="F319" t="str">
        <f>MID('paste from garc here'!$C$1,1+(('table for research'!$B319-1)*36+HEX2DEC('table for research'!F$1))*2,2)</f>
        <v>14</v>
      </c>
      <c r="G319" t="str">
        <f>MID('paste from garc here'!$C$1,1+(('table for research'!$B319-1)*36+HEX2DEC('table for research'!G$1))*2,2)</f>
        <v>00</v>
      </c>
      <c r="H319" t="str">
        <f>MID('paste from garc here'!$C$1,1+(('table for research'!$B319-1)*36+HEX2DEC('table for research'!H$1))*2,2)</f>
        <v>00</v>
      </c>
      <c r="I319" t="str">
        <f>MID('paste from garc here'!$C$1,1+(('table for research'!$B319-1)*36+HEX2DEC('table for research'!I$1))*2,2)</f>
        <v>0A</v>
      </c>
      <c r="J319" t="str">
        <f>MID('paste from garc here'!$C$1,1+(('table for research'!$B319-1)*36+HEX2DEC('table for research'!J$1))*2,2)</f>
        <v>00</v>
      </c>
      <c r="K319" t="str">
        <f>DEC2HEX(_xlfn.BITAND(HEX2DEC(MID('paste from garc here'!$C$1,1+(('table for research'!$B319-1)*36+HEX2DEC(8))*2,2)),31),2)</f>
        <v>1F</v>
      </c>
      <c r="L319" t="str">
        <f>DEC2HEX(_xlfn.BITAND(HEX2DEC(MID('paste from garc here'!$C$1,1+(('table for research'!$B319-1)*36+HEX2DEC(8))*2,2)),32),2)</f>
        <v>00</v>
      </c>
      <c r="M319" t="str">
        <f>DEC2HEX(_xlfn.BITAND(HEX2DEC(MID('paste from garc here'!$C$1,1+(('table for research'!$B319-1)*36+HEX2DEC(8))*2,2)),64),2)</f>
        <v>00</v>
      </c>
      <c r="N319" t="str">
        <f>DEC2HEX(_xlfn.BITRSHIFT(_xlfn.BITAND(HEX2DEC(MID('paste from garc here'!$C$1,1+(('table for research'!$B319-1)*36+HEX2DEC(9))*2,2)&amp;MID('paste from garc here'!$C$1,1+(('table for research'!$B319-1)*36+HEX2DEC(8))*2,2)),1920),7),2)</f>
        <v>00</v>
      </c>
      <c r="O319" t="str">
        <f>DEC2HEX(_xlfn.BITRSHIFT(HEX2DEC(MID('paste from garc here'!$C$1,1+(('table for research'!$B319-1)*36+HEX2DEC(9))*2,2)&amp;MID('paste from garc here'!$C$1,1+(('table for research'!$B319-1)*36+HEX2DEC(8))*2,2)),11),2)</f>
        <v>00</v>
      </c>
      <c r="P319" t="str">
        <f>MID('paste from garc here'!$C$1,1+(('table for research'!$B319-1)*36+HEX2DEC('table for research'!P$1))*2,2)</f>
        <v>00</v>
      </c>
      <c r="Q319" t="str">
        <f>MID('paste from garc here'!$C$1,1+(('table for research'!$B319-1)*36+HEX2DEC('table for research'!Q$1))*2,2)</f>
        <v>00</v>
      </c>
      <c r="R319" t="str">
        <f>MID('paste from garc here'!$C$1,1+(('table for research'!$B319-1)*36+HEX2DEC('table for research'!R$1))*2,2)</f>
        <v>00</v>
      </c>
      <c r="S319" t="str">
        <f>MID('paste from garc here'!$C$1,1+(('table for research'!$B319-1)*36+HEX2DEC('table for research'!S$1))*2,2)</f>
        <v>01</v>
      </c>
      <c r="T319" t="str">
        <f>MID('paste from garc here'!$C$1,1+(('table for research'!$B319-1)*36+HEX2DEC('table for research'!T$1))*2,2)</f>
        <v>00</v>
      </c>
      <c r="U319" t="str">
        <f>MID('paste from garc here'!$C$1,1+(('table for research'!$B319-1)*36+HEX2DEC('table for research'!U$1))*2,2)</f>
        <v>52</v>
      </c>
      <c r="V319" t="str">
        <f>MID('paste from garc here'!$C$1,1+(('table for research'!$B319-1)*36+HEX2DEC('table for research'!V$1))*2,2)</f>
        <v>00</v>
      </c>
      <c r="W319" t="str">
        <f>MID('paste from garc here'!$C$1,1+(('table for research'!$B319-1)*36+HEX2DEC('table for research'!W$1))*2,2)</f>
        <v>00</v>
      </c>
      <c r="X319" t="str">
        <f>MID('paste from garc here'!$C$1,1+(('table for research'!$B319-1)*36+HEX2DEC('table for research'!X$1))*2,2)</f>
        <v>00</v>
      </c>
      <c r="Y319" t="str">
        <f>MID('paste from garc here'!$C$1,1+(('table for research'!$B319-1)*36+HEX2DEC('table for research'!Y$1))*2,2)</f>
        <v>00</v>
      </c>
      <c r="Z319" t="str">
        <f>MID('paste from garc here'!$C$1,1+(('table for research'!$B319-1)*36+HEX2DEC('table for research'!Z$1))*2,2)</f>
        <v>00</v>
      </c>
      <c r="AA319" t="str">
        <f>MID('paste from garc here'!$C$1,1+(('table for research'!$B319-1)*36+HEX2DEC('table for research'!AA$1))*2,2)</f>
        <v>00</v>
      </c>
      <c r="AB319" t="str">
        <f>MID('paste from garc here'!$C$1,1+(('table for research'!$B319-1)*36+HEX2DEC('table for research'!AB$1))*2,2)</f>
        <v>00</v>
      </c>
      <c r="AC319" t="str">
        <f>MID('paste from garc here'!$C$1,1+(('table for research'!$B319-1)*36+HEX2DEC('table for research'!AC$1))*2,2)</f>
        <v>00</v>
      </c>
      <c r="AD319" t="str">
        <f>MID('paste from garc here'!$C$1,1+(('table for research'!$B319-1)*36+HEX2DEC('table for research'!AD$1))*2,2)</f>
        <v>00</v>
      </c>
      <c r="AE319" t="str">
        <f>MID('paste from garc here'!$C$1,1+(('table for research'!$B319-1)*36+HEX2DEC('table for research'!AE$1))*2,2)</f>
        <v>00</v>
      </c>
      <c r="AF319" t="str">
        <f>MID('paste from garc here'!$C$1,1+(('table for research'!$B319-1)*36+HEX2DEC('table for research'!AF$1))*2,2)</f>
        <v>00</v>
      </c>
      <c r="AG319" t="str">
        <f>MID('paste from garc here'!$C$1,1+(('table for research'!$B319-1)*36+HEX2DEC('table for research'!AG$1))*2,2)</f>
        <v>00</v>
      </c>
      <c r="AH319" t="str">
        <f>MID('paste from garc here'!$C$1,1+(('table for research'!$B319-1)*36+HEX2DEC('table for research'!AH$1))*2,2)</f>
        <v>00</v>
      </c>
      <c r="AI319" t="str">
        <f>MID('paste from garc here'!$C$1,1+(('table for research'!$B319-1)*36+HEX2DEC('table for research'!AI$1))*2,2)</f>
        <v>00</v>
      </c>
      <c r="AJ319" t="str">
        <f>MID('paste from garc here'!$C$1,1+(('table for research'!$B319-1)*36+HEX2DEC('table for research'!AJ$1))*2,2)</f>
        <v>00</v>
      </c>
      <c r="AK319" t="str">
        <f>MID('paste from garc here'!$C$1,1+(('table for research'!$B319-1)*36+HEX2DEC('table for research'!AK$1))*2,2)</f>
        <v>00</v>
      </c>
      <c r="AL319" t="str">
        <f>MID('paste from garc here'!$C$1,1+(('table for research'!$B319-1)*36+HEX2DEC('table for research'!AL$1))*2,2)</f>
        <v>00</v>
      </c>
      <c r="AM319" t="str">
        <f>MID('paste from garc here'!$C$1,1+(('table for research'!$B319-1)*36+HEX2DEC('table for research'!AM$1))*2,2)</f>
        <v>00</v>
      </c>
      <c r="AN319" t="str">
        <f>MID('paste from garc here'!$C$1,1+(('table for research'!$B319-1)*36+HEX2DEC('table for research'!AN$1))*2,2)</f>
        <v>00</v>
      </c>
      <c r="AO319" t="str">
        <f>MID('paste from garc here'!$C$1,1+(('table for research'!$B319-1)*36+HEX2DEC('table for research'!AO$1))*2,2)</f>
        <v>00</v>
      </c>
    </row>
    <row r="320" spans="1:41" x14ac:dyDescent="0.4">
      <c r="A320" t="s">
        <v>323</v>
      </c>
      <c r="B320">
        <f>B319+1</f>
        <v>318</v>
      </c>
      <c r="C320" t="str">
        <f>MID('paste from garc here'!$C$1,1+(('table for research'!$B320-1)*36+HEX2DEC('table for research'!C$1))*2,2)</f>
        <v>C8</v>
      </c>
      <c r="D320" t="str">
        <f>MID('paste from garc here'!$C$1,1+(('table for research'!$B320-1)*36+HEX2DEC('table for research'!D$1))*2,2)</f>
        <v>00</v>
      </c>
      <c r="E320" t="str">
        <f>MID('paste from garc here'!$C$1,1+(('table for research'!$B320-1)*36+HEX2DEC('table for research'!E$1))*2,2)</f>
        <v>49</v>
      </c>
      <c r="F320" t="str">
        <f>MID('paste from garc here'!$C$1,1+(('table for research'!$B320-1)*36+HEX2DEC('table for research'!F$1))*2,2)</f>
        <v>14</v>
      </c>
      <c r="G320" t="str">
        <f>MID('paste from garc here'!$C$1,1+(('table for research'!$B320-1)*36+HEX2DEC('table for research'!G$1))*2,2)</f>
        <v>00</v>
      </c>
      <c r="H320" t="str">
        <f>MID('paste from garc here'!$C$1,1+(('table for research'!$B320-1)*36+HEX2DEC('table for research'!H$1))*2,2)</f>
        <v>00</v>
      </c>
      <c r="I320" t="str">
        <f>MID('paste from garc here'!$C$1,1+(('table for research'!$B320-1)*36+HEX2DEC('table for research'!I$1))*2,2)</f>
        <v>0A</v>
      </c>
      <c r="J320" t="str">
        <f>MID('paste from garc here'!$C$1,1+(('table for research'!$B320-1)*36+HEX2DEC('table for research'!J$1))*2,2)</f>
        <v>00</v>
      </c>
      <c r="K320" t="str">
        <f>DEC2HEX(_xlfn.BITAND(HEX2DEC(MID('paste from garc here'!$C$1,1+(('table for research'!$B320-1)*36+HEX2DEC(8))*2,2)),31),2)</f>
        <v>1F</v>
      </c>
      <c r="L320" t="str">
        <f>DEC2HEX(_xlfn.BITAND(HEX2DEC(MID('paste from garc here'!$C$1,1+(('table for research'!$B320-1)*36+HEX2DEC(8))*2,2)),32),2)</f>
        <v>00</v>
      </c>
      <c r="M320" t="str">
        <f>DEC2HEX(_xlfn.BITAND(HEX2DEC(MID('paste from garc here'!$C$1,1+(('table for research'!$B320-1)*36+HEX2DEC(8))*2,2)),64),2)</f>
        <v>00</v>
      </c>
      <c r="N320" t="str">
        <f>DEC2HEX(_xlfn.BITRSHIFT(_xlfn.BITAND(HEX2DEC(MID('paste from garc here'!$C$1,1+(('table for research'!$B320-1)*36+HEX2DEC(9))*2,2)&amp;MID('paste from garc here'!$C$1,1+(('table for research'!$B320-1)*36+HEX2DEC(8))*2,2)),1920),7),2)</f>
        <v>00</v>
      </c>
      <c r="O320" t="str">
        <f>DEC2HEX(_xlfn.BITRSHIFT(HEX2DEC(MID('paste from garc here'!$C$1,1+(('table for research'!$B320-1)*36+HEX2DEC(9))*2,2)&amp;MID('paste from garc here'!$C$1,1+(('table for research'!$B320-1)*36+HEX2DEC(8))*2,2)),11),2)</f>
        <v>00</v>
      </c>
      <c r="P320" t="str">
        <f>MID('paste from garc here'!$C$1,1+(('table for research'!$B320-1)*36+HEX2DEC('table for research'!P$1))*2,2)</f>
        <v>00</v>
      </c>
      <c r="Q320" t="str">
        <f>MID('paste from garc here'!$C$1,1+(('table for research'!$B320-1)*36+HEX2DEC('table for research'!Q$1))*2,2)</f>
        <v>00</v>
      </c>
      <c r="R320" t="str">
        <f>MID('paste from garc here'!$C$1,1+(('table for research'!$B320-1)*36+HEX2DEC('table for research'!R$1))*2,2)</f>
        <v>00</v>
      </c>
      <c r="S320" t="str">
        <f>MID('paste from garc here'!$C$1,1+(('table for research'!$B320-1)*36+HEX2DEC('table for research'!S$1))*2,2)</f>
        <v>01</v>
      </c>
      <c r="T320" t="str">
        <f>MID('paste from garc here'!$C$1,1+(('table for research'!$B320-1)*36+HEX2DEC('table for research'!T$1))*2,2)</f>
        <v>00</v>
      </c>
      <c r="U320" t="str">
        <f>MID('paste from garc here'!$C$1,1+(('table for research'!$B320-1)*36+HEX2DEC('table for research'!U$1))*2,2)</f>
        <v>52</v>
      </c>
      <c r="V320" t="str">
        <f>MID('paste from garc here'!$C$1,1+(('table for research'!$B320-1)*36+HEX2DEC('table for research'!V$1))*2,2)</f>
        <v>00</v>
      </c>
      <c r="W320" t="str">
        <f>MID('paste from garc here'!$C$1,1+(('table for research'!$B320-1)*36+HEX2DEC('table for research'!W$1))*2,2)</f>
        <v>00</v>
      </c>
      <c r="X320" t="str">
        <f>MID('paste from garc here'!$C$1,1+(('table for research'!$B320-1)*36+HEX2DEC('table for research'!X$1))*2,2)</f>
        <v>00</v>
      </c>
      <c r="Y320" t="str">
        <f>MID('paste from garc here'!$C$1,1+(('table for research'!$B320-1)*36+HEX2DEC('table for research'!Y$1))*2,2)</f>
        <v>00</v>
      </c>
      <c r="Z320" t="str">
        <f>MID('paste from garc here'!$C$1,1+(('table for research'!$B320-1)*36+HEX2DEC('table for research'!Z$1))*2,2)</f>
        <v>00</v>
      </c>
      <c r="AA320" t="str">
        <f>MID('paste from garc here'!$C$1,1+(('table for research'!$B320-1)*36+HEX2DEC('table for research'!AA$1))*2,2)</f>
        <v>00</v>
      </c>
      <c r="AB320" t="str">
        <f>MID('paste from garc here'!$C$1,1+(('table for research'!$B320-1)*36+HEX2DEC('table for research'!AB$1))*2,2)</f>
        <v>00</v>
      </c>
      <c r="AC320" t="str">
        <f>MID('paste from garc here'!$C$1,1+(('table for research'!$B320-1)*36+HEX2DEC('table for research'!AC$1))*2,2)</f>
        <v>00</v>
      </c>
      <c r="AD320" t="str">
        <f>MID('paste from garc here'!$C$1,1+(('table for research'!$B320-1)*36+HEX2DEC('table for research'!AD$1))*2,2)</f>
        <v>00</v>
      </c>
      <c r="AE320" t="str">
        <f>MID('paste from garc here'!$C$1,1+(('table for research'!$B320-1)*36+HEX2DEC('table for research'!AE$1))*2,2)</f>
        <v>00</v>
      </c>
      <c r="AF320" t="str">
        <f>MID('paste from garc here'!$C$1,1+(('table for research'!$B320-1)*36+HEX2DEC('table for research'!AF$1))*2,2)</f>
        <v>00</v>
      </c>
      <c r="AG320" t="str">
        <f>MID('paste from garc here'!$C$1,1+(('table for research'!$B320-1)*36+HEX2DEC('table for research'!AG$1))*2,2)</f>
        <v>00</v>
      </c>
      <c r="AH320" t="str">
        <f>MID('paste from garc here'!$C$1,1+(('table for research'!$B320-1)*36+HEX2DEC('table for research'!AH$1))*2,2)</f>
        <v>00</v>
      </c>
      <c r="AI320" t="str">
        <f>MID('paste from garc here'!$C$1,1+(('table for research'!$B320-1)*36+HEX2DEC('table for research'!AI$1))*2,2)</f>
        <v>00</v>
      </c>
      <c r="AJ320" t="str">
        <f>MID('paste from garc here'!$C$1,1+(('table for research'!$B320-1)*36+HEX2DEC('table for research'!AJ$1))*2,2)</f>
        <v>00</v>
      </c>
      <c r="AK320" t="str">
        <f>MID('paste from garc here'!$C$1,1+(('table for research'!$B320-1)*36+HEX2DEC('table for research'!AK$1))*2,2)</f>
        <v>00</v>
      </c>
      <c r="AL320" t="str">
        <f>MID('paste from garc here'!$C$1,1+(('table for research'!$B320-1)*36+HEX2DEC('table for research'!AL$1))*2,2)</f>
        <v>00</v>
      </c>
      <c r="AM320" t="str">
        <f>MID('paste from garc here'!$C$1,1+(('table for research'!$B320-1)*36+HEX2DEC('table for research'!AM$1))*2,2)</f>
        <v>00</v>
      </c>
      <c r="AN320" t="str">
        <f>MID('paste from garc here'!$C$1,1+(('table for research'!$B320-1)*36+HEX2DEC('table for research'!AN$1))*2,2)</f>
        <v>00</v>
      </c>
      <c r="AO320" t="str">
        <f>MID('paste from garc here'!$C$1,1+(('table for research'!$B320-1)*36+HEX2DEC('table for research'!AO$1))*2,2)</f>
        <v>00</v>
      </c>
    </row>
    <row r="321" spans="1:41" x14ac:dyDescent="0.4">
      <c r="A321" t="s">
        <v>324</v>
      </c>
      <c r="B321">
        <f>B320+1</f>
        <v>319</v>
      </c>
      <c r="C321" t="str">
        <f>MID('paste from garc here'!$C$1,1+(('table for research'!$B321-1)*36+HEX2DEC('table for research'!C$1))*2,2)</f>
        <v>4C</v>
      </c>
      <c r="D321" t="str">
        <f>MID('paste from garc here'!$C$1,1+(('table for research'!$B321-1)*36+HEX2DEC('table for research'!D$1))*2,2)</f>
        <v>04</v>
      </c>
      <c r="E321" t="str">
        <f>MID('paste from garc here'!$C$1,1+(('table for research'!$B321-1)*36+HEX2DEC('table for research'!E$1))*2,2)</f>
        <v>39</v>
      </c>
      <c r="F321" t="str">
        <f>MID('paste from garc here'!$C$1,1+(('table for research'!$B321-1)*36+HEX2DEC('table for research'!F$1))*2,2)</f>
        <v>0A</v>
      </c>
      <c r="G321" t="str">
        <f>MID('paste from garc here'!$C$1,1+(('table for research'!$B321-1)*36+HEX2DEC('table for research'!G$1))*2,2)</f>
        <v>00</v>
      </c>
      <c r="H321" t="str">
        <f>MID('paste from garc here'!$C$1,1+(('table for research'!$B321-1)*36+HEX2DEC('table for research'!H$1))*2,2)</f>
        <v>00</v>
      </c>
      <c r="I321" t="str">
        <f>MID('paste from garc here'!$C$1,1+(('table for research'!$B321-1)*36+HEX2DEC('table for research'!I$1))*2,2)</f>
        <v>0A</v>
      </c>
      <c r="J321" t="str">
        <f>MID('paste from garc here'!$C$1,1+(('table for research'!$B321-1)*36+HEX2DEC('table for research'!J$1))*2,2)</f>
        <v>00</v>
      </c>
      <c r="K321" t="str">
        <f>DEC2HEX(_xlfn.BITAND(HEX2DEC(MID('paste from garc here'!$C$1,1+(('table for research'!$B321-1)*36+HEX2DEC(8))*2,2)),31),2)</f>
        <v>1F</v>
      </c>
      <c r="L321" t="str">
        <f>DEC2HEX(_xlfn.BITAND(HEX2DEC(MID('paste from garc here'!$C$1,1+(('table for research'!$B321-1)*36+HEX2DEC(8))*2,2)),32),2)</f>
        <v>00</v>
      </c>
      <c r="M321" t="str">
        <f>DEC2HEX(_xlfn.BITAND(HEX2DEC(MID('paste from garc here'!$C$1,1+(('table for research'!$B321-1)*36+HEX2DEC(8))*2,2)),64),2)</f>
        <v>00</v>
      </c>
      <c r="N321" t="str">
        <f>DEC2HEX(_xlfn.BITRSHIFT(_xlfn.BITAND(HEX2DEC(MID('paste from garc here'!$C$1,1+(('table for research'!$B321-1)*36+HEX2DEC(9))*2,2)&amp;MID('paste from garc here'!$C$1,1+(('table for research'!$B321-1)*36+HEX2DEC(8))*2,2)),1920),7),2)</f>
        <v>00</v>
      </c>
      <c r="O321" t="str">
        <f>DEC2HEX(_xlfn.BITRSHIFT(HEX2DEC(MID('paste from garc here'!$C$1,1+(('table for research'!$B321-1)*36+HEX2DEC(9))*2,2)&amp;MID('paste from garc here'!$C$1,1+(('table for research'!$B321-1)*36+HEX2DEC(8))*2,2)),11),2)</f>
        <v>00</v>
      </c>
      <c r="P321" t="str">
        <f>MID('paste from garc here'!$C$1,1+(('table for research'!$B321-1)*36+HEX2DEC('table for research'!P$1))*2,2)</f>
        <v>00</v>
      </c>
      <c r="Q321" t="str">
        <f>MID('paste from garc here'!$C$1,1+(('table for research'!$B321-1)*36+HEX2DEC('table for research'!Q$1))*2,2)</f>
        <v>00</v>
      </c>
      <c r="R321" t="str">
        <f>MID('paste from garc here'!$C$1,1+(('table for research'!$B321-1)*36+HEX2DEC('table for research'!R$1))*2,2)</f>
        <v>00</v>
      </c>
      <c r="S321" t="str">
        <f>MID('paste from garc here'!$C$1,1+(('table for research'!$B321-1)*36+HEX2DEC('table for research'!S$1))*2,2)</f>
        <v>01</v>
      </c>
      <c r="T321" t="str">
        <f>MID('paste from garc here'!$C$1,1+(('table for research'!$B321-1)*36+HEX2DEC('table for research'!T$1))*2,2)</f>
        <v>00</v>
      </c>
      <c r="U321" t="str">
        <f>MID('paste from garc here'!$C$1,1+(('table for research'!$B321-1)*36+HEX2DEC('table for research'!U$1))*2,2)</f>
        <v>52</v>
      </c>
      <c r="V321" t="str">
        <f>MID('paste from garc here'!$C$1,1+(('table for research'!$B321-1)*36+HEX2DEC('table for research'!V$1))*2,2)</f>
        <v>00</v>
      </c>
      <c r="W321" t="str">
        <f>MID('paste from garc here'!$C$1,1+(('table for research'!$B321-1)*36+HEX2DEC('table for research'!W$1))*2,2)</f>
        <v>00</v>
      </c>
      <c r="X321" t="str">
        <f>MID('paste from garc here'!$C$1,1+(('table for research'!$B321-1)*36+HEX2DEC('table for research'!X$1))*2,2)</f>
        <v>00</v>
      </c>
      <c r="Y321" t="str">
        <f>MID('paste from garc here'!$C$1,1+(('table for research'!$B321-1)*36+HEX2DEC('table for research'!Y$1))*2,2)</f>
        <v>00</v>
      </c>
      <c r="Z321" t="str">
        <f>MID('paste from garc here'!$C$1,1+(('table for research'!$B321-1)*36+HEX2DEC('table for research'!Z$1))*2,2)</f>
        <v>00</v>
      </c>
      <c r="AA321" t="str">
        <f>MID('paste from garc here'!$C$1,1+(('table for research'!$B321-1)*36+HEX2DEC('table for research'!AA$1))*2,2)</f>
        <v>00</v>
      </c>
      <c r="AB321" t="str">
        <f>MID('paste from garc here'!$C$1,1+(('table for research'!$B321-1)*36+HEX2DEC('table for research'!AB$1))*2,2)</f>
        <v>00</v>
      </c>
      <c r="AC321" t="str">
        <f>MID('paste from garc here'!$C$1,1+(('table for research'!$B321-1)*36+HEX2DEC('table for research'!AC$1))*2,2)</f>
        <v>00</v>
      </c>
      <c r="AD321" t="str">
        <f>MID('paste from garc here'!$C$1,1+(('table for research'!$B321-1)*36+HEX2DEC('table for research'!AD$1))*2,2)</f>
        <v>00</v>
      </c>
      <c r="AE321" t="str">
        <f>MID('paste from garc here'!$C$1,1+(('table for research'!$B321-1)*36+HEX2DEC('table for research'!AE$1))*2,2)</f>
        <v>00</v>
      </c>
      <c r="AF321" t="str">
        <f>MID('paste from garc here'!$C$1,1+(('table for research'!$B321-1)*36+HEX2DEC('table for research'!AF$1))*2,2)</f>
        <v>00</v>
      </c>
      <c r="AG321" t="str">
        <f>MID('paste from garc here'!$C$1,1+(('table for research'!$B321-1)*36+HEX2DEC('table for research'!AG$1))*2,2)</f>
        <v>00</v>
      </c>
      <c r="AH321" t="str">
        <f>MID('paste from garc here'!$C$1,1+(('table for research'!$B321-1)*36+HEX2DEC('table for research'!AH$1))*2,2)</f>
        <v>00</v>
      </c>
      <c r="AI321" t="str">
        <f>MID('paste from garc here'!$C$1,1+(('table for research'!$B321-1)*36+HEX2DEC('table for research'!AI$1))*2,2)</f>
        <v>00</v>
      </c>
      <c r="AJ321" t="str">
        <f>MID('paste from garc here'!$C$1,1+(('table for research'!$B321-1)*36+HEX2DEC('table for research'!AJ$1))*2,2)</f>
        <v>00</v>
      </c>
      <c r="AK321" t="str">
        <f>MID('paste from garc here'!$C$1,1+(('table for research'!$B321-1)*36+HEX2DEC('table for research'!AK$1))*2,2)</f>
        <v>00</v>
      </c>
      <c r="AL321" t="str">
        <f>MID('paste from garc here'!$C$1,1+(('table for research'!$B321-1)*36+HEX2DEC('table for research'!AL$1))*2,2)</f>
        <v>00</v>
      </c>
      <c r="AM321" t="str">
        <f>MID('paste from garc here'!$C$1,1+(('table for research'!$B321-1)*36+HEX2DEC('table for research'!AM$1))*2,2)</f>
        <v>00</v>
      </c>
      <c r="AN321" t="str">
        <f>MID('paste from garc here'!$C$1,1+(('table for research'!$B321-1)*36+HEX2DEC('table for research'!AN$1))*2,2)</f>
        <v>00</v>
      </c>
      <c r="AO321" t="str">
        <f>MID('paste from garc here'!$C$1,1+(('table for research'!$B321-1)*36+HEX2DEC('table for research'!AO$1))*2,2)</f>
        <v>00</v>
      </c>
    </row>
    <row r="322" spans="1:41" x14ac:dyDescent="0.4">
      <c r="A322" t="s">
        <v>325</v>
      </c>
      <c r="B322">
        <f>B321+1</f>
        <v>320</v>
      </c>
      <c r="C322" t="str">
        <f>MID('paste from garc here'!$C$1,1+(('table for research'!$B322-1)*36+HEX2DEC('table for research'!C$1))*2,2)</f>
        <v>58</v>
      </c>
      <c r="D322" t="str">
        <f>MID('paste from garc here'!$C$1,1+(('table for research'!$B322-1)*36+HEX2DEC('table for research'!D$1))*2,2)</f>
        <v>02</v>
      </c>
      <c r="E322" t="str">
        <f>MID('paste from garc here'!$C$1,1+(('table for research'!$B322-1)*36+HEX2DEC('table for research'!E$1))*2,2)</f>
        <v>3A</v>
      </c>
      <c r="F322" t="str">
        <f>MID('paste from garc here'!$C$1,1+(('table for research'!$B322-1)*36+HEX2DEC('table for research'!F$1))*2,2)</f>
        <v>00</v>
      </c>
      <c r="G322" t="str">
        <f>MID('paste from garc here'!$C$1,1+(('table for research'!$B322-1)*36+HEX2DEC('table for research'!G$1))*2,2)</f>
        <v>00</v>
      </c>
      <c r="H322" t="str">
        <f>MID('paste from garc here'!$C$1,1+(('table for research'!$B322-1)*36+HEX2DEC('table for research'!H$1))*2,2)</f>
        <v>00</v>
      </c>
      <c r="I322" t="str">
        <f>MID('paste from garc here'!$C$1,1+(('table for research'!$B322-1)*36+HEX2DEC('table for research'!I$1))*2,2)</f>
        <v>0A</v>
      </c>
      <c r="J322" t="str">
        <f>MID('paste from garc here'!$C$1,1+(('table for research'!$B322-1)*36+HEX2DEC('table for research'!J$1))*2,2)</f>
        <v>00</v>
      </c>
      <c r="K322" t="str">
        <f>DEC2HEX(_xlfn.BITAND(HEX2DEC(MID('paste from garc here'!$C$1,1+(('table for research'!$B322-1)*36+HEX2DEC(8))*2,2)),31),2)</f>
        <v>1F</v>
      </c>
      <c r="L322" t="str">
        <f>DEC2HEX(_xlfn.BITAND(HEX2DEC(MID('paste from garc here'!$C$1,1+(('table for research'!$B322-1)*36+HEX2DEC(8))*2,2)),32),2)</f>
        <v>00</v>
      </c>
      <c r="M322" t="str">
        <f>DEC2HEX(_xlfn.BITAND(HEX2DEC(MID('paste from garc here'!$C$1,1+(('table for research'!$B322-1)*36+HEX2DEC(8))*2,2)),64),2)</f>
        <v>00</v>
      </c>
      <c r="N322" t="str">
        <f>DEC2HEX(_xlfn.BITRSHIFT(_xlfn.BITAND(HEX2DEC(MID('paste from garc here'!$C$1,1+(('table for research'!$B322-1)*36+HEX2DEC(9))*2,2)&amp;MID('paste from garc here'!$C$1,1+(('table for research'!$B322-1)*36+HEX2DEC(8))*2,2)),1920),7),2)</f>
        <v>00</v>
      </c>
      <c r="O322" t="str">
        <f>DEC2HEX(_xlfn.BITRSHIFT(HEX2DEC(MID('paste from garc here'!$C$1,1+(('table for research'!$B322-1)*36+HEX2DEC(9))*2,2)&amp;MID('paste from garc here'!$C$1,1+(('table for research'!$B322-1)*36+HEX2DEC(8))*2,2)),11),2)</f>
        <v>00</v>
      </c>
      <c r="P322" t="str">
        <f>MID('paste from garc here'!$C$1,1+(('table for research'!$B322-1)*36+HEX2DEC('table for research'!P$1))*2,2)</f>
        <v>00</v>
      </c>
      <c r="Q322" t="str">
        <f>MID('paste from garc here'!$C$1,1+(('table for research'!$B322-1)*36+HEX2DEC('table for research'!Q$1))*2,2)</f>
        <v>00</v>
      </c>
      <c r="R322" t="str">
        <f>MID('paste from garc here'!$C$1,1+(('table for research'!$B322-1)*36+HEX2DEC('table for research'!R$1))*2,2)</f>
        <v>00</v>
      </c>
      <c r="S322" t="str">
        <f>MID('paste from garc here'!$C$1,1+(('table for research'!$B322-1)*36+HEX2DEC('table for research'!S$1))*2,2)</f>
        <v>01</v>
      </c>
      <c r="T322" t="str">
        <f>MID('paste from garc here'!$C$1,1+(('table for research'!$B322-1)*36+HEX2DEC('table for research'!T$1))*2,2)</f>
        <v>00</v>
      </c>
      <c r="U322" t="str">
        <f>MID('paste from garc here'!$C$1,1+(('table for research'!$B322-1)*36+HEX2DEC('table for research'!U$1))*2,2)</f>
        <v>52</v>
      </c>
      <c r="V322" t="str">
        <f>MID('paste from garc here'!$C$1,1+(('table for research'!$B322-1)*36+HEX2DEC('table for research'!V$1))*2,2)</f>
        <v>00</v>
      </c>
      <c r="W322" t="str">
        <f>MID('paste from garc here'!$C$1,1+(('table for research'!$B322-1)*36+HEX2DEC('table for research'!W$1))*2,2)</f>
        <v>00</v>
      </c>
      <c r="X322" t="str">
        <f>MID('paste from garc here'!$C$1,1+(('table for research'!$B322-1)*36+HEX2DEC('table for research'!X$1))*2,2)</f>
        <v>00</v>
      </c>
      <c r="Y322" t="str">
        <f>MID('paste from garc here'!$C$1,1+(('table for research'!$B322-1)*36+HEX2DEC('table for research'!Y$1))*2,2)</f>
        <v>00</v>
      </c>
      <c r="Z322" t="str">
        <f>MID('paste from garc here'!$C$1,1+(('table for research'!$B322-1)*36+HEX2DEC('table for research'!Z$1))*2,2)</f>
        <v>00</v>
      </c>
      <c r="AA322" t="str">
        <f>MID('paste from garc here'!$C$1,1+(('table for research'!$B322-1)*36+HEX2DEC('table for research'!AA$1))*2,2)</f>
        <v>00</v>
      </c>
      <c r="AB322" t="str">
        <f>MID('paste from garc here'!$C$1,1+(('table for research'!$B322-1)*36+HEX2DEC('table for research'!AB$1))*2,2)</f>
        <v>00</v>
      </c>
      <c r="AC322" t="str">
        <f>MID('paste from garc here'!$C$1,1+(('table for research'!$B322-1)*36+HEX2DEC('table for research'!AC$1))*2,2)</f>
        <v>00</v>
      </c>
      <c r="AD322" t="str">
        <f>MID('paste from garc here'!$C$1,1+(('table for research'!$B322-1)*36+HEX2DEC('table for research'!AD$1))*2,2)</f>
        <v>00</v>
      </c>
      <c r="AE322" t="str">
        <f>MID('paste from garc here'!$C$1,1+(('table for research'!$B322-1)*36+HEX2DEC('table for research'!AE$1))*2,2)</f>
        <v>00</v>
      </c>
      <c r="AF322" t="str">
        <f>MID('paste from garc here'!$C$1,1+(('table for research'!$B322-1)*36+HEX2DEC('table for research'!AF$1))*2,2)</f>
        <v>00</v>
      </c>
      <c r="AG322" t="str">
        <f>MID('paste from garc here'!$C$1,1+(('table for research'!$B322-1)*36+HEX2DEC('table for research'!AG$1))*2,2)</f>
        <v>00</v>
      </c>
      <c r="AH322" t="str">
        <f>MID('paste from garc here'!$C$1,1+(('table for research'!$B322-1)*36+HEX2DEC('table for research'!AH$1))*2,2)</f>
        <v>00</v>
      </c>
      <c r="AI322" t="str">
        <f>MID('paste from garc here'!$C$1,1+(('table for research'!$B322-1)*36+HEX2DEC('table for research'!AI$1))*2,2)</f>
        <v>00</v>
      </c>
      <c r="AJ322" t="str">
        <f>MID('paste from garc here'!$C$1,1+(('table for research'!$B322-1)*36+HEX2DEC('table for research'!AJ$1))*2,2)</f>
        <v>00</v>
      </c>
      <c r="AK322" t="str">
        <f>MID('paste from garc here'!$C$1,1+(('table for research'!$B322-1)*36+HEX2DEC('table for research'!AK$1))*2,2)</f>
        <v>00</v>
      </c>
      <c r="AL322" t="str">
        <f>MID('paste from garc here'!$C$1,1+(('table for research'!$B322-1)*36+HEX2DEC('table for research'!AL$1))*2,2)</f>
        <v>00</v>
      </c>
      <c r="AM322" t="str">
        <f>MID('paste from garc here'!$C$1,1+(('table for research'!$B322-1)*36+HEX2DEC('table for research'!AM$1))*2,2)</f>
        <v>00</v>
      </c>
      <c r="AN322" t="str">
        <f>MID('paste from garc here'!$C$1,1+(('table for research'!$B322-1)*36+HEX2DEC('table for research'!AN$1))*2,2)</f>
        <v>00</v>
      </c>
      <c r="AO322" t="str">
        <f>MID('paste from garc here'!$C$1,1+(('table for research'!$B322-1)*36+HEX2DEC('table for research'!AO$1))*2,2)</f>
        <v>00</v>
      </c>
    </row>
    <row r="323" spans="1:41" x14ac:dyDescent="0.4">
      <c r="A323" t="s">
        <v>326</v>
      </c>
      <c r="B323">
        <f>B322+1</f>
        <v>321</v>
      </c>
      <c r="C323" t="str">
        <f>MID('paste from garc here'!$C$1,1+(('table for research'!$B323-1)*36+HEX2DEC('table for research'!C$1))*2,2)</f>
        <v>C8</v>
      </c>
      <c r="D323" t="str">
        <f>MID('paste from garc here'!$C$1,1+(('table for research'!$B323-1)*36+HEX2DEC('table for research'!D$1))*2,2)</f>
        <v>00</v>
      </c>
      <c r="E323" t="str">
        <f>MID('paste from garc here'!$C$1,1+(('table for research'!$B323-1)*36+HEX2DEC('table for research'!E$1))*2,2)</f>
        <v>8D</v>
      </c>
      <c r="F323" t="str">
        <f>MID('paste from garc here'!$C$1,1+(('table for research'!$B323-1)*36+HEX2DEC('table for research'!F$1))*2,2)</f>
        <v>00</v>
      </c>
      <c r="G323" t="str">
        <f>MID('paste from garc here'!$C$1,1+(('table for research'!$B323-1)*36+HEX2DEC('table for research'!G$1))*2,2)</f>
        <v>00</v>
      </c>
      <c r="H323" t="str">
        <f>MID('paste from garc here'!$C$1,1+(('table for research'!$B323-1)*36+HEX2DEC('table for research'!H$1))*2,2)</f>
        <v>00</v>
      </c>
      <c r="I323" t="str">
        <f>MID('paste from garc here'!$C$1,1+(('table for research'!$B323-1)*36+HEX2DEC('table for research'!I$1))*2,2)</f>
        <v>50</v>
      </c>
      <c r="J323" t="str">
        <f>MID('paste from garc here'!$C$1,1+(('table for research'!$B323-1)*36+HEX2DEC('table for research'!J$1))*2,2)</f>
        <v>00</v>
      </c>
      <c r="K323" t="str">
        <f>DEC2HEX(_xlfn.BITAND(HEX2DEC(MID('paste from garc here'!$C$1,1+(('table for research'!$B323-1)*36+HEX2DEC(8))*2,2)),31),2)</f>
        <v>1F</v>
      </c>
      <c r="L323" t="str">
        <f>DEC2HEX(_xlfn.BITAND(HEX2DEC(MID('paste from garc here'!$C$1,1+(('table for research'!$B323-1)*36+HEX2DEC(8))*2,2)),32),2)</f>
        <v>00</v>
      </c>
      <c r="M323" t="str">
        <f>DEC2HEX(_xlfn.BITAND(HEX2DEC(MID('paste from garc here'!$C$1,1+(('table for research'!$B323-1)*36+HEX2DEC(8))*2,2)),64),2)</f>
        <v>00</v>
      </c>
      <c r="N323" t="str">
        <f>DEC2HEX(_xlfn.BITRSHIFT(_xlfn.BITAND(HEX2DEC(MID('paste from garc here'!$C$1,1+(('table for research'!$B323-1)*36+HEX2DEC(9))*2,2)&amp;MID('paste from garc here'!$C$1,1+(('table for research'!$B323-1)*36+HEX2DEC(8))*2,2)),1920),7),2)</f>
        <v>00</v>
      </c>
      <c r="O323" t="str">
        <f>DEC2HEX(_xlfn.BITRSHIFT(HEX2DEC(MID('paste from garc here'!$C$1,1+(('table for research'!$B323-1)*36+HEX2DEC(9))*2,2)&amp;MID('paste from garc here'!$C$1,1+(('table for research'!$B323-1)*36+HEX2DEC(8))*2,2)),11),2)</f>
        <v>00</v>
      </c>
      <c r="P323" t="str">
        <f>MID('paste from garc here'!$C$1,1+(('table for research'!$B323-1)*36+HEX2DEC('table for research'!P$1))*2,2)</f>
        <v>06</v>
      </c>
      <c r="Q323" t="str">
        <f>MID('paste from garc here'!$C$1,1+(('table for research'!$B323-1)*36+HEX2DEC('table for research'!Q$1))*2,2)</f>
        <v>00</v>
      </c>
      <c r="R323" t="str">
        <f>MID('paste from garc here'!$C$1,1+(('table for research'!$B323-1)*36+HEX2DEC('table for research'!R$1))*2,2)</f>
        <v>01</v>
      </c>
      <c r="S323" t="str">
        <f>MID('paste from garc here'!$C$1,1+(('table for research'!$B323-1)*36+HEX2DEC('table for research'!S$1))*2,2)</f>
        <v>02</v>
      </c>
      <c r="T323" t="str">
        <f>MID('paste from garc here'!$C$1,1+(('table for research'!$B323-1)*36+HEX2DEC('table for research'!T$1))*2,2)</f>
        <v>00</v>
      </c>
      <c r="U323" t="str">
        <f>MID('paste from garc here'!$C$1,1+(('table for research'!$B323-1)*36+HEX2DEC('table for research'!U$1))*2,2)</f>
        <v>4A</v>
      </c>
      <c r="V323" t="str">
        <f>MID('paste from garc here'!$C$1,1+(('table for research'!$B323-1)*36+HEX2DEC('table for research'!V$1))*2,2)</f>
        <v>00</v>
      </c>
      <c r="W323" t="str">
        <f>MID('paste from garc here'!$C$1,1+(('table for research'!$B323-1)*36+HEX2DEC('table for research'!W$1))*2,2)</f>
        <v>08</v>
      </c>
      <c r="X323" t="str">
        <f>MID('paste from garc here'!$C$1,1+(('table for research'!$B323-1)*36+HEX2DEC('table for research'!X$1))*2,2)</f>
        <v>00</v>
      </c>
      <c r="Y323" t="str">
        <f>MID('paste from garc here'!$C$1,1+(('table for research'!$B323-1)*36+HEX2DEC('table for research'!Y$1))*2,2)</f>
        <v>00</v>
      </c>
      <c r="Z323" t="str">
        <f>MID('paste from garc here'!$C$1,1+(('table for research'!$B323-1)*36+HEX2DEC('table for research'!Z$1))*2,2)</f>
        <v>00</v>
      </c>
      <c r="AA323" t="str">
        <f>MID('paste from garc here'!$C$1,1+(('table for research'!$B323-1)*36+HEX2DEC('table for research'!AA$1))*2,2)</f>
        <v>00</v>
      </c>
      <c r="AB323" t="str">
        <f>MID('paste from garc here'!$C$1,1+(('table for research'!$B323-1)*36+HEX2DEC('table for research'!AB$1))*2,2)</f>
        <v>00</v>
      </c>
      <c r="AC323" t="str">
        <f>MID('paste from garc here'!$C$1,1+(('table for research'!$B323-1)*36+HEX2DEC('table for research'!AC$1))*2,2)</f>
        <v>00</v>
      </c>
      <c r="AD323" t="str">
        <f>MID('paste from garc here'!$C$1,1+(('table for research'!$B323-1)*36+HEX2DEC('table for research'!AD$1))*2,2)</f>
        <v>00</v>
      </c>
      <c r="AE323" t="str">
        <f>MID('paste from garc here'!$C$1,1+(('table for research'!$B323-1)*36+HEX2DEC('table for research'!AE$1))*2,2)</f>
        <v>00</v>
      </c>
      <c r="AF323" t="str">
        <f>MID('paste from garc here'!$C$1,1+(('table for research'!$B323-1)*36+HEX2DEC('table for research'!AF$1))*2,2)</f>
        <v>00</v>
      </c>
      <c r="AG323" t="str">
        <f>MID('paste from garc here'!$C$1,1+(('table for research'!$B323-1)*36+HEX2DEC('table for research'!AG$1))*2,2)</f>
        <v>00</v>
      </c>
      <c r="AH323" t="str">
        <f>MID('paste from garc here'!$C$1,1+(('table for research'!$B323-1)*36+HEX2DEC('table for research'!AH$1))*2,2)</f>
        <v>00</v>
      </c>
      <c r="AI323" t="str">
        <f>MID('paste from garc here'!$C$1,1+(('table for research'!$B323-1)*36+HEX2DEC('table for research'!AI$1))*2,2)</f>
        <v>00</v>
      </c>
      <c r="AJ323" t="str">
        <f>MID('paste from garc here'!$C$1,1+(('table for research'!$B323-1)*36+HEX2DEC('table for research'!AJ$1))*2,2)</f>
        <v>00</v>
      </c>
      <c r="AK323" t="str">
        <f>MID('paste from garc here'!$C$1,1+(('table for research'!$B323-1)*36+HEX2DEC('table for research'!AK$1))*2,2)</f>
        <v>00</v>
      </c>
      <c r="AL323" t="str">
        <f>MID('paste from garc here'!$C$1,1+(('table for research'!$B323-1)*36+HEX2DEC('table for research'!AL$1))*2,2)</f>
        <v>00</v>
      </c>
      <c r="AM323" t="str">
        <f>MID('paste from garc here'!$C$1,1+(('table for research'!$B323-1)*36+HEX2DEC('table for research'!AM$1))*2,2)</f>
        <v>00</v>
      </c>
      <c r="AN323" t="str">
        <f>MID('paste from garc here'!$C$1,1+(('table for research'!$B323-1)*36+HEX2DEC('table for research'!AN$1))*2,2)</f>
        <v>00</v>
      </c>
      <c r="AO323" t="str">
        <f>MID('paste from garc here'!$C$1,1+(('table for research'!$B323-1)*36+HEX2DEC('table for research'!AO$1))*2,2)</f>
        <v>00</v>
      </c>
    </row>
    <row r="324" spans="1:41" x14ac:dyDescent="0.4">
      <c r="A324" t="s">
        <v>327</v>
      </c>
      <c r="B324">
        <f>B323+1</f>
        <v>322</v>
      </c>
      <c r="C324" t="str">
        <f>MID('paste from garc here'!$C$1,1+(('table for research'!$B324-1)*36+HEX2DEC('table for research'!C$1))*2,2)</f>
        <v>C8</v>
      </c>
      <c r="D324" t="str">
        <f>MID('paste from garc here'!$C$1,1+(('table for research'!$B324-1)*36+HEX2DEC('table for research'!D$1))*2,2)</f>
        <v>00</v>
      </c>
      <c r="E324" t="str">
        <f>MID('paste from garc here'!$C$1,1+(('table for research'!$B324-1)*36+HEX2DEC('table for research'!E$1))*2,2)</f>
        <v>8E</v>
      </c>
      <c r="F324" t="str">
        <f>MID('paste from garc here'!$C$1,1+(('table for research'!$B324-1)*36+HEX2DEC('table for research'!F$1))*2,2)</f>
        <v>00</v>
      </c>
      <c r="G324" t="str">
        <f>MID('paste from garc here'!$C$1,1+(('table for research'!$B324-1)*36+HEX2DEC('table for research'!G$1))*2,2)</f>
        <v>00</v>
      </c>
      <c r="H324" t="str">
        <f>MID('paste from garc here'!$C$1,1+(('table for research'!$B324-1)*36+HEX2DEC('table for research'!H$1))*2,2)</f>
        <v>00</v>
      </c>
      <c r="I324" t="str">
        <f>MID('paste from garc here'!$C$1,1+(('table for research'!$B324-1)*36+HEX2DEC('table for research'!I$1))*2,2)</f>
        <v>50</v>
      </c>
      <c r="J324" t="str">
        <f>MID('paste from garc here'!$C$1,1+(('table for research'!$B324-1)*36+HEX2DEC('table for research'!J$1))*2,2)</f>
        <v>00</v>
      </c>
      <c r="K324" t="str">
        <f>DEC2HEX(_xlfn.BITAND(HEX2DEC(MID('paste from garc here'!$C$1,1+(('table for research'!$B324-1)*36+HEX2DEC(8))*2,2)),31),2)</f>
        <v>1F</v>
      </c>
      <c r="L324" t="str">
        <f>DEC2HEX(_xlfn.BITAND(HEX2DEC(MID('paste from garc here'!$C$1,1+(('table for research'!$B324-1)*36+HEX2DEC(8))*2,2)),32),2)</f>
        <v>00</v>
      </c>
      <c r="M324" t="str">
        <f>DEC2HEX(_xlfn.BITAND(HEX2DEC(MID('paste from garc here'!$C$1,1+(('table for research'!$B324-1)*36+HEX2DEC(8))*2,2)),64),2)</f>
        <v>00</v>
      </c>
      <c r="N324" t="str">
        <f>DEC2HEX(_xlfn.BITRSHIFT(_xlfn.BITAND(HEX2DEC(MID('paste from garc here'!$C$1,1+(('table for research'!$B324-1)*36+HEX2DEC(9))*2,2)&amp;MID('paste from garc here'!$C$1,1+(('table for research'!$B324-1)*36+HEX2DEC(8))*2,2)),1920),7),2)</f>
        <v>00</v>
      </c>
      <c r="O324" t="str">
        <f>DEC2HEX(_xlfn.BITRSHIFT(HEX2DEC(MID('paste from garc here'!$C$1,1+(('table for research'!$B324-1)*36+HEX2DEC(9))*2,2)&amp;MID('paste from garc here'!$C$1,1+(('table for research'!$B324-1)*36+HEX2DEC(8))*2,2)),11),2)</f>
        <v>00</v>
      </c>
      <c r="P324" t="str">
        <f>MID('paste from garc here'!$C$1,1+(('table for research'!$B324-1)*36+HEX2DEC('table for research'!P$1))*2,2)</f>
        <v>06</v>
      </c>
      <c r="Q324" t="str">
        <f>MID('paste from garc here'!$C$1,1+(('table for research'!$B324-1)*36+HEX2DEC('table for research'!Q$1))*2,2)</f>
        <v>00</v>
      </c>
      <c r="R324" t="str">
        <f>MID('paste from garc here'!$C$1,1+(('table for research'!$B324-1)*36+HEX2DEC('table for research'!R$1))*2,2)</f>
        <v>01</v>
      </c>
      <c r="S324" t="str">
        <f>MID('paste from garc here'!$C$1,1+(('table for research'!$B324-1)*36+HEX2DEC('table for research'!S$1))*2,2)</f>
        <v>03</v>
      </c>
      <c r="T324" t="str">
        <f>MID('paste from garc here'!$C$1,1+(('table for research'!$B324-1)*36+HEX2DEC('table for research'!T$1))*2,2)</f>
        <v>00</v>
      </c>
      <c r="U324" t="str">
        <f>MID('paste from garc here'!$C$1,1+(('table for research'!$B324-1)*36+HEX2DEC('table for research'!U$1))*2,2)</f>
        <v>48</v>
      </c>
      <c r="V324" t="str">
        <f>MID('paste from garc here'!$C$1,1+(('table for research'!$B324-1)*36+HEX2DEC('table for research'!V$1))*2,2)</f>
        <v>00</v>
      </c>
      <c r="W324" t="str">
        <f>MID('paste from garc here'!$C$1,1+(('table for research'!$B324-1)*36+HEX2DEC('table for research'!W$1))*2,2)</f>
        <v>08</v>
      </c>
      <c r="X324" t="str">
        <f>MID('paste from garc here'!$C$1,1+(('table for research'!$B324-1)*36+HEX2DEC('table for research'!X$1))*2,2)</f>
        <v>00</v>
      </c>
      <c r="Y324" t="str">
        <f>MID('paste from garc here'!$C$1,1+(('table for research'!$B324-1)*36+HEX2DEC('table for research'!Y$1))*2,2)</f>
        <v>00</v>
      </c>
      <c r="Z324" t="str">
        <f>MID('paste from garc here'!$C$1,1+(('table for research'!$B324-1)*36+HEX2DEC('table for research'!Z$1))*2,2)</f>
        <v>00</v>
      </c>
      <c r="AA324" t="str">
        <f>MID('paste from garc here'!$C$1,1+(('table for research'!$B324-1)*36+HEX2DEC('table for research'!AA$1))*2,2)</f>
        <v>00</v>
      </c>
      <c r="AB324" t="str">
        <f>MID('paste from garc here'!$C$1,1+(('table for research'!$B324-1)*36+HEX2DEC('table for research'!AB$1))*2,2)</f>
        <v>00</v>
      </c>
      <c r="AC324" t="str">
        <f>MID('paste from garc here'!$C$1,1+(('table for research'!$B324-1)*36+HEX2DEC('table for research'!AC$1))*2,2)</f>
        <v>00</v>
      </c>
      <c r="AD324" t="str">
        <f>MID('paste from garc here'!$C$1,1+(('table for research'!$B324-1)*36+HEX2DEC('table for research'!AD$1))*2,2)</f>
        <v>00</v>
      </c>
      <c r="AE324" t="str">
        <f>MID('paste from garc here'!$C$1,1+(('table for research'!$B324-1)*36+HEX2DEC('table for research'!AE$1))*2,2)</f>
        <v>00</v>
      </c>
      <c r="AF324" t="str">
        <f>MID('paste from garc here'!$C$1,1+(('table for research'!$B324-1)*36+HEX2DEC('table for research'!AF$1))*2,2)</f>
        <v>00</v>
      </c>
      <c r="AG324" t="str">
        <f>MID('paste from garc here'!$C$1,1+(('table for research'!$B324-1)*36+HEX2DEC('table for research'!AG$1))*2,2)</f>
        <v>00</v>
      </c>
      <c r="AH324" t="str">
        <f>MID('paste from garc here'!$C$1,1+(('table for research'!$B324-1)*36+HEX2DEC('table for research'!AH$1))*2,2)</f>
        <v>00</v>
      </c>
      <c r="AI324" t="str">
        <f>MID('paste from garc here'!$C$1,1+(('table for research'!$B324-1)*36+HEX2DEC('table for research'!AI$1))*2,2)</f>
        <v>00</v>
      </c>
      <c r="AJ324" t="str">
        <f>MID('paste from garc here'!$C$1,1+(('table for research'!$B324-1)*36+HEX2DEC('table for research'!AJ$1))*2,2)</f>
        <v>00</v>
      </c>
      <c r="AK324" t="str">
        <f>MID('paste from garc here'!$C$1,1+(('table for research'!$B324-1)*36+HEX2DEC('table for research'!AK$1))*2,2)</f>
        <v>00</v>
      </c>
      <c r="AL324" t="str">
        <f>MID('paste from garc here'!$C$1,1+(('table for research'!$B324-1)*36+HEX2DEC('table for research'!AL$1))*2,2)</f>
        <v>00</v>
      </c>
      <c r="AM324" t="str">
        <f>MID('paste from garc here'!$C$1,1+(('table for research'!$B324-1)*36+HEX2DEC('table for research'!AM$1))*2,2)</f>
        <v>00</v>
      </c>
      <c r="AN324" t="str">
        <f>MID('paste from garc here'!$C$1,1+(('table for research'!$B324-1)*36+HEX2DEC('table for research'!AN$1))*2,2)</f>
        <v>00</v>
      </c>
      <c r="AO324" t="str">
        <f>MID('paste from garc here'!$C$1,1+(('table for research'!$B324-1)*36+HEX2DEC('table for research'!AO$1))*2,2)</f>
        <v>00</v>
      </c>
    </row>
    <row r="325" spans="1:41" x14ac:dyDescent="0.4">
      <c r="A325" t="s">
        <v>328</v>
      </c>
      <c r="B325">
        <f>B324+1</f>
        <v>323</v>
      </c>
      <c r="C325" t="str">
        <f>MID('paste from garc here'!$C$1,1+(('table for research'!$B325-1)*36+HEX2DEC('table for research'!C$1))*2,2)</f>
        <v>C8</v>
      </c>
      <c r="D325" t="str">
        <f>MID('paste from garc here'!$C$1,1+(('table for research'!$B325-1)*36+HEX2DEC('table for research'!D$1))*2,2)</f>
        <v>00</v>
      </c>
      <c r="E325" t="str">
        <f>MID('paste from garc here'!$C$1,1+(('table for research'!$B325-1)*36+HEX2DEC('table for research'!E$1))*2,2)</f>
        <v>8F</v>
      </c>
      <c r="F325" t="str">
        <f>MID('paste from garc here'!$C$1,1+(('table for research'!$B325-1)*36+HEX2DEC('table for research'!F$1))*2,2)</f>
        <v>00</v>
      </c>
      <c r="G325" t="str">
        <f>MID('paste from garc here'!$C$1,1+(('table for research'!$B325-1)*36+HEX2DEC('table for research'!G$1))*2,2)</f>
        <v>00</v>
      </c>
      <c r="H325" t="str">
        <f>MID('paste from garc here'!$C$1,1+(('table for research'!$B325-1)*36+HEX2DEC('table for research'!H$1))*2,2)</f>
        <v>00</v>
      </c>
      <c r="I325" t="str">
        <f>MID('paste from garc here'!$C$1,1+(('table for research'!$B325-1)*36+HEX2DEC('table for research'!I$1))*2,2)</f>
        <v>50</v>
      </c>
      <c r="J325" t="str">
        <f>MID('paste from garc here'!$C$1,1+(('table for research'!$B325-1)*36+HEX2DEC('table for research'!J$1))*2,2)</f>
        <v>00</v>
      </c>
      <c r="K325" t="str">
        <f>DEC2HEX(_xlfn.BITAND(HEX2DEC(MID('paste from garc here'!$C$1,1+(('table for research'!$B325-1)*36+HEX2DEC(8))*2,2)),31),2)</f>
        <v>1F</v>
      </c>
      <c r="L325" t="str">
        <f>DEC2HEX(_xlfn.BITAND(HEX2DEC(MID('paste from garc here'!$C$1,1+(('table for research'!$B325-1)*36+HEX2DEC(8))*2,2)),32),2)</f>
        <v>00</v>
      </c>
      <c r="M325" t="str">
        <f>DEC2HEX(_xlfn.BITAND(HEX2DEC(MID('paste from garc here'!$C$1,1+(('table for research'!$B325-1)*36+HEX2DEC(8))*2,2)),64),2)</f>
        <v>00</v>
      </c>
      <c r="N325" t="str">
        <f>DEC2HEX(_xlfn.BITRSHIFT(_xlfn.BITAND(HEX2DEC(MID('paste from garc here'!$C$1,1+(('table for research'!$B325-1)*36+HEX2DEC(9))*2,2)&amp;MID('paste from garc here'!$C$1,1+(('table for research'!$B325-1)*36+HEX2DEC(8))*2,2)),1920),7),2)</f>
        <v>00</v>
      </c>
      <c r="O325" t="str">
        <f>DEC2HEX(_xlfn.BITRSHIFT(HEX2DEC(MID('paste from garc here'!$C$1,1+(('table for research'!$B325-1)*36+HEX2DEC(9))*2,2)&amp;MID('paste from garc here'!$C$1,1+(('table for research'!$B325-1)*36+HEX2DEC(8))*2,2)),11),2)</f>
        <v>00</v>
      </c>
      <c r="P325" t="str">
        <f>MID('paste from garc here'!$C$1,1+(('table for research'!$B325-1)*36+HEX2DEC('table for research'!P$1))*2,2)</f>
        <v>06</v>
      </c>
      <c r="Q325" t="str">
        <f>MID('paste from garc here'!$C$1,1+(('table for research'!$B325-1)*36+HEX2DEC('table for research'!Q$1))*2,2)</f>
        <v>00</v>
      </c>
      <c r="R325" t="str">
        <f>MID('paste from garc here'!$C$1,1+(('table for research'!$B325-1)*36+HEX2DEC('table for research'!R$1))*2,2)</f>
        <v>01</v>
      </c>
      <c r="S325" t="str">
        <f>MID('paste from garc here'!$C$1,1+(('table for research'!$B325-1)*36+HEX2DEC('table for research'!S$1))*2,2)</f>
        <v>03</v>
      </c>
      <c r="T325" t="str">
        <f>MID('paste from garc here'!$C$1,1+(('table for research'!$B325-1)*36+HEX2DEC('table for research'!T$1))*2,2)</f>
        <v>00</v>
      </c>
      <c r="U325" t="str">
        <f>MID('paste from garc here'!$C$1,1+(('table for research'!$B325-1)*36+HEX2DEC('table for research'!U$1))*2,2)</f>
        <v>4B</v>
      </c>
      <c r="V325" t="str">
        <f>MID('paste from garc here'!$C$1,1+(('table for research'!$B325-1)*36+HEX2DEC('table for research'!V$1))*2,2)</f>
        <v>00</v>
      </c>
      <c r="W325" t="str">
        <f>MID('paste from garc here'!$C$1,1+(('table for research'!$B325-1)*36+HEX2DEC('table for research'!W$1))*2,2)</f>
        <v>08</v>
      </c>
      <c r="X325" t="str">
        <f>MID('paste from garc here'!$C$1,1+(('table for research'!$B325-1)*36+HEX2DEC('table for research'!X$1))*2,2)</f>
        <v>00</v>
      </c>
      <c r="Y325" t="str">
        <f>MID('paste from garc here'!$C$1,1+(('table for research'!$B325-1)*36+HEX2DEC('table for research'!Y$1))*2,2)</f>
        <v>00</v>
      </c>
      <c r="Z325" t="str">
        <f>MID('paste from garc here'!$C$1,1+(('table for research'!$B325-1)*36+HEX2DEC('table for research'!Z$1))*2,2)</f>
        <v>00</v>
      </c>
      <c r="AA325" t="str">
        <f>MID('paste from garc here'!$C$1,1+(('table for research'!$B325-1)*36+HEX2DEC('table for research'!AA$1))*2,2)</f>
        <v>00</v>
      </c>
      <c r="AB325" t="str">
        <f>MID('paste from garc here'!$C$1,1+(('table for research'!$B325-1)*36+HEX2DEC('table for research'!AB$1))*2,2)</f>
        <v>00</v>
      </c>
      <c r="AC325" t="str">
        <f>MID('paste from garc here'!$C$1,1+(('table for research'!$B325-1)*36+HEX2DEC('table for research'!AC$1))*2,2)</f>
        <v>00</v>
      </c>
      <c r="AD325" t="str">
        <f>MID('paste from garc here'!$C$1,1+(('table for research'!$B325-1)*36+HEX2DEC('table for research'!AD$1))*2,2)</f>
        <v>00</v>
      </c>
      <c r="AE325" t="str">
        <f>MID('paste from garc here'!$C$1,1+(('table for research'!$B325-1)*36+HEX2DEC('table for research'!AE$1))*2,2)</f>
        <v>00</v>
      </c>
      <c r="AF325" t="str">
        <f>MID('paste from garc here'!$C$1,1+(('table for research'!$B325-1)*36+HEX2DEC('table for research'!AF$1))*2,2)</f>
        <v>00</v>
      </c>
      <c r="AG325" t="str">
        <f>MID('paste from garc here'!$C$1,1+(('table for research'!$B325-1)*36+HEX2DEC('table for research'!AG$1))*2,2)</f>
        <v>00</v>
      </c>
      <c r="AH325" t="str">
        <f>MID('paste from garc here'!$C$1,1+(('table for research'!$B325-1)*36+HEX2DEC('table for research'!AH$1))*2,2)</f>
        <v>00</v>
      </c>
      <c r="AI325" t="str">
        <f>MID('paste from garc here'!$C$1,1+(('table for research'!$B325-1)*36+HEX2DEC('table for research'!AI$1))*2,2)</f>
        <v>00</v>
      </c>
      <c r="AJ325" t="str">
        <f>MID('paste from garc here'!$C$1,1+(('table for research'!$B325-1)*36+HEX2DEC('table for research'!AJ$1))*2,2)</f>
        <v>00</v>
      </c>
      <c r="AK325" t="str">
        <f>MID('paste from garc here'!$C$1,1+(('table for research'!$B325-1)*36+HEX2DEC('table for research'!AK$1))*2,2)</f>
        <v>00</v>
      </c>
      <c r="AL325" t="str">
        <f>MID('paste from garc here'!$C$1,1+(('table for research'!$B325-1)*36+HEX2DEC('table for research'!AL$1))*2,2)</f>
        <v>00</v>
      </c>
      <c r="AM325" t="str">
        <f>MID('paste from garc here'!$C$1,1+(('table for research'!$B325-1)*36+HEX2DEC('table for research'!AM$1))*2,2)</f>
        <v>00</v>
      </c>
      <c r="AN325" t="str">
        <f>MID('paste from garc here'!$C$1,1+(('table for research'!$B325-1)*36+HEX2DEC('table for research'!AN$1))*2,2)</f>
        <v>00</v>
      </c>
      <c r="AO325" t="str">
        <f>MID('paste from garc here'!$C$1,1+(('table for research'!$B325-1)*36+HEX2DEC('table for research'!AO$1))*2,2)</f>
        <v>00</v>
      </c>
    </row>
    <row r="326" spans="1:41" x14ac:dyDescent="0.4">
      <c r="A326" t="s">
        <v>329</v>
      </c>
      <c r="B326">
        <f>B325+1</f>
        <v>324</v>
      </c>
      <c r="C326" t="str">
        <f>MID('paste from garc here'!$C$1,1+(('table for research'!$B326-1)*36+HEX2DEC('table for research'!C$1))*2,2)</f>
        <v>C8</v>
      </c>
      <c r="D326" t="str">
        <f>MID('paste from garc here'!$C$1,1+(('table for research'!$B326-1)*36+HEX2DEC('table for research'!D$1))*2,2)</f>
        <v>00</v>
      </c>
      <c r="E326" t="str">
        <f>MID('paste from garc here'!$C$1,1+(('table for research'!$B326-1)*36+HEX2DEC('table for research'!E$1))*2,2)</f>
        <v>90</v>
      </c>
      <c r="F326" t="str">
        <f>MID('paste from garc here'!$C$1,1+(('table for research'!$B326-1)*36+HEX2DEC('table for research'!F$1))*2,2)</f>
        <v>00</v>
      </c>
      <c r="G326" t="str">
        <f>MID('paste from garc here'!$C$1,1+(('table for research'!$B326-1)*36+HEX2DEC('table for research'!G$1))*2,2)</f>
        <v>00</v>
      </c>
      <c r="H326" t="str">
        <f>MID('paste from garc here'!$C$1,1+(('table for research'!$B326-1)*36+HEX2DEC('table for research'!H$1))*2,2)</f>
        <v>00</v>
      </c>
      <c r="I326" t="str">
        <f>MID('paste from garc here'!$C$1,1+(('table for research'!$B326-1)*36+HEX2DEC('table for research'!I$1))*2,2)</f>
        <v>32</v>
      </c>
      <c r="J326" t="str">
        <f>MID('paste from garc here'!$C$1,1+(('table for research'!$B326-1)*36+HEX2DEC('table for research'!J$1))*2,2)</f>
        <v>00</v>
      </c>
      <c r="K326" t="str">
        <f>DEC2HEX(_xlfn.BITAND(HEX2DEC(MID('paste from garc here'!$C$1,1+(('table for research'!$B326-1)*36+HEX2DEC(8))*2,2)),31),2)</f>
        <v>1F</v>
      </c>
      <c r="L326" t="str">
        <f>DEC2HEX(_xlfn.BITAND(HEX2DEC(MID('paste from garc here'!$C$1,1+(('table for research'!$B326-1)*36+HEX2DEC(8))*2,2)),32),2)</f>
        <v>00</v>
      </c>
      <c r="M326" t="str">
        <f>DEC2HEX(_xlfn.BITAND(HEX2DEC(MID('paste from garc here'!$C$1,1+(('table for research'!$B326-1)*36+HEX2DEC(8))*2,2)),64),2)</f>
        <v>00</v>
      </c>
      <c r="N326" t="str">
        <f>DEC2HEX(_xlfn.BITRSHIFT(_xlfn.BITAND(HEX2DEC(MID('paste from garc here'!$C$1,1+(('table for research'!$B326-1)*36+HEX2DEC(9))*2,2)&amp;MID('paste from garc here'!$C$1,1+(('table for research'!$B326-1)*36+HEX2DEC(8))*2,2)),1920),7),2)</f>
        <v>00</v>
      </c>
      <c r="O326" t="str">
        <f>DEC2HEX(_xlfn.BITRSHIFT(HEX2DEC(MID('paste from garc here'!$C$1,1+(('table for research'!$B326-1)*36+HEX2DEC(9))*2,2)&amp;MID('paste from garc here'!$C$1,1+(('table for research'!$B326-1)*36+HEX2DEC(8))*2,2)),11),2)</f>
        <v>00</v>
      </c>
      <c r="P326" t="str">
        <f>MID('paste from garc here'!$C$1,1+(('table for research'!$B326-1)*36+HEX2DEC('table for research'!P$1))*2,2)</f>
        <v>06</v>
      </c>
      <c r="Q326" t="str">
        <f>MID('paste from garc here'!$C$1,1+(('table for research'!$B326-1)*36+HEX2DEC('table for research'!Q$1))*2,2)</f>
        <v>00</v>
      </c>
      <c r="R326" t="str">
        <f>MID('paste from garc here'!$C$1,1+(('table for research'!$B326-1)*36+HEX2DEC('table for research'!R$1))*2,2)</f>
        <v>00</v>
      </c>
      <c r="S326" t="str">
        <f>MID('paste from garc here'!$C$1,1+(('table for research'!$B326-1)*36+HEX2DEC('table for research'!S$1))*2,2)</f>
        <v>01</v>
      </c>
      <c r="T326" t="str">
        <f>MID('paste from garc here'!$C$1,1+(('table for research'!$B326-1)*36+HEX2DEC('table for research'!T$1))*2,2)</f>
        <v>00</v>
      </c>
      <c r="U326" t="str">
        <f>MID('paste from garc here'!$C$1,1+(('table for research'!$B326-1)*36+HEX2DEC('table for research'!U$1))*2,2)</f>
        <v>47</v>
      </c>
      <c r="V326" t="str">
        <f>MID('paste from garc here'!$C$1,1+(('table for research'!$B326-1)*36+HEX2DEC('table for research'!V$1))*2,2)</f>
        <v>00</v>
      </c>
      <c r="W326" t="str">
        <f>MID('paste from garc here'!$C$1,1+(('table for research'!$B326-1)*36+HEX2DEC('table for research'!W$1))*2,2)</f>
        <v>08</v>
      </c>
      <c r="X326" t="str">
        <f>MID('paste from garc here'!$C$1,1+(('table for research'!$B326-1)*36+HEX2DEC('table for research'!X$1))*2,2)</f>
        <v>00</v>
      </c>
      <c r="Y326" t="str">
        <f>MID('paste from garc here'!$C$1,1+(('table for research'!$B326-1)*36+HEX2DEC('table for research'!Y$1))*2,2)</f>
        <v>00</v>
      </c>
      <c r="Z326" t="str">
        <f>MID('paste from garc here'!$C$1,1+(('table for research'!$B326-1)*36+HEX2DEC('table for research'!Z$1))*2,2)</f>
        <v>00</v>
      </c>
      <c r="AA326" t="str">
        <f>MID('paste from garc here'!$C$1,1+(('table for research'!$B326-1)*36+HEX2DEC('table for research'!AA$1))*2,2)</f>
        <v>00</v>
      </c>
      <c r="AB326" t="str">
        <f>MID('paste from garc here'!$C$1,1+(('table for research'!$B326-1)*36+HEX2DEC('table for research'!AB$1))*2,2)</f>
        <v>00</v>
      </c>
      <c r="AC326" t="str">
        <f>MID('paste from garc here'!$C$1,1+(('table for research'!$B326-1)*36+HEX2DEC('table for research'!AC$1))*2,2)</f>
        <v>00</v>
      </c>
      <c r="AD326" t="str">
        <f>MID('paste from garc here'!$C$1,1+(('table for research'!$B326-1)*36+HEX2DEC('table for research'!AD$1))*2,2)</f>
        <v>00</v>
      </c>
      <c r="AE326" t="str">
        <f>MID('paste from garc here'!$C$1,1+(('table for research'!$B326-1)*36+HEX2DEC('table for research'!AE$1))*2,2)</f>
        <v>00</v>
      </c>
      <c r="AF326" t="str">
        <f>MID('paste from garc here'!$C$1,1+(('table for research'!$B326-1)*36+HEX2DEC('table for research'!AF$1))*2,2)</f>
        <v>00</v>
      </c>
      <c r="AG326" t="str">
        <f>MID('paste from garc here'!$C$1,1+(('table for research'!$B326-1)*36+HEX2DEC('table for research'!AG$1))*2,2)</f>
        <v>00</v>
      </c>
      <c r="AH326" t="str">
        <f>MID('paste from garc here'!$C$1,1+(('table for research'!$B326-1)*36+HEX2DEC('table for research'!AH$1))*2,2)</f>
        <v>00</v>
      </c>
      <c r="AI326" t="str">
        <f>MID('paste from garc here'!$C$1,1+(('table for research'!$B326-1)*36+HEX2DEC('table for research'!AI$1))*2,2)</f>
        <v>00</v>
      </c>
      <c r="AJ326" t="str">
        <f>MID('paste from garc here'!$C$1,1+(('table for research'!$B326-1)*36+HEX2DEC('table for research'!AJ$1))*2,2)</f>
        <v>00</v>
      </c>
      <c r="AK326" t="str">
        <f>MID('paste from garc here'!$C$1,1+(('table for research'!$B326-1)*36+HEX2DEC('table for research'!AK$1))*2,2)</f>
        <v>00</v>
      </c>
      <c r="AL326" t="str">
        <f>MID('paste from garc here'!$C$1,1+(('table for research'!$B326-1)*36+HEX2DEC('table for research'!AL$1))*2,2)</f>
        <v>00</v>
      </c>
      <c r="AM326" t="str">
        <f>MID('paste from garc here'!$C$1,1+(('table for research'!$B326-1)*36+HEX2DEC('table for research'!AM$1))*2,2)</f>
        <v>00</v>
      </c>
      <c r="AN326" t="str">
        <f>MID('paste from garc here'!$C$1,1+(('table for research'!$B326-1)*36+HEX2DEC('table for research'!AN$1))*2,2)</f>
        <v>00</v>
      </c>
      <c r="AO326" t="str">
        <f>MID('paste from garc here'!$C$1,1+(('table for research'!$B326-1)*36+HEX2DEC('table for research'!AO$1))*2,2)</f>
        <v>00</v>
      </c>
    </row>
    <row r="327" spans="1:41" x14ac:dyDescent="0.4">
      <c r="A327" t="s">
        <v>330</v>
      </c>
      <c r="B327">
        <f>B326+1</f>
        <v>325</v>
      </c>
      <c r="C327" t="str">
        <f>MID('paste from garc here'!$C$1,1+(('table for research'!$B327-1)*36+HEX2DEC('table for research'!C$1))*2,2)</f>
        <v>C8</v>
      </c>
      <c r="D327" t="str">
        <f>MID('paste from garc here'!$C$1,1+(('table for research'!$B327-1)*36+HEX2DEC('table for research'!D$1))*2,2)</f>
        <v>00</v>
      </c>
      <c r="E327" t="str">
        <f>MID('paste from garc here'!$C$1,1+(('table for research'!$B327-1)*36+HEX2DEC('table for research'!E$1))*2,2)</f>
        <v>91</v>
      </c>
      <c r="F327" t="str">
        <f>MID('paste from garc here'!$C$1,1+(('table for research'!$B327-1)*36+HEX2DEC('table for research'!F$1))*2,2)</f>
        <v>00</v>
      </c>
      <c r="G327" t="str">
        <f>MID('paste from garc here'!$C$1,1+(('table for research'!$B327-1)*36+HEX2DEC('table for research'!G$1))*2,2)</f>
        <v>00</v>
      </c>
      <c r="H327" t="str">
        <f>MID('paste from garc here'!$C$1,1+(('table for research'!$B327-1)*36+HEX2DEC('table for research'!H$1))*2,2)</f>
        <v>00</v>
      </c>
      <c r="I327" t="str">
        <f>MID('paste from garc here'!$C$1,1+(('table for research'!$B327-1)*36+HEX2DEC('table for research'!I$1))*2,2)</f>
        <v>0A</v>
      </c>
      <c r="J327" t="str">
        <f>MID('paste from garc here'!$C$1,1+(('table for research'!$B327-1)*36+HEX2DEC('table for research'!J$1))*2,2)</f>
        <v>00</v>
      </c>
      <c r="K327" t="str">
        <f>DEC2HEX(_xlfn.BITAND(HEX2DEC(MID('paste from garc here'!$C$1,1+(('table for research'!$B327-1)*36+HEX2DEC(8))*2,2)),31),2)</f>
        <v>1F</v>
      </c>
      <c r="L327" t="str">
        <f>DEC2HEX(_xlfn.BITAND(HEX2DEC(MID('paste from garc here'!$C$1,1+(('table for research'!$B327-1)*36+HEX2DEC(8))*2,2)),32),2)</f>
        <v>00</v>
      </c>
      <c r="M327" t="str">
        <f>DEC2HEX(_xlfn.BITAND(HEX2DEC(MID('paste from garc here'!$C$1,1+(('table for research'!$B327-1)*36+HEX2DEC(8))*2,2)),64),2)</f>
        <v>00</v>
      </c>
      <c r="N327" t="str">
        <f>DEC2HEX(_xlfn.BITRSHIFT(_xlfn.BITAND(HEX2DEC(MID('paste from garc here'!$C$1,1+(('table for research'!$B327-1)*36+HEX2DEC(9))*2,2)&amp;MID('paste from garc here'!$C$1,1+(('table for research'!$B327-1)*36+HEX2DEC(8))*2,2)),1920),7),2)</f>
        <v>00</v>
      </c>
      <c r="O327" t="str">
        <f>DEC2HEX(_xlfn.BITRSHIFT(HEX2DEC(MID('paste from garc here'!$C$1,1+(('table for research'!$B327-1)*36+HEX2DEC(9))*2,2)&amp;MID('paste from garc here'!$C$1,1+(('table for research'!$B327-1)*36+HEX2DEC(8))*2,2)),11),2)</f>
        <v>00</v>
      </c>
      <c r="P327" t="str">
        <f>MID('paste from garc here'!$C$1,1+(('table for research'!$B327-1)*36+HEX2DEC('table for research'!P$1))*2,2)</f>
        <v>06</v>
      </c>
      <c r="Q327" t="str">
        <f>MID('paste from garc here'!$C$1,1+(('table for research'!$B327-1)*36+HEX2DEC('table for research'!Q$1))*2,2)</f>
        <v>00</v>
      </c>
      <c r="R327" t="str">
        <f>MID('paste from garc here'!$C$1,1+(('table for research'!$B327-1)*36+HEX2DEC('table for research'!R$1))*2,2)</f>
        <v>00</v>
      </c>
      <c r="S327" t="str">
        <f>MID('paste from garc here'!$C$1,1+(('table for research'!$B327-1)*36+HEX2DEC('table for research'!S$1))*2,2)</f>
        <v>01</v>
      </c>
      <c r="T327" t="str">
        <f>MID('paste from garc here'!$C$1,1+(('table for research'!$B327-1)*36+HEX2DEC('table for research'!T$1))*2,2)</f>
        <v>00</v>
      </c>
      <c r="U327" t="str">
        <f>MID('paste from garc here'!$C$1,1+(('table for research'!$B327-1)*36+HEX2DEC('table for research'!U$1))*2,2)</f>
        <v>4D</v>
      </c>
      <c r="V327" t="str">
        <f>MID('paste from garc here'!$C$1,1+(('table for research'!$B327-1)*36+HEX2DEC('table for research'!V$1))*2,2)</f>
        <v>00</v>
      </c>
      <c r="W327" t="str">
        <f>MID('paste from garc here'!$C$1,1+(('table for research'!$B327-1)*36+HEX2DEC('table for research'!W$1))*2,2)</f>
        <v>08</v>
      </c>
      <c r="X327" t="str">
        <f>MID('paste from garc here'!$C$1,1+(('table for research'!$B327-1)*36+HEX2DEC('table for research'!X$1))*2,2)</f>
        <v>00</v>
      </c>
      <c r="Y327" t="str">
        <f>MID('paste from garc here'!$C$1,1+(('table for research'!$B327-1)*36+HEX2DEC('table for research'!Y$1))*2,2)</f>
        <v>00</v>
      </c>
      <c r="Z327" t="str">
        <f>MID('paste from garc here'!$C$1,1+(('table for research'!$B327-1)*36+HEX2DEC('table for research'!Z$1))*2,2)</f>
        <v>00</v>
      </c>
      <c r="AA327" t="str">
        <f>MID('paste from garc here'!$C$1,1+(('table for research'!$B327-1)*36+HEX2DEC('table for research'!AA$1))*2,2)</f>
        <v>00</v>
      </c>
      <c r="AB327" t="str">
        <f>MID('paste from garc here'!$C$1,1+(('table for research'!$B327-1)*36+HEX2DEC('table for research'!AB$1))*2,2)</f>
        <v>00</v>
      </c>
      <c r="AC327" t="str">
        <f>MID('paste from garc here'!$C$1,1+(('table for research'!$B327-1)*36+HEX2DEC('table for research'!AC$1))*2,2)</f>
        <v>00</v>
      </c>
      <c r="AD327" t="str">
        <f>MID('paste from garc here'!$C$1,1+(('table for research'!$B327-1)*36+HEX2DEC('table for research'!AD$1))*2,2)</f>
        <v>00</v>
      </c>
      <c r="AE327" t="str">
        <f>MID('paste from garc here'!$C$1,1+(('table for research'!$B327-1)*36+HEX2DEC('table for research'!AE$1))*2,2)</f>
        <v>00</v>
      </c>
      <c r="AF327" t="str">
        <f>MID('paste from garc here'!$C$1,1+(('table for research'!$B327-1)*36+HEX2DEC('table for research'!AF$1))*2,2)</f>
        <v>00</v>
      </c>
      <c r="AG327" t="str">
        <f>MID('paste from garc here'!$C$1,1+(('table for research'!$B327-1)*36+HEX2DEC('table for research'!AG$1))*2,2)</f>
        <v>00</v>
      </c>
      <c r="AH327" t="str">
        <f>MID('paste from garc here'!$C$1,1+(('table for research'!$B327-1)*36+HEX2DEC('table for research'!AH$1))*2,2)</f>
        <v>00</v>
      </c>
      <c r="AI327" t="str">
        <f>MID('paste from garc here'!$C$1,1+(('table for research'!$B327-1)*36+HEX2DEC('table for research'!AI$1))*2,2)</f>
        <v>00</v>
      </c>
      <c r="AJ327" t="str">
        <f>MID('paste from garc here'!$C$1,1+(('table for research'!$B327-1)*36+HEX2DEC('table for research'!AJ$1))*2,2)</f>
        <v>00</v>
      </c>
      <c r="AK327" t="str">
        <f>MID('paste from garc here'!$C$1,1+(('table for research'!$B327-1)*36+HEX2DEC('table for research'!AK$1))*2,2)</f>
        <v>00</v>
      </c>
      <c r="AL327" t="str">
        <f>MID('paste from garc here'!$C$1,1+(('table for research'!$B327-1)*36+HEX2DEC('table for research'!AL$1))*2,2)</f>
        <v>00</v>
      </c>
      <c r="AM327" t="str">
        <f>MID('paste from garc here'!$C$1,1+(('table for research'!$B327-1)*36+HEX2DEC('table for research'!AM$1))*2,2)</f>
        <v>00</v>
      </c>
      <c r="AN327" t="str">
        <f>MID('paste from garc here'!$C$1,1+(('table for research'!$B327-1)*36+HEX2DEC('table for research'!AN$1))*2,2)</f>
        <v>00</v>
      </c>
      <c r="AO327" t="str">
        <f>MID('paste from garc here'!$C$1,1+(('table for research'!$B327-1)*36+HEX2DEC('table for research'!AO$1))*2,2)</f>
        <v>00</v>
      </c>
    </row>
    <row r="328" spans="1:41" x14ac:dyDescent="0.4">
      <c r="A328" t="s">
        <v>331</v>
      </c>
      <c r="B328">
        <f>B327+1</f>
        <v>326</v>
      </c>
      <c r="C328" t="str">
        <f>MID('paste from garc here'!$C$1,1+(('table for research'!$B328-1)*36+HEX2DEC('table for research'!C$1))*2,2)</f>
        <v>F4</v>
      </c>
      <c r="D328" t="str">
        <f>MID('paste from garc here'!$C$1,1+(('table for research'!$B328-1)*36+HEX2DEC('table for research'!D$1))*2,2)</f>
        <v>01</v>
      </c>
      <c r="E328" t="str">
        <f>MID('paste from garc here'!$C$1,1+(('table for research'!$B328-1)*36+HEX2DEC('table for research'!E$1))*2,2)</f>
        <v>42</v>
      </c>
      <c r="F328" t="str">
        <f>MID('paste from garc here'!$C$1,1+(('table for research'!$B328-1)*36+HEX2DEC('table for research'!F$1))*2,2)</f>
        <v>00</v>
      </c>
      <c r="G328" t="str">
        <f>MID('paste from garc here'!$C$1,1+(('table for research'!$B328-1)*36+HEX2DEC('table for research'!G$1))*2,2)</f>
        <v>00</v>
      </c>
      <c r="H328" t="str">
        <f>MID('paste from garc here'!$C$1,1+(('table for research'!$B328-1)*36+HEX2DEC('table for research'!H$1))*2,2)</f>
        <v>00</v>
      </c>
      <c r="I328" t="str">
        <f>MID('paste from garc here'!$C$1,1+(('table for research'!$B328-1)*36+HEX2DEC('table for research'!I$1))*2,2)</f>
        <v>50</v>
      </c>
      <c r="J328" t="str">
        <f>MID('paste from garc here'!$C$1,1+(('table for research'!$B328-1)*36+HEX2DEC('table for research'!J$1))*2,2)</f>
        <v>00</v>
      </c>
      <c r="K328" t="str">
        <f>DEC2HEX(_xlfn.BITAND(HEX2DEC(MID('paste from garc here'!$C$1,1+(('table for research'!$B328-1)*36+HEX2DEC(8))*2,2)),31),2)</f>
        <v>1F</v>
      </c>
      <c r="L328" t="str">
        <f>DEC2HEX(_xlfn.BITAND(HEX2DEC(MID('paste from garc here'!$C$1,1+(('table for research'!$B328-1)*36+HEX2DEC(8))*2,2)),32),2)</f>
        <v>00</v>
      </c>
      <c r="M328" t="str">
        <f>DEC2HEX(_xlfn.BITAND(HEX2DEC(MID('paste from garc here'!$C$1,1+(('table for research'!$B328-1)*36+HEX2DEC(8))*2,2)),64),2)</f>
        <v>00</v>
      </c>
      <c r="N328" t="str">
        <f>DEC2HEX(_xlfn.BITRSHIFT(_xlfn.BITAND(HEX2DEC(MID('paste from garc here'!$C$1,1+(('table for research'!$B328-1)*36+HEX2DEC(9))*2,2)&amp;MID('paste from garc here'!$C$1,1+(('table for research'!$B328-1)*36+HEX2DEC(8))*2,2)),1920),7),2)</f>
        <v>00</v>
      </c>
      <c r="O328" t="str">
        <f>DEC2HEX(_xlfn.BITRSHIFT(HEX2DEC(MID('paste from garc here'!$C$1,1+(('table for research'!$B328-1)*36+HEX2DEC(9))*2,2)&amp;MID('paste from garc here'!$C$1,1+(('table for research'!$B328-1)*36+HEX2DEC(8))*2,2)),11),2)</f>
        <v>00</v>
      </c>
      <c r="P328" t="str">
        <f>MID('paste from garc here'!$C$1,1+(('table for research'!$B328-1)*36+HEX2DEC('table for research'!P$1))*2,2)</f>
        <v>00</v>
      </c>
      <c r="Q328" t="str">
        <f>MID('paste from garc here'!$C$1,1+(('table for research'!$B328-1)*36+HEX2DEC('table for research'!Q$1))*2,2)</f>
        <v>00</v>
      </c>
      <c r="R328" t="str">
        <f>MID('paste from garc here'!$C$1,1+(('table for research'!$B328-1)*36+HEX2DEC('table for research'!R$1))*2,2)</f>
        <v>00</v>
      </c>
      <c r="S328" t="str">
        <f>MID('paste from garc here'!$C$1,1+(('table for research'!$B328-1)*36+HEX2DEC('table for research'!S$1))*2,2)</f>
        <v>01</v>
      </c>
      <c r="T328" t="str">
        <f>MID('paste from garc here'!$C$1,1+(('table for research'!$B328-1)*36+HEX2DEC('table for research'!T$1))*2,2)</f>
        <v>00</v>
      </c>
      <c r="U328" t="str">
        <f>MID('paste from garc here'!$C$1,1+(('table for research'!$B328-1)*36+HEX2DEC('table for research'!U$1))*2,2)</f>
        <v>2F</v>
      </c>
      <c r="V328" t="str">
        <f>MID('paste from garc here'!$C$1,1+(('table for research'!$B328-1)*36+HEX2DEC('table for research'!V$1))*2,2)</f>
        <v>00</v>
      </c>
      <c r="W328" t="str">
        <f>MID('paste from garc here'!$C$1,1+(('table for research'!$B328-1)*36+HEX2DEC('table for research'!W$1))*2,2)</f>
        <v>00</v>
      </c>
      <c r="X328" t="str">
        <f>MID('paste from garc here'!$C$1,1+(('table for research'!$B328-1)*36+HEX2DEC('table for research'!X$1))*2,2)</f>
        <v>00</v>
      </c>
      <c r="Y328" t="str">
        <f>MID('paste from garc here'!$C$1,1+(('table for research'!$B328-1)*36+HEX2DEC('table for research'!Y$1))*2,2)</f>
        <v>00</v>
      </c>
      <c r="Z328" t="str">
        <f>MID('paste from garc here'!$C$1,1+(('table for research'!$B328-1)*36+HEX2DEC('table for research'!Z$1))*2,2)</f>
        <v>00</v>
      </c>
      <c r="AA328" t="str">
        <f>MID('paste from garc here'!$C$1,1+(('table for research'!$B328-1)*36+HEX2DEC('table for research'!AA$1))*2,2)</f>
        <v>00</v>
      </c>
      <c r="AB328" t="str">
        <f>MID('paste from garc here'!$C$1,1+(('table for research'!$B328-1)*36+HEX2DEC('table for research'!AB$1))*2,2)</f>
        <v>00</v>
      </c>
      <c r="AC328" t="str">
        <f>MID('paste from garc here'!$C$1,1+(('table for research'!$B328-1)*36+HEX2DEC('table for research'!AC$1))*2,2)</f>
        <v>00</v>
      </c>
      <c r="AD328" t="str">
        <f>MID('paste from garc here'!$C$1,1+(('table for research'!$B328-1)*36+HEX2DEC('table for research'!AD$1))*2,2)</f>
        <v>00</v>
      </c>
      <c r="AE328" t="str">
        <f>MID('paste from garc here'!$C$1,1+(('table for research'!$B328-1)*36+HEX2DEC('table for research'!AE$1))*2,2)</f>
        <v>00</v>
      </c>
      <c r="AF328" t="str">
        <f>MID('paste from garc here'!$C$1,1+(('table for research'!$B328-1)*36+HEX2DEC('table for research'!AF$1))*2,2)</f>
        <v>00</v>
      </c>
      <c r="AG328" t="str">
        <f>MID('paste from garc here'!$C$1,1+(('table for research'!$B328-1)*36+HEX2DEC('table for research'!AG$1))*2,2)</f>
        <v>00</v>
      </c>
      <c r="AH328" t="str">
        <f>MID('paste from garc here'!$C$1,1+(('table for research'!$B328-1)*36+HEX2DEC('table for research'!AH$1))*2,2)</f>
        <v>00</v>
      </c>
      <c r="AI328" t="str">
        <f>MID('paste from garc here'!$C$1,1+(('table for research'!$B328-1)*36+HEX2DEC('table for research'!AI$1))*2,2)</f>
        <v>00</v>
      </c>
      <c r="AJ328" t="str">
        <f>MID('paste from garc here'!$C$1,1+(('table for research'!$B328-1)*36+HEX2DEC('table for research'!AJ$1))*2,2)</f>
        <v>00</v>
      </c>
      <c r="AK328" t="str">
        <f>MID('paste from garc here'!$C$1,1+(('table for research'!$B328-1)*36+HEX2DEC('table for research'!AK$1))*2,2)</f>
        <v>00</v>
      </c>
      <c r="AL328" t="str">
        <f>MID('paste from garc here'!$C$1,1+(('table for research'!$B328-1)*36+HEX2DEC('table for research'!AL$1))*2,2)</f>
        <v>00</v>
      </c>
      <c r="AM328" t="str">
        <f>MID('paste from garc here'!$C$1,1+(('table for research'!$B328-1)*36+HEX2DEC('table for research'!AM$1))*2,2)</f>
        <v>00</v>
      </c>
      <c r="AN328" t="str">
        <f>MID('paste from garc here'!$C$1,1+(('table for research'!$B328-1)*36+HEX2DEC('table for research'!AN$1))*2,2)</f>
        <v>00</v>
      </c>
      <c r="AO328" t="str">
        <f>MID('paste from garc here'!$C$1,1+(('table for research'!$B328-1)*36+HEX2DEC('table for research'!AO$1))*2,2)</f>
        <v>00</v>
      </c>
    </row>
    <row r="329" spans="1:41" x14ac:dyDescent="0.4">
      <c r="A329" t="s">
        <v>332</v>
      </c>
      <c r="B329">
        <f>B328+1</f>
        <v>327</v>
      </c>
      <c r="C329" t="str">
        <f>MID('paste from garc here'!$C$1,1+(('table for research'!$B329-1)*36+HEX2DEC('table for research'!C$1))*2,2)</f>
        <v>F4</v>
      </c>
      <c r="D329" t="str">
        <f>MID('paste from garc here'!$C$1,1+(('table for research'!$B329-1)*36+HEX2DEC('table for research'!D$1))*2,2)</f>
        <v>01</v>
      </c>
      <c r="E329" t="str">
        <f>MID('paste from garc here'!$C$1,1+(('table for research'!$B329-1)*36+HEX2DEC('table for research'!E$1))*2,2)</f>
        <v>37</v>
      </c>
      <c r="F329" t="str">
        <f>MID('paste from garc here'!$C$1,1+(('table for research'!$B329-1)*36+HEX2DEC('table for research'!F$1))*2,2)</f>
        <v>0A</v>
      </c>
      <c r="G329" t="str">
        <f>MID('paste from garc here'!$C$1,1+(('table for research'!$B329-1)*36+HEX2DEC('table for research'!G$1))*2,2)</f>
        <v>00</v>
      </c>
      <c r="H329" t="str">
        <f>MID('paste from garc here'!$C$1,1+(('table for research'!$B329-1)*36+HEX2DEC('table for research'!H$1))*2,2)</f>
        <v>1A</v>
      </c>
      <c r="I329" t="str">
        <f>MID('paste from garc here'!$C$1,1+(('table for research'!$B329-1)*36+HEX2DEC('table for research'!I$1))*2,2)</f>
        <v>1E</v>
      </c>
      <c r="J329" t="str">
        <f>MID('paste from garc here'!$C$1,1+(('table for research'!$B329-1)*36+HEX2DEC('table for research'!J$1))*2,2)</f>
        <v>00</v>
      </c>
      <c r="K329" t="str">
        <f>DEC2HEX(_xlfn.BITAND(HEX2DEC(MID('paste from garc here'!$C$1,1+(('table for research'!$B329-1)*36+HEX2DEC(8))*2,2)),31),2)</f>
        <v>1F</v>
      </c>
      <c r="L329" t="str">
        <f>DEC2HEX(_xlfn.BITAND(HEX2DEC(MID('paste from garc here'!$C$1,1+(('table for research'!$B329-1)*36+HEX2DEC(8))*2,2)),32),2)</f>
        <v>00</v>
      </c>
      <c r="M329" t="str">
        <f>DEC2HEX(_xlfn.BITAND(HEX2DEC(MID('paste from garc here'!$C$1,1+(('table for research'!$B329-1)*36+HEX2DEC(8))*2,2)),64),2)</f>
        <v>00</v>
      </c>
      <c r="N329" t="str">
        <f>DEC2HEX(_xlfn.BITRSHIFT(_xlfn.BITAND(HEX2DEC(MID('paste from garc here'!$C$1,1+(('table for research'!$B329-1)*36+HEX2DEC(9))*2,2)&amp;MID('paste from garc here'!$C$1,1+(('table for research'!$B329-1)*36+HEX2DEC(8))*2,2)),1920),7),2)</f>
        <v>00</v>
      </c>
      <c r="O329" t="str">
        <f>DEC2HEX(_xlfn.BITRSHIFT(HEX2DEC(MID('paste from garc here'!$C$1,1+(('table for research'!$B329-1)*36+HEX2DEC(9))*2,2)&amp;MID('paste from garc here'!$C$1,1+(('table for research'!$B329-1)*36+HEX2DEC(8))*2,2)),11),2)</f>
        <v>00</v>
      </c>
      <c r="P329" t="str">
        <f>MID('paste from garc here'!$C$1,1+(('table for research'!$B329-1)*36+HEX2DEC('table for research'!P$1))*2,2)</f>
        <v>00</v>
      </c>
      <c r="Q329" t="str">
        <f>MID('paste from garc here'!$C$1,1+(('table for research'!$B329-1)*36+HEX2DEC('table for research'!Q$1))*2,2)</f>
        <v>00</v>
      </c>
      <c r="R329" t="str">
        <f>MID('paste from garc here'!$C$1,1+(('table for research'!$B329-1)*36+HEX2DEC('table for research'!R$1))*2,2)</f>
        <v>00</v>
      </c>
      <c r="S329" t="str">
        <f>MID('paste from garc here'!$C$1,1+(('table for research'!$B329-1)*36+HEX2DEC('table for research'!S$1))*2,2)</f>
        <v>01</v>
      </c>
      <c r="T329" t="str">
        <f>MID('paste from garc here'!$C$1,1+(('table for research'!$B329-1)*36+HEX2DEC('table for research'!T$1))*2,2)</f>
        <v>00</v>
      </c>
      <c r="U329" t="str">
        <f>MID('paste from garc here'!$C$1,1+(('table for research'!$B329-1)*36+HEX2DEC('table for research'!U$1))*2,2)</f>
        <v>2E</v>
      </c>
      <c r="V329" t="str">
        <f>MID('paste from garc here'!$C$1,1+(('table for research'!$B329-1)*36+HEX2DEC('table for research'!V$1))*2,2)</f>
        <v>00</v>
      </c>
      <c r="W329" t="str">
        <f>MID('paste from garc here'!$C$1,1+(('table for research'!$B329-1)*36+HEX2DEC('table for research'!W$1))*2,2)</f>
        <v>00</v>
      </c>
      <c r="X329" t="str">
        <f>MID('paste from garc here'!$C$1,1+(('table for research'!$B329-1)*36+HEX2DEC('table for research'!X$1))*2,2)</f>
        <v>00</v>
      </c>
      <c r="Y329" t="str">
        <f>MID('paste from garc here'!$C$1,1+(('table for research'!$B329-1)*36+HEX2DEC('table for research'!Y$1))*2,2)</f>
        <v>00</v>
      </c>
      <c r="Z329" t="str">
        <f>MID('paste from garc here'!$C$1,1+(('table for research'!$B329-1)*36+HEX2DEC('table for research'!Z$1))*2,2)</f>
        <v>00</v>
      </c>
      <c r="AA329" t="str">
        <f>MID('paste from garc here'!$C$1,1+(('table for research'!$B329-1)*36+HEX2DEC('table for research'!AA$1))*2,2)</f>
        <v>00</v>
      </c>
      <c r="AB329" t="str">
        <f>MID('paste from garc here'!$C$1,1+(('table for research'!$B329-1)*36+HEX2DEC('table for research'!AB$1))*2,2)</f>
        <v>00</v>
      </c>
      <c r="AC329" t="str">
        <f>MID('paste from garc here'!$C$1,1+(('table for research'!$B329-1)*36+HEX2DEC('table for research'!AC$1))*2,2)</f>
        <v>00</v>
      </c>
      <c r="AD329" t="str">
        <f>MID('paste from garc here'!$C$1,1+(('table for research'!$B329-1)*36+HEX2DEC('table for research'!AD$1))*2,2)</f>
        <v>00</v>
      </c>
      <c r="AE329" t="str">
        <f>MID('paste from garc here'!$C$1,1+(('table for research'!$B329-1)*36+HEX2DEC('table for research'!AE$1))*2,2)</f>
        <v>00</v>
      </c>
      <c r="AF329" t="str">
        <f>MID('paste from garc here'!$C$1,1+(('table for research'!$B329-1)*36+HEX2DEC('table for research'!AF$1))*2,2)</f>
        <v>00</v>
      </c>
      <c r="AG329" t="str">
        <f>MID('paste from garc here'!$C$1,1+(('table for research'!$B329-1)*36+HEX2DEC('table for research'!AG$1))*2,2)</f>
        <v>00</v>
      </c>
      <c r="AH329" t="str">
        <f>MID('paste from garc here'!$C$1,1+(('table for research'!$B329-1)*36+HEX2DEC('table for research'!AH$1))*2,2)</f>
        <v>00</v>
      </c>
      <c r="AI329" t="str">
        <f>MID('paste from garc here'!$C$1,1+(('table for research'!$B329-1)*36+HEX2DEC('table for research'!AI$1))*2,2)</f>
        <v>00</v>
      </c>
      <c r="AJ329" t="str">
        <f>MID('paste from garc here'!$C$1,1+(('table for research'!$B329-1)*36+HEX2DEC('table for research'!AJ$1))*2,2)</f>
        <v>00</v>
      </c>
      <c r="AK329" t="str">
        <f>MID('paste from garc here'!$C$1,1+(('table for research'!$B329-1)*36+HEX2DEC('table for research'!AK$1))*2,2)</f>
        <v>00</v>
      </c>
      <c r="AL329" t="str">
        <f>MID('paste from garc here'!$C$1,1+(('table for research'!$B329-1)*36+HEX2DEC('table for research'!AL$1))*2,2)</f>
        <v>00</v>
      </c>
      <c r="AM329" t="str">
        <f>MID('paste from garc here'!$C$1,1+(('table for research'!$B329-1)*36+HEX2DEC('table for research'!AM$1))*2,2)</f>
        <v>00</v>
      </c>
      <c r="AN329" t="str">
        <f>MID('paste from garc here'!$C$1,1+(('table for research'!$B329-1)*36+HEX2DEC('table for research'!AN$1))*2,2)</f>
        <v>00</v>
      </c>
      <c r="AO329" t="str">
        <f>MID('paste from garc here'!$C$1,1+(('table for research'!$B329-1)*36+HEX2DEC('table for research'!AO$1))*2,2)</f>
        <v>00</v>
      </c>
    </row>
    <row r="330" spans="1:41" x14ac:dyDescent="0.4">
      <c r="A330" t="s">
        <v>333</v>
      </c>
      <c r="B330">
        <f>B329+1</f>
        <v>328</v>
      </c>
      <c r="C330" t="str">
        <f>MID('paste from garc here'!$C$1,1+(('table for research'!$B330-1)*36+HEX2DEC('table for research'!C$1))*2,2)</f>
        <v>E8</v>
      </c>
      <c r="D330" t="str">
        <f>MID('paste from garc here'!$C$1,1+(('table for research'!$B330-1)*36+HEX2DEC('table for research'!D$1))*2,2)</f>
        <v>03</v>
      </c>
      <c r="E330" t="str">
        <f>MID('paste from garc here'!$C$1,1+(('table for research'!$B330-1)*36+HEX2DEC('table for research'!E$1))*2,2)</f>
        <v>00</v>
      </c>
      <c r="F330" t="str">
        <f>MID('paste from garc here'!$C$1,1+(('table for research'!$B330-1)*36+HEX2DEC('table for research'!F$1))*2,2)</f>
        <v>00</v>
      </c>
      <c r="G330" t="str">
        <f>MID('paste from garc here'!$C$1,1+(('table for research'!$B330-1)*36+HEX2DEC('table for research'!G$1))*2,2)</f>
        <v>00</v>
      </c>
      <c r="H330" t="str">
        <f>MID('paste from garc here'!$C$1,1+(('table for research'!$B330-1)*36+HEX2DEC('table for research'!H$1))*2,2)</f>
        <v>00</v>
      </c>
      <c r="I330" t="str">
        <f>MID('paste from garc here'!$C$1,1+(('table for research'!$B330-1)*36+HEX2DEC('table for research'!I$1))*2,2)</f>
        <v>00</v>
      </c>
      <c r="J330" t="str">
        <f>MID('paste from garc here'!$C$1,1+(('table for research'!$B330-1)*36+HEX2DEC('table for research'!J$1))*2,2)</f>
        <v>00</v>
      </c>
      <c r="K330" t="str">
        <f>DEC2HEX(_xlfn.BITAND(HEX2DEC(MID('paste from garc here'!$C$1,1+(('table for research'!$B330-1)*36+HEX2DEC(8))*2,2)),31),2)</f>
        <v>1F</v>
      </c>
      <c r="L330" t="str">
        <f>DEC2HEX(_xlfn.BITAND(HEX2DEC(MID('paste from garc here'!$C$1,1+(('table for research'!$B330-1)*36+HEX2DEC(8))*2,2)),32),2)</f>
        <v>20</v>
      </c>
      <c r="M330" t="str">
        <f>DEC2HEX(_xlfn.BITAND(HEX2DEC(MID('paste from garc here'!$C$1,1+(('table for research'!$B330-1)*36+HEX2DEC(8))*2,2)),64),2)</f>
        <v>00</v>
      </c>
      <c r="N330" t="str">
        <f>DEC2HEX(_xlfn.BITRSHIFT(_xlfn.BITAND(HEX2DEC(MID('paste from garc here'!$C$1,1+(('table for research'!$B330-1)*36+HEX2DEC(9))*2,2)&amp;MID('paste from garc here'!$C$1,1+(('table for research'!$B330-1)*36+HEX2DEC(8))*2,2)),1920),7),2)</f>
        <v>02</v>
      </c>
      <c r="O330" t="str">
        <f>DEC2HEX(_xlfn.BITRSHIFT(HEX2DEC(MID('paste from garc here'!$C$1,1+(('table for research'!$B330-1)*36+HEX2DEC(9))*2,2)&amp;MID('paste from garc here'!$C$1,1+(('table for research'!$B330-1)*36+HEX2DEC(8))*2,2)),11),2)</f>
        <v>00</v>
      </c>
      <c r="P330" t="str">
        <f>MID('paste from garc here'!$C$1,1+(('table for research'!$B330-1)*36+HEX2DEC('table for research'!P$1))*2,2)</f>
        <v>02</v>
      </c>
      <c r="Q330" t="str">
        <f>MID('paste from garc here'!$C$1,1+(('table for research'!$B330-1)*36+HEX2DEC('table for research'!Q$1))*2,2)</f>
        <v>00</v>
      </c>
      <c r="R330" t="str">
        <f>MID('paste from garc here'!$C$1,1+(('table for research'!$B330-1)*36+HEX2DEC('table for research'!R$1))*2,2)</f>
        <v>00</v>
      </c>
      <c r="S330" t="str">
        <f>MID('paste from garc here'!$C$1,1+(('table for research'!$B330-1)*36+HEX2DEC('table for research'!S$1))*2,2)</f>
        <v>06</v>
      </c>
      <c r="T330" t="str">
        <f>MID('paste from garc here'!$C$1,1+(('table for research'!$B330-1)*36+HEX2DEC('table for research'!T$1))*2,2)</f>
        <v>00</v>
      </c>
      <c r="U330" t="str">
        <f>MID('paste from garc here'!$C$1,1+(('table for research'!$B330-1)*36+HEX2DEC('table for research'!U$1))*2,2)</f>
        <v>00</v>
      </c>
      <c r="V330" t="str">
        <f>MID('paste from garc here'!$C$1,1+(('table for research'!$B330-1)*36+HEX2DEC('table for research'!V$1))*2,2)</f>
        <v>00</v>
      </c>
      <c r="W330" t="str">
        <f>MID('paste from garc here'!$C$1,1+(('table for research'!$B330-1)*36+HEX2DEC('table for research'!W$1))*2,2)</f>
        <v>00</v>
      </c>
      <c r="X330" t="str">
        <f>MID('paste from garc here'!$C$1,1+(('table for research'!$B330-1)*36+HEX2DEC('table for research'!X$1))*2,2)</f>
        <v>00</v>
      </c>
      <c r="Y330" t="str">
        <f>MID('paste from garc here'!$C$1,1+(('table for research'!$B330-1)*36+HEX2DEC('table for research'!Y$1))*2,2)</f>
        <v>00</v>
      </c>
      <c r="Z330" t="str">
        <f>MID('paste from garc here'!$C$1,1+(('table for research'!$B330-1)*36+HEX2DEC('table for research'!Z$1))*2,2)</f>
        <v>00</v>
      </c>
      <c r="AA330" t="str">
        <f>MID('paste from garc here'!$C$1,1+(('table for research'!$B330-1)*36+HEX2DEC('table for research'!AA$1))*2,2)</f>
        <v>00</v>
      </c>
      <c r="AB330" t="str">
        <f>MID('paste from garc here'!$C$1,1+(('table for research'!$B330-1)*36+HEX2DEC('table for research'!AB$1))*2,2)</f>
        <v>00</v>
      </c>
      <c r="AC330" t="str">
        <f>MID('paste from garc here'!$C$1,1+(('table for research'!$B330-1)*36+HEX2DEC('table for research'!AC$1))*2,2)</f>
        <v>00</v>
      </c>
      <c r="AD330" t="str">
        <f>MID('paste from garc here'!$C$1,1+(('table for research'!$B330-1)*36+HEX2DEC('table for research'!AD$1))*2,2)</f>
        <v>00</v>
      </c>
      <c r="AE330" t="str">
        <f>MID('paste from garc here'!$C$1,1+(('table for research'!$B330-1)*36+HEX2DEC('table for research'!AE$1))*2,2)</f>
        <v>00</v>
      </c>
      <c r="AF330" t="str">
        <f>MID('paste from garc here'!$C$1,1+(('table for research'!$B330-1)*36+HEX2DEC('table for research'!AF$1))*2,2)</f>
        <v>00</v>
      </c>
      <c r="AG330" t="str">
        <f>MID('paste from garc here'!$C$1,1+(('table for research'!$B330-1)*36+HEX2DEC('table for research'!AG$1))*2,2)</f>
        <v>00</v>
      </c>
      <c r="AH330" t="str">
        <f>MID('paste from garc here'!$C$1,1+(('table for research'!$B330-1)*36+HEX2DEC('table for research'!AH$1))*2,2)</f>
        <v>00</v>
      </c>
      <c r="AI330" t="str">
        <f>MID('paste from garc here'!$C$1,1+(('table for research'!$B330-1)*36+HEX2DEC('table for research'!AI$1))*2,2)</f>
        <v>00</v>
      </c>
      <c r="AJ330" t="str">
        <f>MID('paste from garc here'!$C$1,1+(('table for research'!$B330-1)*36+HEX2DEC('table for research'!AJ$1))*2,2)</f>
        <v>00</v>
      </c>
      <c r="AK330" t="str">
        <f>MID('paste from garc here'!$C$1,1+(('table for research'!$B330-1)*36+HEX2DEC('table for research'!AK$1))*2,2)</f>
        <v>00</v>
      </c>
      <c r="AL330" t="str">
        <f>MID('paste from garc here'!$C$1,1+(('table for research'!$B330-1)*36+HEX2DEC('table for research'!AL$1))*2,2)</f>
        <v>00</v>
      </c>
      <c r="AM330" t="str">
        <f>MID('paste from garc here'!$C$1,1+(('table for research'!$B330-1)*36+HEX2DEC('table for research'!AM$1))*2,2)</f>
        <v>00</v>
      </c>
      <c r="AN330" t="str">
        <f>MID('paste from garc here'!$C$1,1+(('table for research'!$B330-1)*36+HEX2DEC('table for research'!AN$1))*2,2)</f>
        <v>00</v>
      </c>
      <c r="AO330" t="str">
        <f>MID('paste from garc here'!$C$1,1+(('table for research'!$B330-1)*36+HEX2DEC('table for research'!AO$1))*2,2)</f>
        <v>00</v>
      </c>
    </row>
    <row r="331" spans="1:41" x14ac:dyDescent="0.4">
      <c r="A331" t="s">
        <v>334</v>
      </c>
      <c r="B331">
        <f>B330+1</f>
        <v>329</v>
      </c>
      <c r="C331" t="str">
        <f>MID('paste from garc here'!$C$1,1+(('table for research'!$B331-1)*36+HEX2DEC('table for research'!C$1))*2,2)</f>
        <v>E8</v>
      </c>
      <c r="D331" t="str">
        <f>MID('paste from garc here'!$C$1,1+(('table for research'!$B331-1)*36+HEX2DEC('table for research'!D$1))*2,2)</f>
        <v>03</v>
      </c>
      <c r="E331" t="str">
        <f>MID('paste from garc here'!$C$1,1+(('table for research'!$B331-1)*36+HEX2DEC('table for research'!E$1))*2,2)</f>
        <v>00</v>
      </c>
      <c r="F331" t="str">
        <f>MID('paste from garc here'!$C$1,1+(('table for research'!$B331-1)*36+HEX2DEC('table for research'!F$1))*2,2)</f>
        <v>00</v>
      </c>
      <c r="G331" t="str">
        <f>MID('paste from garc here'!$C$1,1+(('table for research'!$B331-1)*36+HEX2DEC('table for research'!G$1))*2,2)</f>
        <v>00</v>
      </c>
      <c r="H331" t="str">
        <f>MID('paste from garc here'!$C$1,1+(('table for research'!$B331-1)*36+HEX2DEC('table for research'!H$1))*2,2)</f>
        <v>00</v>
      </c>
      <c r="I331" t="str">
        <f>MID('paste from garc here'!$C$1,1+(('table for research'!$B331-1)*36+HEX2DEC('table for research'!I$1))*2,2)</f>
        <v>00</v>
      </c>
      <c r="J331" t="str">
        <f>MID('paste from garc here'!$C$1,1+(('table for research'!$B331-1)*36+HEX2DEC('table for research'!J$1))*2,2)</f>
        <v>00</v>
      </c>
      <c r="K331" t="str">
        <f>DEC2HEX(_xlfn.BITAND(HEX2DEC(MID('paste from garc here'!$C$1,1+(('table for research'!$B331-1)*36+HEX2DEC(8))*2,2)),31),2)</f>
        <v>1F</v>
      </c>
      <c r="L331" t="str">
        <f>DEC2HEX(_xlfn.BITAND(HEX2DEC(MID('paste from garc here'!$C$1,1+(('table for research'!$B331-1)*36+HEX2DEC(8))*2,2)),32),2)</f>
        <v>20</v>
      </c>
      <c r="M331" t="str">
        <f>DEC2HEX(_xlfn.BITAND(HEX2DEC(MID('paste from garc here'!$C$1,1+(('table for research'!$B331-1)*36+HEX2DEC(8))*2,2)),64),2)</f>
        <v>00</v>
      </c>
      <c r="N331" t="str">
        <f>DEC2HEX(_xlfn.BITRSHIFT(_xlfn.BITAND(HEX2DEC(MID('paste from garc here'!$C$1,1+(('table for research'!$B331-1)*36+HEX2DEC(9))*2,2)&amp;MID('paste from garc here'!$C$1,1+(('table for research'!$B331-1)*36+HEX2DEC(8))*2,2)),1920),7),2)</f>
        <v>02</v>
      </c>
      <c r="O331" t="str">
        <f>DEC2HEX(_xlfn.BITRSHIFT(HEX2DEC(MID('paste from garc here'!$C$1,1+(('table for research'!$B331-1)*36+HEX2DEC(9))*2,2)&amp;MID('paste from garc here'!$C$1,1+(('table for research'!$B331-1)*36+HEX2DEC(8))*2,2)),11),2)</f>
        <v>00</v>
      </c>
      <c r="P331" t="str">
        <f>MID('paste from garc here'!$C$1,1+(('table for research'!$B331-1)*36+HEX2DEC('table for research'!P$1))*2,2)</f>
        <v>02</v>
      </c>
      <c r="Q331" t="str">
        <f>MID('paste from garc here'!$C$1,1+(('table for research'!$B331-1)*36+HEX2DEC('table for research'!Q$1))*2,2)</f>
        <v>00</v>
      </c>
      <c r="R331" t="str">
        <f>MID('paste from garc here'!$C$1,1+(('table for research'!$B331-1)*36+HEX2DEC('table for research'!R$1))*2,2)</f>
        <v>00</v>
      </c>
      <c r="S331" t="str">
        <f>MID('paste from garc here'!$C$1,1+(('table for research'!$B331-1)*36+HEX2DEC('table for research'!S$1))*2,2)</f>
        <v>06</v>
      </c>
      <c r="T331" t="str">
        <f>MID('paste from garc here'!$C$1,1+(('table for research'!$B331-1)*36+HEX2DEC('table for research'!T$1))*2,2)</f>
        <v>00</v>
      </c>
      <c r="U331" t="str">
        <f>MID('paste from garc here'!$C$1,1+(('table for research'!$B331-1)*36+HEX2DEC('table for research'!U$1))*2,2)</f>
        <v>01</v>
      </c>
      <c r="V331" t="str">
        <f>MID('paste from garc here'!$C$1,1+(('table for research'!$B331-1)*36+HEX2DEC('table for research'!V$1))*2,2)</f>
        <v>00</v>
      </c>
      <c r="W331" t="str">
        <f>MID('paste from garc here'!$C$1,1+(('table for research'!$B331-1)*36+HEX2DEC('table for research'!W$1))*2,2)</f>
        <v>00</v>
      </c>
      <c r="X331" t="str">
        <f>MID('paste from garc here'!$C$1,1+(('table for research'!$B331-1)*36+HEX2DEC('table for research'!X$1))*2,2)</f>
        <v>00</v>
      </c>
      <c r="Y331" t="str">
        <f>MID('paste from garc here'!$C$1,1+(('table for research'!$B331-1)*36+HEX2DEC('table for research'!Y$1))*2,2)</f>
        <v>00</v>
      </c>
      <c r="Z331" t="str">
        <f>MID('paste from garc here'!$C$1,1+(('table for research'!$B331-1)*36+HEX2DEC('table for research'!Z$1))*2,2)</f>
        <v>00</v>
      </c>
      <c r="AA331" t="str">
        <f>MID('paste from garc here'!$C$1,1+(('table for research'!$B331-1)*36+HEX2DEC('table for research'!AA$1))*2,2)</f>
        <v>00</v>
      </c>
      <c r="AB331" t="str">
        <f>MID('paste from garc here'!$C$1,1+(('table for research'!$B331-1)*36+HEX2DEC('table for research'!AB$1))*2,2)</f>
        <v>00</v>
      </c>
      <c r="AC331" t="str">
        <f>MID('paste from garc here'!$C$1,1+(('table for research'!$B331-1)*36+HEX2DEC('table for research'!AC$1))*2,2)</f>
        <v>00</v>
      </c>
      <c r="AD331" t="str">
        <f>MID('paste from garc here'!$C$1,1+(('table for research'!$B331-1)*36+HEX2DEC('table for research'!AD$1))*2,2)</f>
        <v>00</v>
      </c>
      <c r="AE331" t="str">
        <f>MID('paste from garc here'!$C$1,1+(('table for research'!$B331-1)*36+HEX2DEC('table for research'!AE$1))*2,2)</f>
        <v>00</v>
      </c>
      <c r="AF331" t="str">
        <f>MID('paste from garc here'!$C$1,1+(('table for research'!$B331-1)*36+HEX2DEC('table for research'!AF$1))*2,2)</f>
        <v>00</v>
      </c>
      <c r="AG331" t="str">
        <f>MID('paste from garc here'!$C$1,1+(('table for research'!$B331-1)*36+HEX2DEC('table for research'!AG$1))*2,2)</f>
        <v>00</v>
      </c>
      <c r="AH331" t="str">
        <f>MID('paste from garc here'!$C$1,1+(('table for research'!$B331-1)*36+HEX2DEC('table for research'!AH$1))*2,2)</f>
        <v>00</v>
      </c>
      <c r="AI331" t="str">
        <f>MID('paste from garc here'!$C$1,1+(('table for research'!$B331-1)*36+HEX2DEC('table for research'!AI$1))*2,2)</f>
        <v>00</v>
      </c>
      <c r="AJ331" t="str">
        <f>MID('paste from garc here'!$C$1,1+(('table for research'!$B331-1)*36+HEX2DEC('table for research'!AJ$1))*2,2)</f>
        <v>00</v>
      </c>
      <c r="AK331" t="str">
        <f>MID('paste from garc here'!$C$1,1+(('table for research'!$B331-1)*36+HEX2DEC('table for research'!AK$1))*2,2)</f>
        <v>00</v>
      </c>
      <c r="AL331" t="str">
        <f>MID('paste from garc here'!$C$1,1+(('table for research'!$B331-1)*36+HEX2DEC('table for research'!AL$1))*2,2)</f>
        <v>00</v>
      </c>
      <c r="AM331" t="str">
        <f>MID('paste from garc here'!$C$1,1+(('table for research'!$B331-1)*36+HEX2DEC('table for research'!AM$1))*2,2)</f>
        <v>00</v>
      </c>
      <c r="AN331" t="str">
        <f>MID('paste from garc here'!$C$1,1+(('table for research'!$B331-1)*36+HEX2DEC('table for research'!AN$1))*2,2)</f>
        <v>00</v>
      </c>
      <c r="AO331" t="str">
        <f>MID('paste from garc here'!$C$1,1+(('table for research'!$B331-1)*36+HEX2DEC('table for research'!AO$1))*2,2)</f>
        <v>00</v>
      </c>
    </row>
    <row r="332" spans="1:41" x14ac:dyDescent="0.4">
      <c r="A332" t="s">
        <v>335</v>
      </c>
      <c r="B332">
        <f>B331+1</f>
        <v>330</v>
      </c>
      <c r="C332" t="str">
        <f>MID('paste from garc here'!$C$1,1+(('table for research'!$B332-1)*36+HEX2DEC('table for research'!C$1))*2,2)</f>
        <v>E8</v>
      </c>
      <c r="D332" t="str">
        <f>MID('paste from garc here'!$C$1,1+(('table for research'!$B332-1)*36+HEX2DEC('table for research'!D$1))*2,2)</f>
        <v>03</v>
      </c>
      <c r="E332" t="str">
        <f>MID('paste from garc here'!$C$1,1+(('table for research'!$B332-1)*36+HEX2DEC('table for research'!E$1))*2,2)</f>
        <v>00</v>
      </c>
      <c r="F332" t="str">
        <f>MID('paste from garc here'!$C$1,1+(('table for research'!$B332-1)*36+HEX2DEC('table for research'!F$1))*2,2)</f>
        <v>00</v>
      </c>
      <c r="G332" t="str">
        <f>MID('paste from garc here'!$C$1,1+(('table for research'!$B332-1)*36+HEX2DEC('table for research'!G$1))*2,2)</f>
        <v>00</v>
      </c>
      <c r="H332" t="str">
        <f>MID('paste from garc here'!$C$1,1+(('table for research'!$B332-1)*36+HEX2DEC('table for research'!H$1))*2,2)</f>
        <v>00</v>
      </c>
      <c r="I332" t="str">
        <f>MID('paste from garc here'!$C$1,1+(('table for research'!$B332-1)*36+HEX2DEC('table for research'!I$1))*2,2)</f>
        <v>00</v>
      </c>
      <c r="J332" t="str">
        <f>MID('paste from garc here'!$C$1,1+(('table for research'!$B332-1)*36+HEX2DEC('table for research'!J$1))*2,2)</f>
        <v>00</v>
      </c>
      <c r="K332" t="str">
        <f>DEC2HEX(_xlfn.BITAND(HEX2DEC(MID('paste from garc here'!$C$1,1+(('table for research'!$B332-1)*36+HEX2DEC(8))*2,2)),31),2)</f>
        <v>1F</v>
      </c>
      <c r="L332" t="str">
        <f>DEC2HEX(_xlfn.BITAND(HEX2DEC(MID('paste from garc here'!$C$1,1+(('table for research'!$B332-1)*36+HEX2DEC(8))*2,2)),32),2)</f>
        <v>20</v>
      </c>
      <c r="M332" t="str">
        <f>DEC2HEX(_xlfn.BITAND(HEX2DEC(MID('paste from garc here'!$C$1,1+(('table for research'!$B332-1)*36+HEX2DEC(8))*2,2)),64),2)</f>
        <v>00</v>
      </c>
      <c r="N332" t="str">
        <f>DEC2HEX(_xlfn.BITRSHIFT(_xlfn.BITAND(HEX2DEC(MID('paste from garc here'!$C$1,1+(('table for research'!$B332-1)*36+HEX2DEC(9))*2,2)&amp;MID('paste from garc here'!$C$1,1+(('table for research'!$B332-1)*36+HEX2DEC(8))*2,2)),1920),7),2)</f>
        <v>02</v>
      </c>
      <c r="O332" t="str">
        <f>DEC2HEX(_xlfn.BITRSHIFT(HEX2DEC(MID('paste from garc here'!$C$1,1+(('table for research'!$B332-1)*36+HEX2DEC(9))*2,2)&amp;MID('paste from garc here'!$C$1,1+(('table for research'!$B332-1)*36+HEX2DEC(8))*2,2)),11),2)</f>
        <v>00</v>
      </c>
      <c r="P332" t="str">
        <f>MID('paste from garc here'!$C$1,1+(('table for research'!$B332-1)*36+HEX2DEC('table for research'!P$1))*2,2)</f>
        <v>02</v>
      </c>
      <c r="Q332" t="str">
        <f>MID('paste from garc here'!$C$1,1+(('table for research'!$B332-1)*36+HEX2DEC('table for research'!Q$1))*2,2)</f>
        <v>00</v>
      </c>
      <c r="R332" t="str">
        <f>MID('paste from garc here'!$C$1,1+(('table for research'!$B332-1)*36+HEX2DEC('table for research'!R$1))*2,2)</f>
        <v>00</v>
      </c>
      <c r="S332" t="str">
        <f>MID('paste from garc here'!$C$1,1+(('table for research'!$B332-1)*36+HEX2DEC('table for research'!S$1))*2,2)</f>
        <v>06</v>
      </c>
      <c r="T332" t="str">
        <f>MID('paste from garc here'!$C$1,1+(('table for research'!$B332-1)*36+HEX2DEC('table for research'!T$1))*2,2)</f>
        <v>00</v>
      </c>
      <c r="U332" t="str">
        <f>MID('paste from garc here'!$C$1,1+(('table for research'!$B332-1)*36+HEX2DEC('table for research'!U$1))*2,2)</f>
        <v>02</v>
      </c>
      <c r="V332" t="str">
        <f>MID('paste from garc here'!$C$1,1+(('table for research'!$B332-1)*36+HEX2DEC('table for research'!V$1))*2,2)</f>
        <v>00</v>
      </c>
      <c r="W332" t="str">
        <f>MID('paste from garc here'!$C$1,1+(('table for research'!$B332-1)*36+HEX2DEC('table for research'!W$1))*2,2)</f>
        <v>00</v>
      </c>
      <c r="X332" t="str">
        <f>MID('paste from garc here'!$C$1,1+(('table for research'!$B332-1)*36+HEX2DEC('table for research'!X$1))*2,2)</f>
        <v>00</v>
      </c>
      <c r="Y332" t="str">
        <f>MID('paste from garc here'!$C$1,1+(('table for research'!$B332-1)*36+HEX2DEC('table for research'!Y$1))*2,2)</f>
        <v>00</v>
      </c>
      <c r="Z332" t="str">
        <f>MID('paste from garc here'!$C$1,1+(('table for research'!$B332-1)*36+HEX2DEC('table for research'!Z$1))*2,2)</f>
        <v>00</v>
      </c>
      <c r="AA332" t="str">
        <f>MID('paste from garc here'!$C$1,1+(('table for research'!$B332-1)*36+HEX2DEC('table for research'!AA$1))*2,2)</f>
        <v>00</v>
      </c>
      <c r="AB332" t="str">
        <f>MID('paste from garc here'!$C$1,1+(('table for research'!$B332-1)*36+HEX2DEC('table for research'!AB$1))*2,2)</f>
        <v>00</v>
      </c>
      <c r="AC332" t="str">
        <f>MID('paste from garc here'!$C$1,1+(('table for research'!$B332-1)*36+HEX2DEC('table for research'!AC$1))*2,2)</f>
        <v>00</v>
      </c>
      <c r="AD332" t="str">
        <f>MID('paste from garc here'!$C$1,1+(('table for research'!$B332-1)*36+HEX2DEC('table for research'!AD$1))*2,2)</f>
        <v>00</v>
      </c>
      <c r="AE332" t="str">
        <f>MID('paste from garc here'!$C$1,1+(('table for research'!$B332-1)*36+HEX2DEC('table for research'!AE$1))*2,2)</f>
        <v>00</v>
      </c>
      <c r="AF332" t="str">
        <f>MID('paste from garc here'!$C$1,1+(('table for research'!$B332-1)*36+HEX2DEC('table for research'!AF$1))*2,2)</f>
        <v>00</v>
      </c>
      <c r="AG332" t="str">
        <f>MID('paste from garc here'!$C$1,1+(('table for research'!$B332-1)*36+HEX2DEC('table for research'!AG$1))*2,2)</f>
        <v>00</v>
      </c>
      <c r="AH332" t="str">
        <f>MID('paste from garc here'!$C$1,1+(('table for research'!$B332-1)*36+HEX2DEC('table for research'!AH$1))*2,2)</f>
        <v>00</v>
      </c>
      <c r="AI332" t="str">
        <f>MID('paste from garc here'!$C$1,1+(('table for research'!$B332-1)*36+HEX2DEC('table for research'!AI$1))*2,2)</f>
        <v>00</v>
      </c>
      <c r="AJ332" t="str">
        <f>MID('paste from garc here'!$C$1,1+(('table for research'!$B332-1)*36+HEX2DEC('table for research'!AJ$1))*2,2)</f>
        <v>00</v>
      </c>
      <c r="AK332" t="str">
        <f>MID('paste from garc here'!$C$1,1+(('table for research'!$B332-1)*36+HEX2DEC('table for research'!AK$1))*2,2)</f>
        <v>00</v>
      </c>
      <c r="AL332" t="str">
        <f>MID('paste from garc here'!$C$1,1+(('table for research'!$B332-1)*36+HEX2DEC('table for research'!AL$1))*2,2)</f>
        <v>00</v>
      </c>
      <c r="AM332" t="str">
        <f>MID('paste from garc here'!$C$1,1+(('table for research'!$B332-1)*36+HEX2DEC('table for research'!AM$1))*2,2)</f>
        <v>00</v>
      </c>
      <c r="AN332" t="str">
        <f>MID('paste from garc here'!$C$1,1+(('table for research'!$B332-1)*36+HEX2DEC('table for research'!AN$1))*2,2)</f>
        <v>00</v>
      </c>
      <c r="AO332" t="str">
        <f>MID('paste from garc here'!$C$1,1+(('table for research'!$B332-1)*36+HEX2DEC('table for research'!AO$1))*2,2)</f>
        <v>00</v>
      </c>
    </row>
    <row r="333" spans="1:41" x14ac:dyDescent="0.4">
      <c r="A333" t="s">
        <v>336</v>
      </c>
      <c r="B333">
        <f>B332+1</f>
        <v>331</v>
      </c>
      <c r="C333" t="str">
        <f>MID('paste from garc here'!$C$1,1+(('table for research'!$B333-1)*36+HEX2DEC('table for research'!C$1))*2,2)</f>
        <v>DC</v>
      </c>
      <c r="D333" t="str">
        <f>MID('paste from garc here'!$C$1,1+(('table for research'!$B333-1)*36+HEX2DEC('table for research'!D$1))*2,2)</f>
        <v>05</v>
      </c>
      <c r="E333" t="str">
        <f>MID('paste from garc here'!$C$1,1+(('table for research'!$B333-1)*36+HEX2DEC('table for research'!E$1))*2,2)</f>
        <v>00</v>
      </c>
      <c r="F333" t="str">
        <f>MID('paste from garc here'!$C$1,1+(('table for research'!$B333-1)*36+HEX2DEC('table for research'!F$1))*2,2)</f>
        <v>00</v>
      </c>
      <c r="G333" t="str">
        <f>MID('paste from garc here'!$C$1,1+(('table for research'!$B333-1)*36+HEX2DEC('table for research'!G$1))*2,2)</f>
        <v>00</v>
      </c>
      <c r="H333" t="str">
        <f>MID('paste from garc here'!$C$1,1+(('table for research'!$B333-1)*36+HEX2DEC('table for research'!H$1))*2,2)</f>
        <v>00</v>
      </c>
      <c r="I333" t="str">
        <f>MID('paste from garc here'!$C$1,1+(('table for research'!$B333-1)*36+HEX2DEC('table for research'!I$1))*2,2)</f>
        <v>00</v>
      </c>
      <c r="J333" t="str">
        <f>MID('paste from garc here'!$C$1,1+(('table for research'!$B333-1)*36+HEX2DEC('table for research'!J$1))*2,2)</f>
        <v>00</v>
      </c>
      <c r="K333" t="str">
        <f>DEC2HEX(_xlfn.BITAND(HEX2DEC(MID('paste from garc here'!$C$1,1+(('table for research'!$B333-1)*36+HEX2DEC(8))*2,2)),31),2)</f>
        <v>1F</v>
      </c>
      <c r="L333" t="str">
        <f>DEC2HEX(_xlfn.BITAND(HEX2DEC(MID('paste from garc here'!$C$1,1+(('table for research'!$B333-1)*36+HEX2DEC(8))*2,2)),32),2)</f>
        <v>20</v>
      </c>
      <c r="M333" t="str">
        <f>DEC2HEX(_xlfn.BITAND(HEX2DEC(MID('paste from garc here'!$C$1,1+(('table for research'!$B333-1)*36+HEX2DEC(8))*2,2)),64),2)</f>
        <v>00</v>
      </c>
      <c r="N333" t="str">
        <f>DEC2HEX(_xlfn.BITRSHIFT(_xlfn.BITAND(HEX2DEC(MID('paste from garc here'!$C$1,1+(('table for research'!$B333-1)*36+HEX2DEC(9))*2,2)&amp;MID('paste from garc here'!$C$1,1+(('table for research'!$B333-1)*36+HEX2DEC(8))*2,2)),1920),7),2)</f>
        <v>02</v>
      </c>
      <c r="O333" t="str">
        <f>DEC2HEX(_xlfn.BITRSHIFT(HEX2DEC(MID('paste from garc here'!$C$1,1+(('table for research'!$B333-1)*36+HEX2DEC(9))*2,2)&amp;MID('paste from garc here'!$C$1,1+(('table for research'!$B333-1)*36+HEX2DEC(8))*2,2)),11),2)</f>
        <v>00</v>
      </c>
      <c r="P333" t="str">
        <f>MID('paste from garc here'!$C$1,1+(('table for research'!$B333-1)*36+HEX2DEC('table for research'!P$1))*2,2)</f>
        <v>02</v>
      </c>
      <c r="Q333" t="str">
        <f>MID('paste from garc here'!$C$1,1+(('table for research'!$B333-1)*36+HEX2DEC('table for research'!Q$1))*2,2)</f>
        <v>00</v>
      </c>
      <c r="R333" t="str">
        <f>MID('paste from garc here'!$C$1,1+(('table for research'!$B333-1)*36+HEX2DEC('table for research'!R$1))*2,2)</f>
        <v>00</v>
      </c>
      <c r="S333" t="str">
        <f>MID('paste from garc here'!$C$1,1+(('table for research'!$B333-1)*36+HEX2DEC('table for research'!S$1))*2,2)</f>
        <v>06</v>
      </c>
      <c r="T333" t="str">
        <f>MID('paste from garc here'!$C$1,1+(('table for research'!$B333-1)*36+HEX2DEC('table for research'!T$1))*2,2)</f>
        <v>00</v>
      </c>
      <c r="U333" t="str">
        <f>MID('paste from garc here'!$C$1,1+(('table for research'!$B333-1)*36+HEX2DEC('table for research'!U$1))*2,2)</f>
        <v>03</v>
      </c>
      <c r="V333" t="str">
        <f>MID('paste from garc here'!$C$1,1+(('table for research'!$B333-1)*36+HEX2DEC('table for research'!V$1))*2,2)</f>
        <v>00</v>
      </c>
      <c r="W333" t="str">
        <f>MID('paste from garc here'!$C$1,1+(('table for research'!$B333-1)*36+HEX2DEC('table for research'!W$1))*2,2)</f>
        <v>00</v>
      </c>
      <c r="X333" t="str">
        <f>MID('paste from garc here'!$C$1,1+(('table for research'!$B333-1)*36+HEX2DEC('table for research'!X$1))*2,2)</f>
        <v>00</v>
      </c>
      <c r="Y333" t="str">
        <f>MID('paste from garc here'!$C$1,1+(('table for research'!$B333-1)*36+HEX2DEC('table for research'!Y$1))*2,2)</f>
        <v>00</v>
      </c>
      <c r="Z333" t="str">
        <f>MID('paste from garc here'!$C$1,1+(('table for research'!$B333-1)*36+HEX2DEC('table for research'!Z$1))*2,2)</f>
        <v>00</v>
      </c>
      <c r="AA333" t="str">
        <f>MID('paste from garc here'!$C$1,1+(('table for research'!$B333-1)*36+HEX2DEC('table for research'!AA$1))*2,2)</f>
        <v>00</v>
      </c>
      <c r="AB333" t="str">
        <f>MID('paste from garc here'!$C$1,1+(('table for research'!$B333-1)*36+HEX2DEC('table for research'!AB$1))*2,2)</f>
        <v>00</v>
      </c>
      <c r="AC333" t="str">
        <f>MID('paste from garc here'!$C$1,1+(('table for research'!$B333-1)*36+HEX2DEC('table for research'!AC$1))*2,2)</f>
        <v>00</v>
      </c>
      <c r="AD333" t="str">
        <f>MID('paste from garc here'!$C$1,1+(('table for research'!$B333-1)*36+HEX2DEC('table for research'!AD$1))*2,2)</f>
        <v>00</v>
      </c>
      <c r="AE333" t="str">
        <f>MID('paste from garc here'!$C$1,1+(('table for research'!$B333-1)*36+HEX2DEC('table for research'!AE$1))*2,2)</f>
        <v>00</v>
      </c>
      <c r="AF333" t="str">
        <f>MID('paste from garc here'!$C$1,1+(('table for research'!$B333-1)*36+HEX2DEC('table for research'!AF$1))*2,2)</f>
        <v>00</v>
      </c>
      <c r="AG333" t="str">
        <f>MID('paste from garc here'!$C$1,1+(('table for research'!$B333-1)*36+HEX2DEC('table for research'!AG$1))*2,2)</f>
        <v>00</v>
      </c>
      <c r="AH333" t="str">
        <f>MID('paste from garc here'!$C$1,1+(('table for research'!$B333-1)*36+HEX2DEC('table for research'!AH$1))*2,2)</f>
        <v>00</v>
      </c>
      <c r="AI333" t="str">
        <f>MID('paste from garc here'!$C$1,1+(('table for research'!$B333-1)*36+HEX2DEC('table for research'!AI$1))*2,2)</f>
        <v>00</v>
      </c>
      <c r="AJ333" t="str">
        <f>MID('paste from garc here'!$C$1,1+(('table for research'!$B333-1)*36+HEX2DEC('table for research'!AJ$1))*2,2)</f>
        <v>00</v>
      </c>
      <c r="AK333" t="str">
        <f>MID('paste from garc here'!$C$1,1+(('table for research'!$B333-1)*36+HEX2DEC('table for research'!AK$1))*2,2)</f>
        <v>00</v>
      </c>
      <c r="AL333" t="str">
        <f>MID('paste from garc here'!$C$1,1+(('table for research'!$B333-1)*36+HEX2DEC('table for research'!AL$1))*2,2)</f>
        <v>00</v>
      </c>
      <c r="AM333" t="str">
        <f>MID('paste from garc here'!$C$1,1+(('table for research'!$B333-1)*36+HEX2DEC('table for research'!AM$1))*2,2)</f>
        <v>00</v>
      </c>
      <c r="AN333" t="str">
        <f>MID('paste from garc here'!$C$1,1+(('table for research'!$B333-1)*36+HEX2DEC('table for research'!AN$1))*2,2)</f>
        <v>00</v>
      </c>
      <c r="AO333" t="str">
        <f>MID('paste from garc here'!$C$1,1+(('table for research'!$B333-1)*36+HEX2DEC('table for research'!AO$1))*2,2)</f>
        <v>00</v>
      </c>
    </row>
    <row r="334" spans="1:41" x14ac:dyDescent="0.4">
      <c r="A334" t="s">
        <v>337</v>
      </c>
      <c r="B334">
        <f>B333+1</f>
        <v>332</v>
      </c>
      <c r="C334" t="str">
        <f>MID('paste from garc here'!$C$1,1+(('table for research'!$B334-1)*36+HEX2DEC('table for research'!C$1))*2,2)</f>
        <v>E8</v>
      </c>
      <c r="D334" t="str">
        <f>MID('paste from garc here'!$C$1,1+(('table for research'!$B334-1)*36+HEX2DEC('table for research'!D$1))*2,2)</f>
        <v>03</v>
      </c>
      <c r="E334" t="str">
        <f>MID('paste from garc here'!$C$1,1+(('table for research'!$B334-1)*36+HEX2DEC('table for research'!E$1))*2,2)</f>
        <v>00</v>
      </c>
      <c r="F334" t="str">
        <f>MID('paste from garc here'!$C$1,1+(('table for research'!$B334-1)*36+HEX2DEC('table for research'!F$1))*2,2)</f>
        <v>00</v>
      </c>
      <c r="G334" t="str">
        <f>MID('paste from garc here'!$C$1,1+(('table for research'!$B334-1)*36+HEX2DEC('table for research'!G$1))*2,2)</f>
        <v>00</v>
      </c>
      <c r="H334" t="str">
        <f>MID('paste from garc here'!$C$1,1+(('table for research'!$B334-1)*36+HEX2DEC('table for research'!H$1))*2,2)</f>
        <v>00</v>
      </c>
      <c r="I334" t="str">
        <f>MID('paste from garc here'!$C$1,1+(('table for research'!$B334-1)*36+HEX2DEC('table for research'!I$1))*2,2)</f>
        <v>00</v>
      </c>
      <c r="J334" t="str">
        <f>MID('paste from garc here'!$C$1,1+(('table for research'!$B334-1)*36+HEX2DEC('table for research'!J$1))*2,2)</f>
        <v>00</v>
      </c>
      <c r="K334" t="str">
        <f>DEC2HEX(_xlfn.BITAND(HEX2DEC(MID('paste from garc here'!$C$1,1+(('table for research'!$B334-1)*36+HEX2DEC(8))*2,2)),31),2)</f>
        <v>1F</v>
      </c>
      <c r="L334" t="str">
        <f>DEC2HEX(_xlfn.BITAND(HEX2DEC(MID('paste from garc here'!$C$1,1+(('table for research'!$B334-1)*36+HEX2DEC(8))*2,2)),32),2)</f>
        <v>20</v>
      </c>
      <c r="M334" t="str">
        <f>DEC2HEX(_xlfn.BITAND(HEX2DEC(MID('paste from garc here'!$C$1,1+(('table for research'!$B334-1)*36+HEX2DEC(8))*2,2)),64),2)</f>
        <v>00</v>
      </c>
      <c r="N334" t="str">
        <f>DEC2HEX(_xlfn.BITRSHIFT(_xlfn.BITAND(HEX2DEC(MID('paste from garc here'!$C$1,1+(('table for research'!$B334-1)*36+HEX2DEC(9))*2,2)&amp;MID('paste from garc here'!$C$1,1+(('table for research'!$B334-1)*36+HEX2DEC(8))*2,2)),1920),7),2)</f>
        <v>02</v>
      </c>
      <c r="O334" t="str">
        <f>DEC2HEX(_xlfn.BITRSHIFT(HEX2DEC(MID('paste from garc here'!$C$1,1+(('table for research'!$B334-1)*36+HEX2DEC(9))*2,2)&amp;MID('paste from garc here'!$C$1,1+(('table for research'!$B334-1)*36+HEX2DEC(8))*2,2)),11),2)</f>
        <v>00</v>
      </c>
      <c r="P334" t="str">
        <f>MID('paste from garc here'!$C$1,1+(('table for research'!$B334-1)*36+HEX2DEC('table for research'!P$1))*2,2)</f>
        <v>02</v>
      </c>
      <c r="Q334" t="str">
        <f>MID('paste from garc here'!$C$1,1+(('table for research'!$B334-1)*36+HEX2DEC('table for research'!Q$1))*2,2)</f>
        <v>00</v>
      </c>
      <c r="R334" t="str">
        <f>MID('paste from garc here'!$C$1,1+(('table for research'!$B334-1)*36+HEX2DEC('table for research'!R$1))*2,2)</f>
        <v>00</v>
      </c>
      <c r="S334" t="str">
        <f>MID('paste from garc here'!$C$1,1+(('table for research'!$B334-1)*36+HEX2DEC('table for research'!S$1))*2,2)</f>
        <v>06</v>
      </c>
      <c r="T334" t="str">
        <f>MID('paste from garc here'!$C$1,1+(('table for research'!$B334-1)*36+HEX2DEC('table for research'!T$1))*2,2)</f>
        <v>00</v>
      </c>
      <c r="U334" t="str">
        <f>MID('paste from garc here'!$C$1,1+(('table for research'!$B334-1)*36+HEX2DEC('table for research'!U$1))*2,2)</f>
        <v>04</v>
      </c>
      <c r="V334" t="str">
        <f>MID('paste from garc here'!$C$1,1+(('table for research'!$B334-1)*36+HEX2DEC('table for research'!V$1))*2,2)</f>
        <v>00</v>
      </c>
      <c r="W334" t="str">
        <f>MID('paste from garc here'!$C$1,1+(('table for research'!$B334-1)*36+HEX2DEC('table for research'!W$1))*2,2)</f>
        <v>00</v>
      </c>
      <c r="X334" t="str">
        <f>MID('paste from garc here'!$C$1,1+(('table for research'!$B334-1)*36+HEX2DEC('table for research'!X$1))*2,2)</f>
        <v>00</v>
      </c>
      <c r="Y334" t="str">
        <f>MID('paste from garc here'!$C$1,1+(('table for research'!$B334-1)*36+HEX2DEC('table for research'!Y$1))*2,2)</f>
        <v>00</v>
      </c>
      <c r="Z334" t="str">
        <f>MID('paste from garc here'!$C$1,1+(('table for research'!$B334-1)*36+HEX2DEC('table for research'!Z$1))*2,2)</f>
        <v>00</v>
      </c>
      <c r="AA334" t="str">
        <f>MID('paste from garc here'!$C$1,1+(('table for research'!$B334-1)*36+HEX2DEC('table for research'!AA$1))*2,2)</f>
        <v>00</v>
      </c>
      <c r="AB334" t="str">
        <f>MID('paste from garc here'!$C$1,1+(('table for research'!$B334-1)*36+HEX2DEC('table for research'!AB$1))*2,2)</f>
        <v>00</v>
      </c>
      <c r="AC334" t="str">
        <f>MID('paste from garc here'!$C$1,1+(('table for research'!$B334-1)*36+HEX2DEC('table for research'!AC$1))*2,2)</f>
        <v>00</v>
      </c>
      <c r="AD334" t="str">
        <f>MID('paste from garc here'!$C$1,1+(('table for research'!$B334-1)*36+HEX2DEC('table for research'!AD$1))*2,2)</f>
        <v>00</v>
      </c>
      <c r="AE334" t="str">
        <f>MID('paste from garc here'!$C$1,1+(('table for research'!$B334-1)*36+HEX2DEC('table for research'!AE$1))*2,2)</f>
        <v>00</v>
      </c>
      <c r="AF334" t="str">
        <f>MID('paste from garc here'!$C$1,1+(('table for research'!$B334-1)*36+HEX2DEC('table for research'!AF$1))*2,2)</f>
        <v>00</v>
      </c>
      <c r="AG334" t="str">
        <f>MID('paste from garc here'!$C$1,1+(('table for research'!$B334-1)*36+HEX2DEC('table for research'!AG$1))*2,2)</f>
        <v>00</v>
      </c>
      <c r="AH334" t="str">
        <f>MID('paste from garc here'!$C$1,1+(('table for research'!$B334-1)*36+HEX2DEC('table for research'!AH$1))*2,2)</f>
        <v>00</v>
      </c>
      <c r="AI334" t="str">
        <f>MID('paste from garc here'!$C$1,1+(('table for research'!$B334-1)*36+HEX2DEC('table for research'!AI$1))*2,2)</f>
        <v>00</v>
      </c>
      <c r="AJ334" t="str">
        <f>MID('paste from garc here'!$C$1,1+(('table for research'!$B334-1)*36+HEX2DEC('table for research'!AJ$1))*2,2)</f>
        <v>00</v>
      </c>
      <c r="AK334" t="str">
        <f>MID('paste from garc here'!$C$1,1+(('table for research'!$B334-1)*36+HEX2DEC('table for research'!AK$1))*2,2)</f>
        <v>00</v>
      </c>
      <c r="AL334" t="str">
        <f>MID('paste from garc here'!$C$1,1+(('table for research'!$B334-1)*36+HEX2DEC('table for research'!AL$1))*2,2)</f>
        <v>00</v>
      </c>
      <c r="AM334" t="str">
        <f>MID('paste from garc here'!$C$1,1+(('table for research'!$B334-1)*36+HEX2DEC('table for research'!AM$1))*2,2)</f>
        <v>00</v>
      </c>
      <c r="AN334" t="str">
        <f>MID('paste from garc here'!$C$1,1+(('table for research'!$B334-1)*36+HEX2DEC('table for research'!AN$1))*2,2)</f>
        <v>00</v>
      </c>
      <c r="AO334" t="str">
        <f>MID('paste from garc here'!$C$1,1+(('table for research'!$B334-1)*36+HEX2DEC('table for research'!AO$1))*2,2)</f>
        <v>00</v>
      </c>
    </row>
    <row r="335" spans="1:41" x14ac:dyDescent="0.4">
      <c r="A335" t="s">
        <v>338</v>
      </c>
      <c r="B335">
        <f>B334+1</f>
        <v>333</v>
      </c>
      <c r="C335" t="str">
        <f>MID('paste from garc here'!$C$1,1+(('table for research'!$B335-1)*36+HEX2DEC('table for research'!C$1))*2,2)</f>
        <v>E8</v>
      </c>
      <c r="D335" t="str">
        <f>MID('paste from garc here'!$C$1,1+(('table for research'!$B335-1)*36+HEX2DEC('table for research'!D$1))*2,2)</f>
        <v>03</v>
      </c>
      <c r="E335" t="str">
        <f>MID('paste from garc here'!$C$1,1+(('table for research'!$B335-1)*36+HEX2DEC('table for research'!E$1))*2,2)</f>
        <v>00</v>
      </c>
      <c r="F335" t="str">
        <f>MID('paste from garc here'!$C$1,1+(('table for research'!$B335-1)*36+HEX2DEC('table for research'!F$1))*2,2)</f>
        <v>00</v>
      </c>
      <c r="G335" t="str">
        <f>MID('paste from garc here'!$C$1,1+(('table for research'!$B335-1)*36+HEX2DEC('table for research'!G$1))*2,2)</f>
        <v>00</v>
      </c>
      <c r="H335" t="str">
        <f>MID('paste from garc here'!$C$1,1+(('table for research'!$B335-1)*36+HEX2DEC('table for research'!H$1))*2,2)</f>
        <v>00</v>
      </c>
      <c r="I335" t="str">
        <f>MID('paste from garc here'!$C$1,1+(('table for research'!$B335-1)*36+HEX2DEC('table for research'!I$1))*2,2)</f>
        <v>00</v>
      </c>
      <c r="J335" t="str">
        <f>MID('paste from garc here'!$C$1,1+(('table for research'!$B335-1)*36+HEX2DEC('table for research'!J$1))*2,2)</f>
        <v>00</v>
      </c>
      <c r="K335" t="str">
        <f>DEC2HEX(_xlfn.BITAND(HEX2DEC(MID('paste from garc here'!$C$1,1+(('table for research'!$B335-1)*36+HEX2DEC(8))*2,2)),31),2)</f>
        <v>1F</v>
      </c>
      <c r="L335" t="str">
        <f>DEC2HEX(_xlfn.BITAND(HEX2DEC(MID('paste from garc here'!$C$1,1+(('table for research'!$B335-1)*36+HEX2DEC(8))*2,2)),32),2)</f>
        <v>20</v>
      </c>
      <c r="M335" t="str">
        <f>DEC2HEX(_xlfn.BITAND(HEX2DEC(MID('paste from garc here'!$C$1,1+(('table for research'!$B335-1)*36+HEX2DEC(8))*2,2)),64),2)</f>
        <v>00</v>
      </c>
      <c r="N335" t="str">
        <f>DEC2HEX(_xlfn.BITRSHIFT(_xlfn.BITAND(HEX2DEC(MID('paste from garc here'!$C$1,1+(('table for research'!$B335-1)*36+HEX2DEC(9))*2,2)&amp;MID('paste from garc here'!$C$1,1+(('table for research'!$B335-1)*36+HEX2DEC(8))*2,2)),1920),7),2)</f>
        <v>02</v>
      </c>
      <c r="O335" t="str">
        <f>DEC2HEX(_xlfn.BITRSHIFT(HEX2DEC(MID('paste from garc here'!$C$1,1+(('table for research'!$B335-1)*36+HEX2DEC(9))*2,2)&amp;MID('paste from garc here'!$C$1,1+(('table for research'!$B335-1)*36+HEX2DEC(8))*2,2)),11),2)</f>
        <v>00</v>
      </c>
      <c r="P335" t="str">
        <f>MID('paste from garc here'!$C$1,1+(('table for research'!$B335-1)*36+HEX2DEC('table for research'!P$1))*2,2)</f>
        <v>02</v>
      </c>
      <c r="Q335" t="str">
        <f>MID('paste from garc here'!$C$1,1+(('table for research'!$B335-1)*36+HEX2DEC('table for research'!Q$1))*2,2)</f>
        <v>00</v>
      </c>
      <c r="R335" t="str">
        <f>MID('paste from garc here'!$C$1,1+(('table for research'!$B335-1)*36+HEX2DEC('table for research'!R$1))*2,2)</f>
        <v>00</v>
      </c>
      <c r="S335" t="str">
        <f>MID('paste from garc here'!$C$1,1+(('table for research'!$B335-1)*36+HEX2DEC('table for research'!S$1))*2,2)</f>
        <v>06</v>
      </c>
      <c r="T335" t="str">
        <f>MID('paste from garc here'!$C$1,1+(('table for research'!$B335-1)*36+HEX2DEC('table for research'!T$1))*2,2)</f>
        <v>00</v>
      </c>
      <c r="U335" t="str">
        <f>MID('paste from garc here'!$C$1,1+(('table for research'!$B335-1)*36+HEX2DEC('table for research'!U$1))*2,2)</f>
        <v>05</v>
      </c>
      <c r="V335" t="str">
        <f>MID('paste from garc here'!$C$1,1+(('table for research'!$B335-1)*36+HEX2DEC('table for research'!V$1))*2,2)</f>
        <v>00</v>
      </c>
      <c r="W335" t="str">
        <f>MID('paste from garc here'!$C$1,1+(('table for research'!$B335-1)*36+HEX2DEC('table for research'!W$1))*2,2)</f>
        <v>00</v>
      </c>
      <c r="X335" t="str">
        <f>MID('paste from garc here'!$C$1,1+(('table for research'!$B335-1)*36+HEX2DEC('table for research'!X$1))*2,2)</f>
        <v>00</v>
      </c>
      <c r="Y335" t="str">
        <f>MID('paste from garc here'!$C$1,1+(('table for research'!$B335-1)*36+HEX2DEC('table for research'!Y$1))*2,2)</f>
        <v>00</v>
      </c>
      <c r="Z335" t="str">
        <f>MID('paste from garc here'!$C$1,1+(('table for research'!$B335-1)*36+HEX2DEC('table for research'!Z$1))*2,2)</f>
        <v>00</v>
      </c>
      <c r="AA335" t="str">
        <f>MID('paste from garc here'!$C$1,1+(('table for research'!$B335-1)*36+HEX2DEC('table for research'!AA$1))*2,2)</f>
        <v>00</v>
      </c>
      <c r="AB335" t="str">
        <f>MID('paste from garc here'!$C$1,1+(('table for research'!$B335-1)*36+HEX2DEC('table for research'!AB$1))*2,2)</f>
        <v>00</v>
      </c>
      <c r="AC335" t="str">
        <f>MID('paste from garc here'!$C$1,1+(('table for research'!$B335-1)*36+HEX2DEC('table for research'!AC$1))*2,2)</f>
        <v>00</v>
      </c>
      <c r="AD335" t="str">
        <f>MID('paste from garc here'!$C$1,1+(('table for research'!$B335-1)*36+HEX2DEC('table for research'!AD$1))*2,2)</f>
        <v>00</v>
      </c>
      <c r="AE335" t="str">
        <f>MID('paste from garc here'!$C$1,1+(('table for research'!$B335-1)*36+HEX2DEC('table for research'!AE$1))*2,2)</f>
        <v>00</v>
      </c>
      <c r="AF335" t="str">
        <f>MID('paste from garc here'!$C$1,1+(('table for research'!$B335-1)*36+HEX2DEC('table for research'!AF$1))*2,2)</f>
        <v>00</v>
      </c>
      <c r="AG335" t="str">
        <f>MID('paste from garc here'!$C$1,1+(('table for research'!$B335-1)*36+HEX2DEC('table for research'!AG$1))*2,2)</f>
        <v>00</v>
      </c>
      <c r="AH335" t="str">
        <f>MID('paste from garc here'!$C$1,1+(('table for research'!$B335-1)*36+HEX2DEC('table for research'!AH$1))*2,2)</f>
        <v>00</v>
      </c>
      <c r="AI335" t="str">
        <f>MID('paste from garc here'!$C$1,1+(('table for research'!$B335-1)*36+HEX2DEC('table for research'!AI$1))*2,2)</f>
        <v>00</v>
      </c>
      <c r="AJ335" t="str">
        <f>MID('paste from garc here'!$C$1,1+(('table for research'!$B335-1)*36+HEX2DEC('table for research'!AJ$1))*2,2)</f>
        <v>00</v>
      </c>
      <c r="AK335" t="str">
        <f>MID('paste from garc here'!$C$1,1+(('table for research'!$B335-1)*36+HEX2DEC('table for research'!AK$1))*2,2)</f>
        <v>00</v>
      </c>
      <c r="AL335" t="str">
        <f>MID('paste from garc here'!$C$1,1+(('table for research'!$B335-1)*36+HEX2DEC('table for research'!AL$1))*2,2)</f>
        <v>00</v>
      </c>
      <c r="AM335" t="str">
        <f>MID('paste from garc here'!$C$1,1+(('table for research'!$B335-1)*36+HEX2DEC('table for research'!AM$1))*2,2)</f>
        <v>00</v>
      </c>
      <c r="AN335" t="str">
        <f>MID('paste from garc here'!$C$1,1+(('table for research'!$B335-1)*36+HEX2DEC('table for research'!AN$1))*2,2)</f>
        <v>00</v>
      </c>
      <c r="AO335" t="str">
        <f>MID('paste from garc here'!$C$1,1+(('table for research'!$B335-1)*36+HEX2DEC('table for research'!AO$1))*2,2)</f>
        <v>00</v>
      </c>
    </row>
    <row r="336" spans="1:41" x14ac:dyDescent="0.4">
      <c r="A336" t="s">
        <v>339</v>
      </c>
      <c r="B336">
        <f>B335+1</f>
        <v>334</v>
      </c>
      <c r="C336" t="str">
        <f>MID('paste from garc here'!$C$1,1+(('table for research'!$B336-1)*36+HEX2DEC('table for research'!C$1))*2,2)</f>
        <v>D0</v>
      </c>
      <c r="D336" t="str">
        <f>MID('paste from garc here'!$C$1,1+(('table for research'!$B336-1)*36+HEX2DEC('table for research'!D$1))*2,2)</f>
        <v>07</v>
      </c>
      <c r="E336" t="str">
        <f>MID('paste from garc here'!$C$1,1+(('table for research'!$B336-1)*36+HEX2DEC('table for research'!E$1))*2,2)</f>
        <v>00</v>
      </c>
      <c r="F336" t="str">
        <f>MID('paste from garc here'!$C$1,1+(('table for research'!$B336-1)*36+HEX2DEC('table for research'!F$1))*2,2)</f>
        <v>00</v>
      </c>
      <c r="G336" t="str">
        <f>MID('paste from garc here'!$C$1,1+(('table for research'!$B336-1)*36+HEX2DEC('table for research'!G$1))*2,2)</f>
        <v>00</v>
      </c>
      <c r="H336" t="str">
        <f>MID('paste from garc here'!$C$1,1+(('table for research'!$B336-1)*36+HEX2DEC('table for research'!H$1))*2,2)</f>
        <v>00</v>
      </c>
      <c r="I336" t="str">
        <f>MID('paste from garc here'!$C$1,1+(('table for research'!$B336-1)*36+HEX2DEC('table for research'!I$1))*2,2)</f>
        <v>00</v>
      </c>
      <c r="J336" t="str">
        <f>MID('paste from garc here'!$C$1,1+(('table for research'!$B336-1)*36+HEX2DEC('table for research'!J$1))*2,2)</f>
        <v>00</v>
      </c>
      <c r="K336" t="str">
        <f>DEC2HEX(_xlfn.BITAND(HEX2DEC(MID('paste from garc here'!$C$1,1+(('table for research'!$B336-1)*36+HEX2DEC(8))*2,2)),31),2)</f>
        <v>1F</v>
      </c>
      <c r="L336" t="str">
        <f>DEC2HEX(_xlfn.BITAND(HEX2DEC(MID('paste from garc here'!$C$1,1+(('table for research'!$B336-1)*36+HEX2DEC(8))*2,2)),32),2)</f>
        <v>20</v>
      </c>
      <c r="M336" t="str">
        <f>DEC2HEX(_xlfn.BITAND(HEX2DEC(MID('paste from garc here'!$C$1,1+(('table for research'!$B336-1)*36+HEX2DEC(8))*2,2)),64),2)</f>
        <v>00</v>
      </c>
      <c r="N336" t="str">
        <f>DEC2HEX(_xlfn.BITRSHIFT(_xlfn.BITAND(HEX2DEC(MID('paste from garc here'!$C$1,1+(('table for research'!$B336-1)*36+HEX2DEC(9))*2,2)&amp;MID('paste from garc here'!$C$1,1+(('table for research'!$B336-1)*36+HEX2DEC(8))*2,2)),1920),7),2)</f>
        <v>02</v>
      </c>
      <c r="O336" t="str">
        <f>DEC2HEX(_xlfn.BITRSHIFT(HEX2DEC(MID('paste from garc here'!$C$1,1+(('table for research'!$B336-1)*36+HEX2DEC(9))*2,2)&amp;MID('paste from garc here'!$C$1,1+(('table for research'!$B336-1)*36+HEX2DEC(8))*2,2)),11),2)</f>
        <v>00</v>
      </c>
      <c r="P336" t="str">
        <f>MID('paste from garc here'!$C$1,1+(('table for research'!$B336-1)*36+HEX2DEC('table for research'!P$1))*2,2)</f>
        <v>02</v>
      </c>
      <c r="Q336" t="str">
        <f>MID('paste from garc here'!$C$1,1+(('table for research'!$B336-1)*36+HEX2DEC('table for research'!Q$1))*2,2)</f>
        <v>00</v>
      </c>
      <c r="R336" t="str">
        <f>MID('paste from garc here'!$C$1,1+(('table for research'!$B336-1)*36+HEX2DEC('table for research'!R$1))*2,2)</f>
        <v>00</v>
      </c>
      <c r="S336" t="str">
        <f>MID('paste from garc here'!$C$1,1+(('table for research'!$B336-1)*36+HEX2DEC('table for research'!S$1))*2,2)</f>
        <v>06</v>
      </c>
      <c r="T336" t="str">
        <f>MID('paste from garc here'!$C$1,1+(('table for research'!$B336-1)*36+HEX2DEC('table for research'!T$1))*2,2)</f>
        <v>00</v>
      </c>
      <c r="U336" t="str">
        <f>MID('paste from garc here'!$C$1,1+(('table for research'!$B336-1)*36+HEX2DEC('table for research'!U$1))*2,2)</f>
        <v>06</v>
      </c>
      <c r="V336" t="str">
        <f>MID('paste from garc here'!$C$1,1+(('table for research'!$B336-1)*36+HEX2DEC('table for research'!V$1))*2,2)</f>
        <v>00</v>
      </c>
      <c r="W336" t="str">
        <f>MID('paste from garc here'!$C$1,1+(('table for research'!$B336-1)*36+HEX2DEC('table for research'!W$1))*2,2)</f>
        <v>00</v>
      </c>
      <c r="X336" t="str">
        <f>MID('paste from garc here'!$C$1,1+(('table for research'!$B336-1)*36+HEX2DEC('table for research'!X$1))*2,2)</f>
        <v>00</v>
      </c>
      <c r="Y336" t="str">
        <f>MID('paste from garc here'!$C$1,1+(('table for research'!$B336-1)*36+HEX2DEC('table for research'!Y$1))*2,2)</f>
        <v>00</v>
      </c>
      <c r="Z336" t="str">
        <f>MID('paste from garc here'!$C$1,1+(('table for research'!$B336-1)*36+HEX2DEC('table for research'!Z$1))*2,2)</f>
        <v>00</v>
      </c>
      <c r="AA336" t="str">
        <f>MID('paste from garc here'!$C$1,1+(('table for research'!$B336-1)*36+HEX2DEC('table for research'!AA$1))*2,2)</f>
        <v>00</v>
      </c>
      <c r="AB336" t="str">
        <f>MID('paste from garc here'!$C$1,1+(('table for research'!$B336-1)*36+HEX2DEC('table for research'!AB$1))*2,2)</f>
        <v>00</v>
      </c>
      <c r="AC336" t="str">
        <f>MID('paste from garc here'!$C$1,1+(('table for research'!$B336-1)*36+HEX2DEC('table for research'!AC$1))*2,2)</f>
        <v>00</v>
      </c>
      <c r="AD336" t="str">
        <f>MID('paste from garc here'!$C$1,1+(('table for research'!$B336-1)*36+HEX2DEC('table for research'!AD$1))*2,2)</f>
        <v>00</v>
      </c>
      <c r="AE336" t="str">
        <f>MID('paste from garc here'!$C$1,1+(('table for research'!$B336-1)*36+HEX2DEC('table for research'!AE$1))*2,2)</f>
        <v>00</v>
      </c>
      <c r="AF336" t="str">
        <f>MID('paste from garc here'!$C$1,1+(('table for research'!$B336-1)*36+HEX2DEC('table for research'!AF$1))*2,2)</f>
        <v>00</v>
      </c>
      <c r="AG336" t="str">
        <f>MID('paste from garc here'!$C$1,1+(('table for research'!$B336-1)*36+HEX2DEC('table for research'!AG$1))*2,2)</f>
        <v>00</v>
      </c>
      <c r="AH336" t="str">
        <f>MID('paste from garc here'!$C$1,1+(('table for research'!$B336-1)*36+HEX2DEC('table for research'!AH$1))*2,2)</f>
        <v>00</v>
      </c>
      <c r="AI336" t="str">
        <f>MID('paste from garc here'!$C$1,1+(('table for research'!$B336-1)*36+HEX2DEC('table for research'!AI$1))*2,2)</f>
        <v>00</v>
      </c>
      <c r="AJ336" t="str">
        <f>MID('paste from garc here'!$C$1,1+(('table for research'!$B336-1)*36+HEX2DEC('table for research'!AJ$1))*2,2)</f>
        <v>00</v>
      </c>
      <c r="AK336" t="str">
        <f>MID('paste from garc here'!$C$1,1+(('table for research'!$B336-1)*36+HEX2DEC('table for research'!AK$1))*2,2)</f>
        <v>00</v>
      </c>
      <c r="AL336" t="str">
        <f>MID('paste from garc here'!$C$1,1+(('table for research'!$B336-1)*36+HEX2DEC('table for research'!AL$1))*2,2)</f>
        <v>00</v>
      </c>
      <c r="AM336" t="str">
        <f>MID('paste from garc here'!$C$1,1+(('table for research'!$B336-1)*36+HEX2DEC('table for research'!AM$1))*2,2)</f>
        <v>00</v>
      </c>
      <c r="AN336" t="str">
        <f>MID('paste from garc here'!$C$1,1+(('table for research'!$B336-1)*36+HEX2DEC('table for research'!AN$1))*2,2)</f>
        <v>00</v>
      </c>
      <c r="AO336" t="str">
        <f>MID('paste from garc here'!$C$1,1+(('table for research'!$B336-1)*36+HEX2DEC('table for research'!AO$1))*2,2)</f>
        <v>00</v>
      </c>
    </row>
    <row r="337" spans="1:41" x14ac:dyDescent="0.4">
      <c r="A337" t="s">
        <v>340</v>
      </c>
      <c r="B337">
        <f>B336+1</f>
        <v>335</v>
      </c>
      <c r="C337" t="str">
        <f>MID('paste from garc here'!$C$1,1+(('table for research'!$B337-1)*36+HEX2DEC('table for research'!C$1))*2,2)</f>
        <v>E8</v>
      </c>
      <c r="D337" t="str">
        <f>MID('paste from garc here'!$C$1,1+(('table for research'!$B337-1)*36+HEX2DEC('table for research'!D$1))*2,2)</f>
        <v>03</v>
      </c>
      <c r="E337" t="str">
        <f>MID('paste from garc here'!$C$1,1+(('table for research'!$B337-1)*36+HEX2DEC('table for research'!E$1))*2,2)</f>
        <v>00</v>
      </c>
      <c r="F337" t="str">
        <f>MID('paste from garc here'!$C$1,1+(('table for research'!$B337-1)*36+HEX2DEC('table for research'!F$1))*2,2)</f>
        <v>00</v>
      </c>
      <c r="G337" t="str">
        <f>MID('paste from garc here'!$C$1,1+(('table for research'!$B337-1)*36+HEX2DEC('table for research'!G$1))*2,2)</f>
        <v>00</v>
      </c>
      <c r="H337" t="str">
        <f>MID('paste from garc here'!$C$1,1+(('table for research'!$B337-1)*36+HEX2DEC('table for research'!H$1))*2,2)</f>
        <v>00</v>
      </c>
      <c r="I337" t="str">
        <f>MID('paste from garc here'!$C$1,1+(('table for research'!$B337-1)*36+HEX2DEC('table for research'!I$1))*2,2)</f>
        <v>00</v>
      </c>
      <c r="J337" t="str">
        <f>MID('paste from garc here'!$C$1,1+(('table for research'!$B337-1)*36+HEX2DEC('table for research'!J$1))*2,2)</f>
        <v>00</v>
      </c>
      <c r="K337" t="str">
        <f>DEC2HEX(_xlfn.BITAND(HEX2DEC(MID('paste from garc here'!$C$1,1+(('table for research'!$B337-1)*36+HEX2DEC(8))*2,2)),31),2)</f>
        <v>1F</v>
      </c>
      <c r="L337" t="str">
        <f>DEC2HEX(_xlfn.BITAND(HEX2DEC(MID('paste from garc here'!$C$1,1+(('table for research'!$B337-1)*36+HEX2DEC(8))*2,2)),32),2)</f>
        <v>20</v>
      </c>
      <c r="M337" t="str">
        <f>DEC2HEX(_xlfn.BITAND(HEX2DEC(MID('paste from garc here'!$C$1,1+(('table for research'!$B337-1)*36+HEX2DEC(8))*2,2)),64),2)</f>
        <v>00</v>
      </c>
      <c r="N337" t="str">
        <f>DEC2HEX(_xlfn.BITRSHIFT(_xlfn.BITAND(HEX2DEC(MID('paste from garc here'!$C$1,1+(('table for research'!$B337-1)*36+HEX2DEC(9))*2,2)&amp;MID('paste from garc here'!$C$1,1+(('table for research'!$B337-1)*36+HEX2DEC(8))*2,2)),1920),7),2)</f>
        <v>02</v>
      </c>
      <c r="O337" t="str">
        <f>DEC2HEX(_xlfn.BITRSHIFT(HEX2DEC(MID('paste from garc here'!$C$1,1+(('table for research'!$B337-1)*36+HEX2DEC(9))*2,2)&amp;MID('paste from garc here'!$C$1,1+(('table for research'!$B337-1)*36+HEX2DEC(8))*2,2)),11),2)</f>
        <v>00</v>
      </c>
      <c r="P337" t="str">
        <f>MID('paste from garc here'!$C$1,1+(('table for research'!$B337-1)*36+HEX2DEC('table for research'!P$1))*2,2)</f>
        <v>02</v>
      </c>
      <c r="Q337" t="str">
        <f>MID('paste from garc here'!$C$1,1+(('table for research'!$B337-1)*36+HEX2DEC('table for research'!Q$1))*2,2)</f>
        <v>00</v>
      </c>
      <c r="R337" t="str">
        <f>MID('paste from garc here'!$C$1,1+(('table for research'!$B337-1)*36+HEX2DEC('table for research'!R$1))*2,2)</f>
        <v>00</v>
      </c>
      <c r="S337" t="str">
        <f>MID('paste from garc here'!$C$1,1+(('table for research'!$B337-1)*36+HEX2DEC('table for research'!S$1))*2,2)</f>
        <v>06</v>
      </c>
      <c r="T337" t="str">
        <f>MID('paste from garc here'!$C$1,1+(('table for research'!$B337-1)*36+HEX2DEC('table for research'!T$1))*2,2)</f>
        <v>00</v>
      </c>
      <c r="U337" t="str">
        <f>MID('paste from garc here'!$C$1,1+(('table for research'!$B337-1)*36+HEX2DEC('table for research'!U$1))*2,2)</f>
        <v>07</v>
      </c>
      <c r="V337" t="str">
        <f>MID('paste from garc here'!$C$1,1+(('table for research'!$B337-1)*36+HEX2DEC('table for research'!V$1))*2,2)</f>
        <v>00</v>
      </c>
      <c r="W337" t="str">
        <f>MID('paste from garc here'!$C$1,1+(('table for research'!$B337-1)*36+HEX2DEC('table for research'!W$1))*2,2)</f>
        <v>00</v>
      </c>
      <c r="X337" t="str">
        <f>MID('paste from garc here'!$C$1,1+(('table for research'!$B337-1)*36+HEX2DEC('table for research'!X$1))*2,2)</f>
        <v>00</v>
      </c>
      <c r="Y337" t="str">
        <f>MID('paste from garc here'!$C$1,1+(('table for research'!$B337-1)*36+HEX2DEC('table for research'!Y$1))*2,2)</f>
        <v>00</v>
      </c>
      <c r="Z337" t="str">
        <f>MID('paste from garc here'!$C$1,1+(('table for research'!$B337-1)*36+HEX2DEC('table for research'!Z$1))*2,2)</f>
        <v>00</v>
      </c>
      <c r="AA337" t="str">
        <f>MID('paste from garc here'!$C$1,1+(('table for research'!$B337-1)*36+HEX2DEC('table for research'!AA$1))*2,2)</f>
        <v>00</v>
      </c>
      <c r="AB337" t="str">
        <f>MID('paste from garc here'!$C$1,1+(('table for research'!$B337-1)*36+HEX2DEC('table for research'!AB$1))*2,2)</f>
        <v>00</v>
      </c>
      <c r="AC337" t="str">
        <f>MID('paste from garc here'!$C$1,1+(('table for research'!$B337-1)*36+HEX2DEC('table for research'!AC$1))*2,2)</f>
        <v>00</v>
      </c>
      <c r="AD337" t="str">
        <f>MID('paste from garc here'!$C$1,1+(('table for research'!$B337-1)*36+HEX2DEC('table for research'!AD$1))*2,2)</f>
        <v>00</v>
      </c>
      <c r="AE337" t="str">
        <f>MID('paste from garc here'!$C$1,1+(('table for research'!$B337-1)*36+HEX2DEC('table for research'!AE$1))*2,2)</f>
        <v>00</v>
      </c>
      <c r="AF337" t="str">
        <f>MID('paste from garc here'!$C$1,1+(('table for research'!$B337-1)*36+HEX2DEC('table for research'!AF$1))*2,2)</f>
        <v>00</v>
      </c>
      <c r="AG337" t="str">
        <f>MID('paste from garc here'!$C$1,1+(('table for research'!$B337-1)*36+HEX2DEC('table for research'!AG$1))*2,2)</f>
        <v>00</v>
      </c>
      <c r="AH337" t="str">
        <f>MID('paste from garc here'!$C$1,1+(('table for research'!$B337-1)*36+HEX2DEC('table for research'!AH$1))*2,2)</f>
        <v>00</v>
      </c>
      <c r="AI337" t="str">
        <f>MID('paste from garc here'!$C$1,1+(('table for research'!$B337-1)*36+HEX2DEC('table for research'!AI$1))*2,2)</f>
        <v>00</v>
      </c>
      <c r="AJ337" t="str">
        <f>MID('paste from garc here'!$C$1,1+(('table for research'!$B337-1)*36+HEX2DEC('table for research'!AJ$1))*2,2)</f>
        <v>00</v>
      </c>
      <c r="AK337" t="str">
        <f>MID('paste from garc here'!$C$1,1+(('table for research'!$B337-1)*36+HEX2DEC('table for research'!AK$1))*2,2)</f>
        <v>00</v>
      </c>
      <c r="AL337" t="str">
        <f>MID('paste from garc here'!$C$1,1+(('table for research'!$B337-1)*36+HEX2DEC('table for research'!AL$1))*2,2)</f>
        <v>00</v>
      </c>
      <c r="AM337" t="str">
        <f>MID('paste from garc here'!$C$1,1+(('table for research'!$B337-1)*36+HEX2DEC('table for research'!AM$1))*2,2)</f>
        <v>00</v>
      </c>
      <c r="AN337" t="str">
        <f>MID('paste from garc here'!$C$1,1+(('table for research'!$B337-1)*36+HEX2DEC('table for research'!AN$1))*2,2)</f>
        <v>00</v>
      </c>
      <c r="AO337" t="str">
        <f>MID('paste from garc here'!$C$1,1+(('table for research'!$B337-1)*36+HEX2DEC('table for research'!AO$1))*2,2)</f>
        <v>00</v>
      </c>
    </row>
    <row r="338" spans="1:41" x14ac:dyDescent="0.4">
      <c r="A338" t="s">
        <v>341</v>
      </c>
      <c r="B338">
        <f>B337+1</f>
        <v>336</v>
      </c>
      <c r="C338" t="str">
        <f>MID('paste from garc here'!$C$1,1+(('table for research'!$B338-1)*36+HEX2DEC('table for research'!C$1))*2,2)</f>
        <v>C4</v>
      </c>
      <c r="D338" t="str">
        <f>MID('paste from garc here'!$C$1,1+(('table for research'!$B338-1)*36+HEX2DEC('table for research'!D$1))*2,2)</f>
        <v>09</v>
      </c>
      <c r="E338" t="str">
        <f>MID('paste from garc here'!$C$1,1+(('table for research'!$B338-1)*36+HEX2DEC('table for research'!E$1))*2,2)</f>
        <v>00</v>
      </c>
      <c r="F338" t="str">
        <f>MID('paste from garc here'!$C$1,1+(('table for research'!$B338-1)*36+HEX2DEC('table for research'!F$1))*2,2)</f>
        <v>00</v>
      </c>
      <c r="G338" t="str">
        <f>MID('paste from garc here'!$C$1,1+(('table for research'!$B338-1)*36+HEX2DEC('table for research'!G$1))*2,2)</f>
        <v>00</v>
      </c>
      <c r="H338" t="str">
        <f>MID('paste from garc here'!$C$1,1+(('table for research'!$B338-1)*36+HEX2DEC('table for research'!H$1))*2,2)</f>
        <v>00</v>
      </c>
      <c r="I338" t="str">
        <f>MID('paste from garc here'!$C$1,1+(('table for research'!$B338-1)*36+HEX2DEC('table for research'!I$1))*2,2)</f>
        <v>00</v>
      </c>
      <c r="J338" t="str">
        <f>MID('paste from garc here'!$C$1,1+(('table for research'!$B338-1)*36+HEX2DEC('table for research'!J$1))*2,2)</f>
        <v>00</v>
      </c>
      <c r="K338" t="str">
        <f>DEC2HEX(_xlfn.BITAND(HEX2DEC(MID('paste from garc here'!$C$1,1+(('table for research'!$B338-1)*36+HEX2DEC(8))*2,2)),31),2)</f>
        <v>1F</v>
      </c>
      <c r="L338" t="str">
        <f>DEC2HEX(_xlfn.BITAND(HEX2DEC(MID('paste from garc here'!$C$1,1+(('table for research'!$B338-1)*36+HEX2DEC(8))*2,2)),32),2)</f>
        <v>20</v>
      </c>
      <c r="M338" t="str">
        <f>DEC2HEX(_xlfn.BITAND(HEX2DEC(MID('paste from garc here'!$C$1,1+(('table for research'!$B338-1)*36+HEX2DEC(8))*2,2)),64),2)</f>
        <v>00</v>
      </c>
      <c r="N338" t="str">
        <f>DEC2HEX(_xlfn.BITRSHIFT(_xlfn.BITAND(HEX2DEC(MID('paste from garc here'!$C$1,1+(('table for research'!$B338-1)*36+HEX2DEC(9))*2,2)&amp;MID('paste from garc here'!$C$1,1+(('table for research'!$B338-1)*36+HEX2DEC(8))*2,2)),1920),7),2)</f>
        <v>02</v>
      </c>
      <c r="O338" t="str">
        <f>DEC2HEX(_xlfn.BITRSHIFT(HEX2DEC(MID('paste from garc here'!$C$1,1+(('table for research'!$B338-1)*36+HEX2DEC(9))*2,2)&amp;MID('paste from garc here'!$C$1,1+(('table for research'!$B338-1)*36+HEX2DEC(8))*2,2)),11),2)</f>
        <v>00</v>
      </c>
      <c r="P338" t="str">
        <f>MID('paste from garc here'!$C$1,1+(('table for research'!$B338-1)*36+HEX2DEC('table for research'!P$1))*2,2)</f>
        <v>02</v>
      </c>
      <c r="Q338" t="str">
        <f>MID('paste from garc here'!$C$1,1+(('table for research'!$B338-1)*36+HEX2DEC('table for research'!Q$1))*2,2)</f>
        <v>00</v>
      </c>
      <c r="R338" t="str">
        <f>MID('paste from garc here'!$C$1,1+(('table for research'!$B338-1)*36+HEX2DEC('table for research'!R$1))*2,2)</f>
        <v>00</v>
      </c>
      <c r="S338" t="str">
        <f>MID('paste from garc here'!$C$1,1+(('table for research'!$B338-1)*36+HEX2DEC('table for research'!S$1))*2,2)</f>
        <v>06</v>
      </c>
      <c r="T338" t="str">
        <f>MID('paste from garc here'!$C$1,1+(('table for research'!$B338-1)*36+HEX2DEC('table for research'!T$1))*2,2)</f>
        <v>00</v>
      </c>
      <c r="U338" t="str">
        <f>MID('paste from garc here'!$C$1,1+(('table for research'!$B338-1)*36+HEX2DEC('table for research'!U$1))*2,2)</f>
        <v>08</v>
      </c>
      <c r="V338" t="str">
        <f>MID('paste from garc here'!$C$1,1+(('table for research'!$B338-1)*36+HEX2DEC('table for research'!V$1))*2,2)</f>
        <v>00</v>
      </c>
      <c r="W338" t="str">
        <f>MID('paste from garc here'!$C$1,1+(('table for research'!$B338-1)*36+HEX2DEC('table for research'!W$1))*2,2)</f>
        <v>00</v>
      </c>
      <c r="X338" t="str">
        <f>MID('paste from garc here'!$C$1,1+(('table for research'!$B338-1)*36+HEX2DEC('table for research'!X$1))*2,2)</f>
        <v>00</v>
      </c>
      <c r="Y338" t="str">
        <f>MID('paste from garc here'!$C$1,1+(('table for research'!$B338-1)*36+HEX2DEC('table for research'!Y$1))*2,2)</f>
        <v>00</v>
      </c>
      <c r="Z338" t="str">
        <f>MID('paste from garc here'!$C$1,1+(('table for research'!$B338-1)*36+HEX2DEC('table for research'!Z$1))*2,2)</f>
        <v>00</v>
      </c>
      <c r="AA338" t="str">
        <f>MID('paste from garc here'!$C$1,1+(('table for research'!$B338-1)*36+HEX2DEC('table for research'!AA$1))*2,2)</f>
        <v>00</v>
      </c>
      <c r="AB338" t="str">
        <f>MID('paste from garc here'!$C$1,1+(('table for research'!$B338-1)*36+HEX2DEC('table for research'!AB$1))*2,2)</f>
        <v>00</v>
      </c>
      <c r="AC338" t="str">
        <f>MID('paste from garc here'!$C$1,1+(('table for research'!$B338-1)*36+HEX2DEC('table for research'!AC$1))*2,2)</f>
        <v>00</v>
      </c>
      <c r="AD338" t="str">
        <f>MID('paste from garc here'!$C$1,1+(('table for research'!$B338-1)*36+HEX2DEC('table for research'!AD$1))*2,2)</f>
        <v>00</v>
      </c>
      <c r="AE338" t="str">
        <f>MID('paste from garc here'!$C$1,1+(('table for research'!$B338-1)*36+HEX2DEC('table for research'!AE$1))*2,2)</f>
        <v>00</v>
      </c>
      <c r="AF338" t="str">
        <f>MID('paste from garc here'!$C$1,1+(('table for research'!$B338-1)*36+HEX2DEC('table for research'!AF$1))*2,2)</f>
        <v>00</v>
      </c>
      <c r="AG338" t="str">
        <f>MID('paste from garc here'!$C$1,1+(('table for research'!$B338-1)*36+HEX2DEC('table for research'!AG$1))*2,2)</f>
        <v>00</v>
      </c>
      <c r="AH338" t="str">
        <f>MID('paste from garc here'!$C$1,1+(('table for research'!$B338-1)*36+HEX2DEC('table for research'!AH$1))*2,2)</f>
        <v>00</v>
      </c>
      <c r="AI338" t="str">
        <f>MID('paste from garc here'!$C$1,1+(('table for research'!$B338-1)*36+HEX2DEC('table for research'!AI$1))*2,2)</f>
        <v>00</v>
      </c>
      <c r="AJ338" t="str">
        <f>MID('paste from garc here'!$C$1,1+(('table for research'!$B338-1)*36+HEX2DEC('table for research'!AJ$1))*2,2)</f>
        <v>00</v>
      </c>
      <c r="AK338" t="str">
        <f>MID('paste from garc here'!$C$1,1+(('table for research'!$B338-1)*36+HEX2DEC('table for research'!AK$1))*2,2)</f>
        <v>00</v>
      </c>
      <c r="AL338" t="str">
        <f>MID('paste from garc here'!$C$1,1+(('table for research'!$B338-1)*36+HEX2DEC('table for research'!AL$1))*2,2)</f>
        <v>00</v>
      </c>
      <c r="AM338" t="str">
        <f>MID('paste from garc here'!$C$1,1+(('table for research'!$B338-1)*36+HEX2DEC('table for research'!AM$1))*2,2)</f>
        <v>00</v>
      </c>
      <c r="AN338" t="str">
        <f>MID('paste from garc here'!$C$1,1+(('table for research'!$B338-1)*36+HEX2DEC('table for research'!AN$1))*2,2)</f>
        <v>00</v>
      </c>
      <c r="AO338" t="str">
        <f>MID('paste from garc here'!$C$1,1+(('table for research'!$B338-1)*36+HEX2DEC('table for research'!AO$1))*2,2)</f>
        <v>00</v>
      </c>
    </row>
    <row r="339" spans="1:41" x14ac:dyDescent="0.4">
      <c r="A339" t="s">
        <v>342</v>
      </c>
      <c r="B339">
        <f>B338+1</f>
        <v>337</v>
      </c>
      <c r="C339" t="str">
        <f>MID('paste from garc here'!$C$1,1+(('table for research'!$B339-1)*36+HEX2DEC('table for research'!C$1))*2,2)</f>
        <v>E8</v>
      </c>
      <c r="D339" t="str">
        <f>MID('paste from garc here'!$C$1,1+(('table for research'!$B339-1)*36+HEX2DEC('table for research'!D$1))*2,2)</f>
        <v>03</v>
      </c>
      <c r="E339" t="str">
        <f>MID('paste from garc here'!$C$1,1+(('table for research'!$B339-1)*36+HEX2DEC('table for research'!E$1))*2,2)</f>
        <v>00</v>
      </c>
      <c r="F339" t="str">
        <f>MID('paste from garc here'!$C$1,1+(('table for research'!$B339-1)*36+HEX2DEC('table for research'!F$1))*2,2)</f>
        <v>00</v>
      </c>
      <c r="G339" t="str">
        <f>MID('paste from garc here'!$C$1,1+(('table for research'!$B339-1)*36+HEX2DEC('table for research'!G$1))*2,2)</f>
        <v>00</v>
      </c>
      <c r="H339" t="str">
        <f>MID('paste from garc here'!$C$1,1+(('table for research'!$B339-1)*36+HEX2DEC('table for research'!H$1))*2,2)</f>
        <v>00</v>
      </c>
      <c r="I339" t="str">
        <f>MID('paste from garc here'!$C$1,1+(('table for research'!$B339-1)*36+HEX2DEC('table for research'!I$1))*2,2)</f>
        <v>00</v>
      </c>
      <c r="J339" t="str">
        <f>MID('paste from garc here'!$C$1,1+(('table for research'!$B339-1)*36+HEX2DEC('table for research'!J$1))*2,2)</f>
        <v>00</v>
      </c>
      <c r="K339" t="str">
        <f>DEC2HEX(_xlfn.BITAND(HEX2DEC(MID('paste from garc here'!$C$1,1+(('table for research'!$B339-1)*36+HEX2DEC(8))*2,2)),31),2)</f>
        <v>1F</v>
      </c>
      <c r="L339" t="str">
        <f>DEC2HEX(_xlfn.BITAND(HEX2DEC(MID('paste from garc here'!$C$1,1+(('table for research'!$B339-1)*36+HEX2DEC(8))*2,2)),32),2)</f>
        <v>20</v>
      </c>
      <c r="M339" t="str">
        <f>DEC2HEX(_xlfn.BITAND(HEX2DEC(MID('paste from garc here'!$C$1,1+(('table for research'!$B339-1)*36+HEX2DEC(8))*2,2)),64),2)</f>
        <v>00</v>
      </c>
      <c r="N339" t="str">
        <f>DEC2HEX(_xlfn.BITRSHIFT(_xlfn.BITAND(HEX2DEC(MID('paste from garc here'!$C$1,1+(('table for research'!$B339-1)*36+HEX2DEC(9))*2,2)&amp;MID('paste from garc here'!$C$1,1+(('table for research'!$B339-1)*36+HEX2DEC(8))*2,2)),1920),7),2)</f>
        <v>02</v>
      </c>
      <c r="O339" t="str">
        <f>DEC2HEX(_xlfn.BITRSHIFT(HEX2DEC(MID('paste from garc here'!$C$1,1+(('table for research'!$B339-1)*36+HEX2DEC(9))*2,2)&amp;MID('paste from garc here'!$C$1,1+(('table for research'!$B339-1)*36+HEX2DEC(8))*2,2)),11),2)</f>
        <v>00</v>
      </c>
      <c r="P339" t="str">
        <f>MID('paste from garc here'!$C$1,1+(('table for research'!$B339-1)*36+HEX2DEC('table for research'!P$1))*2,2)</f>
        <v>02</v>
      </c>
      <c r="Q339" t="str">
        <f>MID('paste from garc here'!$C$1,1+(('table for research'!$B339-1)*36+HEX2DEC('table for research'!Q$1))*2,2)</f>
        <v>00</v>
      </c>
      <c r="R339" t="str">
        <f>MID('paste from garc here'!$C$1,1+(('table for research'!$B339-1)*36+HEX2DEC('table for research'!R$1))*2,2)</f>
        <v>00</v>
      </c>
      <c r="S339" t="str">
        <f>MID('paste from garc here'!$C$1,1+(('table for research'!$B339-1)*36+HEX2DEC('table for research'!S$1))*2,2)</f>
        <v>06</v>
      </c>
      <c r="T339" t="str">
        <f>MID('paste from garc here'!$C$1,1+(('table for research'!$B339-1)*36+HEX2DEC('table for research'!T$1))*2,2)</f>
        <v>00</v>
      </c>
      <c r="U339" t="str">
        <f>MID('paste from garc here'!$C$1,1+(('table for research'!$B339-1)*36+HEX2DEC('table for research'!U$1))*2,2)</f>
        <v>09</v>
      </c>
      <c r="V339" t="str">
        <f>MID('paste from garc here'!$C$1,1+(('table for research'!$B339-1)*36+HEX2DEC('table for research'!V$1))*2,2)</f>
        <v>00</v>
      </c>
      <c r="W339" t="str">
        <f>MID('paste from garc here'!$C$1,1+(('table for research'!$B339-1)*36+HEX2DEC('table for research'!W$1))*2,2)</f>
        <v>00</v>
      </c>
      <c r="X339" t="str">
        <f>MID('paste from garc here'!$C$1,1+(('table for research'!$B339-1)*36+HEX2DEC('table for research'!X$1))*2,2)</f>
        <v>00</v>
      </c>
      <c r="Y339" t="str">
        <f>MID('paste from garc here'!$C$1,1+(('table for research'!$B339-1)*36+HEX2DEC('table for research'!Y$1))*2,2)</f>
        <v>00</v>
      </c>
      <c r="Z339" t="str">
        <f>MID('paste from garc here'!$C$1,1+(('table for research'!$B339-1)*36+HEX2DEC('table for research'!Z$1))*2,2)</f>
        <v>00</v>
      </c>
      <c r="AA339" t="str">
        <f>MID('paste from garc here'!$C$1,1+(('table for research'!$B339-1)*36+HEX2DEC('table for research'!AA$1))*2,2)</f>
        <v>00</v>
      </c>
      <c r="AB339" t="str">
        <f>MID('paste from garc here'!$C$1,1+(('table for research'!$B339-1)*36+HEX2DEC('table for research'!AB$1))*2,2)</f>
        <v>00</v>
      </c>
      <c r="AC339" t="str">
        <f>MID('paste from garc here'!$C$1,1+(('table for research'!$B339-1)*36+HEX2DEC('table for research'!AC$1))*2,2)</f>
        <v>00</v>
      </c>
      <c r="AD339" t="str">
        <f>MID('paste from garc here'!$C$1,1+(('table for research'!$B339-1)*36+HEX2DEC('table for research'!AD$1))*2,2)</f>
        <v>00</v>
      </c>
      <c r="AE339" t="str">
        <f>MID('paste from garc here'!$C$1,1+(('table for research'!$B339-1)*36+HEX2DEC('table for research'!AE$1))*2,2)</f>
        <v>00</v>
      </c>
      <c r="AF339" t="str">
        <f>MID('paste from garc here'!$C$1,1+(('table for research'!$B339-1)*36+HEX2DEC('table for research'!AF$1))*2,2)</f>
        <v>00</v>
      </c>
      <c r="AG339" t="str">
        <f>MID('paste from garc here'!$C$1,1+(('table for research'!$B339-1)*36+HEX2DEC('table for research'!AG$1))*2,2)</f>
        <v>00</v>
      </c>
      <c r="AH339" t="str">
        <f>MID('paste from garc here'!$C$1,1+(('table for research'!$B339-1)*36+HEX2DEC('table for research'!AH$1))*2,2)</f>
        <v>00</v>
      </c>
      <c r="AI339" t="str">
        <f>MID('paste from garc here'!$C$1,1+(('table for research'!$B339-1)*36+HEX2DEC('table for research'!AI$1))*2,2)</f>
        <v>00</v>
      </c>
      <c r="AJ339" t="str">
        <f>MID('paste from garc here'!$C$1,1+(('table for research'!$B339-1)*36+HEX2DEC('table for research'!AJ$1))*2,2)</f>
        <v>00</v>
      </c>
      <c r="AK339" t="str">
        <f>MID('paste from garc here'!$C$1,1+(('table for research'!$B339-1)*36+HEX2DEC('table for research'!AK$1))*2,2)</f>
        <v>00</v>
      </c>
      <c r="AL339" t="str">
        <f>MID('paste from garc here'!$C$1,1+(('table for research'!$B339-1)*36+HEX2DEC('table for research'!AL$1))*2,2)</f>
        <v>00</v>
      </c>
      <c r="AM339" t="str">
        <f>MID('paste from garc here'!$C$1,1+(('table for research'!$B339-1)*36+HEX2DEC('table for research'!AM$1))*2,2)</f>
        <v>00</v>
      </c>
      <c r="AN339" t="str">
        <f>MID('paste from garc here'!$C$1,1+(('table for research'!$B339-1)*36+HEX2DEC('table for research'!AN$1))*2,2)</f>
        <v>00</v>
      </c>
      <c r="AO339" t="str">
        <f>MID('paste from garc here'!$C$1,1+(('table for research'!$B339-1)*36+HEX2DEC('table for research'!AO$1))*2,2)</f>
        <v>00</v>
      </c>
    </row>
    <row r="340" spans="1:41" x14ac:dyDescent="0.4">
      <c r="A340" t="s">
        <v>343</v>
      </c>
      <c r="B340">
        <f>B339+1</f>
        <v>338</v>
      </c>
      <c r="C340" t="str">
        <f>MID('paste from garc here'!$C$1,1+(('table for research'!$B340-1)*36+HEX2DEC('table for research'!C$1))*2,2)</f>
        <v>D0</v>
      </c>
      <c r="D340" t="str">
        <f>MID('paste from garc here'!$C$1,1+(('table for research'!$B340-1)*36+HEX2DEC('table for research'!D$1))*2,2)</f>
        <v>07</v>
      </c>
      <c r="E340" t="str">
        <f>MID('paste from garc here'!$C$1,1+(('table for research'!$B340-1)*36+HEX2DEC('table for research'!E$1))*2,2)</f>
        <v>00</v>
      </c>
      <c r="F340" t="str">
        <f>MID('paste from garc here'!$C$1,1+(('table for research'!$B340-1)*36+HEX2DEC('table for research'!F$1))*2,2)</f>
        <v>00</v>
      </c>
      <c r="G340" t="str">
        <f>MID('paste from garc here'!$C$1,1+(('table for research'!$B340-1)*36+HEX2DEC('table for research'!G$1))*2,2)</f>
        <v>00</v>
      </c>
      <c r="H340" t="str">
        <f>MID('paste from garc here'!$C$1,1+(('table for research'!$B340-1)*36+HEX2DEC('table for research'!H$1))*2,2)</f>
        <v>00</v>
      </c>
      <c r="I340" t="str">
        <f>MID('paste from garc here'!$C$1,1+(('table for research'!$B340-1)*36+HEX2DEC('table for research'!I$1))*2,2)</f>
        <v>00</v>
      </c>
      <c r="J340" t="str">
        <f>MID('paste from garc here'!$C$1,1+(('table for research'!$B340-1)*36+HEX2DEC('table for research'!J$1))*2,2)</f>
        <v>00</v>
      </c>
      <c r="K340" t="str">
        <f>DEC2HEX(_xlfn.BITAND(HEX2DEC(MID('paste from garc here'!$C$1,1+(('table for research'!$B340-1)*36+HEX2DEC(8))*2,2)),31),2)</f>
        <v>1F</v>
      </c>
      <c r="L340" t="str">
        <f>DEC2HEX(_xlfn.BITAND(HEX2DEC(MID('paste from garc here'!$C$1,1+(('table for research'!$B340-1)*36+HEX2DEC(8))*2,2)),32),2)</f>
        <v>20</v>
      </c>
      <c r="M340" t="str">
        <f>DEC2HEX(_xlfn.BITAND(HEX2DEC(MID('paste from garc here'!$C$1,1+(('table for research'!$B340-1)*36+HEX2DEC(8))*2,2)),64),2)</f>
        <v>00</v>
      </c>
      <c r="N340" t="str">
        <f>DEC2HEX(_xlfn.BITRSHIFT(_xlfn.BITAND(HEX2DEC(MID('paste from garc here'!$C$1,1+(('table for research'!$B340-1)*36+HEX2DEC(9))*2,2)&amp;MID('paste from garc here'!$C$1,1+(('table for research'!$B340-1)*36+HEX2DEC(8))*2,2)),1920),7),2)</f>
        <v>02</v>
      </c>
      <c r="O340" t="str">
        <f>DEC2HEX(_xlfn.BITRSHIFT(HEX2DEC(MID('paste from garc here'!$C$1,1+(('table for research'!$B340-1)*36+HEX2DEC(9))*2,2)&amp;MID('paste from garc here'!$C$1,1+(('table for research'!$B340-1)*36+HEX2DEC(8))*2,2)),11),2)</f>
        <v>00</v>
      </c>
      <c r="P340" t="str">
        <f>MID('paste from garc here'!$C$1,1+(('table for research'!$B340-1)*36+HEX2DEC('table for research'!P$1))*2,2)</f>
        <v>02</v>
      </c>
      <c r="Q340" t="str">
        <f>MID('paste from garc here'!$C$1,1+(('table for research'!$B340-1)*36+HEX2DEC('table for research'!Q$1))*2,2)</f>
        <v>00</v>
      </c>
      <c r="R340" t="str">
        <f>MID('paste from garc here'!$C$1,1+(('table for research'!$B340-1)*36+HEX2DEC('table for research'!R$1))*2,2)</f>
        <v>00</v>
      </c>
      <c r="S340" t="str">
        <f>MID('paste from garc here'!$C$1,1+(('table for research'!$B340-1)*36+HEX2DEC('table for research'!S$1))*2,2)</f>
        <v>06</v>
      </c>
      <c r="T340" t="str">
        <f>MID('paste from garc here'!$C$1,1+(('table for research'!$B340-1)*36+HEX2DEC('table for research'!T$1))*2,2)</f>
        <v>00</v>
      </c>
      <c r="U340" t="str">
        <f>MID('paste from garc here'!$C$1,1+(('table for research'!$B340-1)*36+HEX2DEC('table for research'!U$1))*2,2)</f>
        <v>0A</v>
      </c>
      <c r="V340" t="str">
        <f>MID('paste from garc here'!$C$1,1+(('table for research'!$B340-1)*36+HEX2DEC('table for research'!V$1))*2,2)</f>
        <v>00</v>
      </c>
      <c r="W340" t="str">
        <f>MID('paste from garc here'!$C$1,1+(('table for research'!$B340-1)*36+HEX2DEC('table for research'!W$1))*2,2)</f>
        <v>00</v>
      </c>
      <c r="X340" t="str">
        <f>MID('paste from garc here'!$C$1,1+(('table for research'!$B340-1)*36+HEX2DEC('table for research'!X$1))*2,2)</f>
        <v>00</v>
      </c>
      <c r="Y340" t="str">
        <f>MID('paste from garc here'!$C$1,1+(('table for research'!$B340-1)*36+HEX2DEC('table for research'!Y$1))*2,2)</f>
        <v>00</v>
      </c>
      <c r="Z340" t="str">
        <f>MID('paste from garc here'!$C$1,1+(('table for research'!$B340-1)*36+HEX2DEC('table for research'!Z$1))*2,2)</f>
        <v>00</v>
      </c>
      <c r="AA340" t="str">
        <f>MID('paste from garc here'!$C$1,1+(('table for research'!$B340-1)*36+HEX2DEC('table for research'!AA$1))*2,2)</f>
        <v>00</v>
      </c>
      <c r="AB340" t="str">
        <f>MID('paste from garc here'!$C$1,1+(('table for research'!$B340-1)*36+HEX2DEC('table for research'!AB$1))*2,2)</f>
        <v>00</v>
      </c>
      <c r="AC340" t="str">
        <f>MID('paste from garc here'!$C$1,1+(('table for research'!$B340-1)*36+HEX2DEC('table for research'!AC$1))*2,2)</f>
        <v>00</v>
      </c>
      <c r="AD340" t="str">
        <f>MID('paste from garc here'!$C$1,1+(('table for research'!$B340-1)*36+HEX2DEC('table for research'!AD$1))*2,2)</f>
        <v>00</v>
      </c>
      <c r="AE340" t="str">
        <f>MID('paste from garc here'!$C$1,1+(('table for research'!$B340-1)*36+HEX2DEC('table for research'!AE$1))*2,2)</f>
        <v>00</v>
      </c>
      <c r="AF340" t="str">
        <f>MID('paste from garc here'!$C$1,1+(('table for research'!$B340-1)*36+HEX2DEC('table for research'!AF$1))*2,2)</f>
        <v>00</v>
      </c>
      <c r="AG340" t="str">
        <f>MID('paste from garc here'!$C$1,1+(('table for research'!$B340-1)*36+HEX2DEC('table for research'!AG$1))*2,2)</f>
        <v>00</v>
      </c>
      <c r="AH340" t="str">
        <f>MID('paste from garc here'!$C$1,1+(('table for research'!$B340-1)*36+HEX2DEC('table for research'!AH$1))*2,2)</f>
        <v>00</v>
      </c>
      <c r="AI340" t="str">
        <f>MID('paste from garc here'!$C$1,1+(('table for research'!$B340-1)*36+HEX2DEC('table for research'!AI$1))*2,2)</f>
        <v>00</v>
      </c>
      <c r="AJ340" t="str">
        <f>MID('paste from garc here'!$C$1,1+(('table for research'!$B340-1)*36+HEX2DEC('table for research'!AJ$1))*2,2)</f>
        <v>00</v>
      </c>
      <c r="AK340" t="str">
        <f>MID('paste from garc here'!$C$1,1+(('table for research'!$B340-1)*36+HEX2DEC('table for research'!AK$1))*2,2)</f>
        <v>00</v>
      </c>
      <c r="AL340" t="str">
        <f>MID('paste from garc here'!$C$1,1+(('table for research'!$B340-1)*36+HEX2DEC('table for research'!AL$1))*2,2)</f>
        <v>00</v>
      </c>
      <c r="AM340" t="str">
        <f>MID('paste from garc here'!$C$1,1+(('table for research'!$B340-1)*36+HEX2DEC('table for research'!AM$1))*2,2)</f>
        <v>00</v>
      </c>
      <c r="AN340" t="str">
        <f>MID('paste from garc here'!$C$1,1+(('table for research'!$B340-1)*36+HEX2DEC('table for research'!AN$1))*2,2)</f>
        <v>00</v>
      </c>
      <c r="AO340" t="str">
        <f>MID('paste from garc here'!$C$1,1+(('table for research'!$B340-1)*36+HEX2DEC('table for research'!AO$1))*2,2)</f>
        <v>00</v>
      </c>
    </row>
    <row r="341" spans="1:41" x14ac:dyDescent="0.4">
      <c r="A341" t="s">
        <v>344</v>
      </c>
      <c r="B341">
        <f>B340+1</f>
        <v>339</v>
      </c>
      <c r="C341" t="str">
        <f>MID('paste from garc here'!$C$1,1+(('table for research'!$B341-1)*36+HEX2DEC('table for research'!C$1))*2,2)</f>
        <v>C4</v>
      </c>
      <c r="D341" t="str">
        <f>MID('paste from garc here'!$C$1,1+(('table for research'!$B341-1)*36+HEX2DEC('table for research'!D$1))*2,2)</f>
        <v>09</v>
      </c>
      <c r="E341" t="str">
        <f>MID('paste from garc here'!$C$1,1+(('table for research'!$B341-1)*36+HEX2DEC('table for research'!E$1))*2,2)</f>
        <v>00</v>
      </c>
      <c r="F341" t="str">
        <f>MID('paste from garc here'!$C$1,1+(('table for research'!$B341-1)*36+HEX2DEC('table for research'!F$1))*2,2)</f>
        <v>00</v>
      </c>
      <c r="G341" t="str">
        <f>MID('paste from garc here'!$C$1,1+(('table for research'!$B341-1)*36+HEX2DEC('table for research'!G$1))*2,2)</f>
        <v>00</v>
      </c>
      <c r="H341" t="str">
        <f>MID('paste from garc here'!$C$1,1+(('table for research'!$B341-1)*36+HEX2DEC('table for research'!H$1))*2,2)</f>
        <v>00</v>
      </c>
      <c r="I341" t="str">
        <f>MID('paste from garc here'!$C$1,1+(('table for research'!$B341-1)*36+HEX2DEC('table for research'!I$1))*2,2)</f>
        <v>00</v>
      </c>
      <c r="J341" t="str">
        <f>MID('paste from garc here'!$C$1,1+(('table for research'!$B341-1)*36+HEX2DEC('table for research'!J$1))*2,2)</f>
        <v>00</v>
      </c>
      <c r="K341" t="str">
        <f>DEC2HEX(_xlfn.BITAND(HEX2DEC(MID('paste from garc here'!$C$1,1+(('table for research'!$B341-1)*36+HEX2DEC(8))*2,2)),31),2)</f>
        <v>1F</v>
      </c>
      <c r="L341" t="str">
        <f>DEC2HEX(_xlfn.BITAND(HEX2DEC(MID('paste from garc here'!$C$1,1+(('table for research'!$B341-1)*36+HEX2DEC(8))*2,2)),32),2)</f>
        <v>20</v>
      </c>
      <c r="M341" t="str">
        <f>DEC2HEX(_xlfn.BITAND(HEX2DEC(MID('paste from garc here'!$C$1,1+(('table for research'!$B341-1)*36+HEX2DEC(8))*2,2)),64),2)</f>
        <v>00</v>
      </c>
      <c r="N341" t="str">
        <f>DEC2HEX(_xlfn.BITRSHIFT(_xlfn.BITAND(HEX2DEC(MID('paste from garc here'!$C$1,1+(('table for research'!$B341-1)*36+HEX2DEC(9))*2,2)&amp;MID('paste from garc here'!$C$1,1+(('table for research'!$B341-1)*36+HEX2DEC(8))*2,2)),1920),7),2)</f>
        <v>02</v>
      </c>
      <c r="O341" t="str">
        <f>DEC2HEX(_xlfn.BITRSHIFT(HEX2DEC(MID('paste from garc here'!$C$1,1+(('table for research'!$B341-1)*36+HEX2DEC(9))*2,2)&amp;MID('paste from garc here'!$C$1,1+(('table for research'!$B341-1)*36+HEX2DEC(8))*2,2)),11),2)</f>
        <v>00</v>
      </c>
      <c r="P341" t="str">
        <f>MID('paste from garc here'!$C$1,1+(('table for research'!$B341-1)*36+HEX2DEC('table for research'!P$1))*2,2)</f>
        <v>02</v>
      </c>
      <c r="Q341" t="str">
        <f>MID('paste from garc here'!$C$1,1+(('table for research'!$B341-1)*36+HEX2DEC('table for research'!Q$1))*2,2)</f>
        <v>00</v>
      </c>
      <c r="R341" t="str">
        <f>MID('paste from garc here'!$C$1,1+(('table for research'!$B341-1)*36+HEX2DEC('table for research'!R$1))*2,2)</f>
        <v>00</v>
      </c>
      <c r="S341" t="str">
        <f>MID('paste from garc here'!$C$1,1+(('table for research'!$B341-1)*36+HEX2DEC('table for research'!S$1))*2,2)</f>
        <v>06</v>
      </c>
      <c r="T341" t="str">
        <f>MID('paste from garc here'!$C$1,1+(('table for research'!$B341-1)*36+HEX2DEC('table for research'!T$1))*2,2)</f>
        <v>00</v>
      </c>
      <c r="U341" t="str">
        <f>MID('paste from garc here'!$C$1,1+(('table for research'!$B341-1)*36+HEX2DEC('table for research'!U$1))*2,2)</f>
        <v>0B</v>
      </c>
      <c r="V341" t="str">
        <f>MID('paste from garc here'!$C$1,1+(('table for research'!$B341-1)*36+HEX2DEC('table for research'!V$1))*2,2)</f>
        <v>00</v>
      </c>
      <c r="W341" t="str">
        <f>MID('paste from garc here'!$C$1,1+(('table for research'!$B341-1)*36+HEX2DEC('table for research'!W$1))*2,2)</f>
        <v>00</v>
      </c>
      <c r="X341" t="str">
        <f>MID('paste from garc here'!$C$1,1+(('table for research'!$B341-1)*36+HEX2DEC('table for research'!X$1))*2,2)</f>
        <v>00</v>
      </c>
      <c r="Y341" t="str">
        <f>MID('paste from garc here'!$C$1,1+(('table for research'!$B341-1)*36+HEX2DEC('table for research'!Y$1))*2,2)</f>
        <v>00</v>
      </c>
      <c r="Z341" t="str">
        <f>MID('paste from garc here'!$C$1,1+(('table for research'!$B341-1)*36+HEX2DEC('table for research'!Z$1))*2,2)</f>
        <v>00</v>
      </c>
      <c r="AA341" t="str">
        <f>MID('paste from garc here'!$C$1,1+(('table for research'!$B341-1)*36+HEX2DEC('table for research'!AA$1))*2,2)</f>
        <v>00</v>
      </c>
      <c r="AB341" t="str">
        <f>MID('paste from garc here'!$C$1,1+(('table for research'!$B341-1)*36+HEX2DEC('table for research'!AB$1))*2,2)</f>
        <v>00</v>
      </c>
      <c r="AC341" t="str">
        <f>MID('paste from garc here'!$C$1,1+(('table for research'!$B341-1)*36+HEX2DEC('table for research'!AC$1))*2,2)</f>
        <v>00</v>
      </c>
      <c r="AD341" t="str">
        <f>MID('paste from garc here'!$C$1,1+(('table for research'!$B341-1)*36+HEX2DEC('table for research'!AD$1))*2,2)</f>
        <v>00</v>
      </c>
      <c r="AE341" t="str">
        <f>MID('paste from garc here'!$C$1,1+(('table for research'!$B341-1)*36+HEX2DEC('table for research'!AE$1))*2,2)</f>
        <v>00</v>
      </c>
      <c r="AF341" t="str">
        <f>MID('paste from garc here'!$C$1,1+(('table for research'!$B341-1)*36+HEX2DEC('table for research'!AF$1))*2,2)</f>
        <v>00</v>
      </c>
      <c r="AG341" t="str">
        <f>MID('paste from garc here'!$C$1,1+(('table for research'!$B341-1)*36+HEX2DEC('table for research'!AG$1))*2,2)</f>
        <v>00</v>
      </c>
      <c r="AH341" t="str">
        <f>MID('paste from garc here'!$C$1,1+(('table for research'!$B341-1)*36+HEX2DEC('table for research'!AH$1))*2,2)</f>
        <v>00</v>
      </c>
      <c r="AI341" t="str">
        <f>MID('paste from garc here'!$C$1,1+(('table for research'!$B341-1)*36+HEX2DEC('table for research'!AI$1))*2,2)</f>
        <v>00</v>
      </c>
      <c r="AJ341" t="str">
        <f>MID('paste from garc here'!$C$1,1+(('table for research'!$B341-1)*36+HEX2DEC('table for research'!AJ$1))*2,2)</f>
        <v>00</v>
      </c>
      <c r="AK341" t="str">
        <f>MID('paste from garc here'!$C$1,1+(('table for research'!$B341-1)*36+HEX2DEC('table for research'!AK$1))*2,2)</f>
        <v>00</v>
      </c>
      <c r="AL341" t="str">
        <f>MID('paste from garc here'!$C$1,1+(('table for research'!$B341-1)*36+HEX2DEC('table for research'!AL$1))*2,2)</f>
        <v>00</v>
      </c>
      <c r="AM341" t="str">
        <f>MID('paste from garc here'!$C$1,1+(('table for research'!$B341-1)*36+HEX2DEC('table for research'!AM$1))*2,2)</f>
        <v>00</v>
      </c>
      <c r="AN341" t="str">
        <f>MID('paste from garc here'!$C$1,1+(('table for research'!$B341-1)*36+HEX2DEC('table for research'!AN$1))*2,2)</f>
        <v>00</v>
      </c>
      <c r="AO341" t="str">
        <f>MID('paste from garc here'!$C$1,1+(('table for research'!$B341-1)*36+HEX2DEC('table for research'!AO$1))*2,2)</f>
        <v>00</v>
      </c>
    </row>
    <row r="342" spans="1:41" x14ac:dyDescent="0.4">
      <c r="A342" t="s">
        <v>345</v>
      </c>
      <c r="B342">
        <f>B341+1</f>
        <v>340</v>
      </c>
      <c r="C342" t="str">
        <f>MID('paste from garc here'!$C$1,1+(('table for research'!$B342-1)*36+HEX2DEC('table for research'!C$1))*2,2)</f>
        <v>E8</v>
      </c>
      <c r="D342" t="str">
        <f>MID('paste from garc here'!$C$1,1+(('table for research'!$B342-1)*36+HEX2DEC('table for research'!D$1))*2,2)</f>
        <v>03</v>
      </c>
      <c r="E342" t="str">
        <f>MID('paste from garc here'!$C$1,1+(('table for research'!$B342-1)*36+HEX2DEC('table for research'!E$1))*2,2)</f>
        <v>00</v>
      </c>
      <c r="F342" t="str">
        <f>MID('paste from garc here'!$C$1,1+(('table for research'!$B342-1)*36+HEX2DEC('table for research'!F$1))*2,2)</f>
        <v>00</v>
      </c>
      <c r="G342" t="str">
        <f>MID('paste from garc here'!$C$1,1+(('table for research'!$B342-1)*36+HEX2DEC('table for research'!G$1))*2,2)</f>
        <v>00</v>
      </c>
      <c r="H342" t="str">
        <f>MID('paste from garc here'!$C$1,1+(('table for research'!$B342-1)*36+HEX2DEC('table for research'!H$1))*2,2)</f>
        <v>00</v>
      </c>
      <c r="I342" t="str">
        <f>MID('paste from garc here'!$C$1,1+(('table for research'!$B342-1)*36+HEX2DEC('table for research'!I$1))*2,2)</f>
        <v>00</v>
      </c>
      <c r="J342" t="str">
        <f>MID('paste from garc here'!$C$1,1+(('table for research'!$B342-1)*36+HEX2DEC('table for research'!J$1))*2,2)</f>
        <v>00</v>
      </c>
      <c r="K342" t="str">
        <f>DEC2HEX(_xlfn.BITAND(HEX2DEC(MID('paste from garc here'!$C$1,1+(('table for research'!$B342-1)*36+HEX2DEC(8))*2,2)),31),2)</f>
        <v>1F</v>
      </c>
      <c r="L342" t="str">
        <f>DEC2HEX(_xlfn.BITAND(HEX2DEC(MID('paste from garc here'!$C$1,1+(('table for research'!$B342-1)*36+HEX2DEC(8))*2,2)),32),2)</f>
        <v>20</v>
      </c>
      <c r="M342" t="str">
        <f>DEC2HEX(_xlfn.BITAND(HEX2DEC(MID('paste from garc here'!$C$1,1+(('table for research'!$B342-1)*36+HEX2DEC(8))*2,2)),64),2)</f>
        <v>00</v>
      </c>
      <c r="N342" t="str">
        <f>DEC2HEX(_xlfn.BITRSHIFT(_xlfn.BITAND(HEX2DEC(MID('paste from garc here'!$C$1,1+(('table for research'!$B342-1)*36+HEX2DEC(9))*2,2)&amp;MID('paste from garc here'!$C$1,1+(('table for research'!$B342-1)*36+HEX2DEC(8))*2,2)),1920),7),2)</f>
        <v>02</v>
      </c>
      <c r="O342" t="str">
        <f>DEC2HEX(_xlfn.BITRSHIFT(HEX2DEC(MID('paste from garc here'!$C$1,1+(('table for research'!$B342-1)*36+HEX2DEC(9))*2,2)&amp;MID('paste from garc here'!$C$1,1+(('table for research'!$B342-1)*36+HEX2DEC(8))*2,2)),11),2)</f>
        <v>00</v>
      </c>
      <c r="P342" t="str">
        <f>MID('paste from garc here'!$C$1,1+(('table for research'!$B342-1)*36+HEX2DEC('table for research'!P$1))*2,2)</f>
        <v>02</v>
      </c>
      <c r="Q342" t="str">
        <f>MID('paste from garc here'!$C$1,1+(('table for research'!$B342-1)*36+HEX2DEC('table for research'!Q$1))*2,2)</f>
        <v>00</v>
      </c>
      <c r="R342" t="str">
        <f>MID('paste from garc here'!$C$1,1+(('table for research'!$B342-1)*36+HEX2DEC('table for research'!R$1))*2,2)</f>
        <v>00</v>
      </c>
      <c r="S342" t="str">
        <f>MID('paste from garc here'!$C$1,1+(('table for research'!$B342-1)*36+HEX2DEC('table for research'!S$1))*2,2)</f>
        <v>06</v>
      </c>
      <c r="T342" t="str">
        <f>MID('paste from garc here'!$C$1,1+(('table for research'!$B342-1)*36+HEX2DEC('table for research'!T$1))*2,2)</f>
        <v>00</v>
      </c>
      <c r="U342" t="str">
        <f>MID('paste from garc here'!$C$1,1+(('table for research'!$B342-1)*36+HEX2DEC('table for research'!U$1))*2,2)</f>
        <v>0C</v>
      </c>
      <c r="V342" t="str">
        <f>MID('paste from garc here'!$C$1,1+(('table for research'!$B342-1)*36+HEX2DEC('table for research'!V$1))*2,2)</f>
        <v>00</v>
      </c>
      <c r="W342" t="str">
        <f>MID('paste from garc here'!$C$1,1+(('table for research'!$B342-1)*36+HEX2DEC('table for research'!W$1))*2,2)</f>
        <v>00</v>
      </c>
      <c r="X342" t="str">
        <f>MID('paste from garc here'!$C$1,1+(('table for research'!$B342-1)*36+HEX2DEC('table for research'!X$1))*2,2)</f>
        <v>00</v>
      </c>
      <c r="Y342" t="str">
        <f>MID('paste from garc here'!$C$1,1+(('table for research'!$B342-1)*36+HEX2DEC('table for research'!Y$1))*2,2)</f>
        <v>00</v>
      </c>
      <c r="Z342" t="str">
        <f>MID('paste from garc here'!$C$1,1+(('table for research'!$B342-1)*36+HEX2DEC('table for research'!Z$1))*2,2)</f>
        <v>00</v>
      </c>
      <c r="AA342" t="str">
        <f>MID('paste from garc here'!$C$1,1+(('table for research'!$B342-1)*36+HEX2DEC('table for research'!AA$1))*2,2)</f>
        <v>00</v>
      </c>
      <c r="AB342" t="str">
        <f>MID('paste from garc here'!$C$1,1+(('table for research'!$B342-1)*36+HEX2DEC('table for research'!AB$1))*2,2)</f>
        <v>00</v>
      </c>
      <c r="AC342" t="str">
        <f>MID('paste from garc here'!$C$1,1+(('table for research'!$B342-1)*36+HEX2DEC('table for research'!AC$1))*2,2)</f>
        <v>00</v>
      </c>
      <c r="AD342" t="str">
        <f>MID('paste from garc here'!$C$1,1+(('table for research'!$B342-1)*36+HEX2DEC('table for research'!AD$1))*2,2)</f>
        <v>00</v>
      </c>
      <c r="AE342" t="str">
        <f>MID('paste from garc here'!$C$1,1+(('table for research'!$B342-1)*36+HEX2DEC('table for research'!AE$1))*2,2)</f>
        <v>00</v>
      </c>
      <c r="AF342" t="str">
        <f>MID('paste from garc here'!$C$1,1+(('table for research'!$B342-1)*36+HEX2DEC('table for research'!AF$1))*2,2)</f>
        <v>00</v>
      </c>
      <c r="AG342" t="str">
        <f>MID('paste from garc here'!$C$1,1+(('table for research'!$B342-1)*36+HEX2DEC('table for research'!AG$1))*2,2)</f>
        <v>00</v>
      </c>
      <c r="AH342" t="str">
        <f>MID('paste from garc here'!$C$1,1+(('table for research'!$B342-1)*36+HEX2DEC('table for research'!AH$1))*2,2)</f>
        <v>00</v>
      </c>
      <c r="AI342" t="str">
        <f>MID('paste from garc here'!$C$1,1+(('table for research'!$B342-1)*36+HEX2DEC('table for research'!AI$1))*2,2)</f>
        <v>00</v>
      </c>
      <c r="AJ342" t="str">
        <f>MID('paste from garc here'!$C$1,1+(('table for research'!$B342-1)*36+HEX2DEC('table for research'!AJ$1))*2,2)</f>
        <v>00</v>
      </c>
      <c r="AK342" t="str">
        <f>MID('paste from garc here'!$C$1,1+(('table for research'!$B342-1)*36+HEX2DEC('table for research'!AK$1))*2,2)</f>
        <v>00</v>
      </c>
      <c r="AL342" t="str">
        <f>MID('paste from garc here'!$C$1,1+(('table for research'!$B342-1)*36+HEX2DEC('table for research'!AL$1))*2,2)</f>
        <v>00</v>
      </c>
      <c r="AM342" t="str">
        <f>MID('paste from garc here'!$C$1,1+(('table for research'!$B342-1)*36+HEX2DEC('table for research'!AM$1))*2,2)</f>
        <v>00</v>
      </c>
      <c r="AN342" t="str">
        <f>MID('paste from garc here'!$C$1,1+(('table for research'!$B342-1)*36+HEX2DEC('table for research'!AN$1))*2,2)</f>
        <v>00</v>
      </c>
      <c r="AO342" t="str">
        <f>MID('paste from garc here'!$C$1,1+(('table for research'!$B342-1)*36+HEX2DEC('table for research'!AO$1))*2,2)</f>
        <v>00</v>
      </c>
    </row>
    <row r="343" spans="1:41" x14ac:dyDescent="0.4">
      <c r="A343" t="s">
        <v>346</v>
      </c>
      <c r="B343">
        <f>B342+1</f>
        <v>341</v>
      </c>
      <c r="C343" t="str">
        <f>MID('paste from garc here'!$C$1,1+(('table for research'!$B343-1)*36+HEX2DEC('table for research'!C$1))*2,2)</f>
        <v>88</v>
      </c>
      <c r="D343" t="str">
        <f>MID('paste from garc here'!$C$1,1+(('table for research'!$B343-1)*36+HEX2DEC('table for research'!D$1))*2,2)</f>
        <v>13</v>
      </c>
      <c r="E343" t="str">
        <f>MID('paste from garc here'!$C$1,1+(('table for research'!$B343-1)*36+HEX2DEC('table for research'!E$1))*2,2)</f>
        <v>00</v>
      </c>
      <c r="F343" t="str">
        <f>MID('paste from garc here'!$C$1,1+(('table for research'!$B343-1)*36+HEX2DEC('table for research'!F$1))*2,2)</f>
        <v>00</v>
      </c>
      <c r="G343" t="str">
        <f>MID('paste from garc here'!$C$1,1+(('table for research'!$B343-1)*36+HEX2DEC('table for research'!G$1))*2,2)</f>
        <v>00</v>
      </c>
      <c r="H343" t="str">
        <f>MID('paste from garc here'!$C$1,1+(('table for research'!$B343-1)*36+HEX2DEC('table for research'!H$1))*2,2)</f>
        <v>00</v>
      </c>
      <c r="I343" t="str">
        <f>MID('paste from garc here'!$C$1,1+(('table for research'!$B343-1)*36+HEX2DEC('table for research'!I$1))*2,2)</f>
        <v>00</v>
      </c>
      <c r="J343" t="str">
        <f>MID('paste from garc here'!$C$1,1+(('table for research'!$B343-1)*36+HEX2DEC('table for research'!J$1))*2,2)</f>
        <v>00</v>
      </c>
      <c r="K343" t="str">
        <f>DEC2HEX(_xlfn.BITAND(HEX2DEC(MID('paste from garc here'!$C$1,1+(('table for research'!$B343-1)*36+HEX2DEC(8))*2,2)),31),2)</f>
        <v>1F</v>
      </c>
      <c r="L343" t="str">
        <f>DEC2HEX(_xlfn.BITAND(HEX2DEC(MID('paste from garc here'!$C$1,1+(('table for research'!$B343-1)*36+HEX2DEC(8))*2,2)),32),2)</f>
        <v>20</v>
      </c>
      <c r="M343" t="str">
        <f>DEC2HEX(_xlfn.BITAND(HEX2DEC(MID('paste from garc here'!$C$1,1+(('table for research'!$B343-1)*36+HEX2DEC(8))*2,2)),64),2)</f>
        <v>00</v>
      </c>
      <c r="N343" t="str">
        <f>DEC2HEX(_xlfn.BITRSHIFT(_xlfn.BITAND(HEX2DEC(MID('paste from garc here'!$C$1,1+(('table for research'!$B343-1)*36+HEX2DEC(9))*2,2)&amp;MID('paste from garc here'!$C$1,1+(('table for research'!$B343-1)*36+HEX2DEC(8))*2,2)),1920),7),2)</f>
        <v>02</v>
      </c>
      <c r="O343" t="str">
        <f>DEC2HEX(_xlfn.BITRSHIFT(HEX2DEC(MID('paste from garc here'!$C$1,1+(('table for research'!$B343-1)*36+HEX2DEC(9))*2,2)&amp;MID('paste from garc here'!$C$1,1+(('table for research'!$B343-1)*36+HEX2DEC(8))*2,2)),11),2)</f>
        <v>00</v>
      </c>
      <c r="P343" t="str">
        <f>MID('paste from garc here'!$C$1,1+(('table for research'!$B343-1)*36+HEX2DEC('table for research'!P$1))*2,2)</f>
        <v>02</v>
      </c>
      <c r="Q343" t="str">
        <f>MID('paste from garc here'!$C$1,1+(('table for research'!$B343-1)*36+HEX2DEC('table for research'!Q$1))*2,2)</f>
        <v>00</v>
      </c>
      <c r="R343" t="str">
        <f>MID('paste from garc here'!$C$1,1+(('table for research'!$B343-1)*36+HEX2DEC('table for research'!R$1))*2,2)</f>
        <v>00</v>
      </c>
      <c r="S343" t="str">
        <f>MID('paste from garc here'!$C$1,1+(('table for research'!$B343-1)*36+HEX2DEC('table for research'!S$1))*2,2)</f>
        <v>06</v>
      </c>
      <c r="T343" t="str">
        <f>MID('paste from garc here'!$C$1,1+(('table for research'!$B343-1)*36+HEX2DEC('table for research'!T$1))*2,2)</f>
        <v>00</v>
      </c>
      <c r="U343" t="str">
        <f>MID('paste from garc here'!$C$1,1+(('table for research'!$B343-1)*36+HEX2DEC('table for research'!U$1))*2,2)</f>
        <v>0D</v>
      </c>
      <c r="V343" t="str">
        <f>MID('paste from garc here'!$C$1,1+(('table for research'!$B343-1)*36+HEX2DEC('table for research'!V$1))*2,2)</f>
        <v>00</v>
      </c>
      <c r="W343" t="str">
        <f>MID('paste from garc here'!$C$1,1+(('table for research'!$B343-1)*36+HEX2DEC('table for research'!W$1))*2,2)</f>
        <v>00</v>
      </c>
      <c r="X343" t="str">
        <f>MID('paste from garc here'!$C$1,1+(('table for research'!$B343-1)*36+HEX2DEC('table for research'!X$1))*2,2)</f>
        <v>00</v>
      </c>
      <c r="Y343" t="str">
        <f>MID('paste from garc here'!$C$1,1+(('table for research'!$B343-1)*36+HEX2DEC('table for research'!Y$1))*2,2)</f>
        <v>00</v>
      </c>
      <c r="Z343" t="str">
        <f>MID('paste from garc here'!$C$1,1+(('table for research'!$B343-1)*36+HEX2DEC('table for research'!Z$1))*2,2)</f>
        <v>00</v>
      </c>
      <c r="AA343" t="str">
        <f>MID('paste from garc here'!$C$1,1+(('table for research'!$B343-1)*36+HEX2DEC('table for research'!AA$1))*2,2)</f>
        <v>00</v>
      </c>
      <c r="AB343" t="str">
        <f>MID('paste from garc here'!$C$1,1+(('table for research'!$B343-1)*36+HEX2DEC('table for research'!AB$1))*2,2)</f>
        <v>00</v>
      </c>
      <c r="AC343" t="str">
        <f>MID('paste from garc here'!$C$1,1+(('table for research'!$B343-1)*36+HEX2DEC('table for research'!AC$1))*2,2)</f>
        <v>00</v>
      </c>
      <c r="AD343" t="str">
        <f>MID('paste from garc here'!$C$1,1+(('table for research'!$B343-1)*36+HEX2DEC('table for research'!AD$1))*2,2)</f>
        <v>00</v>
      </c>
      <c r="AE343" t="str">
        <f>MID('paste from garc here'!$C$1,1+(('table for research'!$B343-1)*36+HEX2DEC('table for research'!AE$1))*2,2)</f>
        <v>00</v>
      </c>
      <c r="AF343" t="str">
        <f>MID('paste from garc here'!$C$1,1+(('table for research'!$B343-1)*36+HEX2DEC('table for research'!AF$1))*2,2)</f>
        <v>00</v>
      </c>
      <c r="AG343" t="str">
        <f>MID('paste from garc here'!$C$1,1+(('table for research'!$B343-1)*36+HEX2DEC('table for research'!AG$1))*2,2)</f>
        <v>00</v>
      </c>
      <c r="AH343" t="str">
        <f>MID('paste from garc here'!$C$1,1+(('table for research'!$B343-1)*36+HEX2DEC('table for research'!AH$1))*2,2)</f>
        <v>00</v>
      </c>
      <c r="AI343" t="str">
        <f>MID('paste from garc here'!$C$1,1+(('table for research'!$B343-1)*36+HEX2DEC('table for research'!AI$1))*2,2)</f>
        <v>00</v>
      </c>
      <c r="AJ343" t="str">
        <f>MID('paste from garc here'!$C$1,1+(('table for research'!$B343-1)*36+HEX2DEC('table for research'!AJ$1))*2,2)</f>
        <v>00</v>
      </c>
      <c r="AK343" t="str">
        <f>MID('paste from garc here'!$C$1,1+(('table for research'!$B343-1)*36+HEX2DEC('table for research'!AK$1))*2,2)</f>
        <v>00</v>
      </c>
      <c r="AL343" t="str">
        <f>MID('paste from garc here'!$C$1,1+(('table for research'!$B343-1)*36+HEX2DEC('table for research'!AL$1))*2,2)</f>
        <v>00</v>
      </c>
      <c r="AM343" t="str">
        <f>MID('paste from garc here'!$C$1,1+(('table for research'!$B343-1)*36+HEX2DEC('table for research'!AM$1))*2,2)</f>
        <v>00</v>
      </c>
      <c r="AN343" t="str">
        <f>MID('paste from garc here'!$C$1,1+(('table for research'!$B343-1)*36+HEX2DEC('table for research'!AN$1))*2,2)</f>
        <v>00</v>
      </c>
      <c r="AO343" t="str">
        <f>MID('paste from garc here'!$C$1,1+(('table for research'!$B343-1)*36+HEX2DEC('table for research'!AO$1))*2,2)</f>
        <v>00</v>
      </c>
    </row>
    <row r="344" spans="1:41" x14ac:dyDescent="0.4">
      <c r="A344" t="s">
        <v>347</v>
      </c>
      <c r="B344">
        <f>B343+1</f>
        <v>342</v>
      </c>
      <c r="C344" t="str">
        <f>MID('paste from garc here'!$C$1,1+(('table for research'!$B344-1)*36+HEX2DEC('table for research'!C$1))*2,2)</f>
        <v>88</v>
      </c>
      <c r="D344" t="str">
        <f>MID('paste from garc here'!$C$1,1+(('table for research'!$B344-1)*36+HEX2DEC('table for research'!D$1))*2,2)</f>
        <v>13</v>
      </c>
      <c r="E344" t="str">
        <f>MID('paste from garc here'!$C$1,1+(('table for research'!$B344-1)*36+HEX2DEC('table for research'!E$1))*2,2)</f>
        <v>00</v>
      </c>
      <c r="F344" t="str">
        <f>MID('paste from garc here'!$C$1,1+(('table for research'!$B344-1)*36+HEX2DEC('table for research'!F$1))*2,2)</f>
        <v>00</v>
      </c>
      <c r="G344" t="str">
        <f>MID('paste from garc here'!$C$1,1+(('table for research'!$B344-1)*36+HEX2DEC('table for research'!G$1))*2,2)</f>
        <v>00</v>
      </c>
      <c r="H344" t="str">
        <f>MID('paste from garc here'!$C$1,1+(('table for research'!$B344-1)*36+HEX2DEC('table for research'!H$1))*2,2)</f>
        <v>00</v>
      </c>
      <c r="I344" t="str">
        <f>MID('paste from garc here'!$C$1,1+(('table for research'!$B344-1)*36+HEX2DEC('table for research'!I$1))*2,2)</f>
        <v>00</v>
      </c>
      <c r="J344" t="str">
        <f>MID('paste from garc here'!$C$1,1+(('table for research'!$B344-1)*36+HEX2DEC('table for research'!J$1))*2,2)</f>
        <v>00</v>
      </c>
      <c r="K344" t="str">
        <f>DEC2HEX(_xlfn.BITAND(HEX2DEC(MID('paste from garc here'!$C$1,1+(('table for research'!$B344-1)*36+HEX2DEC(8))*2,2)),31),2)</f>
        <v>1F</v>
      </c>
      <c r="L344" t="str">
        <f>DEC2HEX(_xlfn.BITAND(HEX2DEC(MID('paste from garc here'!$C$1,1+(('table for research'!$B344-1)*36+HEX2DEC(8))*2,2)),32),2)</f>
        <v>20</v>
      </c>
      <c r="M344" t="str">
        <f>DEC2HEX(_xlfn.BITAND(HEX2DEC(MID('paste from garc here'!$C$1,1+(('table for research'!$B344-1)*36+HEX2DEC(8))*2,2)),64),2)</f>
        <v>00</v>
      </c>
      <c r="N344" t="str">
        <f>DEC2HEX(_xlfn.BITRSHIFT(_xlfn.BITAND(HEX2DEC(MID('paste from garc here'!$C$1,1+(('table for research'!$B344-1)*36+HEX2DEC(9))*2,2)&amp;MID('paste from garc here'!$C$1,1+(('table for research'!$B344-1)*36+HEX2DEC(8))*2,2)),1920),7),2)</f>
        <v>02</v>
      </c>
      <c r="O344" t="str">
        <f>DEC2HEX(_xlfn.BITRSHIFT(HEX2DEC(MID('paste from garc here'!$C$1,1+(('table for research'!$B344-1)*36+HEX2DEC(9))*2,2)&amp;MID('paste from garc here'!$C$1,1+(('table for research'!$B344-1)*36+HEX2DEC(8))*2,2)),11),2)</f>
        <v>00</v>
      </c>
      <c r="P344" t="str">
        <f>MID('paste from garc here'!$C$1,1+(('table for research'!$B344-1)*36+HEX2DEC('table for research'!P$1))*2,2)</f>
        <v>02</v>
      </c>
      <c r="Q344" t="str">
        <f>MID('paste from garc here'!$C$1,1+(('table for research'!$B344-1)*36+HEX2DEC('table for research'!Q$1))*2,2)</f>
        <v>00</v>
      </c>
      <c r="R344" t="str">
        <f>MID('paste from garc here'!$C$1,1+(('table for research'!$B344-1)*36+HEX2DEC('table for research'!R$1))*2,2)</f>
        <v>00</v>
      </c>
      <c r="S344" t="str">
        <f>MID('paste from garc here'!$C$1,1+(('table for research'!$B344-1)*36+HEX2DEC('table for research'!S$1))*2,2)</f>
        <v>06</v>
      </c>
      <c r="T344" t="str">
        <f>MID('paste from garc here'!$C$1,1+(('table for research'!$B344-1)*36+HEX2DEC('table for research'!T$1))*2,2)</f>
        <v>00</v>
      </c>
      <c r="U344" t="str">
        <f>MID('paste from garc here'!$C$1,1+(('table for research'!$B344-1)*36+HEX2DEC('table for research'!U$1))*2,2)</f>
        <v>0E</v>
      </c>
      <c r="V344" t="str">
        <f>MID('paste from garc here'!$C$1,1+(('table for research'!$B344-1)*36+HEX2DEC('table for research'!V$1))*2,2)</f>
        <v>00</v>
      </c>
      <c r="W344" t="str">
        <f>MID('paste from garc here'!$C$1,1+(('table for research'!$B344-1)*36+HEX2DEC('table for research'!W$1))*2,2)</f>
        <v>00</v>
      </c>
      <c r="X344" t="str">
        <f>MID('paste from garc here'!$C$1,1+(('table for research'!$B344-1)*36+HEX2DEC('table for research'!X$1))*2,2)</f>
        <v>00</v>
      </c>
      <c r="Y344" t="str">
        <f>MID('paste from garc here'!$C$1,1+(('table for research'!$B344-1)*36+HEX2DEC('table for research'!Y$1))*2,2)</f>
        <v>00</v>
      </c>
      <c r="Z344" t="str">
        <f>MID('paste from garc here'!$C$1,1+(('table for research'!$B344-1)*36+HEX2DEC('table for research'!Z$1))*2,2)</f>
        <v>00</v>
      </c>
      <c r="AA344" t="str">
        <f>MID('paste from garc here'!$C$1,1+(('table for research'!$B344-1)*36+HEX2DEC('table for research'!AA$1))*2,2)</f>
        <v>00</v>
      </c>
      <c r="AB344" t="str">
        <f>MID('paste from garc here'!$C$1,1+(('table for research'!$B344-1)*36+HEX2DEC('table for research'!AB$1))*2,2)</f>
        <v>00</v>
      </c>
      <c r="AC344" t="str">
        <f>MID('paste from garc here'!$C$1,1+(('table for research'!$B344-1)*36+HEX2DEC('table for research'!AC$1))*2,2)</f>
        <v>00</v>
      </c>
      <c r="AD344" t="str">
        <f>MID('paste from garc here'!$C$1,1+(('table for research'!$B344-1)*36+HEX2DEC('table for research'!AD$1))*2,2)</f>
        <v>00</v>
      </c>
      <c r="AE344" t="str">
        <f>MID('paste from garc here'!$C$1,1+(('table for research'!$B344-1)*36+HEX2DEC('table for research'!AE$1))*2,2)</f>
        <v>00</v>
      </c>
      <c r="AF344" t="str">
        <f>MID('paste from garc here'!$C$1,1+(('table for research'!$B344-1)*36+HEX2DEC('table for research'!AF$1))*2,2)</f>
        <v>00</v>
      </c>
      <c r="AG344" t="str">
        <f>MID('paste from garc here'!$C$1,1+(('table for research'!$B344-1)*36+HEX2DEC('table for research'!AG$1))*2,2)</f>
        <v>00</v>
      </c>
      <c r="AH344" t="str">
        <f>MID('paste from garc here'!$C$1,1+(('table for research'!$B344-1)*36+HEX2DEC('table for research'!AH$1))*2,2)</f>
        <v>00</v>
      </c>
      <c r="AI344" t="str">
        <f>MID('paste from garc here'!$C$1,1+(('table for research'!$B344-1)*36+HEX2DEC('table for research'!AI$1))*2,2)</f>
        <v>00</v>
      </c>
      <c r="AJ344" t="str">
        <f>MID('paste from garc here'!$C$1,1+(('table for research'!$B344-1)*36+HEX2DEC('table for research'!AJ$1))*2,2)</f>
        <v>00</v>
      </c>
      <c r="AK344" t="str">
        <f>MID('paste from garc here'!$C$1,1+(('table for research'!$B344-1)*36+HEX2DEC('table for research'!AK$1))*2,2)</f>
        <v>00</v>
      </c>
      <c r="AL344" t="str">
        <f>MID('paste from garc here'!$C$1,1+(('table for research'!$B344-1)*36+HEX2DEC('table for research'!AL$1))*2,2)</f>
        <v>00</v>
      </c>
      <c r="AM344" t="str">
        <f>MID('paste from garc here'!$C$1,1+(('table for research'!$B344-1)*36+HEX2DEC('table for research'!AM$1))*2,2)</f>
        <v>00</v>
      </c>
      <c r="AN344" t="str">
        <f>MID('paste from garc here'!$C$1,1+(('table for research'!$B344-1)*36+HEX2DEC('table for research'!AN$1))*2,2)</f>
        <v>00</v>
      </c>
      <c r="AO344" t="str">
        <f>MID('paste from garc here'!$C$1,1+(('table for research'!$B344-1)*36+HEX2DEC('table for research'!AO$1))*2,2)</f>
        <v>00</v>
      </c>
    </row>
    <row r="345" spans="1:41" x14ac:dyDescent="0.4">
      <c r="A345" t="s">
        <v>348</v>
      </c>
      <c r="B345">
        <f>B344+1</f>
        <v>343</v>
      </c>
      <c r="C345" t="str">
        <f>MID('paste from garc here'!$C$1,1+(('table for research'!$B345-1)*36+HEX2DEC('table for research'!C$1))*2,2)</f>
        <v>DC</v>
      </c>
      <c r="D345" t="str">
        <f>MID('paste from garc here'!$C$1,1+(('table for research'!$B345-1)*36+HEX2DEC('table for research'!D$1))*2,2)</f>
        <v>05</v>
      </c>
      <c r="E345" t="str">
        <f>MID('paste from garc here'!$C$1,1+(('table for research'!$B345-1)*36+HEX2DEC('table for research'!E$1))*2,2)</f>
        <v>00</v>
      </c>
      <c r="F345" t="str">
        <f>MID('paste from garc here'!$C$1,1+(('table for research'!$B345-1)*36+HEX2DEC('table for research'!F$1))*2,2)</f>
        <v>00</v>
      </c>
      <c r="G345" t="str">
        <f>MID('paste from garc here'!$C$1,1+(('table for research'!$B345-1)*36+HEX2DEC('table for research'!G$1))*2,2)</f>
        <v>00</v>
      </c>
      <c r="H345" t="str">
        <f>MID('paste from garc here'!$C$1,1+(('table for research'!$B345-1)*36+HEX2DEC('table for research'!H$1))*2,2)</f>
        <v>00</v>
      </c>
      <c r="I345" t="str">
        <f>MID('paste from garc here'!$C$1,1+(('table for research'!$B345-1)*36+HEX2DEC('table for research'!I$1))*2,2)</f>
        <v>00</v>
      </c>
      <c r="J345" t="str">
        <f>MID('paste from garc here'!$C$1,1+(('table for research'!$B345-1)*36+HEX2DEC('table for research'!J$1))*2,2)</f>
        <v>00</v>
      </c>
      <c r="K345" t="str">
        <f>DEC2HEX(_xlfn.BITAND(HEX2DEC(MID('paste from garc here'!$C$1,1+(('table for research'!$B345-1)*36+HEX2DEC(8))*2,2)),31),2)</f>
        <v>1F</v>
      </c>
      <c r="L345" t="str">
        <f>DEC2HEX(_xlfn.BITAND(HEX2DEC(MID('paste from garc here'!$C$1,1+(('table for research'!$B345-1)*36+HEX2DEC(8))*2,2)),32),2)</f>
        <v>20</v>
      </c>
      <c r="M345" t="str">
        <f>DEC2HEX(_xlfn.BITAND(HEX2DEC(MID('paste from garc here'!$C$1,1+(('table for research'!$B345-1)*36+HEX2DEC(8))*2,2)),64),2)</f>
        <v>00</v>
      </c>
      <c r="N345" t="str">
        <f>DEC2HEX(_xlfn.BITRSHIFT(_xlfn.BITAND(HEX2DEC(MID('paste from garc here'!$C$1,1+(('table for research'!$B345-1)*36+HEX2DEC(9))*2,2)&amp;MID('paste from garc here'!$C$1,1+(('table for research'!$B345-1)*36+HEX2DEC(8))*2,2)),1920),7),2)</f>
        <v>02</v>
      </c>
      <c r="O345" t="str">
        <f>DEC2HEX(_xlfn.BITRSHIFT(HEX2DEC(MID('paste from garc here'!$C$1,1+(('table for research'!$B345-1)*36+HEX2DEC(9))*2,2)&amp;MID('paste from garc here'!$C$1,1+(('table for research'!$B345-1)*36+HEX2DEC(8))*2,2)),11),2)</f>
        <v>00</v>
      </c>
      <c r="P345" t="str">
        <f>MID('paste from garc here'!$C$1,1+(('table for research'!$B345-1)*36+HEX2DEC('table for research'!P$1))*2,2)</f>
        <v>02</v>
      </c>
      <c r="Q345" t="str">
        <f>MID('paste from garc here'!$C$1,1+(('table for research'!$B345-1)*36+HEX2DEC('table for research'!Q$1))*2,2)</f>
        <v>00</v>
      </c>
      <c r="R345" t="str">
        <f>MID('paste from garc here'!$C$1,1+(('table for research'!$B345-1)*36+HEX2DEC('table for research'!R$1))*2,2)</f>
        <v>00</v>
      </c>
      <c r="S345" t="str">
        <f>MID('paste from garc here'!$C$1,1+(('table for research'!$B345-1)*36+HEX2DEC('table for research'!S$1))*2,2)</f>
        <v>06</v>
      </c>
      <c r="T345" t="str">
        <f>MID('paste from garc here'!$C$1,1+(('table for research'!$B345-1)*36+HEX2DEC('table for research'!T$1))*2,2)</f>
        <v>00</v>
      </c>
      <c r="U345" t="str">
        <f>MID('paste from garc here'!$C$1,1+(('table for research'!$B345-1)*36+HEX2DEC('table for research'!U$1))*2,2)</f>
        <v>0F</v>
      </c>
      <c r="V345" t="str">
        <f>MID('paste from garc here'!$C$1,1+(('table for research'!$B345-1)*36+HEX2DEC('table for research'!V$1))*2,2)</f>
        <v>00</v>
      </c>
      <c r="W345" t="str">
        <f>MID('paste from garc here'!$C$1,1+(('table for research'!$B345-1)*36+HEX2DEC('table for research'!W$1))*2,2)</f>
        <v>00</v>
      </c>
      <c r="X345" t="str">
        <f>MID('paste from garc here'!$C$1,1+(('table for research'!$B345-1)*36+HEX2DEC('table for research'!X$1))*2,2)</f>
        <v>00</v>
      </c>
      <c r="Y345" t="str">
        <f>MID('paste from garc here'!$C$1,1+(('table for research'!$B345-1)*36+HEX2DEC('table for research'!Y$1))*2,2)</f>
        <v>00</v>
      </c>
      <c r="Z345" t="str">
        <f>MID('paste from garc here'!$C$1,1+(('table for research'!$B345-1)*36+HEX2DEC('table for research'!Z$1))*2,2)</f>
        <v>00</v>
      </c>
      <c r="AA345" t="str">
        <f>MID('paste from garc here'!$C$1,1+(('table for research'!$B345-1)*36+HEX2DEC('table for research'!AA$1))*2,2)</f>
        <v>00</v>
      </c>
      <c r="AB345" t="str">
        <f>MID('paste from garc here'!$C$1,1+(('table for research'!$B345-1)*36+HEX2DEC('table for research'!AB$1))*2,2)</f>
        <v>00</v>
      </c>
      <c r="AC345" t="str">
        <f>MID('paste from garc here'!$C$1,1+(('table for research'!$B345-1)*36+HEX2DEC('table for research'!AC$1))*2,2)</f>
        <v>00</v>
      </c>
      <c r="AD345" t="str">
        <f>MID('paste from garc here'!$C$1,1+(('table for research'!$B345-1)*36+HEX2DEC('table for research'!AD$1))*2,2)</f>
        <v>00</v>
      </c>
      <c r="AE345" t="str">
        <f>MID('paste from garc here'!$C$1,1+(('table for research'!$B345-1)*36+HEX2DEC('table for research'!AE$1))*2,2)</f>
        <v>00</v>
      </c>
      <c r="AF345" t="str">
        <f>MID('paste from garc here'!$C$1,1+(('table for research'!$B345-1)*36+HEX2DEC('table for research'!AF$1))*2,2)</f>
        <v>00</v>
      </c>
      <c r="AG345" t="str">
        <f>MID('paste from garc here'!$C$1,1+(('table for research'!$B345-1)*36+HEX2DEC('table for research'!AG$1))*2,2)</f>
        <v>00</v>
      </c>
      <c r="AH345" t="str">
        <f>MID('paste from garc here'!$C$1,1+(('table for research'!$B345-1)*36+HEX2DEC('table for research'!AH$1))*2,2)</f>
        <v>00</v>
      </c>
      <c r="AI345" t="str">
        <f>MID('paste from garc here'!$C$1,1+(('table for research'!$B345-1)*36+HEX2DEC('table for research'!AI$1))*2,2)</f>
        <v>00</v>
      </c>
      <c r="AJ345" t="str">
        <f>MID('paste from garc here'!$C$1,1+(('table for research'!$B345-1)*36+HEX2DEC('table for research'!AJ$1))*2,2)</f>
        <v>00</v>
      </c>
      <c r="AK345" t="str">
        <f>MID('paste from garc here'!$C$1,1+(('table for research'!$B345-1)*36+HEX2DEC('table for research'!AK$1))*2,2)</f>
        <v>00</v>
      </c>
      <c r="AL345" t="str">
        <f>MID('paste from garc here'!$C$1,1+(('table for research'!$B345-1)*36+HEX2DEC('table for research'!AL$1))*2,2)</f>
        <v>00</v>
      </c>
      <c r="AM345" t="str">
        <f>MID('paste from garc here'!$C$1,1+(('table for research'!$B345-1)*36+HEX2DEC('table for research'!AM$1))*2,2)</f>
        <v>00</v>
      </c>
      <c r="AN345" t="str">
        <f>MID('paste from garc here'!$C$1,1+(('table for research'!$B345-1)*36+HEX2DEC('table for research'!AN$1))*2,2)</f>
        <v>00</v>
      </c>
      <c r="AO345" t="str">
        <f>MID('paste from garc here'!$C$1,1+(('table for research'!$B345-1)*36+HEX2DEC('table for research'!AO$1))*2,2)</f>
        <v>00</v>
      </c>
    </row>
    <row r="346" spans="1:41" x14ac:dyDescent="0.4">
      <c r="A346" t="s">
        <v>349</v>
      </c>
      <c r="B346">
        <f>B345+1</f>
        <v>344</v>
      </c>
      <c r="C346" t="str">
        <f>MID('paste from garc here'!$C$1,1+(('table for research'!$B346-1)*36+HEX2DEC('table for research'!C$1))*2,2)</f>
        <v>2C</v>
      </c>
      <c r="D346" t="str">
        <f>MID('paste from garc here'!$C$1,1+(('table for research'!$B346-1)*36+HEX2DEC('table for research'!D$1))*2,2)</f>
        <v>01</v>
      </c>
      <c r="E346" t="str">
        <f>MID('paste from garc here'!$C$1,1+(('table for research'!$B346-1)*36+HEX2DEC('table for research'!E$1))*2,2)</f>
        <v>00</v>
      </c>
      <c r="F346" t="str">
        <f>MID('paste from garc here'!$C$1,1+(('table for research'!$B346-1)*36+HEX2DEC('table for research'!F$1))*2,2)</f>
        <v>00</v>
      </c>
      <c r="G346" t="str">
        <f>MID('paste from garc here'!$C$1,1+(('table for research'!$B346-1)*36+HEX2DEC('table for research'!G$1))*2,2)</f>
        <v>00</v>
      </c>
      <c r="H346" t="str">
        <f>MID('paste from garc here'!$C$1,1+(('table for research'!$B346-1)*36+HEX2DEC('table for research'!H$1))*2,2)</f>
        <v>00</v>
      </c>
      <c r="I346" t="str">
        <f>MID('paste from garc here'!$C$1,1+(('table for research'!$B346-1)*36+HEX2DEC('table for research'!I$1))*2,2)</f>
        <v>00</v>
      </c>
      <c r="J346" t="str">
        <f>MID('paste from garc here'!$C$1,1+(('table for research'!$B346-1)*36+HEX2DEC('table for research'!J$1))*2,2)</f>
        <v>00</v>
      </c>
      <c r="K346" t="str">
        <f>DEC2HEX(_xlfn.BITAND(HEX2DEC(MID('paste from garc here'!$C$1,1+(('table for research'!$B346-1)*36+HEX2DEC(8))*2,2)),31),2)</f>
        <v>1F</v>
      </c>
      <c r="L346" t="str">
        <f>DEC2HEX(_xlfn.BITAND(HEX2DEC(MID('paste from garc here'!$C$1,1+(('table for research'!$B346-1)*36+HEX2DEC(8))*2,2)),32),2)</f>
        <v>20</v>
      </c>
      <c r="M346" t="str">
        <f>DEC2HEX(_xlfn.BITAND(HEX2DEC(MID('paste from garc here'!$C$1,1+(('table for research'!$B346-1)*36+HEX2DEC(8))*2,2)),64),2)</f>
        <v>00</v>
      </c>
      <c r="N346" t="str">
        <f>DEC2HEX(_xlfn.BITRSHIFT(_xlfn.BITAND(HEX2DEC(MID('paste from garc here'!$C$1,1+(('table for research'!$B346-1)*36+HEX2DEC(9))*2,2)&amp;MID('paste from garc here'!$C$1,1+(('table for research'!$B346-1)*36+HEX2DEC(8))*2,2)),1920),7),2)</f>
        <v>02</v>
      </c>
      <c r="O346" t="str">
        <f>DEC2HEX(_xlfn.BITRSHIFT(HEX2DEC(MID('paste from garc here'!$C$1,1+(('table for research'!$B346-1)*36+HEX2DEC(9))*2,2)&amp;MID('paste from garc here'!$C$1,1+(('table for research'!$B346-1)*36+HEX2DEC(8))*2,2)),11),2)</f>
        <v>00</v>
      </c>
      <c r="P346" t="str">
        <f>MID('paste from garc here'!$C$1,1+(('table for research'!$B346-1)*36+HEX2DEC('table for research'!P$1))*2,2)</f>
        <v>02</v>
      </c>
      <c r="Q346" t="str">
        <f>MID('paste from garc here'!$C$1,1+(('table for research'!$B346-1)*36+HEX2DEC('table for research'!Q$1))*2,2)</f>
        <v>00</v>
      </c>
      <c r="R346" t="str">
        <f>MID('paste from garc here'!$C$1,1+(('table for research'!$B346-1)*36+HEX2DEC('table for research'!R$1))*2,2)</f>
        <v>00</v>
      </c>
      <c r="S346" t="str">
        <f>MID('paste from garc here'!$C$1,1+(('table for research'!$B346-1)*36+HEX2DEC('table for research'!S$1))*2,2)</f>
        <v>06</v>
      </c>
      <c r="T346" t="str">
        <f>MID('paste from garc here'!$C$1,1+(('table for research'!$B346-1)*36+HEX2DEC('table for research'!T$1))*2,2)</f>
        <v>00</v>
      </c>
      <c r="U346" t="str">
        <f>MID('paste from garc here'!$C$1,1+(('table for research'!$B346-1)*36+HEX2DEC('table for research'!U$1))*2,2)</f>
        <v>10</v>
      </c>
      <c r="V346" t="str">
        <f>MID('paste from garc here'!$C$1,1+(('table for research'!$B346-1)*36+HEX2DEC('table for research'!V$1))*2,2)</f>
        <v>00</v>
      </c>
      <c r="W346" t="str">
        <f>MID('paste from garc here'!$C$1,1+(('table for research'!$B346-1)*36+HEX2DEC('table for research'!W$1))*2,2)</f>
        <v>00</v>
      </c>
      <c r="X346" t="str">
        <f>MID('paste from garc here'!$C$1,1+(('table for research'!$B346-1)*36+HEX2DEC('table for research'!X$1))*2,2)</f>
        <v>00</v>
      </c>
      <c r="Y346" t="str">
        <f>MID('paste from garc here'!$C$1,1+(('table for research'!$B346-1)*36+HEX2DEC('table for research'!Y$1))*2,2)</f>
        <v>00</v>
      </c>
      <c r="Z346" t="str">
        <f>MID('paste from garc here'!$C$1,1+(('table for research'!$B346-1)*36+HEX2DEC('table for research'!Z$1))*2,2)</f>
        <v>00</v>
      </c>
      <c r="AA346" t="str">
        <f>MID('paste from garc here'!$C$1,1+(('table for research'!$B346-1)*36+HEX2DEC('table for research'!AA$1))*2,2)</f>
        <v>00</v>
      </c>
      <c r="AB346" t="str">
        <f>MID('paste from garc here'!$C$1,1+(('table for research'!$B346-1)*36+HEX2DEC('table for research'!AB$1))*2,2)</f>
        <v>00</v>
      </c>
      <c r="AC346" t="str">
        <f>MID('paste from garc here'!$C$1,1+(('table for research'!$B346-1)*36+HEX2DEC('table for research'!AC$1))*2,2)</f>
        <v>00</v>
      </c>
      <c r="AD346" t="str">
        <f>MID('paste from garc here'!$C$1,1+(('table for research'!$B346-1)*36+HEX2DEC('table for research'!AD$1))*2,2)</f>
        <v>00</v>
      </c>
      <c r="AE346" t="str">
        <f>MID('paste from garc here'!$C$1,1+(('table for research'!$B346-1)*36+HEX2DEC('table for research'!AE$1))*2,2)</f>
        <v>00</v>
      </c>
      <c r="AF346" t="str">
        <f>MID('paste from garc here'!$C$1,1+(('table for research'!$B346-1)*36+HEX2DEC('table for research'!AF$1))*2,2)</f>
        <v>00</v>
      </c>
      <c r="AG346" t="str">
        <f>MID('paste from garc here'!$C$1,1+(('table for research'!$B346-1)*36+HEX2DEC('table for research'!AG$1))*2,2)</f>
        <v>00</v>
      </c>
      <c r="AH346" t="str">
        <f>MID('paste from garc here'!$C$1,1+(('table for research'!$B346-1)*36+HEX2DEC('table for research'!AH$1))*2,2)</f>
        <v>00</v>
      </c>
      <c r="AI346" t="str">
        <f>MID('paste from garc here'!$C$1,1+(('table for research'!$B346-1)*36+HEX2DEC('table for research'!AI$1))*2,2)</f>
        <v>00</v>
      </c>
      <c r="AJ346" t="str">
        <f>MID('paste from garc here'!$C$1,1+(('table for research'!$B346-1)*36+HEX2DEC('table for research'!AJ$1))*2,2)</f>
        <v>00</v>
      </c>
      <c r="AK346" t="str">
        <f>MID('paste from garc here'!$C$1,1+(('table for research'!$B346-1)*36+HEX2DEC('table for research'!AK$1))*2,2)</f>
        <v>00</v>
      </c>
      <c r="AL346" t="str">
        <f>MID('paste from garc here'!$C$1,1+(('table for research'!$B346-1)*36+HEX2DEC('table for research'!AL$1))*2,2)</f>
        <v>00</v>
      </c>
      <c r="AM346" t="str">
        <f>MID('paste from garc here'!$C$1,1+(('table for research'!$B346-1)*36+HEX2DEC('table for research'!AM$1))*2,2)</f>
        <v>00</v>
      </c>
      <c r="AN346" t="str">
        <f>MID('paste from garc here'!$C$1,1+(('table for research'!$B346-1)*36+HEX2DEC('table for research'!AN$1))*2,2)</f>
        <v>00</v>
      </c>
      <c r="AO346" t="str">
        <f>MID('paste from garc here'!$C$1,1+(('table for research'!$B346-1)*36+HEX2DEC('table for research'!AO$1))*2,2)</f>
        <v>00</v>
      </c>
    </row>
    <row r="347" spans="1:41" x14ac:dyDescent="0.4">
      <c r="A347" t="s">
        <v>350</v>
      </c>
      <c r="B347">
        <f>B346+1</f>
        <v>345</v>
      </c>
      <c r="C347" t="str">
        <f>MID('paste from garc here'!$C$1,1+(('table for research'!$B347-1)*36+HEX2DEC('table for research'!C$1))*2,2)</f>
        <v>D0</v>
      </c>
      <c r="D347" t="str">
        <f>MID('paste from garc here'!$C$1,1+(('table for research'!$B347-1)*36+HEX2DEC('table for research'!D$1))*2,2)</f>
        <v>07</v>
      </c>
      <c r="E347" t="str">
        <f>MID('paste from garc here'!$C$1,1+(('table for research'!$B347-1)*36+HEX2DEC('table for research'!E$1))*2,2)</f>
        <v>00</v>
      </c>
      <c r="F347" t="str">
        <f>MID('paste from garc here'!$C$1,1+(('table for research'!$B347-1)*36+HEX2DEC('table for research'!F$1))*2,2)</f>
        <v>00</v>
      </c>
      <c r="G347" t="str">
        <f>MID('paste from garc here'!$C$1,1+(('table for research'!$B347-1)*36+HEX2DEC('table for research'!G$1))*2,2)</f>
        <v>00</v>
      </c>
      <c r="H347" t="str">
        <f>MID('paste from garc here'!$C$1,1+(('table for research'!$B347-1)*36+HEX2DEC('table for research'!H$1))*2,2)</f>
        <v>00</v>
      </c>
      <c r="I347" t="str">
        <f>MID('paste from garc here'!$C$1,1+(('table for research'!$B347-1)*36+HEX2DEC('table for research'!I$1))*2,2)</f>
        <v>00</v>
      </c>
      <c r="J347" t="str">
        <f>MID('paste from garc here'!$C$1,1+(('table for research'!$B347-1)*36+HEX2DEC('table for research'!J$1))*2,2)</f>
        <v>00</v>
      </c>
      <c r="K347" t="str">
        <f>DEC2HEX(_xlfn.BITAND(HEX2DEC(MID('paste from garc here'!$C$1,1+(('table for research'!$B347-1)*36+HEX2DEC(8))*2,2)),31),2)</f>
        <v>1F</v>
      </c>
      <c r="L347" t="str">
        <f>DEC2HEX(_xlfn.BITAND(HEX2DEC(MID('paste from garc here'!$C$1,1+(('table for research'!$B347-1)*36+HEX2DEC(8))*2,2)),32),2)</f>
        <v>20</v>
      </c>
      <c r="M347" t="str">
        <f>DEC2HEX(_xlfn.BITAND(HEX2DEC(MID('paste from garc here'!$C$1,1+(('table for research'!$B347-1)*36+HEX2DEC(8))*2,2)),64),2)</f>
        <v>00</v>
      </c>
      <c r="N347" t="str">
        <f>DEC2HEX(_xlfn.BITRSHIFT(_xlfn.BITAND(HEX2DEC(MID('paste from garc here'!$C$1,1+(('table for research'!$B347-1)*36+HEX2DEC(9))*2,2)&amp;MID('paste from garc here'!$C$1,1+(('table for research'!$B347-1)*36+HEX2DEC(8))*2,2)),1920),7),2)</f>
        <v>02</v>
      </c>
      <c r="O347" t="str">
        <f>DEC2HEX(_xlfn.BITRSHIFT(HEX2DEC(MID('paste from garc here'!$C$1,1+(('table for research'!$B347-1)*36+HEX2DEC(9))*2,2)&amp;MID('paste from garc here'!$C$1,1+(('table for research'!$B347-1)*36+HEX2DEC(8))*2,2)),11),2)</f>
        <v>00</v>
      </c>
      <c r="P347" t="str">
        <f>MID('paste from garc here'!$C$1,1+(('table for research'!$B347-1)*36+HEX2DEC('table for research'!P$1))*2,2)</f>
        <v>02</v>
      </c>
      <c r="Q347" t="str">
        <f>MID('paste from garc here'!$C$1,1+(('table for research'!$B347-1)*36+HEX2DEC('table for research'!Q$1))*2,2)</f>
        <v>00</v>
      </c>
      <c r="R347" t="str">
        <f>MID('paste from garc here'!$C$1,1+(('table for research'!$B347-1)*36+HEX2DEC('table for research'!R$1))*2,2)</f>
        <v>00</v>
      </c>
      <c r="S347" t="str">
        <f>MID('paste from garc here'!$C$1,1+(('table for research'!$B347-1)*36+HEX2DEC('table for research'!S$1))*2,2)</f>
        <v>06</v>
      </c>
      <c r="T347" t="str">
        <f>MID('paste from garc here'!$C$1,1+(('table for research'!$B347-1)*36+HEX2DEC('table for research'!T$1))*2,2)</f>
        <v>00</v>
      </c>
      <c r="U347" t="str">
        <f>MID('paste from garc here'!$C$1,1+(('table for research'!$B347-1)*36+HEX2DEC('table for research'!U$1))*2,2)</f>
        <v>11</v>
      </c>
      <c r="V347" t="str">
        <f>MID('paste from garc here'!$C$1,1+(('table for research'!$B347-1)*36+HEX2DEC('table for research'!V$1))*2,2)</f>
        <v>00</v>
      </c>
      <c r="W347" t="str">
        <f>MID('paste from garc here'!$C$1,1+(('table for research'!$B347-1)*36+HEX2DEC('table for research'!W$1))*2,2)</f>
        <v>00</v>
      </c>
      <c r="X347" t="str">
        <f>MID('paste from garc here'!$C$1,1+(('table for research'!$B347-1)*36+HEX2DEC('table for research'!X$1))*2,2)</f>
        <v>00</v>
      </c>
      <c r="Y347" t="str">
        <f>MID('paste from garc here'!$C$1,1+(('table for research'!$B347-1)*36+HEX2DEC('table for research'!Y$1))*2,2)</f>
        <v>00</v>
      </c>
      <c r="Z347" t="str">
        <f>MID('paste from garc here'!$C$1,1+(('table for research'!$B347-1)*36+HEX2DEC('table for research'!Z$1))*2,2)</f>
        <v>00</v>
      </c>
      <c r="AA347" t="str">
        <f>MID('paste from garc here'!$C$1,1+(('table for research'!$B347-1)*36+HEX2DEC('table for research'!AA$1))*2,2)</f>
        <v>00</v>
      </c>
      <c r="AB347" t="str">
        <f>MID('paste from garc here'!$C$1,1+(('table for research'!$B347-1)*36+HEX2DEC('table for research'!AB$1))*2,2)</f>
        <v>00</v>
      </c>
      <c r="AC347" t="str">
        <f>MID('paste from garc here'!$C$1,1+(('table for research'!$B347-1)*36+HEX2DEC('table for research'!AC$1))*2,2)</f>
        <v>00</v>
      </c>
      <c r="AD347" t="str">
        <f>MID('paste from garc here'!$C$1,1+(('table for research'!$B347-1)*36+HEX2DEC('table for research'!AD$1))*2,2)</f>
        <v>00</v>
      </c>
      <c r="AE347" t="str">
        <f>MID('paste from garc here'!$C$1,1+(('table for research'!$B347-1)*36+HEX2DEC('table for research'!AE$1))*2,2)</f>
        <v>00</v>
      </c>
      <c r="AF347" t="str">
        <f>MID('paste from garc here'!$C$1,1+(('table for research'!$B347-1)*36+HEX2DEC('table for research'!AF$1))*2,2)</f>
        <v>00</v>
      </c>
      <c r="AG347" t="str">
        <f>MID('paste from garc here'!$C$1,1+(('table for research'!$B347-1)*36+HEX2DEC('table for research'!AG$1))*2,2)</f>
        <v>00</v>
      </c>
      <c r="AH347" t="str">
        <f>MID('paste from garc here'!$C$1,1+(('table for research'!$B347-1)*36+HEX2DEC('table for research'!AH$1))*2,2)</f>
        <v>00</v>
      </c>
      <c r="AI347" t="str">
        <f>MID('paste from garc here'!$C$1,1+(('table for research'!$B347-1)*36+HEX2DEC('table for research'!AI$1))*2,2)</f>
        <v>00</v>
      </c>
      <c r="AJ347" t="str">
        <f>MID('paste from garc here'!$C$1,1+(('table for research'!$B347-1)*36+HEX2DEC('table for research'!AJ$1))*2,2)</f>
        <v>00</v>
      </c>
      <c r="AK347" t="str">
        <f>MID('paste from garc here'!$C$1,1+(('table for research'!$B347-1)*36+HEX2DEC('table for research'!AK$1))*2,2)</f>
        <v>00</v>
      </c>
      <c r="AL347" t="str">
        <f>MID('paste from garc here'!$C$1,1+(('table for research'!$B347-1)*36+HEX2DEC('table for research'!AL$1))*2,2)</f>
        <v>00</v>
      </c>
      <c r="AM347" t="str">
        <f>MID('paste from garc here'!$C$1,1+(('table for research'!$B347-1)*36+HEX2DEC('table for research'!AM$1))*2,2)</f>
        <v>00</v>
      </c>
      <c r="AN347" t="str">
        <f>MID('paste from garc here'!$C$1,1+(('table for research'!$B347-1)*36+HEX2DEC('table for research'!AN$1))*2,2)</f>
        <v>00</v>
      </c>
      <c r="AO347" t="str">
        <f>MID('paste from garc here'!$C$1,1+(('table for research'!$B347-1)*36+HEX2DEC('table for research'!AO$1))*2,2)</f>
        <v>00</v>
      </c>
    </row>
    <row r="348" spans="1:41" x14ac:dyDescent="0.4">
      <c r="A348" t="s">
        <v>351</v>
      </c>
      <c r="B348">
        <f>B347+1</f>
        <v>346</v>
      </c>
      <c r="C348" t="str">
        <f>MID('paste from garc here'!$C$1,1+(('table for research'!$B348-1)*36+HEX2DEC('table for research'!C$1))*2,2)</f>
        <v>E8</v>
      </c>
      <c r="D348" t="str">
        <f>MID('paste from garc here'!$C$1,1+(('table for research'!$B348-1)*36+HEX2DEC('table for research'!D$1))*2,2)</f>
        <v>03</v>
      </c>
      <c r="E348" t="str">
        <f>MID('paste from garc here'!$C$1,1+(('table for research'!$B348-1)*36+HEX2DEC('table for research'!E$1))*2,2)</f>
        <v>00</v>
      </c>
      <c r="F348" t="str">
        <f>MID('paste from garc here'!$C$1,1+(('table for research'!$B348-1)*36+HEX2DEC('table for research'!F$1))*2,2)</f>
        <v>00</v>
      </c>
      <c r="G348" t="str">
        <f>MID('paste from garc here'!$C$1,1+(('table for research'!$B348-1)*36+HEX2DEC('table for research'!G$1))*2,2)</f>
        <v>00</v>
      </c>
      <c r="H348" t="str">
        <f>MID('paste from garc here'!$C$1,1+(('table for research'!$B348-1)*36+HEX2DEC('table for research'!H$1))*2,2)</f>
        <v>00</v>
      </c>
      <c r="I348" t="str">
        <f>MID('paste from garc here'!$C$1,1+(('table for research'!$B348-1)*36+HEX2DEC('table for research'!I$1))*2,2)</f>
        <v>00</v>
      </c>
      <c r="J348" t="str">
        <f>MID('paste from garc here'!$C$1,1+(('table for research'!$B348-1)*36+HEX2DEC('table for research'!J$1))*2,2)</f>
        <v>00</v>
      </c>
      <c r="K348" t="str">
        <f>DEC2HEX(_xlfn.BITAND(HEX2DEC(MID('paste from garc here'!$C$1,1+(('table for research'!$B348-1)*36+HEX2DEC(8))*2,2)),31),2)</f>
        <v>1F</v>
      </c>
      <c r="L348" t="str">
        <f>DEC2HEX(_xlfn.BITAND(HEX2DEC(MID('paste from garc here'!$C$1,1+(('table for research'!$B348-1)*36+HEX2DEC(8))*2,2)),32),2)</f>
        <v>20</v>
      </c>
      <c r="M348" t="str">
        <f>DEC2HEX(_xlfn.BITAND(HEX2DEC(MID('paste from garc here'!$C$1,1+(('table for research'!$B348-1)*36+HEX2DEC(8))*2,2)),64),2)</f>
        <v>00</v>
      </c>
      <c r="N348" t="str">
        <f>DEC2HEX(_xlfn.BITRSHIFT(_xlfn.BITAND(HEX2DEC(MID('paste from garc here'!$C$1,1+(('table for research'!$B348-1)*36+HEX2DEC(9))*2,2)&amp;MID('paste from garc here'!$C$1,1+(('table for research'!$B348-1)*36+HEX2DEC(8))*2,2)),1920),7),2)</f>
        <v>02</v>
      </c>
      <c r="O348" t="str">
        <f>DEC2HEX(_xlfn.BITRSHIFT(HEX2DEC(MID('paste from garc here'!$C$1,1+(('table for research'!$B348-1)*36+HEX2DEC(9))*2,2)&amp;MID('paste from garc here'!$C$1,1+(('table for research'!$B348-1)*36+HEX2DEC(8))*2,2)),11),2)</f>
        <v>00</v>
      </c>
      <c r="P348" t="str">
        <f>MID('paste from garc here'!$C$1,1+(('table for research'!$B348-1)*36+HEX2DEC('table for research'!P$1))*2,2)</f>
        <v>02</v>
      </c>
      <c r="Q348" t="str">
        <f>MID('paste from garc here'!$C$1,1+(('table for research'!$B348-1)*36+HEX2DEC('table for research'!Q$1))*2,2)</f>
        <v>00</v>
      </c>
      <c r="R348" t="str">
        <f>MID('paste from garc here'!$C$1,1+(('table for research'!$B348-1)*36+HEX2DEC('table for research'!R$1))*2,2)</f>
        <v>00</v>
      </c>
      <c r="S348" t="str">
        <f>MID('paste from garc here'!$C$1,1+(('table for research'!$B348-1)*36+HEX2DEC('table for research'!S$1))*2,2)</f>
        <v>06</v>
      </c>
      <c r="T348" t="str">
        <f>MID('paste from garc here'!$C$1,1+(('table for research'!$B348-1)*36+HEX2DEC('table for research'!T$1))*2,2)</f>
        <v>00</v>
      </c>
      <c r="U348" t="str">
        <f>MID('paste from garc here'!$C$1,1+(('table for research'!$B348-1)*36+HEX2DEC('table for research'!U$1))*2,2)</f>
        <v>12</v>
      </c>
      <c r="V348" t="str">
        <f>MID('paste from garc here'!$C$1,1+(('table for research'!$B348-1)*36+HEX2DEC('table for research'!V$1))*2,2)</f>
        <v>00</v>
      </c>
      <c r="W348" t="str">
        <f>MID('paste from garc here'!$C$1,1+(('table for research'!$B348-1)*36+HEX2DEC('table for research'!W$1))*2,2)</f>
        <v>00</v>
      </c>
      <c r="X348" t="str">
        <f>MID('paste from garc here'!$C$1,1+(('table for research'!$B348-1)*36+HEX2DEC('table for research'!X$1))*2,2)</f>
        <v>00</v>
      </c>
      <c r="Y348" t="str">
        <f>MID('paste from garc here'!$C$1,1+(('table for research'!$B348-1)*36+HEX2DEC('table for research'!Y$1))*2,2)</f>
        <v>00</v>
      </c>
      <c r="Z348" t="str">
        <f>MID('paste from garc here'!$C$1,1+(('table for research'!$B348-1)*36+HEX2DEC('table for research'!Z$1))*2,2)</f>
        <v>00</v>
      </c>
      <c r="AA348" t="str">
        <f>MID('paste from garc here'!$C$1,1+(('table for research'!$B348-1)*36+HEX2DEC('table for research'!AA$1))*2,2)</f>
        <v>00</v>
      </c>
      <c r="AB348" t="str">
        <f>MID('paste from garc here'!$C$1,1+(('table for research'!$B348-1)*36+HEX2DEC('table for research'!AB$1))*2,2)</f>
        <v>00</v>
      </c>
      <c r="AC348" t="str">
        <f>MID('paste from garc here'!$C$1,1+(('table for research'!$B348-1)*36+HEX2DEC('table for research'!AC$1))*2,2)</f>
        <v>00</v>
      </c>
      <c r="AD348" t="str">
        <f>MID('paste from garc here'!$C$1,1+(('table for research'!$B348-1)*36+HEX2DEC('table for research'!AD$1))*2,2)</f>
        <v>00</v>
      </c>
      <c r="AE348" t="str">
        <f>MID('paste from garc here'!$C$1,1+(('table for research'!$B348-1)*36+HEX2DEC('table for research'!AE$1))*2,2)</f>
        <v>00</v>
      </c>
      <c r="AF348" t="str">
        <f>MID('paste from garc here'!$C$1,1+(('table for research'!$B348-1)*36+HEX2DEC('table for research'!AF$1))*2,2)</f>
        <v>00</v>
      </c>
      <c r="AG348" t="str">
        <f>MID('paste from garc here'!$C$1,1+(('table for research'!$B348-1)*36+HEX2DEC('table for research'!AG$1))*2,2)</f>
        <v>00</v>
      </c>
      <c r="AH348" t="str">
        <f>MID('paste from garc here'!$C$1,1+(('table for research'!$B348-1)*36+HEX2DEC('table for research'!AH$1))*2,2)</f>
        <v>00</v>
      </c>
      <c r="AI348" t="str">
        <f>MID('paste from garc here'!$C$1,1+(('table for research'!$B348-1)*36+HEX2DEC('table for research'!AI$1))*2,2)</f>
        <v>00</v>
      </c>
      <c r="AJ348" t="str">
        <f>MID('paste from garc here'!$C$1,1+(('table for research'!$B348-1)*36+HEX2DEC('table for research'!AJ$1))*2,2)</f>
        <v>00</v>
      </c>
      <c r="AK348" t="str">
        <f>MID('paste from garc here'!$C$1,1+(('table for research'!$B348-1)*36+HEX2DEC('table for research'!AK$1))*2,2)</f>
        <v>00</v>
      </c>
      <c r="AL348" t="str">
        <f>MID('paste from garc here'!$C$1,1+(('table for research'!$B348-1)*36+HEX2DEC('table for research'!AL$1))*2,2)</f>
        <v>00</v>
      </c>
      <c r="AM348" t="str">
        <f>MID('paste from garc here'!$C$1,1+(('table for research'!$B348-1)*36+HEX2DEC('table for research'!AM$1))*2,2)</f>
        <v>00</v>
      </c>
      <c r="AN348" t="str">
        <f>MID('paste from garc here'!$C$1,1+(('table for research'!$B348-1)*36+HEX2DEC('table for research'!AN$1))*2,2)</f>
        <v>00</v>
      </c>
      <c r="AO348" t="str">
        <f>MID('paste from garc here'!$C$1,1+(('table for research'!$B348-1)*36+HEX2DEC('table for research'!AO$1))*2,2)</f>
        <v>00</v>
      </c>
    </row>
    <row r="349" spans="1:41" x14ac:dyDescent="0.4">
      <c r="A349" t="s">
        <v>352</v>
      </c>
      <c r="B349">
        <f>B348+1</f>
        <v>347</v>
      </c>
      <c r="C349" t="str">
        <f>MID('paste from garc here'!$C$1,1+(('table for research'!$B349-1)*36+HEX2DEC('table for research'!C$1))*2,2)</f>
        <v>E8</v>
      </c>
      <c r="D349" t="str">
        <f>MID('paste from garc here'!$C$1,1+(('table for research'!$B349-1)*36+HEX2DEC('table for research'!D$1))*2,2)</f>
        <v>03</v>
      </c>
      <c r="E349" t="str">
        <f>MID('paste from garc here'!$C$1,1+(('table for research'!$B349-1)*36+HEX2DEC('table for research'!E$1))*2,2)</f>
        <v>00</v>
      </c>
      <c r="F349" t="str">
        <f>MID('paste from garc here'!$C$1,1+(('table for research'!$B349-1)*36+HEX2DEC('table for research'!F$1))*2,2)</f>
        <v>00</v>
      </c>
      <c r="G349" t="str">
        <f>MID('paste from garc here'!$C$1,1+(('table for research'!$B349-1)*36+HEX2DEC('table for research'!G$1))*2,2)</f>
        <v>00</v>
      </c>
      <c r="H349" t="str">
        <f>MID('paste from garc here'!$C$1,1+(('table for research'!$B349-1)*36+HEX2DEC('table for research'!H$1))*2,2)</f>
        <v>00</v>
      </c>
      <c r="I349" t="str">
        <f>MID('paste from garc here'!$C$1,1+(('table for research'!$B349-1)*36+HEX2DEC('table for research'!I$1))*2,2)</f>
        <v>00</v>
      </c>
      <c r="J349" t="str">
        <f>MID('paste from garc here'!$C$1,1+(('table for research'!$B349-1)*36+HEX2DEC('table for research'!J$1))*2,2)</f>
        <v>00</v>
      </c>
      <c r="K349" t="str">
        <f>DEC2HEX(_xlfn.BITAND(HEX2DEC(MID('paste from garc here'!$C$1,1+(('table for research'!$B349-1)*36+HEX2DEC(8))*2,2)),31),2)</f>
        <v>1F</v>
      </c>
      <c r="L349" t="str">
        <f>DEC2HEX(_xlfn.BITAND(HEX2DEC(MID('paste from garc here'!$C$1,1+(('table for research'!$B349-1)*36+HEX2DEC(8))*2,2)),32),2)</f>
        <v>20</v>
      </c>
      <c r="M349" t="str">
        <f>DEC2HEX(_xlfn.BITAND(HEX2DEC(MID('paste from garc here'!$C$1,1+(('table for research'!$B349-1)*36+HEX2DEC(8))*2,2)),64),2)</f>
        <v>00</v>
      </c>
      <c r="N349" t="str">
        <f>DEC2HEX(_xlfn.BITRSHIFT(_xlfn.BITAND(HEX2DEC(MID('paste from garc here'!$C$1,1+(('table for research'!$B349-1)*36+HEX2DEC(9))*2,2)&amp;MID('paste from garc here'!$C$1,1+(('table for research'!$B349-1)*36+HEX2DEC(8))*2,2)),1920),7),2)</f>
        <v>02</v>
      </c>
      <c r="O349" t="str">
        <f>DEC2HEX(_xlfn.BITRSHIFT(HEX2DEC(MID('paste from garc here'!$C$1,1+(('table for research'!$B349-1)*36+HEX2DEC(9))*2,2)&amp;MID('paste from garc here'!$C$1,1+(('table for research'!$B349-1)*36+HEX2DEC(8))*2,2)),11),2)</f>
        <v>00</v>
      </c>
      <c r="P349" t="str">
        <f>MID('paste from garc here'!$C$1,1+(('table for research'!$B349-1)*36+HEX2DEC('table for research'!P$1))*2,2)</f>
        <v>02</v>
      </c>
      <c r="Q349" t="str">
        <f>MID('paste from garc here'!$C$1,1+(('table for research'!$B349-1)*36+HEX2DEC('table for research'!Q$1))*2,2)</f>
        <v>00</v>
      </c>
      <c r="R349" t="str">
        <f>MID('paste from garc here'!$C$1,1+(('table for research'!$B349-1)*36+HEX2DEC('table for research'!R$1))*2,2)</f>
        <v>00</v>
      </c>
      <c r="S349" t="str">
        <f>MID('paste from garc here'!$C$1,1+(('table for research'!$B349-1)*36+HEX2DEC('table for research'!S$1))*2,2)</f>
        <v>06</v>
      </c>
      <c r="T349" t="str">
        <f>MID('paste from garc here'!$C$1,1+(('table for research'!$B349-1)*36+HEX2DEC('table for research'!T$1))*2,2)</f>
        <v>00</v>
      </c>
      <c r="U349" t="str">
        <f>MID('paste from garc here'!$C$1,1+(('table for research'!$B349-1)*36+HEX2DEC('table for research'!U$1))*2,2)</f>
        <v>13</v>
      </c>
      <c r="V349" t="str">
        <f>MID('paste from garc here'!$C$1,1+(('table for research'!$B349-1)*36+HEX2DEC('table for research'!V$1))*2,2)</f>
        <v>00</v>
      </c>
      <c r="W349" t="str">
        <f>MID('paste from garc here'!$C$1,1+(('table for research'!$B349-1)*36+HEX2DEC('table for research'!W$1))*2,2)</f>
        <v>00</v>
      </c>
      <c r="X349" t="str">
        <f>MID('paste from garc here'!$C$1,1+(('table for research'!$B349-1)*36+HEX2DEC('table for research'!X$1))*2,2)</f>
        <v>00</v>
      </c>
      <c r="Y349" t="str">
        <f>MID('paste from garc here'!$C$1,1+(('table for research'!$B349-1)*36+HEX2DEC('table for research'!Y$1))*2,2)</f>
        <v>00</v>
      </c>
      <c r="Z349" t="str">
        <f>MID('paste from garc here'!$C$1,1+(('table for research'!$B349-1)*36+HEX2DEC('table for research'!Z$1))*2,2)</f>
        <v>00</v>
      </c>
      <c r="AA349" t="str">
        <f>MID('paste from garc here'!$C$1,1+(('table for research'!$B349-1)*36+HEX2DEC('table for research'!AA$1))*2,2)</f>
        <v>00</v>
      </c>
      <c r="AB349" t="str">
        <f>MID('paste from garc here'!$C$1,1+(('table for research'!$B349-1)*36+HEX2DEC('table for research'!AB$1))*2,2)</f>
        <v>00</v>
      </c>
      <c r="AC349" t="str">
        <f>MID('paste from garc here'!$C$1,1+(('table for research'!$B349-1)*36+HEX2DEC('table for research'!AC$1))*2,2)</f>
        <v>00</v>
      </c>
      <c r="AD349" t="str">
        <f>MID('paste from garc here'!$C$1,1+(('table for research'!$B349-1)*36+HEX2DEC('table for research'!AD$1))*2,2)</f>
        <v>00</v>
      </c>
      <c r="AE349" t="str">
        <f>MID('paste from garc here'!$C$1,1+(('table for research'!$B349-1)*36+HEX2DEC('table for research'!AE$1))*2,2)</f>
        <v>00</v>
      </c>
      <c r="AF349" t="str">
        <f>MID('paste from garc here'!$C$1,1+(('table for research'!$B349-1)*36+HEX2DEC('table for research'!AF$1))*2,2)</f>
        <v>00</v>
      </c>
      <c r="AG349" t="str">
        <f>MID('paste from garc here'!$C$1,1+(('table for research'!$B349-1)*36+HEX2DEC('table for research'!AG$1))*2,2)</f>
        <v>00</v>
      </c>
      <c r="AH349" t="str">
        <f>MID('paste from garc here'!$C$1,1+(('table for research'!$B349-1)*36+HEX2DEC('table for research'!AH$1))*2,2)</f>
        <v>00</v>
      </c>
      <c r="AI349" t="str">
        <f>MID('paste from garc here'!$C$1,1+(('table for research'!$B349-1)*36+HEX2DEC('table for research'!AI$1))*2,2)</f>
        <v>00</v>
      </c>
      <c r="AJ349" t="str">
        <f>MID('paste from garc here'!$C$1,1+(('table for research'!$B349-1)*36+HEX2DEC('table for research'!AJ$1))*2,2)</f>
        <v>00</v>
      </c>
      <c r="AK349" t="str">
        <f>MID('paste from garc here'!$C$1,1+(('table for research'!$B349-1)*36+HEX2DEC('table for research'!AK$1))*2,2)</f>
        <v>00</v>
      </c>
      <c r="AL349" t="str">
        <f>MID('paste from garc here'!$C$1,1+(('table for research'!$B349-1)*36+HEX2DEC('table for research'!AL$1))*2,2)</f>
        <v>00</v>
      </c>
      <c r="AM349" t="str">
        <f>MID('paste from garc here'!$C$1,1+(('table for research'!$B349-1)*36+HEX2DEC('table for research'!AM$1))*2,2)</f>
        <v>00</v>
      </c>
      <c r="AN349" t="str">
        <f>MID('paste from garc here'!$C$1,1+(('table for research'!$B349-1)*36+HEX2DEC('table for research'!AN$1))*2,2)</f>
        <v>00</v>
      </c>
      <c r="AO349" t="str">
        <f>MID('paste from garc here'!$C$1,1+(('table for research'!$B349-1)*36+HEX2DEC('table for research'!AO$1))*2,2)</f>
        <v>00</v>
      </c>
    </row>
    <row r="350" spans="1:41" x14ac:dyDescent="0.4">
      <c r="A350" t="s">
        <v>353</v>
      </c>
      <c r="B350">
        <f>B349+1</f>
        <v>348</v>
      </c>
      <c r="C350" t="str">
        <f>MID('paste from garc here'!$C$1,1+(('table for research'!$B350-1)*36+HEX2DEC('table for research'!C$1))*2,2)</f>
        <v>B8</v>
      </c>
      <c r="D350" t="str">
        <f>MID('paste from garc here'!$C$1,1+(('table for research'!$B350-1)*36+HEX2DEC('table for research'!D$1))*2,2)</f>
        <v>0B</v>
      </c>
      <c r="E350" t="str">
        <f>MID('paste from garc here'!$C$1,1+(('table for research'!$B350-1)*36+HEX2DEC('table for research'!E$1))*2,2)</f>
        <v>00</v>
      </c>
      <c r="F350" t="str">
        <f>MID('paste from garc here'!$C$1,1+(('table for research'!$B350-1)*36+HEX2DEC('table for research'!F$1))*2,2)</f>
        <v>00</v>
      </c>
      <c r="G350" t="str">
        <f>MID('paste from garc here'!$C$1,1+(('table for research'!$B350-1)*36+HEX2DEC('table for research'!G$1))*2,2)</f>
        <v>00</v>
      </c>
      <c r="H350" t="str">
        <f>MID('paste from garc here'!$C$1,1+(('table for research'!$B350-1)*36+HEX2DEC('table for research'!H$1))*2,2)</f>
        <v>00</v>
      </c>
      <c r="I350" t="str">
        <f>MID('paste from garc here'!$C$1,1+(('table for research'!$B350-1)*36+HEX2DEC('table for research'!I$1))*2,2)</f>
        <v>00</v>
      </c>
      <c r="J350" t="str">
        <f>MID('paste from garc here'!$C$1,1+(('table for research'!$B350-1)*36+HEX2DEC('table for research'!J$1))*2,2)</f>
        <v>00</v>
      </c>
      <c r="K350" t="str">
        <f>DEC2HEX(_xlfn.BITAND(HEX2DEC(MID('paste from garc here'!$C$1,1+(('table for research'!$B350-1)*36+HEX2DEC(8))*2,2)),31),2)</f>
        <v>1F</v>
      </c>
      <c r="L350" t="str">
        <f>DEC2HEX(_xlfn.BITAND(HEX2DEC(MID('paste from garc here'!$C$1,1+(('table for research'!$B350-1)*36+HEX2DEC(8))*2,2)),32),2)</f>
        <v>20</v>
      </c>
      <c r="M350" t="str">
        <f>DEC2HEX(_xlfn.BITAND(HEX2DEC(MID('paste from garc here'!$C$1,1+(('table for research'!$B350-1)*36+HEX2DEC(8))*2,2)),64),2)</f>
        <v>00</v>
      </c>
      <c r="N350" t="str">
        <f>DEC2HEX(_xlfn.BITRSHIFT(_xlfn.BITAND(HEX2DEC(MID('paste from garc here'!$C$1,1+(('table for research'!$B350-1)*36+HEX2DEC(9))*2,2)&amp;MID('paste from garc here'!$C$1,1+(('table for research'!$B350-1)*36+HEX2DEC(8))*2,2)),1920),7),2)</f>
        <v>02</v>
      </c>
      <c r="O350" t="str">
        <f>DEC2HEX(_xlfn.BITRSHIFT(HEX2DEC(MID('paste from garc here'!$C$1,1+(('table for research'!$B350-1)*36+HEX2DEC(9))*2,2)&amp;MID('paste from garc here'!$C$1,1+(('table for research'!$B350-1)*36+HEX2DEC(8))*2,2)),11),2)</f>
        <v>00</v>
      </c>
      <c r="P350" t="str">
        <f>MID('paste from garc here'!$C$1,1+(('table for research'!$B350-1)*36+HEX2DEC('table for research'!P$1))*2,2)</f>
        <v>02</v>
      </c>
      <c r="Q350" t="str">
        <f>MID('paste from garc here'!$C$1,1+(('table for research'!$B350-1)*36+HEX2DEC('table for research'!Q$1))*2,2)</f>
        <v>00</v>
      </c>
      <c r="R350" t="str">
        <f>MID('paste from garc here'!$C$1,1+(('table for research'!$B350-1)*36+HEX2DEC('table for research'!R$1))*2,2)</f>
        <v>00</v>
      </c>
      <c r="S350" t="str">
        <f>MID('paste from garc here'!$C$1,1+(('table for research'!$B350-1)*36+HEX2DEC('table for research'!S$1))*2,2)</f>
        <v>06</v>
      </c>
      <c r="T350" t="str">
        <f>MID('paste from garc here'!$C$1,1+(('table for research'!$B350-1)*36+HEX2DEC('table for research'!T$1))*2,2)</f>
        <v>00</v>
      </c>
      <c r="U350" t="str">
        <f>MID('paste from garc here'!$C$1,1+(('table for research'!$B350-1)*36+HEX2DEC('table for research'!U$1))*2,2)</f>
        <v>14</v>
      </c>
      <c r="V350" t="str">
        <f>MID('paste from garc here'!$C$1,1+(('table for research'!$B350-1)*36+HEX2DEC('table for research'!V$1))*2,2)</f>
        <v>00</v>
      </c>
      <c r="W350" t="str">
        <f>MID('paste from garc here'!$C$1,1+(('table for research'!$B350-1)*36+HEX2DEC('table for research'!W$1))*2,2)</f>
        <v>00</v>
      </c>
      <c r="X350" t="str">
        <f>MID('paste from garc here'!$C$1,1+(('table for research'!$B350-1)*36+HEX2DEC('table for research'!X$1))*2,2)</f>
        <v>00</v>
      </c>
      <c r="Y350" t="str">
        <f>MID('paste from garc here'!$C$1,1+(('table for research'!$B350-1)*36+HEX2DEC('table for research'!Y$1))*2,2)</f>
        <v>00</v>
      </c>
      <c r="Z350" t="str">
        <f>MID('paste from garc here'!$C$1,1+(('table for research'!$B350-1)*36+HEX2DEC('table for research'!Z$1))*2,2)</f>
        <v>00</v>
      </c>
      <c r="AA350" t="str">
        <f>MID('paste from garc here'!$C$1,1+(('table for research'!$B350-1)*36+HEX2DEC('table for research'!AA$1))*2,2)</f>
        <v>00</v>
      </c>
      <c r="AB350" t="str">
        <f>MID('paste from garc here'!$C$1,1+(('table for research'!$B350-1)*36+HEX2DEC('table for research'!AB$1))*2,2)</f>
        <v>00</v>
      </c>
      <c r="AC350" t="str">
        <f>MID('paste from garc here'!$C$1,1+(('table for research'!$B350-1)*36+HEX2DEC('table for research'!AC$1))*2,2)</f>
        <v>00</v>
      </c>
      <c r="AD350" t="str">
        <f>MID('paste from garc here'!$C$1,1+(('table for research'!$B350-1)*36+HEX2DEC('table for research'!AD$1))*2,2)</f>
        <v>00</v>
      </c>
      <c r="AE350" t="str">
        <f>MID('paste from garc here'!$C$1,1+(('table for research'!$B350-1)*36+HEX2DEC('table for research'!AE$1))*2,2)</f>
        <v>00</v>
      </c>
      <c r="AF350" t="str">
        <f>MID('paste from garc here'!$C$1,1+(('table for research'!$B350-1)*36+HEX2DEC('table for research'!AF$1))*2,2)</f>
        <v>00</v>
      </c>
      <c r="AG350" t="str">
        <f>MID('paste from garc here'!$C$1,1+(('table for research'!$B350-1)*36+HEX2DEC('table for research'!AG$1))*2,2)</f>
        <v>00</v>
      </c>
      <c r="AH350" t="str">
        <f>MID('paste from garc here'!$C$1,1+(('table for research'!$B350-1)*36+HEX2DEC('table for research'!AH$1))*2,2)</f>
        <v>00</v>
      </c>
      <c r="AI350" t="str">
        <f>MID('paste from garc here'!$C$1,1+(('table for research'!$B350-1)*36+HEX2DEC('table for research'!AI$1))*2,2)</f>
        <v>00</v>
      </c>
      <c r="AJ350" t="str">
        <f>MID('paste from garc here'!$C$1,1+(('table for research'!$B350-1)*36+HEX2DEC('table for research'!AJ$1))*2,2)</f>
        <v>00</v>
      </c>
      <c r="AK350" t="str">
        <f>MID('paste from garc here'!$C$1,1+(('table for research'!$B350-1)*36+HEX2DEC('table for research'!AK$1))*2,2)</f>
        <v>00</v>
      </c>
      <c r="AL350" t="str">
        <f>MID('paste from garc here'!$C$1,1+(('table for research'!$B350-1)*36+HEX2DEC('table for research'!AL$1))*2,2)</f>
        <v>00</v>
      </c>
      <c r="AM350" t="str">
        <f>MID('paste from garc here'!$C$1,1+(('table for research'!$B350-1)*36+HEX2DEC('table for research'!AM$1))*2,2)</f>
        <v>00</v>
      </c>
      <c r="AN350" t="str">
        <f>MID('paste from garc here'!$C$1,1+(('table for research'!$B350-1)*36+HEX2DEC('table for research'!AN$1))*2,2)</f>
        <v>00</v>
      </c>
      <c r="AO350" t="str">
        <f>MID('paste from garc here'!$C$1,1+(('table for research'!$B350-1)*36+HEX2DEC('table for research'!AO$1))*2,2)</f>
        <v>00</v>
      </c>
    </row>
    <row r="351" spans="1:41" x14ac:dyDescent="0.4">
      <c r="A351" t="s">
        <v>354</v>
      </c>
      <c r="B351">
        <f>B350+1</f>
        <v>349</v>
      </c>
      <c r="C351" t="str">
        <f>MID('paste from garc here'!$C$1,1+(('table for research'!$B351-1)*36+HEX2DEC('table for research'!C$1))*2,2)</f>
        <v>C4</v>
      </c>
      <c r="D351" t="str">
        <f>MID('paste from garc here'!$C$1,1+(('table for research'!$B351-1)*36+HEX2DEC('table for research'!D$1))*2,2)</f>
        <v>09</v>
      </c>
      <c r="E351" t="str">
        <f>MID('paste from garc here'!$C$1,1+(('table for research'!$B351-1)*36+HEX2DEC('table for research'!E$1))*2,2)</f>
        <v>00</v>
      </c>
      <c r="F351" t="str">
        <f>MID('paste from garc here'!$C$1,1+(('table for research'!$B351-1)*36+HEX2DEC('table for research'!F$1))*2,2)</f>
        <v>00</v>
      </c>
      <c r="G351" t="str">
        <f>MID('paste from garc here'!$C$1,1+(('table for research'!$B351-1)*36+HEX2DEC('table for research'!G$1))*2,2)</f>
        <v>00</v>
      </c>
      <c r="H351" t="str">
        <f>MID('paste from garc here'!$C$1,1+(('table for research'!$B351-1)*36+HEX2DEC('table for research'!H$1))*2,2)</f>
        <v>00</v>
      </c>
      <c r="I351" t="str">
        <f>MID('paste from garc here'!$C$1,1+(('table for research'!$B351-1)*36+HEX2DEC('table for research'!I$1))*2,2)</f>
        <v>00</v>
      </c>
      <c r="J351" t="str">
        <f>MID('paste from garc here'!$C$1,1+(('table for research'!$B351-1)*36+HEX2DEC('table for research'!J$1))*2,2)</f>
        <v>00</v>
      </c>
      <c r="K351" t="str">
        <f>DEC2HEX(_xlfn.BITAND(HEX2DEC(MID('paste from garc here'!$C$1,1+(('table for research'!$B351-1)*36+HEX2DEC(8))*2,2)),31),2)</f>
        <v>1F</v>
      </c>
      <c r="L351" t="str">
        <f>DEC2HEX(_xlfn.BITAND(HEX2DEC(MID('paste from garc here'!$C$1,1+(('table for research'!$B351-1)*36+HEX2DEC(8))*2,2)),32),2)</f>
        <v>20</v>
      </c>
      <c r="M351" t="str">
        <f>DEC2HEX(_xlfn.BITAND(HEX2DEC(MID('paste from garc here'!$C$1,1+(('table for research'!$B351-1)*36+HEX2DEC(8))*2,2)),64),2)</f>
        <v>00</v>
      </c>
      <c r="N351" t="str">
        <f>DEC2HEX(_xlfn.BITRSHIFT(_xlfn.BITAND(HEX2DEC(MID('paste from garc here'!$C$1,1+(('table for research'!$B351-1)*36+HEX2DEC(9))*2,2)&amp;MID('paste from garc here'!$C$1,1+(('table for research'!$B351-1)*36+HEX2DEC(8))*2,2)),1920),7),2)</f>
        <v>02</v>
      </c>
      <c r="O351" t="str">
        <f>DEC2HEX(_xlfn.BITRSHIFT(HEX2DEC(MID('paste from garc here'!$C$1,1+(('table for research'!$B351-1)*36+HEX2DEC(9))*2,2)&amp;MID('paste from garc here'!$C$1,1+(('table for research'!$B351-1)*36+HEX2DEC(8))*2,2)),11),2)</f>
        <v>00</v>
      </c>
      <c r="P351" t="str">
        <f>MID('paste from garc here'!$C$1,1+(('table for research'!$B351-1)*36+HEX2DEC('table for research'!P$1))*2,2)</f>
        <v>02</v>
      </c>
      <c r="Q351" t="str">
        <f>MID('paste from garc here'!$C$1,1+(('table for research'!$B351-1)*36+HEX2DEC('table for research'!Q$1))*2,2)</f>
        <v>00</v>
      </c>
      <c r="R351" t="str">
        <f>MID('paste from garc here'!$C$1,1+(('table for research'!$B351-1)*36+HEX2DEC('table for research'!R$1))*2,2)</f>
        <v>00</v>
      </c>
      <c r="S351" t="str">
        <f>MID('paste from garc here'!$C$1,1+(('table for research'!$B351-1)*36+HEX2DEC('table for research'!S$1))*2,2)</f>
        <v>06</v>
      </c>
      <c r="T351" t="str">
        <f>MID('paste from garc here'!$C$1,1+(('table for research'!$B351-1)*36+HEX2DEC('table for research'!T$1))*2,2)</f>
        <v>00</v>
      </c>
      <c r="U351" t="str">
        <f>MID('paste from garc here'!$C$1,1+(('table for research'!$B351-1)*36+HEX2DEC('table for research'!U$1))*2,2)</f>
        <v>15</v>
      </c>
      <c r="V351" t="str">
        <f>MID('paste from garc here'!$C$1,1+(('table for research'!$B351-1)*36+HEX2DEC('table for research'!V$1))*2,2)</f>
        <v>00</v>
      </c>
      <c r="W351" t="str">
        <f>MID('paste from garc here'!$C$1,1+(('table for research'!$B351-1)*36+HEX2DEC('table for research'!W$1))*2,2)</f>
        <v>00</v>
      </c>
      <c r="X351" t="str">
        <f>MID('paste from garc here'!$C$1,1+(('table for research'!$B351-1)*36+HEX2DEC('table for research'!X$1))*2,2)</f>
        <v>00</v>
      </c>
      <c r="Y351" t="str">
        <f>MID('paste from garc here'!$C$1,1+(('table for research'!$B351-1)*36+HEX2DEC('table for research'!Y$1))*2,2)</f>
        <v>00</v>
      </c>
      <c r="Z351" t="str">
        <f>MID('paste from garc here'!$C$1,1+(('table for research'!$B351-1)*36+HEX2DEC('table for research'!Z$1))*2,2)</f>
        <v>00</v>
      </c>
      <c r="AA351" t="str">
        <f>MID('paste from garc here'!$C$1,1+(('table for research'!$B351-1)*36+HEX2DEC('table for research'!AA$1))*2,2)</f>
        <v>00</v>
      </c>
      <c r="AB351" t="str">
        <f>MID('paste from garc here'!$C$1,1+(('table for research'!$B351-1)*36+HEX2DEC('table for research'!AB$1))*2,2)</f>
        <v>00</v>
      </c>
      <c r="AC351" t="str">
        <f>MID('paste from garc here'!$C$1,1+(('table for research'!$B351-1)*36+HEX2DEC('table for research'!AC$1))*2,2)</f>
        <v>00</v>
      </c>
      <c r="AD351" t="str">
        <f>MID('paste from garc here'!$C$1,1+(('table for research'!$B351-1)*36+HEX2DEC('table for research'!AD$1))*2,2)</f>
        <v>00</v>
      </c>
      <c r="AE351" t="str">
        <f>MID('paste from garc here'!$C$1,1+(('table for research'!$B351-1)*36+HEX2DEC('table for research'!AE$1))*2,2)</f>
        <v>00</v>
      </c>
      <c r="AF351" t="str">
        <f>MID('paste from garc here'!$C$1,1+(('table for research'!$B351-1)*36+HEX2DEC('table for research'!AF$1))*2,2)</f>
        <v>00</v>
      </c>
      <c r="AG351" t="str">
        <f>MID('paste from garc here'!$C$1,1+(('table for research'!$B351-1)*36+HEX2DEC('table for research'!AG$1))*2,2)</f>
        <v>00</v>
      </c>
      <c r="AH351" t="str">
        <f>MID('paste from garc here'!$C$1,1+(('table for research'!$B351-1)*36+HEX2DEC('table for research'!AH$1))*2,2)</f>
        <v>00</v>
      </c>
      <c r="AI351" t="str">
        <f>MID('paste from garc here'!$C$1,1+(('table for research'!$B351-1)*36+HEX2DEC('table for research'!AI$1))*2,2)</f>
        <v>00</v>
      </c>
      <c r="AJ351" t="str">
        <f>MID('paste from garc here'!$C$1,1+(('table for research'!$B351-1)*36+HEX2DEC('table for research'!AJ$1))*2,2)</f>
        <v>00</v>
      </c>
      <c r="AK351" t="str">
        <f>MID('paste from garc here'!$C$1,1+(('table for research'!$B351-1)*36+HEX2DEC('table for research'!AK$1))*2,2)</f>
        <v>00</v>
      </c>
      <c r="AL351" t="str">
        <f>MID('paste from garc here'!$C$1,1+(('table for research'!$B351-1)*36+HEX2DEC('table for research'!AL$1))*2,2)</f>
        <v>00</v>
      </c>
      <c r="AM351" t="str">
        <f>MID('paste from garc here'!$C$1,1+(('table for research'!$B351-1)*36+HEX2DEC('table for research'!AM$1))*2,2)</f>
        <v>00</v>
      </c>
      <c r="AN351" t="str">
        <f>MID('paste from garc here'!$C$1,1+(('table for research'!$B351-1)*36+HEX2DEC('table for research'!AN$1))*2,2)</f>
        <v>00</v>
      </c>
      <c r="AO351" t="str">
        <f>MID('paste from garc here'!$C$1,1+(('table for research'!$B351-1)*36+HEX2DEC('table for research'!AO$1))*2,2)</f>
        <v>00</v>
      </c>
    </row>
    <row r="352" spans="1:41" x14ac:dyDescent="0.4">
      <c r="A352" t="s">
        <v>355</v>
      </c>
      <c r="B352">
        <f>B351+1</f>
        <v>350</v>
      </c>
      <c r="C352" t="str">
        <f>MID('paste from garc here'!$C$1,1+(('table for research'!$B352-1)*36+HEX2DEC('table for research'!C$1))*2,2)</f>
        <v>E8</v>
      </c>
      <c r="D352" t="str">
        <f>MID('paste from garc here'!$C$1,1+(('table for research'!$B352-1)*36+HEX2DEC('table for research'!D$1))*2,2)</f>
        <v>03</v>
      </c>
      <c r="E352" t="str">
        <f>MID('paste from garc here'!$C$1,1+(('table for research'!$B352-1)*36+HEX2DEC('table for research'!E$1))*2,2)</f>
        <v>00</v>
      </c>
      <c r="F352" t="str">
        <f>MID('paste from garc here'!$C$1,1+(('table for research'!$B352-1)*36+HEX2DEC('table for research'!F$1))*2,2)</f>
        <v>00</v>
      </c>
      <c r="G352" t="str">
        <f>MID('paste from garc here'!$C$1,1+(('table for research'!$B352-1)*36+HEX2DEC('table for research'!G$1))*2,2)</f>
        <v>00</v>
      </c>
      <c r="H352" t="str">
        <f>MID('paste from garc here'!$C$1,1+(('table for research'!$B352-1)*36+HEX2DEC('table for research'!H$1))*2,2)</f>
        <v>00</v>
      </c>
      <c r="I352" t="str">
        <f>MID('paste from garc here'!$C$1,1+(('table for research'!$B352-1)*36+HEX2DEC('table for research'!I$1))*2,2)</f>
        <v>00</v>
      </c>
      <c r="J352" t="str">
        <f>MID('paste from garc here'!$C$1,1+(('table for research'!$B352-1)*36+HEX2DEC('table for research'!J$1))*2,2)</f>
        <v>00</v>
      </c>
      <c r="K352" t="str">
        <f>DEC2HEX(_xlfn.BITAND(HEX2DEC(MID('paste from garc here'!$C$1,1+(('table for research'!$B352-1)*36+HEX2DEC(8))*2,2)),31),2)</f>
        <v>1F</v>
      </c>
      <c r="L352" t="str">
        <f>DEC2HEX(_xlfn.BITAND(HEX2DEC(MID('paste from garc here'!$C$1,1+(('table for research'!$B352-1)*36+HEX2DEC(8))*2,2)),32),2)</f>
        <v>20</v>
      </c>
      <c r="M352" t="str">
        <f>DEC2HEX(_xlfn.BITAND(HEX2DEC(MID('paste from garc here'!$C$1,1+(('table for research'!$B352-1)*36+HEX2DEC(8))*2,2)),64),2)</f>
        <v>00</v>
      </c>
      <c r="N352" t="str">
        <f>DEC2HEX(_xlfn.BITRSHIFT(_xlfn.BITAND(HEX2DEC(MID('paste from garc here'!$C$1,1+(('table for research'!$B352-1)*36+HEX2DEC(9))*2,2)&amp;MID('paste from garc here'!$C$1,1+(('table for research'!$B352-1)*36+HEX2DEC(8))*2,2)),1920),7),2)</f>
        <v>02</v>
      </c>
      <c r="O352" t="str">
        <f>DEC2HEX(_xlfn.BITRSHIFT(HEX2DEC(MID('paste from garc here'!$C$1,1+(('table for research'!$B352-1)*36+HEX2DEC(9))*2,2)&amp;MID('paste from garc here'!$C$1,1+(('table for research'!$B352-1)*36+HEX2DEC(8))*2,2)),11),2)</f>
        <v>00</v>
      </c>
      <c r="P352" t="str">
        <f>MID('paste from garc here'!$C$1,1+(('table for research'!$B352-1)*36+HEX2DEC('table for research'!P$1))*2,2)</f>
        <v>02</v>
      </c>
      <c r="Q352" t="str">
        <f>MID('paste from garc here'!$C$1,1+(('table for research'!$B352-1)*36+HEX2DEC('table for research'!Q$1))*2,2)</f>
        <v>00</v>
      </c>
      <c r="R352" t="str">
        <f>MID('paste from garc here'!$C$1,1+(('table for research'!$B352-1)*36+HEX2DEC('table for research'!R$1))*2,2)</f>
        <v>00</v>
      </c>
      <c r="S352" t="str">
        <f>MID('paste from garc here'!$C$1,1+(('table for research'!$B352-1)*36+HEX2DEC('table for research'!S$1))*2,2)</f>
        <v>06</v>
      </c>
      <c r="T352" t="str">
        <f>MID('paste from garc here'!$C$1,1+(('table for research'!$B352-1)*36+HEX2DEC('table for research'!T$1))*2,2)</f>
        <v>00</v>
      </c>
      <c r="U352" t="str">
        <f>MID('paste from garc here'!$C$1,1+(('table for research'!$B352-1)*36+HEX2DEC('table for research'!U$1))*2,2)</f>
        <v>16</v>
      </c>
      <c r="V352" t="str">
        <f>MID('paste from garc here'!$C$1,1+(('table for research'!$B352-1)*36+HEX2DEC('table for research'!V$1))*2,2)</f>
        <v>00</v>
      </c>
      <c r="W352" t="str">
        <f>MID('paste from garc here'!$C$1,1+(('table for research'!$B352-1)*36+HEX2DEC('table for research'!W$1))*2,2)</f>
        <v>00</v>
      </c>
      <c r="X352" t="str">
        <f>MID('paste from garc here'!$C$1,1+(('table for research'!$B352-1)*36+HEX2DEC('table for research'!X$1))*2,2)</f>
        <v>00</v>
      </c>
      <c r="Y352" t="str">
        <f>MID('paste from garc here'!$C$1,1+(('table for research'!$B352-1)*36+HEX2DEC('table for research'!Y$1))*2,2)</f>
        <v>00</v>
      </c>
      <c r="Z352" t="str">
        <f>MID('paste from garc here'!$C$1,1+(('table for research'!$B352-1)*36+HEX2DEC('table for research'!Z$1))*2,2)</f>
        <v>00</v>
      </c>
      <c r="AA352" t="str">
        <f>MID('paste from garc here'!$C$1,1+(('table for research'!$B352-1)*36+HEX2DEC('table for research'!AA$1))*2,2)</f>
        <v>00</v>
      </c>
      <c r="AB352" t="str">
        <f>MID('paste from garc here'!$C$1,1+(('table for research'!$B352-1)*36+HEX2DEC('table for research'!AB$1))*2,2)</f>
        <v>00</v>
      </c>
      <c r="AC352" t="str">
        <f>MID('paste from garc here'!$C$1,1+(('table for research'!$B352-1)*36+HEX2DEC('table for research'!AC$1))*2,2)</f>
        <v>00</v>
      </c>
      <c r="AD352" t="str">
        <f>MID('paste from garc here'!$C$1,1+(('table for research'!$B352-1)*36+HEX2DEC('table for research'!AD$1))*2,2)</f>
        <v>00</v>
      </c>
      <c r="AE352" t="str">
        <f>MID('paste from garc here'!$C$1,1+(('table for research'!$B352-1)*36+HEX2DEC('table for research'!AE$1))*2,2)</f>
        <v>00</v>
      </c>
      <c r="AF352" t="str">
        <f>MID('paste from garc here'!$C$1,1+(('table for research'!$B352-1)*36+HEX2DEC('table for research'!AF$1))*2,2)</f>
        <v>00</v>
      </c>
      <c r="AG352" t="str">
        <f>MID('paste from garc here'!$C$1,1+(('table for research'!$B352-1)*36+HEX2DEC('table for research'!AG$1))*2,2)</f>
        <v>00</v>
      </c>
      <c r="AH352" t="str">
        <f>MID('paste from garc here'!$C$1,1+(('table for research'!$B352-1)*36+HEX2DEC('table for research'!AH$1))*2,2)</f>
        <v>00</v>
      </c>
      <c r="AI352" t="str">
        <f>MID('paste from garc here'!$C$1,1+(('table for research'!$B352-1)*36+HEX2DEC('table for research'!AI$1))*2,2)</f>
        <v>00</v>
      </c>
      <c r="AJ352" t="str">
        <f>MID('paste from garc here'!$C$1,1+(('table for research'!$B352-1)*36+HEX2DEC('table for research'!AJ$1))*2,2)</f>
        <v>00</v>
      </c>
      <c r="AK352" t="str">
        <f>MID('paste from garc here'!$C$1,1+(('table for research'!$B352-1)*36+HEX2DEC('table for research'!AK$1))*2,2)</f>
        <v>00</v>
      </c>
      <c r="AL352" t="str">
        <f>MID('paste from garc here'!$C$1,1+(('table for research'!$B352-1)*36+HEX2DEC('table for research'!AL$1))*2,2)</f>
        <v>00</v>
      </c>
      <c r="AM352" t="str">
        <f>MID('paste from garc here'!$C$1,1+(('table for research'!$B352-1)*36+HEX2DEC('table for research'!AM$1))*2,2)</f>
        <v>00</v>
      </c>
      <c r="AN352" t="str">
        <f>MID('paste from garc here'!$C$1,1+(('table for research'!$B352-1)*36+HEX2DEC('table for research'!AN$1))*2,2)</f>
        <v>00</v>
      </c>
      <c r="AO352" t="str">
        <f>MID('paste from garc here'!$C$1,1+(('table for research'!$B352-1)*36+HEX2DEC('table for research'!AO$1))*2,2)</f>
        <v>00</v>
      </c>
    </row>
    <row r="353" spans="1:41" x14ac:dyDescent="0.4">
      <c r="A353" t="s">
        <v>356</v>
      </c>
      <c r="B353">
        <f>B352+1</f>
        <v>351</v>
      </c>
      <c r="C353" t="str">
        <f>MID('paste from garc here'!$C$1,1+(('table for research'!$B353-1)*36+HEX2DEC('table for research'!C$1))*2,2)</f>
        <v>E8</v>
      </c>
      <c r="D353" t="str">
        <f>MID('paste from garc here'!$C$1,1+(('table for research'!$B353-1)*36+HEX2DEC('table for research'!D$1))*2,2)</f>
        <v>03</v>
      </c>
      <c r="E353" t="str">
        <f>MID('paste from garc here'!$C$1,1+(('table for research'!$B353-1)*36+HEX2DEC('table for research'!E$1))*2,2)</f>
        <v>00</v>
      </c>
      <c r="F353" t="str">
        <f>MID('paste from garc here'!$C$1,1+(('table for research'!$B353-1)*36+HEX2DEC('table for research'!F$1))*2,2)</f>
        <v>00</v>
      </c>
      <c r="G353" t="str">
        <f>MID('paste from garc here'!$C$1,1+(('table for research'!$B353-1)*36+HEX2DEC('table for research'!G$1))*2,2)</f>
        <v>00</v>
      </c>
      <c r="H353" t="str">
        <f>MID('paste from garc here'!$C$1,1+(('table for research'!$B353-1)*36+HEX2DEC('table for research'!H$1))*2,2)</f>
        <v>00</v>
      </c>
      <c r="I353" t="str">
        <f>MID('paste from garc here'!$C$1,1+(('table for research'!$B353-1)*36+HEX2DEC('table for research'!I$1))*2,2)</f>
        <v>00</v>
      </c>
      <c r="J353" t="str">
        <f>MID('paste from garc here'!$C$1,1+(('table for research'!$B353-1)*36+HEX2DEC('table for research'!J$1))*2,2)</f>
        <v>00</v>
      </c>
      <c r="K353" t="str">
        <f>DEC2HEX(_xlfn.BITAND(HEX2DEC(MID('paste from garc here'!$C$1,1+(('table for research'!$B353-1)*36+HEX2DEC(8))*2,2)),31),2)</f>
        <v>1F</v>
      </c>
      <c r="L353" t="str">
        <f>DEC2HEX(_xlfn.BITAND(HEX2DEC(MID('paste from garc here'!$C$1,1+(('table for research'!$B353-1)*36+HEX2DEC(8))*2,2)),32),2)</f>
        <v>20</v>
      </c>
      <c r="M353" t="str">
        <f>DEC2HEX(_xlfn.BITAND(HEX2DEC(MID('paste from garc here'!$C$1,1+(('table for research'!$B353-1)*36+HEX2DEC(8))*2,2)),64),2)</f>
        <v>00</v>
      </c>
      <c r="N353" t="str">
        <f>DEC2HEX(_xlfn.BITRSHIFT(_xlfn.BITAND(HEX2DEC(MID('paste from garc here'!$C$1,1+(('table for research'!$B353-1)*36+HEX2DEC(9))*2,2)&amp;MID('paste from garc here'!$C$1,1+(('table for research'!$B353-1)*36+HEX2DEC(8))*2,2)),1920),7),2)</f>
        <v>02</v>
      </c>
      <c r="O353" t="str">
        <f>DEC2HEX(_xlfn.BITRSHIFT(HEX2DEC(MID('paste from garc here'!$C$1,1+(('table for research'!$B353-1)*36+HEX2DEC(9))*2,2)&amp;MID('paste from garc here'!$C$1,1+(('table for research'!$B353-1)*36+HEX2DEC(8))*2,2)),11),2)</f>
        <v>00</v>
      </c>
      <c r="P353" t="str">
        <f>MID('paste from garc here'!$C$1,1+(('table for research'!$B353-1)*36+HEX2DEC('table for research'!P$1))*2,2)</f>
        <v>02</v>
      </c>
      <c r="Q353" t="str">
        <f>MID('paste from garc here'!$C$1,1+(('table for research'!$B353-1)*36+HEX2DEC('table for research'!Q$1))*2,2)</f>
        <v>00</v>
      </c>
      <c r="R353" t="str">
        <f>MID('paste from garc here'!$C$1,1+(('table for research'!$B353-1)*36+HEX2DEC('table for research'!R$1))*2,2)</f>
        <v>00</v>
      </c>
      <c r="S353" t="str">
        <f>MID('paste from garc here'!$C$1,1+(('table for research'!$B353-1)*36+HEX2DEC('table for research'!S$1))*2,2)</f>
        <v>06</v>
      </c>
      <c r="T353" t="str">
        <f>MID('paste from garc here'!$C$1,1+(('table for research'!$B353-1)*36+HEX2DEC('table for research'!T$1))*2,2)</f>
        <v>00</v>
      </c>
      <c r="U353" t="str">
        <f>MID('paste from garc here'!$C$1,1+(('table for research'!$B353-1)*36+HEX2DEC('table for research'!U$1))*2,2)</f>
        <v>17</v>
      </c>
      <c r="V353" t="str">
        <f>MID('paste from garc here'!$C$1,1+(('table for research'!$B353-1)*36+HEX2DEC('table for research'!V$1))*2,2)</f>
        <v>00</v>
      </c>
      <c r="W353" t="str">
        <f>MID('paste from garc here'!$C$1,1+(('table for research'!$B353-1)*36+HEX2DEC('table for research'!W$1))*2,2)</f>
        <v>00</v>
      </c>
      <c r="X353" t="str">
        <f>MID('paste from garc here'!$C$1,1+(('table for research'!$B353-1)*36+HEX2DEC('table for research'!X$1))*2,2)</f>
        <v>00</v>
      </c>
      <c r="Y353" t="str">
        <f>MID('paste from garc here'!$C$1,1+(('table for research'!$B353-1)*36+HEX2DEC('table for research'!Y$1))*2,2)</f>
        <v>00</v>
      </c>
      <c r="Z353" t="str">
        <f>MID('paste from garc here'!$C$1,1+(('table for research'!$B353-1)*36+HEX2DEC('table for research'!Z$1))*2,2)</f>
        <v>00</v>
      </c>
      <c r="AA353" t="str">
        <f>MID('paste from garc here'!$C$1,1+(('table for research'!$B353-1)*36+HEX2DEC('table for research'!AA$1))*2,2)</f>
        <v>00</v>
      </c>
      <c r="AB353" t="str">
        <f>MID('paste from garc here'!$C$1,1+(('table for research'!$B353-1)*36+HEX2DEC('table for research'!AB$1))*2,2)</f>
        <v>00</v>
      </c>
      <c r="AC353" t="str">
        <f>MID('paste from garc here'!$C$1,1+(('table for research'!$B353-1)*36+HEX2DEC('table for research'!AC$1))*2,2)</f>
        <v>00</v>
      </c>
      <c r="AD353" t="str">
        <f>MID('paste from garc here'!$C$1,1+(('table for research'!$B353-1)*36+HEX2DEC('table for research'!AD$1))*2,2)</f>
        <v>00</v>
      </c>
      <c r="AE353" t="str">
        <f>MID('paste from garc here'!$C$1,1+(('table for research'!$B353-1)*36+HEX2DEC('table for research'!AE$1))*2,2)</f>
        <v>00</v>
      </c>
      <c r="AF353" t="str">
        <f>MID('paste from garc here'!$C$1,1+(('table for research'!$B353-1)*36+HEX2DEC('table for research'!AF$1))*2,2)</f>
        <v>00</v>
      </c>
      <c r="AG353" t="str">
        <f>MID('paste from garc here'!$C$1,1+(('table for research'!$B353-1)*36+HEX2DEC('table for research'!AG$1))*2,2)</f>
        <v>00</v>
      </c>
      <c r="AH353" t="str">
        <f>MID('paste from garc here'!$C$1,1+(('table for research'!$B353-1)*36+HEX2DEC('table for research'!AH$1))*2,2)</f>
        <v>00</v>
      </c>
      <c r="AI353" t="str">
        <f>MID('paste from garc here'!$C$1,1+(('table for research'!$B353-1)*36+HEX2DEC('table for research'!AI$1))*2,2)</f>
        <v>00</v>
      </c>
      <c r="AJ353" t="str">
        <f>MID('paste from garc here'!$C$1,1+(('table for research'!$B353-1)*36+HEX2DEC('table for research'!AJ$1))*2,2)</f>
        <v>00</v>
      </c>
      <c r="AK353" t="str">
        <f>MID('paste from garc here'!$C$1,1+(('table for research'!$B353-1)*36+HEX2DEC('table for research'!AK$1))*2,2)</f>
        <v>00</v>
      </c>
      <c r="AL353" t="str">
        <f>MID('paste from garc here'!$C$1,1+(('table for research'!$B353-1)*36+HEX2DEC('table for research'!AL$1))*2,2)</f>
        <v>00</v>
      </c>
      <c r="AM353" t="str">
        <f>MID('paste from garc here'!$C$1,1+(('table for research'!$B353-1)*36+HEX2DEC('table for research'!AM$1))*2,2)</f>
        <v>00</v>
      </c>
      <c r="AN353" t="str">
        <f>MID('paste from garc here'!$C$1,1+(('table for research'!$B353-1)*36+HEX2DEC('table for research'!AN$1))*2,2)</f>
        <v>00</v>
      </c>
      <c r="AO353" t="str">
        <f>MID('paste from garc here'!$C$1,1+(('table for research'!$B353-1)*36+HEX2DEC('table for research'!AO$1))*2,2)</f>
        <v>00</v>
      </c>
    </row>
    <row r="354" spans="1:41" x14ac:dyDescent="0.4">
      <c r="A354" t="s">
        <v>357</v>
      </c>
      <c r="B354">
        <f>B353+1</f>
        <v>352</v>
      </c>
      <c r="C354" t="str">
        <f>MID('paste from garc here'!$C$1,1+(('table for research'!$B354-1)*36+HEX2DEC('table for research'!C$1))*2,2)</f>
        <v>88</v>
      </c>
      <c r="D354" t="str">
        <f>MID('paste from garc here'!$C$1,1+(('table for research'!$B354-1)*36+HEX2DEC('table for research'!D$1))*2,2)</f>
        <v>13</v>
      </c>
      <c r="E354" t="str">
        <f>MID('paste from garc here'!$C$1,1+(('table for research'!$B354-1)*36+HEX2DEC('table for research'!E$1))*2,2)</f>
        <v>00</v>
      </c>
      <c r="F354" t="str">
        <f>MID('paste from garc here'!$C$1,1+(('table for research'!$B354-1)*36+HEX2DEC('table for research'!F$1))*2,2)</f>
        <v>00</v>
      </c>
      <c r="G354" t="str">
        <f>MID('paste from garc here'!$C$1,1+(('table for research'!$B354-1)*36+HEX2DEC('table for research'!G$1))*2,2)</f>
        <v>00</v>
      </c>
      <c r="H354" t="str">
        <f>MID('paste from garc here'!$C$1,1+(('table for research'!$B354-1)*36+HEX2DEC('table for research'!H$1))*2,2)</f>
        <v>00</v>
      </c>
      <c r="I354" t="str">
        <f>MID('paste from garc here'!$C$1,1+(('table for research'!$B354-1)*36+HEX2DEC('table for research'!I$1))*2,2)</f>
        <v>00</v>
      </c>
      <c r="J354" t="str">
        <f>MID('paste from garc here'!$C$1,1+(('table for research'!$B354-1)*36+HEX2DEC('table for research'!J$1))*2,2)</f>
        <v>00</v>
      </c>
      <c r="K354" t="str">
        <f>DEC2HEX(_xlfn.BITAND(HEX2DEC(MID('paste from garc here'!$C$1,1+(('table for research'!$B354-1)*36+HEX2DEC(8))*2,2)),31),2)</f>
        <v>1F</v>
      </c>
      <c r="L354" t="str">
        <f>DEC2HEX(_xlfn.BITAND(HEX2DEC(MID('paste from garc here'!$C$1,1+(('table for research'!$B354-1)*36+HEX2DEC(8))*2,2)),32),2)</f>
        <v>20</v>
      </c>
      <c r="M354" t="str">
        <f>DEC2HEX(_xlfn.BITAND(HEX2DEC(MID('paste from garc here'!$C$1,1+(('table for research'!$B354-1)*36+HEX2DEC(8))*2,2)),64),2)</f>
        <v>00</v>
      </c>
      <c r="N354" t="str">
        <f>DEC2HEX(_xlfn.BITRSHIFT(_xlfn.BITAND(HEX2DEC(MID('paste from garc here'!$C$1,1+(('table for research'!$B354-1)*36+HEX2DEC(9))*2,2)&amp;MID('paste from garc here'!$C$1,1+(('table for research'!$B354-1)*36+HEX2DEC(8))*2,2)),1920),7),2)</f>
        <v>02</v>
      </c>
      <c r="O354" t="str">
        <f>DEC2HEX(_xlfn.BITRSHIFT(HEX2DEC(MID('paste from garc here'!$C$1,1+(('table for research'!$B354-1)*36+HEX2DEC(9))*2,2)&amp;MID('paste from garc here'!$C$1,1+(('table for research'!$B354-1)*36+HEX2DEC(8))*2,2)),11),2)</f>
        <v>00</v>
      </c>
      <c r="P354" t="str">
        <f>MID('paste from garc here'!$C$1,1+(('table for research'!$B354-1)*36+HEX2DEC('table for research'!P$1))*2,2)</f>
        <v>02</v>
      </c>
      <c r="Q354" t="str">
        <f>MID('paste from garc here'!$C$1,1+(('table for research'!$B354-1)*36+HEX2DEC('table for research'!Q$1))*2,2)</f>
        <v>00</v>
      </c>
      <c r="R354" t="str">
        <f>MID('paste from garc here'!$C$1,1+(('table for research'!$B354-1)*36+HEX2DEC('table for research'!R$1))*2,2)</f>
        <v>00</v>
      </c>
      <c r="S354" t="str">
        <f>MID('paste from garc here'!$C$1,1+(('table for research'!$B354-1)*36+HEX2DEC('table for research'!S$1))*2,2)</f>
        <v>06</v>
      </c>
      <c r="T354" t="str">
        <f>MID('paste from garc here'!$C$1,1+(('table for research'!$B354-1)*36+HEX2DEC('table for research'!T$1))*2,2)</f>
        <v>00</v>
      </c>
      <c r="U354" t="str">
        <f>MID('paste from garc here'!$C$1,1+(('table for research'!$B354-1)*36+HEX2DEC('table for research'!U$1))*2,2)</f>
        <v>18</v>
      </c>
      <c r="V354" t="str">
        <f>MID('paste from garc here'!$C$1,1+(('table for research'!$B354-1)*36+HEX2DEC('table for research'!V$1))*2,2)</f>
        <v>00</v>
      </c>
      <c r="W354" t="str">
        <f>MID('paste from garc here'!$C$1,1+(('table for research'!$B354-1)*36+HEX2DEC('table for research'!W$1))*2,2)</f>
        <v>00</v>
      </c>
      <c r="X354" t="str">
        <f>MID('paste from garc here'!$C$1,1+(('table for research'!$B354-1)*36+HEX2DEC('table for research'!X$1))*2,2)</f>
        <v>00</v>
      </c>
      <c r="Y354" t="str">
        <f>MID('paste from garc here'!$C$1,1+(('table for research'!$B354-1)*36+HEX2DEC('table for research'!Y$1))*2,2)</f>
        <v>00</v>
      </c>
      <c r="Z354" t="str">
        <f>MID('paste from garc here'!$C$1,1+(('table for research'!$B354-1)*36+HEX2DEC('table for research'!Z$1))*2,2)</f>
        <v>00</v>
      </c>
      <c r="AA354" t="str">
        <f>MID('paste from garc here'!$C$1,1+(('table for research'!$B354-1)*36+HEX2DEC('table for research'!AA$1))*2,2)</f>
        <v>00</v>
      </c>
      <c r="AB354" t="str">
        <f>MID('paste from garc here'!$C$1,1+(('table for research'!$B354-1)*36+HEX2DEC('table for research'!AB$1))*2,2)</f>
        <v>00</v>
      </c>
      <c r="AC354" t="str">
        <f>MID('paste from garc here'!$C$1,1+(('table for research'!$B354-1)*36+HEX2DEC('table for research'!AC$1))*2,2)</f>
        <v>00</v>
      </c>
      <c r="AD354" t="str">
        <f>MID('paste from garc here'!$C$1,1+(('table for research'!$B354-1)*36+HEX2DEC('table for research'!AD$1))*2,2)</f>
        <v>00</v>
      </c>
      <c r="AE354" t="str">
        <f>MID('paste from garc here'!$C$1,1+(('table for research'!$B354-1)*36+HEX2DEC('table for research'!AE$1))*2,2)</f>
        <v>00</v>
      </c>
      <c r="AF354" t="str">
        <f>MID('paste from garc here'!$C$1,1+(('table for research'!$B354-1)*36+HEX2DEC('table for research'!AF$1))*2,2)</f>
        <v>00</v>
      </c>
      <c r="AG354" t="str">
        <f>MID('paste from garc here'!$C$1,1+(('table for research'!$B354-1)*36+HEX2DEC('table for research'!AG$1))*2,2)</f>
        <v>00</v>
      </c>
      <c r="AH354" t="str">
        <f>MID('paste from garc here'!$C$1,1+(('table for research'!$B354-1)*36+HEX2DEC('table for research'!AH$1))*2,2)</f>
        <v>00</v>
      </c>
      <c r="AI354" t="str">
        <f>MID('paste from garc here'!$C$1,1+(('table for research'!$B354-1)*36+HEX2DEC('table for research'!AI$1))*2,2)</f>
        <v>00</v>
      </c>
      <c r="AJ354" t="str">
        <f>MID('paste from garc here'!$C$1,1+(('table for research'!$B354-1)*36+HEX2DEC('table for research'!AJ$1))*2,2)</f>
        <v>00</v>
      </c>
      <c r="AK354" t="str">
        <f>MID('paste from garc here'!$C$1,1+(('table for research'!$B354-1)*36+HEX2DEC('table for research'!AK$1))*2,2)</f>
        <v>00</v>
      </c>
      <c r="AL354" t="str">
        <f>MID('paste from garc here'!$C$1,1+(('table for research'!$B354-1)*36+HEX2DEC('table for research'!AL$1))*2,2)</f>
        <v>00</v>
      </c>
      <c r="AM354" t="str">
        <f>MID('paste from garc here'!$C$1,1+(('table for research'!$B354-1)*36+HEX2DEC('table for research'!AM$1))*2,2)</f>
        <v>00</v>
      </c>
      <c r="AN354" t="str">
        <f>MID('paste from garc here'!$C$1,1+(('table for research'!$B354-1)*36+HEX2DEC('table for research'!AN$1))*2,2)</f>
        <v>00</v>
      </c>
      <c r="AO354" t="str">
        <f>MID('paste from garc here'!$C$1,1+(('table for research'!$B354-1)*36+HEX2DEC('table for research'!AO$1))*2,2)</f>
        <v>00</v>
      </c>
    </row>
    <row r="355" spans="1:41" x14ac:dyDescent="0.4">
      <c r="A355" t="s">
        <v>358</v>
      </c>
      <c r="B355">
        <f>B354+1</f>
        <v>353</v>
      </c>
      <c r="C355" t="str">
        <f>MID('paste from garc here'!$C$1,1+(('table for research'!$B355-1)*36+HEX2DEC('table for research'!C$1))*2,2)</f>
        <v>E8</v>
      </c>
      <c r="D355" t="str">
        <f>MID('paste from garc here'!$C$1,1+(('table for research'!$B355-1)*36+HEX2DEC('table for research'!D$1))*2,2)</f>
        <v>03</v>
      </c>
      <c r="E355" t="str">
        <f>MID('paste from garc here'!$C$1,1+(('table for research'!$B355-1)*36+HEX2DEC('table for research'!E$1))*2,2)</f>
        <v>00</v>
      </c>
      <c r="F355" t="str">
        <f>MID('paste from garc here'!$C$1,1+(('table for research'!$B355-1)*36+HEX2DEC('table for research'!F$1))*2,2)</f>
        <v>00</v>
      </c>
      <c r="G355" t="str">
        <f>MID('paste from garc here'!$C$1,1+(('table for research'!$B355-1)*36+HEX2DEC('table for research'!G$1))*2,2)</f>
        <v>00</v>
      </c>
      <c r="H355" t="str">
        <f>MID('paste from garc here'!$C$1,1+(('table for research'!$B355-1)*36+HEX2DEC('table for research'!H$1))*2,2)</f>
        <v>00</v>
      </c>
      <c r="I355" t="str">
        <f>MID('paste from garc here'!$C$1,1+(('table for research'!$B355-1)*36+HEX2DEC('table for research'!I$1))*2,2)</f>
        <v>00</v>
      </c>
      <c r="J355" t="str">
        <f>MID('paste from garc here'!$C$1,1+(('table for research'!$B355-1)*36+HEX2DEC('table for research'!J$1))*2,2)</f>
        <v>00</v>
      </c>
      <c r="K355" t="str">
        <f>DEC2HEX(_xlfn.BITAND(HEX2DEC(MID('paste from garc here'!$C$1,1+(('table for research'!$B355-1)*36+HEX2DEC(8))*2,2)),31),2)</f>
        <v>1F</v>
      </c>
      <c r="L355" t="str">
        <f>DEC2HEX(_xlfn.BITAND(HEX2DEC(MID('paste from garc here'!$C$1,1+(('table for research'!$B355-1)*36+HEX2DEC(8))*2,2)),32),2)</f>
        <v>20</v>
      </c>
      <c r="M355" t="str">
        <f>DEC2HEX(_xlfn.BITAND(HEX2DEC(MID('paste from garc here'!$C$1,1+(('table for research'!$B355-1)*36+HEX2DEC(8))*2,2)),64),2)</f>
        <v>00</v>
      </c>
      <c r="N355" t="str">
        <f>DEC2HEX(_xlfn.BITRSHIFT(_xlfn.BITAND(HEX2DEC(MID('paste from garc here'!$C$1,1+(('table for research'!$B355-1)*36+HEX2DEC(9))*2,2)&amp;MID('paste from garc here'!$C$1,1+(('table for research'!$B355-1)*36+HEX2DEC(8))*2,2)),1920),7),2)</f>
        <v>02</v>
      </c>
      <c r="O355" t="str">
        <f>DEC2HEX(_xlfn.BITRSHIFT(HEX2DEC(MID('paste from garc here'!$C$1,1+(('table for research'!$B355-1)*36+HEX2DEC(9))*2,2)&amp;MID('paste from garc here'!$C$1,1+(('table for research'!$B355-1)*36+HEX2DEC(8))*2,2)),11),2)</f>
        <v>00</v>
      </c>
      <c r="P355" t="str">
        <f>MID('paste from garc here'!$C$1,1+(('table for research'!$B355-1)*36+HEX2DEC('table for research'!P$1))*2,2)</f>
        <v>02</v>
      </c>
      <c r="Q355" t="str">
        <f>MID('paste from garc here'!$C$1,1+(('table for research'!$B355-1)*36+HEX2DEC('table for research'!Q$1))*2,2)</f>
        <v>00</v>
      </c>
      <c r="R355" t="str">
        <f>MID('paste from garc here'!$C$1,1+(('table for research'!$B355-1)*36+HEX2DEC('table for research'!R$1))*2,2)</f>
        <v>00</v>
      </c>
      <c r="S355" t="str">
        <f>MID('paste from garc here'!$C$1,1+(('table for research'!$B355-1)*36+HEX2DEC('table for research'!S$1))*2,2)</f>
        <v>06</v>
      </c>
      <c r="T355" t="str">
        <f>MID('paste from garc here'!$C$1,1+(('table for research'!$B355-1)*36+HEX2DEC('table for research'!T$1))*2,2)</f>
        <v>00</v>
      </c>
      <c r="U355" t="str">
        <f>MID('paste from garc here'!$C$1,1+(('table for research'!$B355-1)*36+HEX2DEC('table for research'!U$1))*2,2)</f>
        <v>19</v>
      </c>
      <c r="V355" t="str">
        <f>MID('paste from garc here'!$C$1,1+(('table for research'!$B355-1)*36+HEX2DEC('table for research'!V$1))*2,2)</f>
        <v>00</v>
      </c>
      <c r="W355" t="str">
        <f>MID('paste from garc here'!$C$1,1+(('table for research'!$B355-1)*36+HEX2DEC('table for research'!W$1))*2,2)</f>
        <v>00</v>
      </c>
      <c r="X355" t="str">
        <f>MID('paste from garc here'!$C$1,1+(('table for research'!$B355-1)*36+HEX2DEC('table for research'!X$1))*2,2)</f>
        <v>00</v>
      </c>
      <c r="Y355" t="str">
        <f>MID('paste from garc here'!$C$1,1+(('table for research'!$B355-1)*36+HEX2DEC('table for research'!Y$1))*2,2)</f>
        <v>00</v>
      </c>
      <c r="Z355" t="str">
        <f>MID('paste from garc here'!$C$1,1+(('table for research'!$B355-1)*36+HEX2DEC('table for research'!Z$1))*2,2)</f>
        <v>00</v>
      </c>
      <c r="AA355" t="str">
        <f>MID('paste from garc here'!$C$1,1+(('table for research'!$B355-1)*36+HEX2DEC('table for research'!AA$1))*2,2)</f>
        <v>00</v>
      </c>
      <c r="AB355" t="str">
        <f>MID('paste from garc here'!$C$1,1+(('table for research'!$B355-1)*36+HEX2DEC('table for research'!AB$1))*2,2)</f>
        <v>00</v>
      </c>
      <c r="AC355" t="str">
        <f>MID('paste from garc here'!$C$1,1+(('table for research'!$B355-1)*36+HEX2DEC('table for research'!AC$1))*2,2)</f>
        <v>00</v>
      </c>
      <c r="AD355" t="str">
        <f>MID('paste from garc here'!$C$1,1+(('table for research'!$B355-1)*36+HEX2DEC('table for research'!AD$1))*2,2)</f>
        <v>00</v>
      </c>
      <c r="AE355" t="str">
        <f>MID('paste from garc here'!$C$1,1+(('table for research'!$B355-1)*36+HEX2DEC('table for research'!AE$1))*2,2)</f>
        <v>00</v>
      </c>
      <c r="AF355" t="str">
        <f>MID('paste from garc here'!$C$1,1+(('table for research'!$B355-1)*36+HEX2DEC('table for research'!AF$1))*2,2)</f>
        <v>00</v>
      </c>
      <c r="AG355" t="str">
        <f>MID('paste from garc here'!$C$1,1+(('table for research'!$B355-1)*36+HEX2DEC('table for research'!AG$1))*2,2)</f>
        <v>00</v>
      </c>
      <c r="AH355" t="str">
        <f>MID('paste from garc here'!$C$1,1+(('table for research'!$B355-1)*36+HEX2DEC('table for research'!AH$1))*2,2)</f>
        <v>00</v>
      </c>
      <c r="AI355" t="str">
        <f>MID('paste from garc here'!$C$1,1+(('table for research'!$B355-1)*36+HEX2DEC('table for research'!AI$1))*2,2)</f>
        <v>00</v>
      </c>
      <c r="AJ355" t="str">
        <f>MID('paste from garc here'!$C$1,1+(('table for research'!$B355-1)*36+HEX2DEC('table for research'!AJ$1))*2,2)</f>
        <v>00</v>
      </c>
      <c r="AK355" t="str">
        <f>MID('paste from garc here'!$C$1,1+(('table for research'!$B355-1)*36+HEX2DEC('table for research'!AK$1))*2,2)</f>
        <v>00</v>
      </c>
      <c r="AL355" t="str">
        <f>MID('paste from garc here'!$C$1,1+(('table for research'!$B355-1)*36+HEX2DEC('table for research'!AL$1))*2,2)</f>
        <v>00</v>
      </c>
      <c r="AM355" t="str">
        <f>MID('paste from garc here'!$C$1,1+(('table for research'!$B355-1)*36+HEX2DEC('table for research'!AM$1))*2,2)</f>
        <v>00</v>
      </c>
      <c r="AN355" t="str">
        <f>MID('paste from garc here'!$C$1,1+(('table for research'!$B355-1)*36+HEX2DEC('table for research'!AN$1))*2,2)</f>
        <v>00</v>
      </c>
      <c r="AO355" t="str">
        <f>MID('paste from garc here'!$C$1,1+(('table for research'!$B355-1)*36+HEX2DEC('table for research'!AO$1))*2,2)</f>
        <v>00</v>
      </c>
    </row>
    <row r="356" spans="1:41" x14ac:dyDescent="0.4">
      <c r="A356" t="s">
        <v>359</v>
      </c>
      <c r="B356">
        <f>B355+1</f>
        <v>354</v>
      </c>
      <c r="C356" t="str">
        <f>MID('paste from garc here'!$C$1,1+(('table for research'!$B356-1)*36+HEX2DEC('table for research'!C$1))*2,2)</f>
        <v>E8</v>
      </c>
      <c r="D356" t="str">
        <f>MID('paste from garc here'!$C$1,1+(('table for research'!$B356-1)*36+HEX2DEC('table for research'!D$1))*2,2)</f>
        <v>03</v>
      </c>
      <c r="E356" t="str">
        <f>MID('paste from garc here'!$C$1,1+(('table for research'!$B356-1)*36+HEX2DEC('table for research'!E$1))*2,2)</f>
        <v>00</v>
      </c>
      <c r="F356" t="str">
        <f>MID('paste from garc here'!$C$1,1+(('table for research'!$B356-1)*36+HEX2DEC('table for research'!F$1))*2,2)</f>
        <v>00</v>
      </c>
      <c r="G356" t="str">
        <f>MID('paste from garc here'!$C$1,1+(('table for research'!$B356-1)*36+HEX2DEC('table for research'!G$1))*2,2)</f>
        <v>00</v>
      </c>
      <c r="H356" t="str">
        <f>MID('paste from garc here'!$C$1,1+(('table for research'!$B356-1)*36+HEX2DEC('table for research'!H$1))*2,2)</f>
        <v>00</v>
      </c>
      <c r="I356" t="str">
        <f>MID('paste from garc here'!$C$1,1+(('table for research'!$B356-1)*36+HEX2DEC('table for research'!I$1))*2,2)</f>
        <v>00</v>
      </c>
      <c r="J356" t="str">
        <f>MID('paste from garc here'!$C$1,1+(('table for research'!$B356-1)*36+HEX2DEC('table for research'!J$1))*2,2)</f>
        <v>00</v>
      </c>
      <c r="K356" t="str">
        <f>DEC2HEX(_xlfn.BITAND(HEX2DEC(MID('paste from garc here'!$C$1,1+(('table for research'!$B356-1)*36+HEX2DEC(8))*2,2)),31),2)</f>
        <v>1F</v>
      </c>
      <c r="L356" t="str">
        <f>DEC2HEX(_xlfn.BITAND(HEX2DEC(MID('paste from garc here'!$C$1,1+(('table for research'!$B356-1)*36+HEX2DEC(8))*2,2)),32),2)</f>
        <v>20</v>
      </c>
      <c r="M356" t="str">
        <f>DEC2HEX(_xlfn.BITAND(HEX2DEC(MID('paste from garc here'!$C$1,1+(('table for research'!$B356-1)*36+HEX2DEC(8))*2,2)),64),2)</f>
        <v>00</v>
      </c>
      <c r="N356" t="str">
        <f>DEC2HEX(_xlfn.BITRSHIFT(_xlfn.BITAND(HEX2DEC(MID('paste from garc here'!$C$1,1+(('table for research'!$B356-1)*36+HEX2DEC(9))*2,2)&amp;MID('paste from garc here'!$C$1,1+(('table for research'!$B356-1)*36+HEX2DEC(8))*2,2)),1920),7),2)</f>
        <v>02</v>
      </c>
      <c r="O356" t="str">
        <f>DEC2HEX(_xlfn.BITRSHIFT(HEX2DEC(MID('paste from garc here'!$C$1,1+(('table for research'!$B356-1)*36+HEX2DEC(9))*2,2)&amp;MID('paste from garc here'!$C$1,1+(('table for research'!$B356-1)*36+HEX2DEC(8))*2,2)),11),2)</f>
        <v>00</v>
      </c>
      <c r="P356" t="str">
        <f>MID('paste from garc here'!$C$1,1+(('table for research'!$B356-1)*36+HEX2DEC('table for research'!P$1))*2,2)</f>
        <v>02</v>
      </c>
      <c r="Q356" t="str">
        <f>MID('paste from garc here'!$C$1,1+(('table for research'!$B356-1)*36+HEX2DEC('table for research'!Q$1))*2,2)</f>
        <v>00</v>
      </c>
      <c r="R356" t="str">
        <f>MID('paste from garc here'!$C$1,1+(('table for research'!$B356-1)*36+HEX2DEC('table for research'!R$1))*2,2)</f>
        <v>00</v>
      </c>
      <c r="S356" t="str">
        <f>MID('paste from garc here'!$C$1,1+(('table for research'!$B356-1)*36+HEX2DEC('table for research'!S$1))*2,2)</f>
        <v>06</v>
      </c>
      <c r="T356" t="str">
        <f>MID('paste from garc here'!$C$1,1+(('table for research'!$B356-1)*36+HEX2DEC('table for research'!T$1))*2,2)</f>
        <v>00</v>
      </c>
      <c r="U356" t="str">
        <f>MID('paste from garc here'!$C$1,1+(('table for research'!$B356-1)*36+HEX2DEC('table for research'!U$1))*2,2)</f>
        <v>1A</v>
      </c>
      <c r="V356" t="str">
        <f>MID('paste from garc here'!$C$1,1+(('table for research'!$B356-1)*36+HEX2DEC('table for research'!V$1))*2,2)</f>
        <v>00</v>
      </c>
      <c r="W356" t="str">
        <f>MID('paste from garc here'!$C$1,1+(('table for research'!$B356-1)*36+HEX2DEC('table for research'!W$1))*2,2)</f>
        <v>00</v>
      </c>
      <c r="X356" t="str">
        <f>MID('paste from garc here'!$C$1,1+(('table for research'!$B356-1)*36+HEX2DEC('table for research'!X$1))*2,2)</f>
        <v>00</v>
      </c>
      <c r="Y356" t="str">
        <f>MID('paste from garc here'!$C$1,1+(('table for research'!$B356-1)*36+HEX2DEC('table for research'!Y$1))*2,2)</f>
        <v>00</v>
      </c>
      <c r="Z356" t="str">
        <f>MID('paste from garc here'!$C$1,1+(('table for research'!$B356-1)*36+HEX2DEC('table for research'!Z$1))*2,2)</f>
        <v>00</v>
      </c>
      <c r="AA356" t="str">
        <f>MID('paste from garc here'!$C$1,1+(('table for research'!$B356-1)*36+HEX2DEC('table for research'!AA$1))*2,2)</f>
        <v>00</v>
      </c>
      <c r="AB356" t="str">
        <f>MID('paste from garc here'!$C$1,1+(('table for research'!$B356-1)*36+HEX2DEC('table for research'!AB$1))*2,2)</f>
        <v>00</v>
      </c>
      <c r="AC356" t="str">
        <f>MID('paste from garc here'!$C$1,1+(('table for research'!$B356-1)*36+HEX2DEC('table for research'!AC$1))*2,2)</f>
        <v>00</v>
      </c>
      <c r="AD356" t="str">
        <f>MID('paste from garc here'!$C$1,1+(('table for research'!$B356-1)*36+HEX2DEC('table for research'!AD$1))*2,2)</f>
        <v>00</v>
      </c>
      <c r="AE356" t="str">
        <f>MID('paste from garc here'!$C$1,1+(('table for research'!$B356-1)*36+HEX2DEC('table for research'!AE$1))*2,2)</f>
        <v>00</v>
      </c>
      <c r="AF356" t="str">
        <f>MID('paste from garc here'!$C$1,1+(('table for research'!$B356-1)*36+HEX2DEC('table for research'!AF$1))*2,2)</f>
        <v>00</v>
      </c>
      <c r="AG356" t="str">
        <f>MID('paste from garc here'!$C$1,1+(('table for research'!$B356-1)*36+HEX2DEC('table for research'!AG$1))*2,2)</f>
        <v>00</v>
      </c>
      <c r="AH356" t="str">
        <f>MID('paste from garc here'!$C$1,1+(('table for research'!$B356-1)*36+HEX2DEC('table for research'!AH$1))*2,2)</f>
        <v>00</v>
      </c>
      <c r="AI356" t="str">
        <f>MID('paste from garc here'!$C$1,1+(('table for research'!$B356-1)*36+HEX2DEC('table for research'!AI$1))*2,2)</f>
        <v>00</v>
      </c>
      <c r="AJ356" t="str">
        <f>MID('paste from garc here'!$C$1,1+(('table for research'!$B356-1)*36+HEX2DEC('table for research'!AJ$1))*2,2)</f>
        <v>00</v>
      </c>
      <c r="AK356" t="str">
        <f>MID('paste from garc here'!$C$1,1+(('table for research'!$B356-1)*36+HEX2DEC('table for research'!AK$1))*2,2)</f>
        <v>00</v>
      </c>
      <c r="AL356" t="str">
        <f>MID('paste from garc here'!$C$1,1+(('table for research'!$B356-1)*36+HEX2DEC('table for research'!AL$1))*2,2)</f>
        <v>00</v>
      </c>
      <c r="AM356" t="str">
        <f>MID('paste from garc here'!$C$1,1+(('table for research'!$B356-1)*36+HEX2DEC('table for research'!AM$1))*2,2)</f>
        <v>00</v>
      </c>
      <c r="AN356" t="str">
        <f>MID('paste from garc here'!$C$1,1+(('table for research'!$B356-1)*36+HEX2DEC('table for research'!AN$1))*2,2)</f>
        <v>00</v>
      </c>
      <c r="AO356" t="str">
        <f>MID('paste from garc here'!$C$1,1+(('table for research'!$B356-1)*36+HEX2DEC('table for research'!AO$1))*2,2)</f>
        <v>00</v>
      </c>
    </row>
    <row r="357" spans="1:41" x14ac:dyDescent="0.4">
      <c r="A357" t="s">
        <v>360</v>
      </c>
      <c r="B357">
        <f>B356+1</f>
        <v>355</v>
      </c>
      <c r="C357" t="str">
        <f>MID('paste from garc here'!$C$1,1+(('table for research'!$B357-1)*36+HEX2DEC('table for research'!C$1))*2,2)</f>
        <v>E8</v>
      </c>
      <c r="D357" t="str">
        <f>MID('paste from garc here'!$C$1,1+(('table for research'!$B357-1)*36+HEX2DEC('table for research'!D$1))*2,2)</f>
        <v>03</v>
      </c>
      <c r="E357" t="str">
        <f>MID('paste from garc here'!$C$1,1+(('table for research'!$B357-1)*36+HEX2DEC('table for research'!E$1))*2,2)</f>
        <v>00</v>
      </c>
      <c r="F357" t="str">
        <f>MID('paste from garc here'!$C$1,1+(('table for research'!$B357-1)*36+HEX2DEC('table for research'!F$1))*2,2)</f>
        <v>00</v>
      </c>
      <c r="G357" t="str">
        <f>MID('paste from garc here'!$C$1,1+(('table for research'!$B357-1)*36+HEX2DEC('table for research'!G$1))*2,2)</f>
        <v>00</v>
      </c>
      <c r="H357" t="str">
        <f>MID('paste from garc here'!$C$1,1+(('table for research'!$B357-1)*36+HEX2DEC('table for research'!H$1))*2,2)</f>
        <v>00</v>
      </c>
      <c r="I357" t="str">
        <f>MID('paste from garc here'!$C$1,1+(('table for research'!$B357-1)*36+HEX2DEC('table for research'!I$1))*2,2)</f>
        <v>00</v>
      </c>
      <c r="J357" t="str">
        <f>MID('paste from garc here'!$C$1,1+(('table for research'!$B357-1)*36+HEX2DEC('table for research'!J$1))*2,2)</f>
        <v>00</v>
      </c>
      <c r="K357" t="str">
        <f>DEC2HEX(_xlfn.BITAND(HEX2DEC(MID('paste from garc here'!$C$1,1+(('table for research'!$B357-1)*36+HEX2DEC(8))*2,2)),31),2)</f>
        <v>1F</v>
      </c>
      <c r="L357" t="str">
        <f>DEC2HEX(_xlfn.BITAND(HEX2DEC(MID('paste from garc here'!$C$1,1+(('table for research'!$B357-1)*36+HEX2DEC(8))*2,2)),32),2)</f>
        <v>20</v>
      </c>
      <c r="M357" t="str">
        <f>DEC2HEX(_xlfn.BITAND(HEX2DEC(MID('paste from garc here'!$C$1,1+(('table for research'!$B357-1)*36+HEX2DEC(8))*2,2)),64),2)</f>
        <v>00</v>
      </c>
      <c r="N357" t="str">
        <f>DEC2HEX(_xlfn.BITRSHIFT(_xlfn.BITAND(HEX2DEC(MID('paste from garc here'!$C$1,1+(('table for research'!$B357-1)*36+HEX2DEC(9))*2,2)&amp;MID('paste from garc here'!$C$1,1+(('table for research'!$B357-1)*36+HEX2DEC(8))*2,2)),1920),7),2)</f>
        <v>02</v>
      </c>
      <c r="O357" t="str">
        <f>DEC2HEX(_xlfn.BITRSHIFT(HEX2DEC(MID('paste from garc here'!$C$1,1+(('table for research'!$B357-1)*36+HEX2DEC(9))*2,2)&amp;MID('paste from garc here'!$C$1,1+(('table for research'!$B357-1)*36+HEX2DEC(8))*2,2)),11),2)</f>
        <v>00</v>
      </c>
      <c r="P357" t="str">
        <f>MID('paste from garc here'!$C$1,1+(('table for research'!$B357-1)*36+HEX2DEC('table for research'!P$1))*2,2)</f>
        <v>02</v>
      </c>
      <c r="Q357" t="str">
        <f>MID('paste from garc here'!$C$1,1+(('table for research'!$B357-1)*36+HEX2DEC('table for research'!Q$1))*2,2)</f>
        <v>00</v>
      </c>
      <c r="R357" t="str">
        <f>MID('paste from garc here'!$C$1,1+(('table for research'!$B357-1)*36+HEX2DEC('table for research'!R$1))*2,2)</f>
        <v>00</v>
      </c>
      <c r="S357" t="str">
        <f>MID('paste from garc here'!$C$1,1+(('table for research'!$B357-1)*36+HEX2DEC('table for research'!S$1))*2,2)</f>
        <v>06</v>
      </c>
      <c r="T357" t="str">
        <f>MID('paste from garc here'!$C$1,1+(('table for research'!$B357-1)*36+HEX2DEC('table for research'!T$1))*2,2)</f>
        <v>00</v>
      </c>
      <c r="U357" t="str">
        <f>MID('paste from garc here'!$C$1,1+(('table for research'!$B357-1)*36+HEX2DEC('table for research'!U$1))*2,2)</f>
        <v>1B</v>
      </c>
      <c r="V357" t="str">
        <f>MID('paste from garc here'!$C$1,1+(('table for research'!$B357-1)*36+HEX2DEC('table for research'!V$1))*2,2)</f>
        <v>00</v>
      </c>
      <c r="W357" t="str">
        <f>MID('paste from garc here'!$C$1,1+(('table for research'!$B357-1)*36+HEX2DEC('table for research'!W$1))*2,2)</f>
        <v>00</v>
      </c>
      <c r="X357" t="str">
        <f>MID('paste from garc here'!$C$1,1+(('table for research'!$B357-1)*36+HEX2DEC('table for research'!X$1))*2,2)</f>
        <v>00</v>
      </c>
      <c r="Y357" t="str">
        <f>MID('paste from garc here'!$C$1,1+(('table for research'!$B357-1)*36+HEX2DEC('table for research'!Y$1))*2,2)</f>
        <v>00</v>
      </c>
      <c r="Z357" t="str">
        <f>MID('paste from garc here'!$C$1,1+(('table for research'!$B357-1)*36+HEX2DEC('table for research'!Z$1))*2,2)</f>
        <v>00</v>
      </c>
      <c r="AA357" t="str">
        <f>MID('paste from garc here'!$C$1,1+(('table for research'!$B357-1)*36+HEX2DEC('table for research'!AA$1))*2,2)</f>
        <v>00</v>
      </c>
      <c r="AB357" t="str">
        <f>MID('paste from garc here'!$C$1,1+(('table for research'!$B357-1)*36+HEX2DEC('table for research'!AB$1))*2,2)</f>
        <v>00</v>
      </c>
      <c r="AC357" t="str">
        <f>MID('paste from garc here'!$C$1,1+(('table for research'!$B357-1)*36+HEX2DEC('table for research'!AC$1))*2,2)</f>
        <v>00</v>
      </c>
      <c r="AD357" t="str">
        <f>MID('paste from garc here'!$C$1,1+(('table for research'!$B357-1)*36+HEX2DEC('table for research'!AD$1))*2,2)</f>
        <v>00</v>
      </c>
      <c r="AE357" t="str">
        <f>MID('paste from garc here'!$C$1,1+(('table for research'!$B357-1)*36+HEX2DEC('table for research'!AE$1))*2,2)</f>
        <v>00</v>
      </c>
      <c r="AF357" t="str">
        <f>MID('paste from garc here'!$C$1,1+(('table for research'!$B357-1)*36+HEX2DEC('table for research'!AF$1))*2,2)</f>
        <v>00</v>
      </c>
      <c r="AG357" t="str">
        <f>MID('paste from garc here'!$C$1,1+(('table for research'!$B357-1)*36+HEX2DEC('table for research'!AG$1))*2,2)</f>
        <v>00</v>
      </c>
      <c r="AH357" t="str">
        <f>MID('paste from garc here'!$C$1,1+(('table for research'!$B357-1)*36+HEX2DEC('table for research'!AH$1))*2,2)</f>
        <v>00</v>
      </c>
      <c r="AI357" t="str">
        <f>MID('paste from garc here'!$C$1,1+(('table for research'!$B357-1)*36+HEX2DEC('table for research'!AI$1))*2,2)</f>
        <v>00</v>
      </c>
      <c r="AJ357" t="str">
        <f>MID('paste from garc here'!$C$1,1+(('table for research'!$B357-1)*36+HEX2DEC('table for research'!AJ$1))*2,2)</f>
        <v>00</v>
      </c>
      <c r="AK357" t="str">
        <f>MID('paste from garc here'!$C$1,1+(('table for research'!$B357-1)*36+HEX2DEC('table for research'!AK$1))*2,2)</f>
        <v>00</v>
      </c>
      <c r="AL357" t="str">
        <f>MID('paste from garc here'!$C$1,1+(('table for research'!$B357-1)*36+HEX2DEC('table for research'!AL$1))*2,2)</f>
        <v>00</v>
      </c>
      <c r="AM357" t="str">
        <f>MID('paste from garc here'!$C$1,1+(('table for research'!$B357-1)*36+HEX2DEC('table for research'!AM$1))*2,2)</f>
        <v>00</v>
      </c>
      <c r="AN357" t="str">
        <f>MID('paste from garc here'!$C$1,1+(('table for research'!$B357-1)*36+HEX2DEC('table for research'!AN$1))*2,2)</f>
        <v>00</v>
      </c>
      <c r="AO357" t="str">
        <f>MID('paste from garc here'!$C$1,1+(('table for research'!$B357-1)*36+HEX2DEC('table for research'!AO$1))*2,2)</f>
        <v>00</v>
      </c>
    </row>
    <row r="358" spans="1:41" x14ac:dyDescent="0.4">
      <c r="A358" t="s">
        <v>361</v>
      </c>
      <c r="B358">
        <f>B357+1</f>
        <v>356</v>
      </c>
      <c r="C358" t="str">
        <f>MID('paste from garc here'!$C$1,1+(('table for research'!$B358-1)*36+HEX2DEC('table for research'!C$1))*2,2)</f>
        <v>E8</v>
      </c>
      <c r="D358" t="str">
        <f>MID('paste from garc here'!$C$1,1+(('table for research'!$B358-1)*36+HEX2DEC('table for research'!D$1))*2,2)</f>
        <v>03</v>
      </c>
      <c r="E358" t="str">
        <f>MID('paste from garc here'!$C$1,1+(('table for research'!$B358-1)*36+HEX2DEC('table for research'!E$1))*2,2)</f>
        <v>00</v>
      </c>
      <c r="F358" t="str">
        <f>MID('paste from garc here'!$C$1,1+(('table for research'!$B358-1)*36+HEX2DEC('table for research'!F$1))*2,2)</f>
        <v>00</v>
      </c>
      <c r="G358" t="str">
        <f>MID('paste from garc here'!$C$1,1+(('table for research'!$B358-1)*36+HEX2DEC('table for research'!G$1))*2,2)</f>
        <v>00</v>
      </c>
      <c r="H358" t="str">
        <f>MID('paste from garc here'!$C$1,1+(('table for research'!$B358-1)*36+HEX2DEC('table for research'!H$1))*2,2)</f>
        <v>00</v>
      </c>
      <c r="I358" t="str">
        <f>MID('paste from garc here'!$C$1,1+(('table for research'!$B358-1)*36+HEX2DEC('table for research'!I$1))*2,2)</f>
        <v>00</v>
      </c>
      <c r="J358" t="str">
        <f>MID('paste from garc here'!$C$1,1+(('table for research'!$B358-1)*36+HEX2DEC('table for research'!J$1))*2,2)</f>
        <v>00</v>
      </c>
      <c r="K358" t="str">
        <f>DEC2HEX(_xlfn.BITAND(HEX2DEC(MID('paste from garc here'!$C$1,1+(('table for research'!$B358-1)*36+HEX2DEC(8))*2,2)),31),2)</f>
        <v>1F</v>
      </c>
      <c r="L358" t="str">
        <f>DEC2HEX(_xlfn.BITAND(HEX2DEC(MID('paste from garc here'!$C$1,1+(('table for research'!$B358-1)*36+HEX2DEC(8))*2,2)),32),2)</f>
        <v>20</v>
      </c>
      <c r="M358" t="str">
        <f>DEC2HEX(_xlfn.BITAND(HEX2DEC(MID('paste from garc here'!$C$1,1+(('table for research'!$B358-1)*36+HEX2DEC(8))*2,2)),64),2)</f>
        <v>00</v>
      </c>
      <c r="N358" t="str">
        <f>DEC2HEX(_xlfn.BITRSHIFT(_xlfn.BITAND(HEX2DEC(MID('paste from garc here'!$C$1,1+(('table for research'!$B358-1)*36+HEX2DEC(9))*2,2)&amp;MID('paste from garc here'!$C$1,1+(('table for research'!$B358-1)*36+HEX2DEC(8))*2,2)),1920),7),2)</f>
        <v>02</v>
      </c>
      <c r="O358" t="str">
        <f>DEC2HEX(_xlfn.BITRSHIFT(HEX2DEC(MID('paste from garc here'!$C$1,1+(('table for research'!$B358-1)*36+HEX2DEC(9))*2,2)&amp;MID('paste from garc here'!$C$1,1+(('table for research'!$B358-1)*36+HEX2DEC(8))*2,2)),11),2)</f>
        <v>00</v>
      </c>
      <c r="P358" t="str">
        <f>MID('paste from garc here'!$C$1,1+(('table for research'!$B358-1)*36+HEX2DEC('table for research'!P$1))*2,2)</f>
        <v>02</v>
      </c>
      <c r="Q358" t="str">
        <f>MID('paste from garc here'!$C$1,1+(('table for research'!$B358-1)*36+HEX2DEC('table for research'!Q$1))*2,2)</f>
        <v>00</v>
      </c>
      <c r="R358" t="str">
        <f>MID('paste from garc here'!$C$1,1+(('table for research'!$B358-1)*36+HEX2DEC('table for research'!R$1))*2,2)</f>
        <v>00</v>
      </c>
      <c r="S358" t="str">
        <f>MID('paste from garc here'!$C$1,1+(('table for research'!$B358-1)*36+HEX2DEC('table for research'!S$1))*2,2)</f>
        <v>06</v>
      </c>
      <c r="T358" t="str">
        <f>MID('paste from garc here'!$C$1,1+(('table for research'!$B358-1)*36+HEX2DEC('table for research'!T$1))*2,2)</f>
        <v>00</v>
      </c>
      <c r="U358" t="str">
        <f>MID('paste from garc here'!$C$1,1+(('table for research'!$B358-1)*36+HEX2DEC('table for research'!U$1))*2,2)</f>
        <v>1C</v>
      </c>
      <c r="V358" t="str">
        <f>MID('paste from garc here'!$C$1,1+(('table for research'!$B358-1)*36+HEX2DEC('table for research'!V$1))*2,2)</f>
        <v>00</v>
      </c>
      <c r="W358" t="str">
        <f>MID('paste from garc here'!$C$1,1+(('table for research'!$B358-1)*36+HEX2DEC('table for research'!W$1))*2,2)</f>
        <v>00</v>
      </c>
      <c r="X358" t="str">
        <f>MID('paste from garc here'!$C$1,1+(('table for research'!$B358-1)*36+HEX2DEC('table for research'!X$1))*2,2)</f>
        <v>00</v>
      </c>
      <c r="Y358" t="str">
        <f>MID('paste from garc here'!$C$1,1+(('table for research'!$B358-1)*36+HEX2DEC('table for research'!Y$1))*2,2)</f>
        <v>00</v>
      </c>
      <c r="Z358" t="str">
        <f>MID('paste from garc here'!$C$1,1+(('table for research'!$B358-1)*36+HEX2DEC('table for research'!Z$1))*2,2)</f>
        <v>00</v>
      </c>
      <c r="AA358" t="str">
        <f>MID('paste from garc here'!$C$1,1+(('table for research'!$B358-1)*36+HEX2DEC('table for research'!AA$1))*2,2)</f>
        <v>00</v>
      </c>
      <c r="AB358" t="str">
        <f>MID('paste from garc here'!$C$1,1+(('table for research'!$B358-1)*36+HEX2DEC('table for research'!AB$1))*2,2)</f>
        <v>00</v>
      </c>
      <c r="AC358" t="str">
        <f>MID('paste from garc here'!$C$1,1+(('table for research'!$B358-1)*36+HEX2DEC('table for research'!AC$1))*2,2)</f>
        <v>00</v>
      </c>
      <c r="AD358" t="str">
        <f>MID('paste from garc here'!$C$1,1+(('table for research'!$B358-1)*36+HEX2DEC('table for research'!AD$1))*2,2)</f>
        <v>00</v>
      </c>
      <c r="AE358" t="str">
        <f>MID('paste from garc here'!$C$1,1+(('table for research'!$B358-1)*36+HEX2DEC('table for research'!AE$1))*2,2)</f>
        <v>00</v>
      </c>
      <c r="AF358" t="str">
        <f>MID('paste from garc here'!$C$1,1+(('table for research'!$B358-1)*36+HEX2DEC('table for research'!AF$1))*2,2)</f>
        <v>00</v>
      </c>
      <c r="AG358" t="str">
        <f>MID('paste from garc here'!$C$1,1+(('table for research'!$B358-1)*36+HEX2DEC('table for research'!AG$1))*2,2)</f>
        <v>00</v>
      </c>
      <c r="AH358" t="str">
        <f>MID('paste from garc here'!$C$1,1+(('table for research'!$B358-1)*36+HEX2DEC('table for research'!AH$1))*2,2)</f>
        <v>00</v>
      </c>
      <c r="AI358" t="str">
        <f>MID('paste from garc here'!$C$1,1+(('table for research'!$B358-1)*36+HEX2DEC('table for research'!AI$1))*2,2)</f>
        <v>00</v>
      </c>
      <c r="AJ358" t="str">
        <f>MID('paste from garc here'!$C$1,1+(('table for research'!$B358-1)*36+HEX2DEC('table for research'!AJ$1))*2,2)</f>
        <v>00</v>
      </c>
      <c r="AK358" t="str">
        <f>MID('paste from garc here'!$C$1,1+(('table for research'!$B358-1)*36+HEX2DEC('table for research'!AK$1))*2,2)</f>
        <v>00</v>
      </c>
      <c r="AL358" t="str">
        <f>MID('paste from garc here'!$C$1,1+(('table for research'!$B358-1)*36+HEX2DEC('table for research'!AL$1))*2,2)</f>
        <v>00</v>
      </c>
      <c r="AM358" t="str">
        <f>MID('paste from garc here'!$C$1,1+(('table for research'!$B358-1)*36+HEX2DEC('table for research'!AM$1))*2,2)</f>
        <v>00</v>
      </c>
      <c r="AN358" t="str">
        <f>MID('paste from garc here'!$C$1,1+(('table for research'!$B358-1)*36+HEX2DEC('table for research'!AN$1))*2,2)</f>
        <v>00</v>
      </c>
      <c r="AO358" t="str">
        <f>MID('paste from garc here'!$C$1,1+(('table for research'!$B358-1)*36+HEX2DEC('table for research'!AO$1))*2,2)</f>
        <v>00</v>
      </c>
    </row>
    <row r="359" spans="1:41" x14ac:dyDescent="0.4">
      <c r="A359" t="s">
        <v>362</v>
      </c>
      <c r="B359">
        <f>B358+1</f>
        <v>357</v>
      </c>
      <c r="C359" t="str">
        <f>MID('paste from garc here'!$C$1,1+(('table for research'!$B359-1)*36+HEX2DEC('table for research'!C$1))*2,2)</f>
        <v>B8</v>
      </c>
      <c r="D359" t="str">
        <f>MID('paste from garc here'!$C$1,1+(('table for research'!$B359-1)*36+HEX2DEC('table for research'!D$1))*2,2)</f>
        <v>0B</v>
      </c>
      <c r="E359" t="str">
        <f>MID('paste from garc here'!$C$1,1+(('table for research'!$B359-1)*36+HEX2DEC('table for research'!E$1))*2,2)</f>
        <v>00</v>
      </c>
      <c r="F359" t="str">
        <f>MID('paste from garc here'!$C$1,1+(('table for research'!$B359-1)*36+HEX2DEC('table for research'!F$1))*2,2)</f>
        <v>00</v>
      </c>
      <c r="G359" t="str">
        <f>MID('paste from garc here'!$C$1,1+(('table for research'!$B359-1)*36+HEX2DEC('table for research'!G$1))*2,2)</f>
        <v>00</v>
      </c>
      <c r="H359" t="str">
        <f>MID('paste from garc here'!$C$1,1+(('table for research'!$B359-1)*36+HEX2DEC('table for research'!H$1))*2,2)</f>
        <v>00</v>
      </c>
      <c r="I359" t="str">
        <f>MID('paste from garc here'!$C$1,1+(('table for research'!$B359-1)*36+HEX2DEC('table for research'!I$1))*2,2)</f>
        <v>00</v>
      </c>
      <c r="J359" t="str">
        <f>MID('paste from garc here'!$C$1,1+(('table for research'!$B359-1)*36+HEX2DEC('table for research'!J$1))*2,2)</f>
        <v>00</v>
      </c>
      <c r="K359" t="str">
        <f>DEC2HEX(_xlfn.BITAND(HEX2DEC(MID('paste from garc here'!$C$1,1+(('table for research'!$B359-1)*36+HEX2DEC(8))*2,2)),31),2)</f>
        <v>1F</v>
      </c>
      <c r="L359" t="str">
        <f>DEC2HEX(_xlfn.BITAND(HEX2DEC(MID('paste from garc here'!$C$1,1+(('table for research'!$B359-1)*36+HEX2DEC(8))*2,2)),32),2)</f>
        <v>20</v>
      </c>
      <c r="M359" t="str">
        <f>DEC2HEX(_xlfn.BITAND(HEX2DEC(MID('paste from garc here'!$C$1,1+(('table for research'!$B359-1)*36+HEX2DEC(8))*2,2)),64),2)</f>
        <v>00</v>
      </c>
      <c r="N359" t="str">
        <f>DEC2HEX(_xlfn.BITRSHIFT(_xlfn.BITAND(HEX2DEC(MID('paste from garc here'!$C$1,1+(('table for research'!$B359-1)*36+HEX2DEC(9))*2,2)&amp;MID('paste from garc here'!$C$1,1+(('table for research'!$B359-1)*36+HEX2DEC(8))*2,2)),1920),7),2)</f>
        <v>02</v>
      </c>
      <c r="O359" t="str">
        <f>DEC2HEX(_xlfn.BITRSHIFT(HEX2DEC(MID('paste from garc here'!$C$1,1+(('table for research'!$B359-1)*36+HEX2DEC(9))*2,2)&amp;MID('paste from garc here'!$C$1,1+(('table for research'!$B359-1)*36+HEX2DEC(8))*2,2)),11),2)</f>
        <v>00</v>
      </c>
      <c r="P359" t="str">
        <f>MID('paste from garc here'!$C$1,1+(('table for research'!$B359-1)*36+HEX2DEC('table for research'!P$1))*2,2)</f>
        <v>02</v>
      </c>
      <c r="Q359" t="str">
        <f>MID('paste from garc here'!$C$1,1+(('table for research'!$B359-1)*36+HEX2DEC('table for research'!Q$1))*2,2)</f>
        <v>00</v>
      </c>
      <c r="R359" t="str">
        <f>MID('paste from garc here'!$C$1,1+(('table for research'!$B359-1)*36+HEX2DEC('table for research'!R$1))*2,2)</f>
        <v>00</v>
      </c>
      <c r="S359" t="str">
        <f>MID('paste from garc here'!$C$1,1+(('table for research'!$B359-1)*36+HEX2DEC('table for research'!S$1))*2,2)</f>
        <v>06</v>
      </c>
      <c r="T359" t="str">
        <f>MID('paste from garc here'!$C$1,1+(('table for research'!$B359-1)*36+HEX2DEC('table for research'!T$1))*2,2)</f>
        <v>00</v>
      </c>
      <c r="U359" t="str">
        <f>MID('paste from garc here'!$C$1,1+(('table for research'!$B359-1)*36+HEX2DEC('table for research'!U$1))*2,2)</f>
        <v>1D</v>
      </c>
      <c r="V359" t="str">
        <f>MID('paste from garc here'!$C$1,1+(('table for research'!$B359-1)*36+HEX2DEC('table for research'!V$1))*2,2)</f>
        <v>00</v>
      </c>
      <c r="W359" t="str">
        <f>MID('paste from garc here'!$C$1,1+(('table for research'!$B359-1)*36+HEX2DEC('table for research'!W$1))*2,2)</f>
        <v>00</v>
      </c>
      <c r="X359" t="str">
        <f>MID('paste from garc here'!$C$1,1+(('table for research'!$B359-1)*36+HEX2DEC('table for research'!X$1))*2,2)</f>
        <v>00</v>
      </c>
      <c r="Y359" t="str">
        <f>MID('paste from garc here'!$C$1,1+(('table for research'!$B359-1)*36+HEX2DEC('table for research'!Y$1))*2,2)</f>
        <v>00</v>
      </c>
      <c r="Z359" t="str">
        <f>MID('paste from garc here'!$C$1,1+(('table for research'!$B359-1)*36+HEX2DEC('table for research'!Z$1))*2,2)</f>
        <v>00</v>
      </c>
      <c r="AA359" t="str">
        <f>MID('paste from garc here'!$C$1,1+(('table for research'!$B359-1)*36+HEX2DEC('table for research'!AA$1))*2,2)</f>
        <v>00</v>
      </c>
      <c r="AB359" t="str">
        <f>MID('paste from garc here'!$C$1,1+(('table for research'!$B359-1)*36+HEX2DEC('table for research'!AB$1))*2,2)</f>
        <v>00</v>
      </c>
      <c r="AC359" t="str">
        <f>MID('paste from garc here'!$C$1,1+(('table for research'!$B359-1)*36+HEX2DEC('table for research'!AC$1))*2,2)</f>
        <v>00</v>
      </c>
      <c r="AD359" t="str">
        <f>MID('paste from garc here'!$C$1,1+(('table for research'!$B359-1)*36+HEX2DEC('table for research'!AD$1))*2,2)</f>
        <v>00</v>
      </c>
      <c r="AE359" t="str">
        <f>MID('paste from garc here'!$C$1,1+(('table for research'!$B359-1)*36+HEX2DEC('table for research'!AE$1))*2,2)</f>
        <v>00</v>
      </c>
      <c r="AF359" t="str">
        <f>MID('paste from garc here'!$C$1,1+(('table for research'!$B359-1)*36+HEX2DEC('table for research'!AF$1))*2,2)</f>
        <v>00</v>
      </c>
      <c r="AG359" t="str">
        <f>MID('paste from garc here'!$C$1,1+(('table for research'!$B359-1)*36+HEX2DEC('table for research'!AG$1))*2,2)</f>
        <v>00</v>
      </c>
      <c r="AH359" t="str">
        <f>MID('paste from garc here'!$C$1,1+(('table for research'!$B359-1)*36+HEX2DEC('table for research'!AH$1))*2,2)</f>
        <v>00</v>
      </c>
      <c r="AI359" t="str">
        <f>MID('paste from garc here'!$C$1,1+(('table for research'!$B359-1)*36+HEX2DEC('table for research'!AI$1))*2,2)</f>
        <v>00</v>
      </c>
      <c r="AJ359" t="str">
        <f>MID('paste from garc here'!$C$1,1+(('table for research'!$B359-1)*36+HEX2DEC('table for research'!AJ$1))*2,2)</f>
        <v>00</v>
      </c>
      <c r="AK359" t="str">
        <f>MID('paste from garc here'!$C$1,1+(('table for research'!$B359-1)*36+HEX2DEC('table for research'!AK$1))*2,2)</f>
        <v>00</v>
      </c>
      <c r="AL359" t="str">
        <f>MID('paste from garc here'!$C$1,1+(('table for research'!$B359-1)*36+HEX2DEC('table for research'!AL$1))*2,2)</f>
        <v>00</v>
      </c>
      <c r="AM359" t="str">
        <f>MID('paste from garc here'!$C$1,1+(('table for research'!$B359-1)*36+HEX2DEC('table for research'!AM$1))*2,2)</f>
        <v>00</v>
      </c>
      <c r="AN359" t="str">
        <f>MID('paste from garc here'!$C$1,1+(('table for research'!$B359-1)*36+HEX2DEC('table for research'!AN$1))*2,2)</f>
        <v>00</v>
      </c>
      <c r="AO359" t="str">
        <f>MID('paste from garc here'!$C$1,1+(('table for research'!$B359-1)*36+HEX2DEC('table for research'!AO$1))*2,2)</f>
        <v>00</v>
      </c>
    </row>
    <row r="360" spans="1:41" x14ac:dyDescent="0.4">
      <c r="A360" t="s">
        <v>363</v>
      </c>
      <c r="B360">
        <f>B359+1</f>
        <v>358</v>
      </c>
      <c r="C360" t="str">
        <f>MID('paste from garc here'!$C$1,1+(('table for research'!$B360-1)*36+HEX2DEC('table for research'!C$1))*2,2)</f>
        <v>E8</v>
      </c>
      <c r="D360" t="str">
        <f>MID('paste from garc here'!$C$1,1+(('table for research'!$B360-1)*36+HEX2DEC('table for research'!D$1))*2,2)</f>
        <v>03</v>
      </c>
      <c r="E360" t="str">
        <f>MID('paste from garc here'!$C$1,1+(('table for research'!$B360-1)*36+HEX2DEC('table for research'!E$1))*2,2)</f>
        <v>00</v>
      </c>
      <c r="F360" t="str">
        <f>MID('paste from garc here'!$C$1,1+(('table for research'!$B360-1)*36+HEX2DEC('table for research'!F$1))*2,2)</f>
        <v>00</v>
      </c>
      <c r="G360" t="str">
        <f>MID('paste from garc here'!$C$1,1+(('table for research'!$B360-1)*36+HEX2DEC('table for research'!G$1))*2,2)</f>
        <v>00</v>
      </c>
      <c r="H360" t="str">
        <f>MID('paste from garc here'!$C$1,1+(('table for research'!$B360-1)*36+HEX2DEC('table for research'!H$1))*2,2)</f>
        <v>00</v>
      </c>
      <c r="I360" t="str">
        <f>MID('paste from garc here'!$C$1,1+(('table for research'!$B360-1)*36+HEX2DEC('table for research'!I$1))*2,2)</f>
        <v>00</v>
      </c>
      <c r="J360" t="str">
        <f>MID('paste from garc here'!$C$1,1+(('table for research'!$B360-1)*36+HEX2DEC('table for research'!J$1))*2,2)</f>
        <v>00</v>
      </c>
      <c r="K360" t="str">
        <f>DEC2HEX(_xlfn.BITAND(HEX2DEC(MID('paste from garc here'!$C$1,1+(('table for research'!$B360-1)*36+HEX2DEC(8))*2,2)),31),2)</f>
        <v>1F</v>
      </c>
      <c r="L360" t="str">
        <f>DEC2HEX(_xlfn.BITAND(HEX2DEC(MID('paste from garc here'!$C$1,1+(('table for research'!$B360-1)*36+HEX2DEC(8))*2,2)),32),2)</f>
        <v>20</v>
      </c>
      <c r="M360" t="str">
        <f>DEC2HEX(_xlfn.BITAND(HEX2DEC(MID('paste from garc here'!$C$1,1+(('table for research'!$B360-1)*36+HEX2DEC(8))*2,2)),64),2)</f>
        <v>00</v>
      </c>
      <c r="N360" t="str">
        <f>DEC2HEX(_xlfn.BITRSHIFT(_xlfn.BITAND(HEX2DEC(MID('paste from garc here'!$C$1,1+(('table for research'!$B360-1)*36+HEX2DEC(9))*2,2)&amp;MID('paste from garc here'!$C$1,1+(('table for research'!$B360-1)*36+HEX2DEC(8))*2,2)),1920),7),2)</f>
        <v>02</v>
      </c>
      <c r="O360" t="str">
        <f>DEC2HEX(_xlfn.BITRSHIFT(HEX2DEC(MID('paste from garc here'!$C$1,1+(('table for research'!$B360-1)*36+HEX2DEC(9))*2,2)&amp;MID('paste from garc here'!$C$1,1+(('table for research'!$B360-1)*36+HEX2DEC(8))*2,2)),11),2)</f>
        <v>00</v>
      </c>
      <c r="P360" t="str">
        <f>MID('paste from garc here'!$C$1,1+(('table for research'!$B360-1)*36+HEX2DEC('table for research'!P$1))*2,2)</f>
        <v>02</v>
      </c>
      <c r="Q360" t="str">
        <f>MID('paste from garc here'!$C$1,1+(('table for research'!$B360-1)*36+HEX2DEC('table for research'!Q$1))*2,2)</f>
        <v>00</v>
      </c>
      <c r="R360" t="str">
        <f>MID('paste from garc here'!$C$1,1+(('table for research'!$B360-1)*36+HEX2DEC('table for research'!R$1))*2,2)</f>
        <v>00</v>
      </c>
      <c r="S360" t="str">
        <f>MID('paste from garc here'!$C$1,1+(('table for research'!$B360-1)*36+HEX2DEC('table for research'!S$1))*2,2)</f>
        <v>06</v>
      </c>
      <c r="T360" t="str">
        <f>MID('paste from garc here'!$C$1,1+(('table for research'!$B360-1)*36+HEX2DEC('table for research'!T$1))*2,2)</f>
        <v>00</v>
      </c>
      <c r="U360" t="str">
        <f>MID('paste from garc here'!$C$1,1+(('table for research'!$B360-1)*36+HEX2DEC('table for research'!U$1))*2,2)</f>
        <v>1E</v>
      </c>
      <c r="V360" t="str">
        <f>MID('paste from garc here'!$C$1,1+(('table for research'!$B360-1)*36+HEX2DEC('table for research'!V$1))*2,2)</f>
        <v>00</v>
      </c>
      <c r="W360" t="str">
        <f>MID('paste from garc here'!$C$1,1+(('table for research'!$B360-1)*36+HEX2DEC('table for research'!W$1))*2,2)</f>
        <v>00</v>
      </c>
      <c r="X360" t="str">
        <f>MID('paste from garc here'!$C$1,1+(('table for research'!$B360-1)*36+HEX2DEC('table for research'!X$1))*2,2)</f>
        <v>00</v>
      </c>
      <c r="Y360" t="str">
        <f>MID('paste from garc here'!$C$1,1+(('table for research'!$B360-1)*36+HEX2DEC('table for research'!Y$1))*2,2)</f>
        <v>00</v>
      </c>
      <c r="Z360" t="str">
        <f>MID('paste from garc here'!$C$1,1+(('table for research'!$B360-1)*36+HEX2DEC('table for research'!Z$1))*2,2)</f>
        <v>00</v>
      </c>
      <c r="AA360" t="str">
        <f>MID('paste from garc here'!$C$1,1+(('table for research'!$B360-1)*36+HEX2DEC('table for research'!AA$1))*2,2)</f>
        <v>00</v>
      </c>
      <c r="AB360" t="str">
        <f>MID('paste from garc here'!$C$1,1+(('table for research'!$B360-1)*36+HEX2DEC('table for research'!AB$1))*2,2)</f>
        <v>00</v>
      </c>
      <c r="AC360" t="str">
        <f>MID('paste from garc here'!$C$1,1+(('table for research'!$B360-1)*36+HEX2DEC('table for research'!AC$1))*2,2)</f>
        <v>00</v>
      </c>
      <c r="AD360" t="str">
        <f>MID('paste from garc here'!$C$1,1+(('table for research'!$B360-1)*36+HEX2DEC('table for research'!AD$1))*2,2)</f>
        <v>00</v>
      </c>
      <c r="AE360" t="str">
        <f>MID('paste from garc here'!$C$1,1+(('table for research'!$B360-1)*36+HEX2DEC('table for research'!AE$1))*2,2)</f>
        <v>00</v>
      </c>
      <c r="AF360" t="str">
        <f>MID('paste from garc here'!$C$1,1+(('table for research'!$B360-1)*36+HEX2DEC('table for research'!AF$1))*2,2)</f>
        <v>00</v>
      </c>
      <c r="AG360" t="str">
        <f>MID('paste from garc here'!$C$1,1+(('table for research'!$B360-1)*36+HEX2DEC('table for research'!AG$1))*2,2)</f>
        <v>00</v>
      </c>
      <c r="AH360" t="str">
        <f>MID('paste from garc here'!$C$1,1+(('table for research'!$B360-1)*36+HEX2DEC('table for research'!AH$1))*2,2)</f>
        <v>00</v>
      </c>
      <c r="AI360" t="str">
        <f>MID('paste from garc here'!$C$1,1+(('table for research'!$B360-1)*36+HEX2DEC('table for research'!AI$1))*2,2)</f>
        <v>00</v>
      </c>
      <c r="AJ360" t="str">
        <f>MID('paste from garc here'!$C$1,1+(('table for research'!$B360-1)*36+HEX2DEC('table for research'!AJ$1))*2,2)</f>
        <v>00</v>
      </c>
      <c r="AK360" t="str">
        <f>MID('paste from garc here'!$C$1,1+(('table for research'!$B360-1)*36+HEX2DEC('table for research'!AK$1))*2,2)</f>
        <v>00</v>
      </c>
      <c r="AL360" t="str">
        <f>MID('paste from garc here'!$C$1,1+(('table for research'!$B360-1)*36+HEX2DEC('table for research'!AL$1))*2,2)</f>
        <v>00</v>
      </c>
      <c r="AM360" t="str">
        <f>MID('paste from garc here'!$C$1,1+(('table for research'!$B360-1)*36+HEX2DEC('table for research'!AM$1))*2,2)</f>
        <v>00</v>
      </c>
      <c r="AN360" t="str">
        <f>MID('paste from garc here'!$C$1,1+(('table for research'!$B360-1)*36+HEX2DEC('table for research'!AN$1))*2,2)</f>
        <v>00</v>
      </c>
      <c r="AO360" t="str">
        <f>MID('paste from garc here'!$C$1,1+(('table for research'!$B360-1)*36+HEX2DEC('table for research'!AO$1))*2,2)</f>
        <v>00</v>
      </c>
    </row>
    <row r="361" spans="1:41" x14ac:dyDescent="0.4">
      <c r="A361" t="s">
        <v>364</v>
      </c>
      <c r="B361">
        <f>B360+1</f>
        <v>359</v>
      </c>
      <c r="C361" t="str">
        <f>MID('paste from garc here'!$C$1,1+(('table for research'!$B361-1)*36+HEX2DEC('table for research'!C$1))*2,2)</f>
        <v>E8</v>
      </c>
      <c r="D361" t="str">
        <f>MID('paste from garc here'!$C$1,1+(('table for research'!$B361-1)*36+HEX2DEC('table for research'!D$1))*2,2)</f>
        <v>03</v>
      </c>
      <c r="E361" t="str">
        <f>MID('paste from garc here'!$C$1,1+(('table for research'!$B361-1)*36+HEX2DEC('table for research'!E$1))*2,2)</f>
        <v>00</v>
      </c>
      <c r="F361" t="str">
        <f>MID('paste from garc here'!$C$1,1+(('table for research'!$B361-1)*36+HEX2DEC('table for research'!F$1))*2,2)</f>
        <v>00</v>
      </c>
      <c r="G361" t="str">
        <f>MID('paste from garc here'!$C$1,1+(('table for research'!$B361-1)*36+HEX2DEC('table for research'!G$1))*2,2)</f>
        <v>00</v>
      </c>
      <c r="H361" t="str">
        <f>MID('paste from garc here'!$C$1,1+(('table for research'!$B361-1)*36+HEX2DEC('table for research'!H$1))*2,2)</f>
        <v>00</v>
      </c>
      <c r="I361" t="str">
        <f>MID('paste from garc here'!$C$1,1+(('table for research'!$B361-1)*36+HEX2DEC('table for research'!I$1))*2,2)</f>
        <v>00</v>
      </c>
      <c r="J361" t="str">
        <f>MID('paste from garc here'!$C$1,1+(('table for research'!$B361-1)*36+HEX2DEC('table for research'!J$1))*2,2)</f>
        <v>00</v>
      </c>
      <c r="K361" t="str">
        <f>DEC2HEX(_xlfn.BITAND(HEX2DEC(MID('paste from garc here'!$C$1,1+(('table for research'!$B361-1)*36+HEX2DEC(8))*2,2)),31),2)</f>
        <v>1F</v>
      </c>
      <c r="L361" t="str">
        <f>DEC2HEX(_xlfn.BITAND(HEX2DEC(MID('paste from garc here'!$C$1,1+(('table for research'!$B361-1)*36+HEX2DEC(8))*2,2)),32),2)</f>
        <v>20</v>
      </c>
      <c r="M361" t="str">
        <f>DEC2HEX(_xlfn.BITAND(HEX2DEC(MID('paste from garc here'!$C$1,1+(('table for research'!$B361-1)*36+HEX2DEC(8))*2,2)),64),2)</f>
        <v>00</v>
      </c>
      <c r="N361" t="str">
        <f>DEC2HEX(_xlfn.BITRSHIFT(_xlfn.BITAND(HEX2DEC(MID('paste from garc here'!$C$1,1+(('table for research'!$B361-1)*36+HEX2DEC(9))*2,2)&amp;MID('paste from garc here'!$C$1,1+(('table for research'!$B361-1)*36+HEX2DEC(8))*2,2)),1920),7),2)</f>
        <v>02</v>
      </c>
      <c r="O361" t="str">
        <f>DEC2HEX(_xlfn.BITRSHIFT(HEX2DEC(MID('paste from garc here'!$C$1,1+(('table for research'!$B361-1)*36+HEX2DEC(9))*2,2)&amp;MID('paste from garc here'!$C$1,1+(('table for research'!$B361-1)*36+HEX2DEC(8))*2,2)),11),2)</f>
        <v>00</v>
      </c>
      <c r="P361" t="str">
        <f>MID('paste from garc here'!$C$1,1+(('table for research'!$B361-1)*36+HEX2DEC('table for research'!P$1))*2,2)</f>
        <v>02</v>
      </c>
      <c r="Q361" t="str">
        <f>MID('paste from garc here'!$C$1,1+(('table for research'!$B361-1)*36+HEX2DEC('table for research'!Q$1))*2,2)</f>
        <v>00</v>
      </c>
      <c r="R361" t="str">
        <f>MID('paste from garc here'!$C$1,1+(('table for research'!$B361-1)*36+HEX2DEC('table for research'!R$1))*2,2)</f>
        <v>00</v>
      </c>
      <c r="S361" t="str">
        <f>MID('paste from garc here'!$C$1,1+(('table for research'!$B361-1)*36+HEX2DEC('table for research'!S$1))*2,2)</f>
        <v>06</v>
      </c>
      <c r="T361" t="str">
        <f>MID('paste from garc here'!$C$1,1+(('table for research'!$B361-1)*36+HEX2DEC('table for research'!T$1))*2,2)</f>
        <v>00</v>
      </c>
      <c r="U361" t="str">
        <f>MID('paste from garc here'!$C$1,1+(('table for research'!$B361-1)*36+HEX2DEC('table for research'!U$1))*2,2)</f>
        <v>1F</v>
      </c>
      <c r="V361" t="str">
        <f>MID('paste from garc here'!$C$1,1+(('table for research'!$B361-1)*36+HEX2DEC('table for research'!V$1))*2,2)</f>
        <v>00</v>
      </c>
      <c r="W361" t="str">
        <f>MID('paste from garc here'!$C$1,1+(('table for research'!$B361-1)*36+HEX2DEC('table for research'!W$1))*2,2)</f>
        <v>00</v>
      </c>
      <c r="X361" t="str">
        <f>MID('paste from garc here'!$C$1,1+(('table for research'!$B361-1)*36+HEX2DEC('table for research'!X$1))*2,2)</f>
        <v>00</v>
      </c>
      <c r="Y361" t="str">
        <f>MID('paste from garc here'!$C$1,1+(('table for research'!$B361-1)*36+HEX2DEC('table for research'!Y$1))*2,2)</f>
        <v>00</v>
      </c>
      <c r="Z361" t="str">
        <f>MID('paste from garc here'!$C$1,1+(('table for research'!$B361-1)*36+HEX2DEC('table for research'!Z$1))*2,2)</f>
        <v>00</v>
      </c>
      <c r="AA361" t="str">
        <f>MID('paste from garc here'!$C$1,1+(('table for research'!$B361-1)*36+HEX2DEC('table for research'!AA$1))*2,2)</f>
        <v>00</v>
      </c>
      <c r="AB361" t="str">
        <f>MID('paste from garc here'!$C$1,1+(('table for research'!$B361-1)*36+HEX2DEC('table for research'!AB$1))*2,2)</f>
        <v>00</v>
      </c>
      <c r="AC361" t="str">
        <f>MID('paste from garc here'!$C$1,1+(('table for research'!$B361-1)*36+HEX2DEC('table for research'!AC$1))*2,2)</f>
        <v>00</v>
      </c>
      <c r="AD361" t="str">
        <f>MID('paste from garc here'!$C$1,1+(('table for research'!$B361-1)*36+HEX2DEC('table for research'!AD$1))*2,2)</f>
        <v>00</v>
      </c>
      <c r="AE361" t="str">
        <f>MID('paste from garc here'!$C$1,1+(('table for research'!$B361-1)*36+HEX2DEC('table for research'!AE$1))*2,2)</f>
        <v>00</v>
      </c>
      <c r="AF361" t="str">
        <f>MID('paste from garc here'!$C$1,1+(('table for research'!$B361-1)*36+HEX2DEC('table for research'!AF$1))*2,2)</f>
        <v>00</v>
      </c>
      <c r="AG361" t="str">
        <f>MID('paste from garc here'!$C$1,1+(('table for research'!$B361-1)*36+HEX2DEC('table for research'!AG$1))*2,2)</f>
        <v>00</v>
      </c>
      <c r="AH361" t="str">
        <f>MID('paste from garc here'!$C$1,1+(('table for research'!$B361-1)*36+HEX2DEC('table for research'!AH$1))*2,2)</f>
        <v>00</v>
      </c>
      <c r="AI361" t="str">
        <f>MID('paste from garc here'!$C$1,1+(('table for research'!$B361-1)*36+HEX2DEC('table for research'!AI$1))*2,2)</f>
        <v>00</v>
      </c>
      <c r="AJ361" t="str">
        <f>MID('paste from garc here'!$C$1,1+(('table for research'!$B361-1)*36+HEX2DEC('table for research'!AJ$1))*2,2)</f>
        <v>00</v>
      </c>
      <c r="AK361" t="str">
        <f>MID('paste from garc here'!$C$1,1+(('table for research'!$B361-1)*36+HEX2DEC('table for research'!AK$1))*2,2)</f>
        <v>00</v>
      </c>
      <c r="AL361" t="str">
        <f>MID('paste from garc here'!$C$1,1+(('table for research'!$B361-1)*36+HEX2DEC('table for research'!AL$1))*2,2)</f>
        <v>00</v>
      </c>
      <c r="AM361" t="str">
        <f>MID('paste from garc here'!$C$1,1+(('table for research'!$B361-1)*36+HEX2DEC('table for research'!AM$1))*2,2)</f>
        <v>00</v>
      </c>
      <c r="AN361" t="str">
        <f>MID('paste from garc here'!$C$1,1+(('table for research'!$B361-1)*36+HEX2DEC('table for research'!AN$1))*2,2)</f>
        <v>00</v>
      </c>
      <c r="AO361" t="str">
        <f>MID('paste from garc here'!$C$1,1+(('table for research'!$B361-1)*36+HEX2DEC('table for research'!AO$1))*2,2)</f>
        <v>00</v>
      </c>
    </row>
    <row r="362" spans="1:41" x14ac:dyDescent="0.4">
      <c r="A362" t="s">
        <v>365</v>
      </c>
      <c r="B362">
        <f>B361+1</f>
        <v>360</v>
      </c>
      <c r="C362" t="str">
        <f>MID('paste from garc here'!$C$1,1+(('table for research'!$B362-1)*36+HEX2DEC('table for research'!C$1))*2,2)</f>
        <v>DC</v>
      </c>
      <c r="D362" t="str">
        <f>MID('paste from garc here'!$C$1,1+(('table for research'!$B362-1)*36+HEX2DEC('table for research'!D$1))*2,2)</f>
        <v>05</v>
      </c>
      <c r="E362" t="str">
        <f>MID('paste from garc here'!$C$1,1+(('table for research'!$B362-1)*36+HEX2DEC('table for research'!E$1))*2,2)</f>
        <v>00</v>
      </c>
      <c r="F362" t="str">
        <f>MID('paste from garc here'!$C$1,1+(('table for research'!$B362-1)*36+HEX2DEC('table for research'!F$1))*2,2)</f>
        <v>00</v>
      </c>
      <c r="G362" t="str">
        <f>MID('paste from garc here'!$C$1,1+(('table for research'!$B362-1)*36+HEX2DEC('table for research'!G$1))*2,2)</f>
        <v>00</v>
      </c>
      <c r="H362" t="str">
        <f>MID('paste from garc here'!$C$1,1+(('table for research'!$B362-1)*36+HEX2DEC('table for research'!H$1))*2,2)</f>
        <v>00</v>
      </c>
      <c r="I362" t="str">
        <f>MID('paste from garc here'!$C$1,1+(('table for research'!$B362-1)*36+HEX2DEC('table for research'!I$1))*2,2)</f>
        <v>00</v>
      </c>
      <c r="J362" t="str">
        <f>MID('paste from garc here'!$C$1,1+(('table for research'!$B362-1)*36+HEX2DEC('table for research'!J$1))*2,2)</f>
        <v>00</v>
      </c>
      <c r="K362" t="str">
        <f>DEC2HEX(_xlfn.BITAND(HEX2DEC(MID('paste from garc here'!$C$1,1+(('table for research'!$B362-1)*36+HEX2DEC(8))*2,2)),31),2)</f>
        <v>1F</v>
      </c>
      <c r="L362" t="str">
        <f>DEC2HEX(_xlfn.BITAND(HEX2DEC(MID('paste from garc here'!$C$1,1+(('table for research'!$B362-1)*36+HEX2DEC(8))*2,2)),32),2)</f>
        <v>20</v>
      </c>
      <c r="M362" t="str">
        <f>DEC2HEX(_xlfn.BITAND(HEX2DEC(MID('paste from garc here'!$C$1,1+(('table for research'!$B362-1)*36+HEX2DEC(8))*2,2)),64),2)</f>
        <v>00</v>
      </c>
      <c r="N362" t="str">
        <f>DEC2HEX(_xlfn.BITRSHIFT(_xlfn.BITAND(HEX2DEC(MID('paste from garc here'!$C$1,1+(('table for research'!$B362-1)*36+HEX2DEC(9))*2,2)&amp;MID('paste from garc here'!$C$1,1+(('table for research'!$B362-1)*36+HEX2DEC(8))*2,2)),1920),7),2)</f>
        <v>02</v>
      </c>
      <c r="O362" t="str">
        <f>DEC2HEX(_xlfn.BITRSHIFT(HEX2DEC(MID('paste from garc here'!$C$1,1+(('table for research'!$B362-1)*36+HEX2DEC(9))*2,2)&amp;MID('paste from garc here'!$C$1,1+(('table for research'!$B362-1)*36+HEX2DEC(8))*2,2)),11),2)</f>
        <v>00</v>
      </c>
      <c r="P362" t="str">
        <f>MID('paste from garc here'!$C$1,1+(('table for research'!$B362-1)*36+HEX2DEC('table for research'!P$1))*2,2)</f>
        <v>02</v>
      </c>
      <c r="Q362" t="str">
        <f>MID('paste from garc here'!$C$1,1+(('table for research'!$B362-1)*36+HEX2DEC('table for research'!Q$1))*2,2)</f>
        <v>00</v>
      </c>
      <c r="R362" t="str">
        <f>MID('paste from garc here'!$C$1,1+(('table for research'!$B362-1)*36+HEX2DEC('table for research'!R$1))*2,2)</f>
        <v>00</v>
      </c>
      <c r="S362" t="str">
        <f>MID('paste from garc here'!$C$1,1+(('table for research'!$B362-1)*36+HEX2DEC('table for research'!S$1))*2,2)</f>
        <v>06</v>
      </c>
      <c r="T362" t="str">
        <f>MID('paste from garc here'!$C$1,1+(('table for research'!$B362-1)*36+HEX2DEC('table for research'!T$1))*2,2)</f>
        <v>00</v>
      </c>
      <c r="U362" t="str">
        <f>MID('paste from garc here'!$C$1,1+(('table for research'!$B362-1)*36+HEX2DEC('table for research'!U$1))*2,2)</f>
        <v>20</v>
      </c>
      <c r="V362" t="str">
        <f>MID('paste from garc here'!$C$1,1+(('table for research'!$B362-1)*36+HEX2DEC('table for research'!V$1))*2,2)</f>
        <v>00</v>
      </c>
      <c r="W362" t="str">
        <f>MID('paste from garc here'!$C$1,1+(('table for research'!$B362-1)*36+HEX2DEC('table for research'!W$1))*2,2)</f>
        <v>00</v>
      </c>
      <c r="X362" t="str">
        <f>MID('paste from garc here'!$C$1,1+(('table for research'!$B362-1)*36+HEX2DEC('table for research'!X$1))*2,2)</f>
        <v>00</v>
      </c>
      <c r="Y362" t="str">
        <f>MID('paste from garc here'!$C$1,1+(('table for research'!$B362-1)*36+HEX2DEC('table for research'!Y$1))*2,2)</f>
        <v>00</v>
      </c>
      <c r="Z362" t="str">
        <f>MID('paste from garc here'!$C$1,1+(('table for research'!$B362-1)*36+HEX2DEC('table for research'!Z$1))*2,2)</f>
        <v>00</v>
      </c>
      <c r="AA362" t="str">
        <f>MID('paste from garc here'!$C$1,1+(('table for research'!$B362-1)*36+HEX2DEC('table for research'!AA$1))*2,2)</f>
        <v>00</v>
      </c>
      <c r="AB362" t="str">
        <f>MID('paste from garc here'!$C$1,1+(('table for research'!$B362-1)*36+HEX2DEC('table for research'!AB$1))*2,2)</f>
        <v>00</v>
      </c>
      <c r="AC362" t="str">
        <f>MID('paste from garc here'!$C$1,1+(('table for research'!$B362-1)*36+HEX2DEC('table for research'!AC$1))*2,2)</f>
        <v>00</v>
      </c>
      <c r="AD362" t="str">
        <f>MID('paste from garc here'!$C$1,1+(('table for research'!$B362-1)*36+HEX2DEC('table for research'!AD$1))*2,2)</f>
        <v>00</v>
      </c>
      <c r="AE362" t="str">
        <f>MID('paste from garc here'!$C$1,1+(('table for research'!$B362-1)*36+HEX2DEC('table for research'!AE$1))*2,2)</f>
        <v>00</v>
      </c>
      <c r="AF362" t="str">
        <f>MID('paste from garc here'!$C$1,1+(('table for research'!$B362-1)*36+HEX2DEC('table for research'!AF$1))*2,2)</f>
        <v>00</v>
      </c>
      <c r="AG362" t="str">
        <f>MID('paste from garc here'!$C$1,1+(('table for research'!$B362-1)*36+HEX2DEC('table for research'!AG$1))*2,2)</f>
        <v>00</v>
      </c>
      <c r="AH362" t="str">
        <f>MID('paste from garc here'!$C$1,1+(('table for research'!$B362-1)*36+HEX2DEC('table for research'!AH$1))*2,2)</f>
        <v>00</v>
      </c>
      <c r="AI362" t="str">
        <f>MID('paste from garc here'!$C$1,1+(('table for research'!$B362-1)*36+HEX2DEC('table for research'!AI$1))*2,2)</f>
        <v>00</v>
      </c>
      <c r="AJ362" t="str">
        <f>MID('paste from garc here'!$C$1,1+(('table for research'!$B362-1)*36+HEX2DEC('table for research'!AJ$1))*2,2)</f>
        <v>00</v>
      </c>
      <c r="AK362" t="str">
        <f>MID('paste from garc here'!$C$1,1+(('table for research'!$B362-1)*36+HEX2DEC('table for research'!AK$1))*2,2)</f>
        <v>00</v>
      </c>
      <c r="AL362" t="str">
        <f>MID('paste from garc here'!$C$1,1+(('table for research'!$B362-1)*36+HEX2DEC('table for research'!AL$1))*2,2)</f>
        <v>00</v>
      </c>
      <c r="AM362" t="str">
        <f>MID('paste from garc here'!$C$1,1+(('table for research'!$B362-1)*36+HEX2DEC('table for research'!AM$1))*2,2)</f>
        <v>00</v>
      </c>
      <c r="AN362" t="str">
        <f>MID('paste from garc here'!$C$1,1+(('table for research'!$B362-1)*36+HEX2DEC('table for research'!AN$1))*2,2)</f>
        <v>00</v>
      </c>
      <c r="AO362" t="str">
        <f>MID('paste from garc here'!$C$1,1+(('table for research'!$B362-1)*36+HEX2DEC('table for research'!AO$1))*2,2)</f>
        <v>00</v>
      </c>
    </row>
    <row r="363" spans="1:41" x14ac:dyDescent="0.4">
      <c r="A363" t="s">
        <v>366</v>
      </c>
      <c r="B363">
        <f>B362+1</f>
        <v>361</v>
      </c>
      <c r="C363" t="str">
        <f>MID('paste from garc here'!$C$1,1+(('table for research'!$B363-1)*36+HEX2DEC('table for research'!C$1))*2,2)</f>
        <v>C4</v>
      </c>
      <c r="D363" t="str">
        <f>MID('paste from garc here'!$C$1,1+(('table for research'!$B363-1)*36+HEX2DEC('table for research'!D$1))*2,2)</f>
        <v>09</v>
      </c>
      <c r="E363" t="str">
        <f>MID('paste from garc here'!$C$1,1+(('table for research'!$B363-1)*36+HEX2DEC('table for research'!E$1))*2,2)</f>
        <v>00</v>
      </c>
      <c r="F363" t="str">
        <f>MID('paste from garc here'!$C$1,1+(('table for research'!$B363-1)*36+HEX2DEC('table for research'!F$1))*2,2)</f>
        <v>00</v>
      </c>
      <c r="G363" t="str">
        <f>MID('paste from garc here'!$C$1,1+(('table for research'!$B363-1)*36+HEX2DEC('table for research'!G$1))*2,2)</f>
        <v>00</v>
      </c>
      <c r="H363" t="str">
        <f>MID('paste from garc here'!$C$1,1+(('table for research'!$B363-1)*36+HEX2DEC('table for research'!H$1))*2,2)</f>
        <v>00</v>
      </c>
      <c r="I363" t="str">
        <f>MID('paste from garc here'!$C$1,1+(('table for research'!$B363-1)*36+HEX2DEC('table for research'!I$1))*2,2)</f>
        <v>00</v>
      </c>
      <c r="J363" t="str">
        <f>MID('paste from garc here'!$C$1,1+(('table for research'!$B363-1)*36+HEX2DEC('table for research'!J$1))*2,2)</f>
        <v>00</v>
      </c>
      <c r="K363" t="str">
        <f>DEC2HEX(_xlfn.BITAND(HEX2DEC(MID('paste from garc here'!$C$1,1+(('table for research'!$B363-1)*36+HEX2DEC(8))*2,2)),31),2)</f>
        <v>1F</v>
      </c>
      <c r="L363" t="str">
        <f>DEC2HEX(_xlfn.BITAND(HEX2DEC(MID('paste from garc here'!$C$1,1+(('table for research'!$B363-1)*36+HEX2DEC(8))*2,2)),32),2)</f>
        <v>20</v>
      </c>
      <c r="M363" t="str">
        <f>DEC2HEX(_xlfn.BITAND(HEX2DEC(MID('paste from garc here'!$C$1,1+(('table for research'!$B363-1)*36+HEX2DEC(8))*2,2)),64),2)</f>
        <v>00</v>
      </c>
      <c r="N363" t="str">
        <f>DEC2HEX(_xlfn.BITRSHIFT(_xlfn.BITAND(HEX2DEC(MID('paste from garc here'!$C$1,1+(('table for research'!$B363-1)*36+HEX2DEC(9))*2,2)&amp;MID('paste from garc here'!$C$1,1+(('table for research'!$B363-1)*36+HEX2DEC(8))*2,2)),1920),7),2)</f>
        <v>02</v>
      </c>
      <c r="O363" t="str">
        <f>DEC2HEX(_xlfn.BITRSHIFT(HEX2DEC(MID('paste from garc here'!$C$1,1+(('table for research'!$B363-1)*36+HEX2DEC(9))*2,2)&amp;MID('paste from garc here'!$C$1,1+(('table for research'!$B363-1)*36+HEX2DEC(8))*2,2)),11),2)</f>
        <v>00</v>
      </c>
      <c r="P363" t="str">
        <f>MID('paste from garc here'!$C$1,1+(('table for research'!$B363-1)*36+HEX2DEC('table for research'!P$1))*2,2)</f>
        <v>02</v>
      </c>
      <c r="Q363" t="str">
        <f>MID('paste from garc here'!$C$1,1+(('table for research'!$B363-1)*36+HEX2DEC('table for research'!Q$1))*2,2)</f>
        <v>00</v>
      </c>
      <c r="R363" t="str">
        <f>MID('paste from garc here'!$C$1,1+(('table for research'!$B363-1)*36+HEX2DEC('table for research'!R$1))*2,2)</f>
        <v>00</v>
      </c>
      <c r="S363" t="str">
        <f>MID('paste from garc here'!$C$1,1+(('table for research'!$B363-1)*36+HEX2DEC('table for research'!S$1))*2,2)</f>
        <v>06</v>
      </c>
      <c r="T363" t="str">
        <f>MID('paste from garc here'!$C$1,1+(('table for research'!$B363-1)*36+HEX2DEC('table for research'!T$1))*2,2)</f>
        <v>00</v>
      </c>
      <c r="U363" t="str">
        <f>MID('paste from garc here'!$C$1,1+(('table for research'!$B363-1)*36+HEX2DEC('table for research'!U$1))*2,2)</f>
        <v>21</v>
      </c>
      <c r="V363" t="str">
        <f>MID('paste from garc here'!$C$1,1+(('table for research'!$B363-1)*36+HEX2DEC('table for research'!V$1))*2,2)</f>
        <v>00</v>
      </c>
      <c r="W363" t="str">
        <f>MID('paste from garc here'!$C$1,1+(('table for research'!$B363-1)*36+HEX2DEC('table for research'!W$1))*2,2)</f>
        <v>00</v>
      </c>
      <c r="X363" t="str">
        <f>MID('paste from garc here'!$C$1,1+(('table for research'!$B363-1)*36+HEX2DEC('table for research'!X$1))*2,2)</f>
        <v>00</v>
      </c>
      <c r="Y363" t="str">
        <f>MID('paste from garc here'!$C$1,1+(('table for research'!$B363-1)*36+HEX2DEC('table for research'!Y$1))*2,2)</f>
        <v>00</v>
      </c>
      <c r="Z363" t="str">
        <f>MID('paste from garc here'!$C$1,1+(('table for research'!$B363-1)*36+HEX2DEC('table for research'!Z$1))*2,2)</f>
        <v>00</v>
      </c>
      <c r="AA363" t="str">
        <f>MID('paste from garc here'!$C$1,1+(('table for research'!$B363-1)*36+HEX2DEC('table for research'!AA$1))*2,2)</f>
        <v>00</v>
      </c>
      <c r="AB363" t="str">
        <f>MID('paste from garc here'!$C$1,1+(('table for research'!$B363-1)*36+HEX2DEC('table for research'!AB$1))*2,2)</f>
        <v>00</v>
      </c>
      <c r="AC363" t="str">
        <f>MID('paste from garc here'!$C$1,1+(('table for research'!$B363-1)*36+HEX2DEC('table for research'!AC$1))*2,2)</f>
        <v>00</v>
      </c>
      <c r="AD363" t="str">
        <f>MID('paste from garc here'!$C$1,1+(('table for research'!$B363-1)*36+HEX2DEC('table for research'!AD$1))*2,2)</f>
        <v>00</v>
      </c>
      <c r="AE363" t="str">
        <f>MID('paste from garc here'!$C$1,1+(('table for research'!$B363-1)*36+HEX2DEC('table for research'!AE$1))*2,2)</f>
        <v>00</v>
      </c>
      <c r="AF363" t="str">
        <f>MID('paste from garc here'!$C$1,1+(('table for research'!$B363-1)*36+HEX2DEC('table for research'!AF$1))*2,2)</f>
        <v>00</v>
      </c>
      <c r="AG363" t="str">
        <f>MID('paste from garc here'!$C$1,1+(('table for research'!$B363-1)*36+HEX2DEC('table for research'!AG$1))*2,2)</f>
        <v>00</v>
      </c>
      <c r="AH363" t="str">
        <f>MID('paste from garc here'!$C$1,1+(('table for research'!$B363-1)*36+HEX2DEC('table for research'!AH$1))*2,2)</f>
        <v>00</v>
      </c>
      <c r="AI363" t="str">
        <f>MID('paste from garc here'!$C$1,1+(('table for research'!$B363-1)*36+HEX2DEC('table for research'!AI$1))*2,2)</f>
        <v>00</v>
      </c>
      <c r="AJ363" t="str">
        <f>MID('paste from garc here'!$C$1,1+(('table for research'!$B363-1)*36+HEX2DEC('table for research'!AJ$1))*2,2)</f>
        <v>00</v>
      </c>
      <c r="AK363" t="str">
        <f>MID('paste from garc here'!$C$1,1+(('table for research'!$B363-1)*36+HEX2DEC('table for research'!AK$1))*2,2)</f>
        <v>00</v>
      </c>
      <c r="AL363" t="str">
        <f>MID('paste from garc here'!$C$1,1+(('table for research'!$B363-1)*36+HEX2DEC('table for research'!AL$1))*2,2)</f>
        <v>00</v>
      </c>
      <c r="AM363" t="str">
        <f>MID('paste from garc here'!$C$1,1+(('table for research'!$B363-1)*36+HEX2DEC('table for research'!AM$1))*2,2)</f>
        <v>00</v>
      </c>
      <c r="AN363" t="str">
        <f>MID('paste from garc here'!$C$1,1+(('table for research'!$B363-1)*36+HEX2DEC('table for research'!AN$1))*2,2)</f>
        <v>00</v>
      </c>
      <c r="AO363" t="str">
        <f>MID('paste from garc here'!$C$1,1+(('table for research'!$B363-1)*36+HEX2DEC('table for research'!AO$1))*2,2)</f>
        <v>00</v>
      </c>
    </row>
    <row r="364" spans="1:41" x14ac:dyDescent="0.4">
      <c r="A364" t="s">
        <v>367</v>
      </c>
      <c r="B364">
        <f>B363+1</f>
        <v>362</v>
      </c>
      <c r="C364" t="str">
        <f>MID('paste from garc here'!$C$1,1+(('table for research'!$B364-1)*36+HEX2DEC('table for research'!C$1))*2,2)</f>
        <v>E8</v>
      </c>
      <c r="D364" t="str">
        <f>MID('paste from garc here'!$C$1,1+(('table for research'!$B364-1)*36+HEX2DEC('table for research'!D$1))*2,2)</f>
        <v>03</v>
      </c>
      <c r="E364" t="str">
        <f>MID('paste from garc here'!$C$1,1+(('table for research'!$B364-1)*36+HEX2DEC('table for research'!E$1))*2,2)</f>
        <v>00</v>
      </c>
      <c r="F364" t="str">
        <f>MID('paste from garc here'!$C$1,1+(('table for research'!$B364-1)*36+HEX2DEC('table for research'!F$1))*2,2)</f>
        <v>00</v>
      </c>
      <c r="G364" t="str">
        <f>MID('paste from garc here'!$C$1,1+(('table for research'!$B364-1)*36+HEX2DEC('table for research'!G$1))*2,2)</f>
        <v>00</v>
      </c>
      <c r="H364" t="str">
        <f>MID('paste from garc here'!$C$1,1+(('table for research'!$B364-1)*36+HEX2DEC('table for research'!H$1))*2,2)</f>
        <v>00</v>
      </c>
      <c r="I364" t="str">
        <f>MID('paste from garc here'!$C$1,1+(('table for research'!$B364-1)*36+HEX2DEC('table for research'!I$1))*2,2)</f>
        <v>00</v>
      </c>
      <c r="J364" t="str">
        <f>MID('paste from garc here'!$C$1,1+(('table for research'!$B364-1)*36+HEX2DEC('table for research'!J$1))*2,2)</f>
        <v>00</v>
      </c>
      <c r="K364" t="str">
        <f>DEC2HEX(_xlfn.BITAND(HEX2DEC(MID('paste from garc here'!$C$1,1+(('table for research'!$B364-1)*36+HEX2DEC(8))*2,2)),31),2)</f>
        <v>1F</v>
      </c>
      <c r="L364" t="str">
        <f>DEC2HEX(_xlfn.BITAND(HEX2DEC(MID('paste from garc here'!$C$1,1+(('table for research'!$B364-1)*36+HEX2DEC(8))*2,2)),32),2)</f>
        <v>20</v>
      </c>
      <c r="M364" t="str">
        <f>DEC2HEX(_xlfn.BITAND(HEX2DEC(MID('paste from garc here'!$C$1,1+(('table for research'!$B364-1)*36+HEX2DEC(8))*2,2)),64),2)</f>
        <v>00</v>
      </c>
      <c r="N364" t="str">
        <f>DEC2HEX(_xlfn.BITRSHIFT(_xlfn.BITAND(HEX2DEC(MID('paste from garc here'!$C$1,1+(('table for research'!$B364-1)*36+HEX2DEC(9))*2,2)&amp;MID('paste from garc here'!$C$1,1+(('table for research'!$B364-1)*36+HEX2DEC(8))*2,2)),1920),7),2)</f>
        <v>02</v>
      </c>
      <c r="O364" t="str">
        <f>DEC2HEX(_xlfn.BITRSHIFT(HEX2DEC(MID('paste from garc here'!$C$1,1+(('table for research'!$B364-1)*36+HEX2DEC(9))*2,2)&amp;MID('paste from garc here'!$C$1,1+(('table for research'!$B364-1)*36+HEX2DEC(8))*2,2)),11),2)</f>
        <v>00</v>
      </c>
      <c r="P364" t="str">
        <f>MID('paste from garc here'!$C$1,1+(('table for research'!$B364-1)*36+HEX2DEC('table for research'!P$1))*2,2)</f>
        <v>02</v>
      </c>
      <c r="Q364" t="str">
        <f>MID('paste from garc here'!$C$1,1+(('table for research'!$B364-1)*36+HEX2DEC('table for research'!Q$1))*2,2)</f>
        <v>00</v>
      </c>
      <c r="R364" t="str">
        <f>MID('paste from garc here'!$C$1,1+(('table for research'!$B364-1)*36+HEX2DEC('table for research'!R$1))*2,2)</f>
        <v>00</v>
      </c>
      <c r="S364" t="str">
        <f>MID('paste from garc here'!$C$1,1+(('table for research'!$B364-1)*36+HEX2DEC('table for research'!S$1))*2,2)</f>
        <v>06</v>
      </c>
      <c r="T364" t="str">
        <f>MID('paste from garc here'!$C$1,1+(('table for research'!$B364-1)*36+HEX2DEC('table for research'!T$1))*2,2)</f>
        <v>00</v>
      </c>
      <c r="U364" t="str">
        <f>MID('paste from garc here'!$C$1,1+(('table for research'!$B364-1)*36+HEX2DEC('table for research'!U$1))*2,2)</f>
        <v>22</v>
      </c>
      <c r="V364" t="str">
        <f>MID('paste from garc here'!$C$1,1+(('table for research'!$B364-1)*36+HEX2DEC('table for research'!V$1))*2,2)</f>
        <v>00</v>
      </c>
      <c r="W364" t="str">
        <f>MID('paste from garc here'!$C$1,1+(('table for research'!$B364-1)*36+HEX2DEC('table for research'!W$1))*2,2)</f>
        <v>00</v>
      </c>
      <c r="X364" t="str">
        <f>MID('paste from garc here'!$C$1,1+(('table for research'!$B364-1)*36+HEX2DEC('table for research'!X$1))*2,2)</f>
        <v>00</v>
      </c>
      <c r="Y364" t="str">
        <f>MID('paste from garc here'!$C$1,1+(('table for research'!$B364-1)*36+HEX2DEC('table for research'!Y$1))*2,2)</f>
        <v>00</v>
      </c>
      <c r="Z364" t="str">
        <f>MID('paste from garc here'!$C$1,1+(('table for research'!$B364-1)*36+HEX2DEC('table for research'!Z$1))*2,2)</f>
        <v>00</v>
      </c>
      <c r="AA364" t="str">
        <f>MID('paste from garc here'!$C$1,1+(('table for research'!$B364-1)*36+HEX2DEC('table for research'!AA$1))*2,2)</f>
        <v>00</v>
      </c>
      <c r="AB364" t="str">
        <f>MID('paste from garc here'!$C$1,1+(('table for research'!$B364-1)*36+HEX2DEC('table for research'!AB$1))*2,2)</f>
        <v>00</v>
      </c>
      <c r="AC364" t="str">
        <f>MID('paste from garc here'!$C$1,1+(('table for research'!$B364-1)*36+HEX2DEC('table for research'!AC$1))*2,2)</f>
        <v>00</v>
      </c>
      <c r="AD364" t="str">
        <f>MID('paste from garc here'!$C$1,1+(('table for research'!$B364-1)*36+HEX2DEC('table for research'!AD$1))*2,2)</f>
        <v>00</v>
      </c>
      <c r="AE364" t="str">
        <f>MID('paste from garc here'!$C$1,1+(('table for research'!$B364-1)*36+HEX2DEC('table for research'!AE$1))*2,2)</f>
        <v>00</v>
      </c>
      <c r="AF364" t="str">
        <f>MID('paste from garc here'!$C$1,1+(('table for research'!$B364-1)*36+HEX2DEC('table for research'!AF$1))*2,2)</f>
        <v>00</v>
      </c>
      <c r="AG364" t="str">
        <f>MID('paste from garc here'!$C$1,1+(('table for research'!$B364-1)*36+HEX2DEC('table for research'!AG$1))*2,2)</f>
        <v>00</v>
      </c>
      <c r="AH364" t="str">
        <f>MID('paste from garc here'!$C$1,1+(('table for research'!$B364-1)*36+HEX2DEC('table for research'!AH$1))*2,2)</f>
        <v>00</v>
      </c>
      <c r="AI364" t="str">
        <f>MID('paste from garc here'!$C$1,1+(('table for research'!$B364-1)*36+HEX2DEC('table for research'!AI$1))*2,2)</f>
        <v>00</v>
      </c>
      <c r="AJ364" t="str">
        <f>MID('paste from garc here'!$C$1,1+(('table for research'!$B364-1)*36+HEX2DEC('table for research'!AJ$1))*2,2)</f>
        <v>00</v>
      </c>
      <c r="AK364" t="str">
        <f>MID('paste from garc here'!$C$1,1+(('table for research'!$B364-1)*36+HEX2DEC('table for research'!AK$1))*2,2)</f>
        <v>00</v>
      </c>
      <c r="AL364" t="str">
        <f>MID('paste from garc here'!$C$1,1+(('table for research'!$B364-1)*36+HEX2DEC('table for research'!AL$1))*2,2)</f>
        <v>00</v>
      </c>
      <c r="AM364" t="str">
        <f>MID('paste from garc here'!$C$1,1+(('table for research'!$B364-1)*36+HEX2DEC('table for research'!AM$1))*2,2)</f>
        <v>00</v>
      </c>
      <c r="AN364" t="str">
        <f>MID('paste from garc here'!$C$1,1+(('table for research'!$B364-1)*36+HEX2DEC('table for research'!AN$1))*2,2)</f>
        <v>00</v>
      </c>
      <c r="AO364" t="str">
        <f>MID('paste from garc here'!$C$1,1+(('table for research'!$B364-1)*36+HEX2DEC('table for research'!AO$1))*2,2)</f>
        <v>00</v>
      </c>
    </row>
    <row r="365" spans="1:41" x14ac:dyDescent="0.4">
      <c r="A365" t="s">
        <v>368</v>
      </c>
      <c r="B365">
        <f>B364+1</f>
        <v>363</v>
      </c>
      <c r="C365" t="str">
        <f>MID('paste from garc here'!$C$1,1+(('table for research'!$B365-1)*36+HEX2DEC('table for research'!C$1))*2,2)</f>
        <v>E8</v>
      </c>
      <c r="D365" t="str">
        <f>MID('paste from garc here'!$C$1,1+(('table for research'!$B365-1)*36+HEX2DEC('table for research'!D$1))*2,2)</f>
        <v>03</v>
      </c>
      <c r="E365" t="str">
        <f>MID('paste from garc here'!$C$1,1+(('table for research'!$B365-1)*36+HEX2DEC('table for research'!E$1))*2,2)</f>
        <v>00</v>
      </c>
      <c r="F365" t="str">
        <f>MID('paste from garc here'!$C$1,1+(('table for research'!$B365-1)*36+HEX2DEC('table for research'!F$1))*2,2)</f>
        <v>00</v>
      </c>
      <c r="G365" t="str">
        <f>MID('paste from garc here'!$C$1,1+(('table for research'!$B365-1)*36+HEX2DEC('table for research'!G$1))*2,2)</f>
        <v>00</v>
      </c>
      <c r="H365" t="str">
        <f>MID('paste from garc here'!$C$1,1+(('table for research'!$B365-1)*36+HEX2DEC('table for research'!H$1))*2,2)</f>
        <v>00</v>
      </c>
      <c r="I365" t="str">
        <f>MID('paste from garc here'!$C$1,1+(('table for research'!$B365-1)*36+HEX2DEC('table for research'!I$1))*2,2)</f>
        <v>00</v>
      </c>
      <c r="J365" t="str">
        <f>MID('paste from garc here'!$C$1,1+(('table for research'!$B365-1)*36+HEX2DEC('table for research'!J$1))*2,2)</f>
        <v>00</v>
      </c>
      <c r="K365" t="str">
        <f>DEC2HEX(_xlfn.BITAND(HEX2DEC(MID('paste from garc here'!$C$1,1+(('table for research'!$B365-1)*36+HEX2DEC(8))*2,2)),31),2)</f>
        <v>1F</v>
      </c>
      <c r="L365" t="str">
        <f>DEC2HEX(_xlfn.BITAND(HEX2DEC(MID('paste from garc here'!$C$1,1+(('table for research'!$B365-1)*36+HEX2DEC(8))*2,2)),32),2)</f>
        <v>20</v>
      </c>
      <c r="M365" t="str">
        <f>DEC2HEX(_xlfn.BITAND(HEX2DEC(MID('paste from garc here'!$C$1,1+(('table for research'!$B365-1)*36+HEX2DEC(8))*2,2)),64),2)</f>
        <v>00</v>
      </c>
      <c r="N365" t="str">
        <f>DEC2HEX(_xlfn.BITRSHIFT(_xlfn.BITAND(HEX2DEC(MID('paste from garc here'!$C$1,1+(('table for research'!$B365-1)*36+HEX2DEC(9))*2,2)&amp;MID('paste from garc here'!$C$1,1+(('table for research'!$B365-1)*36+HEX2DEC(8))*2,2)),1920),7),2)</f>
        <v>02</v>
      </c>
      <c r="O365" t="str">
        <f>DEC2HEX(_xlfn.BITRSHIFT(HEX2DEC(MID('paste from garc here'!$C$1,1+(('table for research'!$B365-1)*36+HEX2DEC(9))*2,2)&amp;MID('paste from garc here'!$C$1,1+(('table for research'!$B365-1)*36+HEX2DEC(8))*2,2)),11),2)</f>
        <v>00</v>
      </c>
      <c r="P365" t="str">
        <f>MID('paste from garc here'!$C$1,1+(('table for research'!$B365-1)*36+HEX2DEC('table for research'!P$1))*2,2)</f>
        <v>02</v>
      </c>
      <c r="Q365" t="str">
        <f>MID('paste from garc here'!$C$1,1+(('table for research'!$B365-1)*36+HEX2DEC('table for research'!Q$1))*2,2)</f>
        <v>00</v>
      </c>
      <c r="R365" t="str">
        <f>MID('paste from garc here'!$C$1,1+(('table for research'!$B365-1)*36+HEX2DEC('table for research'!R$1))*2,2)</f>
        <v>00</v>
      </c>
      <c r="S365" t="str">
        <f>MID('paste from garc here'!$C$1,1+(('table for research'!$B365-1)*36+HEX2DEC('table for research'!S$1))*2,2)</f>
        <v>06</v>
      </c>
      <c r="T365" t="str">
        <f>MID('paste from garc here'!$C$1,1+(('table for research'!$B365-1)*36+HEX2DEC('table for research'!T$1))*2,2)</f>
        <v>00</v>
      </c>
      <c r="U365" t="str">
        <f>MID('paste from garc here'!$C$1,1+(('table for research'!$B365-1)*36+HEX2DEC('table for research'!U$1))*2,2)</f>
        <v>23</v>
      </c>
      <c r="V365" t="str">
        <f>MID('paste from garc here'!$C$1,1+(('table for research'!$B365-1)*36+HEX2DEC('table for research'!V$1))*2,2)</f>
        <v>00</v>
      </c>
      <c r="W365" t="str">
        <f>MID('paste from garc here'!$C$1,1+(('table for research'!$B365-1)*36+HEX2DEC('table for research'!W$1))*2,2)</f>
        <v>00</v>
      </c>
      <c r="X365" t="str">
        <f>MID('paste from garc here'!$C$1,1+(('table for research'!$B365-1)*36+HEX2DEC('table for research'!X$1))*2,2)</f>
        <v>00</v>
      </c>
      <c r="Y365" t="str">
        <f>MID('paste from garc here'!$C$1,1+(('table for research'!$B365-1)*36+HEX2DEC('table for research'!Y$1))*2,2)</f>
        <v>00</v>
      </c>
      <c r="Z365" t="str">
        <f>MID('paste from garc here'!$C$1,1+(('table for research'!$B365-1)*36+HEX2DEC('table for research'!Z$1))*2,2)</f>
        <v>00</v>
      </c>
      <c r="AA365" t="str">
        <f>MID('paste from garc here'!$C$1,1+(('table for research'!$B365-1)*36+HEX2DEC('table for research'!AA$1))*2,2)</f>
        <v>00</v>
      </c>
      <c r="AB365" t="str">
        <f>MID('paste from garc here'!$C$1,1+(('table for research'!$B365-1)*36+HEX2DEC('table for research'!AB$1))*2,2)</f>
        <v>00</v>
      </c>
      <c r="AC365" t="str">
        <f>MID('paste from garc here'!$C$1,1+(('table for research'!$B365-1)*36+HEX2DEC('table for research'!AC$1))*2,2)</f>
        <v>00</v>
      </c>
      <c r="AD365" t="str">
        <f>MID('paste from garc here'!$C$1,1+(('table for research'!$B365-1)*36+HEX2DEC('table for research'!AD$1))*2,2)</f>
        <v>00</v>
      </c>
      <c r="AE365" t="str">
        <f>MID('paste from garc here'!$C$1,1+(('table for research'!$B365-1)*36+HEX2DEC('table for research'!AE$1))*2,2)</f>
        <v>00</v>
      </c>
      <c r="AF365" t="str">
        <f>MID('paste from garc here'!$C$1,1+(('table for research'!$B365-1)*36+HEX2DEC('table for research'!AF$1))*2,2)</f>
        <v>00</v>
      </c>
      <c r="AG365" t="str">
        <f>MID('paste from garc here'!$C$1,1+(('table for research'!$B365-1)*36+HEX2DEC('table for research'!AG$1))*2,2)</f>
        <v>00</v>
      </c>
      <c r="AH365" t="str">
        <f>MID('paste from garc here'!$C$1,1+(('table for research'!$B365-1)*36+HEX2DEC('table for research'!AH$1))*2,2)</f>
        <v>00</v>
      </c>
      <c r="AI365" t="str">
        <f>MID('paste from garc here'!$C$1,1+(('table for research'!$B365-1)*36+HEX2DEC('table for research'!AI$1))*2,2)</f>
        <v>00</v>
      </c>
      <c r="AJ365" t="str">
        <f>MID('paste from garc here'!$C$1,1+(('table for research'!$B365-1)*36+HEX2DEC('table for research'!AJ$1))*2,2)</f>
        <v>00</v>
      </c>
      <c r="AK365" t="str">
        <f>MID('paste from garc here'!$C$1,1+(('table for research'!$B365-1)*36+HEX2DEC('table for research'!AK$1))*2,2)</f>
        <v>00</v>
      </c>
      <c r="AL365" t="str">
        <f>MID('paste from garc here'!$C$1,1+(('table for research'!$B365-1)*36+HEX2DEC('table for research'!AL$1))*2,2)</f>
        <v>00</v>
      </c>
      <c r="AM365" t="str">
        <f>MID('paste from garc here'!$C$1,1+(('table for research'!$B365-1)*36+HEX2DEC('table for research'!AM$1))*2,2)</f>
        <v>00</v>
      </c>
      <c r="AN365" t="str">
        <f>MID('paste from garc here'!$C$1,1+(('table for research'!$B365-1)*36+HEX2DEC('table for research'!AN$1))*2,2)</f>
        <v>00</v>
      </c>
      <c r="AO365" t="str">
        <f>MID('paste from garc here'!$C$1,1+(('table for research'!$B365-1)*36+HEX2DEC('table for research'!AO$1))*2,2)</f>
        <v>00</v>
      </c>
    </row>
    <row r="366" spans="1:41" x14ac:dyDescent="0.4">
      <c r="A366" t="s">
        <v>369</v>
      </c>
      <c r="B366">
        <f>B365+1</f>
        <v>364</v>
      </c>
      <c r="C366" t="str">
        <f>MID('paste from garc here'!$C$1,1+(('table for research'!$B366-1)*36+HEX2DEC('table for research'!C$1))*2,2)</f>
        <v>D0</v>
      </c>
      <c r="D366" t="str">
        <f>MID('paste from garc here'!$C$1,1+(('table for research'!$B366-1)*36+HEX2DEC('table for research'!D$1))*2,2)</f>
        <v>07</v>
      </c>
      <c r="E366" t="str">
        <f>MID('paste from garc here'!$C$1,1+(('table for research'!$B366-1)*36+HEX2DEC('table for research'!E$1))*2,2)</f>
        <v>00</v>
      </c>
      <c r="F366" t="str">
        <f>MID('paste from garc here'!$C$1,1+(('table for research'!$B366-1)*36+HEX2DEC('table for research'!F$1))*2,2)</f>
        <v>00</v>
      </c>
      <c r="G366" t="str">
        <f>MID('paste from garc here'!$C$1,1+(('table for research'!$B366-1)*36+HEX2DEC('table for research'!G$1))*2,2)</f>
        <v>00</v>
      </c>
      <c r="H366" t="str">
        <f>MID('paste from garc here'!$C$1,1+(('table for research'!$B366-1)*36+HEX2DEC('table for research'!H$1))*2,2)</f>
        <v>00</v>
      </c>
      <c r="I366" t="str">
        <f>MID('paste from garc here'!$C$1,1+(('table for research'!$B366-1)*36+HEX2DEC('table for research'!I$1))*2,2)</f>
        <v>00</v>
      </c>
      <c r="J366" t="str">
        <f>MID('paste from garc here'!$C$1,1+(('table for research'!$B366-1)*36+HEX2DEC('table for research'!J$1))*2,2)</f>
        <v>00</v>
      </c>
      <c r="K366" t="str">
        <f>DEC2HEX(_xlfn.BITAND(HEX2DEC(MID('paste from garc here'!$C$1,1+(('table for research'!$B366-1)*36+HEX2DEC(8))*2,2)),31),2)</f>
        <v>1F</v>
      </c>
      <c r="L366" t="str">
        <f>DEC2HEX(_xlfn.BITAND(HEX2DEC(MID('paste from garc here'!$C$1,1+(('table for research'!$B366-1)*36+HEX2DEC(8))*2,2)),32),2)</f>
        <v>20</v>
      </c>
      <c r="M366" t="str">
        <f>DEC2HEX(_xlfn.BITAND(HEX2DEC(MID('paste from garc here'!$C$1,1+(('table for research'!$B366-1)*36+HEX2DEC(8))*2,2)),64),2)</f>
        <v>00</v>
      </c>
      <c r="N366" t="str">
        <f>DEC2HEX(_xlfn.BITRSHIFT(_xlfn.BITAND(HEX2DEC(MID('paste from garc here'!$C$1,1+(('table for research'!$B366-1)*36+HEX2DEC(9))*2,2)&amp;MID('paste from garc here'!$C$1,1+(('table for research'!$B366-1)*36+HEX2DEC(8))*2,2)),1920),7),2)</f>
        <v>02</v>
      </c>
      <c r="O366" t="str">
        <f>DEC2HEX(_xlfn.BITRSHIFT(HEX2DEC(MID('paste from garc here'!$C$1,1+(('table for research'!$B366-1)*36+HEX2DEC(9))*2,2)&amp;MID('paste from garc here'!$C$1,1+(('table for research'!$B366-1)*36+HEX2DEC(8))*2,2)),11),2)</f>
        <v>00</v>
      </c>
      <c r="P366" t="str">
        <f>MID('paste from garc here'!$C$1,1+(('table for research'!$B366-1)*36+HEX2DEC('table for research'!P$1))*2,2)</f>
        <v>02</v>
      </c>
      <c r="Q366" t="str">
        <f>MID('paste from garc here'!$C$1,1+(('table for research'!$B366-1)*36+HEX2DEC('table for research'!Q$1))*2,2)</f>
        <v>00</v>
      </c>
      <c r="R366" t="str">
        <f>MID('paste from garc here'!$C$1,1+(('table for research'!$B366-1)*36+HEX2DEC('table for research'!R$1))*2,2)</f>
        <v>00</v>
      </c>
      <c r="S366" t="str">
        <f>MID('paste from garc here'!$C$1,1+(('table for research'!$B366-1)*36+HEX2DEC('table for research'!S$1))*2,2)</f>
        <v>06</v>
      </c>
      <c r="T366" t="str">
        <f>MID('paste from garc here'!$C$1,1+(('table for research'!$B366-1)*36+HEX2DEC('table for research'!T$1))*2,2)</f>
        <v>00</v>
      </c>
      <c r="U366" t="str">
        <f>MID('paste from garc here'!$C$1,1+(('table for research'!$B366-1)*36+HEX2DEC('table for research'!U$1))*2,2)</f>
        <v>24</v>
      </c>
      <c r="V366" t="str">
        <f>MID('paste from garc here'!$C$1,1+(('table for research'!$B366-1)*36+HEX2DEC('table for research'!V$1))*2,2)</f>
        <v>00</v>
      </c>
      <c r="W366" t="str">
        <f>MID('paste from garc here'!$C$1,1+(('table for research'!$B366-1)*36+HEX2DEC('table for research'!W$1))*2,2)</f>
        <v>00</v>
      </c>
      <c r="X366" t="str">
        <f>MID('paste from garc here'!$C$1,1+(('table for research'!$B366-1)*36+HEX2DEC('table for research'!X$1))*2,2)</f>
        <v>00</v>
      </c>
      <c r="Y366" t="str">
        <f>MID('paste from garc here'!$C$1,1+(('table for research'!$B366-1)*36+HEX2DEC('table for research'!Y$1))*2,2)</f>
        <v>00</v>
      </c>
      <c r="Z366" t="str">
        <f>MID('paste from garc here'!$C$1,1+(('table for research'!$B366-1)*36+HEX2DEC('table for research'!Z$1))*2,2)</f>
        <v>00</v>
      </c>
      <c r="AA366" t="str">
        <f>MID('paste from garc here'!$C$1,1+(('table for research'!$B366-1)*36+HEX2DEC('table for research'!AA$1))*2,2)</f>
        <v>00</v>
      </c>
      <c r="AB366" t="str">
        <f>MID('paste from garc here'!$C$1,1+(('table for research'!$B366-1)*36+HEX2DEC('table for research'!AB$1))*2,2)</f>
        <v>00</v>
      </c>
      <c r="AC366" t="str">
        <f>MID('paste from garc here'!$C$1,1+(('table for research'!$B366-1)*36+HEX2DEC('table for research'!AC$1))*2,2)</f>
        <v>00</v>
      </c>
      <c r="AD366" t="str">
        <f>MID('paste from garc here'!$C$1,1+(('table for research'!$B366-1)*36+HEX2DEC('table for research'!AD$1))*2,2)</f>
        <v>00</v>
      </c>
      <c r="AE366" t="str">
        <f>MID('paste from garc here'!$C$1,1+(('table for research'!$B366-1)*36+HEX2DEC('table for research'!AE$1))*2,2)</f>
        <v>00</v>
      </c>
      <c r="AF366" t="str">
        <f>MID('paste from garc here'!$C$1,1+(('table for research'!$B366-1)*36+HEX2DEC('table for research'!AF$1))*2,2)</f>
        <v>00</v>
      </c>
      <c r="AG366" t="str">
        <f>MID('paste from garc here'!$C$1,1+(('table for research'!$B366-1)*36+HEX2DEC('table for research'!AG$1))*2,2)</f>
        <v>00</v>
      </c>
      <c r="AH366" t="str">
        <f>MID('paste from garc here'!$C$1,1+(('table for research'!$B366-1)*36+HEX2DEC('table for research'!AH$1))*2,2)</f>
        <v>00</v>
      </c>
      <c r="AI366" t="str">
        <f>MID('paste from garc here'!$C$1,1+(('table for research'!$B366-1)*36+HEX2DEC('table for research'!AI$1))*2,2)</f>
        <v>00</v>
      </c>
      <c r="AJ366" t="str">
        <f>MID('paste from garc here'!$C$1,1+(('table for research'!$B366-1)*36+HEX2DEC('table for research'!AJ$1))*2,2)</f>
        <v>00</v>
      </c>
      <c r="AK366" t="str">
        <f>MID('paste from garc here'!$C$1,1+(('table for research'!$B366-1)*36+HEX2DEC('table for research'!AK$1))*2,2)</f>
        <v>00</v>
      </c>
      <c r="AL366" t="str">
        <f>MID('paste from garc here'!$C$1,1+(('table for research'!$B366-1)*36+HEX2DEC('table for research'!AL$1))*2,2)</f>
        <v>00</v>
      </c>
      <c r="AM366" t="str">
        <f>MID('paste from garc here'!$C$1,1+(('table for research'!$B366-1)*36+HEX2DEC('table for research'!AM$1))*2,2)</f>
        <v>00</v>
      </c>
      <c r="AN366" t="str">
        <f>MID('paste from garc here'!$C$1,1+(('table for research'!$B366-1)*36+HEX2DEC('table for research'!AN$1))*2,2)</f>
        <v>00</v>
      </c>
      <c r="AO366" t="str">
        <f>MID('paste from garc here'!$C$1,1+(('table for research'!$B366-1)*36+HEX2DEC('table for research'!AO$1))*2,2)</f>
        <v>00</v>
      </c>
    </row>
    <row r="367" spans="1:41" x14ac:dyDescent="0.4">
      <c r="A367" t="s">
        <v>370</v>
      </c>
      <c r="B367">
        <f>B366+1</f>
        <v>365</v>
      </c>
      <c r="C367" t="str">
        <f>MID('paste from garc here'!$C$1,1+(('table for research'!$B367-1)*36+HEX2DEC('table for research'!C$1))*2,2)</f>
        <v>88</v>
      </c>
      <c r="D367" t="str">
        <f>MID('paste from garc here'!$C$1,1+(('table for research'!$B367-1)*36+HEX2DEC('table for research'!D$1))*2,2)</f>
        <v>13</v>
      </c>
      <c r="E367" t="str">
        <f>MID('paste from garc here'!$C$1,1+(('table for research'!$B367-1)*36+HEX2DEC('table for research'!E$1))*2,2)</f>
        <v>00</v>
      </c>
      <c r="F367" t="str">
        <f>MID('paste from garc here'!$C$1,1+(('table for research'!$B367-1)*36+HEX2DEC('table for research'!F$1))*2,2)</f>
        <v>00</v>
      </c>
      <c r="G367" t="str">
        <f>MID('paste from garc here'!$C$1,1+(('table for research'!$B367-1)*36+HEX2DEC('table for research'!G$1))*2,2)</f>
        <v>00</v>
      </c>
      <c r="H367" t="str">
        <f>MID('paste from garc here'!$C$1,1+(('table for research'!$B367-1)*36+HEX2DEC('table for research'!H$1))*2,2)</f>
        <v>00</v>
      </c>
      <c r="I367" t="str">
        <f>MID('paste from garc here'!$C$1,1+(('table for research'!$B367-1)*36+HEX2DEC('table for research'!I$1))*2,2)</f>
        <v>00</v>
      </c>
      <c r="J367" t="str">
        <f>MID('paste from garc here'!$C$1,1+(('table for research'!$B367-1)*36+HEX2DEC('table for research'!J$1))*2,2)</f>
        <v>00</v>
      </c>
      <c r="K367" t="str">
        <f>DEC2HEX(_xlfn.BITAND(HEX2DEC(MID('paste from garc here'!$C$1,1+(('table for research'!$B367-1)*36+HEX2DEC(8))*2,2)),31),2)</f>
        <v>1F</v>
      </c>
      <c r="L367" t="str">
        <f>DEC2HEX(_xlfn.BITAND(HEX2DEC(MID('paste from garc here'!$C$1,1+(('table for research'!$B367-1)*36+HEX2DEC(8))*2,2)),32),2)</f>
        <v>20</v>
      </c>
      <c r="M367" t="str">
        <f>DEC2HEX(_xlfn.BITAND(HEX2DEC(MID('paste from garc here'!$C$1,1+(('table for research'!$B367-1)*36+HEX2DEC(8))*2,2)),64),2)</f>
        <v>00</v>
      </c>
      <c r="N367" t="str">
        <f>DEC2HEX(_xlfn.BITRSHIFT(_xlfn.BITAND(HEX2DEC(MID('paste from garc here'!$C$1,1+(('table for research'!$B367-1)*36+HEX2DEC(9))*2,2)&amp;MID('paste from garc here'!$C$1,1+(('table for research'!$B367-1)*36+HEX2DEC(8))*2,2)),1920),7),2)</f>
        <v>02</v>
      </c>
      <c r="O367" t="str">
        <f>DEC2HEX(_xlfn.BITRSHIFT(HEX2DEC(MID('paste from garc here'!$C$1,1+(('table for research'!$B367-1)*36+HEX2DEC(9))*2,2)&amp;MID('paste from garc here'!$C$1,1+(('table for research'!$B367-1)*36+HEX2DEC(8))*2,2)),11),2)</f>
        <v>00</v>
      </c>
      <c r="P367" t="str">
        <f>MID('paste from garc here'!$C$1,1+(('table for research'!$B367-1)*36+HEX2DEC('table for research'!P$1))*2,2)</f>
        <v>02</v>
      </c>
      <c r="Q367" t="str">
        <f>MID('paste from garc here'!$C$1,1+(('table for research'!$B367-1)*36+HEX2DEC('table for research'!Q$1))*2,2)</f>
        <v>00</v>
      </c>
      <c r="R367" t="str">
        <f>MID('paste from garc here'!$C$1,1+(('table for research'!$B367-1)*36+HEX2DEC('table for research'!R$1))*2,2)</f>
        <v>00</v>
      </c>
      <c r="S367" t="str">
        <f>MID('paste from garc here'!$C$1,1+(('table for research'!$B367-1)*36+HEX2DEC('table for research'!S$1))*2,2)</f>
        <v>06</v>
      </c>
      <c r="T367" t="str">
        <f>MID('paste from garc here'!$C$1,1+(('table for research'!$B367-1)*36+HEX2DEC('table for research'!T$1))*2,2)</f>
        <v>00</v>
      </c>
      <c r="U367" t="str">
        <f>MID('paste from garc here'!$C$1,1+(('table for research'!$B367-1)*36+HEX2DEC('table for research'!U$1))*2,2)</f>
        <v>25</v>
      </c>
      <c r="V367" t="str">
        <f>MID('paste from garc here'!$C$1,1+(('table for research'!$B367-1)*36+HEX2DEC('table for research'!V$1))*2,2)</f>
        <v>00</v>
      </c>
      <c r="W367" t="str">
        <f>MID('paste from garc here'!$C$1,1+(('table for research'!$B367-1)*36+HEX2DEC('table for research'!W$1))*2,2)</f>
        <v>00</v>
      </c>
      <c r="X367" t="str">
        <f>MID('paste from garc here'!$C$1,1+(('table for research'!$B367-1)*36+HEX2DEC('table for research'!X$1))*2,2)</f>
        <v>00</v>
      </c>
      <c r="Y367" t="str">
        <f>MID('paste from garc here'!$C$1,1+(('table for research'!$B367-1)*36+HEX2DEC('table for research'!Y$1))*2,2)</f>
        <v>00</v>
      </c>
      <c r="Z367" t="str">
        <f>MID('paste from garc here'!$C$1,1+(('table for research'!$B367-1)*36+HEX2DEC('table for research'!Z$1))*2,2)</f>
        <v>00</v>
      </c>
      <c r="AA367" t="str">
        <f>MID('paste from garc here'!$C$1,1+(('table for research'!$B367-1)*36+HEX2DEC('table for research'!AA$1))*2,2)</f>
        <v>00</v>
      </c>
      <c r="AB367" t="str">
        <f>MID('paste from garc here'!$C$1,1+(('table for research'!$B367-1)*36+HEX2DEC('table for research'!AB$1))*2,2)</f>
        <v>00</v>
      </c>
      <c r="AC367" t="str">
        <f>MID('paste from garc here'!$C$1,1+(('table for research'!$B367-1)*36+HEX2DEC('table for research'!AC$1))*2,2)</f>
        <v>00</v>
      </c>
      <c r="AD367" t="str">
        <f>MID('paste from garc here'!$C$1,1+(('table for research'!$B367-1)*36+HEX2DEC('table for research'!AD$1))*2,2)</f>
        <v>00</v>
      </c>
      <c r="AE367" t="str">
        <f>MID('paste from garc here'!$C$1,1+(('table for research'!$B367-1)*36+HEX2DEC('table for research'!AE$1))*2,2)</f>
        <v>00</v>
      </c>
      <c r="AF367" t="str">
        <f>MID('paste from garc here'!$C$1,1+(('table for research'!$B367-1)*36+HEX2DEC('table for research'!AF$1))*2,2)</f>
        <v>00</v>
      </c>
      <c r="AG367" t="str">
        <f>MID('paste from garc here'!$C$1,1+(('table for research'!$B367-1)*36+HEX2DEC('table for research'!AG$1))*2,2)</f>
        <v>00</v>
      </c>
      <c r="AH367" t="str">
        <f>MID('paste from garc here'!$C$1,1+(('table for research'!$B367-1)*36+HEX2DEC('table for research'!AH$1))*2,2)</f>
        <v>00</v>
      </c>
      <c r="AI367" t="str">
        <f>MID('paste from garc here'!$C$1,1+(('table for research'!$B367-1)*36+HEX2DEC('table for research'!AI$1))*2,2)</f>
        <v>00</v>
      </c>
      <c r="AJ367" t="str">
        <f>MID('paste from garc here'!$C$1,1+(('table for research'!$B367-1)*36+HEX2DEC('table for research'!AJ$1))*2,2)</f>
        <v>00</v>
      </c>
      <c r="AK367" t="str">
        <f>MID('paste from garc here'!$C$1,1+(('table for research'!$B367-1)*36+HEX2DEC('table for research'!AK$1))*2,2)</f>
        <v>00</v>
      </c>
      <c r="AL367" t="str">
        <f>MID('paste from garc here'!$C$1,1+(('table for research'!$B367-1)*36+HEX2DEC('table for research'!AL$1))*2,2)</f>
        <v>00</v>
      </c>
      <c r="AM367" t="str">
        <f>MID('paste from garc here'!$C$1,1+(('table for research'!$B367-1)*36+HEX2DEC('table for research'!AM$1))*2,2)</f>
        <v>00</v>
      </c>
      <c r="AN367" t="str">
        <f>MID('paste from garc here'!$C$1,1+(('table for research'!$B367-1)*36+HEX2DEC('table for research'!AN$1))*2,2)</f>
        <v>00</v>
      </c>
      <c r="AO367" t="str">
        <f>MID('paste from garc here'!$C$1,1+(('table for research'!$B367-1)*36+HEX2DEC('table for research'!AO$1))*2,2)</f>
        <v>00</v>
      </c>
    </row>
    <row r="368" spans="1:41" x14ac:dyDescent="0.4">
      <c r="A368" t="s">
        <v>371</v>
      </c>
      <c r="B368">
        <f>B367+1</f>
        <v>366</v>
      </c>
      <c r="C368" t="str">
        <f>MID('paste from garc here'!$C$1,1+(('table for research'!$B368-1)*36+HEX2DEC('table for research'!C$1))*2,2)</f>
        <v>E8</v>
      </c>
      <c r="D368" t="str">
        <f>MID('paste from garc here'!$C$1,1+(('table for research'!$B368-1)*36+HEX2DEC('table for research'!D$1))*2,2)</f>
        <v>03</v>
      </c>
      <c r="E368" t="str">
        <f>MID('paste from garc here'!$C$1,1+(('table for research'!$B368-1)*36+HEX2DEC('table for research'!E$1))*2,2)</f>
        <v>00</v>
      </c>
      <c r="F368" t="str">
        <f>MID('paste from garc here'!$C$1,1+(('table for research'!$B368-1)*36+HEX2DEC('table for research'!F$1))*2,2)</f>
        <v>00</v>
      </c>
      <c r="G368" t="str">
        <f>MID('paste from garc here'!$C$1,1+(('table for research'!$B368-1)*36+HEX2DEC('table for research'!G$1))*2,2)</f>
        <v>00</v>
      </c>
      <c r="H368" t="str">
        <f>MID('paste from garc here'!$C$1,1+(('table for research'!$B368-1)*36+HEX2DEC('table for research'!H$1))*2,2)</f>
        <v>00</v>
      </c>
      <c r="I368" t="str">
        <f>MID('paste from garc here'!$C$1,1+(('table for research'!$B368-1)*36+HEX2DEC('table for research'!I$1))*2,2)</f>
        <v>00</v>
      </c>
      <c r="J368" t="str">
        <f>MID('paste from garc here'!$C$1,1+(('table for research'!$B368-1)*36+HEX2DEC('table for research'!J$1))*2,2)</f>
        <v>00</v>
      </c>
      <c r="K368" t="str">
        <f>DEC2HEX(_xlfn.BITAND(HEX2DEC(MID('paste from garc here'!$C$1,1+(('table for research'!$B368-1)*36+HEX2DEC(8))*2,2)),31),2)</f>
        <v>1F</v>
      </c>
      <c r="L368" t="str">
        <f>DEC2HEX(_xlfn.BITAND(HEX2DEC(MID('paste from garc here'!$C$1,1+(('table for research'!$B368-1)*36+HEX2DEC(8))*2,2)),32),2)</f>
        <v>20</v>
      </c>
      <c r="M368" t="str">
        <f>DEC2HEX(_xlfn.BITAND(HEX2DEC(MID('paste from garc here'!$C$1,1+(('table for research'!$B368-1)*36+HEX2DEC(8))*2,2)),64),2)</f>
        <v>00</v>
      </c>
      <c r="N368" t="str">
        <f>DEC2HEX(_xlfn.BITRSHIFT(_xlfn.BITAND(HEX2DEC(MID('paste from garc here'!$C$1,1+(('table for research'!$B368-1)*36+HEX2DEC(9))*2,2)&amp;MID('paste from garc here'!$C$1,1+(('table for research'!$B368-1)*36+HEX2DEC(8))*2,2)),1920),7),2)</f>
        <v>02</v>
      </c>
      <c r="O368" t="str">
        <f>DEC2HEX(_xlfn.BITRSHIFT(HEX2DEC(MID('paste from garc here'!$C$1,1+(('table for research'!$B368-1)*36+HEX2DEC(9))*2,2)&amp;MID('paste from garc here'!$C$1,1+(('table for research'!$B368-1)*36+HEX2DEC(8))*2,2)),11),2)</f>
        <v>00</v>
      </c>
      <c r="P368" t="str">
        <f>MID('paste from garc here'!$C$1,1+(('table for research'!$B368-1)*36+HEX2DEC('table for research'!P$1))*2,2)</f>
        <v>02</v>
      </c>
      <c r="Q368" t="str">
        <f>MID('paste from garc here'!$C$1,1+(('table for research'!$B368-1)*36+HEX2DEC('table for research'!Q$1))*2,2)</f>
        <v>00</v>
      </c>
      <c r="R368" t="str">
        <f>MID('paste from garc here'!$C$1,1+(('table for research'!$B368-1)*36+HEX2DEC('table for research'!R$1))*2,2)</f>
        <v>00</v>
      </c>
      <c r="S368" t="str">
        <f>MID('paste from garc here'!$C$1,1+(('table for research'!$B368-1)*36+HEX2DEC('table for research'!S$1))*2,2)</f>
        <v>06</v>
      </c>
      <c r="T368" t="str">
        <f>MID('paste from garc here'!$C$1,1+(('table for research'!$B368-1)*36+HEX2DEC('table for research'!T$1))*2,2)</f>
        <v>00</v>
      </c>
      <c r="U368" t="str">
        <f>MID('paste from garc here'!$C$1,1+(('table for research'!$B368-1)*36+HEX2DEC('table for research'!U$1))*2,2)</f>
        <v>26</v>
      </c>
      <c r="V368" t="str">
        <f>MID('paste from garc here'!$C$1,1+(('table for research'!$B368-1)*36+HEX2DEC('table for research'!V$1))*2,2)</f>
        <v>00</v>
      </c>
      <c r="W368" t="str">
        <f>MID('paste from garc here'!$C$1,1+(('table for research'!$B368-1)*36+HEX2DEC('table for research'!W$1))*2,2)</f>
        <v>00</v>
      </c>
      <c r="X368" t="str">
        <f>MID('paste from garc here'!$C$1,1+(('table for research'!$B368-1)*36+HEX2DEC('table for research'!X$1))*2,2)</f>
        <v>00</v>
      </c>
      <c r="Y368" t="str">
        <f>MID('paste from garc here'!$C$1,1+(('table for research'!$B368-1)*36+HEX2DEC('table for research'!Y$1))*2,2)</f>
        <v>00</v>
      </c>
      <c r="Z368" t="str">
        <f>MID('paste from garc here'!$C$1,1+(('table for research'!$B368-1)*36+HEX2DEC('table for research'!Z$1))*2,2)</f>
        <v>00</v>
      </c>
      <c r="AA368" t="str">
        <f>MID('paste from garc here'!$C$1,1+(('table for research'!$B368-1)*36+HEX2DEC('table for research'!AA$1))*2,2)</f>
        <v>00</v>
      </c>
      <c r="AB368" t="str">
        <f>MID('paste from garc here'!$C$1,1+(('table for research'!$B368-1)*36+HEX2DEC('table for research'!AB$1))*2,2)</f>
        <v>00</v>
      </c>
      <c r="AC368" t="str">
        <f>MID('paste from garc here'!$C$1,1+(('table for research'!$B368-1)*36+HEX2DEC('table for research'!AC$1))*2,2)</f>
        <v>00</v>
      </c>
      <c r="AD368" t="str">
        <f>MID('paste from garc here'!$C$1,1+(('table for research'!$B368-1)*36+HEX2DEC('table for research'!AD$1))*2,2)</f>
        <v>00</v>
      </c>
      <c r="AE368" t="str">
        <f>MID('paste from garc here'!$C$1,1+(('table for research'!$B368-1)*36+HEX2DEC('table for research'!AE$1))*2,2)</f>
        <v>00</v>
      </c>
      <c r="AF368" t="str">
        <f>MID('paste from garc here'!$C$1,1+(('table for research'!$B368-1)*36+HEX2DEC('table for research'!AF$1))*2,2)</f>
        <v>00</v>
      </c>
      <c r="AG368" t="str">
        <f>MID('paste from garc here'!$C$1,1+(('table for research'!$B368-1)*36+HEX2DEC('table for research'!AG$1))*2,2)</f>
        <v>00</v>
      </c>
      <c r="AH368" t="str">
        <f>MID('paste from garc here'!$C$1,1+(('table for research'!$B368-1)*36+HEX2DEC('table for research'!AH$1))*2,2)</f>
        <v>00</v>
      </c>
      <c r="AI368" t="str">
        <f>MID('paste from garc here'!$C$1,1+(('table for research'!$B368-1)*36+HEX2DEC('table for research'!AI$1))*2,2)</f>
        <v>00</v>
      </c>
      <c r="AJ368" t="str">
        <f>MID('paste from garc here'!$C$1,1+(('table for research'!$B368-1)*36+HEX2DEC('table for research'!AJ$1))*2,2)</f>
        <v>00</v>
      </c>
      <c r="AK368" t="str">
        <f>MID('paste from garc here'!$C$1,1+(('table for research'!$B368-1)*36+HEX2DEC('table for research'!AK$1))*2,2)</f>
        <v>00</v>
      </c>
      <c r="AL368" t="str">
        <f>MID('paste from garc here'!$C$1,1+(('table for research'!$B368-1)*36+HEX2DEC('table for research'!AL$1))*2,2)</f>
        <v>00</v>
      </c>
      <c r="AM368" t="str">
        <f>MID('paste from garc here'!$C$1,1+(('table for research'!$B368-1)*36+HEX2DEC('table for research'!AM$1))*2,2)</f>
        <v>00</v>
      </c>
      <c r="AN368" t="str">
        <f>MID('paste from garc here'!$C$1,1+(('table for research'!$B368-1)*36+HEX2DEC('table for research'!AN$1))*2,2)</f>
        <v>00</v>
      </c>
      <c r="AO368" t="str">
        <f>MID('paste from garc here'!$C$1,1+(('table for research'!$B368-1)*36+HEX2DEC('table for research'!AO$1))*2,2)</f>
        <v>00</v>
      </c>
    </row>
    <row r="369" spans="1:41" x14ac:dyDescent="0.4">
      <c r="A369" t="s">
        <v>372</v>
      </c>
      <c r="B369">
        <f>B368+1</f>
        <v>367</v>
      </c>
      <c r="C369" t="str">
        <f>MID('paste from garc here'!$C$1,1+(('table for research'!$B369-1)*36+HEX2DEC('table for research'!C$1))*2,2)</f>
        <v>C4</v>
      </c>
      <c r="D369" t="str">
        <f>MID('paste from garc here'!$C$1,1+(('table for research'!$B369-1)*36+HEX2DEC('table for research'!D$1))*2,2)</f>
        <v>09</v>
      </c>
      <c r="E369" t="str">
        <f>MID('paste from garc here'!$C$1,1+(('table for research'!$B369-1)*36+HEX2DEC('table for research'!E$1))*2,2)</f>
        <v>00</v>
      </c>
      <c r="F369" t="str">
        <f>MID('paste from garc here'!$C$1,1+(('table for research'!$B369-1)*36+HEX2DEC('table for research'!F$1))*2,2)</f>
        <v>00</v>
      </c>
      <c r="G369" t="str">
        <f>MID('paste from garc here'!$C$1,1+(('table for research'!$B369-1)*36+HEX2DEC('table for research'!G$1))*2,2)</f>
        <v>00</v>
      </c>
      <c r="H369" t="str">
        <f>MID('paste from garc here'!$C$1,1+(('table for research'!$B369-1)*36+HEX2DEC('table for research'!H$1))*2,2)</f>
        <v>00</v>
      </c>
      <c r="I369" t="str">
        <f>MID('paste from garc here'!$C$1,1+(('table for research'!$B369-1)*36+HEX2DEC('table for research'!I$1))*2,2)</f>
        <v>00</v>
      </c>
      <c r="J369" t="str">
        <f>MID('paste from garc here'!$C$1,1+(('table for research'!$B369-1)*36+HEX2DEC('table for research'!J$1))*2,2)</f>
        <v>00</v>
      </c>
      <c r="K369" t="str">
        <f>DEC2HEX(_xlfn.BITAND(HEX2DEC(MID('paste from garc here'!$C$1,1+(('table for research'!$B369-1)*36+HEX2DEC(8))*2,2)),31),2)</f>
        <v>1F</v>
      </c>
      <c r="L369" t="str">
        <f>DEC2HEX(_xlfn.BITAND(HEX2DEC(MID('paste from garc here'!$C$1,1+(('table for research'!$B369-1)*36+HEX2DEC(8))*2,2)),32),2)</f>
        <v>20</v>
      </c>
      <c r="M369" t="str">
        <f>DEC2HEX(_xlfn.BITAND(HEX2DEC(MID('paste from garc here'!$C$1,1+(('table for research'!$B369-1)*36+HEX2DEC(8))*2,2)),64),2)</f>
        <v>00</v>
      </c>
      <c r="N369" t="str">
        <f>DEC2HEX(_xlfn.BITRSHIFT(_xlfn.BITAND(HEX2DEC(MID('paste from garc here'!$C$1,1+(('table for research'!$B369-1)*36+HEX2DEC(9))*2,2)&amp;MID('paste from garc here'!$C$1,1+(('table for research'!$B369-1)*36+HEX2DEC(8))*2,2)),1920),7),2)</f>
        <v>02</v>
      </c>
      <c r="O369" t="str">
        <f>DEC2HEX(_xlfn.BITRSHIFT(HEX2DEC(MID('paste from garc here'!$C$1,1+(('table for research'!$B369-1)*36+HEX2DEC(9))*2,2)&amp;MID('paste from garc here'!$C$1,1+(('table for research'!$B369-1)*36+HEX2DEC(8))*2,2)),11),2)</f>
        <v>00</v>
      </c>
      <c r="P369" t="str">
        <f>MID('paste from garc here'!$C$1,1+(('table for research'!$B369-1)*36+HEX2DEC('table for research'!P$1))*2,2)</f>
        <v>02</v>
      </c>
      <c r="Q369" t="str">
        <f>MID('paste from garc here'!$C$1,1+(('table for research'!$B369-1)*36+HEX2DEC('table for research'!Q$1))*2,2)</f>
        <v>00</v>
      </c>
      <c r="R369" t="str">
        <f>MID('paste from garc here'!$C$1,1+(('table for research'!$B369-1)*36+HEX2DEC('table for research'!R$1))*2,2)</f>
        <v>00</v>
      </c>
      <c r="S369" t="str">
        <f>MID('paste from garc here'!$C$1,1+(('table for research'!$B369-1)*36+HEX2DEC('table for research'!S$1))*2,2)</f>
        <v>06</v>
      </c>
      <c r="T369" t="str">
        <f>MID('paste from garc here'!$C$1,1+(('table for research'!$B369-1)*36+HEX2DEC('table for research'!T$1))*2,2)</f>
        <v>00</v>
      </c>
      <c r="U369" t="str">
        <f>MID('paste from garc here'!$C$1,1+(('table for research'!$B369-1)*36+HEX2DEC('table for research'!U$1))*2,2)</f>
        <v>27</v>
      </c>
      <c r="V369" t="str">
        <f>MID('paste from garc here'!$C$1,1+(('table for research'!$B369-1)*36+HEX2DEC('table for research'!V$1))*2,2)</f>
        <v>00</v>
      </c>
      <c r="W369" t="str">
        <f>MID('paste from garc here'!$C$1,1+(('table for research'!$B369-1)*36+HEX2DEC('table for research'!W$1))*2,2)</f>
        <v>00</v>
      </c>
      <c r="X369" t="str">
        <f>MID('paste from garc here'!$C$1,1+(('table for research'!$B369-1)*36+HEX2DEC('table for research'!X$1))*2,2)</f>
        <v>00</v>
      </c>
      <c r="Y369" t="str">
        <f>MID('paste from garc here'!$C$1,1+(('table for research'!$B369-1)*36+HEX2DEC('table for research'!Y$1))*2,2)</f>
        <v>00</v>
      </c>
      <c r="Z369" t="str">
        <f>MID('paste from garc here'!$C$1,1+(('table for research'!$B369-1)*36+HEX2DEC('table for research'!Z$1))*2,2)</f>
        <v>00</v>
      </c>
      <c r="AA369" t="str">
        <f>MID('paste from garc here'!$C$1,1+(('table for research'!$B369-1)*36+HEX2DEC('table for research'!AA$1))*2,2)</f>
        <v>00</v>
      </c>
      <c r="AB369" t="str">
        <f>MID('paste from garc here'!$C$1,1+(('table for research'!$B369-1)*36+HEX2DEC('table for research'!AB$1))*2,2)</f>
        <v>00</v>
      </c>
      <c r="AC369" t="str">
        <f>MID('paste from garc here'!$C$1,1+(('table for research'!$B369-1)*36+HEX2DEC('table for research'!AC$1))*2,2)</f>
        <v>00</v>
      </c>
      <c r="AD369" t="str">
        <f>MID('paste from garc here'!$C$1,1+(('table for research'!$B369-1)*36+HEX2DEC('table for research'!AD$1))*2,2)</f>
        <v>00</v>
      </c>
      <c r="AE369" t="str">
        <f>MID('paste from garc here'!$C$1,1+(('table for research'!$B369-1)*36+HEX2DEC('table for research'!AE$1))*2,2)</f>
        <v>00</v>
      </c>
      <c r="AF369" t="str">
        <f>MID('paste from garc here'!$C$1,1+(('table for research'!$B369-1)*36+HEX2DEC('table for research'!AF$1))*2,2)</f>
        <v>00</v>
      </c>
      <c r="AG369" t="str">
        <f>MID('paste from garc here'!$C$1,1+(('table for research'!$B369-1)*36+HEX2DEC('table for research'!AG$1))*2,2)</f>
        <v>00</v>
      </c>
      <c r="AH369" t="str">
        <f>MID('paste from garc here'!$C$1,1+(('table for research'!$B369-1)*36+HEX2DEC('table for research'!AH$1))*2,2)</f>
        <v>00</v>
      </c>
      <c r="AI369" t="str">
        <f>MID('paste from garc here'!$C$1,1+(('table for research'!$B369-1)*36+HEX2DEC('table for research'!AI$1))*2,2)</f>
        <v>00</v>
      </c>
      <c r="AJ369" t="str">
        <f>MID('paste from garc here'!$C$1,1+(('table for research'!$B369-1)*36+HEX2DEC('table for research'!AJ$1))*2,2)</f>
        <v>00</v>
      </c>
      <c r="AK369" t="str">
        <f>MID('paste from garc here'!$C$1,1+(('table for research'!$B369-1)*36+HEX2DEC('table for research'!AK$1))*2,2)</f>
        <v>00</v>
      </c>
      <c r="AL369" t="str">
        <f>MID('paste from garc here'!$C$1,1+(('table for research'!$B369-1)*36+HEX2DEC('table for research'!AL$1))*2,2)</f>
        <v>00</v>
      </c>
      <c r="AM369" t="str">
        <f>MID('paste from garc here'!$C$1,1+(('table for research'!$B369-1)*36+HEX2DEC('table for research'!AM$1))*2,2)</f>
        <v>00</v>
      </c>
      <c r="AN369" t="str">
        <f>MID('paste from garc here'!$C$1,1+(('table for research'!$B369-1)*36+HEX2DEC('table for research'!AN$1))*2,2)</f>
        <v>00</v>
      </c>
      <c r="AO369" t="str">
        <f>MID('paste from garc here'!$C$1,1+(('table for research'!$B369-1)*36+HEX2DEC('table for research'!AO$1))*2,2)</f>
        <v>00</v>
      </c>
    </row>
    <row r="370" spans="1:41" x14ac:dyDescent="0.4">
      <c r="A370" t="s">
        <v>373</v>
      </c>
      <c r="B370">
        <f>B369+1</f>
        <v>368</v>
      </c>
      <c r="C370" t="str">
        <f>MID('paste from garc here'!$C$1,1+(('table for research'!$B370-1)*36+HEX2DEC('table for research'!C$1))*2,2)</f>
        <v>E8</v>
      </c>
      <c r="D370" t="str">
        <f>MID('paste from garc here'!$C$1,1+(('table for research'!$B370-1)*36+HEX2DEC('table for research'!D$1))*2,2)</f>
        <v>03</v>
      </c>
      <c r="E370" t="str">
        <f>MID('paste from garc here'!$C$1,1+(('table for research'!$B370-1)*36+HEX2DEC('table for research'!E$1))*2,2)</f>
        <v>00</v>
      </c>
      <c r="F370" t="str">
        <f>MID('paste from garc here'!$C$1,1+(('table for research'!$B370-1)*36+HEX2DEC('table for research'!F$1))*2,2)</f>
        <v>00</v>
      </c>
      <c r="G370" t="str">
        <f>MID('paste from garc here'!$C$1,1+(('table for research'!$B370-1)*36+HEX2DEC('table for research'!G$1))*2,2)</f>
        <v>00</v>
      </c>
      <c r="H370" t="str">
        <f>MID('paste from garc here'!$C$1,1+(('table for research'!$B370-1)*36+HEX2DEC('table for research'!H$1))*2,2)</f>
        <v>00</v>
      </c>
      <c r="I370" t="str">
        <f>MID('paste from garc here'!$C$1,1+(('table for research'!$B370-1)*36+HEX2DEC('table for research'!I$1))*2,2)</f>
        <v>00</v>
      </c>
      <c r="J370" t="str">
        <f>MID('paste from garc here'!$C$1,1+(('table for research'!$B370-1)*36+HEX2DEC('table for research'!J$1))*2,2)</f>
        <v>00</v>
      </c>
      <c r="K370" t="str">
        <f>DEC2HEX(_xlfn.BITAND(HEX2DEC(MID('paste from garc here'!$C$1,1+(('table for research'!$B370-1)*36+HEX2DEC(8))*2,2)),31),2)</f>
        <v>1F</v>
      </c>
      <c r="L370" t="str">
        <f>DEC2HEX(_xlfn.BITAND(HEX2DEC(MID('paste from garc here'!$C$1,1+(('table for research'!$B370-1)*36+HEX2DEC(8))*2,2)),32),2)</f>
        <v>20</v>
      </c>
      <c r="M370" t="str">
        <f>DEC2HEX(_xlfn.BITAND(HEX2DEC(MID('paste from garc here'!$C$1,1+(('table for research'!$B370-1)*36+HEX2DEC(8))*2,2)),64),2)</f>
        <v>00</v>
      </c>
      <c r="N370" t="str">
        <f>DEC2HEX(_xlfn.BITRSHIFT(_xlfn.BITAND(HEX2DEC(MID('paste from garc here'!$C$1,1+(('table for research'!$B370-1)*36+HEX2DEC(9))*2,2)&amp;MID('paste from garc here'!$C$1,1+(('table for research'!$B370-1)*36+HEX2DEC(8))*2,2)),1920),7),2)</f>
        <v>02</v>
      </c>
      <c r="O370" t="str">
        <f>DEC2HEX(_xlfn.BITRSHIFT(HEX2DEC(MID('paste from garc here'!$C$1,1+(('table for research'!$B370-1)*36+HEX2DEC(9))*2,2)&amp;MID('paste from garc here'!$C$1,1+(('table for research'!$B370-1)*36+HEX2DEC(8))*2,2)),11),2)</f>
        <v>00</v>
      </c>
      <c r="P370" t="str">
        <f>MID('paste from garc here'!$C$1,1+(('table for research'!$B370-1)*36+HEX2DEC('table for research'!P$1))*2,2)</f>
        <v>02</v>
      </c>
      <c r="Q370" t="str">
        <f>MID('paste from garc here'!$C$1,1+(('table for research'!$B370-1)*36+HEX2DEC('table for research'!Q$1))*2,2)</f>
        <v>00</v>
      </c>
      <c r="R370" t="str">
        <f>MID('paste from garc here'!$C$1,1+(('table for research'!$B370-1)*36+HEX2DEC('table for research'!R$1))*2,2)</f>
        <v>00</v>
      </c>
      <c r="S370" t="str">
        <f>MID('paste from garc here'!$C$1,1+(('table for research'!$B370-1)*36+HEX2DEC('table for research'!S$1))*2,2)</f>
        <v>06</v>
      </c>
      <c r="T370" t="str">
        <f>MID('paste from garc here'!$C$1,1+(('table for research'!$B370-1)*36+HEX2DEC('table for research'!T$1))*2,2)</f>
        <v>00</v>
      </c>
      <c r="U370" t="str">
        <f>MID('paste from garc here'!$C$1,1+(('table for research'!$B370-1)*36+HEX2DEC('table for research'!U$1))*2,2)</f>
        <v>28</v>
      </c>
      <c r="V370" t="str">
        <f>MID('paste from garc here'!$C$1,1+(('table for research'!$B370-1)*36+HEX2DEC('table for research'!V$1))*2,2)</f>
        <v>00</v>
      </c>
      <c r="W370" t="str">
        <f>MID('paste from garc here'!$C$1,1+(('table for research'!$B370-1)*36+HEX2DEC('table for research'!W$1))*2,2)</f>
        <v>00</v>
      </c>
      <c r="X370" t="str">
        <f>MID('paste from garc here'!$C$1,1+(('table for research'!$B370-1)*36+HEX2DEC('table for research'!X$1))*2,2)</f>
        <v>00</v>
      </c>
      <c r="Y370" t="str">
        <f>MID('paste from garc here'!$C$1,1+(('table for research'!$B370-1)*36+HEX2DEC('table for research'!Y$1))*2,2)</f>
        <v>00</v>
      </c>
      <c r="Z370" t="str">
        <f>MID('paste from garc here'!$C$1,1+(('table for research'!$B370-1)*36+HEX2DEC('table for research'!Z$1))*2,2)</f>
        <v>00</v>
      </c>
      <c r="AA370" t="str">
        <f>MID('paste from garc here'!$C$1,1+(('table for research'!$B370-1)*36+HEX2DEC('table for research'!AA$1))*2,2)</f>
        <v>00</v>
      </c>
      <c r="AB370" t="str">
        <f>MID('paste from garc here'!$C$1,1+(('table for research'!$B370-1)*36+HEX2DEC('table for research'!AB$1))*2,2)</f>
        <v>00</v>
      </c>
      <c r="AC370" t="str">
        <f>MID('paste from garc here'!$C$1,1+(('table for research'!$B370-1)*36+HEX2DEC('table for research'!AC$1))*2,2)</f>
        <v>00</v>
      </c>
      <c r="AD370" t="str">
        <f>MID('paste from garc here'!$C$1,1+(('table for research'!$B370-1)*36+HEX2DEC('table for research'!AD$1))*2,2)</f>
        <v>00</v>
      </c>
      <c r="AE370" t="str">
        <f>MID('paste from garc here'!$C$1,1+(('table for research'!$B370-1)*36+HEX2DEC('table for research'!AE$1))*2,2)</f>
        <v>00</v>
      </c>
      <c r="AF370" t="str">
        <f>MID('paste from garc here'!$C$1,1+(('table for research'!$B370-1)*36+HEX2DEC('table for research'!AF$1))*2,2)</f>
        <v>00</v>
      </c>
      <c r="AG370" t="str">
        <f>MID('paste from garc here'!$C$1,1+(('table for research'!$B370-1)*36+HEX2DEC('table for research'!AG$1))*2,2)</f>
        <v>00</v>
      </c>
      <c r="AH370" t="str">
        <f>MID('paste from garc here'!$C$1,1+(('table for research'!$B370-1)*36+HEX2DEC('table for research'!AH$1))*2,2)</f>
        <v>00</v>
      </c>
      <c r="AI370" t="str">
        <f>MID('paste from garc here'!$C$1,1+(('table for research'!$B370-1)*36+HEX2DEC('table for research'!AI$1))*2,2)</f>
        <v>00</v>
      </c>
      <c r="AJ370" t="str">
        <f>MID('paste from garc here'!$C$1,1+(('table for research'!$B370-1)*36+HEX2DEC('table for research'!AJ$1))*2,2)</f>
        <v>00</v>
      </c>
      <c r="AK370" t="str">
        <f>MID('paste from garc here'!$C$1,1+(('table for research'!$B370-1)*36+HEX2DEC('table for research'!AK$1))*2,2)</f>
        <v>00</v>
      </c>
      <c r="AL370" t="str">
        <f>MID('paste from garc here'!$C$1,1+(('table for research'!$B370-1)*36+HEX2DEC('table for research'!AL$1))*2,2)</f>
        <v>00</v>
      </c>
      <c r="AM370" t="str">
        <f>MID('paste from garc here'!$C$1,1+(('table for research'!$B370-1)*36+HEX2DEC('table for research'!AM$1))*2,2)</f>
        <v>00</v>
      </c>
      <c r="AN370" t="str">
        <f>MID('paste from garc here'!$C$1,1+(('table for research'!$B370-1)*36+HEX2DEC('table for research'!AN$1))*2,2)</f>
        <v>00</v>
      </c>
      <c r="AO370" t="str">
        <f>MID('paste from garc here'!$C$1,1+(('table for research'!$B370-1)*36+HEX2DEC('table for research'!AO$1))*2,2)</f>
        <v>00</v>
      </c>
    </row>
    <row r="371" spans="1:41" x14ac:dyDescent="0.4">
      <c r="A371" t="s">
        <v>374</v>
      </c>
      <c r="B371">
        <f>B370+1</f>
        <v>369</v>
      </c>
      <c r="C371" t="str">
        <f>MID('paste from garc here'!$C$1,1+(('table for research'!$B371-1)*36+HEX2DEC('table for research'!C$1))*2,2)</f>
        <v>B8</v>
      </c>
      <c r="D371" t="str">
        <f>MID('paste from garc here'!$C$1,1+(('table for research'!$B371-1)*36+HEX2DEC('table for research'!D$1))*2,2)</f>
        <v>0B</v>
      </c>
      <c r="E371" t="str">
        <f>MID('paste from garc here'!$C$1,1+(('table for research'!$B371-1)*36+HEX2DEC('table for research'!E$1))*2,2)</f>
        <v>00</v>
      </c>
      <c r="F371" t="str">
        <f>MID('paste from garc here'!$C$1,1+(('table for research'!$B371-1)*36+HEX2DEC('table for research'!F$1))*2,2)</f>
        <v>00</v>
      </c>
      <c r="G371" t="str">
        <f>MID('paste from garc here'!$C$1,1+(('table for research'!$B371-1)*36+HEX2DEC('table for research'!G$1))*2,2)</f>
        <v>00</v>
      </c>
      <c r="H371" t="str">
        <f>MID('paste from garc here'!$C$1,1+(('table for research'!$B371-1)*36+HEX2DEC('table for research'!H$1))*2,2)</f>
        <v>00</v>
      </c>
      <c r="I371" t="str">
        <f>MID('paste from garc here'!$C$1,1+(('table for research'!$B371-1)*36+HEX2DEC('table for research'!I$1))*2,2)</f>
        <v>00</v>
      </c>
      <c r="J371" t="str">
        <f>MID('paste from garc here'!$C$1,1+(('table for research'!$B371-1)*36+HEX2DEC('table for research'!J$1))*2,2)</f>
        <v>00</v>
      </c>
      <c r="K371" t="str">
        <f>DEC2HEX(_xlfn.BITAND(HEX2DEC(MID('paste from garc here'!$C$1,1+(('table for research'!$B371-1)*36+HEX2DEC(8))*2,2)),31),2)</f>
        <v>1F</v>
      </c>
      <c r="L371" t="str">
        <f>DEC2HEX(_xlfn.BITAND(HEX2DEC(MID('paste from garc here'!$C$1,1+(('table for research'!$B371-1)*36+HEX2DEC(8))*2,2)),32),2)</f>
        <v>20</v>
      </c>
      <c r="M371" t="str">
        <f>DEC2HEX(_xlfn.BITAND(HEX2DEC(MID('paste from garc here'!$C$1,1+(('table for research'!$B371-1)*36+HEX2DEC(8))*2,2)),64),2)</f>
        <v>00</v>
      </c>
      <c r="N371" t="str">
        <f>DEC2HEX(_xlfn.BITRSHIFT(_xlfn.BITAND(HEX2DEC(MID('paste from garc here'!$C$1,1+(('table for research'!$B371-1)*36+HEX2DEC(9))*2,2)&amp;MID('paste from garc here'!$C$1,1+(('table for research'!$B371-1)*36+HEX2DEC(8))*2,2)),1920),7),2)</f>
        <v>02</v>
      </c>
      <c r="O371" t="str">
        <f>DEC2HEX(_xlfn.BITRSHIFT(HEX2DEC(MID('paste from garc here'!$C$1,1+(('table for research'!$B371-1)*36+HEX2DEC(9))*2,2)&amp;MID('paste from garc here'!$C$1,1+(('table for research'!$B371-1)*36+HEX2DEC(8))*2,2)),11),2)</f>
        <v>00</v>
      </c>
      <c r="P371" t="str">
        <f>MID('paste from garc here'!$C$1,1+(('table for research'!$B371-1)*36+HEX2DEC('table for research'!P$1))*2,2)</f>
        <v>02</v>
      </c>
      <c r="Q371" t="str">
        <f>MID('paste from garc here'!$C$1,1+(('table for research'!$B371-1)*36+HEX2DEC('table for research'!Q$1))*2,2)</f>
        <v>00</v>
      </c>
      <c r="R371" t="str">
        <f>MID('paste from garc here'!$C$1,1+(('table for research'!$B371-1)*36+HEX2DEC('table for research'!R$1))*2,2)</f>
        <v>00</v>
      </c>
      <c r="S371" t="str">
        <f>MID('paste from garc here'!$C$1,1+(('table for research'!$B371-1)*36+HEX2DEC('table for research'!S$1))*2,2)</f>
        <v>06</v>
      </c>
      <c r="T371" t="str">
        <f>MID('paste from garc here'!$C$1,1+(('table for research'!$B371-1)*36+HEX2DEC('table for research'!T$1))*2,2)</f>
        <v>00</v>
      </c>
      <c r="U371" t="str">
        <f>MID('paste from garc here'!$C$1,1+(('table for research'!$B371-1)*36+HEX2DEC('table for research'!U$1))*2,2)</f>
        <v>29</v>
      </c>
      <c r="V371" t="str">
        <f>MID('paste from garc here'!$C$1,1+(('table for research'!$B371-1)*36+HEX2DEC('table for research'!V$1))*2,2)</f>
        <v>00</v>
      </c>
      <c r="W371" t="str">
        <f>MID('paste from garc here'!$C$1,1+(('table for research'!$B371-1)*36+HEX2DEC('table for research'!W$1))*2,2)</f>
        <v>00</v>
      </c>
      <c r="X371" t="str">
        <f>MID('paste from garc here'!$C$1,1+(('table for research'!$B371-1)*36+HEX2DEC('table for research'!X$1))*2,2)</f>
        <v>00</v>
      </c>
      <c r="Y371" t="str">
        <f>MID('paste from garc here'!$C$1,1+(('table for research'!$B371-1)*36+HEX2DEC('table for research'!Y$1))*2,2)</f>
        <v>00</v>
      </c>
      <c r="Z371" t="str">
        <f>MID('paste from garc here'!$C$1,1+(('table for research'!$B371-1)*36+HEX2DEC('table for research'!Z$1))*2,2)</f>
        <v>00</v>
      </c>
      <c r="AA371" t="str">
        <f>MID('paste from garc here'!$C$1,1+(('table for research'!$B371-1)*36+HEX2DEC('table for research'!AA$1))*2,2)</f>
        <v>00</v>
      </c>
      <c r="AB371" t="str">
        <f>MID('paste from garc here'!$C$1,1+(('table for research'!$B371-1)*36+HEX2DEC('table for research'!AB$1))*2,2)</f>
        <v>00</v>
      </c>
      <c r="AC371" t="str">
        <f>MID('paste from garc here'!$C$1,1+(('table for research'!$B371-1)*36+HEX2DEC('table for research'!AC$1))*2,2)</f>
        <v>00</v>
      </c>
      <c r="AD371" t="str">
        <f>MID('paste from garc here'!$C$1,1+(('table for research'!$B371-1)*36+HEX2DEC('table for research'!AD$1))*2,2)</f>
        <v>00</v>
      </c>
      <c r="AE371" t="str">
        <f>MID('paste from garc here'!$C$1,1+(('table for research'!$B371-1)*36+HEX2DEC('table for research'!AE$1))*2,2)</f>
        <v>00</v>
      </c>
      <c r="AF371" t="str">
        <f>MID('paste from garc here'!$C$1,1+(('table for research'!$B371-1)*36+HEX2DEC('table for research'!AF$1))*2,2)</f>
        <v>00</v>
      </c>
      <c r="AG371" t="str">
        <f>MID('paste from garc here'!$C$1,1+(('table for research'!$B371-1)*36+HEX2DEC('table for research'!AG$1))*2,2)</f>
        <v>00</v>
      </c>
      <c r="AH371" t="str">
        <f>MID('paste from garc here'!$C$1,1+(('table for research'!$B371-1)*36+HEX2DEC('table for research'!AH$1))*2,2)</f>
        <v>00</v>
      </c>
      <c r="AI371" t="str">
        <f>MID('paste from garc here'!$C$1,1+(('table for research'!$B371-1)*36+HEX2DEC('table for research'!AI$1))*2,2)</f>
        <v>00</v>
      </c>
      <c r="AJ371" t="str">
        <f>MID('paste from garc here'!$C$1,1+(('table for research'!$B371-1)*36+HEX2DEC('table for research'!AJ$1))*2,2)</f>
        <v>00</v>
      </c>
      <c r="AK371" t="str">
        <f>MID('paste from garc here'!$C$1,1+(('table for research'!$B371-1)*36+HEX2DEC('table for research'!AK$1))*2,2)</f>
        <v>00</v>
      </c>
      <c r="AL371" t="str">
        <f>MID('paste from garc here'!$C$1,1+(('table for research'!$B371-1)*36+HEX2DEC('table for research'!AL$1))*2,2)</f>
        <v>00</v>
      </c>
      <c r="AM371" t="str">
        <f>MID('paste from garc here'!$C$1,1+(('table for research'!$B371-1)*36+HEX2DEC('table for research'!AM$1))*2,2)</f>
        <v>00</v>
      </c>
      <c r="AN371" t="str">
        <f>MID('paste from garc here'!$C$1,1+(('table for research'!$B371-1)*36+HEX2DEC('table for research'!AN$1))*2,2)</f>
        <v>00</v>
      </c>
      <c r="AO371" t="str">
        <f>MID('paste from garc here'!$C$1,1+(('table for research'!$B371-1)*36+HEX2DEC('table for research'!AO$1))*2,2)</f>
        <v>00</v>
      </c>
    </row>
    <row r="372" spans="1:41" x14ac:dyDescent="0.4">
      <c r="A372" t="s">
        <v>375</v>
      </c>
      <c r="B372">
        <f>B371+1</f>
        <v>370</v>
      </c>
      <c r="C372" t="str">
        <f>MID('paste from garc here'!$C$1,1+(('table for research'!$B372-1)*36+HEX2DEC('table for research'!C$1))*2,2)</f>
        <v>E8</v>
      </c>
      <c r="D372" t="str">
        <f>MID('paste from garc here'!$C$1,1+(('table for research'!$B372-1)*36+HEX2DEC('table for research'!D$1))*2,2)</f>
        <v>03</v>
      </c>
      <c r="E372" t="str">
        <f>MID('paste from garc here'!$C$1,1+(('table for research'!$B372-1)*36+HEX2DEC('table for research'!E$1))*2,2)</f>
        <v>00</v>
      </c>
      <c r="F372" t="str">
        <f>MID('paste from garc here'!$C$1,1+(('table for research'!$B372-1)*36+HEX2DEC('table for research'!F$1))*2,2)</f>
        <v>00</v>
      </c>
      <c r="G372" t="str">
        <f>MID('paste from garc here'!$C$1,1+(('table for research'!$B372-1)*36+HEX2DEC('table for research'!G$1))*2,2)</f>
        <v>00</v>
      </c>
      <c r="H372" t="str">
        <f>MID('paste from garc here'!$C$1,1+(('table for research'!$B372-1)*36+HEX2DEC('table for research'!H$1))*2,2)</f>
        <v>00</v>
      </c>
      <c r="I372" t="str">
        <f>MID('paste from garc here'!$C$1,1+(('table for research'!$B372-1)*36+HEX2DEC('table for research'!I$1))*2,2)</f>
        <v>00</v>
      </c>
      <c r="J372" t="str">
        <f>MID('paste from garc here'!$C$1,1+(('table for research'!$B372-1)*36+HEX2DEC('table for research'!J$1))*2,2)</f>
        <v>00</v>
      </c>
      <c r="K372" t="str">
        <f>DEC2HEX(_xlfn.BITAND(HEX2DEC(MID('paste from garc here'!$C$1,1+(('table for research'!$B372-1)*36+HEX2DEC(8))*2,2)),31),2)</f>
        <v>1F</v>
      </c>
      <c r="L372" t="str">
        <f>DEC2HEX(_xlfn.BITAND(HEX2DEC(MID('paste from garc here'!$C$1,1+(('table for research'!$B372-1)*36+HEX2DEC(8))*2,2)),32),2)</f>
        <v>20</v>
      </c>
      <c r="M372" t="str">
        <f>DEC2HEX(_xlfn.BITAND(HEX2DEC(MID('paste from garc here'!$C$1,1+(('table for research'!$B372-1)*36+HEX2DEC(8))*2,2)),64),2)</f>
        <v>00</v>
      </c>
      <c r="N372" t="str">
        <f>DEC2HEX(_xlfn.BITRSHIFT(_xlfn.BITAND(HEX2DEC(MID('paste from garc here'!$C$1,1+(('table for research'!$B372-1)*36+HEX2DEC(9))*2,2)&amp;MID('paste from garc here'!$C$1,1+(('table for research'!$B372-1)*36+HEX2DEC(8))*2,2)),1920),7),2)</f>
        <v>02</v>
      </c>
      <c r="O372" t="str">
        <f>DEC2HEX(_xlfn.BITRSHIFT(HEX2DEC(MID('paste from garc here'!$C$1,1+(('table for research'!$B372-1)*36+HEX2DEC(9))*2,2)&amp;MID('paste from garc here'!$C$1,1+(('table for research'!$B372-1)*36+HEX2DEC(8))*2,2)),11),2)</f>
        <v>00</v>
      </c>
      <c r="P372" t="str">
        <f>MID('paste from garc here'!$C$1,1+(('table for research'!$B372-1)*36+HEX2DEC('table for research'!P$1))*2,2)</f>
        <v>02</v>
      </c>
      <c r="Q372" t="str">
        <f>MID('paste from garc here'!$C$1,1+(('table for research'!$B372-1)*36+HEX2DEC('table for research'!Q$1))*2,2)</f>
        <v>00</v>
      </c>
      <c r="R372" t="str">
        <f>MID('paste from garc here'!$C$1,1+(('table for research'!$B372-1)*36+HEX2DEC('table for research'!R$1))*2,2)</f>
        <v>00</v>
      </c>
      <c r="S372" t="str">
        <f>MID('paste from garc here'!$C$1,1+(('table for research'!$B372-1)*36+HEX2DEC('table for research'!S$1))*2,2)</f>
        <v>06</v>
      </c>
      <c r="T372" t="str">
        <f>MID('paste from garc here'!$C$1,1+(('table for research'!$B372-1)*36+HEX2DEC('table for research'!T$1))*2,2)</f>
        <v>00</v>
      </c>
      <c r="U372" t="str">
        <f>MID('paste from garc here'!$C$1,1+(('table for research'!$B372-1)*36+HEX2DEC('table for research'!U$1))*2,2)</f>
        <v>2A</v>
      </c>
      <c r="V372" t="str">
        <f>MID('paste from garc here'!$C$1,1+(('table for research'!$B372-1)*36+HEX2DEC('table for research'!V$1))*2,2)</f>
        <v>00</v>
      </c>
      <c r="W372" t="str">
        <f>MID('paste from garc here'!$C$1,1+(('table for research'!$B372-1)*36+HEX2DEC('table for research'!W$1))*2,2)</f>
        <v>00</v>
      </c>
      <c r="X372" t="str">
        <f>MID('paste from garc here'!$C$1,1+(('table for research'!$B372-1)*36+HEX2DEC('table for research'!X$1))*2,2)</f>
        <v>00</v>
      </c>
      <c r="Y372" t="str">
        <f>MID('paste from garc here'!$C$1,1+(('table for research'!$B372-1)*36+HEX2DEC('table for research'!Y$1))*2,2)</f>
        <v>00</v>
      </c>
      <c r="Z372" t="str">
        <f>MID('paste from garc here'!$C$1,1+(('table for research'!$B372-1)*36+HEX2DEC('table for research'!Z$1))*2,2)</f>
        <v>00</v>
      </c>
      <c r="AA372" t="str">
        <f>MID('paste from garc here'!$C$1,1+(('table for research'!$B372-1)*36+HEX2DEC('table for research'!AA$1))*2,2)</f>
        <v>00</v>
      </c>
      <c r="AB372" t="str">
        <f>MID('paste from garc here'!$C$1,1+(('table for research'!$B372-1)*36+HEX2DEC('table for research'!AB$1))*2,2)</f>
        <v>00</v>
      </c>
      <c r="AC372" t="str">
        <f>MID('paste from garc here'!$C$1,1+(('table for research'!$B372-1)*36+HEX2DEC('table for research'!AC$1))*2,2)</f>
        <v>00</v>
      </c>
      <c r="AD372" t="str">
        <f>MID('paste from garc here'!$C$1,1+(('table for research'!$B372-1)*36+HEX2DEC('table for research'!AD$1))*2,2)</f>
        <v>00</v>
      </c>
      <c r="AE372" t="str">
        <f>MID('paste from garc here'!$C$1,1+(('table for research'!$B372-1)*36+HEX2DEC('table for research'!AE$1))*2,2)</f>
        <v>00</v>
      </c>
      <c r="AF372" t="str">
        <f>MID('paste from garc here'!$C$1,1+(('table for research'!$B372-1)*36+HEX2DEC('table for research'!AF$1))*2,2)</f>
        <v>00</v>
      </c>
      <c r="AG372" t="str">
        <f>MID('paste from garc here'!$C$1,1+(('table for research'!$B372-1)*36+HEX2DEC('table for research'!AG$1))*2,2)</f>
        <v>00</v>
      </c>
      <c r="AH372" t="str">
        <f>MID('paste from garc here'!$C$1,1+(('table for research'!$B372-1)*36+HEX2DEC('table for research'!AH$1))*2,2)</f>
        <v>00</v>
      </c>
      <c r="AI372" t="str">
        <f>MID('paste from garc here'!$C$1,1+(('table for research'!$B372-1)*36+HEX2DEC('table for research'!AI$1))*2,2)</f>
        <v>00</v>
      </c>
      <c r="AJ372" t="str">
        <f>MID('paste from garc here'!$C$1,1+(('table for research'!$B372-1)*36+HEX2DEC('table for research'!AJ$1))*2,2)</f>
        <v>00</v>
      </c>
      <c r="AK372" t="str">
        <f>MID('paste from garc here'!$C$1,1+(('table for research'!$B372-1)*36+HEX2DEC('table for research'!AK$1))*2,2)</f>
        <v>00</v>
      </c>
      <c r="AL372" t="str">
        <f>MID('paste from garc here'!$C$1,1+(('table for research'!$B372-1)*36+HEX2DEC('table for research'!AL$1))*2,2)</f>
        <v>00</v>
      </c>
      <c r="AM372" t="str">
        <f>MID('paste from garc here'!$C$1,1+(('table for research'!$B372-1)*36+HEX2DEC('table for research'!AM$1))*2,2)</f>
        <v>00</v>
      </c>
      <c r="AN372" t="str">
        <f>MID('paste from garc here'!$C$1,1+(('table for research'!$B372-1)*36+HEX2DEC('table for research'!AN$1))*2,2)</f>
        <v>00</v>
      </c>
      <c r="AO372" t="str">
        <f>MID('paste from garc here'!$C$1,1+(('table for research'!$B372-1)*36+HEX2DEC('table for research'!AO$1))*2,2)</f>
        <v>00</v>
      </c>
    </row>
    <row r="373" spans="1:41" x14ac:dyDescent="0.4">
      <c r="A373" t="s">
        <v>376</v>
      </c>
      <c r="B373">
        <f>B372+1</f>
        <v>371</v>
      </c>
      <c r="C373" t="str">
        <f>MID('paste from garc here'!$C$1,1+(('table for research'!$B373-1)*36+HEX2DEC('table for research'!C$1))*2,2)</f>
        <v>E8</v>
      </c>
      <c r="D373" t="str">
        <f>MID('paste from garc here'!$C$1,1+(('table for research'!$B373-1)*36+HEX2DEC('table for research'!D$1))*2,2)</f>
        <v>03</v>
      </c>
      <c r="E373" t="str">
        <f>MID('paste from garc here'!$C$1,1+(('table for research'!$B373-1)*36+HEX2DEC('table for research'!E$1))*2,2)</f>
        <v>00</v>
      </c>
      <c r="F373" t="str">
        <f>MID('paste from garc here'!$C$1,1+(('table for research'!$B373-1)*36+HEX2DEC('table for research'!F$1))*2,2)</f>
        <v>00</v>
      </c>
      <c r="G373" t="str">
        <f>MID('paste from garc here'!$C$1,1+(('table for research'!$B373-1)*36+HEX2DEC('table for research'!G$1))*2,2)</f>
        <v>00</v>
      </c>
      <c r="H373" t="str">
        <f>MID('paste from garc here'!$C$1,1+(('table for research'!$B373-1)*36+HEX2DEC('table for research'!H$1))*2,2)</f>
        <v>00</v>
      </c>
      <c r="I373" t="str">
        <f>MID('paste from garc here'!$C$1,1+(('table for research'!$B373-1)*36+HEX2DEC('table for research'!I$1))*2,2)</f>
        <v>00</v>
      </c>
      <c r="J373" t="str">
        <f>MID('paste from garc here'!$C$1,1+(('table for research'!$B373-1)*36+HEX2DEC('table for research'!J$1))*2,2)</f>
        <v>00</v>
      </c>
      <c r="K373" t="str">
        <f>DEC2HEX(_xlfn.BITAND(HEX2DEC(MID('paste from garc here'!$C$1,1+(('table for research'!$B373-1)*36+HEX2DEC(8))*2,2)),31),2)</f>
        <v>1F</v>
      </c>
      <c r="L373" t="str">
        <f>DEC2HEX(_xlfn.BITAND(HEX2DEC(MID('paste from garc here'!$C$1,1+(('table for research'!$B373-1)*36+HEX2DEC(8))*2,2)),32),2)</f>
        <v>20</v>
      </c>
      <c r="M373" t="str">
        <f>DEC2HEX(_xlfn.BITAND(HEX2DEC(MID('paste from garc here'!$C$1,1+(('table for research'!$B373-1)*36+HEX2DEC(8))*2,2)),64),2)</f>
        <v>00</v>
      </c>
      <c r="N373" t="str">
        <f>DEC2HEX(_xlfn.BITRSHIFT(_xlfn.BITAND(HEX2DEC(MID('paste from garc here'!$C$1,1+(('table for research'!$B373-1)*36+HEX2DEC(9))*2,2)&amp;MID('paste from garc here'!$C$1,1+(('table for research'!$B373-1)*36+HEX2DEC(8))*2,2)),1920),7),2)</f>
        <v>02</v>
      </c>
      <c r="O373" t="str">
        <f>DEC2HEX(_xlfn.BITRSHIFT(HEX2DEC(MID('paste from garc here'!$C$1,1+(('table for research'!$B373-1)*36+HEX2DEC(9))*2,2)&amp;MID('paste from garc here'!$C$1,1+(('table for research'!$B373-1)*36+HEX2DEC(8))*2,2)),11),2)</f>
        <v>00</v>
      </c>
      <c r="P373" t="str">
        <f>MID('paste from garc here'!$C$1,1+(('table for research'!$B373-1)*36+HEX2DEC('table for research'!P$1))*2,2)</f>
        <v>02</v>
      </c>
      <c r="Q373" t="str">
        <f>MID('paste from garc here'!$C$1,1+(('table for research'!$B373-1)*36+HEX2DEC('table for research'!Q$1))*2,2)</f>
        <v>00</v>
      </c>
      <c r="R373" t="str">
        <f>MID('paste from garc here'!$C$1,1+(('table for research'!$B373-1)*36+HEX2DEC('table for research'!R$1))*2,2)</f>
        <v>00</v>
      </c>
      <c r="S373" t="str">
        <f>MID('paste from garc here'!$C$1,1+(('table for research'!$B373-1)*36+HEX2DEC('table for research'!S$1))*2,2)</f>
        <v>06</v>
      </c>
      <c r="T373" t="str">
        <f>MID('paste from garc here'!$C$1,1+(('table for research'!$B373-1)*36+HEX2DEC('table for research'!T$1))*2,2)</f>
        <v>00</v>
      </c>
      <c r="U373" t="str">
        <f>MID('paste from garc here'!$C$1,1+(('table for research'!$B373-1)*36+HEX2DEC('table for research'!U$1))*2,2)</f>
        <v>2B</v>
      </c>
      <c r="V373" t="str">
        <f>MID('paste from garc here'!$C$1,1+(('table for research'!$B373-1)*36+HEX2DEC('table for research'!V$1))*2,2)</f>
        <v>00</v>
      </c>
      <c r="W373" t="str">
        <f>MID('paste from garc here'!$C$1,1+(('table for research'!$B373-1)*36+HEX2DEC('table for research'!W$1))*2,2)</f>
        <v>00</v>
      </c>
      <c r="X373" t="str">
        <f>MID('paste from garc here'!$C$1,1+(('table for research'!$B373-1)*36+HEX2DEC('table for research'!X$1))*2,2)</f>
        <v>00</v>
      </c>
      <c r="Y373" t="str">
        <f>MID('paste from garc here'!$C$1,1+(('table for research'!$B373-1)*36+HEX2DEC('table for research'!Y$1))*2,2)</f>
        <v>00</v>
      </c>
      <c r="Z373" t="str">
        <f>MID('paste from garc here'!$C$1,1+(('table for research'!$B373-1)*36+HEX2DEC('table for research'!Z$1))*2,2)</f>
        <v>00</v>
      </c>
      <c r="AA373" t="str">
        <f>MID('paste from garc here'!$C$1,1+(('table for research'!$B373-1)*36+HEX2DEC('table for research'!AA$1))*2,2)</f>
        <v>00</v>
      </c>
      <c r="AB373" t="str">
        <f>MID('paste from garc here'!$C$1,1+(('table for research'!$B373-1)*36+HEX2DEC('table for research'!AB$1))*2,2)</f>
        <v>00</v>
      </c>
      <c r="AC373" t="str">
        <f>MID('paste from garc here'!$C$1,1+(('table for research'!$B373-1)*36+HEX2DEC('table for research'!AC$1))*2,2)</f>
        <v>00</v>
      </c>
      <c r="AD373" t="str">
        <f>MID('paste from garc here'!$C$1,1+(('table for research'!$B373-1)*36+HEX2DEC('table for research'!AD$1))*2,2)</f>
        <v>00</v>
      </c>
      <c r="AE373" t="str">
        <f>MID('paste from garc here'!$C$1,1+(('table for research'!$B373-1)*36+HEX2DEC('table for research'!AE$1))*2,2)</f>
        <v>00</v>
      </c>
      <c r="AF373" t="str">
        <f>MID('paste from garc here'!$C$1,1+(('table for research'!$B373-1)*36+HEX2DEC('table for research'!AF$1))*2,2)</f>
        <v>00</v>
      </c>
      <c r="AG373" t="str">
        <f>MID('paste from garc here'!$C$1,1+(('table for research'!$B373-1)*36+HEX2DEC('table for research'!AG$1))*2,2)</f>
        <v>00</v>
      </c>
      <c r="AH373" t="str">
        <f>MID('paste from garc here'!$C$1,1+(('table for research'!$B373-1)*36+HEX2DEC('table for research'!AH$1))*2,2)</f>
        <v>00</v>
      </c>
      <c r="AI373" t="str">
        <f>MID('paste from garc here'!$C$1,1+(('table for research'!$B373-1)*36+HEX2DEC('table for research'!AI$1))*2,2)</f>
        <v>00</v>
      </c>
      <c r="AJ373" t="str">
        <f>MID('paste from garc here'!$C$1,1+(('table for research'!$B373-1)*36+HEX2DEC('table for research'!AJ$1))*2,2)</f>
        <v>00</v>
      </c>
      <c r="AK373" t="str">
        <f>MID('paste from garc here'!$C$1,1+(('table for research'!$B373-1)*36+HEX2DEC('table for research'!AK$1))*2,2)</f>
        <v>00</v>
      </c>
      <c r="AL373" t="str">
        <f>MID('paste from garc here'!$C$1,1+(('table for research'!$B373-1)*36+HEX2DEC('table for research'!AL$1))*2,2)</f>
        <v>00</v>
      </c>
      <c r="AM373" t="str">
        <f>MID('paste from garc here'!$C$1,1+(('table for research'!$B373-1)*36+HEX2DEC('table for research'!AM$1))*2,2)</f>
        <v>00</v>
      </c>
      <c r="AN373" t="str">
        <f>MID('paste from garc here'!$C$1,1+(('table for research'!$B373-1)*36+HEX2DEC('table for research'!AN$1))*2,2)</f>
        <v>00</v>
      </c>
      <c r="AO373" t="str">
        <f>MID('paste from garc here'!$C$1,1+(('table for research'!$B373-1)*36+HEX2DEC('table for research'!AO$1))*2,2)</f>
        <v>00</v>
      </c>
    </row>
    <row r="374" spans="1:41" x14ac:dyDescent="0.4">
      <c r="A374" t="s">
        <v>377</v>
      </c>
      <c r="B374">
        <f>B373+1</f>
        <v>372</v>
      </c>
      <c r="C374" t="str">
        <f>MID('paste from garc here'!$C$1,1+(('table for research'!$B374-1)*36+HEX2DEC('table for research'!C$1))*2,2)</f>
        <v>E8</v>
      </c>
      <c r="D374" t="str">
        <f>MID('paste from garc here'!$C$1,1+(('table for research'!$B374-1)*36+HEX2DEC('table for research'!D$1))*2,2)</f>
        <v>03</v>
      </c>
      <c r="E374" t="str">
        <f>MID('paste from garc here'!$C$1,1+(('table for research'!$B374-1)*36+HEX2DEC('table for research'!E$1))*2,2)</f>
        <v>00</v>
      </c>
      <c r="F374" t="str">
        <f>MID('paste from garc here'!$C$1,1+(('table for research'!$B374-1)*36+HEX2DEC('table for research'!F$1))*2,2)</f>
        <v>00</v>
      </c>
      <c r="G374" t="str">
        <f>MID('paste from garc here'!$C$1,1+(('table for research'!$B374-1)*36+HEX2DEC('table for research'!G$1))*2,2)</f>
        <v>00</v>
      </c>
      <c r="H374" t="str">
        <f>MID('paste from garc here'!$C$1,1+(('table for research'!$B374-1)*36+HEX2DEC('table for research'!H$1))*2,2)</f>
        <v>00</v>
      </c>
      <c r="I374" t="str">
        <f>MID('paste from garc here'!$C$1,1+(('table for research'!$B374-1)*36+HEX2DEC('table for research'!I$1))*2,2)</f>
        <v>00</v>
      </c>
      <c r="J374" t="str">
        <f>MID('paste from garc here'!$C$1,1+(('table for research'!$B374-1)*36+HEX2DEC('table for research'!J$1))*2,2)</f>
        <v>00</v>
      </c>
      <c r="K374" t="str">
        <f>DEC2HEX(_xlfn.BITAND(HEX2DEC(MID('paste from garc here'!$C$1,1+(('table for research'!$B374-1)*36+HEX2DEC(8))*2,2)),31),2)</f>
        <v>1F</v>
      </c>
      <c r="L374" t="str">
        <f>DEC2HEX(_xlfn.BITAND(HEX2DEC(MID('paste from garc here'!$C$1,1+(('table for research'!$B374-1)*36+HEX2DEC(8))*2,2)),32),2)</f>
        <v>20</v>
      </c>
      <c r="M374" t="str">
        <f>DEC2HEX(_xlfn.BITAND(HEX2DEC(MID('paste from garc here'!$C$1,1+(('table for research'!$B374-1)*36+HEX2DEC(8))*2,2)),64),2)</f>
        <v>00</v>
      </c>
      <c r="N374" t="str">
        <f>DEC2HEX(_xlfn.BITRSHIFT(_xlfn.BITAND(HEX2DEC(MID('paste from garc here'!$C$1,1+(('table for research'!$B374-1)*36+HEX2DEC(9))*2,2)&amp;MID('paste from garc here'!$C$1,1+(('table for research'!$B374-1)*36+HEX2DEC(8))*2,2)),1920),7),2)</f>
        <v>02</v>
      </c>
      <c r="O374" t="str">
        <f>DEC2HEX(_xlfn.BITRSHIFT(HEX2DEC(MID('paste from garc here'!$C$1,1+(('table for research'!$B374-1)*36+HEX2DEC(9))*2,2)&amp;MID('paste from garc here'!$C$1,1+(('table for research'!$B374-1)*36+HEX2DEC(8))*2,2)),11),2)</f>
        <v>00</v>
      </c>
      <c r="P374" t="str">
        <f>MID('paste from garc here'!$C$1,1+(('table for research'!$B374-1)*36+HEX2DEC('table for research'!P$1))*2,2)</f>
        <v>02</v>
      </c>
      <c r="Q374" t="str">
        <f>MID('paste from garc here'!$C$1,1+(('table for research'!$B374-1)*36+HEX2DEC('table for research'!Q$1))*2,2)</f>
        <v>00</v>
      </c>
      <c r="R374" t="str">
        <f>MID('paste from garc here'!$C$1,1+(('table for research'!$B374-1)*36+HEX2DEC('table for research'!R$1))*2,2)</f>
        <v>00</v>
      </c>
      <c r="S374" t="str">
        <f>MID('paste from garc here'!$C$1,1+(('table for research'!$B374-1)*36+HEX2DEC('table for research'!S$1))*2,2)</f>
        <v>06</v>
      </c>
      <c r="T374" t="str">
        <f>MID('paste from garc here'!$C$1,1+(('table for research'!$B374-1)*36+HEX2DEC('table for research'!T$1))*2,2)</f>
        <v>00</v>
      </c>
      <c r="U374" t="str">
        <f>MID('paste from garc here'!$C$1,1+(('table for research'!$B374-1)*36+HEX2DEC('table for research'!U$1))*2,2)</f>
        <v>2C</v>
      </c>
      <c r="V374" t="str">
        <f>MID('paste from garc here'!$C$1,1+(('table for research'!$B374-1)*36+HEX2DEC('table for research'!V$1))*2,2)</f>
        <v>00</v>
      </c>
      <c r="W374" t="str">
        <f>MID('paste from garc here'!$C$1,1+(('table for research'!$B374-1)*36+HEX2DEC('table for research'!W$1))*2,2)</f>
        <v>00</v>
      </c>
      <c r="X374" t="str">
        <f>MID('paste from garc here'!$C$1,1+(('table for research'!$B374-1)*36+HEX2DEC('table for research'!X$1))*2,2)</f>
        <v>00</v>
      </c>
      <c r="Y374" t="str">
        <f>MID('paste from garc here'!$C$1,1+(('table for research'!$B374-1)*36+HEX2DEC('table for research'!Y$1))*2,2)</f>
        <v>00</v>
      </c>
      <c r="Z374" t="str">
        <f>MID('paste from garc here'!$C$1,1+(('table for research'!$B374-1)*36+HEX2DEC('table for research'!Z$1))*2,2)</f>
        <v>00</v>
      </c>
      <c r="AA374" t="str">
        <f>MID('paste from garc here'!$C$1,1+(('table for research'!$B374-1)*36+HEX2DEC('table for research'!AA$1))*2,2)</f>
        <v>00</v>
      </c>
      <c r="AB374" t="str">
        <f>MID('paste from garc here'!$C$1,1+(('table for research'!$B374-1)*36+HEX2DEC('table for research'!AB$1))*2,2)</f>
        <v>00</v>
      </c>
      <c r="AC374" t="str">
        <f>MID('paste from garc here'!$C$1,1+(('table for research'!$B374-1)*36+HEX2DEC('table for research'!AC$1))*2,2)</f>
        <v>00</v>
      </c>
      <c r="AD374" t="str">
        <f>MID('paste from garc here'!$C$1,1+(('table for research'!$B374-1)*36+HEX2DEC('table for research'!AD$1))*2,2)</f>
        <v>00</v>
      </c>
      <c r="AE374" t="str">
        <f>MID('paste from garc here'!$C$1,1+(('table for research'!$B374-1)*36+HEX2DEC('table for research'!AE$1))*2,2)</f>
        <v>00</v>
      </c>
      <c r="AF374" t="str">
        <f>MID('paste from garc here'!$C$1,1+(('table for research'!$B374-1)*36+HEX2DEC('table for research'!AF$1))*2,2)</f>
        <v>00</v>
      </c>
      <c r="AG374" t="str">
        <f>MID('paste from garc here'!$C$1,1+(('table for research'!$B374-1)*36+HEX2DEC('table for research'!AG$1))*2,2)</f>
        <v>00</v>
      </c>
      <c r="AH374" t="str">
        <f>MID('paste from garc here'!$C$1,1+(('table for research'!$B374-1)*36+HEX2DEC('table for research'!AH$1))*2,2)</f>
        <v>00</v>
      </c>
      <c r="AI374" t="str">
        <f>MID('paste from garc here'!$C$1,1+(('table for research'!$B374-1)*36+HEX2DEC('table for research'!AI$1))*2,2)</f>
        <v>00</v>
      </c>
      <c r="AJ374" t="str">
        <f>MID('paste from garc here'!$C$1,1+(('table for research'!$B374-1)*36+HEX2DEC('table for research'!AJ$1))*2,2)</f>
        <v>00</v>
      </c>
      <c r="AK374" t="str">
        <f>MID('paste from garc here'!$C$1,1+(('table for research'!$B374-1)*36+HEX2DEC('table for research'!AK$1))*2,2)</f>
        <v>00</v>
      </c>
      <c r="AL374" t="str">
        <f>MID('paste from garc here'!$C$1,1+(('table for research'!$B374-1)*36+HEX2DEC('table for research'!AL$1))*2,2)</f>
        <v>00</v>
      </c>
      <c r="AM374" t="str">
        <f>MID('paste from garc here'!$C$1,1+(('table for research'!$B374-1)*36+HEX2DEC('table for research'!AM$1))*2,2)</f>
        <v>00</v>
      </c>
      <c r="AN374" t="str">
        <f>MID('paste from garc here'!$C$1,1+(('table for research'!$B374-1)*36+HEX2DEC('table for research'!AN$1))*2,2)</f>
        <v>00</v>
      </c>
      <c r="AO374" t="str">
        <f>MID('paste from garc here'!$C$1,1+(('table for research'!$B374-1)*36+HEX2DEC('table for research'!AO$1))*2,2)</f>
        <v>00</v>
      </c>
    </row>
    <row r="375" spans="1:41" x14ac:dyDescent="0.4">
      <c r="A375" t="s">
        <v>378</v>
      </c>
      <c r="B375">
        <f>B374+1</f>
        <v>373</v>
      </c>
      <c r="C375" t="str">
        <f>MID('paste from garc here'!$C$1,1+(('table for research'!$B375-1)*36+HEX2DEC('table for research'!C$1))*2,2)</f>
        <v>E8</v>
      </c>
      <c r="D375" t="str">
        <f>MID('paste from garc here'!$C$1,1+(('table for research'!$B375-1)*36+HEX2DEC('table for research'!D$1))*2,2)</f>
        <v>03</v>
      </c>
      <c r="E375" t="str">
        <f>MID('paste from garc here'!$C$1,1+(('table for research'!$B375-1)*36+HEX2DEC('table for research'!E$1))*2,2)</f>
        <v>00</v>
      </c>
      <c r="F375" t="str">
        <f>MID('paste from garc here'!$C$1,1+(('table for research'!$B375-1)*36+HEX2DEC('table for research'!F$1))*2,2)</f>
        <v>00</v>
      </c>
      <c r="G375" t="str">
        <f>MID('paste from garc here'!$C$1,1+(('table for research'!$B375-1)*36+HEX2DEC('table for research'!G$1))*2,2)</f>
        <v>00</v>
      </c>
      <c r="H375" t="str">
        <f>MID('paste from garc here'!$C$1,1+(('table for research'!$B375-1)*36+HEX2DEC('table for research'!H$1))*2,2)</f>
        <v>00</v>
      </c>
      <c r="I375" t="str">
        <f>MID('paste from garc here'!$C$1,1+(('table for research'!$B375-1)*36+HEX2DEC('table for research'!I$1))*2,2)</f>
        <v>00</v>
      </c>
      <c r="J375" t="str">
        <f>MID('paste from garc here'!$C$1,1+(('table for research'!$B375-1)*36+HEX2DEC('table for research'!J$1))*2,2)</f>
        <v>00</v>
      </c>
      <c r="K375" t="str">
        <f>DEC2HEX(_xlfn.BITAND(HEX2DEC(MID('paste from garc here'!$C$1,1+(('table for research'!$B375-1)*36+HEX2DEC(8))*2,2)),31),2)</f>
        <v>1F</v>
      </c>
      <c r="L375" t="str">
        <f>DEC2HEX(_xlfn.BITAND(HEX2DEC(MID('paste from garc here'!$C$1,1+(('table for research'!$B375-1)*36+HEX2DEC(8))*2,2)),32),2)</f>
        <v>20</v>
      </c>
      <c r="M375" t="str">
        <f>DEC2HEX(_xlfn.BITAND(HEX2DEC(MID('paste from garc here'!$C$1,1+(('table for research'!$B375-1)*36+HEX2DEC(8))*2,2)),64),2)</f>
        <v>00</v>
      </c>
      <c r="N375" t="str">
        <f>DEC2HEX(_xlfn.BITRSHIFT(_xlfn.BITAND(HEX2DEC(MID('paste from garc here'!$C$1,1+(('table for research'!$B375-1)*36+HEX2DEC(9))*2,2)&amp;MID('paste from garc here'!$C$1,1+(('table for research'!$B375-1)*36+HEX2DEC(8))*2,2)),1920),7),2)</f>
        <v>02</v>
      </c>
      <c r="O375" t="str">
        <f>DEC2HEX(_xlfn.BITRSHIFT(HEX2DEC(MID('paste from garc here'!$C$1,1+(('table for research'!$B375-1)*36+HEX2DEC(9))*2,2)&amp;MID('paste from garc here'!$C$1,1+(('table for research'!$B375-1)*36+HEX2DEC(8))*2,2)),11),2)</f>
        <v>00</v>
      </c>
      <c r="P375" t="str">
        <f>MID('paste from garc here'!$C$1,1+(('table for research'!$B375-1)*36+HEX2DEC('table for research'!P$1))*2,2)</f>
        <v>02</v>
      </c>
      <c r="Q375" t="str">
        <f>MID('paste from garc here'!$C$1,1+(('table for research'!$B375-1)*36+HEX2DEC('table for research'!Q$1))*2,2)</f>
        <v>00</v>
      </c>
      <c r="R375" t="str">
        <f>MID('paste from garc here'!$C$1,1+(('table for research'!$B375-1)*36+HEX2DEC('table for research'!R$1))*2,2)</f>
        <v>00</v>
      </c>
      <c r="S375" t="str">
        <f>MID('paste from garc here'!$C$1,1+(('table for research'!$B375-1)*36+HEX2DEC('table for research'!S$1))*2,2)</f>
        <v>06</v>
      </c>
      <c r="T375" t="str">
        <f>MID('paste from garc here'!$C$1,1+(('table for research'!$B375-1)*36+HEX2DEC('table for research'!T$1))*2,2)</f>
        <v>00</v>
      </c>
      <c r="U375" t="str">
        <f>MID('paste from garc here'!$C$1,1+(('table for research'!$B375-1)*36+HEX2DEC('table for research'!U$1))*2,2)</f>
        <v>2D</v>
      </c>
      <c r="V375" t="str">
        <f>MID('paste from garc here'!$C$1,1+(('table for research'!$B375-1)*36+HEX2DEC('table for research'!V$1))*2,2)</f>
        <v>00</v>
      </c>
      <c r="W375" t="str">
        <f>MID('paste from garc here'!$C$1,1+(('table for research'!$B375-1)*36+HEX2DEC('table for research'!W$1))*2,2)</f>
        <v>00</v>
      </c>
      <c r="X375" t="str">
        <f>MID('paste from garc here'!$C$1,1+(('table for research'!$B375-1)*36+HEX2DEC('table for research'!X$1))*2,2)</f>
        <v>00</v>
      </c>
      <c r="Y375" t="str">
        <f>MID('paste from garc here'!$C$1,1+(('table for research'!$B375-1)*36+HEX2DEC('table for research'!Y$1))*2,2)</f>
        <v>00</v>
      </c>
      <c r="Z375" t="str">
        <f>MID('paste from garc here'!$C$1,1+(('table for research'!$B375-1)*36+HEX2DEC('table for research'!Z$1))*2,2)</f>
        <v>00</v>
      </c>
      <c r="AA375" t="str">
        <f>MID('paste from garc here'!$C$1,1+(('table for research'!$B375-1)*36+HEX2DEC('table for research'!AA$1))*2,2)</f>
        <v>00</v>
      </c>
      <c r="AB375" t="str">
        <f>MID('paste from garc here'!$C$1,1+(('table for research'!$B375-1)*36+HEX2DEC('table for research'!AB$1))*2,2)</f>
        <v>00</v>
      </c>
      <c r="AC375" t="str">
        <f>MID('paste from garc here'!$C$1,1+(('table for research'!$B375-1)*36+HEX2DEC('table for research'!AC$1))*2,2)</f>
        <v>00</v>
      </c>
      <c r="AD375" t="str">
        <f>MID('paste from garc here'!$C$1,1+(('table for research'!$B375-1)*36+HEX2DEC('table for research'!AD$1))*2,2)</f>
        <v>00</v>
      </c>
      <c r="AE375" t="str">
        <f>MID('paste from garc here'!$C$1,1+(('table for research'!$B375-1)*36+HEX2DEC('table for research'!AE$1))*2,2)</f>
        <v>00</v>
      </c>
      <c r="AF375" t="str">
        <f>MID('paste from garc here'!$C$1,1+(('table for research'!$B375-1)*36+HEX2DEC('table for research'!AF$1))*2,2)</f>
        <v>00</v>
      </c>
      <c r="AG375" t="str">
        <f>MID('paste from garc here'!$C$1,1+(('table for research'!$B375-1)*36+HEX2DEC('table for research'!AG$1))*2,2)</f>
        <v>00</v>
      </c>
      <c r="AH375" t="str">
        <f>MID('paste from garc here'!$C$1,1+(('table for research'!$B375-1)*36+HEX2DEC('table for research'!AH$1))*2,2)</f>
        <v>00</v>
      </c>
      <c r="AI375" t="str">
        <f>MID('paste from garc here'!$C$1,1+(('table for research'!$B375-1)*36+HEX2DEC('table for research'!AI$1))*2,2)</f>
        <v>00</v>
      </c>
      <c r="AJ375" t="str">
        <f>MID('paste from garc here'!$C$1,1+(('table for research'!$B375-1)*36+HEX2DEC('table for research'!AJ$1))*2,2)</f>
        <v>00</v>
      </c>
      <c r="AK375" t="str">
        <f>MID('paste from garc here'!$C$1,1+(('table for research'!$B375-1)*36+HEX2DEC('table for research'!AK$1))*2,2)</f>
        <v>00</v>
      </c>
      <c r="AL375" t="str">
        <f>MID('paste from garc here'!$C$1,1+(('table for research'!$B375-1)*36+HEX2DEC('table for research'!AL$1))*2,2)</f>
        <v>00</v>
      </c>
      <c r="AM375" t="str">
        <f>MID('paste from garc here'!$C$1,1+(('table for research'!$B375-1)*36+HEX2DEC('table for research'!AM$1))*2,2)</f>
        <v>00</v>
      </c>
      <c r="AN375" t="str">
        <f>MID('paste from garc here'!$C$1,1+(('table for research'!$B375-1)*36+HEX2DEC('table for research'!AN$1))*2,2)</f>
        <v>00</v>
      </c>
      <c r="AO375" t="str">
        <f>MID('paste from garc here'!$C$1,1+(('table for research'!$B375-1)*36+HEX2DEC('table for research'!AO$1))*2,2)</f>
        <v>00</v>
      </c>
    </row>
    <row r="376" spans="1:41" x14ac:dyDescent="0.4">
      <c r="A376" t="s">
        <v>379</v>
      </c>
      <c r="B376">
        <f>B375+1</f>
        <v>374</v>
      </c>
      <c r="C376" t="str">
        <f>MID('paste from garc here'!$C$1,1+(('table for research'!$B376-1)*36+HEX2DEC('table for research'!C$1))*2,2)</f>
        <v>C4</v>
      </c>
      <c r="D376" t="str">
        <f>MID('paste from garc here'!$C$1,1+(('table for research'!$B376-1)*36+HEX2DEC('table for research'!D$1))*2,2)</f>
        <v>09</v>
      </c>
      <c r="E376" t="str">
        <f>MID('paste from garc here'!$C$1,1+(('table for research'!$B376-1)*36+HEX2DEC('table for research'!E$1))*2,2)</f>
        <v>00</v>
      </c>
      <c r="F376" t="str">
        <f>MID('paste from garc here'!$C$1,1+(('table for research'!$B376-1)*36+HEX2DEC('table for research'!F$1))*2,2)</f>
        <v>00</v>
      </c>
      <c r="G376" t="str">
        <f>MID('paste from garc here'!$C$1,1+(('table for research'!$B376-1)*36+HEX2DEC('table for research'!G$1))*2,2)</f>
        <v>00</v>
      </c>
      <c r="H376" t="str">
        <f>MID('paste from garc here'!$C$1,1+(('table for research'!$B376-1)*36+HEX2DEC('table for research'!H$1))*2,2)</f>
        <v>00</v>
      </c>
      <c r="I376" t="str">
        <f>MID('paste from garc here'!$C$1,1+(('table for research'!$B376-1)*36+HEX2DEC('table for research'!I$1))*2,2)</f>
        <v>00</v>
      </c>
      <c r="J376" t="str">
        <f>MID('paste from garc here'!$C$1,1+(('table for research'!$B376-1)*36+HEX2DEC('table for research'!J$1))*2,2)</f>
        <v>00</v>
      </c>
      <c r="K376" t="str">
        <f>DEC2HEX(_xlfn.BITAND(HEX2DEC(MID('paste from garc here'!$C$1,1+(('table for research'!$B376-1)*36+HEX2DEC(8))*2,2)),31),2)</f>
        <v>1F</v>
      </c>
      <c r="L376" t="str">
        <f>DEC2HEX(_xlfn.BITAND(HEX2DEC(MID('paste from garc here'!$C$1,1+(('table for research'!$B376-1)*36+HEX2DEC(8))*2,2)),32),2)</f>
        <v>20</v>
      </c>
      <c r="M376" t="str">
        <f>DEC2HEX(_xlfn.BITAND(HEX2DEC(MID('paste from garc here'!$C$1,1+(('table for research'!$B376-1)*36+HEX2DEC(8))*2,2)),64),2)</f>
        <v>00</v>
      </c>
      <c r="N376" t="str">
        <f>DEC2HEX(_xlfn.BITRSHIFT(_xlfn.BITAND(HEX2DEC(MID('paste from garc here'!$C$1,1+(('table for research'!$B376-1)*36+HEX2DEC(9))*2,2)&amp;MID('paste from garc here'!$C$1,1+(('table for research'!$B376-1)*36+HEX2DEC(8))*2,2)),1920),7),2)</f>
        <v>02</v>
      </c>
      <c r="O376" t="str">
        <f>DEC2HEX(_xlfn.BITRSHIFT(HEX2DEC(MID('paste from garc here'!$C$1,1+(('table for research'!$B376-1)*36+HEX2DEC(9))*2,2)&amp;MID('paste from garc here'!$C$1,1+(('table for research'!$B376-1)*36+HEX2DEC(8))*2,2)),11),2)</f>
        <v>00</v>
      </c>
      <c r="P376" t="str">
        <f>MID('paste from garc here'!$C$1,1+(('table for research'!$B376-1)*36+HEX2DEC('table for research'!P$1))*2,2)</f>
        <v>02</v>
      </c>
      <c r="Q376" t="str">
        <f>MID('paste from garc here'!$C$1,1+(('table for research'!$B376-1)*36+HEX2DEC('table for research'!Q$1))*2,2)</f>
        <v>00</v>
      </c>
      <c r="R376" t="str">
        <f>MID('paste from garc here'!$C$1,1+(('table for research'!$B376-1)*36+HEX2DEC('table for research'!R$1))*2,2)</f>
        <v>00</v>
      </c>
      <c r="S376" t="str">
        <f>MID('paste from garc here'!$C$1,1+(('table for research'!$B376-1)*36+HEX2DEC('table for research'!S$1))*2,2)</f>
        <v>06</v>
      </c>
      <c r="T376" t="str">
        <f>MID('paste from garc here'!$C$1,1+(('table for research'!$B376-1)*36+HEX2DEC('table for research'!T$1))*2,2)</f>
        <v>00</v>
      </c>
      <c r="U376" t="str">
        <f>MID('paste from garc here'!$C$1,1+(('table for research'!$B376-1)*36+HEX2DEC('table for research'!U$1))*2,2)</f>
        <v>2E</v>
      </c>
      <c r="V376" t="str">
        <f>MID('paste from garc here'!$C$1,1+(('table for research'!$B376-1)*36+HEX2DEC('table for research'!V$1))*2,2)</f>
        <v>00</v>
      </c>
      <c r="W376" t="str">
        <f>MID('paste from garc here'!$C$1,1+(('table for research'!$B376-1)*36+HEX2DEC('table for research'!W$1))*2,2)</f>
        <v>00</v>
      </c>
      <c r="X376" t="str">
        <f>MID('paste from garc here'!$C$1,1+(('table for research'!$B376-1)*36+HEX2DEC('table for research'!X$1))*2,2)</f>
        <v>00</v>
      </c>
      <c r="Y376" t="str">
        <f>MID('paste from garc here'!$C$1,1+(('table for research'!$B376-1)*36+HEX2DEC('table for research'!Y$1))*2,2)</f>
        <v>00</v>
      </c>
      <c r="Z376" t="str">
        <f>MID('paste from garc here'!$C$1,1+(('table for research'!$B376-1)*36+HEX2DEC('table for research'!Z$1))*2,2)</f>
        <v>00</v>
      </c>
      <c r="AA376" t="str">
        <f>MID('paste from garc here'!$C$1,1+(('table for research'!$B376-1)*36+HEX2DEC('table for research'!AA$1))*2,2)</f>
        <v>00</v>
      </c>
      <c r="AB376" t="str">
        <f>MID('paste from garc here'!$C$1,1+(('table for research'!$B376-1)*36+HEX2DEC('table for research'!AB$1))*2,2)</f>
        <v>00</v>
      </c>
      <c r="AC376" t="str">
        <f>MID('paste from garc here'!$C$1,1+(('table for research'!$B376-1)*36+HEX2DEC('table for research'!AC$1))*2,2)</f>
        <v>00</v>
      </c>
      <c r="AD376" t="str">
        <f>MID('paste from garc here'!$C$1,1+(('table for research'!$B376-1)*36+HEX2DEC('table for research'!AD$1))*2,2)</f>
        <v>00</v>
      </c>
      <c r="AE376" t="str">
        <f>MID('paste from garc here'!$C$1,1+(('table for research'!$B376-1)*36+HEX2DEC('table for research'!AE$1))*2,2)</f>
        <v>00</v>
      </c>
      <c r="AF376" t="str">
        <f>MID('paste from garc here'!$C$1,1+(('table for research'!$B376-1)*36+HEX2DEC('table for research'!AF$1))*2,2)</f>
        <v>00</v>
      </c>
      <c r="AG376" t="str">
        <f>MID('paste from garc here'!$C$1,1+(('table for research'!$B376-1)*36+HEX2DEC('table for research'!AG$1))*2,2)</f>
        <v>00</v>
      </c>
      <c r="AH376" t="str">
        <f>MID('paste from garc here'!$C$1,1+(('table for research'!$B376-1)*36+HEX2DEC('table for research'!AH$1))*2,2)</f>
        <v>00</v>
      </c>
      <c r="AI376" t="str">
        <f>MID('paste from garc here'!$C$1,1+(('table for research'!$B376-1)*36+HEX2DEC('table for research'!AI$1))*2,2)</f>
        <v>00</v>
      </c>
      <c r="AJ376" t="str">
        <f>MID('paste from garc here'!$C$1,1+(('table for research'!$B376-1)*36+HEX2DEC('table for research'!AJ$1))*2,2)</f>
        <v>00</v>
      </c>
      <c r="AK376" t="str">
        <f>MID('paste from garc here'!$C$1,1+(('table for research'!$B376-1)*36+HEX2DEC('table for research'!AK$1))*2,2)</f>
        <v>00</v>
      </c>
      <c r="AL376" t="str">
        <f>MID('paste from garc here'!$C$1,1+(('table for research'!$B376-1)*36+HEX2DEC('table for research'!AL$1))*2,2)</f>
        <v>00</v>
      </c>
      <c r="AM376" t="str">
        <f>MID('paste from garc here'!$C$1,1+(('table for research'!$B376-1)*36+HEX2DEC('table for research'!AM$1))*2,2)</f>
        <v>00</v>
      </c>
      <c r="AN376" t="str">
        <f>MID('paste from garc here'!$C$1,1+(('table for research'!$B376-1)*36+HEX2DEC('table for research'!AN$1))*2,2)</f>
        <v>00</v>
      </c>
      <c r="AO376" t="str">
        <f>MID('paste from garc here'!$C$1,1+(('table for research'!$B376-1)*36+HEX2DEC('table for research'!AO$1))*2,2)</f>
        <v>00</v>
      </c>
    </row>
    <row r="377" spans="1:41" x14ac:dyDescent="0.4">
      <c r="A377" t="s">
        <v>380</v>
      </c>
      <c r="B377">
        <f>B376+1</f>
        <v>375</v>
      </c>
      <c r="C377" t="str">
        <f>MID('paste from garc here'!$C$1,1+(('table for research'!$B377-1)*36+HEX2DEC('table for research'!C$1))*2,2)</f>
        <v>E8</v>
      </c>
      <c r="D377" t="str">
        <f>MID('paste from garc here'!$C$1,1+(('table for research'!$B377-1)*36+HEX2DEC('table for research'!D$1))*2,2)</f>
        <v>03</v>
      </c>
      <c r="E377" t="str">
        <f>MID('paste from garc here'!$C$1,1+(('table for research'!$B377-1)*36+HEX2DEC('table for research'!E$1))*2,2)</f>
        <v>00</v>
      </c>
      <c r="F377" t="str">
        <f>MID('paste from garc here'!$C$1,1+(('table for research'!$B377-1)*36+HEX2DEC('table for research'!F$1))*2,2)</f>
        <v>00</v>
      </c>
      <c r="G377" t="str">
        <f>MID('paste from garc here'!$C$1,1+(('table for research'!$B377-1)*36+HEX2DEC('table for research'!G$1))*2,2)</f>
        <v>00</v>
      </c>
      <c r="H377" t="str">
        <f>MID('paste from garc here'!$C$1,1+(('table for research'!$B377-1)*36+HEX2DEC('table for research'!H$1))*2,2)</f>
        <v>00</v>
      </c>
      <c r="I377" t="str">
        <f>MID('paste from garc here'!$C$1,1+(('table for research'!$B377-1)*36+HEX2DEC('table for research'!I$1))*2,2)</f>
        <v>00</v>
      </c>
      <c r="J377" t="str">
        <f>MID('paste from garc here'!$C$1,1+(('table for research'!$B377-1)*36+HEX2DEC('table for research'!J$1))*2,2)</f>
        <v>00</v>
      </c>
      <c r="K377" t="str">
        <f>DEC2HEX(_xlfn.BITAND(HEX2DEC(MID('paste from garc here'!$C$1,1+(('table for research'!$B377-1)*36+HEX2DEC(8))*2,2)),31),2)</f>
        <v>1F</v>
      </c>
      <c r="L377" t="str">
        <f>DEC2HEX(_xlfn.BITAND(HEX2DEC(MID('paste from garc here'!$C$1,1+(('table for research'!$B377-1)*36+HEX2DEC(8))*2,2)),32),2)</f>
        <v>20</v>
      </c>
      <c r="M377" t="str">
        <f>DEC2HEX(_xlfn.BITAND(HEX2DEC(MID('paste from garc here'!$C$1,1+(('table for research'!$B377-1)*36+HEX2DEC(8))*2,2)),64),2)</f>
        <v>00</v>
      </c>
      <c r="N377" t="str">
        <f>DEC2HEX(_xlfn.BITRSHIFT(_xlfn.BITAND(HEX2DEC(MID('paste from garc here'!$C$1,1+(('table for research'!$B377-1)*36+HEX2DEC(9))*2,2)&amp;MID('paste from garc here'!$C$1,1+(('table for research'!$B377-1)*36+HEX2DEC(8))*2,2)),1920),7),2)</f>
        <v>02</v>
      </c>
      <c r="O377" t="str">
        <f>DEC2HEX(_xlfn.BITRSHIFT(HEX2DEC(MID('paste from garc here'!$C$1,1+(('table for research'!$B377-1)*36+HEX2DEC(9))*2,2)&amp;MID('paste from garc here'!$C$1,1+(('table for research'!$B377-1)*36+HEX2DEC(8))*2,2)),11),2)</f>
        <v>00</v>
      </c>
      <c r="P377" t="str">
        <f>MID('paste from garc here'!$C$1,1+(('table for research'!$B377-1)*36+HEX2DEC('table for research'!P$1))*2,2)</f>
        <v>02</v>
      </c>
      <c r="Q377" t="str">
        <f>MID('paste from garc here'!$C$1,1+(('table for research'!$B377-1)*36+HEX2DEC('table for research'!Q$1))*2,2)</f>
        <v>00</v>
      </c>
      <c r="R377" t="str">
        <f>MID('paste from garc here'!$C$1,1+(('table for research'!$B377-1)*36+HEX2DEC('table for research'!R$1))*2,2)</f>
        <v>00</v>
      </c>
      <c r="S377" t="str">
        <f>MID('paste from garc here'!$C$1,1+(('table for research'!$B377-1)*36+HEX2DEC('table for research'!S$1))*2,2)</f>
        <v>06</v>
      </c>
      <c r="T377" t="str">
        <f>MID('paste from garc here'!$C$1,1+(('table for research'!$B377-1)*36+HEX2DEC('table for research'!T$1))*2,2)</f>
        <v>00</v>
      </c>
      <c r="U377" t="str">
        <f>MID('paste from garc here'!$C$1,1+(('table for research'!$B377-1)*36+HEX2DEC('table for research'!U$1))*2,2)</f>
        <v>2F</v>
      </c>
      <c r="V377" t="str">
        <f>MID('paste from garc here'!$C$1,1+(('table for research'!$B377-1)*36+HEX2DEC('table for research'!V$1))*2,2)</f>
        <v>00</v>
      </c>
      <c r="W377" t="str">
        <f>MID('paste from garc here'!$C$1,1+(('table for research'!$B377-1)*36+HEX2DEC('table for research'!W$1))*2,2)</f>
        <v>00</v>
      </c>
      <c r="X377" t="str">
        <f>MID('paste from garc here'!$C$1,1+(('table for research'!$B377-1)*36+HEX2DEC('table for research'!X$1))*2,2)</f>
        <v>00</v>
      </c>
      <c r="Y377" t="str">
        <f>MID('paste from garc here'!$C$1,1+(('table for research'!$B377-1)*36+HEX2DEC('table for research'!Y$1))*2,2)</f>
        <v>00</v>
      </c>
      <c r="Z377" t="str">
        <f>MID('paste from garc here'!$C$1,1+(('table for research'!$B377-1)*36+HEX2DEC('table for research'!Z$1))*2,2)</f>
        <v>00</v>
      </c>
      <c r="AA377" t="str">
        <f>MID('paste from garc here'!$C$1,1+(('table for research'!$B377-1)*36+HEX2DEC('table for research'!AA$1))*2,2)</f>
        <v>00</v>
      </c>
      <c r="AB377" t="str">
        <f>MID('paste from garc here'!$C$1,1+(('table for research'!$B377-1)*36+HEX2DEC('table for research'!AB$1))*2,2)</f>
        <v>00</v>
      </c>
      <c r="AC377" t="str">
        <f>MID('paste from garc here'!$C$1,1+(('table for research'!$B377-1)*36+HEX2DEC('table for research'!AC$1))*2,2)</f>
        <v>00</v>
      </c>
      <c r="AD377" t="str">
        <f>MID('paste from garc here'!$C$1,1+(('table for research'!$B377-1)*36+HEX2DEC('table for research'!AD$1))*2,2)</f>
        <v>00</v>
      </c>
      <c r="AE377" t="str">
        <f>MID('paste from garc here'!$C$1,1+(('table for research'!$B377-1)*36+HEX2DEC('table for research'!AE$1))*2,2)</f>
        <v>00</v>
      </c>
      <c r="AF377" t="str">
        <f>MID('paste from garc here'!$C$1,1+(('table for research'!$B377-1)*36+HEX2DEC('table for research'!AF$1))*2,2)</f>
        <v>00</v>
      </c>
      <c r="AG377" t="str">
        <f>MID('paste from garc here'!$C$1,1+(('table for research'!$B377-1)*36+HEX2DEC('table for research'!AG$1))*2,2)</f>
        <v>00</v>
      </c>
      <c r="AH377" t="str">
        <f>MID('paste from garc here'!$C$1,1+(('table for research'!$B377-1)*36+HEX2DEC('table for research'!AH$1))*2,2)</f>
        <v>00</v>
      </c>
      <c r="AI377" t="str">
        <f>MID('paste from garc here'!$C$1,1+(('table for research'!$B377-1)*36+HEX2DEC('table for research'!AI$1))*2,2)</f>
        <v>00</v>
      </c>
      <c r="AJ377" t="str">
        <f>MID('paste from garc here'!$C$1,1+(('table for research'!$B377-1)*36+HEX2DEC('table for research'!AJ$1))*2,2)</f>
        <v>00</v>
      </c>
      <c r="AK377" t="str">
        <f>MID('paste from garc here'!$C$1,1+(('table for research'!$B377-1)*36+HEX2DEC('table for research'!AK$1))*2,2)</f>
        <v>00</v>
      </c>
      <c r="AL377" t="str">
        <f>MID('paste from garc here'!$C$1,1+(('table for research'!$B377-1)*36+HEX2DEC('table for research'!AL$1))*2,2)</f>
        <v>00</v>
      </c>
      <c r="AM377" t="str">
        <f>MID('paste from garc here'!$C$1,1+(('table for research'!$B377-1)*36+HEX2DEC('table for research'!AM$1))*2,2)</f>
        <v>00</v>
      </c>
      <c r="AN377" t="str">
        <f>MID('paste from garc here'!$C$1,1+(('table for research'!$B377-1)*36+HEX2DEC('table for research'!AN$1))*2,2)</f>
        <v>00</v>
      </c>
      <c r="AO377" t="str">
        <f>MID('paste from garc here'!$C$1,1+(('table for research'!$B377-1)*36+HEX2DEC('table for research'!AO$1))*2,2)</f>
        <v>00</v>
      </c>
    </row>
    <row r="378" spans="1:41" x14ac:dyDescent="0.4">
      <c r="A378" t="s">
        <v>381</v>
      </c>
      <c r="B378">
        <f>B377+1</f>
        <v>376</v>
      </c>
      <c r="C378" t="str">
        <f>MID('paste from garc here'!$C$1,1+(('table for research'!$B378-1)*36+HEX2DEC('table for research'!C$1))*2,2)</f>
        <v>E8</v>
      </c>
      <c r="D378" t="str">
        <f>MID('paste from garc here'!$C$1,1+(('table for research'!$B378-1)*36+HEX2DEC('table for research'!D$1))*2,2)</f>
        <v>03</v>
      </c>
      <c r="E378" t="str">
        <f>MID('paste from garc here'!$C$1,1+(('table for research'!$B378-1)*36+HEX2DEC('table for research'!E$1))*2,2)</f>
        <v>00</v>
      </c>
      <c r="F378" t="str">
        <f>MID('paste from garc here'!$C$1,1+(('table for research'!$B378-1)*36+HEX2DEC('table for research'!F$1))*2,2)</f>
        <v>00</v>
      </c>
      <c r="G378" t="str">
        <f>MID('paste from garc here'!$C$1,1+(('table for research'!$B378-1)*36+HEX2DEC('table for research'!G$1))*2,2)</f>
        <v>00</v>
      </c>
      <c r="H378" t="str">
        <f>MID('paste from garc here'!$C$1,1+(('table for research'!$B378-1)*36+HEX2DEC('table for research'!H$1))*2,2)</f>
        <v>00</v>
      </c>
      <c r="I378" t="str">
        <f>MID('paste from garc here'!$C$1,1+(('table for research'!$B378-1)*36+HEX2DEC('table for research'!I$1))*2,2)</f>
        <v>00</v>
      </c>
      <c r="J378" t="str">
        <f>MID('paste from garc here'!$C$1,1+(('table for research'!$B378-1)*36+HEX2DEC('table for research'!J$1))*2,2)</f>
        <v>00</v>
      </c>
      <c r="K378" t="str">
        <f>DEC2HEX(_xlfn.BITAND(HEX2DEC(MID('paste from garc here'!$C$1,1+(('table for research'!$B378-1)*36+HEX2DEC(8))*2,2)),31),2)</f>
        <v>1F</v>
      </c>
      <c r="L378" t="str">
        <f>DEC2HEX(_xlfn.BITAND(HEX2DEC(MID('paste from garc here'!$C$1,1+(('table for research'!$B378-1)*36+HEX2DEC(8))*2,2)),32),2)</f>
        <v>20</v>
      </c>
      <c r="M378" t="str">
        <f>DEC2HEX(_xlfn.BITAND(HEX2DEC(MID('paste from garc here'!$C$1,1+(('table for research'!$B378-1)*36+HEX2DEC(8))*2,2)),64),2)</f>
        <v>00</v>
      </c>
      <c r="N378" t="str">
        <f>DEC2HEX(_xlfn.BITRSHIFT(_xlfn.BITAND(HEX2DEC(MID('paste from garc here'!$C$1,1+(('table for research'!$B378-1)*36+HEX2DEC(9))*2,2)&amp;MID('paste from garc here'!$C$1,1+(('table for research'!$B378-1)*36+HEX2DEC(8))*2,2)),1920),7),2)</f>
        <v>02</v>
      </c>
      <c r="O378" t="str">
        <f>DEC2HEX(_xlfn.BITRSHIFT(HEX2DEC(MID('paste from garc here'!$C$1,1+(('table for research'!$B378-1)*36+HEX2DEC(9))*2,2)&amp;MID('paste from garc here'!$C$1,1+(('table for research'!$B378-1)*36+HEX2DEC(8))*2,2)),11),2)</f>
        <v>00</v>
      </c>
      <c r="P378" t="str">
        <f>MID('paste from garc here'!$C$1,1+(('table for research'!$B378-1)*36+HEX2DEC('table for research'!P$1))*2,2)</f>
        <v>02</v>
      </c>
      <c r="Q378" t="str">
        <f>MID('paste from garc here'!$C$1,1+(('table for research'!$B378-1)*36+HEX2DEC('table for research'!Q$1))*2,2)</f>
        <v>00</v>
      </c>
      <c r="R378" t="str">
        <f>MID('paste from garc here'!$C$1,1+(('table for research'!$B378-1)*36+HEX2DEC('table for research'!R$1))*2,2)</f>
        <v>00</v>
      </c>
      <c r="S378" t="str">
        <f>MID('paste from garc here'!$C$1,1+(('table for research'!$B378-1)*36+HEX2DEC('table for research'!S$1))*2,2)</f>
        <v>06</v>
      </c>
      <c r="T378" t="str">
        <f>MID('paste from garc here'!$C$1,1+(('table for research'!$B378-1)*36+HEX2DEC('table for research'!T$1))*2,2)</f>
        <v>00</v>
      </c>
      <c r="U378" t="str">
        <f>MID('paste from garc here'!$C$1,1+(('table for research'!$B378-1)*36+HEX2DEC('table for research'!U$1))*2,2)</f>
        <v>30</v>
      </c>
      <c r="V378" t="str">
        <f>MID('paste from garc here'!$C$1,1+(('table for research'!$B378-1)*36+HEX2DEC('table for research'!V$1))*2,2)</f>
        <v>00</v>
      </c>
      <c r="W378" t="str">
        <f>MID('paste from garc here'!$C$1,1+(('table for research'!$B378-1)*36+HEX2DEC('table for research'!W$1))*2,2)</f>
        <v>00</v>
      </c>
      <c r="X378" t="str">
        <f>MID('paste from garc here'!$C$1,1+(('table for research'!$B378-1)*36+HEX2DEC('table for research'!X$1))*2,2)</f>
        <v>00</v>
      </c>
      <c r="Y378" t="str">
        <f>MID('paste from garc here'!$C$1,1+(('table for research'!$B378-1)*36+HEX2DEC('table for research'!Y$1))*2,2)</f>
        <v>00</v>
      </c>
      <c r="Z378" t="str">
        <f>MID('paste from garc here'!$C$1,1+(('table for research'!$B378-1)*36+HEX2DEC('table for research'!Z$1))*2,2)</f>
        <v>00</v>
      </c>
      <c r="AA378" t="str">
        <f>MID('paste from garc here'!$C$1,1+(('table for research'!$B378-1)*36+HEX2DEC('table for research'!AA$1))*2,2)</f>
        <v>00</v>
      </c>
      <c r="AB378" t="str">
        <f>MID('paste from garc here'!$C$1,1+(('table for research'!$B378-1)*36+HEX2DEC('table for research'!AB$1))*2,2)</f>
        <v>00</v>
      </c>
      <c r="AC378" t="str">
        <f>MID('paste from garc here'!$C$1,1+(('table for research'!$B378-1)*36+HEX2DEC('table for research'!AC$1))*2,2)</f>
        <v>00</v>
      </c>
      <c r="AD378" t="str">
        <f>MID('paste from garc here'!$C$1,1+(('table for research'!$B378-1)*36+HEX2DEC('table for research'!AD$1))*2,2)</f>
        <v>00</v>
      </c>
      <c r="AE378" t="str">
        <f>MID('paste from garc here'!$C$1,1+(('table for research'!$B378-1)*36+HEX2DEC('table for research'!AE$1))*2,2)</f>
        <v>00</v>
      </c>
      <c r="AF378" t="str">
        <f>MID('paste from garc here'!$C$1,1+(('table for research'!$B378-1)*36+HEX2DEC('table for research'!AF$1))*2,2)</f>
        <v>00</v>
      </c>
      <c r="AG378" t="str">
        <f>MID('paste from garc here'!$C$1,1+(('table for research'!$B378-1)*36+HEX2DEC('table for research'!AG$1))*2,2)</f>
        <v>00</v>
      </c>
      <c r="AH378" t="str">
        <f>MID('paste from garc here'!$C$1,1+(('table for research'!$B378-1)*36+HEX2DEC('table for research'!AH$1))*2,2)</f>
        <v>00</v>
      </c>
      <c r="AI378" t="str">
        <f>MID('paste from garc here'!$C$1,1+(('table for research'!$B378-1)*36+HEX2DEC('table for research'!AI$1))*2,2)</f>
        <v>00</v>
      </c>
      <c r="AJ378" t="str">
        <f>MID('paste from garc here'!$C$1,1+(('table for research'!$B378-1)*36+HEX2DEC('table for research'!AJ$1))*2,2)</f>
        <v>00</v>
      </c>
      <c r="AK378" t="str">
        <f>MID('paste from garc here'!$C$1,1+(('table for research'!$B378-1)*36+HEX2DEC('table for research'!AK$1))*2,2)</f>
        <v>00</v>
      </c>
      <c r="AL378" t="str">
        <f>MID('paste from garc here'!$C$1,1+(('table for research'!$B378-1)*36+HEX2DEC('table for research'!AL$1))*2,2)</f>
        <v>00</v>
      </c>
      <c r="AM378" t="str">
        <f>MID('paste from garc here'!$C$1,1+(('table for research'!$B378-1)*36+HEX2DEC('table for research'!AM$1))*2,2)</f>
        <v>00</v>
      </c>
      <c r="AN378" t="str">
        <f>MID('paste from garc here'!$C$1,1+(('table for research'!$B378-1)*36+HEX2DEC('table for research'!AN$1))*2,2)</f>
        <v>00</v>
      </c>
      <c r="AO378" t="str">
        <f>MID('paste from garc here'!$C$1,1+(('table for research'!$B378-1)*36+HEX2DEC('table for research'!AO$1))*2,2)</f>
        <v>00</v>
      </c>
    </row>
    <row r="379" spans="1:41" x14ac:dyDescent="0.4">
      <c r="A379" t="s">
        <v>382</v>
      </c>
      <c r="B379">
        <f>B378+1</f>
        <v>377</v>
      </c>
      <c r="C379" t="str">
        <f>MID('paste from garc here'!$C$1,1+(('table for research'!$B379-1)*36+HEX2DEC('table for research'!C$1))*2,2)</f>
        <v>B8</v>
      </c>
      <c r="D379" t="str">
        <f>MID('paste from garc here'!$C$1,1+(('table for research'!$B379-1)*36+HEX2DEC('table for research'!D$1))*2,2)</f>
        <v>0B</v>
      </c>
      <c r="E379" t="str">
        <f>MID('paste from garc here'!$C$1,1+(('table for research'!$B379-1)*36+HEX2DEC('table for research'!E$1))*2,2)</f>
        <v>00</v>
      </c>
      <c r="F379" t="str">
        <f>MID('paste from garc here'!$C$1,1+(('table for research'!$B379-1)*36+HEX2DEC('table for research'!F$1))*2,2)</f>
        <v>00</v>
      </c>
      <c r="G379" t="str">
        <f>MID('paste from garc here'!$C$1,1+(('table for research'!$B379-1)*36+HEX2DEC('table for research'!G$1))*2,2)</f>
        <v>00</v>
      </c>
      <c r="H379" t="str">
        <f>MID('paste from garc here'!$C$1,1+(('table for research'!$B379-1)*36+HEX2DEC('table for research'!H$1))*2,2)</f>
        <v>00</v>
      </c>
      <c r="I379" t="str">
        <f>MID('paste from garc here'!$C$1,1+(('table for research'!$B379-1)*36+HEX2DEC('table for research'!I$1))*2,2)</f>
        <v>00</v>
      </c>
      <c r="J379" t="str">
        <f>MID('paste from garc here'!$C$1,1+(('table for research'!$B379-1)*36+HEX2DEC('table for research'!J$1))*2,2)</f>
        <v>00</v>
      </c>
      <c r="K379" t="str">
        <f>DEC2HEX(_xlfn.BITAND(HEX2DEC(MID('paste from garc here'!$C$1,1+(('table for research'!$B379-1)*36+HEX2DEC(8))*2,2)),31),2)</f>
        <v>1F</v>
      </c>
      <c r="L379" t="str">
        <f>DEC2HEX(_xlfn.BITAND(HEX2DEC(MID('paste from garc here'!$C$1,1+(('table for research'!$B379-1)*36+HEX2DEC(8))*2,2)),32),2)</f>
        <v>20</v>
      </c>
      <c r="M379" t="str">
        <f>DEC2HEX(_xlfn.BITAND(HEX2DEC(MID('paste from garc here'!$C$1,1+(('table for research'!$B379-1)*36+HEX2DEC(8))*2,2)),64),2)</f>
        <v>00</v>
      </c>
      <c r="N379" t="str">
        <f>DEC2HEX(_xlfn.BITRSHIFT(_xlfn.BITAND(HEX2DEC(MID('paste from garc here'!$C$1,1+(('table for research'!$B379-1)*36+HEX2DEC(9))*2,2)&amp;MID('paste from garc here'!$C$1,1+(('table for research'!$B379-1)*36+HEX2DEC(8))*2,2)),1920),7),2)</f>
        <v>02</v>
      </c>
      <c r="O379" t="str">
        <f>DEC2HEX(_xlfn.BITRSHIFT(HEX2DEC(MID('paste from garc here'!$C$1,1+(('table for research'!$B379-1)*36+HEX2DEC(9))*2,2)&amp;MID('paste from garc here'!$C$1,1+(('table for research'!$B379-1)*36+HEX2DEC(8))*2,2)),11),2)</f>
        <v>00</v>
      </c>
      <c r="P379" t="str">
        <f>MID('paste from garc here'!$C$1,1+(('table for research'!$B379-1)*36+HEX2DEC('table for research'!P$1))*2,2)</f>
        <v>02</v>
      </c>
      <c r="Q379" t="str">
        <f>MID('paste from garc here'!$C$1,1+(('table for research'!$B379-1)*36+HEX2DEC('table for research'!Q$1))*2,2)</f>
        <v>00</v>
      </c>
      <c r="R379" t="str">
        <f>MID('paste from garc here'!$C$1,1+(('table for research'!$B379-1)*36+HEX2DEC('table for research'!R$1))*2,2)</f>
        <v>00</v>
      </c>
      <c r="S379" t="str">
        <f>MID('paste from garc here'!$C$1,1+(('table for research'!$B379-1)*36+HEX2DEC('table for research'!S$1))*2,2)</f>
        <v>06</v>
      </c>
      <c r="T379" t="str">
        <f>MID('paste from garc here'!$C$1,1+(('table for research'!$B379-1)*36+HEX2DEC('table for research'!T$1))*2,2)</f>
        <v>00</v>
      </c>
      <c r="U379" t="str">
        <f>MID('paste from garc here'!$C$1,1+(('table for research'!$B379-1)*36+HEX2DEC('table for research'!U$1))*2,2)</f>
        <v>31</v>
      </c>
      <c r="V379" t="str">
        <f>MID('paste from garc here'!$C$1,1+(('table for research'!$B379-1)*36+HEX2DEC('table for research'!V$1))*2,2)</f>
        <v>00</v>
      </c>
      <c r="W379" t="str">
        <f>MID('paste from garc here'!$C$1,1+(('table for research'!$B379-1)*36+HEX2DEC('table for research'!W$1))*2,2)</f>
        <v>00</v>
      </c>
      <c r="X379" t="str">
        <f>MID('paste from garc here'!$C$1,1+(('table for research'!$B379-1)*36+HEX2DEC('table for research'!X$1))*2,2)</f>
        <v>00</v>
      </c>
      <c r="Y379" t="str">
        <f>MID('paste from garc here'!$C$1,1+(('table for research'!$B379-1)*36+HEX2DEC('table for research'!Y$1))*2,2)</f>
        <v>00</v>
      </c>
      <c r="Z379" t="str">
        <f>MID('paste from garc here'!$C$1,1+(('table for research'!$B379-1)*36+HEX2DEC('table for research'!Z$1))*2,2)</f>
        <v>00</v>
      </c>
      <c r="AA379" t="str">
        <f>MID('paste from garc here'!$C$1,1+(('table for research'!$B379-1)*36+HEX2DEC('table for research'!AA$1))*2,2)</f>
        <v>00</v>
      </c>
      <c r="AB379" t="str">
        <f>MID('paste from garc here'!$C$1,1+(('table for research'!$B379-1)*36+HEX2DEC('table for research'!AB$1))*2,2)</f>
        <v>00</v>
      </c>
      <c r="AC379" t="str">
        <f>MID('paste from garc here'!$C$1,1+(('table for research'!$B379-1)*36+HEX2DEC('table for research'!AC$1))*2,2)</f>
        <v>00</v>
      </c>
      <c r="AD379" t="str">
        <f>MID('paste from garc here'!$C$1,1+(('table for research'!$B379-1)*36+HEX2DEC('table for research'!AD$1))*2,2)</f>
        <v>00</v>
      </c>
      <c r="AE379" t="str">
        <f>MID('paste from garc here'!$C$1,1+(('table for research'!$B379-1)*36+HEX2DEC('table for research'!AE$1))*2,2)</f>
        <v>00</v>
      </c>
      <c r="AF379" t="str">
        <f>MID('paste from garc here'!$C$1,1+(('table for research'!$B379-1)*36+HEX2DEC('table for research'!AF$1))*2,2)</f>
        <v>00</v>
      </c>
      <c r="AG379" t="str">
        <f>MID('paste from garc here'!$C$1,1+(('table for research'!$B379-1)*36+HEX2DEC('table for research'!AG$1))*2,2)</f>
        <v>00</v>
      </c>
      <c r="AH379" t="str">
        <f>MID('paste from garc here'!$C$1,1+(('table for research'!$B379-1)*36+HEX2DEC('table for research'!AH$1))*2,2)</f>
        <v>00</v>
      </c>
      <c r="AI379" t="str">
        <f>MID('paste from garc here'!$C$1,1+(('table for research'!$B379-1)*36+HEX2DEC('table for research'!AI$1))*2,2)</f>
        <v>00</v>
      </c>
      <c r="AJ379" t="str">
        <f>MID('paste from garc here'!$C$1,1+(('table for research'!$B379-1)*36+HEX2DEC('table for research'!AJ$1))*2,2)</f>
        <v>00</v>
      </c>
      <c r="AK379" t="str">
        <f>MID('paste from garc here'!$C$1,1+(('table for research'!$B379-1)*36+HEX2DEC('table for research'!AK$1))*2,2)</f>
        <v>00</v>
      </c>
      <c r="AL379" t="str">
        <f>MID('paste from garc here'!$C$1,1+(('table for research'!$B379-1)*36+HEX2DEC('table for research'!AL$1))*2,2)</f>
        <v>00</v>
      </c>
      <c r="AM379" t="str">
        <f>MID('paste from garc here'!$C$1,1+(('table for research'!$B379-1)*36+HEX2DEC('table for research'!AM$1))*2,2)</f>
        <v>00</v>
      </c>
      <c r="AN379" t="str">
        <f>MID('paste from garc here'!$C$1,1+(('table for research'!$B379-1)*36+HEX2DEC('table for research'!AN$1))*2,2)</f>
        <v>00</v>
      </c>
      <c r="AO379" t="str">
        <f>MID('paste from garc here'!$C$1,1+(('table for research'!$B379-1)*36+HEX2DEC('table for research'!AO$1))*2,2)</f>
        <v>00</v>
      </c>
    </row>
    <row r="380" spans="1:41" x14ac:dyDescent="0.4">
      <c r="A380" t="s">
        <v>383</v>
      </c>
      <c r="B380">
        <f>B379+1</f>
        <v>378</v>
      </c>
      <c r="C380" t="str">
        <f>MID('paste from garc here'!$C$1,1+(('table for research'!$B380-1)*36+HEX2DEC('table for research'!C$1))*2,2)</f>
        <v>C4</v>
      </c>
      <c r="D380" t="str">
        <f>MID('paste from garc here'!$C$1,1+(('table for research'!$B380-1)*36+HEX2DEC('table for research'!D$1))*2,2)</f>
        <v>09</v>
      </c>
      <c r="E380" t="str">
        <f>MID('paste from garc here'!$C$1,1+(('table for research'!$B380-1)*36+HEX2DEC('table for research'!E$1))*2,2)</f>
        <v>00</v>
      </c>
      <c r="F380" t="str">
        <f>MID('paste from garc here'!$C$1,1+(('table for research'!$B380-1)*36+HEX2DEC('table for research'!F$1))*2,2)</f>
        <v>00</v>
      </c>
      <c r="G380" t="str">
        <f>MID('paste from garc here'!$C$1,1+(('table for research'!$B380-1)*36+HEX2DEC('table for research'!G$1))*2,2)</f>
        <v>00</v>
      </c>
      <c r="H380" t="str">
        <f>MID('paste from garc here'!$C$1,1+(('table for research'!$B380-1)*36+HEX2DEC('table for research'!H$1))*2,2)</f>
        <v>00</v>
      </c>
      <c r="I380" t="str">
        <f>MID('paste from garc here'!$C$1,1+(('table for research'!$B380-1)*36+HEX2DEC('table for research'!I$1))*2,2)</f>
        <v>00</v>
      </c>
      <c r="J380" t="str">
        <f>MID('paste from garc here'!$C$1,1+(('table for research'!$B380-1)*36+HEX2DEC('table for research'!J$1))*2,2)</f>
        <v>00</v>
      </c>
      <c r="K380" t="str">
        <f>DEC2HEX(_xlfn.BITAND(HEX2DEC(MID('paste from garc here'!$C$1,1+(('table for research'!$B380-1)*36+HEX2DEC(8))*2,2)),31),2)</f>
        <v>1F</v>
      </c>
      <c r="L380" t="str">
        <f>DEC2HEX(_xlfn.BITAND(HEX2DEC(MID('paste from garc here'!$C$1,1+(('table for research'!$B380-1)*36+HEX2DEC(8))*2,2)),32),2)</f>
        <v>20</v>
      </c>
      <c r="M380" t="str">
        <f>DEC2HEX(_xlfn.BITAND(HEX2DEC(MID('paste from garc here'!$C$1,1+(('table for research'!$B380-1)*36+HEX2DEC(8))*2,2)),64),2)</f>
        <v>00</v>
      </c>
      <c r="N380" t="str">
        <f>DEC2HEX(_xlfn.BITRSHIFT(_xlfn.BITAND(HEX2DEC(MID('paste from garc here'!$C$1,1+(('table for research'!$B380-1)*36+HEX2DEC(9))*2,2)&amp;MID('paste from garc here'!$C$1,1+(('table for research'!$B380-1)*36+HEX2DEC(8))*2,2)),1920),7),2)</f>
        <v>02</v>
      </c>
      <c r="O380" t="str">
        <f>DEC2HEX(_xlfn.BITRSHIFT(HEX2DEC(MID('paste from garc here'!$C$1,1+(('table for research'!$B380-1)*36+HEX2DEC(9))*2,2)&amp;MID('paste from garc here'!$C$1,1+(('table for research'!$B380-1)*36+HEX2DEC(8))*2,2)),11),2)</f>
        <v>00</v>
      </c>
      <c r="P380" t="str">
        <f>MID('paste from garc here'!$C$1,1+(('table for research'!$B380-1)*36+HEX2DEC('table for research'!P$1))*2,2)</f>
        <v>02</v>
      </c>
      <c r="Q380" t="str">
        <f>MID('paste from garc here'!$C$1,1+(('table for research'!$B380-1)*36+HEX2DEC('table for research'!Q$1))*2,2)</f>
        <v>00</v>
      </c>
      <c r="R380" t="str">
        <f>MID('paste from garc here'!$C$1,1+(('table for research'!$B380-1)*36+HEX2DEC('table for research'!R$1))*2,2)</f>
        <v>00</v>
      </c>
      <c r="S380" t="str">
        <f>MID('paste from garc here'!$C$1,1+(('table for research'!$B380-1)*36+HEX2DEC('table for research'!S$1))*2,2)</f>
        <v>06</v>
      </c>
      <c r="T380" t="str">
        <f>MID('paste from garc here'!$C$1,1+(('table for research'!$B380-1)*36+HEX2DEC('table for research'!T$1))*2,2)</f>
        <v>00</v>
      </c>
      <c r="U380" t="str">
        <f>MID('paste from garc here'!$C$1,1+(('table for research'!$B380-1)*36+HEX2DEC('table for research'!U$1))*2,2)</f>
        <v>32</v>
      </c>
      <c r="V380" t="str">
        <f>MID('paste from garc here'!$C$1,1+(('table for research'!$B380-1)*36+HEX2DEC('table for research'!V$1))*2,2)</f>
        <v>00</v>
      </c>
      <c r="W380" t="str">
        <f>MID('paste from garc here'!$C$1,1+(('table for research'!$B380-1)*36+HEX2DEC('table for research'!W$1))*2,2)</f>
        <v>00</v>
      </c>
      <c r="X380" t="str">
        <f>MID('paste from garc here'!$C$1,1+(('table for research'!$B380-1)*36+HEX2DEC('table for research'!X$1))*2,2)</f>
        <v>00</v>
      </c>
      <c r="Y380" t="str">
        <f>MID('paste from garc here'!$C$1,1+(('table for research'!$B380-1)*36+HEX2DEC('table for research'!Y$1))*2,2)</f>
        <v>00</v>
      </c>
      <c r="Z380" t="str">
        <f>MID('paste from garc here'!$C$1,1+(('table for research'!$B380-1)*36+HEX2DEC('table for research'!Z$1))*2,2)</f>
        <v>00</v>
      </c>
      <c r="AA380" t="str">
        <f>MID('paste from garc here'!$C$1,1+(('table for research'!$B380-1)*36+HEX2DEC('table for research'!AA$1))*2,2)</f>
        <v>00</v>
      </c>
      <c r="AB380" t="str">
        <f>MID('paste from garc here'!$C$1,1+(('table for research'!$B380-1)*36+HEX2DEC('table for research'!AB$1))*2,2)</f>
        <v>00</v>
      </c>
      <c r="AC380" t="str">
        <f>MID('paste from garc here'!$C$1,1+(('table for research'!$B380-1)*36+HEX2DEC('table for research'!AC$1))*2,2)</f>
        <v>00</v>
      </c>
      <c r="AD380" t="str">
        <f>MID('paste from garc here'!$C$1,1+(('table for research'!$B380-1)*36+HEX2DEC('table for research'!AD$1))*2,2)</f>
        <v>00</v>
      </c>
      <c r="AE380" t="str">
        <f>MID('paste from garc here'!$C$1,1+(('table for research'!$B380-1)*36+HEX2DEC('table for research'!AE$1))*2,2)</f>
        <v>00</v>
      </c>
      <c r="AF380" t="str">
        <f>MID('paste from garc here'!$C$1,1+(('table for research'!$B380-1)*36+HEX2DEC('table for research'!AF$1))*2,2)</f>
        <v>00</v>
      </c>
      <c r="AG380" t="str">
        <f>MID('paste from garc here'!$C$1,1+(('table for research'!$B380-1)*36+HEX2DEC('table for research'!AG$1))*2,2)</f>
        <v>00</v>
      </c>
      <c r="AH380" t="str">
        <f>MID('paste from garc here'!$C$1,1+(('table for research'!$B380-1)*36+HEX2DEC('table for research'!AH$1))*2,2)</f>
        <v>00</v>
      </c>
      <c r="AI380" t="str">
        <f>MID('paste from garc here'!$C$1,1+(('table for research'!$B380-1)*36+HEX2DEC('table for research'!AI$1))*2,2)</f>
        <v>00</v>
      </c>
      <c r="AJ380" t="str">
        <f>MID('paste from garc here'!$C$1,1+(('table for research'!$B380-1)*36+HEX2DEC('table for research'!AJ$1))*2,2)</f>
        <v>00</v>
      </c>
      <c r="AK380" t="str">
        <f>MID('paste from garc here'!$C$1,1+(('table for research'!$B380-1)*36+HEX2DEC('table for research'!AK$1))*2,2)</f>
        <v>00</v>
      </c>
      <c r="AL380" t="str">
        <f>MID('paste from garc here'!$C$1,1+(('table for research'!$B380-1)*36+HEX2DEC('table for research'!AL$1))*2,2)</f>
        <v>00</v>
      </c>
      <c r="AM380" t="str">
        <f>MID('paste from garc here'!$C$1,1+(('table for research'!$B380-1)*36+HEX2DEC('table for research'!AM$1))*2,2)</f>
        <v>00</v>
      </c>
      <c r="AN380" t="str">
        <f>MID('paste from garc here'!$C$1,1+(('table for research'!$B380-1)*36+HEX2DEC('table for research'!AN$1))*2,2)</f>
        <v>00</v>
      </c>
      <c r="AO380" t="str">
        <f>MID('paste from garc here'!$C$1,1+(('table for research'!$B380-1)*36+HEX2DEC('table for research'!AO$1))*2,2)</f>
        <v>00</v>
      </c>
    </row>
    <row r="381" spans="1:41" x14ac:dyDescent="0.4">
      <c r="A381" t="s">
        <v>384</v>
      </c>
      <c r="B381">
        <f>B380+1</f>
        <v>379</v>
      </c>
      <c r="C381" t="str">
        <f>MID('paste from garc here'!$C$1,1+(('table for research'!$B381-1)*36+HEX2DEC('table for research'!C$1))*2,2)</f>
        <v>DC</v>
      </c>
      <c r="D381" t="str">
        <f>MID('paste from garc here'!$C$1,1+(('table for research'!$B381-1)*36+HEX2DEC('table for research'!D$1))*2,2)</f>
        <v>05</v>
      </c>
      <c r="E381" t="str">
        <f>MID('paste from garc here'!$C$1,1+(('table for research'!$B381-1)*36+HEX2DEC('table for research'!E$1))*2,2)</f>
        <v>00</v>
      </c>
      <c r="F381" t="str">
        <f>MID('paste from garc here'!$C$1,1+(('table for research'!$B381-1)*36+HEX2DEC('table for research'!F$1))*2,2)</f>
        <v>00</v>
      </c>
      <c r="G381" t="str">
        <f>MID('paste from garc here'!$C$1,1+(('table for research'!$B381-1)*36+HEX2DEC('table for research'!G$1))*2,2)</f>
        <v>00</v>
      </c>
      <c r="H381" t="str">
        <f>MID('paste from garc here'!$C$1,1+(('table for research'!$B381-1)*36+HEX2DEC('table for research'!H$1))*2,2)</f>
        <v>00</v>
      </c>
      <c r="I381" t="str">
        <f>MID('paste from garc here'!$C$1,1+(('table for research'!$B381-1)*36+HEX2DEC('table for research'!I$1))*2,2)</f>
        <v>00</v>
      </c>
      <c r="J381" t="str">
        <f>MID('paste from garc here'!$C$1,1+(('table for research'!$B381-1)*36+HEX2DEC('table for research'!J$1))*2,2)</f>
        <v>00</v>
      </c>
      <c r="K381" t="str">
        <f>DEC2HEX(_xlfn.BITAND(HEX2DEC(MID('paste from garc here'!$C$1,1+(('table for research'!$B381-1)*36+HEX2DEC(8))*2,2)),31),2)</f>
        <v>1F</v>
      </c>
      <c r="L381" t="str">
        <f>DEC2HEX(_xlfn.BITAND(HEX2DEC(MID('paste from garc here'!$C$1,1+(('table for research'!$B381-1)*36+HEX2DEC(8))*2,2)),32),2)</f>
        <v>20</v>
      </c>
      <c r="M381" t="str">
        <f>DEC2HEX(_xlfn.BITAND(HEX2DEC(MID('paste from garc here'!$C$1,1+(('table for research'!$B381-1)*36+HEX2DEC(8))*2,2)),64),2)</f>
        <v>00</v>
      </c>
      <c r="N381" t="str">
        <f>DEC2HEX(_xlfn.BITRSHIFT(_xlfn.BITAND(HEX2DEC(MID('paste from garc here'!$C$1,1+(('table for research'!$B381-1)*36+HEX2DEC(9))*2,2)&amp;MID('paste from garc here'!$C$1,1+(('table for research'!$B381-1)*36+HEX2DEC(8))*2,2)),1920),7),2)</f>
        <v>02</v>
      </c>
      <c r="O381" t="str">
        <f>DEC2HEX(_xlfn.BITRSHIFT(HEX2DEC(MID('paste from garc here'!$C$1,1+(('table for research'!$B381-1)*36+HEX2DEC(9))*2,2)&amp;MID('paste from garc here'!$C$1,1+(('table for research'!$B381-1)*36+HEX2DEC(8))*2,2)),11),2)</f>
        <v>00</v>
      </c>
      <c r="P381" t="str">
        <f>MID('paste from garc here'!$C$1,1+(('table for research'!$B381-1)*36+HEX2DEC('table for research'!P$1))*2,2)</f>
        <v>02</v>
      </c>
      <c r="Q381" t="str">
        <f>MID('paste from garc here'!$C$1,1+(('table for research'!$B381-1)*36+HEX2DEC('table for research'!Q$1))*2,2)</f>
        <v>00</v>
      </c>
      <c r="R381" t="str">
        <f>MID('paste from garc here'!$C$1,1+(('table for research'!$B381-1)*36+HEX2DEC('table for research'!R$1))*2,2)</f>
        <v>00</v>
      </c>
      <c r="S381" t="str">
        <f>MID('paste from garc here'!$C$1,1+(('table for research'!$B381-1)*36+HEX2DEC('table for research'!S$1))*2,2)</f>
        <v>06</v>
      </c>
      <c r="T381" t="str">
        <f>MID('paste from garc here'!$C$1,1+(('table for research'!$B381-1)*36+HEX2DEC('table for research'!T$1))*2,2)</f>
        <v>00</v>
      </c>
      <c r="U381" t="str">
        <f>MID('paste from garc here'!$C$1,1+(('table for research'!$B381-1)*36+HEX2DEC('table for research'!U$1))*2,2)</f>
        <v>33</v>
      </c>
      <c r="V381" t="str">
        <f>MID('paste from garc here'!$C$1,1+(('table for research'!$B381-1)*36+HEX2DEC('table for research'!V$1))*2,2)</f>
        <v>00</v>
      </c>
      <c r="W381" t="str">
        <f>MID('paste from garc here'!$C$1,1+(('table for research'!$B381-1)*36+HEX2DEC('table for research'!W$1))*2,2)</f>
        <v>00</v>
      </c>
      <c r="X381" t="str">
        <f>MID('paste from garc here'!$C$1,1+(('table for research'!$B381-1)*36+HEX2DEC('table for research'!X$1))*2,2)</f>
        <v>00</v>
      </c>
      <c r="Y381" t="str">
        <f>MID('paste from garc here'!$C$1,1+(('table for research'!$B381-1)*36+HEX2DEC('table for research'!Y$1))*2,2)</f>
        <v>00</v>
      </c>
      <c r="Z381" t="str">
        <f>MID('paste from garc here'!$C$1,1+(('table for research'!$B381-1)*36+HEX2DEC('table for research'!Z$1))*2,2)</f>
        <v>00</v>
      </c>
      <c r="AA381" t="str">
        <f>MID('paste from garc here'!$C$1,1+(('table for research'!$B381-1)*36+HEX2DEC('table for research'!AA$1))*2,2)</f>
        <v>00</v>
      </c>
      <c r="AB381" t="str">
        <f>MID('paste from garc here'!$C$1,1+(('table for research'!$B381-1)*36+HEX2DEC('table for research'!AB$1))*2,2)</f>
        <v>00</v>
      </c>
      <c r="AC381" t="str">
        <f>MID('paste from garc here'!$C$1,1+(('table for research'!$B381-1)*36+HEX2DEC('table for research'!AC$1))*2,2)</f>
        <v>00</v>
      </c>
      <c r="AD381" t="str">
        <f>MID('paste from garc here'!$C$1,1+(('table for research'!$B381-1)*36+HEX2DEC('table for research'!AD$1))*2,2)</f>
        <v>00</v>
      </c>
      <c r="AE381" t="str">
        <f>MID('paste from garc here'!$C$1,1+(('table for research'!$B381-1)*36+HEX2DEC('table for research'!AE$1))*2,2)</f>
        <v>00</v>
      </c>
      <c r="AF381" t="str">
        <f>MID('paste from garc here'!$C$1,1+(('table for research'!$B381-1)*36+HEX2DEC('table for research'!AF$1))*2,2)</f>
        <v>00</v>
      </c>
      <c r="AG381" t="str">
        <f>MID('paste from garc here'!$C$1,1+(('table for research'!$B381-1)*36+HEX2DEC('table for research'!AG$1))*2,2)</f>
        <v>00</v>
      </c>
      <c r="AH381" t="str">
        <f>MID('paste from garc here'!$C$1,1+(('table for research'!$B381-1)*36+HEX2DEC('table for research'!AH$1))*2,2)</f>
        <v>00</v>
      </c>
      <c r="AI381" t="str">
        <f>MID('paste from garc here'!$C$1,1+(('table for research'!$B381-1)*36+HEX2DEC('table for research'!AI$1))*2,2)</f>
        <v>00</v>
      </c>
      <c r="AJ381" t="str">
        <f>MID('paste from garc here'!$C$1,1+(('table for research'!$B381-1)*36+HEX2DEC('table for research'!AJ$1))*2,2)</f>
        <v>00</v>
      </c>
      <c r="AK381" t="str">
        <f>MID('paste from garc here'!$C$1,1+(('table for research'!$B381-1)*36+HEX2DEC('table for research'!AK$1))*2,2)</f>
        <v>00</v>
      </c>
      <c r="AL381" t="str">
        <f>MID('paste from garc here'!$C$1,1+(('table for research'!$B381-1)*36+HEX2DEC('table for research'!AL$1))*2,2)</f>
        <v>00</v>
      </c>
      <c r="AM381" t="str">
        <f>MID('paste from garc here'!$C$1,1+(('table for research'!$B381-1)*36+HEX2DEC('table for research'!AM$1))*2,2)</f>
        <v>00</v>
      </c>
      <c r="AN381" t="str">
        <f>MID('paste from garc here'!$C$1,1+(('table for research'!$B381-1)*36+HEX2DEC('table for research'!AN$1))*2,2)</f>
        <v>00</v>
      </c>
      <c r="AO381" t="str">
        <f>MID('paste from garc here'!$C$1,1+(('table for research'!$B381-1)*36+HEX2DEC('table for research'!AO$1))*2,2)</f>
        <v>00</v>
      </c>
    </row>
    <row r="382" spans="1:41" x14ac:dyDescent="0.4">
      <c r="A382" t="s">
        <v>385</v>
      </c>
      <c r="B382">
        <f>B381+1</f>
        <v>380</v>
      </c>
      <c r="C382" t="str">
        <f>MID('paste from garc here'!$C$1,1+(('table for research'!$B382-1)*36+HEX2DEC('table for research'!C$1))*2,2)</f>
        <v>E8</v>
      </c>
      <c r="D382" t="str">
        <f>MID('paste from garc here'!$C$1,1+(('table for research'!$B382-1)*36+HEX2DEC('table for research'!D$1))*2,2)</f>
        <v>03</v>
      </c>
      <c r="E382" t="str">
        <f>MID('paste from garc here'!$C$1,1+(('table for research'!$B382-1)*36+HEX2DEC('table for research'!E$1))*2,2)</f>
        <v>00</v>
      </c>
      <c r="F382" t="str">
        <f>MID('paste from garc here'!$C$1,1+(('table for research'!$B382-1)*36+HEX2DEC('table for research'!F$1))*2,2)</f>
        <v>00</v>
      </c>
      <c r="G382" t="str">
        <f>MID('paste from garc here'!$C$1,1+(('table for research'!$B382-1)*36+HEX2DEC('table for research'!G$1))*2,2)</f>
        <v>00</v>
      </c>
      <c r="H382" t="str">
        <f>MID('paste from garc here'!$C$1,1+(('table for research'!$B382-1)*36+HEX2DEC('table for research'!H$1))*2,2)</f>
        <v>00</v>
      </c>
      <c r="I382" t="str">
        <f>MID('paste from garc here'!$C$1,1+(('table for research'!$B382-1)*36+HEX2DEC('table for research'!I$1))*2,2)</f>
        <v>00</v>
      </c>
      <c r="J382" t="str">
        <f>MID('paste from garc here'!$C$1,1+(('table for research'!$B382-1)*36+HEX2DEC('table for research'!J$1))*2,2)</f>
        <v>00</v>
      </c>
      <c r="K382" t="str">
        <f>DEC2HEX(_xlfn.BITAND(HEX2DEC(MID('paste from garc here'!$C$1,1+(('table for research'!$B382-1)*36+HEX2DEC(8))*2,2)),31),2)</f>
        <v>1F</v>
      </c>
      <c r="L382" t="str">
        <f>DEC2HEX(_xlfn.BITAND(HEX2DEC(MID('paste from garc here'!$C$1,1+(('table for research'!$B382-1)*36+HEX2DEC(8))*2,2)),32),2)</f>
        <v>20</v>
      </c>
      <c r="M382" t="str">
        <f>DEC2HEX(_xlfn.BITAND(HEX2DEC(MID('paste from garc here'!$C$1,1+(('table for research'!$B382-1)*36+HEX2DEC(8))*2,2)),64),2)</f>
        <v>00</v>
      </c>
      <c r="N382" t="str">
        <f>DEC2HEX(_xlfn.BITRSHIFT(_xlfn.BITAND(HEX2DEC(MID('paste from garc here'!$C$1,1+(('table for research'!$B382-1)*36+HEX2DEC(9))*2,2)&amp;MID('paste from garc here'!$C$1,1+(('table for research'!$B382-1)*36+HEX2DEC(8))*2,2)),1920),7),2)</f>
        <v>02</v>
      </c>
      <c r="O382" t="str">
        <f>DEC2HEX(_xlfn.BITRSHIFT(HEX2DEC(MID('paste from garc here'!$C$1,1+(('table for research'!$B382-1)*36+HEX2DEC(9))*2,2)&amp;MID('paste from garc here'!$C$1,1+(('table for research'!$B382-1)*36+HEX2DEC(8))*2,2)),11),2)</f>
        <v>00</v>
      </c>
      <c r="P382" t="str">
        <f>MID('paste from garc here'!$C$1,1+(('table for research'!$B382-1)*36+HEX2DEC('table for research'!P$1))*2,2)</f>
        <v>02</v>
      </c>
      <c r="Q382" t="str">
        <f>MID('paste from garc here'!$C$1,1+(('table for research'!$B382-1)*36+HEX2DEC('table for research'!Q$1))*2,2)</f>
        <v>00</v>
      </c>
      <c r="R382" t="str">
        <f>MID('paste from garc here'!$C$1,1+(('table for research'!$B382-1)*36+HEX2DEC('table for research'!R$1))*2,2)</f>
        <v>00</v>
      </c>
      <c r="S382" t="str">
        <f>MID('paste from garc here'!$C$1,1+(('table for research'!$B382-1)*36+HEX2DEC('table for research'!S$1))*2,2)</f>
        <v>06</v>
      </c>
      <c r="T382" t="str">
        <f>MID('paste from garc here'!$C$1,1+(('table for research'!$B382-1)*36+HEX2DEC('table for research'!T$1))*2,2)</f>
        <v>00</v>
      </c>
      <c r="U382" t="str">
        <f>MID('paste from garc here'!$C$1,1+(('table for research'!$B382-1)*36+HEX2DEC('table for research'!U$1))*2,2)</f>
        <v>34</v>
      </c>
      <c r="V382" t="str">
        <f>MID('paste from garc here'!$C$1,1+(('table for research'!$B382-1)*36+HEX2DEC('table for research'!V$1))*2,2)</f>
        <v>00</v>
      </c>
      <c r="W382" t="str">
        <f>MID('paste from garc here'!$C$1,1+(('table for research'!$B382-1)*36+HEX2DEC('table for research'!W$1))*2,2)</f>
        <v>00</v>
      </c>
      <c r="X382" t="str">
        <f>MID('paste from garc here'!$C$1,1+(('table for research'!$B382-1)*36+HEX2DEC('table for research'!X$1))*2,2)</f>
        <v>00</v>
      </c>
      <c r="Y382" t="str">
        <f>MID('paste from garc here'!$C$1,1+(('table for research'!$B382-1)*36+HEX2DEC('table for research'!Y$1))*2,2)</f>
        <v>00</v>
      </c>
      <c r="Z382" t="str">
        <f>MID('paste from garc here'!$C$1,1+(('table for research'!$B382-1)*36+HEX2DEC('table for research'!Z$1))*2,2)</f>
        <v>00</v>
      </c>
      <c r="AA382" t="str">
        <f>MID('paste from garc here'!$C$1,1+(('table for research'!$B382-1)*36+HEX2DEC('table for research'!AA$1))*2,2)</f>
        <v>00</v>
      </c>
      <c r="AB382" t="str">
        <f>MID('paste from garc here'!$C$1,1+(('table for research'!$B382-1)*36+HEX2DEC('table for research'!AB$1))*2,2)</f>
        <v>00</v>
      </c>
      <c r="AC382" t="str">
        <f>MID('paste from garc here'!$C$1,1+(('table for research'!$B382-1)*36+HEX2DEC('table for research'!AC$1))*2,2)</f>
        <v>00</v>
      </c>
      <c r="AD382" t="str">
        <f>MID('paste from garc here'!$C$1,1+(('table for research'!$B382-1)*36+HEX2DEC('table for research'!AD$1))*2,2)</f>
        <v>00</v>
      </c>
      <c r="AE382" t="str">
        <f>MID('paste from garc here'!$C$1,1+(('table for research'!$B382-1)*36+HEX2DEC('table for research'!AE$1))*2,2)</f>
        <v>00</v>
      </c>
      <c r="AF382" t="str">
        <f>MID('paste from garc here'!$C$1,1+(('table for research'!$B382-1)*36+HEX2DEC('table for research'!AF$1))*2,2)</f>
        <v>00</v>
      </c>
      <c r="AG382" t="str">
        <f>MID('paste from garc here'!$C$1,1+(('table for research'!$B382-1)*36+HEX2DEC('table for research'!AG$1))*2,2)</f>
        <v>00</v>
      </c>
      <c r="AH382" t="str">
        <f>MID('paste from garc here'!$C$1,1+(('table for research'!$B382-1)*36+HEX2DEC('table for research'!AH$1))*2,2)</f>
        <v>00</v>
      </c>
      <c r="AI382" t="str">
        <f>MID('paste from garc here'!$C$1,1+(('table for research'!$B382-1)*36+HEX2DEC('table for research'!AI$1))*2,2)</f>
        <v>00</v>
      </c>
      <c r="AJ382" t="str">
        <f>MID('paste from garc here'!$C$1,1+(('table for research'!$B382-1)*36+HEX2DEC('table for research'!AJ$1))*2,2)</f>
        <v>00</v>
      </c>
      <c r="AK382" t="str">
        <f>MID('paste from garc here'!$C$1,1+(('table for research'!$B382-1)*36+HEX2DEC('table for research'!AK$1))*2,2)</f>
        <v>00</v>
      </c>
      <c r="AL382" t="str">
        <f>MID('paste from garc here'!$C$1,1+(('table for research'!$B382-1)*36+HEX2DEC('table for research'!AL$1))*2,2)</f>
        <v>00</v>
      </c>
      <c r="AM382" t="str">
        <f>MID('paste from garc here'!$C$1,1+(('table for research'!$B382-1)*36+HEX2DEC('table for research'!AM$1))*2,2)</f>
        <v>00</v>
      </c>
      <c r="AN382" t="str">
        <f>MID('paste from garc here'!$C$1,1+(('table for research'!$B382-1)*36+HEX2DEC('table for research'!AN$1))*2,2)</f>
        <v>00</v>
      </c>
      <c r="AO382" t="str">
        <f>MID('paste from garc here'!$C$1,1+(('table for research'!$B382-1)*36+HEX2DEC('table for research'!AO$1))*2,2)</f>
        <v>00</v>
      </c>
    </row>
    <row r="383" spans="1:41" x14ac:dyDescent="0.4">
      <c r="A383" t="s">
        <v>386</v>
      </c>
      <c r="B383">
        <f>B382+1</f>
        <v>381</v>
      </c>
      <c r="C383" t="str">
        <f>MID('paste from garc here'!$C$1,1+(('table for research'!$B383-1)*36+HEX2DEC('table for research'!C$1))*2,2)</f>
        <v>E8</v>
      </c>
      <c r="D383" t="str">
        <f>MID('paste from garc here'!$C$1,1+(('table for research'!$B383-1)*36+HEX2DEC('table for research'!D$1))*2,2)</f>
        <v>03</v>
      </c>
      <c r="E383" t="str">
        <f>MID('paste from garc here'!$C$1,1+(('table for research'!$B383-1)*36+HEX2DEC('table for research'!E$1))*2,2)</f>
        <v>00</v>
      </c>
      <c r="F383" t="str">
        <f>MID('paste from garc here'!$C$1,1+(('table for research'!$B383-1)*36+HEX2DEC('table for research'!F$1))*2,2)</f>
        <v>00</v>
      </c>
      <c r="G383" t="str">
        <f>MID('paste from garc here'!$C$1,1+(('table for research'!$B383-1)*36+HEX2DEC('table for research'!G$1))*2,2)</f>
        <v>00</v>
      </c>
      <c r="H383" t="str">
        <f>MID('paste from garc here'!$C$1,1+(('table for research'!$B383-1)*36+HEX2DEC('table for research'!H$1))*2,2)</f>
        <v>00</v>
      </c>
      <c r="I383" t="str">
        <f>MID('paste from garc here'!$C$1,1+(('table for research'!$B383-1)*36+HEX2DEC('table for research'!I$1))*2,2)</f>
        <v>00</v>
      </c>
      <c r="J383" t="str">
        <f>MID('paste from garc here'!$C$1,1+(('table for research'!$B383-1)*36+HEX2DEC('table for research'!J$1))*2,2)</f>
        <v>00</v>
      </c>
      <c r="K383" t="str">
        <f>DEC2HEX(_xlfn.BITAND(HEX2DEC(MID('paste from garc here'!$C$1,1+(('table for research'!$B383-1)*36+HEX2DEC(8))*2,2)),31),2)</f>
        <v>1F</v>
      </c>
      <c r="L383" t="str">
        <f>DEC2HEX(_xlfn.BITAND(HEX2DEC(MID('paste from garc here'!$C$1,1+(('table for research'!$B383-1)*36+HEX2DEC(8))*2,2)),32),2)</f>
        <v>20</v>
      </c>
      <c r="M383" t="str">
        <f>DEC2HEX(_xlfn.BITAND(HEX2DEC(MID('paste from garc here'!$C$1,1+(('table for research'!$B383-1)*36+HEX2DEC(8))*2,2)),64),2)</f>
        <v>00</v>
      </c>
      <c r="N383" t="str">
        <f>DEC2HEX(_xlfn.BITRSHIFT(_xlfn.BITAND(HEX2DEC(MID('paste from garc here'!$C$1,1+(('table for research'!$B383-1)*36+HEX2DEC(9))*2,2)&amp;MID('paste from garc here'!$C$1,1+(('table for research'!$B383-1)*36+HEX2DEC(8))*2,2)),1920),7),2)</f>
        <v>02</v>
      </c>
      <c r="O383" t="str">
        <f>DEC2HEX(_xlfn.BITRSHIFT(HEX2DEC(MID('paste from garc here'!$C$1,1+(('table for research'!$B383-1)*36+HEX2DEC(9))*2,2)&amp;MID('paste from garc here'!$C$1,1+(('table for research'!$B383-1)*36+HEX2DEC(8))*2,2)),11),2)</f>
        <v>00</v>
      </c>
      <c r="P383" t="str">
        <f>MID('paste from garc here'!$C$1,1+(('table for research'!$B383-1)*36+HEX2DEC('table for research'!P$1))*2,2)</f>
        <v>02</v>
      </c>
      <c r="Q383" t="str">
        <f>MID('paste from garc here'!$C$1,1+(('table for research'!$B383-1)*36+HEX2DEC('table for research'!Q$1))*2,2)</f>
        <v>00</v>
      </c>
      <c r="R383" t="str">
        <f>MID('paste from garc here'!$C$1,1+(('table for research'!$B383-1)*36+HEX2DEC('table for research'!R$1))*2,2)</f>
        <v>00</v>
      </c>
      <c r="S383" t="str">
        <f>MID('paste from garc here'!$C$1,1+(('table for research'!$B383-1)*36+HEX2DEC('table for research'!S$1))*2,2)</f>
        <v>06</v>
      </c>
      <c r="T383" t="str">
        <f>MID('paste from garc here'!$C$1,1+(('table for research'!$B383-1)*36+HEX2DEC('table for research'!T$1))*2,2)</f>
        <v>00</v>
      </c>
      <c r="U383" t="str">
        <f>MID('paste from garc here'!$C$1,1+(('table for research'!$B383-1)*36+HEX2DEC('table for research'!U$1))*2,2)</f>
        <v>35</v>
      </c>
      <c r="V383" t="str">
        <f>MID('paste from garc here'!$C$1,1+(('table for research'!$B383-1)*36+HEX2DEC('table for research'!V$1))*2,2)</f>
        <v>00</v>
      </c>
      <c r="W383" t="str">
        <f>MID('paste from garc here'!$C$1,1+(('table for research'!$B383-1)*36+HEX2DEC('table for research'!W$1))*2,2)</f>
        <v>00</v>
      </c>
      <c r="X383" t="str">
        <f>MID('paste from garc here'!$C$1,1+(('table for research'!$B383-1)*36+HEX2DEC('table for research'!X$1))*2,2)</f>
        <v>00</v>
      </c>
      <c r="Y383" t="str">
        <f>MID('paste from garc here'!$C$1,1+(('table for research'!$B383-1)*36+HEX2DEC('table for research'!Y$1))*2,2)</f>
        <v>00</v>
      </c>
      <c r="Z383" t="str">
        <f>MID('paste from garc here'!$C$1,1+(('table for research'!$B383-1)*36+HEX2DEC('table for research'!Z$1))*2,2)</f>
        <v>00</v>
      </c>
      <c r="AA383" t="str">
        <f>MID('paste from garc here'!$C$1,1+(('table for research'!$B383-1)*36+HEX2DEC('table for research'!AA$1))*2,2)</f>
        <v>00</v>
      </c>
      <c r="AB383" t="str">
        <f>MID('paste from garc here'!$C$1,1+(('table for research'!$B383-1)*36+HEX2DEC('table for research'!AB$1))*2,2)</f>
        <v>00</v>
      </c>
      <c r="AC383" t="str">
        <f>MID('paste from garc here'!$C$1,1+(('table for research'!$B383-1)*36+HEX2DEC('table for research'!AC$1))*2,2)</f>
        <v>00</v>
      </c>
      <c r="AD383" t="str">
        <f>MID('paste from garc here'!$C$1,1+(('table for research'!$B383-1)*36+HEX2DEC('table for research'!AD$1))*2,2)</f>
        <v>00</v>
      </c>
      <c r="AE383" t="str">
        <f>MID('paste from garc here'!$C$1,1+(('table for research'!$B383-1)*36+HEX2DEC('table for research'!AE$1))*2,2)</f>
        <v>00</v>
      </c>
      <c r="AF383" t="str">
        <f>MID('paste from garc here'!$C$1,1+(('table for research'!$B383-1)*36+HEX2DEC('table for research'!AF$1))*2,2)</f>
        <v>00</v>
      </c>
      <c r="AG383" t="str">
        <f>MID('paste from garc here'!$C$1,1+(('table for research'!$B383-1)*36+HEX2DEC('table for research'!AG$1))*2,2)</f>
        <v>00</v>
      </c>
      <c r="AH383" t="str">
        <f>MID('paste from garc here'!$C$1,1+(('table for research'!$B383-1)*36+HEX2DEC('table for research'!AH$1))*2,2)</f>
        <v>00</v>
      </c>
      <c r="AI383" t="str">
        <f>MID('paste from garc here'!$C$1,1+(('table for research'!$B383-1)*36+HEX2DEC('table for research'!AI$1))*2,2)</f>
        <v>00</v>
      </c>
      <c r="AJ383" t="str">
        <f>MID('paste from garc here'!$C$1,1+(('table for research'!$B383-1)*36+HEX2DEC('table for research'!AJ$1))*2,2)</f>
        <v>00</v>
      </c>
      <c r="AK383" t="str">
        <f>MID('paste from garc here'!$C$1,1+(('table for research'!$B383-1)*36+HEX2DEC('table for research'!AK$1))*2,2)</f>
        <v>00</v>
      </c>
      <c r="AL383" t="str">
        <f>MID('paste from garc here'!$C$1,1+(('table for research'!$B383-1)*36+HEX2DEC('table for research'!AL$1))*2,2)</f>
        <v>00</v>
      </c>
      <c r="AM383" t="str">
        <f>MID('paste from garc here'!$C$1,1+(('table for research'!$B383-1)*36+HEX2DEC('table for research'!AM$1))*2,2)</f>
        <v>00</v>
      </c>
      <c r="AN383" t="str">
        <f>MID('paste from garc here'!$C$1,1+(('table for research'!$B383-1)*36+HEX2DEC('table for research'!AN$1))*2,2)</f>
        <v>00</v>
      </c>
      <c r="AO383" t="str">
        <f>MID('paste from garc here'!$C$1,1+(('table for research'!$B383-1)*36+HEX2DEC('table for research'!AO$1))*2,2)</f>
        <v>00</v>
      </c>
    </row>
    <row r="384" spans="1:41" x14ac:dyDescent="0.4">
      <c r="A384" t="s">
        <v>387</v>
      </c>
      <c r="B384">
        <f>B383+1</f>
        <v>382</v>
      </c>
      <c r="C384" t="str">
        <f>MID('paste from garc here'!$C$1,1+(('table for research'!$B384-1)*36+HEX2DEC('table for research'!C$1))*2,2)</f>
        <v>E8</v>
      </c>
      <c r="D384" t="str">
        <f>MID('paste from garc here'!$C$1,1+(('table for research'!$B384-1)*36+HEX2DEC('table for research'!D$1))*2,2)</f>
        <v>03</v>
      </c>
      <c r="E384" t="str">
        <f>MID('paste from garc here'!$C$1,1+(('table for research'!$B384-1)*36+HEX2DEC('table for research'!E$1))*2,2)</f>
        <v>00</v>
      </c>
      <c r="F384" t="str">
        <f>MID('paste from garc here'!$C$1,1+(('table for research'!$B384-1)*36+HEX2DEC('table for research'!F$1))*2,2)</f>
        <v>00</v>
      </c>
      <c r="G384" t="str">
        <f>MID('paste from garc here'!$C$1,1+(('table for research'!$B384-1)*36+HEX2DEC('table for research'!G$1))*2,2)</f>
        <v>00</v>
      </c>
      <c r="H384" t="str">
        <f>MID('paste from garc here'!$C$1,1+(('table for research'!$B384-1)*36+HEX2DEC('table for research'!H$1))*2,2)</f>
        <v>00</v>
      </c>
      <c r="I384" t="str">
        <f>MID('paste from garc here'!$C$1,1+(('table for research'!$B384-1)*36+HEX2DEC('table for research'!I$1))*2,2)</f>
        <v>00</v>
      </c>
      <c r="J384" t="str">
        <f>MID('paste from garc here'!$C$1,1+(('table for research'!$B384-1)*36+HEX2DEC('table for research'!J$1))*2,2)</f>
        <v>00</v>
      </c>
      <c r="K384" t="str">
        <f>DEC2HEX(_xlfn.BITAND(HEX2DEC(MID('paste from garc here'!$C$1,1+(('table for research'!$B384-1)*36+HEX2DEC(8))*2,2)),31),2)</f>
        <v>1F</v>
      </c>
      <c r="L384" t="str">
        <f>DEC2HEX(_xlfn.BITAND(HEX2DEC(MID('paste from garc here'!$C$1,1+(('table for research'!$B384-1)*36+HEX2DEC(8))*2,2)),32),2)</f>
        <v>20</v>
      </c>
      <c r="M384" t="str">
        <f>DEC2HEX(_xlfn.BITAND(HEX2DEC(MID('paste from garc here'!$C$1,1+(('table for research'!$B384-1)*36+HEX2DEC(8))*2,2)),64),2)</f>
        <v>00</v>
      </c>
      <c r="N384" t="str">
        <f>DEC2HEX(_xlfn.BITRSHIFT(_xlfn.BITAND(HEX2DEC(MID('paste from garc here'!$C$1,1+(('table for research'!$B384-1)*36+HEX2DEC(9))*2,2)&amp;MID('paste from garc here'!$C$1,1+(('table for research'!$B384-1)*36+HEX2DEC(8))*2,2)),1920),7),2)</f>
        <v>02</v>
      </c>
      <c r="O384" t="str">
        <f>DEC2HEX(_xlfn.BITRSHIFT(HEX2DEC(MID('paste from garc here'!$C$1,1+(('table for research'!$B384-1)*36+HEX2DEC(9))*2,2)&amp;MID('paste from garc here'!$C$1,1+(('table for research'!$B384-1)*36+HEX2DEC(8))*2,2)),11),2)</f>
        <v>00</v>
      </c>
      <c r="P384" t="str">
        <f>MID('paste from garc here'!$C$1,1+(('table for research'!$B384-1)*36+HEX2DEC('table for research'!P$1))*2,2)</f>
        <v>02</v>
      </c>
      <c r="Q384" t="str">
        <f>MID('paste from garc here'!$C$1,1+(('table for research'!$B384-1)*36+HEX2DEC('table for research'!Q$1))*2,2)</f>
        <v>00</v>
      </c>
      <c r="R384" t="str">
        <f>MID('paste from garc here'!$C$1,1+(('table for research'!$B384-1)*36+HEX2DEC('table for research'!R$1))*2,2)</f>
        <v>00</v>
      </c>
      <c r="S384" t="str">
        <f>MID('paste from garc here'!$C$1,1+(('table for research'!$B384-1)*36+HEX2DEC('table for research'!S$1))*2,2)</f>
        <v>06</v>
      </c>
      <c r="T384" t="str">
        <f>MID('paste from garc here'!$C$1,1+(('table for research'!$B384-1)*36+HEX2DEC('table for research'!T$1))*2,2)</f>
        <v>00</v>
      </c>
      <c r="U384" t="str">
        <f>MID('paste from garc here'!$C$1,1+(('table for research'!$B384-1)*36+HEX2DEC('table for research'!U$1))*2,2)</f>
        <v>36</v>
      </c>
      <c r="V384" t="str">
        <f>MID('paste from garc here'!$C$1,1+(('table for research'!$B384-1)*36+HEX2DEC('table for research'!V$1))*2,2)</f>
        <v>00</v>
      </c>
      <c r="W384" t="str">
        <f>MID('paste from garc here'!$C$1,1+(('table for research'!$B384-1)*36+HEX2DEC('table for research'!W$1))*2,2)</f>
        <v>00</v>
      </c>
      <c r="X384" t="str">
        <f>MID('paste from garc here'!$C$1,1+(('table for research'!$B384-1)*36+HEX2DEC('table for research'!X$1))*2,2)</f>
        <v>00</v>
      </c>
      <c r="Y384" t="str">
        <f>MID('paste from garc here'!$C$1,1+(('table for research'!$B384-1)*36+HEX2DEC('table for research'!Y$1))*2,2)</f>
        <v>00</v>
      </c>
      <c r="Z384" t="str">
        <f>MID('paste from garc here'!$C$1,1+(('table for research'!$B384-1)*36+HEX2DEC('table for research'!Z$1))*2,2)</f>
        <v>00</v>
      </c>
      <c r="AA384" t="str">
        <f>MID('paste from garc here'!$C$1,1+(('table for research'!$B384-1)*36+HEX2DEC('table for research'!AA$1))*2,2)</f>
        <v>00</v>
      </c>
      <c r="AB384" t="str">
        <f>MID('paste from garc here'!$C$1,1+(('table for research'!$B384-1)*36+HEX2DEC('table for research'!AB$1))*2,2)</f>
        <v>00</v>
      </c>
      <c r="AC384" t="str">
        <f>MID('paste from garc here'!$C$1,1+(('table for research'!$B384-1)*36+HEX2DEC('table for research'!AC$1))*2,2)</f>
        <v>00</v>
      </c>
      <c r="AD384" t="str">
        <f>MID('paste from garc here'!$C$1,1+(('table for research'!$B384-1)*36+HEX2DEC('table for research'!AD$1))*2,2)</f>
        <v>00</v>
      </c>
      <c r="AE384" t="str">
        <f>MID('paste from garc here'!$C$1,1+(('table for research'!$B384-1)*36+HEX2DEC('table for research'!AE$1))*2,2)</f>
        <v>00</v>
      </c>
      <c r="AF384" t="str">
        <f>MID('paste from garc here'!$C$1,1+(('table for research'!$B384-1)*36+HEX2DEC('table for research'!AF$1))*2,2)</f>
        <v>00</v>
      </c>
      <c r="AG384" t="str">
        <f>MID('paste from garc here'!$C$1,1+(('table for research'!$B384-1)*36+HEX2DEC('table for research'!AG$1))*2,2)</f>
        <v>00</v>
      </c>
      <c r="AH384" t="str">
        <f>MID('paste from garc here'!$C$1,1+(('table for research'!$B384-1)*36+HEX2DEC('table for research'!AH$1))*2,2)</f>
        <v>00</v>
      </c>
      <c r="AI384" t="str">
        <f>MID('paste from garc here'!$C$1,1+(('table for research'!$B384-1)*36+HEX2DEC('table for research'!AI$1))*2,2)</f>
        <v>00</v>
      </c>
      <c r="AJ384" t="str">
        <f>MID('paste from garc here'!$C$1,1+(('table for research'!$B384-1)*36+HEX2DEC('table for research'!AJ$1))*2,2)</f>
        <v>00</v>
      </c>
      <c r="AK384" t="str">
        <f>MID('paste from garc here'!$C$1,1+(('table for research'!$B384-1)*36+HEX2DEC('table for research'!AK$1))*2,2)</f>
        <v>00</v>
      </c>
      <c r="AL384" t="str">
        <f>MID('paste from garc here'!$C$1,1+(('table for research'!$B384-1)*36+HEX2DEC('table for research'!AL$1))*2,2)</f>
        <v>00</v>
      </c>
      <c r="AM384" t="str">
        <f>MID('paste from garc here'!$C$1,1+(('table for research'!$B384-1)*36+HEX2DEC('table for research'!AM$1))*2,2)</f>
        <v>00</v>
      </c>
      <c r="AN384" t="str">
        <f>MID('paste from garc here'!$C$1,1+(('table for research'!$B384-1)*36+HEX2DEC('table for research'!AN$1))*2,2)</f>
        <v>00</v>
      </c>
      <c r="AO384" t="str">
        <f>MID('paste from garc here'!$C$1,1+(('table for research'!$B384-1)*36+HEX2DEC('table for research'!AO$1))*2,2)</f>
        <v>00</v>
      </c>
    </row>
    <row r="385" spans="1:41" x14ac:dyDescent="0.4">
      <c r="A385" t="s">
        <v>388</v>
      </c>
      <c r="B385">
        <f>B384+1</f>
        <v>383</v>
      </c>
      <c r="C385" t="str">
        <f>MID('paste from garc here'!$C$1,1+(('table for research'!$B385-1)*36+HEX2DEC('table for research'!C$1))*2,2)</f>
        <v>C4</v>
      </c>
      <c r="D385" t="str">
        <f>MID('paste from garc here'!$C$1,1+(('table for research'!$B385-1)*36+HEX2DEC('table for research'!D$1))*2,2)</f>
        <v>09</v>
      </c>
      <c r="E385" t="str">
        <f>MID('paste from garc here'!$C$1,1+(('table for research'!$B385-1)*36+HEX2DEC('table for research'!E$1))*2,2)</f>
        <v>00</v>
      </c>
      <c r="F385" t="str">
        <f>MID('paste from garc here'!$C$1,1+(('table for research'!$B385-1)*36+HEX2DEC('table for research'!F$1))*2,2)</f>
        <v>00</v>
      </c>
      <c r="G385" t="str">
        <f>MID('paste from garc here'!$C$1,1+(('table for research'!$B385-1)*36+HEX2DEC('table for research'!G$1))*2,2)</f>
        <v>00</v>
      </c>
      <c r="H385" t="str">
        <f>MID('paste from garc here'!$C$1,1+(('table for research'!$B385-1)*36+HEX2DEC('table for research'!H$1))*2,2)</f>
        <v>00</v>
      </c>
      <c r="I385" t="str">
        <f>MID('paste from garc here'!$C$1,1+(('table for research'!$B385-1)*36+HEX2DEC('table for research'!I$1))*2,2)</f>
        <v>00</v>
      </c>
      <c r="J385" t="str">
        <f>MID('paste from garc here'!$C$1,1+(('table for research'!$B385-1)*36+HEX2DEC('table for research'!J$1))*2,2)</f>
        <v>00</v>
      </c>
      <c r="K385" t="str">
        <f>DEC2HEX(_xlfn.BITAND(HEX2DEC(MID('paste from garc here'!$C$1,1+(('table for research'!$B385-1)*36+HEX2DEC(8))*2,2)),31),2)</f>
        <v>1F</v>
      </c>
      <c r="L385" t="str">
        <f>DEC2HEX(_xlfn.BITAND(HEX2DEC(MID('paste from garc here'!$C$1,1+(('table for research'!$B385-1)*36+HEX2DEC(8))*2,2)),32),2)</f>
        <v>20</v>
      </c>
      <c r="M385" t="str">
        <f>DEC2HEX(_xlfn.BITAND(HEX2DEC(MID('paste from garc here'!$C$1,1+(('table for research'!$B385-1)*36+HEX2DEC(8))*2,2)),64),2)</f>
        <v>00</v>
      </c>
      <c r="N385" t="str">
        <f>DEC2HEX(_xlfn.BITRSHIFT(_xlfn.BITAND(HEX2DEC(MID('paste from garc here'!$C$1,1+(('table for research'!$B385-1)*36+HEX2DEC(9))*2,2)&amp;MID('paste from garc here'!$C$1,1+(('table for research'!$B385-1)*36+HEX2DEC(8))*2,2)),1920),7),2)</f>
        <v>02</v>
      </c>
      <c r="O385" t="str">
        <f>DEC2HEX(_xlfn.BITRSHIFT(HEX2DEC(MID('paste from garc here'!$C$1,1+(('table for research'!$B385-1)*36+HEX2DEC(9))*2,2)&amp;MID('paste from garc here'!$C$1,1+(('table for research'!$B385-1)*36+HEX2DEC(8))*2,2)),11),2)</f>
        <v>00</v>
      </c>
      <c r="P385" t="str">
        <f>MID('paste from garc here'!$C$1,1+(('table for research'!$B385-1)*36+HEX2DEC('table for research'!P$1))*2,2)</f>
        <v>02</v>
      </c>
      <c r="Q385" t="str">
        <f>MID('paste from garc here'!$C$1,1+(('table for research'!$B385-1)*36+HEX2DEC('table for research'!Q$1))*2,2)</f>
        <v>00</v>
      </c>
      <c r="R385" t="str">
        <f>MID('paste from garc here'!$C$1,1+(('table for research'!$B385-1)*36+HEX2DEC('table for research'!R$1))*2,2)</f>
        <v>00</v>
      </c>
      <c r="S385" t="str">
        <f>MID('paste from garc here'!$C$1,1+(('table for research'!$B385-1)*36+HEX2DEC('table for research'!S$1))*2,2)</f>
        <v>06</v>
      </c>
      <c r="T385" t="str">
        <f>MID('paste from garc here'!$C$1,1+(('table for research'!$B385-1)*36+HEX2DEC('table for research'!T$1))*2,2)</f>
        <v>00</v>
      </c>
      <c r="U385" t="str">
        <f>MID('paste from garc here'!$C$1,1+(('table for research'!$B385-1)*36+HEX2DEC('table for research'!U$1))*2,2)</f>
        <v>37</v>
      </c>
      <c r="V385" t="str">
        <f>MID('paste from garc here'!$C$1,1+(('table for research'!$B385-1)*36+HEX2DEC('table for research'!V$1))*2,2)</f>
        <v>00</v>
      </c>
      <c r="W385" t="str">
        <f>MID('paste from garc here'!$C$1,1+(('table for research'!$B385-1)*36+HEX2DEC('table for research'!W$1))*2,2)</f>
        <v>00</v>
      </c>
      <c r="X385" t="str">
        <f>MID('paste from garc here'!$C$1,1+(('table for research'!$B385-1)*36+HEX2DEC('table for research'!X$1))*2,2)</f>
        <v>00</v>
      </c>
      <c r="Y385" t="str">
        <f>MID('paste from garc here'!$C$1,1+(('table for research'!$B385-1)*36+HEX2DEC('table for research'!Y$1))*2,2)</f>
        <v>00</v>
      </c>
      <c r="Z385" t="str">
        <f>MID('paste from garc here'!$C$1,1+(('table for research'!$B385-1)*36+HEX2DEC('table for research'!Z$1))*2,2)</f>
        <v>00</v>
      </c>
      <c r="AA385" t="str">
        <f>MID('paste from garc here'!$C$1,1+(('table for research'!$B385-1)*36+HEX2DEC('table for research'!AA$1))*2,2)</f>
        <v>00</v>
      </c>
      <c r="AB385" t="str">
        <f>MID('paste from garc here'!$C$1,1+(('table for research'!$B385-1)*36+HEX2DEC('table for research'!AB$1))*2,2)</f>
        <v>00</v>
      </c>
      <c r="AC385" t="str">
        <f>MID('paste from garc here'!$C$1,1+(('table for research'!$B385-1)*36+HEX2DEC('table for research'!AC$1))*2,2)</f>
        <v>00</v>
      </c>
      <c r="AD385" t="str">
        <f>MID('paste from garc here'!$C$1,1+(('table for research'!$B385-1)*36+HEX2DEC('table for research'!AD$1))*2,2)</f>
        <v>00</v>
      </c>
      <c r="AE385" t="str">
        <f>MID('paste from garc here'!$C$1,1+(('table for research'!$B385-1)*36+HEX2DEC('table for research'!AE$1))*2,2)</f>
        <v>00</v>
      </c>
      <c r="AF385" t="str">
        <f>MID('paste from garc here'!$C$1,1+(('table for research'!$B385-1)*36+HEX2DEC('table for research'!AF$1))*2,2)</f>
        <v>00</v>
      </c>
      <c r="AG385" t="str">
        <f>MID('paste from garc here'!$C$1,1+(('table for research'!$B385-1)*36+HEX2DEC('table for research'!AG$1))*2,2)</f>
        <v>00</v>
      </c>
      <c r="AH385" t="str">
        <f>MID('paste from garc here'!$C$1,1+(('table for research'!$B385-1)*36+HEX2DEC('table for research'!AH$1))*2,2)</f>
        <v>00</v>
      </c>
      <c r="AI385" t="str">
        <f>MID('paste from garc here'!$C$1,1+(('table for research'!$B385-1)*36+HEX2DEC('table for research'!AI$1))*2,2)</f>
        <v>00</v>
      </c>
      <c r="AJ385" t="str">
        <f>MID('paste from garc here'!$C$1,1+(('table for research'!$B385-1)*36+HEX2DEC('table for research'!AJ$1))*2,2)</f>
        <v>00</v>
      </c>
      <c r="AK385" t="str">
        <f>MID('paste from garc here'!$C$1,1+(('table for research'!$B385-1)*36+HEX2DEC('table for research'!AK$1))*2,2)</f>
        <v>00</v>
      </c>
      <c r="AL385" t="str">
        <f>MID('paste from garc here'!$C$1,1+(('table for research'!$B385-1)*36+HEX2DEC('table for research'!AL$1))*2,2)</f>
        <v>00</v>
      </c>
      <c r="AM385" t="str">
        <f>MID('paste from garc here'!$C$1,1+(('table for research'!$B385-1)*36+HEX2DEC('table for research'!AM$1))*2,2)</f>
        <v>00</v>
      </c>
      <c r="AN385" t="str">
        <f>MID('paste from garc here'!$C$1,1+(('table for research'!$B385-1)*36+HEX2DEC('table for research'!AN$1))*2,2)</f>
        <v>00</v>
      </c>
      <c r="AO385" t="str">
        <f>MID('paste from garc here'!$C$1,1+(('table for research'!$B385-1)*36+HEX2DEC('table for research'!AO$1))*2,2)</f>
        <v>00</v>
      </c>
    </row>
    <row r="386" spans="1:41" x14ac:dyDescent="0.4">
      <c r="A386" t="s">
        <v>389</v>
      </c>
      <c r="B386">
        <f>B385+1</f>
        <v>384</v>
      </c>
      <c r="C386" t="str">
        <f>MID('paste from garc here'!$C$1,1+(('table for research'!$B386-1)*36+HEX2DEC('table for research'!C$1))*2,2)</f>
        <v>E8</v>
      </c>
      <c r="D386" t="str">
        <f>MID('paste from garc here'!$C$1,1+(('table for research'!$B386-1)*36+HEX2DEC('table for research'!D$1))*2,2)</f>
        <v>03</v>
      </c>
      <c r="E386" t="str">
        <f>MID('paste from garc here'!$C$1,1+(('table for research'!$B386-1)*36+HEX2DEC('table for research'!E$1))*2,2)</f>
        <v>00</v>
      </c>
      <c r="F386" t="str">
        <f>MID('paste from garc here'!$C$1,1+(('table for research'!$B386-1)*36+HEX2DEC('table for research'!F$1))*2,2)</f>
        <v>00</v>
      </c>
      <c r="G386" t="str">
        <f>MID('paste from garc here'!$C$1,1+(('table for research'!$B386-1)*36+HEX2DEC('table for research'!G$1))*2,2)</f>
        <v>00</v>
      </c>
      <c r="H386" t="str">
        <f>MID('paste from garc here'!$C$1,1+(('table for research'!$B386-1)*36+HEX2DEC('table for research'!H$1))*2,2)</f>
        <v>00</v>
      </c>
      <c r="I386" t="str">
        <f>MID('paste from garc here'!$C$1,1+(('table for research'!$B386-1)*36+HEX2DEC('table for research'!I$1))*2,2)</f>
        <v>00</v>
      </c>
      <c r="J386" t="str">
        <f>MID('paste from garc here'!$C$1,1+(('table for research'!$B386-1)*36+HEX2DEC('table for research'!J$1))*2,2)</f>
        <v>00</v>
      </c>
      <c r="K386" t="str">
        <f>DEC2HEX(_xlfn.BITAND(HEX2DEC(MID('paste from garc here'!$C$1,1+(('table for research'!$B386-1)*36+HEX2DEC(8))*2,2)),31),2)</f>
        <v>1F</v>
      </c>
      <c r="L386" t="str">
        <f>DEC2HEX(_xlfn.BITAND(HEX2DEC(MID('paste from garc here'!$C$1,1+(('table for research'!$B386-1)*36+HEX2DEC(8))*2,2)),32),2)</f>
        <v>20</v>
      </c>
      <c r="M386" t="str">
        <f>DEC2HEX(_xlfn.BITAND(HEX2DEC(MID('paste from garc here'!$C$1,1+(('table for research'!$B386-1)*36+HEX2DEC(8))*2,2)),64),2)</f>
        <v>00</v>
      </c>
      <c r="N386" t="str">
        <f>DEC2HEX(_xlfn.BITRSHIFT(_xlfn.BITAND(HEX2DEC(MID('paste from garc here'!$C$1,1+(('table for research'!$B386-1)*36+HEX2DEC(9))*2,2)&amp;MID('paste from garc here'!$C$1,1+(('table for research'!$B386-1)*36+HEX2DEC(8))*2,2)),1920),7),2)</f>
        <v>02</v>
      </c>
      <c r="O386" t="str">
        <f>DEC2HEX(_xlfn.BITRSHIFT(HEX2DEC(MID('paste from garc here'!$C$1,1+(('table for research'!$B386-1)*36+HEX2DEC(9))*2,2)&amp;MID('paste from garc here'!$C$1,1+(('table for research'!$B386-1)*36+HEX2DEC(8))*2,2)),11),2)</f>
        <v>00</v>
      </c>
      <c r="P386" t="str">
        <f>MID('paste from garc here'!$C$1,1+(('table for research'!$B386-1)*36+HEX2DEC('table for research'!P$1))*2,2)</f>
        <v>02</v>
      </c>
      <c r="Q386" t="str">
        <f>MID('paste from garc here'!$C$1,1+(('table for research'!$B386-1)*36+HEX2DEC('table for research'!Q$1))*2,2)</f>
        <v>00</v>
      </c>
      <c r="R386" t="str">
        <f>MID('paste from garc here'!$C$1,1+(('table for research'!$B386-1)*36+HEX2DEC('table for research'!R$1))*2,2)</f>
        <v>00</v>
      </c>
      <c r="S386" t="str">
        <f>MID('paste from garc here'!$C$1,1+(('table for research'!$B386-1)*36+HEX2DEC('table for research'!S$1))*2,2)</f>
        <v>06</v>
      </c>
      <c r="T386" t="str">
        <f>MID('paste from garc here'!$C$1,1+(('table for research'!$B386-1)*36+HEX2DEC('table for research'!T$1))*2,2)</f>
        <v>00</v>
      </c>
      <c r="U386" t="str">
        <f>MID('paste from garc here'!$C$1,1+(('table for research'!$B386-1)*36+HEX2DEC('table for research'!U$1))*2,2)</f>
        <v>38</v>
      </c>
      <c r="V386" t="str">
        <f>MID('paste from garc here'!$C$1,1+(('table for research'!$B386-1)*36+HEX2DEC('table for research'!V$1))*2,2)</f>
        <v>00</v>
      </c>
      <c r="W386" t="str">
        <f>MID('paste from garc here'!$C$1,1+(('table for research'!$B386-1)*36+HEX2DEC('table for research'!W$1))*2,2)</f>
        <v>00</v>
      </c>
      <c r="X386" t="str">
        <f>MID('paste from garc here'!$C$1,1+(('table for research'!$B386-1)*36+HEX2DEC('table for research'!X$1))*2,2)</f>
        <v>00</v>
      </c>
      <c r="Y386" t="str">
        <f>MID('paste from garc here'!$C$1,1+(('table for research'!$B386-1)*36+HEX2DEC('table for research'!Y$1))*2,2)</f>
        <v>00</v>
      </c>
      <c r="Z386" t="str">
        <f>MID('paste from garc here'!$C$1,1+(('table for research'!$B386-1)*36+HEX2DEC('table for research'!Z$1))*2,2)</f>
        <v>00</v>
      </c>
      <c r="AA386" t="str">
        <f>MID('paste from garc here'!$C$1,1+(('table for research'!$B386-1)*36+HEX2DEC('table for research'!AA$1))*2,2)</f>
        <v>00</v>
      </c>
      <c r="AB386" t="str">
        <f>MID('paste from garc here'!$C$1,1+(('table for research'!$B386-1)*36+HEX2DEC('table for research'!AB$1))*2,2)</f>
        <v>00</v>
      </c>
      <c r="AC386" t="str">
        <f>MID('paste from garc here'!$C$1,1+(('table for research'!$B386-1)*36+HEX2DEC('table for research'!AC$1))*2,2)</f>
        <v>00</v>
      </c>
      <c r="AD386" t="str">
        <f>MID('paste from garc here'!$C$1,1+(('table for research'!$B386-1)*36+HEX2DEC('table for research'!AD$1))*2,2)</f>
        <v>00</v>
      </c>
      <c r="AE386" t="str">
        <f>MID('paste from garc here'!$C$1,1+(('table for research'!$B386-1)*36+HEX2DEC('table for research'!AE$1))*2,2)</f>
        <v>00</v>
      </c>
      <c r="AF386" t="str">
        <f>MID('paste from garc here'!$C$1,1+(('table for research'!$B386-1)*36+HEX2DEC('table for research'!AF$1))*2,2)</f>
        <v>00</v>
      </c>
      <c r="AG386" t="str">
        <f>MID('paste from garc here'!$C$1,1+(('table for research'!$B386-1)*36+HEX2DEC('table for research'!AG$1))*2,2)</f>
        <v>00</v>
      </c>
      <c r="AH386" t="str">
        <f>MID('paste from garc here'!$C$1,1+(('table for research'!$B386-1)*36+HEX2DEC('table for research'!AH$1))*2,2)</f>
        <v>00</v>
      </c>
      <c r="AI386" t="str">
        <f>MID('paste from garc here'!$C$1,1+(('table for research'!$B386-1)*36+HEX2DEC('table for research'!AI$1))*2,2)</f>
        <v>00</v>
      </c>
      <c r="AJ386" t="str">
        <f>MID('paste from garc here'!$C$1,1+(('table for research'!$B386-1)*36+HEX2DEC('table for research'!AJ$1))*2,2)</f>
        <v>00</v>
      </c>
      <c r="AK386" t="str">
        <f>MID('paste from garc here'!$C$1,1+(('table for research'!$B386-1)*36+HEX2DEC('table for research'!AK$1))*2,2)</f>
        <v>00</v>
      </c>
      <c r="AL386" t="str">
        <f>MID('paste from garc here'!$C$1,1+(('table for research'!$B386-1)*36+HEX2DEC('table for research'!AL$1))*2,2)</f>
        <v>00</v>
      </c>
      <c r="AM386" t="str">
        <f>MID('paste from garc here'!$C$1,1+(('table for research'!$B386-1)*36+HEX2DEC('table for research'!AM$1))*2,2)</f>
        <v>00</v>
      </c>
      <c r="AN386" t="str">
        <f>MID('paste from garc here'!$C$1,1+(('table for research'!$B386-1)*36+HEX2DEC('table for research'!AN$1))*2,2)</f>
        <v>00</v>
      </c>
      <c r="AO386" t="str">
        <f>MID('paste from garc here'!$C$1,1+(('table for research'!$B386-1)*36+HEX2DEC('table for research'!AO$1))*2,2)</f>
        <v>00</v>
      </c>
    </row>
    <row r="387" spans="1:41" x14ac:dyDescent="0.4">
      <c r="A387" t="s">
        <v>390</v>
      </c>
      <c r="B387">
        <f>B386+1</f>
        <v>385</v>
      </c>
      <c r="C387" t="str">
        <f>MID('paste from garc here'!$C$1,1+(('table for research'!$B387-1)*36+HEX2DEC('table for research'!C$1))*2,2)</f>
        <v>E8</v>
      </c>
      <c r="D387" t="str">
        <f>MID('paste from garc here'!$C$1,1+(('table for research'!$B387-1)*36+HEX2DEC('table for research'!D$1))*2,2)</f>
        <v>03</v>
      </c>
      <c r="E387" t="str">
        <f>MID('paste from garc here'!$C$1,1+(('table for research'!$B387-1)*36+HEX2DEC('table for research'!E$1))*2,2)</f>
        <v>00</v>
      </c>
      <c r="F387" t="str">
        <f>MID('paste from garc here'!$C$1,1+(('table for research'!$B387-1)*36+HEX2DEC('table for research'!F$1))*2,2)</f>
        <v>00</v>
      </c>
      <c r="G387" t="str">
        <f>MID('paste from garc here'!$C$1,1+(('table for research'!$B387-1)*36+HEX2DEC('table for research'!G$1))*2,2)</f>
        <v>00</v>
      </c>
      <c r="H387" t="str">
        <f>MID('paste from garc here'!$C$1,1+(('table for research'!$B387-1)*36+HEX2DEC('table for research'!H$1))*2,2)</f>
        <v>00</v>
      </c>
      <c r="I387" t="str">
        <f>MID('paste from garc here'!$C$1,1+(('table for research'!$B387-1)*36+HEX2DEC('table for research'!I$1))*2,2)</f>
        <v>00</v>
      </c>
      <c r="J387" t="str">
        <f>MID('paste from garc here'!$C$1,1+(('table for research'!$B387-1)*36+HEX2DEC('table for research'!J$1))*2,2)</f>
        <v>00</v>
      </c>
      <c r="K387" t="str">
        <f>DEC2HEX(_xlfn.BITAND(HEX2DEC(MID('paste from garc here'!$C$1,1+(('table for research'!$B387-1)*36+HEX2DEC(8))*2,2)),31),2)</f>
        <v>1F</v>
      </c>
      <c r="L387" t="str">
        <f>DEC2HEX(_xlfn.BITAND(HEX2DEC(MID('paste from garc here'!$C$1,1+(('table for research'!$B387-1)*36+HEX2DEC(8))*2,2)),32),2)</f>
        <v>20</v>
      </c>
      <c r="M387" t="str">
        <f>DEC2HEX(_xlfn.BITAND(HEX2DEC(MID('paste from garc here'!$C$1,1+(('table for research'!$B387-1)*36+HEX2DEC(8))*2,2)),64),2)</f>
        <v>00</v>
      </c>
      <c r="N387" t="str">
        <f>DEC2HEX(_xlfn.BITRSHIFT(_xlfn.BITAND(HEX2DEC(MID('paste from garc here'!$C$1,1+(('table for research'!$B387-1)*36+HEX2DEC(9))*2,2)&amp;MID('paste from garc here'!$C$1,1+(('table for research'!$B387-1)*36+HEX2DEC(8))*2,2)),1920),7),2)</f>
        <v>02</v>
      </c>
      <c r="O387" t="str">
        <f>DEC2HEX(_xlfn.BITRSHIFT(HEX2DEC(MID('paste from garc here'!$C$1,1+(('table for research'!$B387-1)*36+HEX2DEC(9))*2,2)&amp;MID('paste from garc here'!$C$1,1+(('table for research'!$B387-1)*36+HEX2DEC(8))*2,2)),11),2)</f>
        <v>00</v>
      </c>
      <c r="P387" t="str">
        <f>MID('paste from garc here'!$C$1,1+(('table for research'!$B387-1)*36+HEX2DEC('table for research'!P$1))*2,2)</f>
        <v>02</v>
      </c>
      <c r="Q387" t="str">
        <f>MID('paste from garc here'!$C$1,1+(('table for research'!$B387-1)*36+HEX2DEC('table for research'!Q$1))*2,2)</f>
        <v>00</v>
      </c>
      <c r="R387" t="str">
        <f>MID('paste from garc here'!$C$1,1+(('table for research'!$B387-1)*36+HEX2DEC('table for research'!R$1))*2,2)</f>
        <v>00</v>
      </c>
      <c r="S387" t="str">
        <f>MID('paste from garc here'!$C$1,1+(('table for research'!$B387-1)*36+HEX2DEC('table for research'!S$1))*2,2)</f>
        <v>06</v>
      </c>
      <c r="T387" t="str">
        <f>MID('paste from garc here'!$C$1,1+(('table for research'!$B387-1)*36+HEX2DEC('table for research'!T$1))*2,2)</f>
        <v>00</v>
      </c>
      <c r="U387" t="str">
        <f>MID('paste from garc here'!$C$1,1+(('table for research'!$B387-1)*36+HEX2DEC('table for research'!U$1))*2,2)</f>
        <v>39</v>
      </c>
      <c r="V387" t="str">
        <f>MID('paste from garc here'!$C$1,1+(('table for research'!$B387-1)*36+HEX2DEC('table for research'!V$1))*2,2)</f>
        <v>00</v>
      </c>
      <c r="W387" t="str">
        <f>MID('paste from garc here'!$C$1,1+(('table for research'!$B387-1)*36+HEX2DEC('table for research'!W$1))*2,2)</f>
        <v>00</v>
      </c>
      <c r="X387" t="str">
        <f>MID('paste from garc here'!$C$1,1+(('table for research'!$B387-1)*36+HEX2DEC('table for research'!X$1))*2,2)</f>
        <v>00</v>
      </c>
      <c r="Y387" t="str">
        <f>MID('paste from garc here'!$C$1,1+(('table for research'!$B387-1)*36+HEX2DEC('table for research'!Y$1))*2,2)</f>
        <v>00</v>
      </c>
      <c r="Z387" t="str">
        <f>MID('paste from garc here'!$C$1,1+(('table for research'!$B387-1)*36+HEX2DEC('table for research'!Z$1))*2,2)</f>
        <v>00</v>
      </c>
      <c r="AA387" t="str">
        <f>MID('paste from garc here'!$C$1,1+(('table for research'!$B387-1)*36+HEX2DEC('table for research'!AA$1))*2,2)</f>
        <v>00</v>
      </c>
      <c r="AB387" t="str">
        <f>MID('paste from garc here'!$C$1,1+(('table for research'!$B387-1)*36+HEX2DEC('table for research'!AB$1))*2,2)</f>
        <v>00</v>
      </c>
      <c r="AC387" t="str">
        <f>MID('paste from garc here'!$C$1,1+(('table for research'!$B387-1)*36+HEX2DEC('table for research'!AC$1))*2,2)</f>
        <v>00</v>
      </c>
      <c r="AD387" t="str">
        <f>MID('paste from garc here'!$C$1,1+(('table for research'!$B387-1)*36+HEX2DEC('table for research'!AD$1))*2,2)</f>
        <v>00</v>
      </c>
      <c r="AE387" t="str">
        <f>MID('paste from garc here'!$C$1,1+(('table for research'!$B387-1)*36+HEX2DEC('table for research'!AE$1))*2,2)</f>
        <v>00</v>
      </c>
      <c r="AF387" t="str">
        <f>MID('paste from garc here'!$C$1,1+(('table for research'!$B387-1)*36+HEX2DEC('table for research'!AF$1))*2,2)</f>
        <v>00</v>
      </c>
      <c r="AG387" t="str">
        <f>MID('paste from garc here'!$C$1,1+(('table for research'!$B387-1)*36+HEX2DEC('table for research'!AG$1))*2,2)</f>
        <v>00</v>
      </c>
      <c r="AH387" t="str">
        <f>MID('paste from garc here'!$C$1,1+(('table for research'!$B387-1)*36+HEX2DEC('table for research'!AH$1))*2,2)</f>
        <v>00</v>
      </c>
      <c r="AI387" t="str">
        <f>MID('paste from garc here'!$C$1,1+(('table for research'!$B387-1)*36+HEX2DEC('table for research'!AI$1))*2,2)</f>
        <v>00</v>
      </c>
      <c r="AJ387" t="str">
        <f>MID('paste from garc here'!$C$1,1+(('table for research'!$B387-1)*36+HEX2DEC('table for research'!AJ$1))*2,2)</f>
        <v>00</v>
      </c>
      <c r="AK387" t="str">
        <f>MID('paste from garc here'!$C$1,1+(('table for research'!$B387-1)*36+HEX2DEC('table for research'!AK$1))*2,2)</f>
        <v>00</v>
      </c>
      <c r="AL387" t="str">
        <f>MID('paste from garc here'!$C$1,1+(('table for research'!$B387-1)*36+HEX2DEC('table for research'!AL$1))*2,2)</f>
        <v>00</v>
      </c>
      <c r="AM387" t="str">
        <f>MID('paste from garc here'!$C$1,1+(('table for research'!$B387-1)*36+HEX2DEC('table for research'!AM$1))*2,2)</f>
        <v>00</v>
      </c>
      <c r="AN387" t="str">
        <f>MID('paste from garc here'!$C$1,1+(('table for research'!$B387-1)*36+HEX2DEC('table for research'!AN$1))*2,2)</f>
        <v>00</v>
      </c>
      <c r="AO387" t="str">
        <f>MID('paste from garc here'!$C$1,1+(('table for research'!$B387-1)*36+HEX2DEC('table for research'!AO$1))*2,2)</f>
        <v>00</v>
      </c>
    </row>
    <row r="388" spans="1:41" x14ac:dyDescent="0.4">
      <c r="A388" t="s">
        <v>391</v>
      </c>
      <c r="B388">
        <f>B387+1</f>
        <v>386</v>
      </c>
      <c r="C388" t="str">
        <f>MID('paste from garc here'!$C$1,1+(('table for research'!$B388-1)*36+HEX2DEC('table for research'!C$1))*2,2)</f>
        <v>B8</v>
      </c>
      <c r="D388" t="str">
        <f>MID('paste from garc here'!$C$1,1+(('table for research'!$B388-1)*36+HEX2DEC('table for research'!D$1))*2,2)</f>
        <v>0B</v>
      </c>
      <c r="E388" t="str">
        <f>MID('paste from garc here'!$C$1,1+(('table for research'!$B388-1)*36+HEX2DEC('table for research'!E$1))*2,2)</f>
        <v>00</v>
      </c>
      <c r="F388" t="str">
        <f>MID('paste from garc here'!$C$1,1+(('table for research'!$B388-1)*36+HEX2DEC('table for research'!F$1))*2,2)</f>
        <v>00</v>
      </c>
      <c r="G388" t="str">
        <f>MID('paste from garc here'!$C$1,1+(('table for research'!$B388-1)*36+HEX2DEC('table for research'!G$1))*2,2)</f>
        <v>00</v>
      </c>
      <c r="H388" t="str">
        <f>MID('paste from garc here'!$C$1,1+(('table for research'!$B388-1)*36+HEX2DEC('table for research'!H$1))*2,2)</f>
        <v>00</v>
      </c>
      <c r="I388" t="str">
        <f>MID('paste from garc here'!$C$1,1+(('table for research'!$B388-1)*36+HEX2DEC('table for research'!I$1))*2,2)</f>
        <v>00</v>
      </c>
      <c r="J388" t="str">
        <f>MID('paste from garc here'!$C$1,1+(('table for research'!$B388-1)*36+HEX2DEC('table for research'!J$1))*2,2)</f>
        <v>00</v>
      </c>
      <c r="K388" t="str">
        <f>DEC2HEX(_xlfn.BITAND(HEX2DEC(MID('paste from garc here'!$C$1,1+(('table for research'!$B388-1)*36+HEX2DEC(8))*2,2)),31),2)</f>
        <v>1F</v>
      </c>
      <c r="L388" t="str">
        <f>DEC2HEX(_xlfn.BITAND(HEX2DEC(MID('paste from garc here'!$C$1,1+(('table for research'!$B388-1)*36+HEX2DEC(8))*2,2)),32),2)</f>
        <v>20</v>
      </c>
      <c r="M388" t="str">
        <f>DEC2HEX(_xlfn.BITAND(HEX2DEC(MID('paste from garc here'!$C$1,1+(('table for research'!$B388-1)*36+HEX2DEC(8))*2,2)),64),2)</f>
        <v>00</v>
      </c>
      <c r="N388" t="str">
        <f>DEC2HEX(_xlfn.BITRSHIFT(_xlfn.BITAND(HEX2DEC(MID('paste from garc here'!$C$1,1+(('table for research'!$B388-1)*36+HEX2DEC(9))*2,2)&amp;MID('paste from garc here'!$C$1,1+(('table for research'!$B388-1)*36+HEX2DEC(8))*2,2)),1920),7),2)</f>
        <v>02</v>
      </c>
      <c r="O388" t="str">
        <f>DEC2HEX(_xlfn.BITRSHIFT(HEX2DEC(MID('paste from garc here'!$C$1,1+(('table for research'!$B388-1)*36+HEX2DEC(9))*2,2)&amp;MID('paste from garc here'!$C$1,1+(('table for research'!$B388-1)*36+HEX2DEC(8))*2,2)),11),2)</f>
        <v>00</v>
      </c>
      <c r="P388" t="str">
        <f>MID('paste from garc here'!$C$1,1+(('table for research'!$B388-1)*36+HEX2DEC('table for research'!P$1))*2,2)</f>
        <v>02</v>
      </c>
      <c r="Q388" t="str">
        <f>MID('paste from garc here'!$C$1,1+(('table for research'!$B388-1)*36+HEX2DEC('table for research'!Q$1))*2,2)</f>
        <v>00</v>
      </c>
      <c r="R388" t="str">
        <f>MID('paste from garc here'!$C$1,1+(('table for research'!$B388-1)*36+HEX2DEC('table for research'!R$1))*2,2)</f>
        <v>00</v>
      </c>
      <c r="S388" t="str">
        <f>MID('paste from garc here'!$C$1,1+(('table for research'!$B388-1)*36+HEX2DEC('table for research'!S$1))*2,2)</f>
        <v>06</v>
      </c>
      <c r="T388" t="str">
        <f>MID('paste from garc here'!$C$1,1+(('table for research'!$B388-1)*36+HEX2DEC('table for research'!T$1))*2,2)</f>
        <v>00</v>
      </c>
      <c r="U388" t="str">
        <f>MID('paste from garc here'!$C$1,1+(('table for research'!$B388-1)*36+HEX2DEC('table for research'!U$1))*2,2)</f>
        <v>3A</v>
      </c>
      <c r="V388" t="str">
        <f>MID('paste from garc here'!$C$1,1+(('table for research'!$B388-1)*36+HEX2DEC('table for research'!V$1))*2,2)</f>
        <v>00</v>
      </c>
      <c r="W388" t="str">
        <f>MID('paste from garc here'!$C$1,1+(('table for research'!$B388-1)*36+HEX2DEC('table for research'!W$1))*2,2)</f>
        <v>00</v>
      </c>
      <c r="X388" t="str">
        <f>MID('paste from garc here'!$C$1,1+(('table for research'!$B388-1)*36+HEX2DEC('table for research'!X$1))*2,2)</f>
        <v>00</v>
      </c>
      <c r="Y388" t="str">
        <f>MID('paste from garc here'!$C$1,1+(('table for research'!$B388-1)*36+HEX2DEC('table for research'!Y$1))*2,2)</f>
        <v>00</v>
      </c>
      <c r="Z388" t="str">
        <f>MID('paste from garc here'!$C$1,1+(('table for research'!$B388-1)*36+HEX2DEC('table for research'!Z$1))*2,2)</f>
        <v>00</v>
      </c>
      <c r="AA388" t="str">
        <f>MID('paste from garc here'!$C$1,1+(('table for research'!$B388-1)*36+HEX2DEC('table for research'!AA$1))*2,2)</f>
        <v>00</v>
      </c>
      <c r="AB388" t="str">
        <f>MID('paste from garc here'!$C$1,1+(('table for research'!$B388-1)*36+HEX2DEC('table for research'!AB$1))*2,2)</f>
        <v>00</v>
      </c>
      <c r="AC388" t="str">
        <f>MID('paste from garc here'!$C$1,1+(('table for research'!$B388-1)*36+HEX2DEC('table for research'!AC$1))*2,2)</f>
        <v>00</v>
      </c>
      <c r="AD388" t="str">
        <f>MID('paste from garc here'!$C$1,1+(('table for research'!$B388-1)*36+HEX2DEC('table for research'!AD$1))*2,2)</f>
        <v>00</v>
      </c>
      <c r="AE388" t="str">
        <f>MID('paste from garc here'!$C$1,1+(('table for research'!$B388-1)*36+HEX2DEC('table for research'!AE$1))*2,2)</f>
        <v>00</v>
      </c>
      <c r="AF388" t="str">
        <f>MID('paste from garc here'!$C$1,1+(('table for research'!$B388-1)*36+HEX2DEC('table for research'!AF$1))*2,2)</f>
        <v>00</v>
      </c>
      <c r="AG388" t="str">
        <f>MID('paste from garc here'!$C$1,1+(('table for research'!$B388-1)*36+HEX2DEC('table for research'!AG$1))*2,2)</f>
        <v>00</v>
      </c>
      <c r="AH388" t="str">
        <f>MID('paste from garc here'!$C$1,1+(('table for research'!$B388-1)*36+HEX2DEC('table for research'!AH$1))*2,2)</f>
        <v>00</v>
      </c>
      <c r="AI388" t="str">
        <f>MID('paste from garc here'!$C$1,1+(('table for research'!$B388-1)*36+HEX2DEC('table for research'!AI$1))*2,2)</f>
        <v>00</v>
      </c>
      <c r="AJ388" t="str">
        <f>MID('paste from garc here'!$C$1,1+(('table for research'!$B388-1)*36+HEX2DEC('table for research'!AJ$1))*2,2)</f>
        <v>00</v>
      </c>
      <c r="AK388" t="str">
        <f>MID('paste from garc here'!$C$1,1+(('table for research'!$B388-1)*36+HEX2DEC('table for research'!AK$1))*2,2)</f>
        <v>00</v>
      </c>
      <c r="AL388" t="str">
        <f>MID('paste from garc here'!$C$1,1+(('table for research'!$B388-1)*36+HEX2DEC('table for research'!AL$1))*2,2)</f>
        <v>00</v>
      </c>
      <c r="AM388" t="str">
        <f>MID('paste from garc here'!$C$1,1+(('table for research'!$B388-1)*36+HEX2DEC('table for research'!AM$1))*2,2)</f>
        <v>00</v>
      </c>
      <c r="AN388" t="str">
        <f>MID('paste from garc here'!$C$1,1+(('table for research'!$B388-1)*36+HEX2DEC('table for research'!AN$1))*2,2)</f>
        <v>00</v>
      </c>
      <c r="AO388" t="str">
        <f>MID('paste from garc here'!$C$1,1+(('table for research'!$B388-1)*36+HEX2DEC('table for research'!AO$1))*2,2)</f>
        <v>00</v>
      </c>
    </row>
    <row r="389" spans="1:41" x14ac:dyDescent="0.4">
      <c r="A389" t="s">
        <v>392</v>
      </c>
      <c r="B389">
        <f>B388+1</f>
        <v>387</v>
      </c>
      <c r="C389" t="str">
        <f>MID('paste from garc here'!$C$1,1+(('table for research'!$B389-1)*36+HEX2DEC('table for research'!C$1))*2,2)</f>
        <v>DC</v>
      </c>
      <c r="D389" t="str">
        <f>MID('paste from garc here'!$C$1,1+(('table for research'!$B389-1)*36+HEX2DEC('table for research'!D$1))*2,2)</f>
        <v>05</v>
      </c>
      <c r="E389" t="str">
        <f>MID('paste from garc here'!$C$1,1+(('table for research'!$B389-1)*36+HEX2DEC('table for research'!E$1))*2,2)</f>
        <v>00</v>
      </c>
      <c r="F389" t="str">
        <f>MID('paste from garc here'!$C$1,1+(('table for research'!$B389-1)*36+HEX2DEC('table for research'!F$1))*2,2)</f>
        <v>00</v>
      </c>
      <c r="G389" t="str">
        <f>MID('paste from garc here'!$C$1,1+(('table for research'!$B389-1)*36+HEX2DEC('table for research'!G$1))*2,2)</f>
        <v>00</v>
      </c>
      <c r="H389" t="str">
        <f>MID('paste from garc here'!$C$1,1+(('table for research'!$B389-1)*36+HEX2DEC('table for research'!H$1))*2,2)</f>
        <v>00</v>
      </c>
      <c r="I389" t="str">
        <f>MID('paste from garc here'!$C$1,1+(('table for research'!$B389-1)*36+HEX2DEC('table for research'!I$1))*2,2)</f>
        <v>00</v>
      </c>
      <c r="J389" t="str">
        <f>MID('paste from garc here'!$C$1,1+(('table for research'!$B389-1)*36+HEX2DEC('table for research'!J$1))*2,2)</f>
        <v>00</v>
      </c>
      <c r="K389" t="str">
        <f>DEC2HEX(_xlfn.BITAND(HEX2DEC(MID('paste from garc here'!$C$1,1+(('table for research'!$B389-1)*36+HEX2DEC(8))*2,2)),31),2)</f>
        <v>1F</v>
      </c>
      <c r="L389" t="str">
        <f>DEC2HEX(_xlfn.BITAND(HEX2DEC(MID('paste from garc here'!$C$1,1+(('table for research'!$B389-1)*36+HEX2DEC(8))*2,2)),32),2)</f>
        <v>20</v>
      </c>
      <c r="M389" t="str">
        <f>DEC2HEX(_xlfn.BITAND(HEX2DEC(MID('paste from garc here'!$C$1,1+(('table for research'!$B389-1)*36+HEX2DEC(8))*2,2)),64),2)</f>
        <v>00</v>
      </c>
      <c r="N389" t="str">
        <f>DEC2HEX(_xlfn.BITRSHIFT(_xlfn.BITAND(HEX2DEC(MID('paste from garc here'!$C$1,1+(('table for research'!$B389-1)*36+HEX2DEC(9))*2,2)&amp;MID('paste from garc here'!$C$1,1+(('table for research'!$B389-1)*36+HEX2DEC(8))*2,2)),1920),7),2)</f>
        <v>02</v>
      </c>
      <c r="O389" t="str">
        <f>DEC2HEX(_xlfn.BITRSHIFT(HEX2DEC(MID('paste from garc here'!$C$1,1+(('table for research'!$B389-1)*36+HEX2DEC(9))*2,2)&amp;MID('paste from garc here'!$C$1,1+(('table for research'!$B389-1)*36+HEX2DEC(8))*2,2)),11),2)</f>
        <v>00</v>
      </c>
      <c r="P389" t="str">
        <f>MID('paste from garc here'!$C$1,1+(('table for research'!$B389-1)*36+HEX2DEC('table for research'!P$1))*2,2)</f>
        <v>02</v>
      </c>
      <c r="Q389" t="str">
        <f>MID('paste from garc here'!$C$1,1+(('table for research'!$B389-1)*36+HEX2DEC('table for research'!Q$1))*2,2)</f>
        <v>00</v>
      </c>
      <c r="R389" t="str">
        <f>MID('paste from garc here'!$C$1,1+(('table for research'!$B389-1)*36+HEX2DEC('table for research'!R$1))*2,2)</f>
        <v>00</v>
      </c>
      <c r="S389" t="str">
        <f>MID('paste from garc here'!$C$1,1+(('table for research'!$B389-1)*36+HEX2DEC('table for research'!S$1))*2,2)</f>
        <v>06</v>
      </c>
      <c r="T389" t="str">
        <f>MID('paste from garc here'!$C$1,1+(('table for research'!$B389-1)*36+HEX2DEC('table for research'!T$1))*2,2)</f>
        <v>00</v>
      </c>
      <c r="U389" t="str">
        <f>MID('paste from garc here'!$C$1,1+(('table for research'!$B389-1)*36+HEX2DEC('table for research'!U$1))*2,2)</f>
        <v>3B</v>
      </c>
      <c r="V389" t="str">
        <f>MID('paste from garc here'!$C$1,1+(('table for research'!$B389-1)*36+HEX2DEC('table for research'!V$1))*2,2)</f>
        <v>00</v>
      </c>
      <c r="W389" t="str">
        <f>MID('paste from garc here'!$C$1,1+(('table for research'!$B389-1)*36+HEX2DEC('table for research'!W$1))*2,2)</f>
        <v>00</v>
      </c>
      <c r="X389" t="str">
        <f>MID('paste from garc here'!$C$1,1+(('table for research'!$B389-1)*36+HEX2DEC('table for research'!X$1))*2,2)</f>
        <v>00</v>
      </c>
      <c r="Y389" t="str">
        <f>MID('paste from garc here'!$C$1,1+(('table for research'!$B389-1)*36+HEX2DEC('table for research'!Y$1))*2,2)</f>
        <v>00</v>
      </c>
      <c r="Z389" t="str">
        <f>MID('paste from garc here'!$C$1,1+(('table for research'!$B389-1)*36+HEX2DEC('table for research'!Z$1))*2,2)</f>
        <v>00</v>
      </c>
      <c r="AA389" t="str">
        <f>MID('paste from garc here'!$C$1,1+(('table for research'!$B389-1)*36+HEX2DEC('table for research'!AA$1))*2,2)</f>
        <v>00</v>
      </c>
      <c r="AB389" t="str">
        <f>MID('paste from garc here'!$C$1,1+(('table for research'!$B389-1)*36+HEX2DEC('table for research'!AB$1))*2,2)</f>
        <v>00</v>
      </c>
      <c r="AC389" t="str">
        <f>MID('paste from garc here'!$C$1,1+(('table for research'!$B389-1)*36+HEX2DEC('table for research'!AC$1))*2,2)</f>
        <v>00</v>
      </c>
      <c r="AD389" t="str">
        <f>MID('paste from garc here'!$C$1,1+(('table for research'!$B389-1)*36+HEX2DEC('table for research'!AD$1))*2,2)</f>
        <v>00</v>
      </c>
      <c r="AE389" t="str">
        <f>MID('paste from garc here'!$C$1,1+(('table for research'!$B389-1)*36+HEX2DEC('table for research'!AE$1))*2,2)</f>
        <v>00</v>
      </c>
      <c r="AF389" t="str">
        <f>MID('paste from garc here'!$C$1,1+(('table for research'!$B389-1)*36+HEX2DEC('table for research'!AF$1))*2,2)</f>
        <v>00</v>
      </c>
      <c r="AG389" t="str">
        <f>MID('paste from garc here'!$C$1,1+(('table for research'!$B389-1)*36+HEX2DEC('table for research'!AG$1))*2,2)</f>
        <v>00</v>
      </c>
      <c r="AH389" t="str">
        <f>MID('paste from garc here'!$C$1,1+(('table for research'!$B389-1)*36+HEX2DEC('table for research'!AH$1))*2,2)</f>
        <v>00</v>
      </c>
      <c r="AI389" t="str">
        <f>MID('paste from garc here'!$C$1,1+(('table for research'!$B389-1)*36+HEX2DEC('table for research'!AI$1))*2,2)</f>
        <v>00</v>
      </c>
      <c r="AJ389" t="str">
        <f>MID('paste from garc here'!$C$1,1+(('table for research'!$B389-1)*36+HEX2DEC('table for research'!AJ$1))*2,2)</f>
        <v>00</v>
      </c>
      <c r="AK389" t="str">
        <f>MID('paste from garc here'!$C$1,1+(('table for research'!$B389-1)*36+HEX2DEC('table for research'!AK$1))*2,2)</f>
        <v>00</v>
      </c>
      <c r="AL389" t="str">
        <f>MID('paste from garc here'!$C$1,1+(('table for research'!$B389-1)*36+HEX2DEC('table for research'!AL$1))*2,2)</f>
        <v>00</v>
      </c>
      <c r="AM389" t="str">
        <f>MID('paste from garc here'!$C$1,1+(('table for research'!$B389-1)*36+HEX2DEC('table for research'!AM$1))*2,2)</f>
        <v>00</v>
      </c>
      <c r="AN389" t="str">
        <f>MID('paste from garc here'!$C$1,1+(('table for research'!$B389-1)*36+HEX2DEC('table for research'!AN$1))*2,2)</f>
        <v>00</v>
      </c>
      <c r="AO389" t="str">
        <f>MID('paste from garc here'!$C$1,1+(('table for research'!$B389-1)*36+HEX2DEC('table for research'!AO$1))*2,2)</f>
        <v>00</v>
      </c>
    </row>
    <row r="390" spans="1:41" x14ac:dyDescent="0.4">
      <c r="A390" t="s">
        <v>393</v>
      </c>
      <c r="B390">
        <f>B389+1</f>
        <v>388</v>
      </c>
      <c r="C390" t="str">
        <f>MID('paste from garc here'!$C$1,1+(('table for research'!$B390-1)*36+HEX2DEC('table for research'!C$1))*2,2)</f>
        <v>E8</v>
      </c>
      <c r="D390" t="str">
        <f>MID('paste from garc here'!$C$1,1+(('table for research'!$B390-1)*36+HEX2DEC('table for research'!D$1))*2,2)</f>
        <v>03</v>
      </c>
      <c r="E390" t="str">
        <f>MID('paste from garc here'!$C$1,1+(('table for research'!$B390-1)*36+HEX2DEC('table for research'!E$1))*2,2)</f>
        <v>00</v>
      </c>
      <c r="F390" t="str">
        <f>MID('paste from garc here'!$C$1,1+(('table for research'!$B390-1)*36+HEX2DEC('table for research'!F$1))*2,2)</f>
        <v>00</v>
      </c>
      <c r="G390" t="str">
        <f>MID('paste from garc here'!$C$1,1+(('table for research'!$B390-1)*36+HEX2DEC('table for research'!G$1))*2,2)</f>
        <v>00</v>
      </c>
      <c r="H390" t="str">
        <f>MID('paste from garc here'!$C$1,1+(('table for research'!$B390-1)*36+HEX2DEC('table for research'!H$1))*2,2)</f>
        <v>00</v>
      </c>
      <c r="I390" t="str">
        <f>MID('paste from garc here'!$C$1,1+(('table for research'!$B390-1)*36+HEX2DEC('table for research'!I$1))*2,2)</f>
        <v>00</v>
      </c>
      <c r="J390" t="str">
        <f>MID('paste from garc here'!$C$1,1+(('table for research'!$B390-1)*36+HEX2DEC('table for research'!J$1))*2,2)</f>
        <v>00</v>
      </c>
      <c r="K390" t="str">
        <f>DEC2HEX(_xlfn.BITAND(HEX2DEC(MID('paste from garc here'!$C$1,1+(('table for research'!$B390-1)*36+HEX2DEC(8))*2,2)),31),2)</f>
        <v>1F</v>
      </c>
      <c r="L390" t="str">
        <f>DEC2HEX(_xlfn.BITAND(HEX2DEC(MID('paste from garc here'!$C$1,1+(('table for research'!$B390-1)*36+HEX2DEC(8))*2,2)),32),2)</f>
        <v>20</v>
      </c>
      <c r="M390" t="str">
        <f>DEC2HEX(_xlfn.BITAND(HEX2DEC(MID('paste from garc here'!$C$1,1+(('table for research'!$B390-1)*36+HEX2DEC(8))*2,2)),64),2)</f>
        <v>00</v>
      </c>
      <c r="N390" t="str">
        <f>DEC2HEX(_xlfn.BITRSHIFT(_xlfn.BITAND(HEX2DEC(MID('paste from garc here'!$C$1,1+(('table for research'!$B390-1)*36+HEX2DEC(9))*2,2)&amp;MID('paste from garc here'!$C$1,1+(('table for research'!$B390-1)*36+HEX2DEC(8))*2,2)),1920),7),2)</f>
        <v>02</v>
      </c>
      <c r="O390" t="str">
        <f>DEC2HEX(_xlfn.BITRSHIFT(HEX2DEC(MID('paste from garc here'!$C$1,1+(('table for research'!$B390-1)*36+HEX2DEC(9))*2,2)&amp;MID('paste from garc here'!$C$1,1+(('table for research'!$B390-1)*36+HEX2DEC(8))*2,2)),11),2)</f>
        <v>00</v>
      </c>
      <c r="P390" t="str">
        <f>MID('paste from garc here'!$C$1,1+(('table for research'!$B390-1)*36+HEX2DEC('table for research'!P$1))*2,2)</f>
        <v>02</v>
      </c>
      <c r="Q390" t="str">
        <f>MID('paste from garc here'!$C$1,1+(('table for research'!$B390-1)*36+HEX2DEC('table for research'!Q$1))*2,2)</f>
        <v>00</v>
      </c>
      <c r="R390" t="str">
        <f>MID('paste from garc here'!$C$1,1+(('table for research'!$B390-1)*36+HEX2DEC('table for research'!R$1))*2,2)</f>
        <v>00</v>
      </c>
      <c r="S390" t="str">
        <f>MID('paste from garc here'!$C$1,1+(('table for research'!$B390-1)*36+HEX2DEC('table for research'!S$1))*2,2)</f>
        <v>06</v>
      </c>
      <c r="T390" t="str">
        <f>MID('paste from garc here'!$C$1,1+(('table for research'!$B390-1)*36+HEX2DEC('table for research'!T$1))*2,2)</f>
        <v>00</v>
      </c>
      <c r="U390" t="str">
        <f>MID('paste from garc here'!$C$1,1+(('table for research'!$B390-1)*36+HEX2DEC('table for research'!U$1))*2,2)</f>
        <v>3C</v>
      </c>
      <c r="V390" t="str">
        <f>MID('paste from garc here'!$C$1,1+(('table for research'!$B390-1)*36+HEX2DEC('table for research'!V$1))*2,2)</f>
        <v>00</v>
      </c>
      <c r="W390" t="str">
        <f>MID('paste from garc here'!$C$1,1+(('table for research'!$B390-1)*36+HEX2DEC('table for research'!W$1))*2,2)</f>
        <v>00</v>
      </c>
      <c r="X390" t="str">
        <f>MID('paste from garc here'!$C$1,1+(('table for research'!$B390-1)*36+HEX2DEC('table for research'!X$1))*2,2)</f>
        <v>00</v>
      </c>
      <c r="Y390" t="str">
        <f>MID('paste from garc here'!$C$1,1+(('table for research'!$B390-1)*36+HEX2DEC('table for research'!Y$1))*2,2)</f>
        <v>00</v>
      </c>
      <c r="Z390" t="str">
        <f>MID('paste from garc here'!$C$1,1+(('table for research'!$B390-1)*36+HEX2DEC('table for research'!Z$1))*2,2)</f>
        <v>00</v>
      </c>
      <c r="AA390" t="str">
        <f>MID('paste from garc here'!$C$1,1+(('table for research'!$B390-1)*36+HEX2DEC('table for research'!AA$1))*2,2)</f>
        <v>00</v>
      </c>
      <c r="AB390" t="str">
        <f>MID('paste from garc here'!$C$1,1+(('table for research'!$B390-1)*36+HEX2DEC('table for research'!AB$1))*2,2)</f>
        <v>00</v>
      </c>
      <c r="AC390" t="str">
        <f>MID('paste from garc here'!$C$1,1+(('table for research'!$B390-1)*36+HEX2DEC('table for research'!AC$1))*2,2)</f>
        <v>00</v>
      </c>
      <c r="AD390" t="str">
        <f>MID('paste from garc here'!$C$1,1+(('table for research'!$B390-1)*36+HEX2DEC('table for research'!AD$1))*2,2)</f>
        <v>00</v>
      </c>
      <c r="AE390" t="str">
        <f>MID('paste from garc here'!$C$1,1+(('table for research'!$B390-1)*36+HEX2DEC('table for research'!AE$1))*2,2)</f>
        <v>00</v>
      </c>
      <c r="AF390" t="str">
        <f>MID('paste from garc here'!$C$1,1+(('table for research'!$B390-1)*36+HEX2DEC('table for research'!AF$1))*2,2)</f>
        <v>00</v>
      </c>
      <c r="AG390" t="str">
        <f>MID('paste from garc here'!$C$1,1+(('table for research'!$B390-1)*36+HEX2DEC('table for research'!AG$1))*2,2)</f>
        <v>00</v>
      </c>
      <c r="AH390" t="str">
        <f>MID('paste from garc here'!$C$1,1+(('table for research'!$B390-1)*36+HEX2DEC('table for research'!AH$1))*2,2)</f>
        <v>00</v>
      </c>
      <c r="AI390" t="str">
        <f>MID('paste from garc here'!$C$1,1+(('table for research'!$B390-1)*36+HEX2DEC('table for research'!AI$1))*2,2)</f>
        <v>00</v>
      </c>
      <c r="AJ390" t="str">
        <f>MID('paste from garc here'!$C$1,1+(('table for research'!$B390-1)*36+HEX2DEC('table for research'!AJ$1))*2,2)</f>
        <v>00</v>
      </c>
      <c r="AK390" t="str">
        <f>MID('paste from garc here'!$C$1,1+(('table for research'!$B390-1)*36+HEX2DEC('table for research'!AK$1))*2,2)</f>
        <v>00</v>
      </c>
      <c r="AL390" t="str">
        <f>MID('paste from garc here'!$C$1,1+(('table for research'!$B390-1)*36+HEX2DEC('table for research'!AL$1))*2,2)</f>
        <v>00</v>
      </c>
      <c r="AM390" t="str">
        <f>MID('paste from garc here'!$C$1,1+(('table for research'!$B390-1)*36+HEX2DEC('table for research'!AM$1))*2,2)</f>
        <v>00</v>
      </c>
      <c r="AN390" t="str">
        <f>MID('paste from garc here'!$C$1,1+(('table for research'!$B390-1)*36+HEX2DEC('table for research'!AN$1))*2,2)</f>
        <v>00</v>
      </c>
      <c r="AO390" t="str">
        <f>MID('paste from garc here'!$C$1,1+(('table for research'!$B390-1)*36+HEX2DEC('table for research'!AO$1))*2,2)</f>
        <v>00</v>
      </c>
    </row>
    <row r="391" spans="1:41" x14ac:dyDescent="0.4">
      <c r="A391" t="s">
        <v>394</v>
      </c>
      <c r="B391">
        <f>B390+1</f>
        <v>389</v>
      </c>
      <c r="C391" t="str">
        <f>MID('paste from garc here'!$C$1,1+(('table for research'!$B391-1)*36+HEX2DEC('table for research'!C$1))*2,2)</f>
        <v>DC</v>
      </c>
      <c r="D391" t="str">
        <f>MID('paste from garc here'!$C$1,1+(('table for research'!$B391-1)*36+HEX2DEC('table for research'!D$1))*2,2)</f>
        <v>05</v>
      </c>
      <c r="E391" t="str">
        <f>MID('paste from garc here'!$C$1,1+(('table for research'!$B391-1)*36+HEX2DEC('table for research'!E$1))*2,2)</f>
        <v>00</v>
      </c>
      <c r="F391" t="str">
        <f>MID('paste from garc here'!$C$1,1+(('table for research'!$B391-1)*36+HEX2DEC('table for research'!F$1))*2,2)</f>
        <v>00</v>
      </c>
      <c r="G391" t="str">
        <f>MID('paste from garc here'!$C$1,1+(('table for research'!$B391-1)*36+HEX2DEC('table for research'!G$1))*2,2)</f>
        <v>00</v>
      </c>
      <c r="H391" t="str">
        <f>MID('paste from garc here'!$C$1,1+(('table for research'!$B391-1)*36+HEX2DEC('table for research'!H$1))*2,2)</f>
        <v>00</v>
      </c>
      <c r="I391" t="str">
        <f>MID('paste from garc here'!$C$1,1+(('table for research'!$B391-1)*36+HEX2DEC('table for research'!I$1))*2,2)</f>
        <v>00</v>
      </c>
      <c r="J391" t="str">
        <f>MID('paste from garc here'!$C$1,1+(('table for research'!$B391-1)*36+HEX2DEC('table for research'!J$1))*2,2)</f>
        <v>00</v>
      </c>
      <c r="K391" t="str">
        <f>DEC2HEX(_xlfn.BITAND(HEX2DEC(MID('paste from garc here'!$C$1,1+(('table for research'!$B391-1)*36+HEX2DEC(8))*2,2)),31),2)</f>
        <v>1F</v>
      </c>
      <c r="L391" t="str">
        <f>DEC2HEX(_xlfn.BITAND(HEX2DEC(MID('paste from garc here'!$C$1,1+(('table for research'!$B391-1)*36+HEX2DEC(8))*2,2)),32),2)</f>
        <v>20</v>
      </c>
      <c r="M391" t="str">
        <f>DEC2HEX(_xlfn.BITAND(HEX2DEC(MID('paste from garc here'!$C$1,1+(('table for research'!$B391-1)*36+HEX2DEC(8))*2,2)),64),2)</f>
        <v>00</v>
      </c>
      <c r="N391" t="str">
        <f>DEC2HEX(_xlfn.BITRSHIFT(_xlfn.BITAND(HEX2DEC(MID('paste from garc here'!$C$1,1+(('table for research'!$B391-1)*36+HEX2DEC(9))*2,2)&amp;MID('paste from garc here'!$C$1,1+(('table for research'!$B391-1)*36+HEX2DEC(8))*2,2)),1920),7),2)</f>
        <v>02</v>
      </c>
      <c r="O391" t="str">
        <f>DEC2HEX(_xlfn.BITRSHIFT(HEX2DEC(MID('paste from garc here'!$C$1,1+(('table for research'!$B391-1)*36+HEX2DEC(9))*2,2)&amp;MID('paste from garc here'!$C$1,1+(('table for research'!$B391-1)*36+HEX2DEC(8))*2,2)),11),2)</f>
        <v>00</v>
      </c>
      <c r="P391" t="str">
        <f>MID('paste from garc here'!$C$1,1+(('table for research'!$B391-1)*36+HEX2DEC('table for research'!P$1))*2,2)</f>
        <v>02</v>
      </c>
      <c r="Q391" t="str">
        <f>MID('paste from garc here'!$C$1,1+(('table for research'!$B391-1)*36+HEX2DEC('table for research'!Q$1))*2,2)</f>
        <v>00</v>
      </c>
      <c r="R391" t="str">
        <f>MID('paste from garc here'!$C$1,1+(('table for research'!$B391-1)*36+HEX2DEC('table for research'!R$1))*2,2)</f>
        <v>00</v>
      </c>
      <c r="S391" t="str">
        <f>MID('paste from garc here'!$C$1,1+(('table for research'!$B391-1)*36+HEX2DEC('table for research'!S$1))*2,2)</f>
        <v>06</v>
      </c>
      <c r="T391" t="str">
        <f>MID('paste from garc here'!$C$1,1+(('table for research'!$B391-1)*36+HEX2DEC('table for research'!T$1))*2,2)</f>
        <v>00</v>
      </c>
      <c r="U391" t="str">
        <f>MID('paste from garc here'!$C$1,1+(('table for research'!$B391-1)*36+HEX2DEC('table for research'!U$1))*2,2)</f>
        <v>3D</v>
      </c>
      <c r="V391" t="str">
        <f>MID('paste from garc here'!$C$1,1+(('table for research'!$B391-1)*36+HEX2DEC('table for research'!V$1))*2,2)</f>
        <v>00</v>
      </c>
      <c r="W391" t="str">
        <f>MID('paste from garc here'!$C$1,1+(('table for research'!$B391-1)*36+HEX2DEC('table for research'!W$1))*2,2)</f>
        <v>00</v>
      </c>
      <c r="X391" t="str">
        <f>MID('paste from garc here'!$C$1,1+(('table for research'!$B391-1)*36+HEX2DEC('table for research'!X$1))*2,2)</f>
        <v>00</v>
      </c>
      <c r="Y391" t="str">
        <f>MID('paste from garc here'!$C$1,1+(('table for research'!$B391-1)*36+HEX2DEC('table for research'!Y$1))*2,2)</f>
        <v>00</v>
      </c>
      <c r="Z391" t="str">
        <f>MID('paste from garc here'!$C$1,1+(('table for research'!$B391-1)*36+HEX2DEC('table for research'!Z$1))*2,2)</f>
        <v>00</v>
      </c>
      <c r="AA391" t="str">
        <f>MID('paste from garc here'!$C$1,1+(('table for research'!$B391-1)*36+HEX2DEC('table for research'!AA$1))*2,2)</f>
        <v>00</v>
      </c>
      <c r="AB391" t="str">
        <f>MID('paste from garc here'!$C$1,1+(('table for research'!$B391-1)*36+HEX2DEC('table for research'!AB$1))*2,2)</f>
        <v>00</v>
      </c>
      <c r="AC391" t="str">
        <f>MID('paste from garc here'!$C$1,1+(('table for research'!$B391-1)*36+HEX2DEC('table for research'!AC$1))*2,2)</f>
        <v>00</v>
      </c>
      <c r="AD391" t="str">
        <f>MID('paste from garc here'!$C$1,1+(('table for research'!$B391-1)*36+HEX2DEC('table for research'!AD$1))*2,2)</f>
        <v>00</v>
      </c>
      <c r="AE391" t="str">
        <f>MID('paste from garc here'!$C$1,1+(('table for research'!$B391-1)*36+HEX2DEC('table for research'!AE$1))*2,2)</f>
        <v>00</v>
      </c>
      <c r="AF391" t="str">
        <f>MID('paste from garc here'!$C$1,1+(('table for research'!$B391-1)*36+HEX2DEC('table for research'!AF$1))*2,2)</f>
        <v>00</v>
      </c>
      <c r="AG391" t="str">
        <f>MID('paste from garc here'!$C$1,1+(('table for research'!$B391-1)*36+HEX2DEC('table for research'!AG$1))*2,2)</f>
        <v>00</v>
      </c>
      <c r="AH391" t="str">
        <f>MID('paste from garc here'!$C$1,1+(('table for research'!$B391-1)*36+HEX2DEC('table for research'!AH$1))*2,2)</f>
        <v>00</v>
      </c>
      <c r="AI391" t="str">
        <f>MID('paste from garc here'!$C$1,1+(('table for research'!$B391-1)*36+HEX2DEC('table for research'!AI$1))*2,2)</f>
        <v>00</v>
      </c>
      <c r="AJ391" t="str">
        <f>MID('paste from garc here'!$C$1,1+(('table for research'!$B391-1)*36+HEX2DEC('table for research'!AJ$1))*2,2)</f>
        <v>00</v>
      </c>
      <c r="AK391" t="str">
        <f>MID('paste from garc here'!$C$1,1+(('table for research'!$B391-1)*36+HEX2DEC('table for research'!AK$1))*2,2)</f>
        <v>00</v>
      </c>
      <c r="AL391" t="str">
        <f>MID('paste from garc here'!$C$1,1+(('table for research'!$B391-1)*36+HEX2DEC('table for research'!AL$1))*2,2)</f>
        <v>00</v>
      </c>
      <c r="AM391" t="str">
        <f>MID('paste from garc here'!$C$1,1+(('table for research'!$B391-1)*36+HEX2DEC('table for research'!AM$1))*2,2)</f>
        <v>00</v>
      </c>
      <c r="AN391" t="str">
        <f>MID('paste from garc here'!$C$1,1+(('table for research'!$B391-1)*36+HEX2DEC('table for research'!AN$1))*2,2)</f>
        <v>00</v>
      </c>
      <c r="AO391" t="str">
        <f>MID('paste from garc here'!$C$1,1+(('table for research'!$B391-1)*36+HEX2DEC('table for research'!AO$1))*2,2)</f>
        <v>00</v>
      </c>
    </row>
    <row r="392" spans="1:41" x14ac:dyDescent="0.4">
      <c r="A392" t="s">
        <v>395</v>
      </c>
      <c r="B392">
        <f>B391+1</f>
        <v>390</v>
      </c>
      <c r="C392" t="str">
        <f>MID('paste from garc here'!$C$1,1+(('table for research'!$B392-1)*36+HEX2DEC('table for research'!C$1))*2,2)</f>
        <v>E8</v>
      </c>
      <c r="D392" t="str">
        <f>MID('paste from garc here'!$C$1,1+(('table for research'!$B392-1)*36+HEX2DEC('table for research'!D$1))*2,2)</f>
        <v>03</v>
      </c>
      <c r="E392" t="str">
        <f>MID('paste from garc here'!$C$1,1+(('table for research'!$B392-1)*36+HEX2DEC('table for research'!E$1))*2,2)</f>
        <v>00</v>
      </c>
      <c r="F392" t="str">
        <f>MID('paste from garc here'!$C$1,1+(('table for research'!$B392-1)*36+HEX2DEC('table for research'!F$1))*2,2)</f>
        <v>00</v>
      </c>
      <c r="G392" t="str">
        <f>MID('paste from garc here'!$C$1,1+(('table for research'!$B392-1)*36+HEX2DEC('table for research'!G$1))*2,2)</f>
        <v>00</v>
      </c>
      <c r="H392" t="str">
        <f>MID('paste from garc here'!$C$1,1+(('table for research'!$B392-1)*36+HEX2DEC('table for research'!H$1))*2,2)</f>
        <v>00</v>
      </c>
      <c r="I392" t="str">
        <f>MID('paste from garc here'!$C$1,1+(('table for research'!$B392-1)*36+HEX2DEC('table for research'!I$1))*2,2)</f>
        <v>00</v>
      </c>
      <c r="J392" t="str">
        <f>MID('paste from garc here'!$C$1,1+(('table for research'!$B392-1)*36+HEX2DEC('table for research'!J$1))*2,2)</f>
        <v>00</v>
      </c>
      <c r="K392" t="str">
        <f>DEC2HEX(_xlfn.BITAND(HEX2DEC(MID('paste from garc here'!$C$1,1+(('table for research'!$B392-1)*36+HEX2DEC(8))*2,2)),31),2)</f>
        <v>1F</v>
      </c>
      <c r="L392" t="str">
        <f>DEC2HEX(_xlfn.BITAND(HEX2DEC(MID('paste from garc here'!$C$1,1+(('table for research'!$B392-1)*36+HEX2DEC(8))*2,2)),32),2)</f>
        <v>20</v>
      </c>
      <c r="M392" t="str">
        <f>DEC2HEX(_xlfn.BITAND(HEX2DEC(MID('paste from garc here'!$C$1,1+(('table for research'!$B392-1)*36+HEX2DEC(8))*2,2)),64),2)</f>
        <v>00</v>
      </c>
      <c r="N392" t="str">
        <f>DEC2HEX(_xlfn.BITRSHIFT(_xlfn.BITAND(HEX2DEC(MID('paste from garc here'!$C$1,1+(('table for research'!$B392-1)*36+HEX2DEC(9))*2,2)&amp;MID('paste from garc here'!$C$1,1+(('table for research'!$B392-1)*36+HEX2DEC(8))*2,2)),1920),7),2)</f>
        <v>02</v>
      </c>
      <c r="O392" t="str">
        <f>DEC2HEX(_xlfn.BITRSHIFT(HEX2DEC(MID('paste from garc here'!$C$1,1+(('table for research'!$B392-1)*36+HEX2DEC(9))*2,2)&amp;MID('paste from garc here'!$C$1,1+(('table for research'!$B392-1)*36+HEX2DEC(8))*2,2)),11),2)</f>
        <v>00</v>
      </c>
      <c r="P392" t="str">
        <f>MID('paste from garc here'!$C$1,1+(('table for research'!$B392-1)*36+HEX2DEC('table for research'!P$1))*2,2)</f>
        <v>02</v>
      </c>
      <c r="Q392" t="str">
        <f>MID('paste from garc here'!$C$1,1+(('table for research'!$B392-1)*36+HEX2DEC('table for research'!Q$1))*2,2)</f>
        <v>00</v>
      </c>
      <c r="R392" t="str">
        <f>MID('paste from garc here'!$C$1,1+(('table for research'!$B392-1)*36+HEX2DEC('table for research'!R$1))*2,2)</f>
        <v>00</v>
      </c>
      <c r="S392" t="str">
        <f>MID('paste from garc here'!$C$1,1+(('table for research'!$B392-1)*36+HEX2DEC('table for research'!S$1))*2,2)</f>
        <v>06</v>
      </c>
      <c r="T392" t="str">
        <f>MID('paste from garc here'!$C$1,1+(('table for research'!$B392-1)*36+HEX2DEC('table for research'!T$1))*2,2)</f>
        <v>00</v>
      </c>
      <c r="U392" t="str">
        <f>MID('paste from garc here'!$C$1,1+(('table for research'!$B392-1)*36+HEX2DEC('table for research'!U$1))*2,2)</f>
        <v>3E</v>
      </c>
      <c r="V392" t="str">
        <f>MID('paste from garc here'!$C$1,1+(('table for research'!$B392-1)*36+HEX2DEC('table for research'!V$1))*2,2)</f>
        <v>00</v>
      </c>
      <c r="W392" t="str">
        <f>MID('paste from garc here'!$C$1,1+(('table for research'!$B392-1)*36+HEX2DEC('table for research'!W$1))*2,2)</f>
        <v>00</v>
      </c>
      <c r="X392" t="str">
        <f>MID('paste from garc here'!$C$1,1+(('table for research'!$B392-1)*36+HEX2DEC('table for research'!X$1))*2,2)</f>
        <v>00</v>
      </c>
      <c r="Y392" t="str">
        <f>MID('paste from garc here'!$C$1,1+(('table for research'!$B392-1)*36+HEX2DEC('table for research'!Y$1))*2,2)</f>
        <v>00</v>
      </c>
      <c r="Z392" t="str">
        <f>MID('paste from garc here'!$C$1,1+(('table for research'!$B392-1)*36+HEX2DEC('table for research'!Z$1))*2,2)</f>
        <v>00</v>
      </c>
      <c r="AA392" t="str">
        <f>MID('paste from garc here'!$C$1,1+(('table for research'!$B392-1)*36+HEX2DEC('table for research'!AA$1))*2,2)</f>
        <v>00</v>
      </c>
      <c r="AB392" t="str">
        <f>MID('paste from garc here'!$C$1,1+(('table for research'!$B392-1)*36+HEX2DEC('table for research'!AB$1))*2,2)</f>
        <v>00</v>
      </c>
      <c r="AC392" t="str">
        <f>MID('paste from garc here'!$C$1,1+(('table for research'!$B392-1)*36+HEX2DEC('table for research'!AC$1))*2,2)</f>
        <v>00</v>
      </c>
      <c r="AD392" t="str">
        <f>MID('paste from garc here'!$C$1,1+(('table for research'!$B392-1)*36+HEX2DEC('table for research'!AD$1))*2,2)</f>
        <v>00</v>
      </c>
      <c r="AE392" t="str">
        <f>MID('paste from garc here'!$C$1,1+(('table for research'!$B392-1)*36+HEX2DEC('table for research'!AE$1))*2,2)</f>
        <v>00</v>
      </c>
      <c r="AF392" t="str">
        <f>MID('paste from garc here'!$C$1,1+(('table for research'!$B392-1)*36+HEX2DEC('table for research'!AF$1))*2,2)</f>
        <v>00</v>
      </c>
      <c r="AG392" t="str">
        <f>MID('paste from garc here'!$C$1,1+(('table for research'!$B392-1)*36+HEX2DEC('table for research'!AG$1))*2,2)</f>
        <v>00</v>
      </c>
      <c r="AH392" t="str">
        <f>MID('paste from garc here'!$C$1,1+(('table for research'!$B392-1)*36+HEX2DEC('table for research'!AH$1))*2,2)</f>
        <v>00</v>
      </c>
      <c r="AI392" t="str">
        <f>MID('paste from garc here'!$C$1,1+(('table for research'!$B392-1)*36+HEX2DEC('table for research'!AI$1))*2,2)</f>
        <v>00</v>
      </c>
      <c r="AJ392" t="str">
        <f>MID('paste from garc here'!$C$1,1+(('table for research'!$B392-1)*36+HEX2DEC('table for research'!AJ$1))*2,2)</f>
        <v>00</v>
      </c>
      <c r="AK392" t="str">
        <f>MID('paste from garc here'!$C$1,1+(('table for research'!$B392-1)*36+HEX2DEC('table for research'!AK$1))*2,2)</f>
        <v>00</v>
      </c>
      <c r="AL392" t="str">
        <f>MID('paste from garc here'!$C$1,1+(('table for research'!$B392-1)*36+HEX2DEC('table for research'!AL$1))*2,2)</f>
        <v>00</v>
      </c>
      <c r="AM392" t="str">
        <f>MID('paste from garc here'!$C$1,1+(('table for research'!$B392-1)*36+HEX2DEC('table for research'!AM$1))*2,2)</f>
        <v>00</v>
      </c>
      <c r="AN392" t="str">
        <f>MID('paste from garc here'!$C$1,1+(('table for research'!$B392-1)*36+HEX2DEC('table for research'!AN$1))*2,2)</f>
        <v>00</v>
      </c>
      <c r="AO392" t="str">
        <f>MID('paste from garc here'!$C$1,1+(('table for research'!$B392-1)*36+HEX2DEC('table for research'!AO$1))*2,2)</f>
        <v>00</v>
      </c>
    </row>
    <row r="393" spans="1:41" x14ac:dyDescent="0.4">
      <c r="A393" t="s">
        <v>396</v>
      </c>
      <c r="B393">
        <f>B392+1</f>
        <v>391</v>
      </c>
      <c r="C393" t="str">
        <f>MID('paste from garc here'!$C$1,1+(('table for research'!$B393-1)*36+HEX2DEC('table for research'!C$1))*2,2)</f>
        <v>C4</v>
      </c>
      <c r="D393" t="str">
        <f>MID('paste from garc here'!$C$1,1+(('table for research'!$B393-1)*36+HEX2DEC('table for research'!D$1))*2,2)</f>
        <v>09</v>
      </c>
      <c r="E393" t="str">
        <f>MID('paste from garc here'!$C$1,1+(('table for research'!$B393-1)*36+HEX2DEC('table for research'!E$1))*2,2)</f>
        <v>00</v>
      </c>
      <c r="F393" t="str">
        <f>MID('paste from garc here'!$C$1,1+(('table for research'!$B393-1)*36+HEX2DEC('table for research'!F$1))*2,2)</f>
        <v>00</v>
      </c>
      <c r="G393" t="str">
        <f>MID('paste from garc here'!$C$1,1+(('table for research'!$B393-1)*36+HEX2DEC('table for research'!G$1))*2,2)</f>
        <v>00</v>
      </c>
      <c r="H393" t="str">
        <f>MID('paste from garc here'!$C$1,1+(('table for research'!$B393-1)*36+HEX2DEC('table for research'!H$1))*2,2)</f>
        <v>00</v>
      </c>
      <c r="I393" t="str">
        <f>MID('paste from garc here'!$C$1,1+(('table for research'!$B393-1)*36+HEX2DEC('table for research'!I$1))*2,2)</f>
        <v>00</v>
      </c>
      <c r="J393" t="str">
        <f>MID('paste from garc here'!$C$1,1+(('table for research'!$B393-1)*36+HEX2DEC('table for research'!J$1))*2,2)</f>
        <v>00</v>
      </c>
      <c r="K393" t="str">
        <f>DEC2HEX(_xlfn.BITAND(HEX2DEC(MID('paste from garc here'!$C$1,1+(('table for research'!$B393-1)*36+HEX2DEC(8))*2,2)),31),2)</f>
        <v>1F</v>
      </c>
      <c r="L393" t="str">
        <f>DEC2HEX(_xlfn.BITAND(HEX2DEC(MID('paste from garc here'!$C$1,1+(('table for research'!$B393-1)*36+HEX2DEC(8))*2,2)),32),2)</f>
        <v>20</v>
      </c>
      <c r="M393" t="str">
        <f>DEC2HEX(_xlfn.BITAND(HEX2DEC(MID('paste from garc here'!$C$1,1+(('table for research'!$B393-1)*36+HEX2DEC(8))*2,2)),64),2)</f>
        <v>00</v>
      </c>
      <c r="N393" t="str">
        <f>DEC2HEX(_xlfn.BITRSHIFT(_xlfn.BITAND(HEX2DEC(MID('paste from garc here'!$C$1,1+(('table for research'!$B393-1)*36+HEX2DEC(9))*2,2)&amp;MID('paste from garc here'!$C$1,1+(('table for research'!$B393-1)*36+HEX2DEC(8))*2,2)),1920),7),2)</f>
        <v>02</v>
      </c>
      <c r="O393" t="str">
        <f>DEC2HEX(_xlfn.BITRSHIFT(HEX2DEC(MID('paste from garc here'!$C$1,1+(('table for research'!$B393-1)*36+HEX2DEC(9))*2,2)&amp;MID('paste from garc here'!$C$1,1+(('table for research'!$B393-1)*36+HEX2DEC(8))*2,2)),11),2)</f>
        <v>00</v>
      </c>
      <c r="P393" t="str">
        <f>MID('paste from garc here'!$C$1,1+(('table for research'!$B393-1)*36+HEX2DEC('table for research'!P$1))*2,2)</f>
        <v>02</v>
      </c>
      <c r="Q393" t="str">
        <f>MID('paste from garc here'!$C$1,1+(('table for research'!$B393-1)*36+HEX2DEC('table for research'!Q$1))*2,2)</f>
        <v>00</v>
      </c>
      <c r="R393" t="str">
        <f>MID('paste from garc here'!$C$1,1+(('table for research'!$B393-1)*36+HEX2DEC('table for research'!R$1))*2,2)</f>
        <v>00</v>
      </c>
      <c r="S393" t="str">
        <f>MID('paste from garc here'!$C$1,1+(('table for research'!$B393-1)*36+HEX2DEC('table for research'!S$1))*2,2)</f>
        <v>06</v>
      </c>
      <c r="T393" t="str">
        <f>MID('paste from garc here'!$C$1,1+(('table for research'!$B393-1)*36+HEX2DEC('table for research'!T$1))*2,2)</f>
        <v>00</v>
      </c>
      <c r="U393" t="str">
        <f>MID('paste from garc here'!$C$1,1+(('table for research'!$B393-1)*36+HEX2DEC('table for research'!U$1))*2,2)</f>
        <v>3F</v>
      </c>
      <c r="V393" t="str">
        <f>MID('paste from garc here'!$C$1,1+(('table for research'!$B393-1)*36+HEX2DEC('table for research'!V$1))*2,2)</f>
        <v>00</v>
      </c>
      <c r="W393" t="str">
        <f>MID('paste from garc here'!$C$1,1+(('table for research'!$B393-1)*36+HEX2DEC('table for research'!W$1))*2,2)</f>
        <v>00</v>
      </c>
      <c r="X393" t="str">
        <f>MID('paste from garc here'!$C$1,1+(('table for research'!$B393-1)*36+HEX2DEC('table for research'!X$1))*2,2)</f>
        <v>00</v>
      </c>
      <c r="Y393" t="str">
        <f>MID('paste from garc here'!$C$1,1+(('table for research'!$B393-1)*36+HEX2DEC('table for research'!Y$1))*2,2)</f>
        <v>00</v>
      </c>
      <c r="Z393" t="str">
        <f>MID('paste from garc here'!$C$1,1+(('table for research'!$B393-1)*36+HEX2DEC('table for research'!Z$1))*2,2)</f>
        <v>00</v>
      </c>
      <c r="AA393" t="str">
        <f>MID('paste from garc here'!$C$1,1+(('table for research'!$B393-1)*36+HEX2DEC('table for research'!AA$1))*2,2)</f>
        <v>00</v>
      </c>
      <c r="AB393" t="str">
        <f>MID('paste from garc here'!$C$1,1+(('table for research'!$B393-1)*36+HEX2DEC('table for research'!AB$1))*2,2)</f>
        <v>00</v>
      </c>
      <c r="AC393" t="str">
        <f>MID('paste from garc here'!$C$1,1+(('table for research'!$B393-1)*36+HEX2DEC('table for research'!AC$1))*2,2)</f>
        <v>00</v>
      </c>
      <c r="AD393" t="str">
        <f>MID('paste from garc here'!$C$1,1+(('table for research'!$B393-1)*36+HEX2DEC('table for research'!AD$1))*2,2)</f>
        <v>00</v>
      </c>
      <c r="AE393" t="str">
        <f>MID('paste from garc here'!$C$1,1+(('table for research'!$B393-1)*36+HEX2DEC('table for research'!AE$1))*2,2)</f>
        <v>00</v>
      </c>
      <c r="AF393" t="str">
        <f>MID('paste from garc here'!$C$1,1+(('table for research'!$B393-1)*36+HEX2DEC('table for research'!AF$1))*2,2)</f>
        <v>00</v>
      </c>
      <c r="AG393" t="str">
        <f>MID('paste from garc here'!$C$1,1+(('table for research'!$B393-1)*36+HEX2DEC('table for research'!AG$1))*2,2)</f>
        <v>00</v>
      </c>
      <c r="AH393" t="str">
        <f>MID('paste from garc here'!$C$1,1+(('table for research'!$B393-1)*36+HEX2DEC('table for research'!AH$1))*2,2)</f>
        <v>00</v>
      </c>
      <c r="AI393" t="str">
        <f>MID('paste from garc here'!$C$1,1+(('table for research'!$B393-1)*36+HEX2DEC('table for research'!AI$1))*2,2)</f>
        <v>00</v>
      </c>
      <c r="AJ393" t="str">
        <f>MID('paste from garc here'!$C$1,1+(('table for research'!$B393-1)*36+HEX2DEC('table for research'!AJ$1))*2,2)</f>
        <v>00</v>
      </c>
      <c r="AK393" t="str">
        <f>MID('paste from garc here'!$C$1,1+(('table for research'!$B393-1)*36+HEX2DEC('table for research'!AK$1))*2,2)</f>
        <v>00</v>
      </c>
      <c r="AL393" t="str">
        <f>MID('paste from garc here'!$C$1,1+(('table for research'!$B393-1)*36+HEX2DEC('table for research'!AL$1))*2,2)</f>
        <v>00</v>
      </c>
      <c r="AM393" t="str">
        <f>MID('paste from garc here'!$C$1,1+(('table for research'!$B393-1)*36+HEX2DEC('table for research'!AM$1))*2,2)</f>
        <v>00</v>
      </c>
      <c r="AN393" t="str">
        <f>MID('paste from garc here'!$C$1,1+(('table for research'!$B393-1)*36+HEX2DEC('table for research'!AN$1))*2,2)</f>
        <v>00</v>
      </c>
      <c r="AO393" t="str">
        <f>MID('paste from garc here'!$C$1,1+(('table for research'!$B393-1)*36+HEX2DEC('table for research'!AO$1))*2,2)</f>
        <v>00</v>
      </c>
    </row>
    <row r="394" spans="1:41" x14ac:dyDescent="0.4">
      <c r="A394" t="s">
        <v>397</v>
      </c>
      <c r="B394">
        <f>B393+1</f>
        <v>392</v>
      </c>
      <c r="C394" t="str">
        <f>MID('paste from garc here'!$C$1,1+(('table for research'!$B394-1)*36+HEX2DEC('table for research'!C$1))*2,2)</f>
        <v>B8</v>
      </c>
      <c r="D394" t="str">
        <f>MID('paste from garc here'!$C$1,1+(('table for research'!$B394-1)*36+HEX2DEC('table for research'!D$1))*2,2)</f>
        <v>0B</v>
      </c>
      <c r="E394" t="str">
        <f>MID('paste from garc here'!$C$1,1+(('table for research'!$B394-1)*36+HEX2DEC('table for research'!E$1))*2,2)</f>
        <v>00</v>
      </c>
      <c r="F394" t="str">
        <f>MID('paste from garc here'!$C$1,1+(('table for research'!$B394-1)*36+HEX2DEC('table for research'!F$1))*2,2)</f>
        <v>00</v>
      </c>
      <c r="G394" t="str">
        <f>MID('paste from garc here'!$C$1,1+(('table for research'!$B394-1)*36+HEX2DEC('table for research'!G$1))*2,2)</f>
        <v>00</v>
      </c>
      <c r="H394" t="str">
        <f>MID('paste from garc here'!$C$1,1+(('table for research'!$B394-1)*36+HEX2DEC('table for research'!H$1))*2,2)</f>
        <v>00</v>
      </c>
      <c r="I394" t="str">
        <f>MID('paste from garc here'!$C$1,1+(('table for research'!$B394-1)*36+HEX2DEC('table for research'!I$1))*2,2)</f>
        <v>00</v>
      </c>
      <c r="J394" t="str">
        <f>MID('paste from garc here'!$C$1,1+(('table for research'!$B394-1)*36+HEX2DEC('table for research'!J$1))*2,2)</f>
        <v>00</v>
      </c>
      <c r="K394" t="str">
        <f>DEC2HEX(_xlfn.BITAND(HEX2DEC(MID('paste from garc here'!$C$1,1+(('table for research'!$B394-1)*36+HEX2DEC(8))*2,2)),31),2)</f>
        <v>1F</v>
      </c>
      <c r="L394" t="str">
        <f>DEC2HEX(_xlfn.BITAND(HEX2DEC(MID('paste from garc here'!$C$1,1+(('table for research'!$B394-1)*36+HEX2DEC(8))*2,2)),32),2)</f>
        <v>20</v>
      </c>
      <c r="M394" t="str">
        <f>DEC2HEX(_xlfn.BITAND(HEX2DEC(MID('paste from garc here'!$C$1,1+(('table for research'!$B394-1)*36+HEX2DEC(8))*2,2)),64),2)</f>
        <v>00</v>
      </c>
      <c r="N394" t="str">
        <f>DEC2HEX(_xlfn.BITRSHIFT(_xlfn.BITAND(HEX2DEC(MID('paste from garc here'!$C$1,1+(('table for research'!$B394-1)*36+HEX2DEC(9))*2,2)&amp;MID('paste from garc here'!$C$1,1+(('table for research'!$B394-1)*36+HEX2DEC(8))*2,2)),1920),7),2)</f>
        <v>02</v>
      </c>
      <c r="O394" t="str">
        <f>DEC2HEX(_xlfn.BITRSHIFT(HEX2DEC(MID('paste from garc here'!$C$1,1+(('table for research'!$B394-1)*36+HEX2DEC(9))*2,2)&amp;MID('paste from garc here'!$C$1,1+(('table for research'!$B394-1)*36+HEX2DEC(8))*2,2)),11),2)</f>
        <v>00</v>
      </c>
      <c r="P394" t="str">
        <f>MID('paste from garc here'!$C$1,1+(('table for research'!$B394-1)*36+HEX2DEC('table for research'!P$1))*2,2)</f>
        <v>02</v>
      </c>
      <c r="Q394" t="str">
        <f>MID('paste from garc here'!$C$1,1+(('table for research'!$B394-1)*36+HEX2DEC('table for research'!Q$1))*2,2)</f>
        <v>00</v>
      </c>
      <c r="R394" t="str">
        <f>MID('paste from garc here'!$C$1,1+(('table for research'!$B394-1)*36+HEX2DEC('table for research'!R$1))*2,2)</f>
        <v>00</v>
      </c>
      <c r="S394" t="str">
        <f>MID('paste from garc here'!$C$1,1+(('table for research'!$B394-1)*36+HEX2DEC('table for research'!S$1))*2,2)</f>
        <v>06</v>
      </c>
      <c r="T394" t="str">
        <f>MID('paste from garc here'!$C$1,1+(('table for research'!$B394-1)*36+HEX2DEC('table for research'!T$1))*2,2)</f>
        <v>00</v>
      </c>
      <c r="U394" t="str">
        <f>MID('paste from garc here'!$C$1,1+(('table for research'!$B394-1)*36+HEX2DEC('table for research'!U$1))*2,2)</f>
        <v>40</v>
      </c>
      <c r="V394" t="str">
        <f>MID('paste from garc here'!$C$1,1+(('table for research'!$B394-1)*36+HEX2DEC('table for research'!V$1))*2,2)</f>
        <v>00</v>
      </c>
      <c r="W394" t="str">
        <f>MID('paste from garc here'!$C$1,1+(('table for research'!$B394-1)*36+HEX2DEC('table for research'!W$1))*2,2)</f>
        <v>00</v>
      </c>
      <c r="X394" t="str">
        <f>MID('paste from garc here'!$C$1,1+(('table for research'!$B394-1)*36+HEX2DEC('table for research'!X$1))*2,2)</f>
        <v>00</v>
      </c>
      <c r="Y394" t="str">
        <f>MID('paste from garc here'!$C$1,1+(('table for research'!$B394-1)*36+HEX2DEC('table for research'!Y$1))*2,2)</f>
        <v>00</v>
      </c>
      <c r="Z394" t="str">
        <f>MID('paste from garc here'!$C$1,1+(('table for research'!$B394-1)*36+HEX2DEC('table for research'!Z$1))*2,2)</f>
        <v>00</v>
      </c>
      <c r="AA394" t="str">
        <f>MID('paste from garc here'!$C$1,1+(('table for research'!$B394-1)*36+HEX2DEC('table for research'!AA$1))*2,2)</f>
        <v>00</v>
      </c>
      <c r="AB394" t="str">
        <f>MID('paste from garc here'!$C$1,1+(('table for research'!$B394-1)*36+HEX2DEC('table for research'!AB$1))*2,2)</f>
        <v>00</v>
      </c>
      <c r="AC394" t="str">
        <f>MID('paste from garc here'!$C$1,1+(('table for research'!$B394-1)*36+HEX2DEC('table for research'!AC$1))*2,2)</f>
        <v>00</v>
      </c>
      <c r="AD394" t="str">
        <f>MID('paste from garc here'!$C$1,1+(('table for research'!$B394-1)*36+HEX2DEC('table for research'!AD$1))*2,2)</f>
        <v>00</v>
      </c>
      <c r="AE394" t="str">
        <f>MID('paste from garc here'!$C$1,1+(('table for research'!$B394-1)*36+HEX2DEC('table for research'!AE$1))*2,2)</f>
        <v>00</v>
      </c>
      <c r="AF394" t="str">
        <f>MID('paste from garc here'!$C$1,1+(('table for research'!$B394-1)*36+HEX2DEC('table for research'!AF$1))*2,2)</f>
        <v>00</v>
      </c>
      <c r="AG394" t="str">
        <f>MID('paste from garc here'!$C$1,1+(('table for research'!$B394-1)*36+HEX2DEC('table for research'!AG$1))*2,2)</f>
        <v>00</v>
      </c>
      <c r="AH394" t="str">
        <f>MID('paste from garc here'!$C$1,1+(('table for research'!$B394-1)*36+HEX2DEC('table for research'!AH$1))*2,2)</f>
        <v>00</v>
      </c>
      <c r="AI394" t="str">
        <f>MID('paste from garc here'!$C$1,1+(('table for research'!$B394-1)*36+HEX2DEC('table for research'!AI$1))*2,2)</f>
        <v>00</v>
      </c>
      <c r="AJ394" t="str">
        <f>MID('paste from garc here'!$C$1,1+(('table for research'!$B394-1)*36+HEX2DEC('table for research'!AJ$1))*2,2)</f>
        <v>00</v>
      </c>
      <c r="AK394" t="str">
        <f>MID('paste from garc here'!$C$1,1+(('table for research'!$B394-1)*36+HEX2DEC('table for research'!AK$1))*2,2)</f>
        <v>00</v>
      </c>
      <c r="AL394" t="str">
        <f>MID('paste from garc here'!$C$1,1+(('table for research'!$B394-1)*36+HEX2DEC('table for research'!AL$1))*2,2)</f>
        <v>00</v>
      </c>
      <c r="AM394" t="str">
        <f>MID('paste from garc here'!$C$1,1+(('table for research'!$B394-1)*36+HEX2DEC('table for research'!AM$1))*2,2)</f>
        <v>00</v>
      </c>
      <c r="AN394" t="str">
        <f>MID('paste from garc here'!$C$1,1+(('table for research'!$B394-1)*36+HEX2DEC('table for research'!AN$1))*2,2)</f>
        <v>00</v>
      </c>
      <c r="AO394" t="str">
        <f>MID('paste from garc here'!$C$1,1+(('table for research'!$B394-1)*36+HEX2DEC('table for research'!AO$1))*2,2)</f>
        <v>00</v>
      </c>
    </row>
    <row r="395" spans="1:41" x14ac:dyDescent="0.4">
      <c r="A395" t="s">
        <v>398</v>
      </c>
      <c r="B395">
        <f>B394+1</f>
        <v>393</v>
      </c>
      <c r="C395" t="str">
        <f>MID('paste from garc here'!$C$1,1+(('table for research'!$B395-1)*36+HEX2DEC('table for research'!C$1))*2,2)</f>
        <v>E8</v>
      </c>
      <c r="D395" t="str">
        <f>MID('paste from garc here'!$C$1,1+(('table for research'!$B395-1)*36+HEX2DEC('table for research'!D$1))*2,2)</f>
        <v>03</v>
      </c>
      <c r="E395" t="str">
        <f>MID('paste from garc here'!$C$1,1+(('table for research'!$B395-1)*36+HEX2DEC('table for research'!E$1))*2,2)</f>
        <v>00</v>
      </c>
      <c r="F395" t="str">
        <f>MID('paste from garc here'!$C$1,1+(('table for research'!$B395-1)*36+HEX2DEC('table for research'!F$1))*2,2)</f>
        <v>00</v>
      </c>
      <c r="G395" t="str">
        <f>MID('paste from garc here'!$C$1,1+(('table for research'!$B395-1)*36+HEX2DEC('table for research'!G$1))*2,2)</f>
        <v>00</v>
      </c>
      <c r="H395" t="str">
        <f>MID('paste from garc here'!$C$1,1+(('table for research'!$B395-1)*36+HEX2DEC('table for research'!H$1))*2,2)</f>
        <v>00</v>
      </c>
      <c r="I395" t="str">
        <f>MID('paste from garc here'!$C$1,1+(('table for research'!$B395-1)*36+HEX2DEC('table for research'!I$1))*2,2)</f>
        <v>00</v>
      </c>
      <c r="J395" t="str">
        <f>MID('paste from garc here'!$C$1,1+(('table for research'!$B395-1)*36+HEX2DEC('table for research'!J$1))*2,2)</f>
        <v>00</v>
      </c>
      <c r="K395" t="str">
        <f>DEC2HEX(_xlfn.BITAND(HEX2DEC(MID('paste from garc here'!$C$1,1+(('table for research'!$B395-1)*36+HEX2DEC(8))*2,2)),31),2)</f>
        <v>1F</v>
      </c>
      <c r="L395" t="str">
        <f>DEC2HEX(_xlfn.BITAND(HEX2DEC(MID('paste from garc here'!$C$1,1+(('table for research'!$B395-1)*36+HEX2DEC(8))*2,2)),32),2)</f>
        <v>20</v>
      </c>
      <c r="M395" t="str">
        <f>DEC2HEX(_xlfn.BITAND(HEX2DEC(MID('paste from garc here'!$C$1,1+(('table for research'!$B395-1)*36+HEX2DEC(8))*2,2)),64),2)</f>
        <v>00</v>
      </c>
      <c r="N395" t="str">
        <f>DEC2HEX(_xlfn.BITRSHIFT(_xlfn.BITAND(HEX2DEC(MID('paste from garc here'!$C$1,1+(('table for research'!$B395-1)*36+HEX2DEC(9))*2,2)&amp;MID('paste from garc here'!$C$1,1+(('table for research'!$B395-1)*36+HEX2DEC(8))*2,2)),1920),7),2)</f>
        <v>02</v>
      </c>
      <c r="O395" t="str">
        <f>DEC2HEX(_xlfn.BITRSHIFT(HEX2DEC(MID('paste from garc here'!$C$1,1+(('table for research'!$B395-1)*36+HEX2DEC(9))*2,2)&amp;MID('paste from garc here'!$C$1,1+(('table for research'!$B395-1)*36+HEX2DEC(8))*2,2)),11),2)</f>
        <v>00</v>
      </c>
      <c r="P395" t="str">
        <f>MID('paste from garc here'!$C$1,1+(('table for research'!$B395-1)*36+HEX2DEC('table for research'!P$1))*2,2)</f>
        <v>02</v>
      </c>
      <c r="Q395" t="str">
        <f>MID('paste from garc here'!$C$1,1+(('table for research'!$B395-1)*36+HEX2DEC('table for research'!Q$1))*2,2)</f>
        <v>00</v>
      </c>
      <c r="R395" t="str">
        <f>MID('paste from garc here'!$C$1,1+(('table for research'!$B395-1)*36+HEX2DEC('table for research'!R$1))*2,2)</f>
        <v>00</v>
      </c>
      <c r="S395" t="str">
        <f>MID('paste from garc here'!$C$1,1+(('table for research'!$B395-1)*36+HEX2DEC('table for research'!S$1))*2,2)</f>
        <v>06</v>
      </c>
      <c r="T395" t="str">
        <f>MID('paste from garc here'!$C$1,1+(('table for research'!$B395-1)*36+HEX2DEC('table for research'!T$1))*2,2)</f>
        <v>00</v>
      </c>
      <c r="U395" t="str">
        <f>MID('paste from garc here'!$C$1,1+(('table for research'!$B395-1)*36+HEX2DEC('table for research'!U$1))*2,2)</f>
        <v>41</v>
      </c>
      <c r="V395" t="str">
        <f>MID('paste from garc here'!$C$1,1+(('table for research'!$B395-1)*36+HEX2DEC('table for research'!V$1))*2,2)</f>
        <v>00</v>
      </c>
      <c r="W395" t="str">
        <f>MID('paste from garc here'!$C$1,1+(('table for research'!$B395-1)*36+HEX2DEC('table for research'!W$1))*2,2)</f>
        <v>00</v>
      </c>
      <c r="X395" t="str">
        <f>MID('paste from garc here'!$C$1,1+(('table for research'!$B395-1)*36+HEX2DEC('table for research'!X$1))*2,2)</f>
        <v>00</v>
      </c>
      <c r="Y395" t="str">
        <f>MID('paste from garc here'!$C$1,1+(('table for research'!$B395-1)*36+HEX2DEC('table for research'!Y$1))*2,2)</f>
        <v>00</v>
      </c>
      <c r="Z395" t="str">
        <f>MID('paste from garc here'!$C$1,1+(('table for research'!$B395-1)*36+HEX2DEC('table for research'!Z$1))*2,2)</f>
        <v>00</v>
      </c>
      <c r="AA395" t="str">
        <f>MID('paste from garc here'!$C$1,1+(('table for research'!$B395-1)*36+HEX2DEC('table for research'!AA$1))*2,2)</f>
        <v>00</v>
      </c>
      <c r="AB395" t="str">
        <f>MID('paste from garc here'!$C$1,1+(('table for research'!$B395-1)*36+HEX2DEC('table for research'!AB$1))*2,2)</f>
        <v>00</v>
      </c>
      <c r="AC395" t="str">
        <f>MID('paste from garc here'!$C$1,1+(('table for research'!$B395-1)*36+HEX2DEC('table for research'!AC$1))*2,2)</f>
        <v>00</v>
      </c>
      <c r="AD395" t="str">
        <f>MID('paste from garc here'!$C$1,1+(('table for research'!$B395-1)*36+HEX2DEC('table for research'!AD$1))*2,2)</f>
        <v>00</v>
      </c>
      <c r="AE395" t="str">
        <f>MID('paste from garc here'!$C$1,1+(('table for research'!$B395-1)*36+HEX2DEC('table for research'!AE$1))*2,2)</f>
        <v>00</v>
      </c>
      <c r="AF395" t="str">
        <f>MID('paste from garc here'!$C$1,1+(('table for research'!$B395-1)*36+HEX2DEC('table for research'!AF$1))*2,2)</f>
        <v>00</v>
      </c>
      <c r="AG395" t="str">
        <f>MID('paste from garc here'!$C$1,1+(('table for research'!$B395-1)*36+HEX2DEC('table for research'!AG$1))*2,2)</f>
        <v>00</v>
      </c>
      <c r="AH395" t="str">
        <f>MID('paste from garc here'!$C$1,1+(('table for research'!$B395-1)*36+HEX2DEC('table for research'!AH$1))*2,2)</f>
        <v>00</v>
      </c>
      <c r="AI395" t="str">
        <f>MID('paste from garc here'!$C$1,1+(('table for research'!$B395-1)*36+HEX2DEC('table for research'!AI$1))*2,2)</f>
        <v>00</v>
      </c>
      <c r="AJ395" t="str">
        <f>MID('paste from garc here'!$C$1,1+(('table for research'!$B395-1)*36+HEX2DEC('table for research'!AJ$1))*2,2)</f>
        <v>00</v>
      </c>
      <c r="AK395" t="str">
        <f>MID('paste from garc here'!$C$1,1+(('table for research'!$B395-1)*36+HEX2DEC('table for research'!AK$1))*2,2)</f>
        <v>00</v>
      </c>
      <c r="AL395" t="str">
        <f>MID('paste from garc here'!$C$1,1+(('table for research'!$B395-1)*36+HEX2DEC('table for research'!AL$1))*2,2)</f>
        <v>00</v>
      </c>
      <c r="AM395" t="str">
        <f>MID('paste from garc here'!$C$1,1+(('table for research'!$B395-1)*36+HEX2DEC('table for research'!AM$1))*2,2)</f>
        <v>00</v>
      </c>
      <c r="AN395" t="str">
        <f>MID('paste from garc here'!$C$1,1+(('table for research'!$B395-1)*36+HEX2DEC('table for research'!AN$1))*2,2)</f>
        <v>00</v>
      </c>
      <c r="AO395" t="str">
        <f>MID('paste from garc here'!$C$1,1+(('table for research'!$B395-1)*36+HEX2DEC('table for research'!AO$1))*2,2)</f>
        <v>00</v>
      </c>
    </row>
    <row r="396" spans="1:41" x14ac:dyDescent="0.4">
      <c r="A396" t="s">
        <v>399</v>
      </c>
      <c r="B396">
        <f>B395+1</f>
        <v>394</v>
      </c>
      <c r="C396" t="str">
        <f>MID('paste from garc here'!$C$1,1+(('table for research'!$B396-1)*36+HEX2DEC('table for research'!C$1))*2,2)</f>
        <v>E8</v>
      </c>
      <c r="D396" t="str">
        <f>MID('paste from garc here'!$C$1,1+(('table for research'!$B396-1)*36+HEX2DEC('table for research'!D$1))*2,2)</f>
        <v>03</v>
      </c>
      <c r="E396" t="str">
        <f>MID('paste from garc here'!$C$1,1+(('table for research'!$B396-1)*36+HEX2DEC('table for research'!E$1))*2,2)</f>
        <v>00</v>
      </c>
      <c r="F396" t="str">
        <f>MID('paste from garc here'!$C$1,1+(('table for research'!$B396-1)*36+HEX2DEC('table for research'!F$1))*2,2)</f>
        <v>00</v>
      </c>
      <c r="G396" t="str">
        <f>MID('paste from garc here'!$C$1,1+(('table for research'!$B396-1)*36+HEX2DEC('table for research'!G$1))*2,2)</f>
        <v>00</v>
      </c>
      <c r="H396" t="str">
        <f>MID('paste from garc here'!$C$1,1+(('table for research'!$B396-1)*36+HEX2DEC('table for research'!H$1))*2,2)</f>
        <v>00</v>
      </c>
      <c r="I396" t="str">
        <f>MID('paste from garc here'!$C$1,1+(('table for research'!$B396-1)*36+HEX2DEC('table for research'!I$1))*2,2)</f>
        <v>00</v>
      </c>
      <c r="J396" t="str">
        <f>MID('paste from garc here'!$C$1,1+(('table for research'!$B396-1)*36+HEX2DEC('table for research'!J$1))*2,2)</f>
        <v>00</v>
      </c>
      <c r="K396" t="str">
        <f>DEC2HEX(_xlfn.BITAND(HEX2DEC(MID('paste from garc here'!$C$1,1+(('table for research'!$B396-1)*36+HEX2DEC(8))*2,2)),31),2)</f>
        <v>1F</v>
      </c>
      <c r="L396" t="str">
        <f>DEC2HEX(_xlfn.BITAND(HEX2DEC(MID('paste from garc here'!$C$1,1+(('table for research'!$B396-1)*36+HEX2DEC(8))*2,2)),32),2)</f>
        <v>20</v>
      </c>
      <c r="M396" t="str">
        <f>DEC2HEX(_xlfn.BITAND(HEX2DEC(MID('paste from garc here'!$C$1,1+(('table for research'!$B396-1)*36+HEX2DEC(8))*2,2)),64),2)</f>
        <v>00</v>
      </c>
      <c r="N396" t="str">
        <f>DEC2HEX(_xlfn.BITRSHIFT(_xlfn.BITAND(HEX2DEC(MID('paste from garc here'!$C$1,1+(('table for research'!$B396-1)*36+HEX2DEC(9))*2,2)&amp;MID('paste from garc here'!$C$1,1+(('table for research'!$B396-1)*36+HEX2DEC(8))*2,2)),1920),7),2)</f>
        <v>02</v>
      </c>
      <c r="O396" t="str">
        <f>DEC2HEX(_xlfn.BITRSHIFT(HEX2DEC(MID('paste from garc here'!$C$1,1+(('table for research'!$B396-1)*36+HEX2DEC(9))*2,2)&amp;MID('paste from garc here'!$C$1,1+(('table for research'!$B396-1)*36+HEX2DEC(8))*2,2)),11),2)</f>
        <v>00</v>
      </c>
      <c r="P396" t="str">
        <f>MID('paste from garc here'!$C$1,1+(('table for research'!$B396-1)*36+HEX2DEC('table for research'!P$1))*2,2)</f>
        <v>02</v>
      </c>
      <c r="Q396" t="str">
        <f>MID('paste from garc here'!$C$1,1+(('table for research'!$B396-1)*36+HEX2DEC('table for research'!Q$1))*2,2)</f>
        <v>00</v>
      </c>
      <c r="R396" t="str">
        <f>MID('paste from garc here'!$C$1,1+(('table for research'!$B396-1)*36+HEX2DEC('table for research'!R$1))*2,2)</f>
        <v>00</v>
      </c>
      <c r="S396" t="str">
        <f>MID('paste from garc here'!$C$1,1+(('table for research'!$B396-1)*36+HEX2DEC('table for research'!S$1))*2,2)</f>
        <v>06</v>
      </c>
      <c r="T396" t="str">
        <f>MID('paste from garc here'!$C$1,1+(('table for research'!$B396-1)*36+HEX2DEC('table for research'!T$1))*2,2)</f>
        <v>00</v>
      </c>
      <c r="U396" t="str">
        <f>MID('paste from garc here'!$C$1,1+(('table for research'!$B396-1)*36+HEX2DEC('table for research'!U$1))*2,2)</f>
        <v>42</v>
      </c>
      <c r="V396" t="str">
        <f>MID('paste from garc here'!$C$1,1+(('table for research'!$B396-1)*36+HEX2DEC('table for research'!V$1))*2,2)</f>
        <v>00</v>
      </c>
      <c r="W396" t="str">
        <f>MID('paste from garc here'!$C$1,1+(('table for research'!$B396-1)*36+HEX2DEC('table for research'!W$1))*2,2)</f>
        <v>00</v>
      </c>
      <c r="X396" t="str">
        <f>MID('paste from garc here'!$C$1,1+(('table for research'!$B396-1)*36+HEX2DEC('table for research'!X$1))*2,2)</f>
        <v>00</v>
      </c>
      <c r="Y396" t="str">
        <f>MID('paste from garc here'!$C$1,1+(('table for research'!$B396-1)*36+HEX2DEC('table for research'!Y$1))*2,2)</f>
        <v>00</v>
      </c>
      <c r="Z396" t="str">
        <f>MID('paste from garc here'!$C$1,1+(('table for research'!$B396-1)*36+HEX2DEC('table for research'!Z$1))*2,2)</f>
        <v>00</v>
      </c>
      <c r="AA396" t="str">
        <f>MID('paste from garc here'!$C$1,1+(('table for research'!$B396-1)*36+HEX2DEC('table for research'!AA$1))*2,2)</f>
        <v>00</v>
      </c>
      <c r="AB396" t="str">
        <f>MID('paste from garc here'!$C$1,1+(('table for research'!$B396-1)*36+HEX2DEC('table for research'!AB$1))*2,2)</f>
        <v>00</v>
      </c>
      <c r="AC396" t="str">
        <f>MID('paste from garc here'!$C$1,1+(('table for research'!$B396-1)*36+HEX2DEC('table for research'!AC$1))*2,2)</f>
        <v>00</v>
      </c>
      <c r="AD396" t="str">
        <f>MID('paste from garc here'!$C$1,1+(('table for research'!$B396-1)*36+HEX2DEC('table for research'!AD$1))*2,2)</f>
        <v>00</v>
      </c>
      <c r="AE396" t="str">
        <f>MID('paste from garc here'!$C$1,1+(('table for research'!$B396-1)*36+HEX2DEC('table for research'!AE$1))*2,2)</f>
        <v>00</v>
      </c>
      <c r="AF396" t="str">
        <f>MID('paste from garc here'!$C$1,1+(('table for research'!$B396-1)*36+HEX2DEC('table for research'!AF$1))*2,2)</f>
        <v>00</v>
      </c>
      <c r="AG396" t="str">
        <f>MID('paste from garc here'!$C$1,1+(('table for research'!$B396-1)*36+HEX2DEC('table for research'!AG$1))*2,2)</f>
        <v>00</v>
      </c>
      <c r="AH396" t="str">
        <f>MID('paste from garc here'!$C$1,1+(('table for research'!$B396-1)*36+HEX2DEC('table for research'!AH$1))*2,2)</f>
        <v>00</v>
      </c>
      <c r="AI396" t="str">
        <f>MID('paste from garc here'!$C$1,1+(('table for research'!$B396-1)*36+HEX2DEC('table for research'!AI$1))*2,2)</f>
        <v>00</v>
      </c>
      <c r="AJ396" t="str">
        <f>MID('paste from garc here'!$C$1,1+(('table for research'!$B396-1)*36+HEX2DEC('table for research'!AJ$1))*2,2)</f>
        <v>00</v>
      </c>
      <c r="AK396" t="str">
        <f>MID('paste from garc here'!$C$1,1+(('table for research'!$B396-1)*36+HEX2DEC('table for research'!AK$1))*2,2)</f>
        <v>00</v>
      </c>
      <c r="AL396" t="str">
        <f>MID('paste from garc here'!$C$1,1+(('table for research'!$B396-1)*36+HEX2DEC('table for research'!AL$1))*2,2)</f>
        <v>00</v>
      </c>
      <c r="AM396" t="str">
        <f>MID('paste from garc here'!$C$1,1+(('table for research'!$B396-1)*36+HEX2DEC('table for research'!AM$1))*2,2)</f>
        <v>00</v>
      </c>
      <c r="AN396" t="str">
        <f>MID('paste from garc here'!$C$1,1+(('table for research'!$B396-1)*36+HEX2DEC('table for research'!AN$1))*2,2)</f>
        <v>00</v>
      </c>
      <c r="AO396" t="str">
        <f>MID('paste from garc here'!$C$1,1+(('table for research'!$B396-1)*36+HEX2DEC('table for research'!AO$1))*2,2)</f>
        <v>00</v>
      </c>
    </row>
    <row r="397" spans="1:41" x14ac:dyDescent="0.4">
      <c r="A397" t="s">
        <v>400</v>
      </c>
      <c r="B397">
        <f>B396+1</f>
        <v>395</v>
      </c>
      <c r="C397" t="str">
        <f>MID('paste from garc here'!$C$1,1+(('table for research'!$B397-1)*36+HEX2DEC('table for research'!C$1))*2,2)</f>
        <v>88</v>
      </c>
      <c r="D397" t="str">
        <f>MID('paste from garc here'!$C$1,1+(('table for research'!$B397-1)*36+HEX2DEC('table for research'!D$1))*2,2)</f>
        <v>13</v>
      </c>
      <c r="E397" t="str">
        <f>MID('paste from garc here'!$C$1,1+(('table for research'!$B397-1)*36+HEX2DEC('table for research'!E$1))*2,2)</f>
        <v>00</v>
      </c>
      <c r="F397" t="str">
        <f>MID('paste from garc here'!$C$1,1+(('table for research'!$B397-1)*36+HEX2DEC('table for research'!F$1))*2,2)</f>
        <v>00</v>
      </c>
      <c r="G397" t="str">
        <f>MID('paste from garc here'!$C$1,1+(('table for research'!$B397-1)*36+HEX2DEC('table for research'!G$1))*2,2)</f>
        <v>00</v>
      </c>
      <c r="H397" t="str">
        <f>MID('paste from garc here'!$C$1,1+(('table for research'!$B397-1)*36+HEX2DEC('table for research'!H$1))*2,2)</f>
        <v>00</v>
      </c>
      <c r="I397" t="str">
        <f>MID('paste from garc here'!$C$1,1+(('table for research'!$B397-1)*36+HEX2DEC('table for research'!I$1))*2,2)</f>
        <v>00</v>
      </c>
      <c r="J397" t="str">
        <f>MID('paste from garc here'!$C$1,1+(('table for research'!$B397-1)*36+HEX2DEC('table for research'!J$1))*2,2)</f>
        <v>00</v>
      </c>
      <c r="K397" t="str">
        <f>DEC2HEX(_xlfn.BITAND(HEX2DEC(MID('paste from garc here'!$C$1,1+(('table for research'!$B397-1)*36+HEX2DEC(8))*2,2)),31),2)</f>
        <v>1F</v>
      </c>
      <c r="L397" t="str">
        <f>DEC2HEX(_xlfn.BITAND(HEX2DEC(MID('paste from garc here'!$C$1,1+(('table for research'!$B397-1)*36+HEX2DEC(8))*2,2)),32),2)</f>
        <v>20</v>
      </c>
      <c r="M397" t="str">
        <f>DEC2HEX(_xlfn.BITAND(HEX2DEC(MID('paste from garc here'!$C$1,1+(('table for research'!$B397-1)*36+HEX2DEC(8))*2,2)),64),2)</f>
        <v>00</v>
      </c>
      <c r="N397" t="str">
        <f>DEC2HEX(_xlfn.BITRSHIFT(_xlfn.BITAND(HEX2DEC(MID('paste from garc here'!$C$1,1+(('table for research'!$B397-1)*36+HEX2DEC(9))*2,2)&amp;MID('paste from garc here'!$C$1,1+(('table for research'!$B397-1)*36+HEX2DEC(8))*2,2)),1920),7),2)</f>
        <v>02</v>
      </c>
      <c r="O397" t="str">
        <f>DEC2HEX(_xlfn.BITRSHIFT(HEX2DEC(MID('paste from garc here'!$C$1,1+(('table for research'!$B397-1)*36+HEX2DEC(9))*2,2)&amp;MID('paste from garc here'!$C$1,1+(('table for research'!$B397-1)*36+HEX2DEC(8))*2,2)),11),2)</f>
        <v>00</v>
      </c>
      <c r="P397" t="str">
        <f>MID('paste from garc here'!$C$1,1+(('table for research'!$B397-1)*36+HEX2DEC('table for research'!P$1))*2,2)</f>
        <v>02</v>
      </c>
      <c r="Q397" t="str">
        <f>MID('paste from garc here'!$C$1,1+(('table for research'!$B397-1)*36+HEX2DEC('table for research'!Q$1))*2,2)</f>
        <v>00</v>
      </c>
      <c r="R397" t="str">
        <f>MID('paste from garc here'!$C$1,1+(('table for research'!$B397-1)*36+HEX2DEC('table for research'!R$1))*2,2)</f>
        <v>00</v>
      </c>
      <c r="S397" t="str">
        <f>MID('paste from garc here'!$C$1,1+(('table for research'!$B397-1)*36+HEX2DEC('table for research'!S$1))*2,2)</f>
        <v>06</v>
      </c>
      <c r="T397" t="str">
        <f>MID('paste from garc here'!$C$1,1+(('table for research'!$B397-1)*36+HEX2DEC('table for research'!T$1))*2,2)</f>
        <v>00</v>
      </c>
      <c r="U397" t="str">
        <f>MID('paste from garc here'!$C$1,1+(('table for research'!$B397-1)*36+HEX2DEC('table for research'!U$1))*2,2)</f>
        <v>43</v>
      </c>
      <c r="V397" t="str">
        <f>MID('paste from garc here'!$C$1,1+(('table for research'!$B397-1)*36+HEX2DEC('table for research'!V$1))*2,2)</f>
        <v>00</v>
      </c>
      <c r="W397" t="str">
        <f>MID('paste from garc here'!$C$1,1+(('table for research'!$B397-1)*36+HEX2DEC('table for research'!W$1))*2,2)</f>
        <v>00</v>
      </c>
      <c r="X397" t="str">
        <f>MID('paste from garc here'!$C$1,1+(('table for research'!$B397-1)*36+HEX2DEC('table for research'!X$1))*2,2)</f>
        <v>00</v>
      </c>
      <c r="Y397" t="str">
        <f>MID('paste from garc here'!$C$1,1+(('table for research'!$B397-1)*36+HEX2DEC('table for research'!Y$1))*2,2)</f>
        <v>00</v>
      </c>
      <c r="Z397" t="str">
        <f>MID('paste from garc here'!$C$1,1+(('table for research'!$B397-1)*36+HEX2DEC('table for research'!Z$1))*2,2)</f>
        <v>00</v>
      </c>
      <c r="AA397" t="str">
        <f>MID('paste from garc here'!$C$1,1+(('table for research'!$B397-1)*36+HEX2DEC('table for research'!AA$1))*2,2)</f>
        <v>00</v>
      </c>
      <c r="AB397" t="str">
        <f>MID('paste from garc here'!$C$1,1+(('table for research'!$B397-1)*36+HEX2DEC('table for research'!AB$1))*2,2)</f>
        <v>00</v>
      </c>
      <c r="AC397" t="str">
        <f>MID('paste from garc here'!$C$1,1+(('table for research'!$B397-1)*36+HEX2DEC('table for research'!AC$1))*2,2)</f>
        <v>00</v>
      </c>
      <c r="AD397" t="str">
        <f>MID('paste from garc here'!$C$1,1+(('table for research'!$B397-1)*36+HEX2DEC('table for research'!AD$1))*2,2)</f>
        <v>00</v>
      </c>
      <c r="AE397" t="str">
        <f>MID('paste from garc here'!$C$1,1+(('table for research'!$B397-1)*36+HEX2DEC('table for research'!AE$1))*2,2)</f>
        <v>00</v>
      </c>
      <c r="AF397" t="str">
        <f>MID('paste from garc here'!$C$1,1+(('table for research'!$B397-1)*36+HEX2DEC('table for research'!AF$1))*2,2)</f>
        <v>00</v>
      </c>
      <c r="AG397" t="str">
        <f>MID('paste from garc here'!$C$1,1+(('table for research'!$B397-1)*36+HEX2DEC('table for research'!AG$1))*2,2)</f>
        <v>00</v>
      </c>
      <c r="AH397" t="str">
        <f>MID('paste from garc here'!$C$1,1+(('table for research'!$B397-1)*36+HEX2DEC('table for research'!AH$1))*2,2)</f>
        <v>00</v>
      </c>
      <c r="AI397" t="str">
        <f>MID('paste from garc here'!$C$1,1+(('table for research'!$B397-1)*36+HEX2DEC('table for research'!AI$1))*2,2)</f>
        <v>00</v>
      </c>
      <c r="AJ397" t="str">
        <f>MID('paste from garc here'!$C$1,1+(('table for research'!$B397-1)*36+HEX2DEC('table for research'!AJ$1))*2,2)</f>
        <v>00</v>
      </c>
      <c r="AK397" t="str">
        <f>MID('paste from garc here'!$C$1,1+(('table for research'!$B397-1)*36+HEX2DEC('table for research'!AK$1))*2,2)</f>
        <v>00</v>
      </c>
      <c r="AL397" t="str">
        <f>MID('paste from garc here'!$C$1,1+(('table for research'!$B397-1)*36+HEX2DEC('table for research'!AL$1))*2,2)</f>
        <v>00</v>
      </c>
      <c r="AM397" t="str">
        <f>MID('paste from garc here'!$C$1,1+(('table for research'!$B397-1)*36+HEX2DEC('table for research'!AM$1))*2,2)</f>
        <v>00</v>
      </c>
      <c r="AN397" t="str">
        <f>MID('paste from garc here'!$C$1,1+(('table for research'!$B397-1)*36+HEX2DEC('table for research'!AN$1))*2,2)</f>
        <v>00</v>
      </c>
      <c r="AO397" t="str">
        <f>MID('paste from garc here'!$C$1,1+(('table for research'!$B397-1)*36+HEX2DEC('table for research'!AO$1))*2,2)</f>
        <v>00</v>
      </c>
    </row>
    <row r="398" spans="1:41" x14ac:dyDescent="0.4">
      <c r="A398" t="s">
        <v>401</v>
      </c>
      <c r="B398">
        <f>B397+1</f>
        <v>396</v>
      </c>
      <c r="C398" t="str">
        <f>MID('paste from garc here'!$C$1,1+(('table for research'!$B398-1)*36+HEX2DEC('table for research'!C$1))*2,2)</f>
        <v>E8</v>
      </c>
      <c r="D398" t="str">
        <f>MID('paste from garc here'!$C$1,1+(('table for research'!$B398-1)*36+HEX2DEC('table for research'!D$1))*2,2)</f>
        <v>03</v>
      </c>
      <c r="E398" t="str">
        <f>MID('paste from garc here'!$C$1,1+(('table for research'!$B398-1)*36+HEX2DEC('table for research'!E$1))*2,2)</f>
        <v>00</v>
      </c>
      <c r="F398" t="str">
        <f>MID('paste from garc here'!$C$1,1+(('table for research'!$B398-1)*36+HEX2DEC('table for research'!F$1))*2,2)</f>
        <v>00</v>
      </c>
      <c r="G398" t="str">
        <f>MID('paste from garc here'!$C$1,1+(('table for research'!$B398-1)*36+HEX2DEC('table for research'!G$1))*2,2)</f>
        <v>00</v>
      </c>
      <c r="H398" t="str">
        <f>MID('paste from garc here'!$C$1,1+(('table for research'!$B398-1)*36+HEX2DEC('table for research'!H$1))*2,2)</f>
        <v>00</v>
      </c>
      <c r="I398" t="str">
        <f>MID('paste from garc here'!$C$1,1+(('table for research'!$B398-1)*36+HEX2DEC('table for research'!I$1))*2,2)</f>
        <v>00</v>
      </c>
      <c r="J398" t="str">
        <f>MID('paste from garc here'!$C$1,1+(('table for research'!$B398-1)*36+HEX2DEC('table for research'!J$1))*2,2)</f>
        <v>00</v>
      </c>
      <c r="K398" t="str">
        <f>DEC2HEX(_xlfn.BITAND(HEX2DEC(MID('paste from garc here'!$C$1,1+(('table for research'!$B398-1)*36+HEX2DEC(8))*2,2)),31),2)</f>
        <v>1F</v>
      </c>
      <c r="L398" t="str">
        <f>DEC2HEX(_xlfn.BITAND(HEX2DEC(MID('paste from garc here'!$C$1,1+(('table for research'!$B398-1)*36+HEX2DEC(8))*2,2)),32),2)</f>
        <v>20</v>
      </c>
      <c r="M398" t="str">
        <f>DEC2HEX(_xlfn.BITAND(HEX2DEC(MID('paste from garc here'!$C$1,1+(('table for research'!$B398-1)*36+HEX2DEC(8))*2,2)),64),2)</f>
        <v>00</v>
      </c>
      <c r="N398" t="str">
        <f>DEC2HEX(_xlfn.BITRSHIFT(_xlfn.BITAND(HEX2DEC(MID('paste from garc here'!$C$1,1+(('table for research'!$B398-1)*36+HEX2DEC(9))*2,2)&amp;MID('paste from garc here'!$C$1,1+(('table for research'!$B398-1)*36+HEX2DEC(8))*2,2)),1920),7),2)</f>
        <v>02</v>
      </c>
      <c r="O398" t="str">
        <f>DEC2HEX(_xlfn.BITRSHIFT(HEX2DEC(MID('paste from garc here'!$C$1,1+(('table for research'!$B398-1)*36+HEX2DEC(9))*2,2)&amp;MID('paste from garc here'!$C$1,1+(('table for research'!$B398-1)*36+HEX2DEC(8))*2,2)),11),2)</f>
        <v>00</v>
      </c>
      <c r="P398" t="str">
        <f>MID('paste from garc here'!$C$1,1+(('table for research'!$B398-1)*36+HEX2DEC('table for research'!P$1))*2,2)</f>
        <v>02</v>
      </c>
      <c r="Q398" t="str">
        <f>MID('paste from garc here'!$C$1,1+(('table for research'!$B398-1)*36+HEX2DEC('table for research'!Q$1))*2,2)</f>
        <v>00</v>
      </c>
      <c r="R398" t="str">
        <f>MID('paste from garc here'!$C$1,1+(('table for research'!$B398-1)*36+HEX2DEC('table for research'!R$1))*2,2)</f>
        <v>00</v>
      </c>
      <c r="S398" t="str">
        <f>MID('paste from garc here'!$C$1,1+(('table for research'!$B398-1)*36+HEX2DEC('table for research'!S$1))*2,2)</f>
        <v>06</v>
      </c>
      <c r="T398" t="str">
        <f>MID('paste from garc here'!$C$1,1+(('table for research'!$B398-1)*36+HEX2DEC('table for research'!T$1))*2,2)</f>
        <v>00</v>
      </c>
      <c r="U398" t="str">
        <f>MID('paste from garc here'!$C$1,1+(('table for research'!$B398-1)*36+HEX2DEC('table for research'!U$1))*2,2)</f>
        <v>44</v>
      </c>
      <c r="V398" t="str">
        <f>MID('paste from garc here'!$C$1,1+(('table for research'!$B398-1)*36+HEX2DEC('table for research'!V$1))*2,2)</f>
        <v>00</v>
      </c>
      <c r="W398" t="str">
        <f>MID('paste from garc here'!$C$1,1+(('table for research'!$B398-1)*36+HEX2DEC('table for research'!W$1))*2,2)</f>
        <v>00</v>
      </c>
      <c r="X398" t="str">
        <f>MID('paste from garc here'!$C$1,1+(('table for research'!$B398-1)*36+HEX2DEC('table for research'!X$1))*2,2)</f>
        <v>00</v>
      </c>
      <c r="Y398" t="str">
        <f>MID('paste from garc here'!$C$1,1+(('table for research'!$B398-1)*36+HEX2DEC('table for research'!Y$1))*2,2)</f>
        <v>00</v>
      </c>
      <c r="Z398" t="str">
        <f>MID('paste from garc here'!$C$1,1+(('table for research'!$B398-1)*36+HEX2DEC('table for research'!Z$1))*2,2)</f>
        <v>00</v>
      </c>
      <c r="AA398" t="str">
        <f>MID('paste from garc here'!$C$1,1+(('table for research'!$B398-1)*36+HEX2DEC('table for research'!AA$1))*2,2)</f>
        <v>00</v>
      </c>
      <c r="AB398" t="str">
        <f>MID('paste from garc here'!$C$1,1+(('table for research'!$B398-1)*36+HEX2DEC('table for research'!AB$1))*2,2)</f>
        <v>00</v>
      </c>
      <c r="AC398" t="str">
        <f>MID('paste from garc here'!$C$1,1+(('table for research'!$B398-1)*36+HEX2DEC('table for research'!AC$1))*2,2)</f>
        <v>00</v>
      </c>
      <c r="AD398" t="str">
        <f>MID('paste from garc here'!$C$1,1+(('table for research'!$B398-1)*36+HEX2DEC('table for research'!AD$1))*2,2)</f>
        <v>00</v>
      </c>
      <c r="AE398" t="str">
        <f>MID('paste from garc here'!$C$1,1+(('table for research'!$B398-1)*36+HEX2DEC('table for research'!AE$1))*2,2)</f>
        <v>00</v>
      </c>
      <c r="AF398" t="str">
        <f>MID('paste from garc here'!$C$1,1+(('table for research'!$B398-1)*36+HEX2DEC('table for research'!AF$1))*2,2)</f>
        <v>00</v>
      </c>
      <c r="AG398" t="str">
        <f>MID('paste from garc here'!$C$1,1+(('table for research'!$B398-1)*36+HEX2DEC('table for research'!AG$1))*2,2)</f>
        <v>00</v>
      </c>
      <c r="AH398" t="str">
        <f>MID('paste from garc here'!$C$1,1+(('table for research'!$B398-1)*36+HEX2DEC('table for research'!AH$1))*2,2)</f>
        <v>00</v>
      </c>
      <c r="AI398" t="str">
        <f>MID('paste from garc here'!$C$1,1+(('table for research'!$B398-1)*36+HEX2DEC('table for research'!AI$1))*2,2)</f>
        <v>00</v>
      </c>
      <c r="AJ398" t="str">
        <f>MID('paste from garc here'!$C$1,1+(('table for research'!$B398-1)*36+HEX2DEC('table for research'!AJ$1))*2,2)</f>
        <v>00</v>
      </c>
      <c r="AK398" t="str">
        <f>MID('paste from garc here'!$C$1,1+(('table for research'!$B398-1)*36+HEX2DEC('table for research'!AK$1))*2,2)</f>
        <v>00</v>
      </c>
      <c r="AL398" t="str">
        <f>MID('paste from garc here'!$C$1,1+(('table for research'!$B398-1)*36+HEX2DEC('table for research'!AL$1))*2,2)</f>
        <v>00</v>
      </c>
      <c r="AM398" t="str">
        <f>MID('paste from garc here'!$C$1,1+(('table for research'!$B398-1)*36+HEX2DEC('table for research'!AM$1))*2,2)</f>
        <v>00</v>
      </c>
      <c r="AN398" t="str">
        <f>MID('paste from garc here'!$C$1,1+(('table for research'!$B398-1)*36+HEX2DEC('table for research'!AN$1))*2,2)</f>
        <v>00</v>
      </c>
      <c r="AO398" t="str">
        <f>MID('paste from garc here'!$C$1,1+(('table for research'!$B398-1)*36+HEX2DEC('table for research'!AO$1))*2,2)</f>
        <v>00</v>
      </c>
    </row>
    <row r="399" spans="1:41" x14ac:dyDescent="0.4">
      <c r="A399" t="s">
        <v>402</v>
      </c>
      <c r="B399">
        <f>B398+1</f>
        <v>397</v>
      </c>
      <c r="C399" t="str">
        <f>MID('paste from garc here'!$C$1,1+(('table for research'!$B399-1)*36+HEX2DEC('table for research'!C$1))*2,2)</f>
        <v>DC</v>
      </c>
      <c r="D399" t="str">
        <f>MID('paste from garc here'!$C$1,1+(('table for research'!$B399-1)*36+HEX2DEC('table for research'!D$1))*2,2)</f>
        <v>05</v>
      </c>
      <c r="E399" t="str">
        <f>MID('paste from garc here'!$C$1,1+(('table for research'!$B399-1)*36+HEX2DEC('table for research'!E$1))*2,2)</f>
        <v>00</v>
      </c>
      <c r="F399" t="str">
        <f>MID('paste from garc here'!$C$1,1+(('table for research'!$B399-1)*36+HEX2DEC('table for research'!F$1))*2,2)</f>
        <v>00</v>
      </c>
      <c r="G399" t="str">
        <f>MID('paste from garc here'!$C$1,1+(('table for research'!$B399-1)*36+HEX2DEC('table for research'!G$1))*2,2)</f>
        <v>00</v>
      </c>
      <c r="H399" t="str">
        <f>MID('paste from garc here'!$C$1,1+(('table for research'!$B399-1)*36+HEX2DEC('table for research'!H$1))*2,2)</f>
        <v>00</v>
      </c>
      <c r="I399" t="str">
        <f>MID('paste from garc here'!$C$1,1+(('table for research'!$B399-1)*36+HEX2DEC('table for research'!I$1))*2,2)</f>
        <v>00</v>
      </c>
      <c r="J399" t="str">
        <f>MID('paste from garc here'!$C$1,1+(('table for research'!$B399-1)*36+HEX2DEC('table for research'!J$1))*2,2)</f>
        <v>00</v>
      </c>
      <c r="K399" t="str">
        <f>DEC2HEX(_xlfn.BITAND(HEX2DEC(MID('paste from garc here'!$C$1,1+(('table for research'!$B399-1)*36+HEX2DEC(8))*2,2)),31),2)</f>
        <v>1F</v>
      </c>
      <c r="L399" t="str">
        <f>DEC2HEX(_xlfn.BITAND(HEX2DEC(MID('paste from garc here'!$C$1,1+(('table for research'!$B399-1)*36+HEX2DEC(8))*2,2)),32),2)</f>
        <v>20</v>
      </c>
      <c r="M399" t="str">
        <f>DEC2HEX(_xlfn.BITAND(HEX2DEC(MID('paste from garc here'!$C$1,1+(('table for research'!$B399-1)*36+HEX2DEC(8))*2,2)),64),2)</f>
        <v>00</v>
      </c>
      <c r="N399" t="str">
        <f>DEC2HEX(_xlfn.BITRSHIFT(_xlfn.BITAND(HEX2DEC(MID('paste from garc here'!$C$1,1+(('table for research'!$B399-1)*36+HEX2DEC(9))*2,2)&amp;MID('paste from garc here'!$C$1,1+(('table for research'!$B399-1)*36+HEX2DEC(8))*2,2)),1920),7),2)</f>
        <v>02</v>
      </c>
      <c r="O399" t="str">
        <f>DEC2HEX(_xlfn.BITRSHIFT(HEX2DEC(MID('paste from garc here'!$C$1,1+(('table for research'!$B399-1)*36+HEX2DEC(9))*2,2)&amp;MID('paste from garc here'!$C$1,1+(('table for research'!$B399-1)*36+HEX2DEC(8))*2,2)),11),2)</f>
        <v>00</v>
      </c>
      <c r="P399" t="str">
        <f>MID('paste from garc here'!$C$1,1+(('table for research'!$B399-1)*36+HEX2DEC('table for research'!P$1))*2,2)</f>
        <v>02</v>
      </c>
      <c r="Q399" t="str">
        <f>MID('paste from garc here'!$C$1,1+(('table for research'!$B399-1)*36+HEX2DEC('table for research'!Q$1))*2,2)</f>
        <v>00</v>
      </c>
      <c r="R399" t="str">
        <f>MID('paste from garc here'!$C$1,1+(('table for research'!$B399-1)*36+HEX2DEC('table for research'!R$1))*2,2)</f>
        <v>00</v>
      </c>
      <c r="S399" t="str">
        <f>MID('paste from garc here'!$C$1,1+(('table for research'!$B399-1)*36+HEX2DEC('table for research'!S$1))*2,2)</f>
        <v>06</v>
      </c>
      <c r="T399" t="str">
        <f>MID('paste from garc here'!$C$1,1+(('table for research'!$B399-1)*36+HEX2DEC('table for research'!T$1))*2,2)</f>
        <v>00</v>
      </c>
      <c r="U399" t="str">
        <f>MID('paste from garc here'!$C$1,1+(('table for research'!$B399-1)*36+HEX2DEC('table for research'!U$1))*2,2)</f>
        <v>45</v>
      </c>
      <c r="V399" t="str">
        <f>MID('paste from garc here'!$C$1,1+(('table for research'!$B399-1)*36+HEX2DEC('table for research'!V$1))*2,2)</f>
        <v>00</v>
      </c>
      <c r="W399" t="str">
        <f>MID('paste from garc here'!$C$1,1+(('table for research'!$B399-1)*36+HEX2DEC('table for research'!W$1))*2,2)</f>
        <v>00</v>
      </c>
      <c r="X399" t="str">
        <f>MID('paste from garc here'!$C$1,1+(('table for research'!$B399-1)*36+HEX2DEC('table for research'!X$1))*2,2)</f>
        <v>00</v>
      </c>
      <c r="Y399" t="str">
        <f>MID('paste from garc here'!$C$1,1+(('table for research'!$B399-1)*36+HEX2DEC('table for research'!Y$1))*2,2)</f>
        <v>00</v>
      </c>
      <c r="Z399" t="str">
        <f>MID('paste from garc here'!$C$1,1+(('table for research'!$B399-1)*36+HEX2DEC('table for research'!Z$1))*2,2)</f>
        <v>00</v>
      </c>
      <c r="AA399" t="str">
        <f>MID('paste from garc here'!$C$1,1+(('table for research'!$B399-1)*36+HEX2DEC('table for research'!AA$1))*2,2)</f>
        <v>00</v>
      </c>
      <c r="AB399" t="str">
        <f>MID('paste from garc here'!$C$1,1+(('table for research'!$B399-1)*36+HEX2DEC('table for research'!AB$1))*2,2)</f>
        <v>00</v>
      </c>
      <c r="AC399" t="str">
        <f>MID('paste from garc here'!$C$1,1+(('table for research'!$B399-1)*36+HEX2DEC('table for research'!AC$1))*2,2)</f>
        <v>00</v>
      </c>
      <c r="AD399" t="str">
        <f>MID('paste from garc here'!$C$1,1+(('table for research'!$B399-1)*36+HEX2DEC('table for research'!AD$1))*2,2)</f>
        <v>00</v>
      </c>
      <c r="AE399" t="str">
        <f>MID('paste from garc here'!$C$1,1+(('table for research'!$B399-1)*36+HEX2DEC('table for research'!AE$1))*2,2)</f>
        <v>00</v>
      </c>
      <c r="AF399" t="str">
        <f>MID('paste from garc here'!$C$1,1+(('table for research'!$B399-1)*36+HEX2DEC('table for research'!AF$1))*2,2)</f>
        <v>00</v>
      </c>
      <c r="AG399" t="str">
        <f>MID('paste from garc here'!$C$1,1+(('table for research'!$B399-1)*36+HEX2DEC('table for research'!AG$1))*2,2)</f>
        <v>00</v>
      </c>
      <c r="AH399" t="str">
        <f>MID('paste from garc here'!$C$1,1+(('table for research'!$B399-1)*36+HEX2DEC('table for research'!AH$1))*2,2)</f>
        <v>00</v>
      </c>
      <c r="AI399" t="str">
        <f>MID('paste from garc here'!$C$1,1+(('table for research'!$B399-1)*36+HEX2DEC('table for research'!AI$1))*2,2)</f>
        <v>00</v>
      </c>
      <c r="AJ399" t="str">
        <f>MID('paste from garc here'!$C$1,1+(('table for research'!$B399-1)*36+HEX2DEC('table for research'!AJ$1))*2,2)</f>
        <v>00</v>
      </c>
      <c r="AK399" t="str">
        <f>MID('paste from garc here'!$C$1,1+(('table for research'!$B399-1)*36+HEX2DEC('table for research'!AK$1))*2,2)</f>
        <v>00</v>
      </c>
      <c r="AL399" t="str">
        <f>MID('paste from garc here'!$C$1,1+(('table for research'!$B399-1)*36+HEX2DEC('table for research'!AL$1))*2,2)</f>
        <v>00</v>
      </c>
      <c r="AM399" t="str">
        <f>MID('paste from garc here'!$C$1,1+(('table for research'!$B399-1)*36+HEX2DEC('table for research'!AM$1))*2,2)</f>
        <v>00</v>
      </c>
      <c r="AN399" t="str">
        <f>MID('paste from garc here'!$C$1,1+(('table for research'!$B399-1)*36+HEX2DEC('table for research'!AN$1))*2,2)</f>
        <v>00</v>
      </c>
      <c r="AO399" t="str">
        <f>MID('paste from garc here'!$C$1,1+(('table for research'!$B399-1)*36+HEX2DEC('table for research'!AO$1))*2,2)</f>
        <v>00</v>
      </c>
    </row>
    <row r="400" spans="1:41" x14ac:dyDescent="0.4">
      <c r="A400" t="s">
        <v>403</v>
      </c>
      <c r="B400">
        <f>B399+1</f>
        <v>398</v>
      </c>
      <c r="C400" t="str">
        <f>MID('paste from garc here'!$C$1,1+(('table for research'!$B400-1)*36+HEX2DEC('table for research'!C$1))*2,2)</f>
        <v>88</v>
      </c>
      <c r="D400" t="str">
        <f>MID('paste from garc here'!$C$1,1+(('table for research'!$B400-1)*36+HEX2DEC('table for research'!D$1))*2,2)</f>
        <v>13</v>
      </c>
      <c r="E400" t="str">
        <f>MID('paste from garc here'!$C$1,1+(('table for research'!$B400-1)*36+HEX2DEC('table for research'!E$1))*2,2)</f>
        <v>00</v>
      </c>
      <c r="F400" t="str">
        <f>MID('paste from garc here'!$C$1,1+(('table for research'!$B400-1)*36+HEX2DEC('table for research'!F$1))*2,2)</f>
        <v>00</v>
      </c>
      <c r="G400" t="str">
        <f>MID('paste from garc here'!$C$1,1+(('table for research'!$B400-1)*36+HEX2DEC('table for research'!G$1))*2,2)</f>
        <v>00</v>
      </c>
      <c r="H400" t="str">
        <f>MID('paste from garc here'!$C$1,1+(('table for research'!$B400-1)*36+HEX2DEC('table for research'!H$1))*2,2)</f>
        <v>00</v>
      </c>
      <c r="I400" t="str">
        <f>MID('paste from garc here'!$C$1,1+(('table for research'!$B400-1)*36+HEX2DEC('table for research'!I$1))*2,2)</f>
        <v>00</v>
      </c>
      <c r="J400" t="str">
        <f>MID('paste from garc here'!$C$1,1+(('table for research'!$B400-1)*36+HEX2DEC('table for research'!J$1))*2,2)</f>
        <v>00</v>
      </c>
      <c r="K400" t="str">
        <f>DEC2HEX(_xlfn.BITAND(HEX2DEC(MID('paste from garc here'!$C$1,1+(('table for research'!$B400-1)*36+HEX2DEC(8))*2,2)),31),2)</f>
        <v>1F</v>
      </c>
      <c r="L400" t="str">
        <f>DEC2HEX(_xlfn.BITAND(HEX2DEC(MID('paste from garc here'!$C$1,1+(('table for research'!$B400-1)*36+HEX2DEC(8))*2,2)),32),2)</f>
        <v>20</v>
      </c>
      <c r="M400" t="str">
        <f>DEC2HEX(_xlfn.BITAND(HEX2DEC(MID('paste from garc here'!$C$1,1+(('table for research'!$B400-1)*36+HEX2DEC(8))*2,2)),64),2)</f>
        <v>00</v>
      </c>
      <c r="N400" t="str">
        <f>DEC2HEX(_xlfn.BITRSHIFT(_xlfn.BITAND(HEX2DEC(MID('paste from garc here'!$C$1,1+(('table for research'!$B400-1)*36+HEX2DEC(9))*2,2)&amp;MID('paste from garc here'!$C$1,1+(('table for research'!$B400-1)*36+HEX2DEC(8))*2,2)),1920),7),2)</f>
        <v>02</v>
      </c>
      <c r="O400" t="str">
        <f>DEC2HEX(_xlfn.BITRSHIFT(HEX2DEC(MID('paste from garc here'!$C$1,1+(('table for research'!$B400-1)*36+HEX2DEC(9))*2,2)&amp;MID('paste from garc here'!$C$1,1+(('table for research'!$B400-1)*36+HEX2DEC(8))*2,2)),11),2)</f>
        <v>00</v>
      </c>
      <c r="P400" t="str">
        <f>MID('paste from garc here'!$C$1,1+(('table for research'!$B400-1)*36+HEX2DEC('table for research'!P$1))*2,2)</f>
        <v>02</v>
      </c>
      <c r="Q400" t="str">
        <f>MID('paste from garc here'!$C$1,1+(('table for research'!$B400-1)*36+HEX2DEC('table for research'!Q$1))*2,2)</f>
        <v>00</v>
      </c>
      <c r="R400" t="str">
        <f>MID('paste from garc here'!$C$1,1+(('table for research'!$B400-1)*36+HEX2DEC('table for research'!R$1))*2,2)</f>
        <v>00</v>
      </c>
      <c r="S400" t="str">
        <f>MID('paste from garc here'!$C$1,1+(('table for research'!$B400-1)*36+HEX2DEC('table for research'!S$1))*2,2)</f>
        <v>06</v>
      </c>
      <c r="T400" t="str">
        <f>MID('paste from garc here'!$C$1,1+(('table for research'!$B400-1)*36+HEX2DEC('table for research'!T$1))*2,2)</f>
        <v>00</v>
      </c>
      <c r="U400" t="str">
        <f>MID('paste from garc here'!$C$1,1+(('table for research'!$B400-1)*36+HEX2DEC('table for research'!U$1))*2,2)</f>
        <v>46</v>
      </c>
      <c r="V400" t="str">
        <f>MID('paste from garc here'!$C$1,1+(('table for research'!$B400-1)*36+HEX2DEC('table for research'!V$1))*2,2)</f>
        <v>00</v>
      </c>
      <c r="W400" t="str">
        <f>MID('paste from garc here'!$C$1,1+(('table for research'!$B400-1)*36+HEX2DEC('table for research'!W$1))*2,2)</f>
        <v>00</v>
      </c>
      <c r="X400" t="str">
        <f>MID('paste from garc here'!$C$1,1+(('table for research'!$B400-1)*36+HEX2DEC('table for research'!X$1))*2,2)</f>
        <v>00</v>
      </c>
      <c r="Y400" t="str">
        <f>MID('paste from garc here'!$C$1,1+(('table for research'!$B400-1)*36+HEX2DEC('table for research'!Y$1))*2,2)</f>
        <v>00</v>
      </c>
      <c r="Z400" t="str">
        <f>MID('paste from garc here'!$C$1,1+(('table for research'!$B400-1)*36+HEX2DEC('table for research'!Z$1))*2,2)</f>
        <v>00</v>
      </c>
      <c r="AA400" t="str">
        <f>MID('paste from garc here'!$C$1,1+(('table for research'!$B400-1)*36+HEX2DEC('table for research'!AA$1))*2,2)</f>
        <v>00</v>
      </c>
      <c r="AB400" t="str">
        <f>MID('paste from garc here'!$C$1,1+(('table for research'!$B400-1)*36+HEX2DEC('table for research'!AB$1))*2,2)</f>
        <v>00</v>
      </c>
      <c r="AC400" t="str">
        <f>MID('paste from garc here'!$C$1,1+(('table for research'!$B400-1)*36+HEX2DEC('table for research'!AC$1))*2,2)</f>
        <v>00</v>
      </c>
      <c r="AD400" t="str">
        <f>MID('paste from garc here'!$C$1,1+(('table for research'!$B400-1)*36+HEX2DEC('table for research'!AD$1))*2,2)</f>
        <v>00</v>
      </c>
      <c r="AE400" t="str">
        <f>MID('paste from garc here'!$C$1,1+(('table for research'!$B400-1)*36+HEX2DEC('table for research'!AE$1))*2,2)</f>
        <v>00</v>
      </c>
      <c r="AF400" t="str">
        <f>MID('paste from garc here'!$C$1,1+(('table for research'!$B400-1)*36+HEX2DEC('table for research'!AF$1))*2,2)</f>
        <v>00</v>
      </c>
      <c r="AG400" t="str">
        <f>MID('paste from garc here'!$C$1,1+(('table for research'!$B400-1)*36+HEX2DEC('table for research'!AG$1))*2,2)</f>
        <v>00</v>
      </c>
      <c r="AH400" t="str">
        <f>MID('paste from garc here'!$C$1,1+(('table for research'!$B400-1)*36+HEX2DEC('table for research'!AH$1))*2,2)</f>
        <v>00</v>
      </c>
      <c r="AI400" t="str">
        <f>MID('paste from garc here'!$C$1,1+(('table for research'!$B400-1)*36+HEX2DEC('table for research'!AI$1))*2,2)</f>
        <v>00</v>
      </c>
      <c r="AJ400" t="str">
        <f>MID('paste from garc here'!$C$1,1+(('table for research'!$B400-1)*36+HEX2DEC('table for research'!AJ$1))*2,2)</f>
        <v>00</v>
      </c>
      <c r="AK400" t="str">
        <f>MID('paste from garc here'!$C$1,1+(('table for research'!$B400-1)*36+HEX2DEC('table for research'!AK$1))*2,2)</f>
        <v>00</v>
      </c>
      <c r="AL400" t="str">
        <f>MID('paste from garc here'!$C$1,1+(('table for research'!$B400-1)*36+HEX2DEC('table for research'!AL$1))*2,2)</f>
        <v>00</v>
      </c>
      <c r="AM400" t="str">
        <f>MID('paste from garc here'!$C$1,1+(('table for research'!$B400-1)*36+HEX2DEC('table for research'!AM$1))*2,2)</f>
        <v>00</v>
      </c>
      <c r="AN400" t="str">
        <f>MID('paste from garc here'!$C$1,1+(('table for research'!$B400-1)*36+HEX2DEC('table for research'!AN$1))*2,2)</f>
        <v>00</v>
      </c>
      <c r="AO400" t="str">
        <f>MID('paste from garc here'!$C$1,1+(('table for research'!$B400-1)*36+HEX2DEC('table for research'!AO$1))*2,2)</f>
        <v>00</v>
      </c>
    </row>
    <row r="401" spans="1:41" x14ac:dyDescent="0.4">
      <c r="A401" t="s">
        <v>404</v>
      </c>
      <c r="B401">
        <f>B400+1</f>
        <v>399</v>
      </c>
      <c r="C401" t="str">
        <f>MID('paste from garc here'!$C$1,1+(('table for research'!$B401-1)*36+HEX2DEC('table for research'!C$1))*2,2)</f>
        <v>E8</v>
      </c>
      <c r="D401" t="str">
        <f>MID('paste from garc here'!$C$1,1+(('table for research'!$B401-1)*36+HEX2DEC('table for research'!D$1))*2,2)</f>
        <v>03</v>
      </c>
      <c r="E401" t="str">
        <f>MID('paste from garc here'!$C$1,1+(('table for research'!$B401-1)*36+HEX2DEC('table for research'!E$1))*2,2)</f>
        <v>00</v>
      </c>
      <c r="F401" t="str">
        <f>MID('paste from garc here'!$C$1,1+(('table for research'!$B401-1)*36+HEX2DEC('table for research'!F$1))*2,2)</f>
        <v>00</v>
      </c>
      <c r="G401" t="str">
        <f>MID('paste from garc here'!$C$1,1+(('table for research'!$B401-1)*36+HEX2DEC('table for research'!G$1))*2,2)</f>
        <v>00</v>
      </c>
      <c r="H401" t="str">
        <f>MID('paste from garc here'!$C$1,1+(('table for research'!$B401-1)*36+HEX2DEC('table for research'!H$1))*2,2)</f>
        <v>00</v>
      </c>
      <c r="I401" t="str">
        <f>MID('paste from garc here'!$C$1,1+(('table for research'!$B401-1)*36+HEX2DEC('table for research'!I$1))*2,2)</f>
        <v>00</v>
      </c>
      <c r="J401" t="str">
        <f>MID('paste from garc here'!$C$1,1+(('table for research'!$B401-1)*36+HEX2DEC('table for research'!J$1))*2,2)</f>
        <v>00</v>
      </c>
      <c r="K401" t="str">
        <f>DEC2HEX(_xlfn.BITAND(HEX2DEC(MID('paste from garc here'!$C$1,1+(('table for research'!$B401-1)*36+HEX2DEC(8))*2,2)),31),2)</f>
        <v>1F</v>
      </c>
      <c r="L401" t="str">
        <f>DEC2HEX(_xlfn.BITAND(HEX2DEC(MID('paste from garc here'!$C$1,1+(('table for research'!$B401-1)*36+HEX2DEC(8))*2,2)),32),2)</f>
        <v>20</v>
      </c>
      <c r="M401" t="str">
        <f>DEC2HEX(_xlfn.BITAND(HEX2DEC(MID('paste from garc here'!$C$1,1+(('table for research'!$B401-1)*36+HEX2DEC(8))*2,2)),64),2)</f>
        <v>00</v>
      </c>
      <c r="N401" t="str">
        <f>DEC2HEX(_xlfn.BITRSHIFT(_xlfn.BITAND(HEX2DEC(MID('paste from garc here'!$C$1,1+(('table for research'!$B401-1)*36+HEX2DEC(9))*2,2)&amp;MID('paste from garc here'!$C$1,1+(('table for research'!$B401-1)*36+HEX2DEC(8))*2,2)),1920),7),2)</f>
        <v>02</v>
      </c>
      <c r="O401" t="str">
        <f>DEC2HEX(_xlfn.BITRSHIFT(HEX2DEC(MID('paste from garc here'!$C$1,1+(('table for research'!$B401-1)*36+HEX2DEC(9))*2,2)&amp;MID('paste from garc here'!$C$1,1+(('table for research'!$B401-1)*36+HEX2DEC(8))*2,2)),11),2)</f>
        <v>00</v>
      </c>
      <c r="P401" t="str">
        <f>MID('paste from garc here'!$C$1,1+(('table for research'!$B401-1)*36+HEX2DEC('table for research'!P$1))*2,2)</f>
        <v>02</v>
      </c>
      <c r="Q401" t="str">
        <f>MID('paste from garc here'!$C$1,1+(('table for research'!$B401-1)*36+HEX2DEC('table for research'!Q$1))*2,2)</f>
        <v>00</v>
      </c>
      <c r="R401" t="str">
        <f>MID('paste from garc here'!$C$1,1+(('table for research'!$B401-1)*36+HEX2DEC('table for research'!R$1))*2,2)</f>
        <v>00</v>
      </c>
      <c r="S401" t="str">
        <f>MID('paste from garc here'!$C$1,1+(('table for research'!$B401-1)*36+HEX2DEC('table for research'!S$1))*2,2)</f>
        <v>06</v>
      </c>
      <c r="T401" t="str">
        <f>MID('paste from garc here'!$C$1,1+(('table for research'!$B401-1)*36+HEX2DEC('table for research'!T$1))*2,2)</f>
        <v>00</v>
      </c>
      <c r="U401" t="str">
        <f>MID('paste from garc here'!$C$1,1+(('table for research'!$B401-1)*36+HEX2DEC('table for research'!U$1))*2,2)</f>
        <v>47</v>
      </c>
      <c r="V401" t="str">
        <f>MID('paste from garc here'!$C$1,1+(('table for research'!$B401-1)*36+HEX2DEC('table for research'!V$1))*2,2)</f>
        <v>00</v>
      </c>
      <c r="W401" t="str">
        <f>MID('paste from garc here'!$C$1,1+(('table for research'!$B401-1)*36+HEX2DEC('table for research'!W$1))*2,2)</f>
        <v>00</v>
      </c>
      <c r="X401" t="str">
        <f>MID('paste from garc here'!$C$1,1+(('table for research'!$B401-1)*36+HEX2DEC('table for research'!X$1))*2,2)</f>
        <v>00</v>
      </c>
      <c r="Y401" t="str">
        <f>MID('paste from garc here'!$C$1,1+(('table for research'!$B401-1)*36+HEX2DEC('table for research'!Y$1))*2,2)</f>
        <v>00</v>
      </c>
      <c r="Z401" t="str">
        <f>MID('paste from garc here'!$C$1,1+(('table for research'!$B401-1)*36+HEX2DEC('table for research'!Z$1))*2,2)</f>
        <v>00</v>
      </c>
      <c r="AA401" t="str">
        <f>MID('paste from garc here'!$C$1,1+(('table for research'!$B401-1)*36+HEX2DEC('table for research'!AA$1))*2,2)</f>
        <v>00</v>
      </c>
      <c r="AB401" t="str">
        <f>MID('paste from garc here'!$C$1,1+(('table for research'!$B401-1)*36+HEX2DEC('table for research'!AB$1))*2,2)</f>
        <v>00</v>
      </c>
      <c r="AC401" t="str">
        <f>MID('paste from garc here'!$C$1,1+(('table for research'!$B401-1)*36+HEX2DEC('table for research'!AC$1))*2,2)</f>
        <v>00</v>
      </c>
      <c r="AD401" t="str">
        <f>MID('paste from garc here'!$C$1,1+(('table for research'!$B401-1)*36+HEX2DEC('table for research'!AD$1))*2,2)</f>
        <v>00</v>
      </c>
      <c r="AE401" t="str">
        <f>MID('paste from garc here'!$C$1,1+(('table for research'!$B401-1)*36+HEX2DEC('table for research'!AE$1))*2,2)</f>
        <v>00</v>
      </c>
      <c r="AF401" t="str">
        <f>MID('paste from garc here'!$C$1,1+(('table for research'!$B401-1)*36+HEX2DEC('table for research'!AF$1))*2,2)</f>
        <v>00</v>
      </c>
      <c r="AG401" t="str">
        <f>MID('paste from garc here'!$C$1,1+(('table for research'!$B401-1)*36+HEX2DEC('table for research'!AG$1))*2,2)</f>
        <v>00</v>
      </c>
      <c r="AH401" t="str">
        <f>MID('paste from garc here'!$C$1,1+(('table for research'!$B401-1)*36+HEX2DEC('table for research'!AH$1))*2,2)</f>
        <v>00</v>
      </c>
      <c r="AI401" t="str">
        <f>MID('paste from garc here'!$C$1,1+(('table for research'!$B401-1)*36+HEX2DEC('table for research'!AI$1))*2,2)</f>
        <v>00</v>
      </c>
      <c r="AJ401" t="str">
        <f>MID('paste from garc here'!$C$1,1+(('table for research'!$B401-1)*36+HEX2DEC('table for research'!AJ$1))*2,2)</f>
        <v>00</v>
      </c>
      <c r="AK401" t="str">
        <f>MID('paste from garc here'!$C$1,1+(('table for research'!$B401-1)*36+HEX2DEC('table for research'!AK$1))*2,2)</f>
        <v>00</v>
      </c>
      <c r="AL401" t="str">
        <f>MID('paste from garc here'!$C$1,1+(('table for research'!$B401-1)*36+HEX2DEC('table for research'!AL$1))*2,2)</f>
        <v>00</v>
      </c>
      <c r="AM401" t="str">
        <f>MID('paste from garc here'!$C$1,1+(('table for research'!$B401-1)*36+HEX2DEC('table for research'!AM$1))*2,2)</f>
        <v>00</v>
      </c>
      <c r="AN401" t="str">
        <f>MID('paste from garc here'!$C$1,1+(('table for research'!$B401-1)*36+HEX2DEC('table for research'!AN$1))*2,2)</f>
        <v>00</v>
      </c>
      <c r="AO401" t="str">
        <f>MID('paste from garc here'!$C$1,1+(('table for research'!$B401-1)*36+HEX2DEC('table for research'!AO$1))*2,2)</f>
        <v>00</v>
      </c>
    </row>
    <row r="402" spans="1:41" x14ac:dyDescent="0.4">
      <c r="A402" t="s">
        <v>405</v>
      </c>
      <c r="B402">
        <f>B401+1</f>
        <v>400</v>
      </c>
      <c r="C402" t="str">
        <f>MID('paste from garc here'!$C$1,1+(('table for research'!$B402-1)*36+HEX2DEC('table for research'!C$1))*2,2)</f>
        <v>F4</v>
      </c>
      <c r="D402" t="str">
        <f>MID('paste from garc here'!$C$1,1+(('table for research'!$B402-1)*36+HEX2DEC('table for research'!D$1))*2,2)</f>
        <v>01</v>
      </c>
      <c r="E402" t="str">
        <f>MID('paste from garc here'!$C$1,1+(('table for research'!$B402-1)*36+HEX2DEC('table for research'!E$1))*2,2)</f>
        <v>00</v>
      </c>
      <c r="F402" t="str">
        <f>MID('paste from garc here'!$C$1,1+(('table for research'!$B402-1)*36+HEX2DEC('table for research'!F$1))*2,2)</f>
        <v>00</v>
      </c>
      <c r="G402" t="str">
        <f>MID('paste from garc here'!$C$1,1+(('table for research'!$B402-1)*36+HEX2DEC('table for research'!G$1))*2,2)</f>
        <v>00</v>
      </c>
      <c r="H402" t="str">
        <f>MID('paste from garc here'!$C$1,1+(('table for research'!$B402-1)*36+HEX2DEC('table for research'!H$1))*2,2)</f>
        <v>00</v>
      </c>
      <c r="I402" t="str">
        <f>MID('paste from garc here'!$C$1,1+(('table for research'!$B402-1)*36+HEX2DEC('table for research'!I$1))*2,2)</f>
        <v>00</v>
      </c>
      <c r="J402" t="str">
        <f>MID('paste from garc here'!$C$1,1+(('table for research'!$B402-1)*36+HEX2DEC('table for research'!J$1))*2,2)</f>
        <v>00</v>
      </c>
      <c r="K402" t="str">
        <f>DEC2HEX(_xlfn.BITAND(HEX2DEC(MID('paste from garc here'!$C$1,1+(('table for research'!$B402-1)*36+HEX2DEC(8))*2,2)),31),2)</f>
        <v>1F</v>
      </c>
      <c r="L402" t="str">
        <f>DEC2HEX(_xlfn.BITAND(HEX2DEC(MID('paste from garc here'!$C$1,1+(('table for research'!$B402-1)*36+HEX2DEC(8))*2,2)),32),2)</f>
        <v>20</v>
      </c>
      <c r="M402" t="str">
        <f>DEC2HEX(_xlfn.BITAND(HEX2DEC(MID('paste from garc here'!$C$1,1+(('table for research'!$B402-1)*36+HEX2DEC(8))*2,2)),64),2)</f>
        <v>00</v>
      </c>
      <c r="N402" t="str">
        <f>DEC2HEX(_xlfn.BITRSHIFT(_xlfn.BITAND(HEX2DEC(MID('paste from garc here'!$C$1,1+(('table for research'!$B402-1)*36+HEX2DEC(9))*2,2)&amp;MID('paste from garc here'!$C$1,1+(('table for research'!$B402-1)*36+HEX2DEC(8))*2,2)),1920),7),2)</f>
        <v>02</v>
      </c>
      <c r="O402" t="str">
        <f>DEC2HEX(_xlfn.BITRSHIFT(HEX2DEC(MID('paste from garc here'!$C$1,1+(('table for research'!$B402-1)*36+HEX2DEC(9))*2,2)&amp;MID('paste from garc here'!$C$1,1+(('table for research'!$B402-1)*36+HEX2DEC(8))*2,2)),11),2)</f>
        <v>00</v>
      </c>
      <c r="P402" t="str">
        <f>MID('paste from garc here'!$C$1,1+(('table for research'!$B402-1)*36+HEX2DEC('table for research'!P$1))*2,2)</f>
        <v>02</v>
      </c>
      <c r="Q402" t="str">
        <f>MID('paste from garc here'!$C$1,1+(('table for research'!$B402-1)*36+HEX2DEC('table for research'!Q$1))*2,2)</f>
        <v>00</v>
      </c>
      <c r="R402" t="str">
        <f>MID('paste from garc here'!$C$1,1+(('table for research'!$B402-1)*36+HEX2DEC('table for research'!R$1))*2,2)</f>
        <v>00</v>
      </c>
      <c r="S402" t="str">
        <f>MID('paste from garc here'!$C$1,1+(('table for research'!$B402-1)*36+HEX2DEC('table for research'!S$1))*2,2)</f>
        <v>06</v>
      </c>
      <c r="T402" t="str">
        <f>MID('paste from garc here'!$C$1,1+(('table for research'!$B402-1)*36+HEX2DEC('table for research'!T$1))*2,2)</f>
        <v>00</v>
      </c>
      <c r="U402" t="str">
        <f>MID('paste from garc here'!$C$1,1+(('table for research'!$B402-1)*36+HEX2DEC('table for research'!U$1))*2,2)</f>
        <v>48</v>
      </c>
      <c r="V402" t="str">
        <f>MID('paste from garc here'!$C$1,1+(('table for research'!$B402-1)*36+HEX2DEC('table for research'!V$1))*2,2)</f>
        <v>00</v>
      </c>
      <c r="W402" t="str">
        <f>MID('paste from garc here'!$C$1,1+(('table for research'!$B402-1)*36+HEX2DEC('table for research'!W$1))*2,2)</f>
        <v>00</v>
      </c>
      <c r="X402" t="str">
        <f>MID('paste from garc here'!$C$1,1+(('table for research'!$B402-1)*36+HEX2DEC('table for research'!X$1))*2,2)</f>
        <v>00</v>
      </c>
      <c r="Y402" t="str">
        <f>MID('paste from garc here'!$C$1,1+(('table for research'!$B402-1)*36+HEX2DEC('table for research'!Y$1))*2,2)</f>
        <v>00</v>
      </c>
      <c r="Z402" t="str">
        <f>MID('paste from garc here'!$C$1,1+(('table for research'!$B402-1)*36+HEX2DEC('table for research'!Z$1))*2,2)</f>
        <v>00</v>
      </c>
      <c r="AA402" t="str">
        <f>MID('paste from garc here'!$C$1,1+(('table for research'!$B402-1)*36+HEX2DEC('table for research'!AA$1))*2,2)</f>
        <v>00</v>
      </c>
      <c r="AB402" t="str">
        <f>MID('paste from garc here'!$C$1,1+(('table for research'!$B402-1)*36+HEX2DEC('table for research'!AB$1))*2,2)</f>
        <v>00</v>
      </c>
      <c r="AC402" t="str">
        <f>MID('paste from garc here'!$C$1,1+(('table for research'!$B402-1)*36+HEX2DEC('table for research'!AC$1))*2,2)</f>
        <v>00</v>
      </c>
      <c r="AD402" t="str">
        <f>MID('paste from garc here'!$C$1,1+(('table for research'!$B402-1)*36+HEX2DEC('table for research'!AD$1))*2,2)</f>
        <v>00</v>
      </c>
      <c r="AE402" t="str">
        <f>MID('paste from garc here'!$C$1,1+(('table for research'!$B402-1)*36+HEX2DEC('table for research'!AE$1))*2,2)</f>
        <v>00</v>
      </c>
      <c r="AF402" t="str">
        <f>MID('paste from garc here'!$C$1,1+(('table for research'!$B402-1)*36+HEX2DEC('table for research'!AF$1))*2,2)</f>
        <v>00</v>
      </c>
      <c r="AG402" t="str">
        <f>MID('paste from garc here'!$C$1,1+(('table for research'!$B402-1)*36+HEX2DEC('table for research'!AG$1))*2,2)</f>
        <v>00</v>
      </c>
      <c r="AH402" t="str">
        <f>MID('paste from garc here'!$C$1,1+(('table for research'!$B402-1)*36+HEX2DEC('table for research'!AH$1))*2,2)</f>
        <v>00</v>
      </c>
      <c r="AI402" t="str">
        <f>MID('paste from garc here'!$C$1,1+(('table for research'!$B402-1)*36+HEX2DEC('table for research'!AI$1))*2,2)</f>
        <v>00</v>
      </c>
      <c r="AJ402" t="str">
        <f>MID('paste from garc here'!$C$1,1+(('table for research'!$B402-1)*36+HEX2DEC('table for research'!AJ$1))*2,2)</f>
        <v>00</v>
      </c>
      <c r="AK402" t="str">
        <f>MID('paste from garc here'!$C$1,1+(('table for research'!$B402-1)*36+HEX2DEC('table for research'!AK$1))*2,2)</f>
        <v>00</v>
      </c>
      <c r="AL402" t="str">
        <f>MID('paste from garc here'!$C$1,1+(('table for research'!$B402-1)*36+HEX2DEC('table for research'!AL$1))*2,2)</f>
        <v>00</v>
      </c>
      <c r="AM402" t="str">
        <f>MID('paste from garc here'!$C$1,1+(('table for research'!$B402-1)*36+HEX2DEC('table for research'!AM$1))*2,2)</f>
        <v>00</v>
      </c>
      <c r="AN402" t="str">
        <f>MID('paste from garc here'!$C$1,1+(('table for research'!$B402-1)*36+HEX2DEC('table for research'!AN$1))*2,2)</f>
        <v>00</v>
      </c>
      <c r="AO402" t="str">
        <f>MID('paste from garc here'!$C$1,1+(('table for research'!$B402-1)*36+HEX2DEC('table for research'!AO$1))*2,2)</f>
        <v>00</v>
      </c>
    </row>
    <row r="403" spans="1:41" x14ac:dyDescent="0.4">
      <c r="A403" t="s">
        <v>406</v>
      </c>
      <c r="B403">
        <f>B402+1</f>
        <v>401</v>
      </c>
      <c r="C403" t="str">
        <f>MID('paste from garc here'!$C$1,1+(('table for research'!$B403-1)*36+HEX2DEC('table for research'!C$1))*2,2)</f>
        <v>E8</v>
      </c>
      <c r="D403" t="str">
        <f>MID('paste from garc here'!$C$1,1+(('table for research'!$B403-1)*36+HEX2DEC('table for research'!D$1))*2,2)</f>
        <v>03</v>
      </c>
      <c r="E403" t="str">
        <f>MID('paste from garc here'!$C$1,1+(('table for research'!$B403-1)*36+HEX2DEC('table for research'!E$1))*2,2)</f>
        <v>00</v>
      </c>
      <c r="F403" t="str">
        <f>MID('paste from garc here'!$C$1,1+(('table for research'!$B403-1)*36+HEX2DEC('table for research'!F$1))*2,2)</f>
        <v>00</v>
      </c>
      <c r="G403" t="str">
        <f>MID('paste from garc here'!$C$1,1+(('table for research'!$B403-1)*36+HEX2DEC('table for research'!G$1))*2,2)</f>
        <v>00</v>
      </c>
      <c r="H403" t="str">
        <f>MID('paste from garc here'!$C$1,1+(('table for research'!$B403-1)*36+HEX2DEC('table for research'!H$1))*2,2)</f>
        <v>00</v>
      </c>
      <c r="I403" t="str">
        <f>MID('paste from garc here'!$C$1,1+(('table for research'!$B403-1)*36+HEX2DEC('table for research'!I$1))*2,2)</f>
        <v>00</v>
      </c>
      <c r="J403" t="str">
        <f>MID('paste from garc here'!$C$1,1+(('table for research'!$B403-1)*36+HEX2DEC('table for research'!J$1))*2,2)</f>
        <v>00</v>
      </c>
      <c r="K403" t="str">
        <f>DEC2HEX(_xlfn.BITAND(HEX2DEC(MID('paste from garc here'!$C$1,1+(('table for research'!$B403-1)*36+HEX2DEC(8))*2,2)),31),2)</f>
        <v>1F</v>
      </c>
      <c r="L403" t="str">
        <f>DEC2HEX(_xlfn.BITAND(HEX2DEC(MID('paste from garc here'!$C$1,1+(('table for research'!$B403-1)*36+HEX2DEC(8))*2,2)),32),2)</f>
        <v>20</v>
      </c>
      <c r="M403" t="str">
        <f>DEC2HEX(_xlfn.BITAND(HEX2DEC(MID('paste from garc here'!$C$1,1+(('table for research'!$B403-1)*36+HEX2DEC(8))*2,2)),64),2)</f>
        <v>00</v>
      </c>
      <c r="N403" t="str">
        <f>DEC2HEX(_xlfn.BITRSHIFT(_xlfn.BITAND(HEX2DEC(MID('paste from garc here'!$C$1,1+(('table for research'!$B403-1)*36+HEX2DEC(9))*2,2)&amp;MID('paste from garc here'!$C$1,1+(('table for research'!$B403-1)*36+HEX2DEC(8))*2,2)),1920),7),2)</f>
        <v>02</v>
      </c>
      <c r="O403" t="str">
        <f>DEC2HEX(_xlfn.BITRSHIFT(HEX2DEC(MID('paste from garc here'!$C$1,1+(('table for research'!$B403-1)*36+HEX2DEC(9))*2,2)&amp;MID('paste from garc here'!$C$1,1+(('table for research'!$B403-1)*36+HEX2DEC(8))*2,2)),11),2)</f>
        <v>00</v>
      </c>
      <c r="P403" t="str">
        <f>MID('paste from garc here'!$C$1,1+(('table for research'!$B403-1)*36+HEX2DEC('table for research'!P$1))*2,2)</f>
        <v>02</v>
      </c>
      <c r="Q403" t="str">
        <f>MID('paste from garc here'!$C$1,1+(('table for research'!$B403-1)*36+HEX2DEC('table for research'!Q$1))*2,2)</f>
        <v>00</v>
      </c>
      <c r="R403" t="str">
        <f>MID('paste from garc here'!$C$1,1+(('table for research'!$B403-1)*36+HEX2DEC('table for research'!R$1))*2,2)</f>
        <v>00</v>
      </c>
      <c r="S403" t="str">
        <f>MID('paste from garc here'!$C$1,1+(('table for research'!$B403-1)*36+HEX2DEC('table for research'!S$1))*2,2)</f>
        <v>06</v>
      </c>
      <c r="T403" t="str">
        <f>MID('paste from garc here'!$C$1,1+(('table for research'!$B403-1)*36+HEX2DEC('table for research'!T$1))*2,2)</f>
        <v>00</v>
      </c>
      <c r="U403" t="str">
        <f>MID('paste from garc here'!$C$1,1+(('table for research'!$B403-1)*36+HEX2DEC('table for research'!U$1))*2,2)</f>
        <v>49</v>
      </c>
      <c r="V403" t="str">
        <f>MID('paste from garc here'!$C$1,1+(('table for research'!$B403-1)*36+HEX2DEC('table for research'!V$1))*2,2)</f>
        <v>00</v>
      </c>
      <c r="W403" t="str">
        <f>MID('paste from garc here'!$C$1,1+(('table for research'!$B403-1)*36+HEX2DEC('table for research'!W$1))*2,2)</f>
        <v>00</v>
      </c>
      <c r="X403" t="str">
        <f>MID('paste from garc here'!$C$1,1+(('table for research'!$B403-1)*36+HEX2DEC('table for research'!X$1))*2,2)</f>
        <v>00</v>
      </c>
      <c r="Y403" t="str">
        <f>MID('paste from garc here'!$C$1,1+(('table for research'!$B403-1)*36+HEX2DEC('table for research'!Y$1))*2,2)</f>
        <v>00</v>
      </c>
      <c r="Z403" t="str">
        <f>MID('paste from garc here'!$C$1,1+(('table for research'!$B403-1)*36+HEX2DEC('table for research'!Z$1))*2,2)</f>
        <v>00</v>
      </c>
      <c r="AA403" t="str">
        <f>MID('paste from garc here'!$C$1,1+(('table for research'!$B403-1)*36+HEX2DEC('table for research'!AA$1))*2,2)</f>
        <v>00</v>
      </c>
      <c r="AB403" t="str">
        <f>MID('paste from garc here'!$C$1,1+(('table for research'!$B403-1)*36+HEX2DEC('table for research'!AB$1))*2,2)</f>
        <v>00</v>
      </c>
      <c r="AC403" t="str">
        <f>MID('paste from garc here'!$C$1,1+(('table for research'!$B403-1)*36+HEX2DEC('table for research'!AC$1))*2,2)</f>
        <v>00</v>
      </c>
      <c r="AD403" t="str">
        <f>MID('paste from garc here'!$C$1,1+(('table for research'!$B403-1)*36+HEX2DEC('table for research'!AD$1))*2,2)</f>
        <v>00</v>
      </c>
      <c r="AE403" t="str">
        <f>MID('paste from garc here'!$C$1,1+(('table for research'!$B403-1)*36+HEX2DEC('table for research'!AE$1))*2,2)</f>
        <v>00</v>
      </c>
      <c r="AF403" t="str">
        <f>MID('paste from garc here'!$C$1,1+(('table for research'!$B403-1)*36+HEX2DEC('table for research'!AF$1))*2,2)</f>
        <v>00</v>
      </c>
      <c r="AG403" t="str">
        <f>MID('paste from garc here'!$C$1,1+(('table for research'!$B403-1)*36+HEX2DEC('table for research'!AG$1))*2,2)</f>
        <v>00</v>
      </c>
      <c r="AH403" t="str">
        <f>MID('paste from garc here'!$C$1,1+(('table for research'!$B403-1)*36+HEX2DEC('table for research'!AH$1))*2,2)</f>
        <v>00</v>
      </c>
      <c r="AI403" t="str">
        <f>MID('paste from garc here'!$C$1,1+(('table for research'!$B403-1)*36+HEX2DEC('table for research'!AI$1))*2,2)</f>
        <v>00</v>
      </c>
      <c r="AJ403" t="str">
        <f>MID('paste from garc here'!$C$1,1+(('table for research'!$B403-1)*36+HEX2DEC('table for research'!AJ$1))*2,2)</f>
        <v>00</v>
      </c>
      <c r="AK403" t="str">
        <f>MID('paste from garc here'!$C$1,1+(('table for research'!$B403-1)*36+HEX2DEC('table for research'!AK$1))*2,2)</f>
        <v>00</v>
      </c>
      <c r="AL403" t="str">
        <f>MID('paste from garc here'!$C$1,1+(('table for research'!$B403-1)*36+HEX2DEC('table for research'!AL$1))*2,2)</f>
        <v>00</v>
      </c>
      <c r="AM403" t="str">
        <f>MID('paste from garc here'!$C$1,1+(('table for research'!$B403-1)*36+HEX2DEC('table for research'!AM$1))*2,2)</f>
        <v>00</v>
      </c>
      <c r="AN403" t="str">
        <f>MID('paste from garc here'!$C$1,1+(('table for research'!$B403-1)*36+HEX2DEC('table for research'!AN$1))*2,2)</f>
        <v>00</v>
      </c>
      <c r="AO403" t="str">
        <f>MID('paste from garc here'!$C$1,1+(('table for research'!$B403-1)*36+HEX2DEC('table for research'!AO$1))*2,2)</f>
        <v>00</v>
      </c>
    </row>
    <row r="404" spans="1:41" x14ac:dyDescent="0.4">
      <c r="A404" t="s">
        <v>407</v>
      </c>
      <c r="B404">
        <f>B403+1</f>
        <v>402</v>
      </c>
      <c r="C404" t="str">
        <f>MID('paste from garc here'!$C$1,1+(('table for research'!$B404-1)*36+HEX2DEC('table for research'!C$1))*2,2)</f>
        <v>E8</v>
      </c>
      <c r="D404" t="str">
        <f>MID('paste from garc here'!$C$1,1+(('table for research'!$B404-1)*36+HEX2DEC('table for research'!D$1))*2,2)</f>
        <v>03</v>
      </c>
      <c r="E404" t="str">
        <f>MID('paste from garc here'!$C$1,1+(('table for research'!$B404-1)*36+HEX2DEC('table for research'!E$1))*2,2)</f>
        <v>00</v>
      </c>
      <c r="F404" t="str">
        <f>MID('paste from garc here'!$C$1,1+(('table for research'!$B404-1)*36+HEX2DEC('table for research'!F$1))*2,2)</f>
        <v>00</v>
      </c>
      <c r="G404" t="str">
        <f>MID('paste from garc here'!$C$1,1+(('table for research'!$B404-1)*36+HEX2DEC('table for research'!G$1))*2,2)</f>
        <v>00</v>
      </c>
      <c r="H404" t="str">
        <f>MID('paste from garc here'!$C$1,1+(('table for research'!$B404-1)*36+HEX2DEC('table for research'!H$1))*2,2)</f>
        <v>00</v>
      </c>
      <c r="I404" t="str">
        <f>MID('paste from garc here'!$C$1,1+(('table for research'!$B404-1)*36+HEX2DEC('table for research'!I$1))*2,2)</f>
        <v>00</v>
      </c>
      <c r="J404" t="str">
        <f>MID('paste from garc here'!$C$1,1+(('table for research'!$B404-1)*36+HEX2DEC('table for research'!J$1))*2,2)</f>
        <v>00</v>
      </c>
      <c r="K404" t="str">
        <f>DEC2HEX(_xlfn.BITAND(HEX2DEC(MID('paste from garc here'!$C$1,1+(('table for research'!$B404-1)*36+HEX2DEC(8))*2,2)),31),2)</f>
        <v>1F</v>
      </c>
      <c r="L404" t="str">
        <f>DEC2HEX(_xlfn.BITAND(HEX2DEC(MID('paste from garc here'!$C$1,1+(('table for research'!$B404-1)*36+HEX2DEC(8))*2,2)),32),2)</f>
        <v>20</v>
      </c>
      <c r="M404" t="str">
        <f>DEC2HEX(_xlfn.BITAND(HEX2DEC(MID('paste from garc here'!$C$1,1+(('table for research'!$B404-1)*36+HEX2DEC(8))*2,2)),64),2)</f>
        <v>00</v>
      </c>
      <c r="N404" t="str">
        <f>DEC2HEX(_xlfn.BITRSHIFT(_xlfn.BITAND(HEX2DEC(MID('paste from garc here'!$C$1,1+(('table for research'!$B404-1)*36+HEX2DEC(9))*2,2)&amp;MID('paste from garc here'!$C$1,1+(('table for research'!$B404-1)*36+HEX2DEC(8))*2,2)),1920),7),2)</f>
        <v>02</v>
      </c>
      <c r="O404" t="str">
        <f>DEC2HEX(_xlfn.BITRSHIFT(HEX2DEC(MID('paste from garc here'!$C$1,1+(('table for research'!$B404-1)*36+HEX2DEC(9))*2,2)&amp;MID('paste from garc here'!$C$1,1+(('table for research'!$B404-1)*36+HEX2DEC(8))*2,2)),11),2)</f>
        <v>00</v>
      </c>
      <c r="P404" t="str">
        <f>MID('paste from garc here'!$C$1,1+(('table for research'!$B404-1)*36+HEX2DEC('table for research'!P$1))*2,2)</f>
        <v>02</v>
      </c>
      <c r="Q404" t="str">
        <f>MID('paste from garc here'!$C$1,1+(('table for research'!$B404-1)*36+HEX2DEC('table for research'!Q$1))*2,2)</f>
        <v>00</v>
      </c>
      <c r="R404" t="str">
        <f>MID('paste from garc here'!$C$1,1+(('table for research'!$B404-1)*36+HEX2DEC('table for research'!R$1))*2,2)</f>
        <v>00</v>
      </c>
      <c r="S404" t="str">
        <f>MID('paste from garc here'!$C$1,1+(('table for research'!$B404-1)*36+HEX2DEC('table for research'!S$1))*2,2)</f>
        <v>06</v>
      </c>
      <c r="T404" t="str">
        <f>MID('paste from garc here'!$C$1,1+(('table for research'!$B404-1)*36+HEX2DEC('table for research'!T$1))*2,2)</f>
        <v>00</v>
      </c>
      <c r="U404" t="str">
        <f>MID('paste from garc here'!$C$1,1+(('table for research'!$B404-1)*36+HEX2DEC('table for research'!U$1))*2,2)</f>
        <v>4A</v>
      </c>
      <c r="V404" t="str">
        <f>MID('paste from garc here'!$C$1,1+(('table for research'!$B404-1)*36+HEX2DEC('table for research'!V$1))*2,2)</f>
        <v>00</v>
      </c>
      <c r="W404" t="str">
        <f>MID('paste from garc here'!$C$1,1+(('table for research'!$B404-1)*36+HEX2DEC('table for research'!W$1))*2,2)</f>
        <v>00</v>
      </c>
      <c r="X404" t="str">
        <f>MID('paste from garc here'!$C$1,1+(('table for research'!$B404-1)*36+HEX2DEC('table for research'!X$1))*2,2)</f>
        <v>00</v>
      </c>
      <c r="Y404" t="str">
        <f>MID('paste from garc here'!$C$1,1+(('table for research'!$B404-1)*36+HEX2DEC('table for research'!Y$1))*2,2)</f>
        <v>00</v>
      </c>
      <c r="Z404" t="str">
        <f>MID('paste from garc here'!$C$1,1+(('table for research'!$B404-1)*36+HEX2DEC('table for research'!Z$1))*2,2)</f>
        <v>00</v>
      </c>
      <c r="AA404" t="str">
        <f>MID('paste from garc here'!$C$1,1+(('table for research'!$B404-1)*36+HEX2DEC('table for research'!AA$1))*2,2)</f>
        <v>00</v>
      </c>
      <c r="AB404" t="str">
        <f>MID('paste from garc here'!$C$1,1+(('table for research'!$B404-1)*36+HEX2DEC('table for research'!AB$1))*2,2)</f>
        <v>00</v>
      </c>
      <c r="AC404" t="str">
        <f>MID('paste from garc here'!$C$1,1+(('table for research'!$B404-1)*36+HEX2DEC('table for research'!AC$1))*2,2)</f>
        <v>00</v>
      </c>
      <c r="AD404" t="str">
        <f>MID('paste from garc here'!$C$1,1+(('table for research'!$B404-1)*36+HEX2DEC('table for research'!AD$1))*2,2)</f>
        <v>00</v>
      </c>
      <c r="AE404" t="str">
        <f>MID('paste from garc here'!$C$1,1+(('table for research'!$B404-1)*36+HEX2DEC('table for research'!AE$1))*2,2)</f>
        <v>00</v>
      </c>
      <c r="AF404" t="str">
        <f>MID('paste from garc here'!$C$1,1+(('table for research'!$B404-1)*36+HEX2DEC('table for research'!AF$1))*2,2)</f>
        <v>00</v>
      </c>
      <c r="AG404" t="str">
        <f>MID('paste from garc here'!$C$1,1+(('table for research'!$B404-1)*36+HEX2DEC('table for research'!AG$1))*2,2)</f>
        <v>00</v>
      </c>
      <c r="AH404" t="str">
        <f>MID('paste from garc here'!$C$1,1+(('table for research'!$B404-1)*36+HEX2DEC('table for research'!AH$1))*2,2)</f>
        <v>00</v>
      </c>
      <c r="AI404" t="str">
        <f>MID('paste from garc here'!$C$1,1+(('table for research'!$B404-1)*36+HEX2DEC('table for research'!AI$1))*2,2)</f>
        <v>00</v>
      </c>
      <c r="AJ404" t="str">
        <f>MID('paste from garc here'!$C$1,1+(('table for research'!$B404-1)*36+HEX2DEC('table for research'!AJ$1))*2,2)</f>
        <v>00</v>
      </c>
      <c r="AK404" t="str">
        <f>MID('paste from garc here'!$C$1,1+(('table for research'!$B404-1)*36+HEX2DEC('table for research'!AK$1))*2,2)</f>
        <v>00</v>
      </c>
      <c r="AL404" t="str">
        <f>MID('paste from garc here'!$C$1,1+(('table for research'!$B404-1)*36+HEX2DEC('table for research'!AL$1))*2,2)</f>
        <v>00</v>
      </c>
      <c r="AM404" t="str">
        <f>MID('paste from garc here'!$C$1,1+(('table for research'!$B404-1)*36+HEX2DEC('table for research'!AM$1))*2,2)</f>
        <v>00</v>
      </c>
      <c r="AN404" t="str">
        <f>MID('paste from garc here'!$C$1,1+(('table for research'!$B404-1)*36+HEX2DEC('table for research'!AN$1))*2,2)</f>
        <v>00</v>
      </c>
      <c r="AO404" t="str">
        <f>MID('paste from garc here'!$C$1,1+(('table for research'!$B404-1)*36+HEX2DEC('table for research'!AO$1))*2,2)</f>
        <v>00</v>
      </c>
    </row>
    <row r="405" spans="1:41" x14ac:dyDescent="0.4">
      <c r="A405" t="s">
        <v>408</v>
      </c>
      <c r="B405">
        <f>B404+1</f>
        <v>403</v>
      </c>
      <c r="C405" t="str">
        <f>MID('paste from garc here'!$C$1,1+(('table for research'!$B405-1)*36+HEX2DEC('table for research'!C$1))*2,2)</f>
        <v>E8</v>
      </c>
      <c r="D405" t="str">
        <f>MID('paste from garc here'!$C$1,1+(('table for research'!$B405-1)*36+HEX2DEC('table for research'!D$1))*2,2)</f>
        <v>03</v>
      </c>
      <c r="E405" t="str">
        <f>MID('paste from garc here'!$C$1,1+(('table for research'!$B405-1)*36+HEX2DEC('table for research'!E$1))*2,2)</f>
        <v>00</v>
      </c>
      <c r="F405" t="str">
        <f>MID('paste from garc here'!$C$1,1+(('table for research'!$B405-1)*36+HEX2DEC('table for research'!F$1))*2,2)</f>
        <v>00</v>
      </c>
      <c r="G405" t="str">
        <f>MID('paste from garc here'!$C$1,1+(('table for research'!$B405-1)*36+HEX2DEC('table for research'!G$1))*2,2)</f>
        <v>00</v>
      </c>
      <c r="H405" t="str">
        <f>MID('paste from garc here'!$C$1,1+(('table for research'!$B405-1)*36+HEX2DEC('table for research'!H$1))*2,2)</f>
        <v>00</v>
      </c>
      <c r="I405" t="str">
        <f>MID('paste from garc here'!$C$1,1+(('table for research'!$B405-1)*36+HEX2DEC('table for research'!I$1))*2,2)</f>
        <v>00</v>
      </c>
      <c r="J405" t="str">
        <f>MID('paste from garc here'!$C$1,1+(('table for research'!$B405-1)*36+HEX2DEC('table for research'!J$1))*2,2)</f>
        <v>00</v>
      </c>
      <c r="K405" t="str">
        <f>DEC2HEX(_xlfn.BITAND(HEX2DEC(MID('paste from garc here'!$C$1,1+(('table for research'!$B405-1)*36+HEX2DEC(8))*2,2)),31),2)</f>
        <v>1F</v>
      </c>
      <c r="L405" t="str">
        <f>DEC2HEX(_xlfn.BITAND(HEX2DEC(MID('paste from garc here'!$C$1,1+(('table for research'!$B405-1)*36+HEX2DEC(8))*2,2)),32),2)</f>
        <v>20</v>
      </c>
      <c r="M405" t="str">
        <f>DEC2HEX(_xlfn.BITAND(HEX2DEC(MID('paste from garc here'!$C$1,1+(('table for research'!$B405-1)*36+HEX2DEC(8))*2,2)),64),2)</f>
        <v>00</v>
      </c>
      <c r="N405" t="str">
        <f>DEC2HEX(_xlfn.BITRSHIFT(_xlfn.BITAND(HEX2DEC(MID('paste from garc here'!$C$1,1+(('table for research'!$B405-1)*36+HEX2DEC(9))*2,2)&amp;MID('paste from garc here'!$C$1,1+(('table for research'!$B405-1)*36+HEX2DEC(8))*2,2)),1920),7),2)</f>
        <v>02</v>
      </c>
      <c r="O405" t="str">
        <f>DEC2HEX(_xlfn.BITRSHIFT(HEX2DEC(MID('paste from garc here'!$C$1,1+(('table for research'!$B405-1)*36+HEX2DEC(9))*2,2)&amp;MID('paste from garc here'!$C$1,1+(('table for research'!$B405-1)*36+HEX2DEC(8))*2,2)),11),2)</f>
        <v>00</v>
      </c>
      <c r="P405" t="str">
        <f>MID('paste from garc here'!$C$1,1+(('table for research'!$B405-1)*36+HEX2DEC('table for research'!P$1))*2,2)</f>
        <v>02</v>
      </c>
      <c r="Q405" t="str">
        <f>MID('paste from garc here'!$C$1,1+(('table for research'!$B405-1)*36+HEX2DEC('table for research'!Q$1))*2,2)</f>
        <v>00</v>
      </c>
      <c r="R405" t="str">
        <f>MID('paste from garc here'!$C$1,1+(('table for research'!$B405-1)*36+HEX2DEC('table for research'!R$1))*2,2)</f>
        <v>00</v>
      </c>
      <c r="S405" t="str">
        <f>MID('paste from garc here'!$C$1,1+(('table for research'!$B405-1)*36+HEX2DEC('table for research'!S$1))*2,2)</f>
        <v>06</v>
      </c>
      <c r="T405" t="str">
        <f>MID('paste from garc here'!$C$1,1+(('table for research'!$B405-1)*36+HEX2DEC('table for research'!T$1))*2,2)</f>
        <v>00</v>
      </c>
      <c r="U405" t="str">
        <f>MID('paste from garc here'!$C$1,1+(('table for research'!$B405-1)*36+HEX2DEC('table for research'!U$1))*2,2)</f>
        <v>4B</v>
      </c>
      <c r="V405" t="str">
        <f>MID('paste from garc here'!$C$1,1+(('table for research'!$B405-1)*36+HEX2DEC('table for research'!V$1))*2,2)</f>
        <v>00</v>
      </c>
      <c r="W405" t="str">
        <f>MID('paste from garc here'!$C$1,1+(('table for research'!$B405-1)*36+HEX2DEC('table for research'!W$1))*2,2)</f>
        <v>00</v>
      </c>
      <c r="X405" t="str">
        <f>MID('paste from garc here'!$C$1,1+(('table for research'!$B405-1)*36+HEX2DEC('table for research'!X$1))*2,2)</f>
        <v>00</v>
      </c>
      <c r="Y405" t="str">
        <f>MID('paste from garc here'!$C$1,1+(('table for research'!$B405-1)*36+HEX2DEC('table for research'!Y$1))*2,2)</f>
        <v>00</v>
      </c>
      <c r="Z405" t="str">
        <f>MID('paste from garc here'!$C$1,1+(('table for research'!$B405-1)*36+HEX2DEC('table for research'!Z$1))*2,2)</f>
        <v>00</v>
      </c>
      <c r="AA405" t="str">
        <f>MID('paste from garc here'!$C$1,1+(('table for research'!$B405-1)*36+HEX2DEC('table for research'!AA$1))*2,2)</f>
        <v>00</v>
      </c>
      <c r="AB405" t="str">
        <f>MID('paste from garc here'!$C$1,1+(('table for research'!$B405-1)*36+HEX2DEC('table for research'!AB$1))*2,2)</f>
        <v>00</v>
      </c>
      <c r="AC405" t="str">
        <f>MID('paste from garc here'!$C$1,1+(('table for research'!$B405-1)*36+HEX2DEC('table for research'!AC$1))*2,2)</f>
        <v>00</v>
      </c>
      <c r="AD405" t="str">
        <f>MID('paste from garc here'!$C$1,1+(('table for research'!$B405-1)*36+HEX2DEC('table for research'!AD$1))*2,2)</f>
        <v>00</v>
      </c>
      <c r="AE405" t="str">
        <f>MID('paste from garc here'!$C$1,1+(('table for research'!$B405-1)*36+HEX2DEC('table for research'!AE$1))*2,2)</f>
        <v>00</v>
      </c>
      <c r="AF405" t="str">
        <f>MID('paste from garc here'!$C$1,1+(('table for research'!$B405-1)*36+HEX2DEC('table for research'!AF$1))*2,2)</f>
        <v>00</v>
      </c>
      <c r="AG405" t="str">
        <f>MID('paste from garc here'!$C$1,1+(('table for research'!$B405-1)*36+HEX2DEC('table for research'!AG$1))*2,2)</f>
        <v>00</v>
      </c>
      <c r="AH405" t="str">
        <f>MID('paste from garc here'!$C$1,1+(('table for research'!$B405-1)*36+HEX2DEC('table for research'!AH$1))*2,2)</f>
        <v>00</v>
      </c>
      <c r="AI405" t="str">
        <f>MID('paste from garc here'!$C$1,1+(('table for research'!$B405-1)*36+HEX2DEC('table for research'!AI$1))*2,2)</f>
        <v>00</v>
      </c>
      <c r="AJ405" t="str">
        <f>MID('paste from garc here'!$C$1,1+(('table for research'!$B405-1)*36+HEX2DEC('table for research'!AJ$1))*2,2)</f>
        <v>00</v>
      </c>
      <c r="AK405" t="str">
        <f>MID('paste from garc here'!$C$1,1+(('table for research'!$B405-1)*36+HEX2DEC('table for research'!AK$1))*2,2)</f>
        <v>00</v>
      </c>
      <c r="AL405" t="str">
        <f>MID('paste from garc here'!$C$1,1+(('table for research'!$B405-1)*36+HEX2DEC('table for research'!AL$1))*2,2)</f>
        <v>00</v>
      </c>
      <c r="AM405" t="str">
        <f>MID('paste from garc here'!$C$1,1+(('table for research'!$B405-1)*36+HEX2DEC('table for research'!AM$1))*2,2)</f>
        <v>00</v>
      </c>
      <c r="AN405" t="str">
        <f>MID('paste from garc here'!$C$1,1+(('table for research'!$B405-1)*36+HEX2DEC('table for research'!AN$1))*2,2)</f>
        <v>00</v>
      </c>
      <c r="AO405" t="str">
        <f>MID('paste from garc here'!$C$1,1+(('table for research'!$B405-1)*36+HEX2DEC('table for research'!AO$1))*2,2)</f>
        <v>00</v>
      </c>
    </row>
    <row r="406" spans="1:41" x14ac:dyDescent="0.4">
      <c r="A406" t="s">
        <v>409</v>
      </c>
      <c r="B406">
        <f>B405+1</f>
        <v>404</v>
      </c>
      <c r="C406" t="str">
        <f>MID('paste from garc here'!$C$1,1+(('table for research'!$B406-1)*36+HEX2DEC('table for research'!C$1))*2,2)</f>
        <v>E8</v>
      </c>
      <c r="D406" t="str">
        <f>MID('paste from garc here'!$C$1,1+(('table for research'!$B406-1)*36+HEX2DEC('table for research'!D$1))*2,2)</f>
        <v>03</v>
      </c>
      <c r="E406" t="str">
        <f>MID('paste from garc here'!$C$1,1+(('table for research'!$B406-1)*36+HEX2DEC('table for research'!E$1))*2,2)</f>
        <v>00</v>
      </c>
      <c r="F406" t="str">
        <f>MID('paste from garc here'!$C$1,1+(('table for research'!$B406-1)*36+HEX2DEC('table for research'!F$1))*2,2)</f>
        <v>00</v>
      </c>
      <c r="G406" t="str">
        <f>MID('paste from garc here'!$C$1,1+(('table for research'!$B406-1)*36+HEX2DEC('table for research'!G$1))*2,2)</f>
        <v>00</v>
      </c>
      <c r="H406" t="str">
        <f>MID('paste from garc here'!$C$1,1+(('table for research'!$B406-1)*36+HEX2DEC('table for research'!H$1))*2,2)</f>
        <v>00</v>
      </c>
      <c r="I406" t="str">
        <f>MID('paste from garc here'!$C$1,1+(('table for research'!$B406-1)*36+HEX2DEC('table for research'!I$1))*2,2)</f>
        <v>00</v>
      </c>
      <c r="J406" t="str">
        <f>MID('paste from garc here'!$C$1,1+(('table for research'!$B406-1)*36+HEX2DEC('table for research'!J$1))*2,2)</f>
        <v>00</v>
      </c>
      <c r="K406" t="str">
        <f>DEC2HEX(_xlfn.BITAND(HEX2DEC(MID('paste from garc here'!$C$1,1+(('table for research'!$B406-1)*36+HEX2DEC(8))*2,2)),31),2)</f>
        <v>1F</v>
      </c>
      <c r="L406" t="str">
        <f>DEC2HEX(_xlfn.BITAND(HEX2DEC(MID('paste from garc here'!$C$1,1+(('table for research'!$B406-1)*36+HEX2DEC(8))*2,2)),32),2)</f>
        <v>20</v>
      </c>
      <c r="M406" t="str">
        <f>DEC2HEX(_xlfn.BITAND(HEX2DEC(MID('paste from garc here'!$C$1,1+(('table for research'!$B406-1)*36+HEX2DEC(8))*2,2)),64),2)</f>
        <v>00</v>
      </c>
      <c r="N406" t="str">
        <f>DEC2HEX(_xlfn.BITRSHIFT(_xlfn.BITAND(HEX2DEC(MID('paste from garc here'!$C$1,1+(('table for research'!$B406-1)*36+HEX2DEC(9))*2,2)&amp;MID('paste from garc here'!$C$1,1+(('table for research'!$B406-1)*36+HEX2DEC(8))*2,2)),1920),7),2)</f>
        <v>02</v>
      </c>
      <c r="O406" t="str">
        <f>DEC2HEX(_xlfn.BITRSHIFT(HEX2DEC(MID('paste from garc here'!$C$1,1+(('table for research'!$B406-1)*36+HEX2DEC(9))*2,2)&amp;MID('paste from garc here'!$C$1,1+(('table for research'!$B406-1)*36+HEX2DEC(8))*2,2)),11),2)</f>
        <v>00</v>
      </c>
      <c r="P406" t="str">
        <f>MID('paste from garc here'!$C$1,1+(('table for research'!$B406-1)*36+HEX2DEC('table for research'!P$1))*2,2)</f>
        <v>02</v>
      </c>
      <c r="Q406" t="str">
        <f>MID('paste from garc here'!$C$1,1+(('table for research'!$B406-1)*36+HEX2DEC('table for research'!Q$1))*2,2)</f>
        <v>00</v>
      </c>
      <c r="R406" t="str">
        <f>MID('paste from garc here'!$C$1,1+(('table for research'!$B406-1)*36+HEX2DEC('table for research'!R$1))*2,2)</f>
        <v>00</v>
      </c>
      <c r="S406" t="str">
        <f>MID('paste from garc here'!$C$1,1+(('table for research'!$B406-1)*36+HEX2DEC('table for research'!S$1))*2,2)</f>
        <v>06</v>
      </c>
      <c r="T406" t="str">
        <f>MID('paste from garc here'!$C$1,1+(('table for research'!$B406-1)*36+HEX2DEC('table for research'!T$1))*2,2)</f>
        <v>00</v>
      </c>
      <c r="U406" t="str">
        <f>MID('paste from garc here'!$C$1,1+(('table for research'!$B406-1)*36+HEX2DEC('table for research'!U$1))*2,2)</f>
        <v>4C</v>
      </c>
      <c r="V406" t="str">
        <f>MID('paste from garc here'!$C$1,1+(('table for research'!$B406-1)*36+HEX2DEC('table for research'!V$1))*2,2)</f>
        <v>00</v>
      </c>
      <c r="W406" t="str">
        <f>MID('paste from garc here'!$C$1,1+(('table for research'!$B406-1)*36+HEX2DEC('table for research'!W$1))*2,2)</f>
        <v>00</v>
      </c>
      <c r="X406" t="str">
        <f>MID('paste from garc here'!$C$1,1+(('table for research'!$B406-1)*36+HEX2DEC('table for research'!X$1))*2,2)</f>
        <v>00</v>
      </c>
      <c r="Y406" t="str">
        <f>MID('paste from garc here'!$C$1,1+(('table for research'!$B406-1)*36+HEX2DEC('table for research'!Y$1))*2,2)</f>
        <v>00</v>
      </c>
      <c r="Z406" t="str">
        <f>MID('paste from garc here'!$C$1,1+(('table for research'!$B406-1)*36+HEX2DEC('table for research'!Z$1))*2,2)</f>
        <v>00</v>
      </c>
      <c r="AA406" t="str">
        <f>MID('paste from garc here'!$C$1,1+(('table for research'!$B406-1)*36+HEX2DEC('table for research'!AA$1))*2,2)</f>
        <v>00</v>
      </c>
      <c r="AB406" t="str">
        <f>MID('paste from garc here'!$C$1,1+(('table for research'!$B406-1)*36+HEX2DEC('table for research'!AB$1))*2,2)</f>
        <v>00</v>
      </c>
      <c r="AC406" t="str">
        <f>MID('paste from garc here'!$C$1,1+(('table for research'!$B406-1)*36+HEX2DEC('table for research'!AC$1))*2,2)</f>
        <v>00</v>
      </c>
      <c r="AD406" t="str">
        <f>MID('paste from garc here'!$C$1,1+(('table for research'!$B406-1)*36+HEX2DEC('table for research'!AD$1))*2,2)</f>
        <v>00</v>
      </c>
      <c r="AE406" t="str">
        <f>MID('paste from garc here'!$C$1,1+(('table for research'!$B406-1)*36+HEX2DEC('table for research'!AE$1))*2,2)</f>
        <v>00</v>
      </c>
      <c r="AF406" t="str">
        <f>MID('paste from garc here'!$C$1,1+(('table for research'!$B406-1)*36+HEX2DEC('table for research'!AF$1))*2,2)</f>
        <v>00</v>
      </c>
      <c r="AG406" t="str">
        <f>MID('paste from garc here'!$C$1,1+(('table for research'!$B406-1)*36+HEX2DEC('table for research'!AG$1))*2,2)</f>
        <v>00</v>
      </c>
      <c r="AH406" t="str">
        <f>MID('paste from garc here'!$C$1,1+(('table for research'!$B406-1)*36+HEX2DEC('table for research'!AH$1))*2,2)</f>
        <v>00</v>
      </c>
      <c r="AI406" t="str">
        <f>MID('paste from garc here'!$C$1,1+(('table for research'!$B406-1)*36+HEX2DEC('table for research'!AI$1))*2,2)</f>
        <v>00</v>
      </c>
      <c r="AJ406" t="str">
        <f>MID('paste from garc here'!$C$1,1+(('table for research'!$B406-1)*36+HEX2DEC('table for research'!AJ$1))*2,2)</f>
        <v>00</v>
      </c>
      <c r="AK406" t="str">
        <f>MID('paste from garc here'!$C$1,1+(('table for research'!$B406-1)*36+HEX2DEC('table for research'!AK$1))*2,2)</f>
        <v>00</v>
      </c>
      <c r="AL406" t="str">
        <f>MID('paste from garc here'!$C$1,1+(('table for research'!$B406-1)*36+HEX2DEC('table for research'!AL$1))*2,2)</f>
        <v>00</v>
      </c>
      <c r="AM406" t="str">
        <f>MID('paste from garc here'!$C$1,1+(('table for research'!$B406-1)*36+HEX2DEC('table for research'!AM$1))*2,2)</f>
        <v>00</v>
      </c>
      <c r="AN406" t="str">
        <f>MID('paste from garc here'!$C$1,1+(('table for research'!$B406-1)*36+HEX2DEC('table for research'!AN$1))*2,2)</f>
        <v>00</v>
      </c>
      <c r="AO406" t="str">
        <f>MID('paste from garc here'!$C$1,1+(('table for research'!$B406-1)*36+HEX2DEC('table for research'!AO$1))*2,2)</f>
        <v>00</v>
      </c>
    </row>
    <row r="407" spans="1:41" x14ac:dyDescent="0.4">
      <c r="A407" t="s">
        <v>410</v>
      </c>
      <c r="B407">
        <f>B406+1</f>
        <v>405</v>
      </c>
      <c r="C407" t="str">
        <f>MID('paste from garc here'!$C$1,1+(('table for research'!$B407-1)*36+HEX2DEC('table for research'!C$1))*2,2)</f>
        <v>E8</v>
      </c>
      <c r="D407" t="str">
        <f>MID('paste from garc here'!$C$1,1+(('table for research'!$B407-1)*36+HEX2DEC('table for research'!D$1))*2,2)</f>
        <v>03</v>
      </c>
      <c r="E407" t="str">
        <f>MID('paste from garc here'!$C$1,1+(('table for research'!$B407-1)*36+HEX2DEC('table for research'!E$1))*2,2)</f>
        <v>00</v>
      </c>
      <c r="F407" t="str">
        <f>MID('paste from garc here'!$C$1,1+(('table for research'!$B407-1)*36+HEX2DEC('table for research'!F$1))*2,2)</f>
        <v>00</v>
      </c>
      <c r="G407" t="str">
        <f>MID('paste from garc here'!$C$1,1+(('table for research'!$B407-1)*36+HEX2DEC('table for research'!G$1))*2,2)</f>
        <v>00</v>
      </c>
      <c r="H407" t="str">
        <f>MID('paste from garc here'!$C$1,1+(('table for research'!$B407-1)*36+HEX2DEC('table for research'!H$1))*2,2)</f>
        <v>00</v>
      </c>
      <c r="I407" t="str">
        <f>MID('paste from garc here'!$C$1,1+(('table for research'!$B407-1)*36+HEX2DEC('table for research'!I$1))*2,2)</f>
        <v>00</v>
      </c>
      <c r="J407" t="str">
        <f>MID('paste from garc here'!$C$1,1+(('table for research'!$B407-1)*36+HEX2DEC('table for research'!J$1))*2,2)</f>
        <v>00</v>
      </c>
      <c r="K407" t="str">
        <f>DEC2HEX(_xlfn.BITAND(HEX2DEC(MID('paste from garc here'!$C$1,1+(('table for research'!$B407-1)*36+HEX2DEC(8))*2,2)),31),2)</f>
        <v>1F</v>
      </c>
      <c r="L407" t="str">
        <f>DEC2HEX(_xlfn.BITAND(HEX2DEC(MID('paste from garc here'!$C$1,1+(('table for research'!$B407-1)*36+HEX2DEC(8))*2,2)),32),2)</f>
        <v>20</v>
      </c>
      <c r="M407" t="str">
        <f>DEC2HEX(_xlfn.BITAND(HEX2DEC(MID('paste from garc here'!$C$1,1+(('table for research'!$B407-1)*36+HEX2DEC(8))*2,2)),64),2)</f>
        <v>00</v>
      </c>
      <c r="N407" t="str">
        <f>DEC2HEX(_xlfn.BITRSHIFT(_xlfn.BITAND(HEX2DEC(MID('paste from garc here'!$C$1,1+(('table for research'!$B407-1)*36+HEX2DEC(9))*2,2)&amp;MID('paste from garc here'!$C$1,1+(('table for research'!$B407-1)*36+HEX2DEC(8))*2,2)),1920),7),2)</f>
        <v>02</v>
      </c>
      <c r="O407" t="str">
        <f>DEC2HEX(_xlfn.BITRSHIFT(HEX2DEC(MID('paste from garc here'!$C$1,1+(('table for research'!$B407-1)*36+HEX2DEC(9))*2,2)&amp;MID('paste from garc here'!$C$1,1+(('table for research'!$B407-1)*36+HEX2DEC(8))*2,2)),11),2)</f>
        <v>00</v>
      </c>
      <c r="P407" t="str">
        <f>MID('paste from garc here'!$C$1,1+(('table for research'!$B407-1)*36+HEX2DEC('table for research'!P$1))*2,2)</f>
        <v>02</v>
      </c>
      <c r="Q407" t="str">
        <f>MID('paste from garc here'!$C$1,1+(('table for research'!$B407-1)*36+HEX2DEC('table for research'!Q$1))*2,2)</f>
        <v>00</v>
      </c>
      <c r="R407" t="str">
        <f>MID('paste from garc here'!$C$1,1+(('table for research'!$B407-1)*36+HEX2DEC('table for research'!R$1))*2,2)</f>
        <v>00</v>
      </c>
      <c r="S407" t="str">
        <f>MID('paste from garc here'!$C$1,1+(('table for research'!$B407-1)*36+HEX2DEC('table for research'!S$1))*2,2)</f>
        <v>06</v>
      </c>
      <c r="T407" t="str">
        <f>MID('paste from garc here'!$C$1,1+(('table for research'!$B407-1)*36+HEX2DEC('table for research'!T$1))*2,2)</f>
        <v>00</v>
      </c>
      <c r="U407" t="str">
        <f>MID('paste from garc here'!$C$1,1+(('table for research'!$B407-1)*36+HEX2DEC('table for research'!U$1))*2,2)</f>
        <v>4D</v>
      </c>
      <c r="V407" t="str">
        <f>MID('paste from garc here'!$C$1,1+(('table for research'!$B407-1)*36+HEX2DEC('table for research'!V$1))*2,2)</f>
        <v>00</v>
      </c>
      <c r="W407" t="str">
        <f>MID('paste from garc here'!$C$1,1+(('table for research'!$B407-1)*36+HEX2DEC('table for research'!W$1))*2,2)</f>
        <v>00</v>
      </c>
      <c r="X407" t="str">
        <f>MID('paste from garc here'!$C$1,1+(('table for research'!$B407-1)*36+HEX2DEC('table for research'!X$1))*2,2)</f>
        <v>00</v>
      </c>
      <c r="Y407" t="str">
        <f>MID('paste from garc here'!$C$1,1+(('table for research'!$B407-1)*36+HEX2DEC('table for research'!Y$1))*2,2)</f>
        <v>00</v>
      </c>
      <c r="Z407" t="str">
        <f>MID('paste from garc here'!$C$1,1+(('table for research'!$B407-1)*36+HEX2DEC('table for research'!Z$1))*2,2)</f>
        <v>00</v>
      </c>
      <c r="AA407" t="str">
        <f>MID('paste from garc here'!$C$1,1+(('table for research'!$B407-1)*36+HEX2DEC('table for research'!AA$1))*2,2)</f>
        <v>00</v>
      </c>
      <c r="AB407" t="str">
        <f>MID('paste from garc here'!$C$1,1+(('table for research'!$B407-1)*36+HEX2DEC('table for research'!AB$1))*2,2)</f>
        <v>00</v>
      </c>
      <c r="AC407" t="str">
        <f>MID('paste from garc here'!$C$1,1+(('table for research'!$B407-1)*36+HEX2DEC('table for research'!AC$1))*2,2)</f>
        <v>00</v>
      </c>
      <c r="AD407" t="str">
        <f>MID('paste from garc here'!$C$1,1+(('table for research'!$B407-1)*36+HEX2DEC('table for research'!AD$1))*2,2)</f>
        <v>00</v>
      </c>
      <c r="AE407" t="str">
        <f>MID('paste from garc here'!$C$1,1+(('table for research'!$B407-1)*36+HEX2DEC('table for research'!AE$1))*2,2)</f>
        <v>00</v>
      </c>
      <c r="AF407" t="str">
        <f>MID('paste from garc here'!$C$1,1+(('table for research'!$B407-1)*36+HEX2DEC('table for research'!AF$1))*2,2)</f>
        <v>00</v>
      </c>
      <c r="AG407" t="str">
        <f>MID('paste from garc here'!$C$1,1+(('table for research'!$B407-1)*36+HEX2DEC('table for research'!AG$1))*2,2)</f>
        <v>00</v>
      </c>
      <c r="AH407" t="str">
        <f>MID('paste from garc here'!$C$1,1+(('table for research'!$B407-1)*36+HEX2DEC('table for research'!AH$1))*2,2)</f>
        <v>00</v>
      </c>
      <c r="AI407" t="str">
        <f>MID('paste from garc here'!$C$1,1+(('table for research'!$B407-1)*36+HEX2DEC('table for research'!AI$1))*2,2)</f>
        <v>00</v>
      </c>
      <c r="AJ407" t="str">
        <f>MID('paste from garc here'!$C$1,1+(('table for research'!$B407-1)*36+HEX2DEC('table for research'!AJ$1))*2,2)</f>
        <v>00</v>
      </c>
      <c r="AK407" t="str">
        <f>MID('paste from garc here'!$C$1,1+(('table for research'!$B407-1)*36+HEX2DEC('table for research'!AK$1))*2,2)</f>
        <v>00</v>
      </c>
      <c r="AL407" t="str">
        <f>MID('paste from garc here'!$C$1,1+(('table for research'!$B407-1)*36+HEX2DEC('table for research'!AL$1))*2,2)</f>
        <v>00</v>
      </c>
      <c r="AM407" t="str">
        <f>MID('paste from garc here'!$C$1,1+(('table for research'!$B407-1)*36+HEX2DEC('table for research'!AM$1))*2,2)</f>
        <v>00</v>
      </c>
      <c r="AN407" t="str">
        <f>MID('paste from garc here'!$C$1,1+(('table for research'!$B407-1)*36+HEX2DEC('table for research'!AN$1))*2,2)</f>
        <v>00</v>
      </c>
      <c r="AO407" t="str">
        <f>MID('paste from garc here'!$C$1,1+(('table for research'!$B407-1)*36+HEX2DEC('table for research'!AO$1))*2,2)</f>
        <v>00</v>
      </c>
    </row>
    <row r="408" spans="1:41" x14ac:dyDescent="0.4">
      <c r="A408" t="s">
        <v>411</v>
      </c>
      <c r="B408">
        <f>B407+1</f>
        <v>406</v>
      </c>
      <c r="C408" t="str">
        <f>MID('paste from garc here'!$C$1,1+(('table for research'!$B408-1)*36+HEX2DEC('table for research'!C$1))*2,2)</f>
        <v>E8</v>
      </c>
      <c r="D408" t="str">
        <f>MID('paste from garc here'!$C$1,1+(('table for research'!$B408-1)*36+HEX2DEC('table for research'!D$1))*2,2)</f>
        <v>03</v>
      </c>
      <c r="E408" t="str">
        <f>MID('paste from garc here'!$C$1,1+(('table for research'!$B408-1)*36+HEX2DEC('table for research'!E$1))*2,2)</f>
        <v>00</v>
      </c>
      <c r="F408" t="str">
        <f>MID('paste from garc here'!$C$1,1+(('table for research'!$B408-1)*36+HEX2DEC('table for research'!F$1))*2,2)</f>
        <v>00</v>
      </c>
      <c r="G408" t="str">
        <f>MID('paste from garc here'!$C$1,1+(('table for research'!$B408-1)*36+HEX2DEC('table for research'!G$1))*2,2)</f>
        <v>00</v>
      </c>
      <c r="H408" t="str">
        <f>MID('paste from garc here'!$C$1,1+(('table for research'!$B408-1)*36+HEX2DEC('table for research'!H$1))*2,2)</f>
        <v>00</v>
      </c>
      <c r="I408" t="str">
        <f>MID('paste from garc here'!$C$1,1+(('table for research'!$B408-1)*36+HEX2DEC('table for research'!I$1))*2,2)</f>
        <v>00</v>
      </c>
      <c r="J408" t="str">
        <f>MID('paste from garc here'!$C$1,1+(('table for research'!$B408-1)*36+HEX2DEC('table for research'!J$1))*2,2)</f>
        <v>00</v>
      </c>
      <c r="K408" t="str">
        <f>DEC2HEX(_xlfn.BITAND(HEX2DEC(MID('paste from garc here'!$C$1,1+(('table for research'!$B408-1)*36+HEX2DEC(8))*2,2)),31),2)</f>
        <v>1F</v>
      </c>
      <c r="L408" t="str">
        <f>DEC2HEX(_xlfn.BITAND(HEX2DEC(MID('paste from garc here'!$C$1,1+(('table for research'!$B408-1)*36+HEX2DEC(8))*2,2)),32),2)</f>
        <v>20</v>
      </c>
      <c r="M408" t="str">
        <f>DEC2HEX(_xlfn.BITAND(HEX2DEC(MID('paste from garc here'!$C$1,1+(('table for research'!$B408-1)*36+HEX2DEC(8))*2,2)),64),2)</f>
        <v>00</v>
      </c>
      <c r="N408" t="str">
        <f>DEC2HEX(_xlfn.BITRSHIFT(_xlfn.BITAND(HEX2DEC(MID('paste from garc here'!$C$1,1+(('table for research'!$B408-1)*36+HEX2DEC(9))*2,2)&amp;MID('paste from garc here'!$C$1,1+(('table for research'!$B408-1)*36+HEX2DEC(8))*2,2)),1920),7),2)</f>
        <v>02</v>
      </c>
      <c r="O408" t="str">
        <f>DEC2HEX(_xlfn.BITRSHIFT(HEX2DEC(MID('paste from garc here'!$C$1,1+(('table for research'!$B408-1)*36+HEX2DEC(9))*2,2)&amp;MID('paste from garc here'!$C$1,1+(('table for research'!$B408-1)*36+HEX2DEC(8))*2,2)),11),2)</f>
        <v>00</v>
      </c>
      <c r="P408" t="str">
        <f>MID('paste from garc here'!$C$1,1+(('table for research'!$B408-1)*36+HEX2DEC('table for research'!P$1))*2,2)</f>
        <v>02</v>
      </c>
      <c r="Q408" t="str">
        <f>MID('paste from garc here'!$C$1,1+(('table for research'!$B408-1)*36+HEX2DEC('table for research'!Q$1))*2,2)</f>
        <v>00</v>
      </c>
      <c r="R408" t="str">
        <f>MID('paste from garc here'!$C$1,1+(('table for research'!$B408-1)*36+HEX2DEC('table for research'!R$1))*2,2)</f>
        <v>00</v>
      </c>
      <c r="S408" t="str">
        <f>MID('paste from garc here'!$C$1,1+(('table for research'!$B408-1)*36+HEX2DEC('table for research'!S$1))*2,2)</f>
        <v>06</v>
      </c>
      <c r="T408" t="str">
        <f>MID('paste from garc here'!$C$1,1+(('table for research'!$B408-1)*36+HEX2DEC('table for research'!T$1))*2,2)</f>
        <v>00</v>
      </c>
      <c r="U408" t="str">
        <f>MID('paste from garc here'!$C$1,1+(('table for research'!$B408-1)*36+HEX2DEC('table for research'!U$1))*2,2)</f>
        <v>4E</v>
      </c>
      <c r="V408" t="str">
        <f>MID('paste from garc here'!$C$1,1+(('table for research'!$B408-1)*36+HEX2DEC('table for research'!V$1))*2,2)</f>
        <v>00</v>
      </c>
      <c r="W408" t="str">
        <f>MID('paste from garc here'!$C$1,1+(('table for research'!$B408-1)*36+HEX2DEC('table for research'!W$1))*2,2)</f>
        <v>00</v>
      </c>
      <c r="X408" t="str">
        <f>MID('paste from garc here'!$C$1,1+(('table for research'!$B408-1)*36+HEX2DEC('table for research'!X$1))*2,2)</f>
        <v>00</v>
      </c>
      <c r="Y408" t="str">
        <f>MID('paste from garc here'!$C$1,1+(('table for research'!$B408-1)*36+HEX2DEC('table for research'!Y$1))*2,2)</f>
        <v>00</v>
      </c>
      <c r="Z408" t="str">
        <f>MID('paste from garc here'!$C$1,1+(('table for research'!$B408-1)*36+HEX2DEC('table for research'!Z$1))*2,2)</f>
        <v>00</v>
      </c>
      <c r="AA408" t="str">
        <f>MID('paste from garc here'!$C$1,1+(('table for research'!$B408-1)*36+HEX2DEC('table for research'!AA$1))*2,2)</f>
        <v>00</v>
      </c>
      <c r="AB408" t="str">
        <f>MID('paste from garc here'!$C$1,1+(('table for research'!$B408-1)*36+HEX2DEC('table for research'!AB$1))*2,2)</f>
        <v>00</v>
      </c>
      <c r="AC408" t="str">
        <f>MID('paste from garc here'!$C$1,1+(('table for research'!$B408-1)*36+HEX2DEC('table for research'!AC$1))*2,2)</f>
        <v>00</v>
      </c>
      <c r="AD408" t="str">
        <f>MID('paste from garc here'!$C$1,1+(('table for research'!$B408-1)*36+HEX2DEC('table for research'!AD$1))*2,2)</f>
        <v>00</v>
      </c>
      <c r="AE408" t="str">
        <f>MID('paste from garc here'!$C$1,1+(('table for research'!$B408-1)*36+HEX2DEC('table for research'!AE$1))*2,2)</f>
        <v>00</v>
      </c>
      <c r="AF408" t="str">
        <f>MID('paste from garc here'!$C$1,1+(('table for research'!$B408-1)*36+HEX2DEC('table for research'!AF$1))*2,2)</f>
        <v>00</v>
      </c>
      <c r="AG408" t="str">
        <f>MID('paste from garc here'!$C$1,1+(('table for research'!$B408-1)*36+HEX2DEC('table for research'!AG$1))*2,2)</f>
        <v>00</v>
      </c>
      <c r="AH408" t="str">
        <f>MID('paste from garc here'!$C$1,1+(('table for research'!$B408-1)*36+HEX2DEC('table for research'!AH$1))*2,2)</f>
        <v>00</v>
      </c>
      <c r="AI408" t="str">
        <f>MID('paste from garc here'!$C$1,1+(('table for research'!$B408-1)*36+HEX2DEC('table for research'!AI$1))*2,2)</f>
        <v>00</v>
      </c>
      <c r="AJ408" t="str">
        <f>MID('paste from garc here'!$C$1,1+(('table for research'!$B408-1)*36+HEX2DEC('table for research'!AJ$1))*2,2)</f>
        <v>00</v>
      </c>
      <c r="AK408" t="str">
        <f>MID('paste from garc here'!$C$1,1+(('table for research'!$B408-1)*36+HEX2DEC('table for research'!AK$1))*2,2)</f>
        <v>00</v>
      </c>
      <c r="AL408" t="str">
        <f>MID('paste from garc here'!$C$1,1+(('table for research'!$B408-1)*36+HEX2DEC('table for research'!AL$1))*2,2)</f>
        <v>00</v>
      </c>
      <c r="AM408" t="str">
        <f>MID('paste from garc here'!$C$1,1+(('table for research'!$B408-1)*36+HEX2DEC('table for research'!AM$1))*2,2)</f>
        <v>00</v>
      </c>
      <c r="AN408" t="str">
        <f>MID('paste from garc here'!$C$1,1+(('table for research'!$B408-1)*36+HEX2DEC('table for research'!AN$1))*2,2)</f>
        <v>00</v>
      </c>
      <c r="AO408" t="str">
        <f>MID('paste from garc here'!$C$1,1+(('table for research'!$B408-1)*36+HEX2DEC('table for research'!AO$1))*2,2)</f>
        <v>00</v>
      </c>
    </row>
    <row r="409" spans="1:41" x14ac:dyDescent="0.4">
      <c r="A409" t="s">
        <v>412</v>
      </c>
      <c r="B409">
        <f>B408+1</f>
        <v>407</v>
      </c>
      <c r="C409" t="str">
        <f>MID('paste from garc here'!$C$1,1+(('table for research'!$B409-1)*36+HEX2DEC('table for research'!C$1))*2,2)</f>
        <v>B8</v>
      </c>
      <c r="D409" t="str">
        <f>MID('paste from garc here'!$C$1,1+(('table for research'!$B409-1)*36+HEX2DEC('table for research'!D$1))*2,2)</f>
        <v>0B</v>
      </c>
      <c r="E409" t="str">
        <f>MID('paste from garc here'!$C$1,1+(('table for research'!$B409-1)*36+HEX2DEC('table for research'!E$1))*2,2)</f>
        <v>00</v>
      </c>
      <c r="F409" t="str">
        <f>MID('paste from garc here'!$C$1,1+(('table for research'!$B409-1)*36+HEX2DEC('table for research'!F$1))*2,2)</f>
        <v>00</v>
      </c>
      <c r="G409" t="str">
        <f>MID('paste from garc here'!$C$1,1+(('table for research'!$B409-1)*36+HEX2DEC('table for research'!G$1))*2,2)</f>
        <v>00</v>
      </c>
      <c r="H409" t="str">
        <f>MID('paste from garc here'!$C$1,1+(('table for research'!$B409-1)*36+HEX2DEC('table for research'!H$1))*2,2)</f>
        <v>00</v>
      </c>
      <c r="I409" t="str">
        <f>MID('paste from garc here'!$C$1,1+(('table for research'!$B409-1)*36+HEX2DEC('table for research'!I$1))*2,2)</f>
        <v>00</v>
      </c>
      <c r="J409" t="str">
        <f>MID('paste from garc here'!$C$1,1+(('table for research'!$B409-1)*36+HEX2DEC('table for research'!J$1))*2,2)</f>
        <v>00</v>
      </c>
      <c r="K409" t="str">
        <f>DEC2HEX(_xlfn.BITAND(HEX2DEC(MID('paste from garc here'!$C$1,1+(('table for research'!$B409-1)*36+HEX2DEC(8))*2,2)),31),2)</f>
        <v>1F</v>
      </c>
      <c r="L409" t="str">
        <f>DEC2HEX(_xlfn.BITAND(HEX2DEC(MID('paste from garc here'!$C$1,1+(('table for research'!$B409-1)*36+HEX2DEC(8))*2,2)),32),2)</f>
        <v>20</v>
      </c>
      <c r="M409" t="str">
        <f>DEC2HEX(_xlfn.BITAND(HEX2DEC(MID('paste from garc here'!$C$1,1+(('table for research'!$B409-1)*36+HEX2DEC(8))*2,2)),64),2)</f>
        <v>00</v>
      </c>
      <c r="N409" t="str">
        <f>DEC2HEX(_xlfn.BITRSHIFT(_xlfn.BITAND(HEX2DEC(MID('paste from garc here'!$C$1,1+(('table for research'!$B409-1)*36+HEX2DEC(9))*2,2)&amp;MID('paste from garc here'!$C$1,1+(('table for research'!$B409-1)*36+HEX2DEC(8))*2,2)),1920),7),2)</f>
        <v>02</v>
      </c>
      <c r="O409" t="str">
        <f>DEC2HEX(_xlfn.BITRSHIFT(HEX2DEC(MID('paste from garc here'!$C$1,1+(('table for research'!$B409-1)*36+HEX2DEC(9))*2,2)&amp;MID('paste from garc here'!$C$1,1+(('table for research'!$B409-1)*36+HEX2DEC(8))*2,2)),11),2)</f>
        <v>00</v>
      </c>
      <c r="P409" t="str">
        <f>MID('paste from garc here'!$C$1,1+(('table for research'!$B409-1)*36+HEX2DEC('table for research'!P$1))*2,2)</f>
        <v>02</v>
      </c>
      <c r="Q409" t="str">
        <f>MID('paste from garc here'!$C$1,1+(('table for research'!$B409-1)*36+HEX2DEC('table for research'!Q$1))*2,2)</f>
        <v>00</v>
      </c>
      <c r="R409" t="str">
        <f>MID('paste from garc here'!$C$1,1+(('table for research'!$B409-1)*36+HEX2DEC('table for research'!R$1))*2,2)</f>
        <v>00</v>
      </c>
      <c r="S409" t="str">
        <f>MID('paste from garc here'!$C$1,1+(('table for research'!$B409-1)*36+HEX2DEC('table for research'!S$1))*2,2)</f>
        <v>06</v>
      </c>
      <c r="T409" t="str">
        <f>MID('paste from garc here'!$C$1,1+(('table for research'!$B409-1)*36+HEX2DEC('table for research'!T$1))*2,2)</f>
        <v>00</v>
      </c>
      <c r="U409" t="str">
        <f>MID('paste from garc here'!$C$1,1+(('table for research'!$B409-1)*36+HEX2DEC('table for research'!U$1))*2,2)</f>
        <v>4F</v>
      </c>
      <c r="V409" t="str">
        <f>MID('paste from garc here'!$C$1,1+(('table for research'!$B409-1)*36+HEX2DEC('table for research'!V$1))*2,2)</f>
        <v>00</v>
      </c>
      <c r="W409" t="str">
        <f>MID('paste from garc here'!$C$1,1+(('table for research'!$B409-1)*36+HEX2DEC('table for research'!W$1))*2,2)</f>
        <v>00</v>
      </c>
      <c r="X409" t="str">
        <f>MID('paste from garc here'!$C$1,1+(('table for research'!$B409-1)*36+HEX2DEC('table for research'!X$1))*2,2)</f>
        <v>00</v>
      </c>
      <c r="Y409" t="str">
        <f>MID('paste from garc here'!$C$1,1+(('table for research'!$B409-1)*36+HEX2DEC('table for research'!Y$1))*2,2)</f>
        <v>00</v>
      </c>
      <c r="Z409" t="str">
        <f>MID('paste from garc here'!$C$1,1+(('table for research'!$B409-1)*36+HEX2DEC('table for research'!Z$1))*2,2)</f>
        <v>00</v>
      </c>
      <c r="AA409" t="str">
        <f>MID('paste from garc here'!$C$1,1+(('table for research'!$B409-1)*36+HEX2DEC('table for research'!AA$1))*2,2)</f>
        <v>00</v>
      </c>
      <c r="AB409" t="str">
        <f>MID('paste from garc here'!$C$1,1+(('table for research'!$B409-1)*36+HEX2DEC('table for research'!AB$1))*2,2)</f>
        <v>00</v>
      </c>
      <c r="AC409" t="str">
        <f>MID('paste from garc here'!$C$1,1+(('table for research'!$B409-1)*36+HEX2DEC('table for research'!AC$1))*2,2)</f>
        <v>00</v>
      </c>
      <c r="AD409" t="str">
        <f>MID('paste from garc here'!$C$1,1+(('table for research'!$B409-1)*36+HEX2DEC('table for research'!AD$1))*2,2)</f>
        <v>00</v>
      </c>
      <c r="AE409" t="str">
        <f>MID('paste from garc here'!$C$1,1+(('table for research'!$B409-1)*36+HEX2DEC('table for research'!AE$1))*2,2)</f>
        <v>00</v>
      </c>
      <c r="AF409" t="str">
        <f>MID('paste from garc here'!$C$1,1+(('table for research'!$B409-1)*36+HEX2DEC('table for research'!AF$1))*2,2)</f>
        <v>00</v>
      </c>
      <c r="AG409" t="str">
        <f>MID('paste from garc here'!$C$1,1+(('table for research'!$B409-1)*36+HEX2DEC('table for research'!AG$1))*2,2)</f>
        <v>00</v>
      </c>
      <c r="AH409" t="str">
        <f>MID('paste from garc here'!$C$1,1+(('table for research'!$B409-1)*36+HEX2DEC('table for research'!AH$1))*2,2)</f>
        <v>00</v>
      </c>
      <c r="AI409" t="str">
        <f>MID('paste from garc here'!$C$1,1+(('table for research'!$B409-1)*36+HEX2DEC('table for research'!AI$1))*2,2)</f>
        <v>00</v>
      </c>
      <c r="AJ409" t="str">
        <f>MID('paste from garc here'!$C$1,1+(('table for research'!$B409-1)*36+HEX2DEC('table for research'!AJ$1))*2,2)</f>
        <v>00</v>
      </c>
      <c r="AK409" t="str">
        <f>MID('paste from garc here'!$C$1,1+(('table for research'!$B409-1)*36+HEX2DEC('table for research'!AK$1))*2,2)</f>
        <v>00</v>
      </c>
      <c r="AL409" t="str">
        <f>MID('paste from garc here'!$C$1,1+(('table for research'!$B409-1)*36+HEX2DEC('table for research'!AL$1))*2,2)</f>
        <v>00</v>
      </c>
      <c r="AM409" t="str">
        <f>MID('paste from garc here'!$C$1,1+(('table for research'!$B409-1)*36+HEX2DEC('table for research'!AM$1))*2,2)</f>
        <v>00</v>
      </c>
      <c r="AN409" t="str">
        <f>MID('paste from garc here'!$C$1,1+(('table for research'!$B409-1)*36+HEX2DEC('table for research'!AN$1))*2,2)</f>
        <v>00</v>
      </c>
      <c r="AO409" t="str">
        <f>MID('paste from garc here'!$C$1,1+(('table for research'!$B409-1)*36+HEX2DEC('table for research'!AO$1))*2,2)</f>
        <v>00</v>
      </c>
    </row>
    <row r="410" spans="1:41" x14ac:dyDescent="0.4">
      <c r="A410" t="s">
        <v>413</v>
      </c>
      <c r="B410">
        <f>B409+1</f>
        <v>408</v>
      </c>
      <c r="C410" t="str">
        <f>MID('paste from garc here'!$C$1,1+(('table for research'!$B410-1)*36+HEX2DEC('table for research'!C$1))*2,2)</f>
        <v>E8</v>
      </c>
      <c r="D410" t="str">
        <f>MID('paste from garc here'!$C$1,1+(('table for research'!$B410-1)*36+HEX2DEC('table for research'!D$1))*2,2)</f>
        <v>03</v>
      </c>
      <c r="E410" t="str">
        <f>MID('paste from garc here'!$C$1,1+(('table for research'!$B410-1)*36+HEX2DEC('table for research'!E$1))*2,2)</f>
        <v>00</v>
      </c>
      <c r="F410" t="str">
        <f>MID('paste from garc here'!$C$1,1+(('table for research'!$B410-1)*36+HEX2DEC('table for research'!F$1))*2,2)</f>
        <v>00</v>
      </c>
      <c r="G410" t="str">
        <f>MID('paste from garc here'!$C$1,1+(('table for research'!$B410-1)*36+HEX2DEC('table for research'!G$1))*2,2)</f>
        <v>00</v>
      </c>
      <c r="H410" t="str">
        <f>MID('paste from garc here'!$C$1,1+(('table for research'!$B410-1)*36+HEX2DEC('table for research'!H$1))*2,2)</f>
        <v>00</v>
      </c>
      <c r="I410" t="str">
        <f>MID('paste from garc here'!$C$1,1+(('table for research'!$B410-1)*36+HEX2DEC('table for research'!I$1))*2,2)</f>
        <v>00</v>
      </c>
      <c r="J410" t="str">
        <f>MID('paste from garc here'!$C$1,1+(('table for research'!$B410-1)*36+HEX2DEC('table for research'!J$1))*2,2)</f>
        <v>00</v>
      </c>
      <c r="K410" t="str">
        <f>DEC2HEX(_xlfn.BITAND(HEX2DEC(MID('paste from garc here'!$C$1,1+(('table for research'!$B410-1)*36+HEX2DEC(8))*2,2)),31),2)</f>
        <v>1F</v>
      </c>
      <c r="L410" t="str">
        <f>DEC2HEX(_xlfn.BITAND(HEX2DEC(MID('paste from garc here'!$C$1,1+(('table for research'!$B410-1)*36+HEX2DEC(8))*2,2)),32),2)</f>
        <v>20</v>
      </c>
      <c r="M410" t="str">
        <f>DEC2HEX(_xlfn.BITAND(HEX2DEC(MID('paste from garc here'!$C$1,1+(('table for research'!$B410-1)*36+HEX2DEC(8))*2,2)),64),2)</f>
        <v>00</v>
      </c>
      <c r="N410" t="str">
        <f>DEC2HEX(_xlfn.BITRSHIFT(_xlfn.BITAND(HEX2DEC(MID('paste from garc here'!$C$1,1+(('table for research'!$B410-1)*36+HEX2DEC(9))*2,2)&amp;MID('paste from garc here'!$C$1,1+(('table for research'!$B410-1)*36+HEX2DEC(8))*2,2)),1920),7),2)</f>
        <v>02</v>
      </c>
      <c r="O410" t="str">
        <f>DEC2HEX(_xlfn.BITRSHIFT(HEX2DEC(MID('paste from garc here'!$C$1,1+(('table for research'!$B410-1)*36+HEX2DEC(9))*2,2)&amp;MID('paste from garc here'!$C$1,1+(('table for research'!$B410-1)*36+HEX2DEC(8))*2,2)),11),2)</f>
        <v>00</v>
      </c>
      <c r="P410" t="str">
        <f>MID('paste from garc here'!$C$1,1+(('table for research'!$B410-1)*36+HEX2DEC('table for research'!P$1))*2,2)</f>
        <v>02</v>
      </c>
      <c r="Q410" t="str">
        <f>MID('paste from garc here'!$C$1,1+(('table for research'!$B410-1)*36+HEX2DEC('table for research'!Q$1))*2,2)</f>
        <v>00</v>
      </c>
      <c r="R410" t="str">
        <f>MID('paste from garc here'!$C$1,1+(('table for research'!$B410-1)*36+HEX2DEC('table for research'!R$1))*2,2)</f>
        <v>00</v>
      </c>
      <c r="S410" t="str">
        <f>MID('paste from garc here'!$C$1,1+(('table for research'!$B410-1)*36+HEX2DEC('table for research'!S$1))*2,2)</f>
        <v>06</v>
      </c>
      <c r="T410" t="str">
        <f>MID('paste from garc here'!$C$1,1+(('table for research'!$B410-1)*36+HEX2DEC('table for research'!T$1))*2,2)</f>
        <v>00</v>
      </c>
      <c r="U410" t="str">
        <f>MID('paste from garc here'!$C$1,1+(('table for research'!$B410-1)*36+HEX2DEC('table for research'!U$1))*2,2)</f>
        <v>50</v>
      </c>
      <c r="V410" t="str">
        <f>MID('paste from garc here'!$C$1,1+(('table for research'!$B410-1)*36+HEX2DEC('table for research'!V$1))*2,2)</f>
        <v>00</v>
      </c>
      <c r="W410" t="str">
        <f>MID('paste from garc here'!$C$1,1+(('table for research'!$B410-1)*36+HEX2DEC('table for research'!W$1))*2,2)</f>
        <v>00</v>
      </c>
      <c r="X410" t="str">
        <f>MID('paste from garc here'!$C$1,1+(('table for research'!$B410-1)*36+HEX2DEC('table for research'!X$1))*2,2)</f>
        <v>00</v>
      </c>
      <c r="Y410" t="str">
        <f>MID('paste from garc here'!$C$1,1+(('table for research'!$B410-1)*36+HEX2DEC('table for research'!Y$1))*2,2)</f>
        <v>00</v>
      </c>
      <c r="Z410" t="str">
        <f>MID('paste from garc here'!$C$1,1+(('table for research'!$B410-1)*36+HEX2DEC('table for research'!Z$1))*2,2)</f>
        <v>00</v>
      </c>
      <c r="AA410" t="str">
        <f>MID('paste from garc here'!$C$1,1+(('table for research'!$B410-1)*36+HEX2DEC('table for research'!AA$1))*2,2)</f>
        <v>00</v>
      </c>
      <c r="AB410" t="str">
        <f>MID('paste from garc here'!$C$1,1+(('table for research'!$B410-1)*36+HEX2DEC('table for research'!AB$1))*2,2)</f>
        <v>00</v>
      </c>
      <c r="AC410" t="str">
        <f>MID('paste from garc here'!$C$1,1+(('table for research'!$B410-1)*36+HEX2DEC('table for research'!AC$1))*2,2)</f>
        <v>00</v>
      </c>
      <c r="AD410" t="str">
        <f>MID('paste from garc here'!$C$1,1+(('table for research'!$B410-1)*36+HEX2DEC('table for research'!AD$1))*2,2)</f>
        <v>00</v>
      </c>
      <c r="AE410" t="str">
        <f>MID('paste from garc here'!$C$1,1+(('table for research'!$B410-1)*36+HEX2DEC('table for research'!AE$1))*2,2)</f>
        <v>00</v>
      </c>
      <c r="AF410" t="str">
        <f>MID('paste from garc here'!$C$1,1+(('table for research'!$B410-1)*36+HEX2DEC('table for research'!AF$1))*2,2)</f>
        <v>00</v>
      </c>
      <c r="AG410" t="str">
        <f>MID('paste from garc here'!$C$1,1+(('table for research'!$B410-1)*36+HEX2DEC('table for research'!AG$1))*2,2)</f>
        <v>00</v>
      </c>
      <c r="AH410" t="str">
        <f>MID('paste from garc here'!$C$1,1+(('table for research'!$B410-1)*36+HEX2DEC('table for research'!AH$1))*2,2)</f>
        <v>00</v>
      </c>
      <c r="AI410" t="str">
        <f>MID('paste from garc here'!$C$1,1+(('table for research'!$B410-1)*36+HEX2DEC('table for research'!AI$1))*2,2)</f>
        <v>00</v>
      </c>
      <c r="AJ410" t="str">
        <f>MID('paste from garc here'!$C$1,1+(('table for research'!$B410-1)*36+HEX2DEC('table for research'!AJ$1))*2,2)</f>
        <v>00</v>
      </c>
      <c r="AK410" t="str">
        <f>MID('paste from garc here'!$C$1,1+(('table for research'!$B410-1)*36+HEX2DEC('table for research'!AK$1))*2,2)</f>
        <v>00</v>
      </c>
      <c r="AL410" t="str">
        <f>MID('paste from garc here'!$C$1,1+(('table for research'!$B410-1)*36+HEX2DEC('table for research'!AL$1))*2,2)</f>
        <v>00</v>
      </c>
      <c r="AM410" t="str">
        <f>MID('paste from garc here'!$C$1,1+(('table for research'!$B410-1)*36+HEX2DEC('table for research'!AM$1))*2,2)</f>
        <v>00</v>
      </c>
      <c r="AN410" t="str">
        <f>MID('paste from garc here'!$C$1,1+(('table for research'!$B410-1)*36+HEX2DEC('table for research'!AN$1))*2,2)</f>
        <v>00</v>
      </c>
      <c r="AO410" t="str">
        <f>MID('paste from garc here'!$C$1,1+(('table for research'!$B410-1)*36+HEX2DEC('table for research'!AO$1))*2,2)</f>
        <v>00</v>
      </c>
    </row>
    <row r="411" spans="1:41" x14ac:dyDescent="0.4">
      <c r="A411" t="s">
        <v>414</v>
      </c>
      <c r="B411">
        <f>B410+1</f>
        <v>409</v>
      </c>
      <c r="C411" t="str">
        <f>MID('paste from garc here'!$C$1,1+(('table for research'!$B411-1)*36+HEX2DEC('table for research'!C$1))*2,2)</f>
        <v>E8</v>
      </c>
      <c r="D411" t="str">
        <f>MID('paste from garc here'!$C$1,1+(('table for research'!$B411-1)*36+HEX2DEC('table for research'!D$1))*2,2)</f>
        <v>03</v>
      </c>
      <c r="E411" t="str">
        <f>MID('paste from garc here'!$C$1,1+(('table for research'!$B411-1)*36+HEX2DEC('table for research'!E$1))*2,2)</f>
        <v>00</v>
      </c>
      <c r="F411" t="str">
        <f>MID('paste from garc here'!$C$1,1+(('table for research'!$B411-1)*36+HEX2DEC('table for research'!F$1))*2,2)</f>
        <v>00</v>
      </c>
      <c r="G411" t="str">
        <f>MID('paste from garc here'!$C$1,1+(('table for research'!$B411-1)*36+HEX2DEC('table for research'!G$1))*2,2)</f>
        <v>00</v>
      </c>
      <c r="H411" t="str">
        <f>MID('paste from garc here'!$C$1,1+(('table for research'!$B411-1)*36+HEX2DEC('table for research'!H$1))*2,2)</f>
        <v>00</v>
      </c>
      <c r="I411" t="str">
        <f>MID('paste from garc here'!$C$1,1+(('table for research'!$B411-1)*36+HEX2DEC('table for research'!I$1))*2,2)</f>
        <v>00</v>
      </c>
      <c r="J411" t="str">
        <f>MID('paste from garc here'!$C$1,1+(('table for research'!$B411-1)*36+HEX2DEC('table for research'!J$1))*2,2)</f>
        <v>00</v>
      </c>
      <c r="K411" t="str">
        <f>DEC2HEX(_xlfn.BITAND(HEX2DEC(MID('paste from garc here'!$C$1,1+(('table for research'!$B411-1)*36+HEX2DEC(8))*2,2)),31),2)</f>
        <v>1F</v>
      </c>
      <c r="L411" t="str">
        <f>DEC2HEX(_xlfn.BITAND(HEX2DEC(MID('paste from garc here'!$C$1,1+(('table for research'!$B411-1)*36+HEX2DEC(8))*2,2)),32),2)</f>
        <v>20</v>
      </c>
      <c r="M411" t="str">
        <f>DEC2HEX(_xlfn.BITAND(HEX2DEC(MID('paste from garc here'!$C$1,1+(('table for research'!$B411-1)*36+HEX2DEC(8))*2,2)),64),2)</f>
        <v>00</v>
      </c>
      <c r="N411" t="str">
        <f>DEC2HEX(_xlfn.BITRSHIFT(_xlfn.BITAND(HEX2DEC(MID('paste from garc here'!$C$1,1+(('table for research'!$B411-1)*36+HEX2DEC(9))*2,2)&amp;MID('paste from garc here'!$C$1,1+(('table for research'!$B411-1)*36+HEX2DEC(8))*2,2)),1920),7),2)</f>
        <v>02</v>
      </c>
      <c r="O411" t="str">
        <f>DEC2HEX(_xlfn.BITRSHIFT(HEX2DEC(MID('paste from garc here'!$C$1,1+(('table for research'!$B411-1)*36+HEX2DEC(9))*2,2)&amp;MID('paste from garc here'!$C$1,1+(('table for research'!$B411-1)*36+HEX2DEC(8))*2,2)),11),2)</f>
        <v>00</v>
      </c>
      <c r="P411" t="str">
        <f>MID('paste from garc here'!$C$1,1+(('table for research'!$B411-1)*36+HEX2DEC('table for research'!P$1))*2,2)</f>
        <v>02</v>
      </c>
      <c r="Q411" t="str">
        <f>MID('paste from garc here'!$C$1,1+(('table for research'!$B411-1)*36+HEX2DEC('table for research'!Q$1))*2,2)</f>
        <v>00</v>
      </c>
      <c r="R411" t="str">
        <f>MID('paste from garc here'!$C$1,1+(('table for research'!$B411-1)*36+HEX2DEC('table for research'!R$1))*2,2)</f>
        <v>00</v>
      </c>
      <c r="S411" t="str">
        <f>MID('paste from garc here'!$C$1,1+(('table for research'!$B411-1)*36+HEX2DEC('table for research'!S$1))*2,2)</f>
        <v>06</v>
      </c>
      <c r="T411" t="str">
        <f>MID('paste from garc here'!$C$1,1+(('table for research'!$B411-1)*36+HEX2DEC('table for research'!T$1))*2,2)</f>
        <v>00</v>
      </c>
      <c r="U411" t="str">
        <f>MID('paste from garc here'!$C$1,1+(('table for research'!$B411-1)*36+HEX2DEC('table for research'!U$1))*2,2)</f>
        <v>51</v>
      </c>
      <c r="V411" t="str">
        <f>MID('paste from garc here'!$C$1,1+(('table for research'!$B411-1)*36+HEX2DEC('table for research'!V$1))*2,2)</f>
        <v>00</v>
      </c>
      <c r="W411" t="str">
        <f>MID('paste from garc here'!$C$1,1+(('table for research'!$B411-1)*36+HEX2DEC('table for research'!W$1))*2,2)</f>
        <v>00</v>
      </c>
      <c r="X411" t="str">
        <f>MID('paste from garc here'!$C$1,1+(('table for research'!$B411-1)*36+HEX2DEC('table for research'!X$1))*2,2)</f>
        <v>00</v>
      </c>
      <c r="Y411" t="str">
        <f>MID('paste from garc here'!$C$1,1+(('table for research'!$B411-1)*36+HEX2DEC('table for research'!Y$1))*2,2)</f>
        <v>00</v>
      </c>
      <c r="Z411" t="str">
        <f>MID('paste from garc here'!$C$1,1+(('table for research'!$B411-1)*36+HEX2DEC('table for research'!Z$1))*2,2)</f>
        <v>00</v>
      </c>
      <c r="AA411" t="str">
        <f>MID('paste from garc here'!$C$1,1+(('table for research'!$B411-1)*36+HEX2DEC('table for research'!AA$1))*2,2)</f>
        <v>00</v>
      </c>
      <c r="AB411" t="str">
        <f>MID('paste from garc here'!$C$1,1+(('table for research'!$B411-1)*36+HEX2DEC('table for research'!AB$1))*2,2)</f>
        <v>00</v>
      </c>
      <c r="AC411" t="str">
        <f>MID('paste from garc here'!$C$1,1+(('table for research'!$B411-1)*36+HEX2DEC('table for research'!AC$1))*2,2)</f>
        <v>00</v>
      </c>
      <c r="AD411" t="str">
        <f>MID('paste from garc here'!$C$1,1+(('table for research'!$B411-1)*36+HEX2DEC('table for research'!AD$1))*2,2)</f>
        <v>00</v>
      </c>
      <c r="AE411" t="str">
        <f>MID('paste from garc here'!$C$1,1+(('table for research'!$B411-1)*36+HEX2DEC('table for research'!AE$1))*2,2)</f>
        <v>00</v>
      </c>
      <c r="AF411" t="str">
        <f>MID('paste from garc here'!$C$1,1+(('table for research'!$B411-1)*36+HEX2DEC('table for research'!AF$1))*2,2)</f>
        <v>00</v>
      </c>
      <c r="AG411" t="str">
        <f>MID('paste from garc here'!$C$1,1+(('table for research'!$B411-1)*36+HEX2DEC('table for research'!AG$1))*2,2)</f>
        <v>00</v>
      </c>
      <c r="AH411" t="str">
        <f>MID('paste from garc here'!$C$1,1+(('table for research'!$B411-1)*36+HEX2DEC('table for research'!AH$1))*2,2)</f>
        <v>00</v>
      </c>
      <c r="AI411" t="str">
        <f>MID('paste from garc here'!$C$1,1+(('table for research'!$B411-1)*36+HEX2DEC('table for research'!AI$1))*2,2)</f>
        <v>00</v>
      </c>
      <c r="AJ411" t="str">
        <f>MID('paste from garc here'!$C$1,1+(('table for research'!$B411-1)*36+HEX2DEC('table for research'!AJ$1))*2,2)</f>
        <v>00</v>
      </c>
      <c r="AK411" t="str">
        <f>MID('paste from garc here'!$C$1,1+(('table for research'!$B411-1)*36+HEX2DEC('table for research'!AK$1))*2,2)</f>
        <v>00</v>
      </c>
      <c r="AL411" t="str">
        <f>MID('paste from garc here'!$C$1,1+(('table for research'!$B411-1)*36+HEX2DEC('table for research'!AL$1))*2,2)</f>
        <v>00</v>
      </c>
      <c r="AM411" t="str">
        <f>MID('paste from garc here'!$C$1,1+(('table for research'!$B411-1)*36+HEX2DEC('table for research'!AM$1))*2,2)</f>
        <v>00</v>
      </c>
      <c r="AN411" t="str">
        <f>MID('paste from garc here'!$C$1,1+(('table for research'!$B411-1)*36+HEX2DEC('table for research'!AN$1))*2,2)</f>
        <v>00</v>
      </c>
      <c r="AO411" t="str">
        <f>MID('paste from garc here'!$C$1,1+(('table for research'!$B411-1)*36+HEX2DEC('table for research'!AO$1))*2,2)</f>
        <v>00</v>
      </c>
    </row>
    <row r="412" spans="1:41" x14ac:dyDescent="0.4">
      <c r="A412" t="s">
        <v>415</v>
      </c>
      <c r="B412">
        <f>B411+1</f>
        <v>410</v>
      </c>
      <c r="C412" t="str">
        <f>MID('paste from garc here'!$C$1,1+(('table for research'!$B412-1)*36+HEX2DEC('table for research'!C$1))*2,2)</f>
        <v>E8</v>
      </c>
      <c r="D412" t="str">
        <f>MID('paste from garc here'!$C$1,1+(('table for research'!$B412-1)*36+HEX2DEC('table for research'!D$1))*2,2)</f>
        <v>03</v>
      </c>
      <c r="E412" t="str">
        <f>MID('paste from garc here'!$C$1,1+(('table for research'!$B412-1)*36+HEX2DEC('table for research'!E$1))*2,2)</f>
        <v>00</v>
      </c>
      <c r="F412" t="str">
        <f>MID('paste from garc here'!$C$1,1+(('table for research'!$B412-1)*36+HEX2DEC('table for research'!F$1))*2,2)</f>
        <v>00</v>
      </c>
      <c r="G412" t="str">
        <f>MID('paste from garc here'!$C$1,1+(('table for research'!$B412-1)*36+HEX2DEC('table for research'!G$1))*2,2)</f>
        <v>00</v>
      </c>
      <c r="H412" t="str">
        <f>MID('paste from garc here'!$C$1,1+(('table for research'!$B412-1)*36+HEX2DEC('table for research'!H$1))*2,2)</f>
        <v>00</v>
      </c>
      <c r="I412" t="str">
        <f>MID('paste from garc here'!$C$1,1+(('table for research'!$B412-1)*36+HEX2DEC('table for research'!I$1))*2,2)</f>
        <v>00</v>
      </c>
      <c r="J412" t="str">
        <f>MID('paste from garc here'!$C$1,1+(('table for research'!$B412-1)*36+HEX2DEC('table for research'!J$1))*2,2)</f>
        <v>00</v>
      </c>
      <c r="K412" t="str">
        <f>DEC2HEX(_xlfn.BITAND(HEX2DEC(MID('paste from garc here'!$C$1,1+(('table for research'!$B412-1)*36+HEX2DEC(8))*2,2)),31),2)</f>
        <v>1F</v>
      </c>
      <c r="L412" t="str">
        <f>DEC2HEX(_xlfn.BITAND(HEX2DEC(MID('paste from garc here'!$C$1,1+(('table for research'!$B412-1)*36+HEX2DEC(8))*2,2)),32),2)</f>
        <v>20</v>
      </c>
      <c r="M412" t="str">
        <f>DEC2HEX(_xlfn.BITAND(HEX2DEC(MID('paste from garc here'!$C$1,1+(('table for research'!$B412-1)*36+HEX2DEC(8))*2,2)),64),2)</f>
        <v>00</v>
      </c>
      <c r="N412" t="str">
        <f>DEC2HEX(_xlfn.BITRSHIFT(_xlfn.BITAND(HEX2DEC(MID('paste from garc here'!$C$1,1+(('table for research'!$B412-1)*36+HEX2DEC(9))*2,2)&amp;MID('paste from garc here'!$C$1,1+(('table for research'!$B412-1)*36+HEX2DEC(8))*2,2)),1920),7),2)</f>
        <v>02</v>
      </c>
      <c r="O412" t="str">
        <f>DEC2HEX(_xlfn.BITRSHIFT(HEX2DEC(MID('paste from garc here'!$C$1,1+(('table for research'!$B412-1)*36+HEX2DEC(9))*2,2)&amp;MID('paste from garc here'!$C$1,1+(('table for research'!$B412-1)*36+HEX2DEC(8))*2,2)),11),2)</f>
        <v>00</v>
      </c>
      <c r="P412" t="str">
        <f>MID('paste from garc here'!$C$1,1+(('table for research'!$B412-1)*36+HEX2DEC('table for research'!P$1))*2,2)</f>
        <v>02</v>
      </c>
      <c r="Q412" t="str">
        <f>MID('paste from garc here'!$C$1,1+(('table for research'!$B412-1)*36+HEX2DEC('table for research'!Q$1))*2,2)</f>
        <v>00</v>
      </c>
      <c r="R412" t="str">
        <f>MID('paste from garc here'!$C$1,1+(('table for research'!$B412-1)*36+HEX2DEC('table for research'!R$1))*2,2)</f>
        <v>00</v>
      </c>
      <c r="S412" t="str">
        <f>MID('paste from garc here'!$C$1,1+(('table for research'!$B412-1)*36+HEX2DEC('table for research'!S$1))*2,2)</f>
        <v>06</v>
      </c>
      <c r="T412" t="str">
        <f>MID('paste from garc here'!$C$1,1+(('table for research'!$B412-1)*36+HEX2DEC('table for research'!T$1))*2,2)</f>
        <v>00</v>
      </c>
      <c r="U412" t="str">
        <f>MID('paste from garc here'!$C$1,1+(('table for research'!$B412-1)*36+HEX2DEC('table for research'!U$1))*2,2)</f>
        <v>52</v>
      </c>
      <c r="V412" t="str">
        <f>MID('paste from garc here'!$C$1,1+(('table for research'!$B412-1)*36+HEX2DEC('table for research'!V$1))*2,2)</f>
        <v>00</v>
      </c>
      <c r="W412" t="str">
        <f>MID('paste from garc here'!$C$1,1+(('table for research'!$B412-1)*36+HEX2DEC('table for research'!W$1))*2,2)</f>
        <v>00</v>
      </c>
      <c r="X412" t="str">
        <f>MID('paste from garc here'!$C$1,1+(('table for research'!$B412-1)*36+HEX2DEC('table for research'!X$1))*2,2)</f>
        <v>00</v>
      </c>
      <c r="Y412" t="str">
        <f>MID('paste from garc here'!$C$1,1+(('table for research'!$B412-1)*36+HEX2DEC('table for research'!Y$1))*2,2)</f>
        <v>00</v>
      </c>
      <c r="Z412" t="str">
        <f>MID('paste from garc here'!$C$1,1+(('table for research'!$B412-1)*36+HEX2DEC('table for research'!Z$1))*2,2)</f>
        <v>00</v>
      </c>
      <c r="AA412" t="str">
        <f>MID('paste from garc here'!$C$1,1+(('table for research'!$B412-1)*36+HEX2DEC('table for research'!AA$1))*2,2)</f>
        <v>00</v>
      </c>
      <c r="AB412" t="str">
        <f>MID('paste from garc here'!$C$1,1+(('table for research'!$B412-1)*36+HEX2DEC('table for research'!AB$1))*2,2)</f>
        <v>00</v>
      </c>
      <c r="AC412" t="str">
        <f>MID('paste from garc here'!$C$1,1+(('table for research'!$B412-1)*36+HEX2DEC('table for research'!AC$1))*2,2)</f>
        <v>00</v>
      </c>
      <c r="AD412" t="str">
        <f>MID('paste from garc here'!$C$1,1+(('table for research'!$B412-1)*36+HEX2DEC('table for research'!AD$1))*2,2)</f>
        <v>00</v>
      </c>
      <c r="AE412" t="str">
        <f>MID('paste from garc here'!$C$1,1+(('table for research'!$B412-1)*36+HEX2DEC('table for research'!AE$1))*2,2)</f>
        <v>00</v>
      </c>
      <c r="AF412" t="str">
        <f>MID('paste from garc here'!$C$1,1+(('table for research'!$B412-1)*36+HEX2DEC('table for research'!AF$1))*2,2)</f>
        <v>00</v>
      </c>
      <c r="AG412" t="str">
        <f>MID('paste from garc here'!$C$1,1+(('table for research'!$B412-1)*36+HEX2DEC('table for research'!AG$1))*2,2)</f>
        <v>00</v>
      </c>
      <c r="AH412" t="str">
        <f>MID('paste from garc here'!$C$1,1+(('table for research'!$B412-1)*36+HEX2DEC('table for research'!AH$1))*2,2)</f>
        <v>00</v>
      </c>
      <c r="AI412" t="str">
        <f>MID('paste from garc here'!$C$1,1+(('table for research'!$B412-1)*36+HEX2DEC('table for research'!AI$1))*2,2)</f>
        <v>00</v>
      </c>
      <c r="AJ412" t="str">
        <f>MID('paste from garc here'!$C$1,1+(('table for research'!$B412-1)*36+HEX2DEC('table for research'!AJ$1))*2,2)</f>
        <v>00</v>
      </c>
      <c r="AK412" t="str">
        <f>MID('paste from garc here'!$C$1,1+(('table for research'!$B412-1)*36+HEX2DEC('table for research'!AK$1))*2,2)</f>
        <v>00</v>
      </c>
      <c r="AL412" t="str">
        <f>MID('paste from garc here'!$C$1,1+(('table for research'!$B412-1)*36+HEX2DEC('table for research'!AL$1))*2,2)</f>
        <v>00</v>
      </c>
      <c r="AM412" t="str">
        <f>MID('paste from garc here'!$C$1,1+(('table for research'!$B412-1)*36+HEX2DEC('table for research'!AM$1))*2,2)</f>
        <v>00</v>
      </c>
      <c r="AN412" t="str">
        <f>MID('paste from garc here'!$C$1,1+(('table for research'!$B412-1)*36+HEX2DEC('table for research'!AN$1))*2,2)</f>
        <v>00</v>
      </c>
      <c r="AO412" t="str">
        <f>MID('paste from garc here'!$C$1,1+(('table for research'!$B412-1)*36+HEX2DEC('table for research'!AO$1))*2,2)</f>
        <v>00</v>
      </c>
    </row>
    <row r="413" spans="1:41" x14ac:dyDescent="0.4">
      <c r="A413" t="s">
        <v>416</v>
      </c>
      <c r="B413">
        <f>B412+1</f>
        <v>411</v>
      </c>
      <c r="C413" t="str">
        <f>MID('paste from garc here'!$C$1,1+(('table for research'!$B413-1)*36+HEX2DEC('table for research'!C$1))*2,2)</f>
        <v>B8</v>
      </c>
      <c r="D413" t="str">
        <f>MID('paste from garc here'!$C$1,1+(('table for research'!$B413-1)*36+HEX2DEC('table for research'!D$1))*2,2)</f>
        <v>0B</v>
      </c>
      <c r="E413" t="str">
        <f>MID('paste from garc here'!$C$1,1+(('table for research'!$B413-1)*36+HEX2DEC('table for research'!E$1))*2,2)</f>
        <v>00</v>
      </c>
      <c r="F413" t="str">
        <f>MID('paste from garc here'!$C$1,1+(('table for research'!$B413-1)*36+HEX2DEC('table for research'!F$1))*2,2)</f>
        <v>00</v>
      </c>
      <c r="G413" t="str">
        <f>MID('paste from garc here'!$C$1,1+(('table for research'!$B413-1)*36+HEX2DEC('table for research'!G$1))*2,2)</f>
        <v>00</v>
      </c>
      <c r="H413" t="str">
        <f>MID('paste from garc here'!$C$1,1+(('table for research'!$B413-1)*36+HEX2DEC('table for research'!H$1))*2,2)</f>
        <v>00</v>
      </c>
      <c r="I413" t="str">
        <f>MID('paste from garc here'!$C$1,1+(('table for research'!$B413-1)*36+HEX2DEC('table for research'!I$1))*2,2)</f>
        <v>00</v>
      </c>
      <c r="J413" t="str">
        <f>MID('paste from garc here'!$C$1,1+(('table for research'!$B413-1)*36+HEX2DEC('table for research'!J$1))*2,2)</f>
        <v>00</v>
      </c>
      <c r="K413" t="str">
        <f>DEC2HEX(_xlfn.BITAND(HEX2DEC(MID('paste from garc here'!$C$1,1+(('table for research'!$B413-1)*36+HEX2DEC(8))*2,2)),31),2)</f>
        <v>1F</v>
      </c>
      <c r="L413" t="str">
        <f>DEC2HEX(_xlfn.BITAND(HEX2DEC(MID('paste from garc here'!$C$1,1+(('table for research'!$B413-1)*36+HEX2DEC(8))*2,2)),32),2)</f>
        <v>20</v>
      </c>
      <c r="M413" t="str">
        <f>DEC2HEX(_xlfn.BITAND(HEX2DEC(MID('paste from garc here'!$C$1,1+(('table for research'!$B413-1)*36+HEX2DEC(8))*2,2)),64),2)</f>
        <v>00</v>
      </c>
      <c r="N413" t="str">
        <f>DEC2HEX(_xlfn.BITRSHIFT(_xlfn.BITAND(HEX2DEC(MID('paste from garc here'!$C$1,1+(('table for research'!$B413-1)*36+HEX2DEC(9))*2,2)&amp;MID('paste from garc here'!$C$1,1+(('table for research'!$B413-1)*36+HEX2DEC(8))*2,2)),1920),7),2)</f>
        <v>02</v>
      </c>
      <c r="O413" t="str">
        <f>DEC2HEX(_xlfn.BITRSHIFT(HEX2DEC(MID('paste from garc here'!$C$1,1+(('table for research'!$B413-1)*36+HEX2DEC(9))*2,2)&amp;MID('paste from garc here'!$C$1,1+(('table for research'!$B413-1)*36+HEX2DEC(8))*2,2)),11),2)</f>
        <v>00</v>
      </c>
      <c r="P413" t="str">
        <f>MID('paste from garc here'!$C$1,1+(('table for research'!$B413-1)*36+HEX2DEC('table for research'!P$1))*2,2)</f>
        <v>02</v>
      </c>
      <c r="Q413" t="str">
        <f>MID('paste from garc here'!$C$1,1+(('table for research'!$B413-1)*36+HEX2DEC('table for research'!Q$1))*2,2)</f>
        <v>00</v>
      </c>
      <c r="R413" t="str">
        <f>MID('paste from garc here'!$C$1,1+(('table for research'!$B413-1)*36+HEX2DEC('table for research'!R$1))*2,2)</f>
        <v>00</v>
      </c>
      <c r="S413" t="str">
        <f>MID('paste from garc here'!$C$1,1+(('table for research'!$B413-1)*36+HEX2DEC('table for research'!S$1))*2,2)</f>
        <v>06</v>
      </c>
      <c r="T413" t="str">
        <f>MID('paste from garc here'!$C$1,1+(('table for research'!$B413-1)*36+HEX2DEC('table for research'!T$1))*2,2)</f>
        <v>00</v>
      </c>
      <c r="U413" t="str">
        <f>MID('paste from garc here'!$C$1,1+(('table for research'!$B413-1)*36+HEX2DEC('table for research'!U$1))*2,2)</f>
        <v>53</v>
      </c>
      <c r="V413" t="str">
        <f>MID('paste from garc here'!$C$1,1+(('table for research'!$B413-1)*36+HEX2DEC('table for research'!V$1))*2,2)</f>
        <v>00</v>
      </c>
      <c r="W413" t="str">
        <f>MID('paste from garc here'!$C$1,1+(('table for research'!$B413-1)*36+HEX2DEC('table for research'!W$1))*2,2)</f>
        <v>00</v>
      </c>
      <c r="X413" t="str">
        <f>MID('paste from garc here'!$C$1,1+(('table for research'!$B413-1)*36+HEX2DEC('table for research'!X$1))*2,2)</f>
        <v>00</v>
      </c>
      <c r="Y413" t="str">
        <f>MID('paste from garc here'!$C$1,1+(('table for research'!$B413-1)*36+HEX2DEC('table for research'!Y$1))*2,2)</f>
        <v>00</v>
      </c>
      <c r="Z413" t="str">
        <f>MID('paste from garc here'!$C$1,1+(('table for research'!$B413-1)*36+HEX2DEC('table for research'!Z$1))*2,2)</f>
        <v>00</v>
      </c>
      <c r="AA413" t="str">
        <f>MID('paste from garc here'!$C$1,1+(('table for research'!$B413-1)*36+HEX2DEC('table for research'!AA$1))*2,2)</f>
        <v>00</v>
      </c>
      <c r="AB413" t="str">
        <f>MID('paste from garc here'!$C$1,1+(('table for research'!$B413-1)*36+HEX2DEC('table for research'!AB$1))*2,2)</f>
        <v>00</v>
      </c>
      <c r="AC413" t="str">
        <f>MID('paste from garc here'!$C$1,1+(('table for research'!$B413-1)*36+HEX2DEC('table for research'!AC$1))*2,2)</f>
        <v>00</v>
      </c>
      <c r="AD413" t="str">
        <f>MID('paste from garc here'!$C$1,1+(('table for research'!$B413-1)*36+HEX2DEC('table for research'!AD$1))*2,2)</f>
        <v>00</v>
      </c>
      <c r="AE413" t="str">
        <f>MID('paste from garc here'!$C$1,1+(('table for research'!$B413-1)*36+HEX2DEC('table for research'!AE$1))*2,2)</f>
        <v>00</v>
      </c>
      <c r="AF413" t="str">
        <f>MID('paste from garc here'!$C$1,1+(('table for research'!$B413-1)*36+HEX2DEC('table for research'!AF$1))*2,2)</f>
        <v>00</v>
      </c>
      <c r="AG413" t="str">
        <f>MID('paste from garc here'!$C$1,1+(('table for research'!$B413-1)*36+HEX2DEC('table for research'!AG$1))*2,2)</f>
        <v>00</v>
      </c>
      <c r="AH413" t="str">
        <f>MID('paste from garc here'!$C$1,1+(('table for research'!$B413-1)*36+HEX2DEC('table for research'!AH$1))*2,2)</f>
        <v>00</v>
      </c>
      <c r="AI413" t="str">
        <f>MID('paste from garc here'!$C$1,1+(('table for research'!$B413-1)*36+HEX2DEC('table for research'!AI$1))*2,2)</f>
        <v>00</v>
      </c>
      <c r="AJ413" t="str">
        <f>MID('paste from garc here'!$C$1,1+(('table for research'!$B413-1)*36+HEX2DEC('table for research'!AJ$1))*2,2)</f>
        <v>00</v>
      </c>
      <c r="AK413" t="str">
        <f>MID('paste from garc here'!$C$1,1+(('table for research'!$B413-1)*36+HEX2DEC('table for research'!AK$1))*2,2)</f>
        <v>00</v>
      </c>
      <c r="AL413" t="str">
        <f>MID('paste from garc here'!$C$1,1+(('table for research'!$B413-1)*36+HEX2DEC('table for research'!AL$1))*2,2)</f>
        <v>00</v>
      </c>
      <c r="AM413" t="str">
        <f>MID('paste from garc here'!$C$1,1+(('table for research'!$B413-1)*36+HEX2DEC('table for research'!AM$1))*2,2)</f>
        <v>00</v>
      </c>
      <c r="AN413" t="str">
        <f>MID('paste from garc here'!$C$1,1+(('table for research'!$B413-1)*36+HEX2DEC('table for research'!AN$1))*2,2)</f>
        <v>00</v>
      </c>
      <c r="AO413" t="str">
        <f>MID('paste from garc here'!$C$1,1+(('table for research'!$B413-1)*36+HEX2DEC('table for research'!AO$1))*2,2)</f>
        <v>00</v>
      </c>
    </row>
    <row r="414" spans="1:41" x14ac:dyDescent="0.4">
      <c r="A414" t="s">
        <v>417</v>
      </c>
      <c r="B414">
        <f>B413+1</f>
        <v>412</v>
      </c>
      <c r="C414" t="str">
        <f>MID('paste from garc here'!$C$1,1+(('table for research'!$B414-1)*36+HEX2DEC('table for research'!C$1))*2,2)</f>
        <v>E8</v>
      </c>
      <c r="D414" t="str">
        <f>MID('paste from garc here'!$C$1,1+(('table for research'!$B414-1)*36+HEX2DEC('table for research'!D$1))*2,2)</f>
        <v>03</v>
      </c>
      <c r="E414" t="str">
        <f>MID('paste from garc here'!$C$1,1+(('table for research'!$B414-1)*36+HEX2DEC('table for research'!E$1))*2,2)</f>
        <v>00</v>
      </c>
      <c r="F414" t="str">
        <f>MID('paste from garc here'!$C$1,1+(('table for research'!$B414-1)*36+HEX2DEC('table for research'!F$1))*2,2)</f>
        <v>00</v>
      </c>
      <c r="G414" t="str">
        <f>MID('paste from garc here'!$C$1,1+(('table for research'!$B414-1)*36+HEX2DEC('table for research'!G$1))*2,2)</f>
        <v>00</v>
      </c>
      <c r="H414" t="str">
        <f>MID('paste from garc here'!$C$1,1+(('table for research'!$B414-1)*36+HEX2DEC('table for research'!H$1))*2,2)</f>
        <v>00</v>
      </c>
      <c r="I414" t="str">
        <f>MID('paste from garc here'!$C$1,1+(('table for research'!$B414-1)*36+HEX2DEC('table for research'!I$1))*2,2)</f>
        <v>00</v>
      </c>
      <c r="J414" t="str">
        <f>MID('paste from garc here'!$C$1,1+(('table for research'!$B414-1)*36+HEX2DEC('table for research'!J$1))*2,2)</f>
        <v>00</v>
      </c>
      <c r="K414" t="str">
        <f>DEC2HEX(_xlfn.BITAND(HEX2DEC(MID('paste from garc here'!$C$1,1+(('table for research'!$B414-1)*36+HEX2DEC(8))*2,2)),31),2)</f>
        <v>1F</v>
      </c>
      <c r="L414" t="str">
        <f>DEC2HEX(_xlfn.BITAND(HEX2DEC(MID('paste from garc here'!$C$1,1+(('table for research'!$B414-1)*36+HEX2DEC(8))*2,2)),32),2)</f>
        <v>20</v>
      </c>
      <c r="M414" t="str">
        <f>DEC2HEX(_xlfn.BITAND(HEX2DEC(MID('paste from garc here'!$C$1,1+(('table for research'!$B414-1)*36+HEX2DEC(8))*2,2)),64),2)</f>
        <v>00</v>
      </c>
      <c r="N414" t="str">
        <f>DEC2HEX(_xlfn.BITRSHIFT(_xlfn.BITAND(HEX2DEC(MID('paste from garc here'!$C$1,1+(('table for research'!$B414-1)*36+HEX2DEC(9))*2,2)&amp;MID('paste from garc here'!$C$1,1+(('table for research'!$B414-1)*36+HEX2DEC(8))*2,2)),1920),7),2)</f>
        <v>02</v>
      </c>
      <c r="O414" t="str">
        <f>DEC2HEX(_xlfn.BITRSHIFT(HEX2DEC(MID('paste from garc here'!$C$1,1+(('table for research'!$B414-1)*36+HEX2DEC(9))*2,2)&amp;MID('paste from garc here'!$C$1,1+(('table for research'!$B414-1)*36+HEX2DEC(8))*2,2)),11),2)</f>
        <v>00</v>
      </c>
      <c r="P414" t="str">
        <f>MID('paste from garc here'!$C$1,1+(('table for research'!$B414-1)*36+HEX2DEC('table for research'!P$1))*2,2)</f>
        <v>02</v>
      </c>
      <c r="Q414" t="str">
        <f>MID('paste from garc here'!$C$1,1+(('table for research'!$B414-1)*36+HEX2DEC('table for research'!Q$1))*2,2)</f>
        <v>00</v>
      </c>
      <c r="R414" t="str">
        <f>MID('paste from garc here'!$C$1,1+(('table for research'!$B414-1)*36+HEX2DEC('table for research'!R$1))*2,2)</f>
        <v>00</v>
      </c>
      <c r="S414" t="str">
        <f>MID('paste from garc here'!$C$1,1+(('table for research'!$B414-1)*36+HEX2DEC('table for research'!S$1))*2,2)</f>
        <v>06</v>
      </c>
      <c r="T414" t="str">
        <f>MID('paste from garc here'!$C$1,1+(('table for research'!$B414-1)*36+HEX2DEC('table for research'!T$1))*2,2)</f>
        <v>00</v>
      </c>
      <c r="U414" t="str">
        <f>MID('paste from garc here'!$C$1,1+(('table for research'!$B414-1)*36+HEX2DEC('table for research'!U$1))*2,2)</f>
        <v>54</v>
      </c>
      <c r="V414" t="str">
        <f>MID('paste from garc here'!$C$1,1+(('table for research'!$B414-1)*36+HEX2DEC('table for research'!V$1))*2,2)</f>
        <v>00</v>
      </c>
      <c r="W414" t="str">
        <f>MID('paste from garc here'!$C$1,1+(('table for research'!$B414-1)*36+HEX2DEC('table for research'!W$1))*2,2)</f>
        <v>00</v>
      </c>
      <c r="X414" t="str">
        <f>MID('paste from garc here'!$C$1,1+(('table for research'!$B414-1)*36+HEX2DEC('table for research'!X$1))*2,2)</f>
        <v>00</v>
      </c>
      <c r="Y414" t="str">
        <f>MID('paste from garc here'!$C$1,1+(('table for research'!$B414-1)*36+HEX2DEC('table for research'!Y$1))*2,2)</f>
        <v>00</v>
      </c>
      <c r="Z414" t="str">
        <f>MID('paste from garc here'!$C$1,1+(('table for research'!$B414-1)*36+HEX2DEC('table for research'!Z$1))*2,2)</f>
        <v>00</v>
      </c>
      <c r="AA414" t="str">
        <f>MID('paste from garc here'!$C$1,1+(('table for research'!$B414-1)*36+HEX2DEC('table for research'!AA$1))*2,2)</f>
        <v>00</v>
      </c>
      <c r="AB414" t="str">
        <f>MID('paste from garc here'!$C$1,1+(('table for research'!$B414-1)*36+HEX2DEC('table for research'!AB$1))*2,2)</f>
        <v>00</v>
      </c>
      <c r="AC414" t="str">
        <f>MID('paste from garc here'!$C$1,1+(('table for research'!$B414-1)*36+HEX2DEC('table for research'!AC$1))*2,2)</f>
        <v>00</v>
      </c>
      <c r="AD414" t="str">
        <f>MID('paste from garc here'!$C$1,1+(('table for research'!$B414-1)*36+HEX2DEC('table for research'!AD$1))*2,2)</f>
        <v>00</v>
      </c>
      <c r="AE414" t="str">
        <f>MID('paste from garc here'!$C$1,1+(('table for research'!$B414-1)*36+HEX2DEC('table for research'!AE$1))*2,2)</f>
        <v>00</v>
      </c>
      <c r="AF414" t="str">
        <f>MID('paste from garc here'!$C$1,1+(('table for research'!$B414-1)*36+HEX2DEC('table for research'!AF$1))*2,2)</f>
        <v>00</v>
      </c>
      <c r="AG414" t="str">
        <f>MID('paste from garc here'!$C$1,1+(('table for research'!$B414-1)*36+HEX2DEC('table for research'!AG$1))*2,2)</f>
        <v>00</v>
      </c>
      <c r="AH414" t="str">
        <f>MID('paste from garc here'!$C$1,1+(('table for research'!$B414-1)*36+HEX2DEC('table for research'!AH$1))*2,2)</f>
        <v>00</v>
      </c>
      <c r="AI414" t="str">
        <f>MID('paste from garc here'!$C$1,1+(('table for research'!$B414-1)*36+HEX2DEC('table for research'!AI$1))*2,2)</f>
        <v>00</v>
      </c>
      <c r="AJ414" t="str">
        <f>MID('paste from garc here'!$C$1,1+(('table for research'!$B414-1)*36+HEX2DEC('table for research'!AJ$1))*2,2)</f>
        <v>00</v>
      </c>
      <c r="AK414" t="str">
        <f>MID('paste from garc here'!$C$1,1+(('table for research'!$B414-1)*36+HEX2DEC('table for research'!AK$1))*2,2)</f>
        <v>00</v>
      </c>
      <c r="AL414" t="str">
        <f>MID('paste from garc here'!$C$1,1+(('table for research'!$B414-1)*36+HEX2DEC('table for research'!AL$1))*2,2)</f>
        <v>00</v>
      </c>
      <c r="AM414" t="str">
        <f>MID('paste from garc here'!$C$1,1+(('table for research'!$B414-1)*36+HEX2DEC('table for research'!AM$1))*2,2)</f>
        <v>00</v>
      </c>
      <c r="AN414" t="str">
        <f>MID('paste from garc here'!$C$1,1+(('table for research'!$B414-1)*36+HEX2DEC('table for research'!AN$1))*2,2)</f>
        <v>00</v>
      </c>
      <c r="AO414" t="str">
        <f>MID('paste from garc here'!$C$1,1+(('table for research'!$B414-1)*36+HEX2DEC('table for research'!AO$1))*2,2)</f>
        <v>00</v>
      </c>
    </row>
    <row r="415" spans="1:41" x14ac:dyDescent="0.4">
      <c r="A415" t="s">
        <v>418</v>
      </c>
      <c r="B415">
        <f>B414+1</f>
        <v>413</v>
      </c>
      <c r="C415" t="str">
        <f>MID('paste from garc here'!$C$1,1+(('table for research'!$B415-1)*36+HEX2DEC('table for research'!C$1))*2,2)</f>
        <v>E8</v>
      </c>
      <c r="D415" t="str">
        <f>MID('paste from garc here'!$C$1,1+(('table for research'!$B415-1)*36+HEX2DEC('table for research'!D$1))*2,2)</f>
        <v>03</v>
      </c>
      <c r="E415" t="str">
        <f>MID('paste from garc here'!$C$1,1+(('table for research'!$B415-1)*36+HEX2DEC('table for research'!E$1))*2,2)</f>
        <v>00</v>
      </c>
      <c r="F415" t="str">
        <f>MID('paste from garc here'!$C$1,1+(('table for research'!$B415-1)*36+HEX2DEC('table for research'!F$1))*2,2)</f>
        <v>00</v>
      </c>
      <c r="G415" t="str">
        <f>MID('paste from garc here'!$C$1,1+(('table for research'!$B415-1)*36+HEX2DEC('table for research'!G$1))*2,2)</f>
        <v>00</v>
      </c>
      <c r="H415" t="str">
        <f>MID('paste from garc here'!$C$1,1+(('table for research'!$B415-1)*36+HEX2DEC('table for research'!H$1))*2,2)</f>
        <v>00</v>
      </c>
      <c r="I415" t="str">
        <f>MID('paste from garc here'!$C$1,1+(('table for research'!$B415-1)*36+HEX2DEC('table for research'!I$1))*2,2)</f>
        <v>00</v>
      </c>
      <c r="J415" t="str">
        <f>MID('paste from garc here'!$C$1,1+(('table for research'!$B415-1)*36+HEX2DEC('table for research'!J$1))*2,2)</f>
        <v>00</v>
      </c>
      <c r="K415" t="str">
        <f>DEC2HEX(_xlfn.BITAND(HEX2DEC(MID('paste from garc here'!$C$1,1+(('table for research'!$B415-1)*36+HEX2DEC(8))*2,2)),31),2)</f>
        <v>1F</v>
      </c>
      <c r="L415" t="str">
        <f>DEC2HEX(_xlfn.BITAND(HEX2DEC(MID('paste from garc here'!$C$1,1+(('table for research'!$B415-1)*36+HEX2DEC(8))*2,2)),32),2)</f>
        <v>20</v>
      </c>
      <c r="M415" t="str">
        <f>DEC2HEX(_xlfn.BITAND(HEX2DEC(MID('paste from garc here'!$C$1,1+(('table for research'!$B415-1)*36+HEX2DEC(8))*2,2)),64),2)</f>
        <v>00</v>
      </c>
      <c r="N415" t="str">
        <f>DEC2HEX(_xlfn.BITRSHIFT(_xlfn.BITAND(HEX2DEC(MID('paste from garc here'!$C$1,1+(('table for research'!$B415-1)*36+HEX2DEC(9))*2,2)&amp;MID('paste from garc here'!$C$1,1+(('table for research'!$B415-1)*36+HEX2DEC(8))*2,2)),1920),7),2)</f>
        <v>02</v>
      </c>
      <c r="O415" t="str">
        <f>DEC2HEX(_xlfn.BITRSHIFT(HEX2DEC(MID('paste from garc here'!$C$1,1+(('table for research'!$B415-1)*36+HEX2DEC(9))*2,2)&amp;MID('paste from garc here'!$C$1,1+(('table for research'!$B415-1)*36+HEX2DEC(8))*2,2)),11),2)</f>
        <v>00</v>
      </c>
      <c r="P415" t="str">
        <f>MID('paste from garc here'!$C$1,1+(('table for research'!$B415-1)*36+HEX2DEC('table for research'!P$1))*2,2)</f>
        <v>02</v>
      </c>
      <c r="Q415" t="str">
        <f>MID('paste from garc here'!$C$1,1+(('table for research'!$B415-1)*36+HEX2DEC('table for research'!Q$1))*2,2)</f>
        <v>00</v>
      </c>
      <c r="R415" t="str">
        <f>MID('paste from garc here'!$C$1,1+(('table for research'!$B415-1)*36+HEX2DEC('table for research'!R$1))*2,2)</f>
        <v>00</v>
      </c>
      <c r="S415" t="str">
        <f>MID('paste from garc here'!$C$1,1+(('table for research'!$B415-1)*36+HEX2DEC('table for research'!S$1))*2,2)</f>
        <v>06</v>
      </c>
      <c r="T415" t="str">
        <f>MID('paste from garc here'!$C$1,1+(('table for research'!$B415-1)*36+HEX2DEC('table for research'!T$1))*2,2)</f>
        <v>00</v>
      </c>
      <c r="U415" t="str">
        <f>MID('paste from garc here'!$C$1,1+(('table for research'!$B415-1)*36+HEX2DEC('table for research'!U$1))*2,2)</f>
        <v>55</v>
      </c>
      <c r="V415" t="str">
        <f>MID('paste from garc here'!$C$1,1+(('table for research'!$B415-1)*36+HEX2DEC('table for research'!V$1))*2,2)</f>
        <v>00</v>
      </c>
      <c r="W415" t="str">
        <f>MID('paste from garc here'!$C$1,1+(('table for research'!$B415-1)*36+HEX2DEC('table for research'!W$1))*2,2)</f>
        <v>00</v>
      </c>
      <c r="X415" t="str">
        <f>MID('paste from garc here'!$C$1,1+(('table for research'!$B415-1)*36+HEX2DEC('table for research'!X$1))*2,2)</f>
        <v>00</v>
      </c>
      <c r="Y415" t="str">
        <f>MID('paste from garc here'!$C$1,1+(('table for research'!$B415-1)*36+HEX2DEC('table for research'!Y$1))*2,2)</f>
        <v>00</v>
      </c>
      <c r="Z415" t="str">
        <f>MID('paste from garc here'!$C$1,1+(('table for research'!$B415-1)*36+HEX2DEC('table for research'!Z$1))*2,2)</f>
        <v>00</v>
      </c>
      <c r="AA415" t="str">
        <f>MID('paste from garc here'!$C$1,1+(('table for research'!$B415-1)*36+HEX2DEC('table for research'!AA$1))*2,2)</f>
        <v>00</v>
      </c>
      <c r="AB415" t="str">
        <f>MID('paste from garc here'!$C$1,1+(('table for research'!$B415-1)*36+HEX2DEC('table for research'!AB$1))*2,2)</f>
        <v>00</v>
      </c>
      <c r="AC415" t="str">
        <f>MID('paste from garc here'!$C$1,1+(('table for research'!$B415-1)*36+HEX2DEC('table for research'!AC$1))*2,2)</f>
        <v>00</v>
      </c>
      <c r="AD415" t="str">
        <f>MID('paste from garc here'!$C$1,1+(('table for research'!$B415-1)*36+HEX2DEC('table for research'!AD$1))*2,2)</f>
        <v>00</v>
      </c>
      <c r="AE415" t="str">
        <f>MID('paste from garc here'!$C$1,1+(('table for research'!$B415-1)*36+HEX2DEC('table for research'!AE$1))*2,2)</f>
        <v>00</v>
      </c>
      <c r="AF415" t="str">
        <f>MID('paste from garc here'!$C$1,1+(('table for research'!$B415-1)*36+HEX2DEC('table for research'!AF$1))*2,2)</f>
        <v>00</v>
      </c>
      <c r="AG415" t="str">
        <f>MID('paste from garc here'!$C$1,1+(('table for research'!$B415-1)*36+HEX2DEC('table for research'!AG$1))*2,2)</f>
        <v>00</v>
      </c>
      <c r="AH415" t="str">
        <f>MID('paste from garc here'!$C$1,1+(('table for research'!$B415-1)*36+HEX2DEC('table for research'!AH$1))*2,2)</f>
        <v>00</v>
      </c>
      <c r="AI415" t="str">
        <f>MID('paste from garc here'!$C$1,1+(('table for research'!$B415-1)*36+HEX2DEC('table for research'!AI$1))*2,2)</f>
        <v>00</v>
      </c>
      <c r="AJ415" t="str">
        <f>MID('paste from garc here'!$C$1,1+(('table for research'!$B415-1)*36+HEX2DEC('table for research'!AJ$1))*2,2)</f>
        <v>00</v>
      </c>
      <c r="AK415" t="str">
        <f>MID('paste from garc here'!$C$1,1+(('table for research'!$B415-1)*36+HEX2DEC('table for research'!AK$1))*2,2)</f>
        <v>00</v>
      </c>
      <c r="AL415" t="str">
        <f>MID('paste from garc here'!$C$1,1+(('table for research'!$B415-1)*36+HEX2DEC('table for research'!AL$1))*2,2)</f>
        <v>00</v>
      </c>
      <c r="AM415" t="str">
        <f>MID('paste from garc here'!$C$1,1+(('table for research'!$B415-1)*36+HEX2DEC('table for research'!AM$1))*2,2)</f>
        <v>00</v>
      </c>
      <c r="AN415" t="str">
        <f>MID('paste from garc here'!$C$1,1+(('table for research'!$B415-1)*36+HEX2DEC('table for research'!AN$1))*2,2)</f>
        <v>00</v>
      </c>
      <c r="AO415" t="str">
        <f>MID('paste from garc here'!$C$1,1+(('table for research'!$B415-1)*36+HEX2DEC('table for research'!AO$1))*2,2)</f>
        <v>00</v>
      </c>
    </row>
    <row r="416" spans="1:41" x14ac:dyDescent="0.4">
      <c r="A416" t="s">
        <v>419</v>
      </c>
      <c r="B416">
        <f>B415+1</f>
        <v>414</v>
      </c>
      <c r="C416" t="str">
        <f>MID('paste from garc here'!$C$1,1+(('table for research'!$B416-1)*36+HEX2DEC('table for research'!C$1))*2,2)</f>
        <v>E8</v>
      </c>
      <c r="D416" t="str">
        <f>MID('paste from garc here'!$C$1,1+(('table for research'!$B416-1)*36+HEX2DEC('table for research'!D$1))*2,2)</f>
        <v>03</v>
      </c>
      <c r="E416" t="str">
        <f>MID('paste from garc here'!$C$1,1+(('table for research'!$B416-1)*36+HEX2DEC('table for research'!E$1))*2,2)</f>
        <v>00</v>
      </c>
      <c r="F416" t="str">
        <f>MID('paste from garc here'!$C$1,1+(('table for research'!$B416-1)*36+HEX2DEC('table for research'!F$1))*2,2)</f>
        <v>00</v>
      </c>
      <c r="G416" t="str">
        <f>MID('paste from garc here'!$C$1,1+(('table for research'!$B416-1)*36+HEX2DEC('table for research'!G$1))*2,2)</f>
        <v>00</v>
      </c>
      <c r="H416" t="str">
        <f>MID('paste from garc here'!$C$1,1+(('table for research'!$B416-1)*36+HEX2DEC('table for research'!H$1))*2,2)</f>
        <v>00</v>
      </c>
      <c r="I416" t="str">
        <f>MID('paste from garc here'!$C$1,1+(('table for research'!$B416-1)*36+HEX2DEC('table for research'!I$1))*2,2)</f>
        <v>00</v>
      </c>
      <c r="J416" t="str">
        <f>MID('paste from garc here'!$C$1,1+(('table for research'!$B416-1)*36+HEX2DEC('table for research'!J$1))*2,2)</f>
        <v>00</v>
      </c>
      <c r="K416" t="str">
        <f>DEC2HEX(_xlfn.BITAND(HEX2DEC(MID('paste from garc here'!$C$1,1+(('table for research'!$B416-1)*36+HEX2DEC(8))*2,2)),31),2)</f>
        <v>1F</v>
      </c>
      <c r="L416" t="str">
        <f>DEC2HEX(_xlfn.BITAND(HEX2DEC(MID('paste from garc here'!$C$1,1+(('table for research'!$B416-1)*36+HEX2DEC(8))*2,2)),32),2)</f>
        <v>20</v>
      </c>
      <c r="M416" t="str">
        <f>DEC2HEX(_xlfn.BITAND(HEX2DEC(MID('paste from garc here'!$C$1,1+(('table for research'!$B416-1)*36+HEX2DEC(8))*2,2)),64),2)</f>
        <v>00</v>
      </c>
      <c r="N416" t="str">
        <f>DEC2HEX(_xlfn.BITRSHIFT(_xlfn.BITAND(HEX2DEC(MID('paste from garc here'!$C$1,1+(('table for research'!$B416-1)*36+HEX2DEC(9))*2,2)&amp;MID('paste from garc here'!$C$1,1+(('table for research'!$B416-1)*36+HEX2DEC(8))*2,2)),1920),7),2)</f>
        <v>02</v>
      </c>
      <c r="O416" t="str">
        <f>DEC2HEX(_xlfn.BITRSHIFT(HEX2DEC(MID('paste from garc here'!$C$1,1+(('table for research'!$B416-1)*36+HEX2DEC(9))*2,2)&amp;MID('paste from garc here'!$C$1,1+(('table for research'!$B416-1)*36+HEX2DEC(8))*2,2)),11),2)</f>
        <v>00</v>
      </c>
      <c r="P416" t="str">
        <f>MID('paste from garc here'!$C$1,1+(('table for research'!$B416-1)*36+HEX2DEC('table for research'!P$1))*2,2)</f>
        <v>02</v>
      </c>
      <c r="Q416" t="str">
        <f>MID('paste from garc here'!$C$1,1+(('table for research'!$B416-1)*36+HEX2DEC('table for research'!Q$1))*2,2)</f>
        <v>00</v>
      </c>
      <c r="R416" t="str">
        <f>MID('paste from garc here'!$C$1,1+(('table for research'!$B416-1)*36+HEX2DEC('table for research'!R$1))*2,2)</f>
        <v>00</v>
      </c>
      <c r="S416" t="str">
        <f>MID('paste from garc here'!$C$1,1+(('table for research'!$B416-1)*36+HEX2DEC('table for research'!S$1))*2,2)</f>
        <v>06</v>
      </c>
      <c r="T416" t="str">
        <f>MID('paste from garc here'!$C$1,1+(('table for research'!$B416-1)*36+HEX2DEC('table for research'!T$1))*2,2)</f>
        <v>00</v>
      </c>
      <c r="U416" t="str">
        <f>MID('paste from garc here'!$C$1,1+(('table for research'!$B416-1)*36+HEX2DEC('table for research'!U$1))*2,2)</f>
        <v>56</v>
      </c>
      <c r="V416" t="str">
        <f>MID('paste from garc here'!$C$1,1+(('table for research'!$B416-1)*36+HEX2DEC('table for research'!V$1))*2,2)</f>
        <v>00</v>
      </c>
      <c r="W416" t="str">
        <f>MID('paste from garc here'!$C$1,1+(('table for research'!$B416-1)*36+HEX2DEC('table for research'!W$1))*2,2)</f>
        <v>00</v>
      </c>
      <c r="X416" t="str">
        <f>MID('paste from garc here'!$C$1,1+(('table for research'!$B416-1)*36+HEX2DEC('table for research'!X$1))*2,2)</f>
        <v>00</v>
      </c>
      <c r="Y416" t="str">
        <f>MID('paste from garc here'!$C$1,1+(('table for research'!$B416-1)*36+HEX2DEC('table for research'!Y$1))*2,2)</f>
        <v>00</v>
      </c>
      <c r="Z416" t="str">
        <f>MID('paste from garc here'!$C$1,1+(('table for research'!$B416-1)*36+HEX2DEC('table for research'!Z$1))*2,2)</f>
        <v>00</v>
      </c>
      <c r="AA416" t="str">
        <f>MID('paste from garc here'!$C$1,1+(('table for research'!$B416-1)*36+HEX2DEC('table for research'!AA$1))*2,2)</f>
        <v>00</v>
      </c>
      <c r="AB416" t="str">
        <f>MID('paste from garc here'!$C$1,1+(('table for research'!$B416-1)*36+HEX2DEC('table for research'!AB$1))*2,2)</f>
        <v>00</v>
      </c>
      <c r="AC416" t="str">
        <f>MID('paste from garc here'!$C$1,1+(('table for research'!$B416-1)*36+HEX2DEC('table for research'!AC$1))*2,2)</f>
        <v>00</v>
      </c>
      <c r="AD416" t="str">
        <f>MID('paste from garc here'!$C$1,1+(('table for research'!$B416-1)*36+HEX2DEC('table for research'!AD$1))*2,2)</f>
        <v>00</v>
      </c>
      <c r="AE416" t="str">
        <f>MID('paste from garc here'!$C$1,1+(('table for research'!$B416-1)*36+HEX2DEC('table for research'!AE$1))*2,2)</f>
        <v>00</v>
      </c>
      <c r="AF416" t="str">
        <f>MID('paste from garc here'!$C$1,1+(('table for research'!$B416-1)*36+HEX2DEC('table for research'!AF$1))*2,2)</f>
        <v>00</v>
      </c>
      <c r="AG416" t="str">
        <f>MID('paste from garc here'!$C$1,1+(('table for research'!$B416-1)*36+HEX2DEC('table for research'!AG$1))*2,2)</f>
        <v>00</v>
      </c>
      <c r="AH416" t="str">
        <f>MID('paste from garc here'!$C$1,1+(('table for research'!$B416-1)*36+HEX2DEC('table for research'!AH$1))*2,2)</f>
        <v>00</v>
      </c>
      <c r="AI416" t="str">
        <f>MID('paste from garc here'!$C$1,1+(('table for research'!$B416-1)*36+HEX2DEC('table for research'!AI$1))*2,2)</f>
        <v>00</v>
      </c>
      <c r="AJ416" t="str">
        <f>MID('paste from garc here'!$C$1,1+(('table for research'!$B416-1)*36+HEX2DEC('table for research'!AJ$1))*2,2)</f>
        <v>00</v>
      </c>
      <c r="AK416" t="str">
        <f>MID('paste from garc here'!$C$1,1+(('table for research'!$B416-1)*36+HEX2DEC('table for research'!AK$1))*2,2)</f>
        <v>00</v>
      </c>
      <c r="AL416" t="str">
        <f>MID('paste from garc here'!$C$1,1+(('table for research'!$B416-1)*36+HEX2DEC('table for research'!AL$1))*2,2)</f>
        <v>00</v>
      </c>
      <c r="AM416" t="str">
        <f>MID('paste from garc here'!$C$1,1+(('table for research'!$B416-1)*36+HEX2DEC('table for research'!AM$1))*2,2)</f>
        <v>00</v>
      </c>
      <c r="AN416" t="str">
        <f>MID('paste from garc here'!$C$1,1+(('table for research'!$B416-1)*36+HEX2DEC('table for research'!AN$1))*2,2)</f>
        <v>00</v>
      </c>
      <c r="AO416" t="str">
        <f>MID('paste from garc here'!$C$1,1+(('table for research'!$B416-1)*36+HEX2DEC('table for research'!AO$1))*2,2)</f>
        <v>00</v>
      </c>
    </row>
    <row r="417" spans="1:41" x14ac:dyDescent="0.4">
      <c r="A417" t="s">
        <v>420</v>
      </c>
      <c r="B417">
        <f>B416+1</f>
        <v>415</v>
      </c>
      <c r="C417" t="str">
        <f>MID('paste from garc here'!$C$1,1+(('table for research'!$B417-1)*36+HEX2DEC('table for research'!C$1))*2,2)</f>
        <v>E8</v>
      </c>
      <c r="D417" t="str">
        <f>MID('paste from garc here'!$C$1,1+(('table for research'!$B417-1)*36+HEX2DEC('table for research'!D$1))*2,2)</f>
        <v>03</v>
      </c>
      <c r="E417" t="str">
        <f>MID('paste from garc here'!$C$1,1+(('table for research'!$B417-1)*36+HEX2DEC('table for research'!E$1))*2,2)</f>
        <v>00</v>
      </c>
      <c r="F417" t="str">
        <f>MID('paste from garc here'!$C$1,1+(('table for research'!$B417-1)*36+HEX2DEC('table for research'!F$1))*2,2)</f>
        <v>00</v>
      </c>
      <c r="G417" t="str">
        <f>MID('paste from garc here'!$C$1,1+(('table for research'!$B417-1)*36+HEX2DEC('table for research'!G$1))*2,2)</f>
        <v>00</v>
      </c>
      <c r="H417" t="str">
        <f>MID('paste from garc here'!$C$1,1+(('table for research'!$B417-1)*36+HEX2DEC('table for research'!H$1))*2,2)</f>
        <v>00</v>
      </c>
      <c r="I417" t="str">
        <f>MID('paste from garc here'!$C$1,1+(('table for research'!$B417-1)*36+HEX2DEC('table for research'!I$1))*2,2)</f>
        <v>00</v>
      </c>
      <c r="J417" t="str">
        <f>MID('paste from garc here'!$C$1,1+(('table for research'!$B417-1)*36+HEX2DEC('table for research'!J$1))*2,2)</f>
        <v>00</v>
      </c>
      <c r="K417" t="str">
        <f>DEC2HEX(_xlfn.BITAND(HEX2DEC(MID('paste from garc here'!$C$1,1+(('table for research'!$B417-1)*36+HEX2DEC(8))*2,2)),31),2)</f>
        <v>1F</v>
      </c>
      <c r="L417" t="str">
        <f>DEC2HEX(_xlfn.BITAND(HEX2DEC(MID('paste from garc here'!$C$1,1+(('table for research'!$B417-1)*36+HEX2DEC(8))*2,2)),32),2)</f>
        <v>20</v>
      </c>
      <c r="M417" t="str">
        <f>DEC2HEX(_xlfn.BITAND(HEX2DEC(MID('paste from garc here'!$C$1,1+(('table for research'!$B417-1)*36+HEX2DEC(8))*2,2)),64),2)</f>
        <v>00</v>
      </c>
      <c r="N417" t="str">
        <f>DEC2HEX(_xlfn.BITRSHIFT(_xlfn.BITAND(HEX2DEC(MID('paste from garc here'!$C$1,1+(('table for research'!$B417-1)*36+HEX2DEC(9))*2,2)&amp;MID('paste from garc here'!$C$1,1+(('table for research'!$B417-1)*36+HEX2DEC(8))*2,2)),1920),7),2)</f>
        <v>02</v>
      </c>
      <c r="O417" t="str">
        <f>DEC2HEX(_xlfn.BITRSHIFT(HEX2DEC(MID('paste from garc here'!$C$1,1+(('table for research'!$B417-1)*36+HEX2DEC(9))*2,2)&amp;MID('paste from garc here'!$C$1,1+(('table for research'!$B417-1)*36+HEX2DEC(8))*2,2)),11),2)</f>
        <v>00</v>
      </c>
      <c r="P417" t="str">
        <f>MID('paste from garc here'!$C$1,1+(('table for research'!$B417-1)*36+HEX2DEC('table for research'!P$1))*2,2)</f>
        <v>02</v>
      </c>
      <c r="Q417" t="str">
        <f>MID('paste from garc here'!$C$1,1+(('table for research'!$B417-1)*36+HEX2DEC('table for research'!Q$1))*2,2)</f>
        <v>00</v>
      </c>
      <c r="R417" t="str">
        <f>MID('paste from garc here'!$C$1,1+(('table for research'!$B417-1)*36+HEX2DEC('table for research'!R$1))*2,2)</f>
        <v>00</v>
      </c>
      <c r="S417" t="str">
        <f>MID('paste from garc here'!$C$1,1+(('table for research'!$B417-1)*36+HEX2DEC('table for research'!S$1))*2,2)</f>
        <v>06</v>
      </c>
      <c r="T417" t="str">
        <f>MID('paste from garc here'!$C$1,1+(('table for research'!$B417-1)*36+HEX2DEC('table for research'!T$1))*2,2)</f>
        <v>00</v>
      </c>
      <c r="U417" t="str">
        <f>MID('paste from garc here'!$C$1,1+(('table for research'!$B417-1)*36+HEX2DEC('table for research'!U$1))*2,2)</f>
        <v>57</v>
      </c>
      <c r="V417" t="str">
        <f>MID('paste from garc here'!$C$1,1+(('table for research'!$B417-1)*36+HEX2DEC('table for research'!V$1))*2,2)</f>
        <v>00</v>
      </c>
      <c r="W417" t="str">
        <f>MID('paste from garc here'!$C$1,1+(('table for research'!$B417-1)*36+HEX2DEC('table for research'!W$1))*2,2)</f>
        <v>00</v>
      </c>
      <c r="X417" t="str">
        <f>MID('paste from garc here'!$C$1,1+(('table for research'!$B417-1)*36+HEX2DEC('table for research'!X$1))*2,2)</f>
        <v>00</v>
      </c>
      <c r="Y417" t="str">
        <f>MID('paste from garc here'!$C$1,1+(('table for research'!$B417-1)*36+HEX2DEC('table for research'!Y$1))*2,2)</f>
        <v>00</v>
      </c>
      <c r="Z417" t="str">
        <f>MID('paste from garc here'!$C$1,1+(('table for research'!$B417-1)*36+HEX2DEC('table for research'!Z$1))*2,2)</f>
        <v>00</v>
      </c>
      <c r="AA417" t="str">
        <f>MID('paste from garc here'!$C$1,1+(('table for research'!$B417-1)*36+HEX2DEC('table for research'!AA$1))*2,2)</f>
        <v>00</v>
      </c>
      <c r="AB417" t="str">
        <f>MID('paste from garc here'!$C$1,1+(('table for research'!$B417-1)*36+HEX2DEC('table for research'!AB$1))*2,2)</f>
        <v>00</v>
      </c>
      <c r="AC417" t="str">
        <f>MID('paste from garc here'!$C$1,1+(('table for research'!$B417-1)*36+HEX2DEC('table for research'!AC$1))*2,2)</f>
        <v>00</v>
      </c>
      <c r="AD417" t="str">
        <f>MID('paste from garc here'!$C$1,1+(('table for research'!$B417-1)*36+HEX2DEC('table for research'!AD$1))*2,2)</f>
        <v>00</v>
      </c>
      <c r="AE417" t="str">
        <f>MID('paste from garc here'!$C$1,1+(('table for research'!$B417-1)*36+HEX2DEC('table for research'!AE$1))*2,2)</f>
        <v>00</v>
      </c>
      <c r="AF417" t="str">
        <f>MID('paste from garc here'!$C$1,1+(('table for research'!$B417-1)*36+HEX2DEC('table for research'!AF$1))*2,2)</f>
        <v>00</v>
      </c>
      <c r="AG417" t="str">
        <f>MID('paste from garc here'!$C$1,1+(('table for research'!$B417-1)*36+HEX2DEC('table for research'!AG$1))*2,2)</f>
        <v>00</v>
      </c>
      <c r="AH417" t="str">
        <f>MID('paste from garc here'!$C$1,1+(('table for research'!$B417-1)*36+HEX2DEC('table for research'!AH$1))*2,2)</f>
        <v>00</v>
      </c>
      <c r="AI417" t="str">
        <f>MID('paste from garc here'!$C$1,1+(('table for research'!$B417-1)*36+HEX2DEC('table for research'!AI$1))*2,2)</f>
        <v>00</v>
      </c>
      <c r="AJ417" t="str">
        <f>MID('paste from garc here'!$C$1,1+(('table for research'!$B417-1)*36+HEX2DEC('table for research'!AJ$1))*2,2)</f>
        <v>00</v>
      </c>
      <c r="AK417" t="str">
        <f>MID('paste from garc here'!$C$1,1+(('table for research'!$B417-1)*36+HEX2DEC('table for research'!AK$1))*2,2)</f>
        <v>00</v>
      </c>
      <c r="AL417" t="str">
        <f>MID('paste from garc here'!$C$1,1+(('table for research'!$B417-1)*36+HEX2DEC('table for research'!AL$1))*2,2)</f>
        <v>00</v>
      </c>
      <c r="AM417" t="str">
        <f>MID('paste from garc here'!$C$1,1+(('table for research'!$B417-1)*36+HEX2DEC('table for research'!AM$1))*2,2)</f>
        <v>00</v>
      </c>
      <c r="AN417" t="str">
        <f>MID('paste from garc here'!$C$1,1+(('table for research'!$B417-1)*36+HEX2DEC('table for research'!AN$1))*2,2)</f>
        <v>00</v>
      </c>
      <c r="AO417" t="str">
        <f>MID('paste from garc here'!$C$1,1+(('table for research'!$B417-1)*36+HEX2DEC('table for research'!AO$1))*2,2)</f>
        <v>00</v>
      </c>
    </row>
    <row r="418" spans="1:41" x14ac:dyDescent="0.4">
      <c r="A418" t="s">
        <v>421</v>
      </c>
      <c r="B418">
        <f>B417+1</f>
        <v>416</v>
      </c>
      <c r="C418" t="str">
        <f>MID('paste from garc here'!$C$1,1+(('table for research'!$B418-1)*36+HEX2DEC('table for research'!C$1))*2,2)</f>
        <v>C4</v>
      </c>
      <c r="D418" t="str">
        <f>MID('paste from garc here'!$C$1,1+(('table for research'!$B418-1)*36+HEX2DEC('table for research'!D$1))*2,2)</f>
        <v>09</v>
      </c>
      <c r="E418" t="str">
        <f>MID('paste from garc here'!$C$1,1+(('table for research'!$B418-1)*36+HEX2DEC('table for research'!E$1))*2,2)</f>
        <v>00</v>
      </c>
      <c r="F418" t="str">
        <f>MID('paste from garc here'!$C$1,1+(('table for research'!$B418-1)*36+HEX2DEC('table for research'!F$1))*2,2)</f>
        <v>00</v>
      </c>
      <c r="G418" t="str">
        <f>MID('paste from garc here'!$C$1,1+(('table for research'!$B418-1)*36+HEX2DEC('table for research'!G$1))*2,2)</f>
        <v>00</v>
      </c>
      <c r="H418" t="str">
        <f>MID('paste from garc here'!$C$1,1+(('table for research'!$B418-1)*36+HEX2DEC('table for research'!H$1))*2,2)</f>
        <v>00</v>
      </c>
      <c r="I418" t="str">
        <f>MID('paste from garc here'!$C$1,1+(('table for research'!$B418-1)*36+HEX2DEC('table for research'!I$1))*2,2)</f>
        <v>00</v>
      </c>
      <c r="J418" t="str">
        <f>MID('paste from garc here'!$C$1,1+(('table for research'!$B418-1)*36+HEX2DEC('table for research'!J$1))*2,2)</f>
        <v>00</v>
      </c>
      <c r="K418" t="str">
        <f>DEC2HEX(_xlfn.BITAND(HEX2DEC(MID('paste from garc here'!$C$1,1+(('table for research'!$B418-1)*36+HEX2DEC(8))*2,2)),31),2)</f>
        <v>1F</v>
      </c>
      <c r="L418" t="str">
        <f>DEC2HEX(_xlfn.BITAND(HEX2DEC(MID('paste from garc here'!$C$1,1+(('table for research'!$B418-1)*36+HEX2DEC(8))*2,2)),32),2)</f>
        <v>20</v>
      </c>
      <c r="M418" t="str">
        <f>DEC2HEX(_xlfn.BITAND(HEX2DEC(MID('paste from garc here'!$C$1,1+(('table for research'!$B418-1)*36+HEX2DEC(8))*2,2)),64),2)</f>
        <v>00</v>
      </c>
      <c r="N418" t="str">
        <f>DEC2HEX(_xlfn.BITRSHIFT(_xlfn.BITAND(HEX2DEC(MID('paste from garc here'!$C$1,1+(('table for research'!$B418-1)*36+HEX2DEC(9))*2,2)&amp;MID('paste from garc here'!$C$1,1+(('table for research'!$B418-1)*36+HEX2DEC(8))*2,2)),1920),7),2)</f>
        <v>02</v>
      </c>
      <c r="O418" t="str">
        <f>DEC2HEX(_xlfn.BITRSHIFT(HEX2DEC(MID('paste from garc here'!$C$1,1+(('table for research'!$B418-1)*36+HEX2DEC(9))*2,2)&amp;MID('paste from garc here'!$C$1,1+(('table for research'!$B418-1)*36+HEX2DEC(8))*2,2)),11),2)</f>
        <v>00</v>
      </c>
      <c r="P418" t="str">
        <f>MID('paste from garc here'!$C$1,1+(('table for research'!$B418-1)*36+HEX2DEC('table for research'!P$1))*2,2)</f>
        <v>02</v>
      </c>
      <c r="Q418" t="str">
        <f>MID('paste from garc here'!$C$1,1+(('table for research'!$B418-1)*36+HEX2DEC('table for research'!Q$1))*2,2)</f>
        <v>00</v>
      </c>
      <c r="R418" t="str">
        <f>MID('paste from garc here'!$C$1,1+(('table for research'!$B418-1)*36+HEX2DEC('table for research'!R$1))*2,2)</f>
        <v>00</v>
      </c>
      <c r="S418" t="str">
        <f>MID('paste from garc here'!$C$1,1+(('table for research'!$B418-1)*36+HEX2DEC('table for research'!S$1))*2,2)</f>
        <v>06</v>
      </c>
      <c r="T418" t="str">
        <f>MID('paste from garc here'!$C$1,1+(('table for research'!$B418-1)*36+HEX2DEC('table for research'!T$1))*2,2)</f>
        <v>00</v>
      </c>
      <c r="U418" t="str">
        <f>MID('paste from garc here'!$C$1,1+(('table for research'!$B418-1)*36+HEX2DEC('table for research'!U$1))*2,2)</f>
        <v>58</v>
      </c>
      <c r="V418" t="str">
        <f>MID('paste from garc here'!$C$1,1+(('table for research'!$B418-1)*36+HEX2DEC('table for research'!V$1))*2,2)</f>
        <v>00</v>
      </c>
      <c r="W418" t="str">
        <f>MID('paste from garc here'!$C$1,1+(('table for research'!$B418-1)*36+HEX2DEC('table for research'!W$1))*2,2)</f>
        <v>00</v>
      </c>
      <c r="X418" t="str">
        <f>MID('paste from garc here'!$C$1,1+(('table for research'!$B418-1)*36+HEX2DEC('table for research'!X$1))*2,2)</f>
        <v>00</v>
      </c>
      <c r="Y418" t="str">
        <f>MID('paste from garc here'!$C$1,1+(('table for research'!$B418-1)*36+HEX2DEC('table for research'!Y$1))*2,2)</f>
        <v>00</v>
      </c>
      <c r="Z418" t="str">
        <f>MID('paste from garc here'!$C$1,1+(('table for research'!$B418-1)*36+HEX2DEC('table for research'!Z$1))*2,2)</f>
        <v>00</v>
      </c>
      <c r="AA418" t="str">
        <f>MID('paste from garc here'!$C$1,1+(('table for research'!$B418-1)*36+HEX2DEC('table for research'!AA$1))*2,2)</f>
        <v>00</v>
      </c>
      <c r="AB418" t="str">
        <f>MID('paste from garc here'!$C$1,1+(('table for research'!$B418-1)*36+HEX2DEC('table for research'!AB$1))*2,2)</f>
        <v>00</v>
      </c>
      <c r="AC418" t="str">
        <f>MID('paste from garc here'!$C$1,1+(('table for research'!$B418-1)*36+HEX2DEC('table for research'!AC$1))*2,2)</f>
        <v>00</v>
      </c>
      <c r="AD418" t="str">
        <f>MID('paste from garc here'!$C$1,1+(('table for research'!$B418-1)*36+HEX2DEC('table for research'!AD$1))*2,2)</f>
        <v>00</v>
      </c>
      <c r="AE418" t="str">
        <f>MID('paste from garc here'!$C$1,1+(('table for research'!$B418-1)*36+HEX2DEC('table for research'!AE$1))*2,2)</f>
        <v>00</v>
      </c>
      <c r="AF418" t="str">
        <f>MID('paste from garc here'!$C$1,1+(('table for research'!$B418-1)*36+HEX2DEC('table for research'!AF$1))*2,2)</f>
        <v>00</v>
      </c>
      <c r="AG418" t="str">
        <f>MID('paste from garc here'!$C$1,1+(('table for research'!$B418-1)*36+HEX2DEC('table for research'!AG$1))*2,2)</f>
        <v>00</v>
      </c>
      <c r="AH418" t="str">
        <f>MID('paste from garc here'!$C$1,1+(('table for research'!$B418-1)*36+HEX2DEC('table for research'!AH$1))*2,2)</f>
        <v>00</v>
      </c>
      <c r="AI418" t="str">
        <f>MID('paste from garc here'!$C$1,1+(('table for research'!$B418-1)*36+HEX2DEC('table for research'!AI$1))*2,2)</f>
        <v>00</v>
      </c>
      <c r="AJ418" t="str">
        <f>MID('paste from garc here'!$C$1,1+(('table for research'!$B418-1)*36+HEX2DEC('table for research'!AJ$1))*2,2)</f>
        <v>00</v>
      </c>
      <c r="AK418" t="str">
        <f>MID('paste from garc here'!$C$1,1+(('table for research'!$B418-1)*36+HEX2DEC('table for research'!AK$1))*2,2)</f>
        <v>00</v>
      </c>
      <c r="AL418" t="str">
        <f>MID('paste from garc here'!$C$1,1+(('table for research'!$B418-1)*36+HEX2DEC('table for research'!AL$1))*2,2)</f>
        <v>00</v>
      </c>
      <c r="AM418" t="str">
        <f>MID('paste from garc here'!$C$1,1+(('table for research'!$B418-1)*36+HEX2DEC('table for research'!AM$1))*2,2)</f>
        <v>00</v>
      </c>
      <c r="AN418" t="str">
        <f>MID('paste from garc here'!$C$1,1+(('table for research'!$B418-1)*36+HEX2DEC('table for research'!AN$1))*2,2)</f>
        <v>00</v>
      </c>
      <c r="AO418" t="str">
        <f>MID('paste from garc here'!$C$1,1+(('table for research'!$B418-1)*36+HEX2DEC('table for research'!AO$1))*2,2)</f>
        <v>00</v>
      </c>
    </row>
    <row r="419" spans="1:41" x14ac:dyDescent="0.4">
      <c r="A419" t="s">
        <v>422</v>
      </c>
      <c r="B419">
        <f>B418+1</f>
        <v>417</v>
      </c>
      <c r="C419" t="str">
        <f>MID('paste from garc here'!$C$1,1+(('table for research'!$B419-1)*36+HEX2DEC('table for research'!C$1))*2,2)</f>
        <v>E8</v>
      </c>
      <c r="D419" t="str">
        <f>MID('paste from garc here'!$C$1,1+(('table for research'!$B419-1)*36+HEX2DEC('table for research'!D$1))*2,2)</f>
        <v>03</v>
      </c>
      <c r="E419" t="str">
        <f>MID('paste from garc here'!$C$1,1+(('table for research'!$B419-1)*36+HEX2DEC('table for research'!E$1))*2,2)</f>
        <v>00</v>
      </c>
      <c r="F419" t="str">
        <f>MID('paste from garc here'!$C$1,1+(('table for research'!$B419-1)*36+HEX2DEC('table for research'!F$1))*2,2)</f>
        <v>00</v>
      </c>
      <c r="G419" t="str">
        <f>MID('paste from garc here'!$C$1,1+(('table for research'!$B419-1)*36+HEX2DEC('table for research'!G$1))*2,2)</f>
        <v>00</v>
      </c>
      <c r="H419" t="str">
        <f>MID('paste from garc here'!$C$1,1+(('table for research'!$B419-1)*36+HEX2DEC('table for research'!H$1))*2,2)</f>
        <v>00</v>
      </c>
      <c r="I419" t="str">
        <f>MID('paste from garc here'!$C$1,1+(('table for research'!$B419-1)*36+HEX2DEC('table for research'!I$1))*2,2)</f>
        <v>00</v>
      </c>
      <c r="J419" t="str">
        <f>MID('paste from garc here'!$C$1,1+(('table for research'!$B419-1)*36+HEX2DEC('table for research'!J$1))*2,2)</f>
        <v>00</v>
      </c>
      <c r="K419" t="str">
        <f>DEC2HEX(_xlfn.BITAND(HEX2DEC(MID('paste from garc here'!$C$1,1+(('table for research'!$B419-1)*36+HEX2DEC(8))*2,2)),31),2)</f>
        <v>1F</v>
      </c>
      <c r="L419" t="str">
        <f>DEC2HEX(_xlfn.BITAND(HEX2DEC(MID('paste from garc here'!$C$1,1+(('table for research'!$B419-1)*36+HEX2DEC(8))*2,2)),32),2)</f>
        <v>20</v>
      </c>
      <c r="M419" t="str">
        <f>DEC2HEX(_xlfn.BITAND(HEX2DEC(MID('paste from garc here'!$C$1,1+(('table for research'!$B419-1)*36+HEX2DEC(8))*2,2)),64),2)</f>
        <v>00</v>
      </c>
      <c r="N419" t="str">
        <f>DEC2HEX(_xlfn.BITRSHIFT(_xlfn.BITAND(HEX2DEC(MID('paste from garc here'!$C$1,1+(('table for research'!$B419-1)*36+HEX2DEC(9))*2,2)&amp;MID('paste from garc here'!$C$1,1+(('table for research'!$B419-1)*36+HEX2DEC(8))*2,2)),1920),7),2)</f>
        <v>02</v>
      </c>
      <c r="O419" t="str">
        <f>DEC2HEX(_xlfn.BITRSHIFT(HEX2DEC(MID('paste from garc here'!$C$1,1+(('table for research'!$B419-1)*36+HEX2DEC(9))*2,2)&amp;MID('paste from garc here'!$C$1,1+(('table for research'!$B419-1)*36+HEX2DEC(8))*2,2)),11),2)</f>
        <v>00</v>
      </c>
      <c r="P419" t="str">
        <f>MID('paste from garc here'!$C$1,1+(('table for research'!$B419-1)*36+HEX2DEC('table for research'!P$1))*2,2)</f>
        <v>02</v>
      </c>
      <c r="Q419" t="str">
        <f>MID('paste from garc here'!$C$1,1+(('table for research'!$B419-1)*36+HEX2DEC('table for research'!Q$1))*2,2)</f>
        <v>00</v>
      </c>
      <c r="R419" t="str">
        <f>MID('paste from garc here'!$C$1,1+(('table for research'!$B419-1)*36+HEX2DEC('table for research'!R$1))*2,2)</f>
        <v>00</v>
      </c>
      <c r="S419" t="str">
        <f>MID('paste from garc here'!$C$1,1+(('table for research'!$B419-1)*36+HEX2DEC('table for research'!S$1))*2,2)</f>
        <v>06</v>
      </c>
      <c r="T419" t="str">
        <f>MID('paste from garc here'!$C$1,1+(('table for research'!$B419-1)*36+HEX2DEC('table for research'!T$1))*2,2)</f>
        <v>00</v>
      </c>
      <c r="U419" t="str">
        <f>MID('paste from garc here'!$C$1,1+(('table for research'!$B419-1)*36+HEX2DEC('table for research'!U$1))*2,2)</f>
        <v>59</v>
      </c>
      <c r="V419" t="str">
        <f>MID('paste from garc here'!$C$1,1+(('table for research'!$B419-1)*36+HEX2DEC('table for research'!V$1))*2,2)</f>
        <v>00</v>
      </c>
      <c r="W419" t="str">
        <f>MID('paste from garc here'!$C$1,1+(('table for research'!$B419-1)*36+HEX2DEC('table for research'!W$1))*2,2)</f>
        <v>00</v>
      </c>
      <c r="X419" t="str">
        <f>MID('paste from garc here'!$C$1,1+(('table for research'!$B419-1)*36+HEX2DEC('table for research'!X$1))*2,2)</f>
        <v>00</v>
      </c>
      <c r="Y419" t="str">
        <f>MID('paste from garc here'!$C$1,1+(('table for research'!$B419-1)*36+HEX2DEC('table for research'!Y$1))*2,2)</f>
        <v>00</v>
      </c>
      <c r="Z419" t="str">
        <f>MID('paste from garc here'!$C$1,1+(('table for research'!$B419-1)*36+HEX2DEC('table for research'!Z$1))*2,2)</f>
        <v>00</v>
      </c>
      <c r="AA419" t="str">
        <f>MID('paste from garc here'!$C$1,1+(('table for research'!$B419-1)*36+HEX2DEC('table for research'!AA$1))*2,2)</f>
        <v>00</v>
      </c>
      <c r="AB419" t="str">
        <f>MID('paste from garc here'!$C$1,1+(('table for research'!$B419-1)*36+HEX2DEC('table for research'!AB$1))*2,2)</f>
        <v>00</v>
      </c>
      <c r="AC419" t="str">
        <f>MID('paste from garc here'!$C$1,1+(('table for research'!$B419-1)*36+HEX2DEC('table for research'!AC$1))*2,2)</f>
        <v>00</v>
      </c>
      <c r="AD419" t="str">
        <f>MID('paste from garc here'!$C$1,1+(('table for research'!$B419-1)*36+HEX2DEC('table for research'!AD$1))*2,2)</f>
        <v>00</v>
      </c>
      <c r="AE419" t="str">
        <f>MID('paste from garc here'!$C$1,1+(('table for research'!$B419-1)*36+HEX2DEC('table for research'!AE$1))*2,2)</f>
        <v>00</v>
      </c>
      <c r="AF419" t="str">
        <f>MID('paste from garc here'!$C$1,1+(('table for research'!$B419-1)*36+HEX2DEC('table for research'!AF$1))*2,2)</f>
        <v>00</v>
      </c>
      <c r="AG419" t="str">
        <f>MID('paste from garc here'!$C$1,1+(('table for research'!$B419-1)*36+HEX2DEC('table for research'!AG$1))*2,2)</f>
        <v>00</v>
      </c>
      <c r="AH419" t="str">
        <f>MID('paste from garc here'!$C$1,1+(('table for research'!$B419-1)*36+HEX2DEC('table for research'!AH$1))*2,2)</f>
        <v>00</v>
      </c>
      <c r="AI419" t="str">
        <f>MID('paste from garc here'!$C$1,1+(('table for research'!$B419-1)*36+HEX2DEC('table for research'!AI$1))*2,2)</f>
        <v>00</v>
      </c>
      <c r="AJ419" t="str">
        <f>MID('paste from garc here'!$C$1,1+(('table for research'!$B419-1)*36+HEX2DEC('table for research'!AJ$1))*2,2)</f>
        <v>00</v>
      </c>
      <c r="AK419" t="str">
        <f>MID('paste from garc here'!$C$1,1+(('table for research'!$B419-1)*36+HEX2DEC('table for research'!AK$1))*2,2)</f>
        <v>00</v>
      </c>
      <c r="AL419" t="str">
        <f>MID('paste from garc here'!$C$1,1+(('table for research'!$B419-1)*36+HEX2DEC('table for research'!AL$1))*2,2)</f>
        <v>00</v>
      </c>
      <c r="AM419" t="str">
        <f>MID('paste from garc here'!$C$1,1+(('table for research'!$B419-1)*36+HEX2DEC('table for research'!AM$1))*2,2)</f>
        <v>00</v>
      </c>
      <c r="AN419" t="str">
        <f>MID('paste from garc here'!$C$1,1+(('table for research'!$B419-1)*36+HEX2DEC('table for research'!AN$1))*2,2)</f>
        <v>00</v>
      </c>
      <c r="AO419" t="str">
        <f>MID('paste from garc here'!$C$1,1+(('table for research'!$B419-1)*36+HEX2DEC('table for research'!AO$1))*2,2)</f>
        <v>00</v>
      </c>
    </row>
    <row r="420" spans="1:41" x14ac:dyDescent="0.4">
      <c r="A420" t="s">
        <v>423</v>
      </c>
      <c r="B420">
        <f>B419+1</f>
        <v>418</v>
      </c>
      <c r="C420" t="str">
        <f>MID('paste from garc here'!$C$1,1+(('table for research'!$B420-1)*36+HEX2DEC('table for research'!C$1))*2,2)</f>
        <v>C4</v>
      </c>
      <c r="D420" t="str">
        <f>MID('paste from garc here'!$C$1,1+(('table for research'!$B420-1)*36+HEX2DEC('table for research'!D$1))*2,2)</f>
        <v>09</v>
      </c>
      <c r="E420" t="str">
        <f>MID('paste from garc here'!$C$1,1+(('table for research'!$B420-1)*36+HEX2DEC('table for research'!E$1))*2,2)</f>
        <v>00</v>
      </c>
      <c r="F420" t="str">
        <f>MID('paste from garc here'!$C$1,1+(('table for research'!$B420-1)*36+HEX2DEC('table for research'!F$1))*2,2)</f>
        <v>00</v>
      </c>
      <c r="G420" t="str">
        <f>MID('paste from garc here'!$C$1,1+(('table for research'!$B420-1)*36+HEX2DEC('table for research'!G$1))*2,2)</f>
        <v>00</v>
      </c>
      <c r="H420" t="str">
        <f>MID('paste from garc here'!$C$1,1+(('table for research'!$B420-1)*36+HEX2DEC('table for research'!H$1))*2,2)</f>
        <v>00</v>
      </c>
      <c r="I420" t="str">
        <f>MID('paste from garc here'!$C$1,1+(('table for research'!$B420-1)*36+HEX2DEC('table for research'!I$1))*2,2)</f>
        <v>00</v>
      </c>
      <c r="J420" t="str">
        <f>MID('paste from garc here'!$C$1,1+(('table for research'!$B420-1)*36+HEX2DEC('table for research'!J$1))*2,2)</f>
        <v>00</v>
      </c>
      <c r="K420" t="str">
        <f>DEC2HEX(_xlfn.BITAND(HEX2DEC(MID('paste from garc here'!$C$1,1+(('table for research'!$B420-1)*36+HEX2DEC(8))*2,2)),31),2)</f>
        <v>1F</v>
      </c>
      <c r="L420" t="str">
        <f>DEC2HEX(_xlfn.BITAND(HEX2DEC(MID('paste from garc here'!$C$1,1+(('table for research'!$B420-1)*36+HEX2DEC(8))*2,2)),32),2)</f>
        <v>20</v>
      </c>
      <c r="M420" t="str">
        <f>DEC2HEX(_xlfn.BITAND(HEX2DEC(MID('paste from garc here'!$C$1,1+(('table for research'!$B420-1)*36+HEX2DEC(8))*2,2)),64),2)</f>
        <v>00</v>
      </c>
      <c r="N420" t="str">
        <f>DEC2HEX(_xlfn.BITRSHIFT(_xlfn.BITAND(HEX2DEC(MID('paste from garc here'!$C$1,1+(('table for research'!$B420-1)*36+HEX2DEC(9))*2,2)&amp;MID('paste from garc here'!$C$1,1+(('table for research'!$B420-1)*36+HEX2DEC(8))*2,2)),1920),7),2)</f>
        <v>02</v>
      </c>
      <c r="O420" t="str">
        <f>DEC2HEX(_xlfn.BITRSHIFT(HEX2DEC(MID('paste from garc here'!$C$1,1+(('table for research'!$B420-1)*36+HEX2DEC(9))*2,2)&amp;MID('paste from garc here'!$C$1,1+(('table for research'!$B420-1)*36+HEX2DEC(8))*2,2)),11),2)</f>
        <v>00</v>
      </c>
      <c r="P420" t="str">
        <f>MID('paste from garc here'!$C$1,1+(('table for research'!$B420-1)*36+HEX2DEC('table for research'!P$1))*2,2)</f>
        <v>02</v>
      </c>
      <c r="Q420" t="str">
        <f>MID('paste from garc here'!$C$1,1+(('table for research'!$B420-1)*36+HEX2DEC('table for research'!Q$1))*2,2)</f>
        <v>00</v>
      </c>
      <c r="R420" t="str">
        <f>MID('paste from garc here'!$C$1,1+(('table for research'!$B420-1)*36+HEX2DEC('table for research'!R$1))*2,2)</f>
        <v>00</v>
      </c>
      <c r="S420" t="str">
        <f>MID('paste from garc here'!$C$1,1+(('table for research'!$B420-1)*36+HEX2DEC('table for research'!S$1))*2,2)</f>
        <v>06</v>
      </c>
      <c r="T420" t="str">
        <f>MID('paste from garc here'!$C$1,1+(('table for research'!$B420-1)*36+HEX2DEC('table for research'!T$1))*2,2)</f>
        <v>00</v>
      </c>
      <c r="U420" t="str">
        <f>MID('paste from garc here'!$C$1,1+(('table for research'!$B420-1)*36+HEX2DEC('table for research'!U$1))*2,2)</f>
        <v>5A</v>
      </c>
      <c r="V420" t="str">
        <f>MID('paste from garc here'!$C$1,1+(('table for research'!$B420-1)*36+HEX2DEC('table for research'!V$1))*2,2)</f>
        <v>00</v>
      </c>
      <c r="W420" t="str">
        <f>MID('paste from garc here'!$C$1,1+(('table for research'!$B420-1)*36+HEX2DEC('table for research'!W$1))*2,2)</f>
        <v>00</v>
      </c>
      <c r="X420" t="str">
        <f>MID('paste from garc here'!$C$1,1+(('table for research'!$B420-1)*36+HEX2DEC('table for research'!X$1))*2,2)</f>
        <v>00</v>
      </c>
      <c r="Y420" t="str">
        <f>MID('paste from garc here'!$C$1,1+(('table for research'!$B420-1)*36+HEX2DEC('table for research'!Y$1))*2,2)</f>
        <v>00</v>
      </c>
      <c r="Z420" t="str">
        <f>MID('paste from garc here'!$C$1,1+(('table for research'!$B420-1)*36+HEX2DEC('table for research'!Z$1))*2,2)</f>
        <v>00</v>
      </c>
      <c r="AA420" t="str">
        <f>MID('paste from garc here'!$C$1,1+(('table for research'!$B420-1)*36+HEX2DEC('table for research'!AA$1))*2,2)</f>
        <v>00</v>
      </c>
      <c r="AB420" t="str">
        <f>MID('paste from garc here'!$C$1,1+(('table for research'!$B420-1)*36+HEX2DEC('table for research'!AB$1))*2,2)</f>
        <v>00</v>
      </c>
      <c r="AC420" t="str">
        <f>MID('paste from garc here'!$C$1,1+(('table for research'!$B420-1)*36+HEX2DEC('table for research'!AC$1))*2,2)</f>
        <v>00</v>
      </c>
      <c r="AD420" t="str">
        <f>MID('paste from garc here'!$C$1,1+(('table for research'!$B420-1)*36+HEX2DEC('table for research'!AD$1))*2,2)</f>
        <v>00</v>
      </c>
      <c r="AE420" t="str">
        <f>MID('paste from garc here'!$C$1,1+(('table for research'!$B420-1)*36+HEX2DEC('table for research'!AE$1))*2,2)</f>
        <v>00</v>
      </c>
      <c r="AF420" t="str">
        <f>MID('paste from garc here'!$C$1,1+(('table for research'!$B420-1)*36+HEX2DEC('table for research'!AF$1))*2,2)</f>
        <v>00</v>
      </c>
      <c r="AG420" t="str">
        <f>MID('paste from garc here'!$C$1,1+(('table for research'!$B420-1)*36+HEX2DEC('table for research'!AG$1))*2,2)</f>
        <v>00</v>
      </c>
      <c r="AH420" t="str">
        <f>MID('paste from garc here'!$C$1,1+(('table for research'!$B420-1)*36+HEX2DEC('table for research'!AH$1))*2,2)</f>
        <v>00</v>
      </c>
      <c r="AI420" t="str">
        <f>MID('paste from garc here'!$C$1,1+(('table for research'!$B420-1)*36+HEX2DEC('table for research'!AI$1))*2,2)</f>
        <v>00</v>
      </c>
      <c r="AJ420" t="str">
        <f>MID('paste from garc here'!$C$1,1+(('table for research'!$B420-1)*36+HEX2DEC('table for research'!AJ$1))*2,2)</f>
        <v>00</v>
      </c>
      <c r="AK420" t="str">
        <f>MID('paste from garc here'!$C$1,1+(('table for research'!$B420-1)*36+HEX2DEC('table for research'!AK$1))*2,2)</f>
        <v>00</v>
      </c>
      <c r="AL420" t="str">
        <f>MID('paste from garc here'!$C$1,1+(('table for research'!$B420-1)*36+HEX2DEC('table for research'!AL$1))*2,2)</f>
        <v>00</v>
      </c>
      <c r="AM420" t="str">
        <f>MID('paste from garc here'!$C$1,1+(('table for research'!$B420-1)*36+HEX2DEC('table for research'!AM$1))*2,2)</f>
        <v>00</v>
      </c>
      <c r="AN420" t="str">
        <f>MID('paste from garc here'!$C$1,1+(('table for research'!$B420-1)*36+HEX2DEC('table for research'!AN$1))*2,2)</f>
        <v>00</v>
      </c>
      <c r="AO420" t="str">
        <f>MID('paste from garc here'!$C$1,1+(('table for research'!$B420-1)*36+HEX2DEC('table for research'!AO$1))*2,2)</f>
        <v>00</v>
      </c>
    </row>
    <row r="421" spans="1:41" x14ac:dyDescent="0.4">
      <c r="A421" t="s">
        <v>424</v>
      </c>
      <c r="B421">
        <f>B420+1</f>
        <v>419</v>
      </c>
      <c r="C421" t="str">
        <f>MID('paste from garc here'!$C$1,1+(('table for research'!$B421-1)*36+HEX2DEC('table for research'!C$1))*2,2)</f>
        <v>C4</v>
      </c>
      <c r="D421" t="str">
        <f>MID('paste from garc here'!$C$1,1+(('table for research'!$B421-1)*36+HEX2DEC('table for research'!D$1))*2,2)</f>
        <v>09</v>
      </c>
      <c r="E421" t="str">
        <f>MID('paste from garc here'!$C$1,1+(('table for research'!$B421-1)*36+HEX2DEC('table for research'!E$1))*2,2)</f>
        <v>00</v>
      </c>
      <c r="F421" t="str">
        <f>MID('paste from garc here'!$C$1,1+(('table for research'!$B421-1)*36+HEX2DEC('table for research'!F$1))*2,2)</f>
        <v>00</v>
      </c>
      <c r="G421" t="str">
        <f>MID('paste from garc here'!$C$1,1+(('table for research'!$B421-1)*36+HEX2DEC('table for research'!G$1))*2,2)</f>
        <v>00</v>
      </c>
      <c r="H421" t="str">
        <f>MID('paste from garc here'!$C$1,1+(('table for research'!$B421-1)*36+HEX2DEC('table for research'!H$1))*2,2)</f>
        <v>00</v>
      </c>
      <c r="I421" t="str">
        <f>MID('paste from garc here'!$C$1,1+(('table for research'!$B421-1)*36+HEX2DEC('table for research'!I$1))*2,2)</f>
        <v>00</v>
      </c>
      <c r="J421" t="str">
        <f>MID('paste from garc here'!$C$1,1+(('table for research'!$B421-1)*36+HEX2DEC('table for research'!J$1))*2,2)</f>
        <v>00</v>
      </c>
      <c r="K421" t="str">
        <f>DEC2HEX(_xlfn.BITAND(HEX2DEC(MID('paste from garc here'!$C$1,1+(('table for research'!$B421-1)*36+HEX2DEC(8))*2,2)),31),2)</f>
        <v>1F</v>
      </c>
      <c r="L421" t="str">
        <f>DEC2HEX(_xlfn.BITAND(HEX2DEC(MID('paste from garc here'!$C$1,1+(('table for research'!$B421-1)*36+HEX2DEC(8))*2,2)),32),2)</f>
        <v>20</v>
      </c>
      <c r="M421" t="str">
        <f>DEC2HEX(_xlfn.BITAND(HEX2DEC(MID('paste from garc here'!$C$1,1+(('table for research'!$B421-1)*36+HEX2DEC(8))*2,2)),64),2)</f>
        <v>00</v>
      </c>
      <c r="N421" t="str">
        <f>DEC2HEX(_xlfn.BITRSHIFT(_xlfn.BITAND(HEX2DEC(MID('paste from garc here'!$C$1,1+(('table for research'!$B421-1)*36+HEX2DEC(9))*2,2)&amp;MID('paste from garc here'!$C$1,1+(('table for research'!$B421-1)*36+HEX2DEC(8))*2,2)),1920),7),2)</f>
        <v>02</v>
      </c>
      <c r="O421" t="str">
        <f>DEC2HEX(_xlfn.BITRSHIFT(HEX2DEC(MID('paste from garc here'!$C$1,1+(('table for research'!$B421-1)*36+HEX2DEC(9))*2,2)&amp;MID('paste from garc here'!$C$1,1+(('table for research'!$B421-1)*36+HEX2DEC(8))*2,2)),11),2)</f>
        <v>00</v>
      </c>
      <c r="P421" t="str">
        <f>MID('paste from garc here'!$C$1,1+(('table for research'!$B421-1)*36+HEX2DEC('table for research'!P$1))*2,2)</f>
        <v>02</v>
      </c>
      <c r="Q421" t="str">
        <f>MID('paste from garc here'!$C$1,1+(('table for research'!$B421-1)*36+HEX2DEC('table for research'!Q$1))*2,2)</f>
        <v>00</v>
      </c>
      <c r="R421" t="str">
        <f>MID('paste from garc here'!$C$1,1+(('table for research'!$B421-1)*36+HEX2DEC('table for research'!R$1))*2,2)</f>
        <v>00</v>
      </c>
      <c r="S421" t="str">
        <f>MID('paste from garc here'!$C$1,1+(('table for research'!$B421-1)*36+HEX2DEC('table for research'!S$1))*2,2)</f>
        <v>06</v>
      </c>
      <c r="T421" t="str">
        <f>MID('paste from garc here'!$C$1,1+(('table for research'!$B421-1)*36+HEX2DEC('table for research'!T$1))*2,2)</f>
        <v>00</v>
      </c>
      <c r="U421" t="str">
        <f>MID('paste from garc here'!$C$1,1+(('table for research'!$B421-1)*36+HEX2DEC('table for research'!U$1))*2,2)</f>
        <v>5B</v>
      </c>
      <c r="V421" t="str">
        <f>MID('paste from garc here'!$C$1,1+(('table for research'!$B421-1)*36+HEX2DEC('table for research'!V$1))*2,2)</f>
        <v>00</v>
      </c>
      <c r="W421" t="str">
        <f>MID('paste from garc here'!$C$1,1+(('table for research'!$B421-1)*36+HEX2DEC('table for research'!W$1))*2,2)</f>
        <v>00</v>
      </c>
      <c r="X421" t="str">
        <f>MID('paste from garc here'!$C$1,1+(('table for research'!$B421-1)*36+HEX2DEC('table for research'!X$1))*2,2)</f>
        <v>00</v>
      </c>
      <c r="Y421" t="str">
        <f>MID('paste from garc here'!$C$1,1+(('table for research'!$B421-1)*36+HEX2DEC('table for research'!Y$1))*2,2)</f>
        <v>00</v>
      </c>
      <c r="Z421" t="str">
        <f>MID('paste from garc here'!$C$1,1+(('table for research'!$B421-1)*36+HEX2DEC('table for research'!Z$1))*2,2)</f>
        <v>00</v>
      </c>
      <c r="AA421" t="str">
        <f>MID('paste from garc here'!$C$1,1+(('table for research'!$B421-1)*36+HEX2DEC('table for research'!AA$1))*2,2)</f>
        <v>00</v>
      </c>
      <c r="AB421" t="str">
        <f>MID('paste from garc here'!$C$1,1+(('table for research'!$B421-1)*36+HEX2DEC('table for research'!AB$1))*2,2)</f>
        <v>00</v>
      </c>
      <c r="AC421" t="str">
        <f>MID('paste from garc here'!$C$1,1+(('table for research'!$B421-1)*36+HEX2DEC('table for research'!AC$1))*2,2)</f>
        <v>00</v>
      </c>
      <c r="AD421" t="str">
        <f>MID('paste from garc here'!$C$1,1+(('table for research'!$B421-1)*36+HEX2DEC('table for research'!AD$1))*2,2)</f>
        <v>00</v>
      </c>
      <c r="AE421" t="str">
        <f>MID('paste from garc here'!$C$1,1+(('table for research'!$B421-1)*36+HEX2DEC('table for research'!AE$1))*2,2)</f>
        <v>00</v>
      </c>
      <c r="AF421" t="str">
        <f>MID('paste from garc here'!$C$1,1+(('table for research'!$B421-1)*36+HEX2DEC('table for research'!AF$1))*2,2)</f>
        <v>00</v>
      </c>
      <c r="AG421" t="str">
        <f>MID('paste from garc here'!$C$1,1+(('table for research'!$B421-1)*36+HEX2DEC('table for research'!AG$1))*2,2)</f>
        <v>00</v>
      </c>
      <c r="AH421" t="str">
        <f>MID('paste from garc here'!$C$1,1+(('table for research'!$B421-1)*36+HEX2DEC('table for research'!AH$1))*2,2)</f>
        <v>00</v>
      </c>
      <c r="AI421" t="str">
        <f>MID('paste from garc here'!$C$1,1+(('table for research'!$B421-1)*36+HEX2DEC('table for research'!AI$1))*2,2)</f>
        <v>00</v>
      </c>
      <c r="AJ421" t="str">
        <f>MID('paste from garc here'!$C$1,1+(('table for research'!$B421-1)*36+HEX2DEC('table for research'!AJ$1))*2,2)</f>
        <v>00</v>
      </c>
      <c r="AK421" t="str">
        <f>MID('paste from garc here'!$C$1,1+(('table for research'!$B421-1)*36+HEX2DEC('table for research'!AK$1))*2,2)</f>
        <v>00</v>
      </c>
      <c r="AL421" t="str">
        <f>MID('paste from garc here'!$C$1,1+(('table for research'!$B421-1)*36+HEX2DEC('table for research'!AL$1))*2,2)</f>
        <v>00</v>
      </c>
      <c r="AM421" t="str">
        <f>MID('paste from garc here'!$C$1,1+(('table for research'!$B421-1)*36+HEX2DEC('table for research'!AM$1))*2,2)</f>
        <v>00</v>
      </c>
      <c r="AN421" t="str">
        <f>MID('paste from garc here'!$C$1,1+(('table for research'!$B421-1)*36+HEX2DEC('table for research'!AN$1))*2,2)</f>
        <v>00</v>
      </c>
      <c r="AO421" t="str">
        <f>MID('paste from garc here'!$C$1,1+(('table for research'!$B421-1)*36+HEX2DEC('table for research'!AO$1))*2,2)</f>
        <v>00</v>
      </c>
    </row>
    <row r="422" spans="1:41" x14ac:dyDescent="0.4">
      <c r="A422" t="s">
        <v>425</v>
      </c>
      <c r="B422">
        <f>B421+1</f>
        <v>420</v>
      </c>
      <c r="C422" t="str">
        <f>MID('paste from garc here'!$C$1,1+(('table for research'!$B422-1)*36+HEX2DEC('table for research'!C$1))*2,2)</f>
        <v>00</v>
      </c>
      <c r="D422" t="str">
        <f>MID('paste from garc here'!$C$1,1+(('table for research'!$B422-1)*36+HEX2DEC('table for research'!D$1))*2,2)</f>
        <v>00</v>
      </c>
      <c r="E422" t="str">
        <f>MID('paste from garc here'!$C$1,1+(('table for research'!$B422-1)*36+HEX2DEC('table for research'!E$1))*2,2)</f>
        <v>00</v>
      </c>
      <c r="F422" t="str">
        <f>MID('paste from garc here'!$C$1,1+(('table for research'!$B422-1)*36+HEX2DEC('table for research'!F$1))*2,2)</f>
        <v>00</v>
      </c>
      <c r="G422" t="str">
        <f>MID('paste from garc here'!$C$1,1+(('table for research'!$B422-1)*36+HEX2DEC('table for research'!G$1))*2,2)</f>
        <v>00</v>
      </c>
      <c r="H422" t="str">
        <f>MID('paste from garc here'!$C$1,1+(('table for research'!$B422-1)*36+HEX2DEC('table for research'!H$1))*2,2)</f>
        <v>00</v>
      </c>
      <c r="I422" t="str">
        <f>MID('paste from garc here'!$C$1,1+(('table for research'!$B422-1)*36+HEX2DEC('table for research'!I$1))*2,2)</f>
        <v>00</v>
      </c>
      <c r="J422" t="str">
        <f>MID('paste from garc here'!$C$1,1+(('table for research'!$B422-1)*36+HEX2DEC('table for research'!J$1))*2,2)</f>
        <v>00</v>
      </c>
      <c r="K422" t="str">
        <f>DEC2HEX(_xlfn.BITAND(HEX2DEC(MID('paste from garc here'!$C$1,1+(('table for research'!$B422-1)*36+HEX2DEC(8))*2,2)),31),2)</f>
        <v>1F</v>
      </c>
      <c r="L422" t="str">
        <f>DEC2HEX(_xlfn.BITAND(HEX2DEC(MID('paste from garc here'!$C$1,1+(('table for research'!$B422-1)*36+HEX2DEC(8))*2,2)),32),2)</f>
        <v>20</v>
      </c>
      <c r="M422" t="str">
        <f>DEC2HEX(_xlfn.BITAND(HEX2DEC(MID('paste from garc here'!$C$1,1+(('table for research'!$B422-1)*36+HEX2DEC(8))*2,2)),64),2)</f>
        <v>00</v>
      </c>
      <c r="N422" t="str">
        <f>DEC2HEX(_xlfn.BITRSHIFT(_xlfn.BITAND(HEX2DEC(MID('paste from garc here'!$C$1,1+(('table for research'!$B422-1)*36+HEX2DEC(9))*2,2)&amp;MID('paste from garc here'!$C$1,1+(('table for research'!$B422-1)*36+HEX2DEC(8))*2,2)),1920),7),2)</f>
        <v>02</v>
      </c>
      <c r="O422" t="str">
        <f>DEC2HEX(_xlfn.BITRSHIFT(HEX2DEC(MID('paste from garc here'!$C$1,1+(('table for research'!$B422-1)*36+HEX2DEC(9))*2,2)&amp;MID('paste from garc here'!$C$1,1+(('table for research'!$B422-1)*36+HEX2DEC(8))*2,2)),11),2)</f>
        <v>00</v>
      </c>
      <c r="P422" t="str">
        <f>MID('paste from garc here'!$C$1,1+(('table for research'!$B422-1)*36+HEX2DEC('table for research'!P$1))*2,2)</f>
        <v>02</v>
      </c>
      <c r="Q422" t="str">
        <f>MID('paste from garc here'!$C$1,1+(('table for research'!$B422-1)*36+HEX2DEC('table for research'!Q$1))*2,2)</f>
        <v>00</v>
      </c>
      <c r="R422" t="str">
        <f>MID('paste from garc here'!$C$1,1+(('table for research'!$B422-1)*36+HEX2DEC('table for research'!R$1))*2,2)</f>
        <v>00</v>
      </c>
      <c r="S422" t="str">
        <f>MID('paste from garc here'!$C$1,1+(('table for research'!$B422-1)*36+HEX2DEC('table for research'!S$1))*2,2)</f>
        <v>06</v>
      </c>
      <c r="T422" t="str">
        <f>MID('paste from garc here'!$C$1,1+(('table for research'!$B422-1)*36+HEX2DEC('table for research'!T$1))*2,2)</f>
        <v>00</v>
      </c>
      <c r="U422" t="str">
        <f>MID('paste from garc here'!$C$1,1+(('table for research'!$B422-1)*36+HEX2DEC('table for research'!U$1))*2,2)</f>
        <v>64</v>
      </c>
      <c r="V422" t="str">
        <f>MID('paste from garc here'!$C$1,1+(('table for research'!$B422-1)*36+HEX2DEC('table for research'!V$1))*2,2)</f>
        <v>00</v>
      </c>
      <c r="W422" t="str">
        <f>MID('paste from garc here'!$C$1,1+(('table for research'!$B422-1)*36+HEX2DEC('table for research'!W$1))*2,2)</f>
        <v>00</v>
      </c>
      <c r="X422" t="str">
        <f>MID('paste from garc here'!$C$1,1+(('table for research'!$B422-1)*36+HEX2DEC('table for research'!X$1))*2,2)</f>
        <v>00</v>
      </c>
      <c r="Y422" t="str">
        <f>MID('paste from garc here'!$C$1,1+(('table for research'!$B422-1)*36+HEX2DEC('table for research'!Y$1))*2,2)</f>
        <v>00</v>
      </c>
      <c r="Z422" t="str">
        <f>MID('paste from garc here'!$C$1,1+(('table for research'!$B422-1)*36+HEX2DEC('table for research'!Z$1))*2,2)</f>
        <v>00</v>
      </c>
      <c r="AA422" t="str">
        <f>MID('paste from garc here'!$C$1,1+(('table for research'!$B422-1)*36+HEX2DEC('table for research'!AA$1))*2,2)</f>
        <v>00</v>
      </c>
      <c r="AB422" t="str">
        <f>MID('paste from garc here'!$C$1,1+(('table for research'!$B422-1)*36+HEX2DEC('table for research'!AB$1))*2,2)</f>
        <v>00</v>
      </c>
      <c r="AC422" t="str">
        <f>MID('paste from garc here'!$C$1,1+(('table for research'!$B422-1)*36+HEX2DEC('table for research'!AC$1))*2,2)</f>
        <v>00</v>
      </c>
      <c r="AD422" t="str">
        <f>MID('paste from garc here'!$C$1,1+(('table for research'!$B422-1)*36+HEX2DEC('table for research'!AD$1))*2,2)</f>
        <v>00</v>
      </c>
      <c r="AE422" t="str">
        <f>MID('paste from garc here'!$C$1,1+(('table for research'!$B422-1)*36+HEX2DEC('table for research'!AE$1))*2,2)</f>
        <v>00</v>
      </c>
      <c r="AF422" t="str">
        <f>MID('paste from garc here'!$C$1,1+(('table for research'!$B422-1)*36+HEX2DEC('table for research'!AF$1))*2,2)</f>
        <v>00</v>
      </c>
      <c r="AG422" t="str">
        <f>MID('paste from garc here'!$C$1,1+(('table for research'!$B422-1)*36+HEX2DEC('table for research'!AG$1))*2,2)</f>
        <v>00</v>
      </c>
      <c r="AH422" t="str">
        <f>MID('paste from garc here'!$C$1,1+(('table for research'!$B422-1)*36+HEX2DEC('table for research'!AH$1))*2,2)</f>
        <v>00</v>
      </c>
      <c r="AI422" t="str">
        <f>MID('paste from garc here'!$C$1,1+(('table for research'!$B422-1)*36+HEX2DEC('table for research'!AI$1))*2,2)</f>
        <v>00</v>
      </c>
      <c r="AJ422" t="str">
        <f>MID('paste from garc here'!$C$1,1+(('table for research'!$B422-1)*36+HEX2DEC('table for research'!AJ$1))*2,2)</f>
        <v>00</v>
      </c>
      <c r="AK422" t="str">
        <f>MID('paste from garc here'!$C$1,1+(('table for research'!$B422-1)*36+HEX2DEC('table for research'!AK$1))*2,2)</f>
        <v>00</v>
      </c>
      <c r="AL422" t="str">
        <f>MID('paste from garc here'!$C$1,1+(('table for research'!$B422-1)*36+HEX2DEC('table for research'!AL$1))*2,2)</f>
        <v>00</v>
      </c>
      <c r="AM422" t="str">
        <f>MID('paste from garc here'!$C$1,1+(('table for research'!$B422-1)*36+HEX2DEC('table for research'!AM$1))*2,2)</f>
        <v>00</v>
      </c>
      <c r="AN422" t="str">
        <f>MID('paste from garc here'!$C$1,1+(('table for research'!$B422-1)*36+HEX2DEC('table for research'!AN$1))*2,2)</f>
        <v>00</v>
      </c>
      <c r="AO422" t="str">
        <f>MID('paste from garc here'!$C$1,1+(('table for research'!$B422-1)*36+HEX2DEC('table for research'!AO$1))*2,2)</f>
        <v>00</v>
      </c>
    </row>
    <row r="423" spans="1:41" x14ac:dyDescent="0.4">
      <c r="A423" t="s">
        <v>426</v>
      </c>
      <c r="B423">
        <f>B422+1</f>
        <v>421</v>
      </c>
      <c r="C423" t="str">
        <f>MID('paste from garc here'!$C$1,1+(('table for research'!$B423-1)*36+HEX2DEC('table for research'!C$1))*2,2)</f>
        <v>00</v>
      </c>
      <c r="D423" t="str">
        <f>MID('paste from garc here'!$C$1,1+(('table for research'!$B423-1)*36+HEX2DEC('table for research'!D$1))*2,2)</f>
        <v>00</v>
      </c>
      <c r="E423" t="str">
        <f>MID('paste from garc here'!$C$1,1+(('table for research'!$B423-1)*36+HEX2DEC('table for research'!E$1))*2,2)</f>
        <v>00</v>
      </c>
      <c r="F423" t="str">
        <f>MID('paste from garc here'!$C$1,1+(('table for research'!$B423-1)*36+HEX2DEC('table for research'!F$1))*2,2)</f>
        <v>00</v>
      </c>
      <c r="G423" t="str">
        <f>MID('paste from garc here'!$C$1,1+(('table for research'!$B423-1)*36+HEX2DEC('table for research'!G$1))*2,2)</f>
        <v>00</v>
      </c>
      <c r="H423" t="str">
        <f>MID('paste from garc here'!$C$1,1+(('table for research'!$B423-1)*36+HEX2DEC('table for research'!H$1))*2,2)</f>
        <v>00</v>
      </c>
      <c r="I423" t="str">
        <f>MID('paste from garc here'!$C$1,1+(('table for research'!$B423-1)*36+HEX2DEC('table for research'!I$1))*2,2)</f>
        <v>00</v>
      </c>
      <c r="J423" t="str">
        <f>MID('paste from garc here'!$C$1,1+(('table for research'!$B423-1)*36+HEX2DEC('table for research'!J$1))*2,2)</f>
        <v>00</v>
      </c>
      <c r="K423" t="str">
        <f>DEC2HEX(_xlfn.BITAND(HEX2DEC(MID('paste from garc here'!$C$1,1+(('table for research'!$B423-1)*36+HEX2DEC(8))*2,2)),31),2)</f>
        <v>1F</v>
      </c>
      <c r="L423" t="str">
        <f>DEC2HEX(_xlfn.BITAND(HEX2DEC(MID('paste from garc here'!$C$1,1+(('table for research'!$B423-1)*36+HEX2DEC(8))*2,2)),32),2)</f>
        <v>20</v>
      </c>
      <c r="M423" t="str">
        <f>DEC2HEX(_xlfn.BITAND(HEX2DEC(MID('paste from garc here'!$C$1,1+(('table for research'!$B423-1)*36+HEX2DEC(8))*2,2)),64),2)</f>
        <v>00</v>
      </c>
      <c r="N423" t="str">
        <f>DEC2HEX(_xlfn.BITRSHIFT(_xlfn.BITAND(HEX2DEC(MID('paste from garc here'!$C$1,1+(('table for research'!$B423-1)*36+HEX2DEC(9))*2,2)&amp;MID('paste from garc here'!$C$1,1+(('table for research'!$B423-1)*36+HEX2DEC(8))*2,2)),1920),7),2)</f>
        <v>02</v>
      </c>
      <c r="O423" t="str">
        <f>DEC2HEX(_xlfn.BITRSHIFT(HEX2DEC(MID('paste from garc here'!$C$1,1+(('table for research'!$B423-1)*36+HEX2DEC(9))*2,2)&amp;MID('paste from garc here'!$C$1,1+(('table for research'!$B423-1)*36+HEX2DEC(8))*2,2)),11),2)</f>
        <v>00</v>
      </c>
      <c r="P423" t="str">
        <f>MID('paste from garc here'!$C$1,1+(('table for research'!$B423-1)*36+HEX2DEC('table for research'!P$1))*2,2)</f>
        <v>02</v>
      </c>
      <c r="Q423" t="str">
        <f>MID('paste from garc here'!$C$1,1+(('table for research'!$B423-1)*36+HEX2DEC('table for research'!Q$1))*2,2)</f>
        <v>00</v>
      </c>
      <c r="R423" t="str">
        <f>MID('paste from garc here'!$C$1,1+(('table for research'!$B423-1)*36+HEX2DEC('table for research'!R$1))*2,2)</f>
        <v>00</v>
      </c>
      <c r="S423" t="str">
        <f>MID('paste from garc here'!$C$1,1+(('table for research'!$B423-1)*36+HEX2DEC('table for research'!S$1))*2,2)</f>
        <v>06</v>
      </c>
      <c r="T423" t="str">
        <f>MID('paste from garc here'!$C$1,1+(('table for research'!$B423-1)*36+HEX2DEC('table for research'!T$1))*2,2)</f>
        <v>00</v>
      </c>
      <c r="U423" t="str">
        <f>MID('paste from garc here'!$C$1,1+(('table for research'!$B423-1)*36+HEX2DEC('table for research'!U$1))*2,2)</f>
        <v>65</v>
      </c>
      <c r="V423" t="str">
        <f>MID('paste from garc here'!$C$1,1+(('table for research'!$B423-1)*36+HEX2DEC('table for research'!V$1))*2,2)</f>
        <v>00</v>
      </c>
      <c r="W423" t="str">
        <f>MID('paste from garc here'!$C$1,1+(('table for research'!$B423-1)*36+HEX2DEC('table for research'!W$1))*2,2)</f>
        <v>00</v>
      </c>
      <c r="X423" t="str">
        <f>MID('paste from garc here'!$C$1,1+(('table for research'!$B423-1)*36+HEX2DEC('table for research'!X$1))*2,2)</f>
        <v>00</v>
      </c>
      <c r="Y423" t="str">
        <f>MID('paste from garc here'!$C$1,1+(('table for research'!$B423-1)*36+HEX2DEC('table for research'!Y$1))*2,2)</f>
        <v>00</v>
      </c>
      <c r="Z423" t="str">
        <f>MID('paste from garc here'!$C$1,1+(('table for research'!$B423-1)*36+HEX2DEC('table for research'!Z$1))*2,2)</f>
        <v>00</v>
      </c>
      <c r="AA423" t="str">
        <f>MID('paste from garc here'!$C$1,1+(('table for research'!$B423-1)*36+HEX2DEC('table for research'!AA$1))*2,2)</f>
        <v>00</v>
      </c>
      <c r="AB423" t="str">
        <f>MID('paste from garc here'!$C$1,1+(('table for research'!$B423-1)*36+HEX2DEC('table for research'!AB$1))*2,2)</f>
        <v>00</v>
      </c>
      <c r="AC423" t="str">
        <f>MID('paste from garc here'!$C$1,1+(('table for research'!$B423-1)*36+HEX2DEC('table for research'!AC$1))*2,2)</f>
        <v>00</v>
      </c>
      <c r="AD423" t="str">
        <f>MID('paste from garc here'!$C$1,1+(('table for research'!$B423-1)*36+HEX2DEC('table for research'!AD$1))*2,2)</f>
        <v>00</v>
      </c>
      <c r="AE423" t="str">
        <f>MID('paste from garc here'!$C$1,1+(('table for research'!$B423-1)*36+HEX2DEC('table for research'!AE$1))*2,2)</f>
        <v>00</v>
      </c>
      <c r="AF423" t="str">
        <f>MID('paste from garc here'!$C$1,1+(('table for research'!$B423-1)*36+HEX2DEC('table for research'!AF$1))*2,2)</f>
        <v>00</v>
      </c>
      <c r="AG423" t="str">
        <f>MID('paste from garc here'!$C$1,1+(('table for research'!$B423-1)*36+HEX2DEC('table for research'!AG$1))*2,2)</f>
        <v>00</v>
      </c>
      <c r="AH423" t="str">
        <f>MID('paste from garc here'!$C$1,1+(('table for research'!$B423-1)*36+HEX2DEC('table for research'!AH$1))*2,2)</f>
        <v>00</v>
      </c>
      <c r="AI423" t="str">
        <f>MID('paste from garc here'!$C$1,1+(('table for research'!$B423-1)*36+HEX2DEC('table for research'!AI$1))*2,2)</f>
        <v>00</v>
      </c>
      <c r="AJ423" t="str">
        <f>MID('paste from garc here'!$C$1,1+(('table for research'!$B423-1)*36+HEX2DEC('table for research'!AJ$1))*2,2)</f>
        <v>00</v>
      </c>
      <c r="AK423" t="str">
        <f>MID('paste from garc here'!$C$1,1+(('table for research'!$B423-1)*36+HEX2DEC('table for research'!AK$1))*2,2)</f>
        <v>00</v>
      </c>
      <c r="AL423" t="str">
        <f>MID('paste from garc here'!$C$1,1+(('table for research'!$B423-1)*36+HEX2DEC('table for research'!AL$1))*2,2)</f>
        <v>00</v>
      </c>
      <c r="AM423" t="str">
        <f>MID('paste from garc here'!$C$1,1+(('table for research'!$B423-1)*36+HEX2DEC('table for research'!AM$1))*2,2)</f>
        <v>00</v>
      </c>
      <c r="AN423" t="str">
        <f>MID('paste from garc here'!$C$1,1+(('table for research'!$B423-1)*36+HEX2DEC('table for research'!AN$1))*2,2)</f>
        <v>00</v>
      </c>
      <c r="AO423" t="str">
        <f>MID('paste from garc here'!$C$1,1+(('table for research'!$B423-1)*36+HEX2DEC('table for research'!AO$1))*2,2)</f>
        <v>00</v>
      </c>
    </row>
    <row r="424" spans="1:41" x14ac:dyDescent="0.4">
      <c r="A424" t="s">
        <v>427</v>
      </c>
      <c r="B424">
        <f>B423+1</f>
        <v>422</v>
      </c>
      <c r="C424" t="str">
        <f>MID('paste from garc here'!$C$1,1+(('table for research'!$B424-1)*36+HEX2DEC('table for research'!C$1))*2,2)</f>
        <v>00</v>
      </c>
      <c r="D424" t="str">
        <f>MID('paste from garc here'!$C$1,1+(('table for research'!$B424-1)*36+HEX2DEC('table for research'!D$1))*2,2)</f>
        <v>00</v>
      </c>
      <c r="E424" t="str">
        <f>MID('paste from garc here'!$C$1,1+(('table for research'!$B424-1)*36+HEX2DEC('table for research'!E$1))*2,2)</f>
        <v>00</v>
      </c>
      <c r="F424" t="str">
        <f>MID('paste from garc here'!$C$1,1+(('table for research'!$B424-1)*36+HEX2DEC('table for research'!F$1))*2,2)</f>
        <v>00</v>
      </c>
      <c r="G424" t="str">
        <f>MID('paste from garc here'!$C$1,1+(('table for research'!$B424-1)*36+HEX2DEC('table for research'!G$1))*2,2)</f>
        <v>00</v>
      </c>
      <c r="H424" t="str">
        <f>MID('paste from garc here'!$C$1,1+(('table for research'!$B424-1)*36+HEX2DEC('table for research'!H$1))*2,2)</f>
        <v>00</v>
      </c>
      <c r="I424" t="str">
        <f>MID('paste from garc here'!$C$1,1+(('table for research'!$B424-1)*36+HEX2DEC('table for research'!I$1))*2,2)</f>
        <v>00</v>
      </c>
      <c r="J424" t="str">
        <f>MID('paste from garc here'!$C$1,1+(('table for research'!$B424-1)*36+HEX2DEC('table for research'!J$1))*2,2)</f>
        <v>00</v>
      </c>
      <c r="K424" t="str">
        <f>DEC2HEX(_xlfn.BITAND(HEX2DEC(MID('paste from garc here'!$C$1,1+(('table for research'!$B424-1)*36+HEX2DEC(8))*2,2)),31),2)</f>
        <v>1F</v>
      </c>
      <c r="L424" t="str">
        <f>DEC2HEX(_xlfn.BITAND(HEX2DEC(MID('paste from garc here'!$C$1,1+(('table for research'!$B424-1)*36+HEX2DEC(8))*2,2)),32),2)</f>
        <v>20</v>
      </c>
      <c r="M424" t="str">
        <f>DEC2HEX(_xlfn.BITAND(HEX2DEC(MID('paste from garc here'!$C$1,1+(('table for research'!$B424-1)*36+HEX2DEC(8))*2,2)),64),2)</f>
        <v>00</v>
      </c>
      <c r="N424" t="str">
        <f>DEC2HEX(_xlfn.BITRSHIFT(_xlfn.BITAND(HEX2DEC(MID('paste from garc here'!$C$1,1+(('table for research'!$B424-1)*36+HEX2DEC(9))*2,2)&amp;MID('paste from garc here'!$C$1,1+(('table for research'!$B424-1)*36+HEX2DEC(8))*2,2)),1920),7),2)</f>
        <v>02</v>
      </c>
      <c r="O424" t="str">
        <f>DEC2HEX(_xlfn.BITRSHIFT(HEX2DEC(MID('paste from garc here'!$C$1,1+(('table for research'!$B424-1)*36+HEX2DEC(9))*2,2)&amp;MID('paste from garc here'!$C$1,1+(('table for research'!$B424-1)*36+HEX2DEC(8))*2,2)),11),2)</f>
        <v>00</v>
      </c>
      <c r="P424" t="str">
        <f>MID('paste from garc here'!$C$1,1+(('table for research'!$B424-1)*36+HEX2DEC('table for research'!P$1))*2,2)</f>
        <v>02</v>
      </c>
      <c r="Q424" t="str">
        <f>MID('paste from garc here'!$C$1,1+(('table for research'!$B424-1)*36+HEX2DEC('table for research'!Q$1))*2,2)</f>
        <v>00</v>
      </c>
      <c r="R424" t="str">
        <f>MID('paste from garc here'!$C$1,1+(('table for research'!$B424-1)*36+HEX2DEC('table for research'!R$1))*2,2)</f>
        <v>00</v>
      </c>
      <c r="S424" t="str">
        <f>MID('paste from garc here'!$C$1,1+(('table for research'!$B424-1)*36+HEX2DEC('table for research'!S$1))*2,2)</f>
        <v>06</v>
      </c>
      <c r="T424" t="str">
        <f>MID('paste from garc here'!$C$1,1+(('table for research'!$B424-1)*36+HEX2DEC('table for research'!T$1))*2,2)</f>
        <v>00</v>
      </c>
      <c r="U424" t="str">
        <f>MID('paste from garc here'!$C$1,1+(('table for research'!$B424-1)*36+HEX2DEC('table for research'!U$1))*2,2)</f>
        <v>66</v>
      </c>
      <c r="V424" t="str">
        <f>MID('paste from garc here'!$C$1,1+(('table for research'!$B424-1)*36+HEX2DEC('table for research'!V$1))*2,2)</f>
        <v>00</v>
      </c>
      <c r="W424" t="str">
        <f>MID('paste from garc here'!$C$1,1+(('table for research'!$B424-1)*36+HEX2DEC('table for research'!W$1))*2,2)</f>
        <v>00</v>
      </c>
      <c r="X424" t="str">
        <f>MID('paste from garc here'!$C$1,1+(('table for research'!$B424-1)*36+HEX2DEC('table for research'!X$1))*2,2)</f>
        <v>00</v>
      </c>
      <c r="Y424" t="str">
        <f>MID('paste from garc here'!$C$1,1+(('table for research'!$B424-1)*36+HEX2DEC('table for research'!Y$1))*2,2)</f>
        <v>00</v>
      </c>
      <c r="Z424" t="str">
        <f>MID('paste from garc here'!$C$1,1+(('table for research'!$B424-1)*36+HEX2DEC('table for research'!Z$1))*2,2)</f>
        <v>00</v>
      </c>
      <c r="AA424" t="str">
        <f>MID('paste from garc here'!$C$1,1+(('table for research'!$B424-1)*36+HEX2DEC('table for research'!AA$1))*2,2)</f>
        <v>00</v>
      </c>
      <c r="AB424" t="str">
        <f>MID('paste from garc here'!$C$1,1+(('table for research'!$B424-1)*36+HEX2DEC('table for research'!AB$1))*2,2)</f>
        <v>00</v>
      </c>
      <c r="AC424" t="str">
        <f>MID('paste from garc here'!$C$1,1+(('table for research'!$B424-1)*36+HEX2DEC('table for research'!AC$1))*2,2)</f>
        <v>00</v>
      </c>
      <c r="AD424" t="str">
        <f>MID('paste from garc here'!$C$1,1+(('table for research'!$B424-1)*36+HEX2DEC('table for research'!AD$1))*2,2)</f>
        <v>00</v>
      </c>
      <c r="AE424" t="str">
        <f>MID('paste from garc here'!$C$1,1+(('table for research'!$B424-1)*36+HEX2DEC('table for research'!AE$1))*2,2)</f>
        <v>00</v>
      </c>
      <c r="AF424" t="str">
        <f>MID('paste from garc here'!$C$1,1+(('table for research'!$B424-1)*36+HEX2DEC('table for research'!AF$1))*2,2)</f>
        <v>00</v>
      </c>
      <c r="AG424" t="str">
        <f>MID('paste from garc here'!$C$1,1+(('table for research'!$B424-1)*36+HEX2DEC('table for research'!AG$1))*2,2)</f>
        <v>00</v>
      </c>
      <c r="AH424" t="str">
        <f>MID('paste from garc here'!$C$1,1+(('table for research'!$B424-1)*36+HEX2DEC('table for research'!AH$1))*2,2)</f>
        <v>00</v>
      </c>
      <c r="AI424" t="str">
        <f>MID('paste from garc here'!$C$1,1+(('table for research'!$B424-1)*36+HEX2DEC('table for research'!AI$1))*2,2)</f>
        <v>00</v>
      </c>
      <c r="AJ424" t="str">
        <f>MID('paste from garc here'!$C$1,1+(('table for research'!$B424-1)*36+HEX2DEC('table for research'!AJ$1))*2,2)</f>
        <v>00</v>
      </c>
      <c r="AK424" t="str">
        <f>MID('paste from garc here'!$C$1,1+(('table for research'!$B424-1)*36+HEX2DEC('table for research'!AK$1))*2,2)</f>
        <v>00</v>
      </c>
      <c r="AL424" t="str">
        <f>MID('paste from garc here'!$C$1,1+(('table for research'!$B424-1)*36+HEX2DEC('table for research'!AL$1))*2,2)</f>
        <v>00</v>
      </c>
      <c r="AM424" t="str">
        <f>MID('paste from garc here'!$C$1,1+(('table for research'!$B424-1)*36+HEX2DEC('table for research'!AM$1))*2,2)</f>
        <v>00</v>
      </c>
      <c r="AN424" t="str">
        <f>MID('paste from garc here'!$C$1,1+(('table for research'!$B424-1)*36+HEX2DEC('table for research'!AN$1))*2,2)</f>
        <v>00</v>
      </c>
      <c r="AO424" t="str">
        <f>MID('paste from garc here'!$C$1,1+(('table for research'!$B424-1)*36+HEX2DEC('table for research'!AO$1))*2,2)</f>
        <v>00</v>
      </c>
    </row>
    <row r="425" spans="1:41" x14ac:dyDescent="0.4">
      <c r="A425" t="s">
        <v>428</v>
      </c>
      <c r="B425">
        <f>B424+1</f>
        <v>423</v>
      </c>
      <c r="C425" t="str">
        <f>MID('paste from garc here'!$C$1,1+(('table for research'!$B425-1)*36+HEX2DEC('table for research'!C$1))*2,2)</f>
        <v>00</v>
      </c>
      <c r="D425" t="str">
        <f>MID('paste from garc here'!$C$1,1+(('table for research'!$B425-1)*36+HEX2DEC('table for research'!D$1))*2,2)</f>
        <v>00</v>
      </c>
      <c r="E425" t="str">
        <f>MID('paste from garc here'!$C$1,1+(('table for research'!$B425-1)*36+HEX2DEC('table for research'!E$1))*2,2)</f>
        <v>00</v>
      </c>
      <c r="F425" t="str">
        <f>MID('paste from garc here'!$C$1,1+(('table for research'!$B425-1)*36+HEX2DEC('table for research'!F$1))*2,2)</f>
        <v>00</v>
      </c>
      <c r="G425" t="str">
        <f>MID('paste from garc here'!$C$1,1+(('table for research'!$B425-1)*36+HEX2DEC('table for research'!G$1))*2,2)</f>
        <v>00</v>
      </c>
      <c r="H425" t="str">
        <f>MID('paste from garc here'!$C$1,1+(('table for research'!$B425-1)*36+HEX2DEC('table for research'!H$1))*2,2)</f>
        <v>00</v>
      </c>
      <c r="I425" t="str">
        <f>MID('paste from garc here'!$C$1,1+(('table for research'!$B425-1)*36+HEX2DEC('table for research'!I$1))*2,2)</f>
        <v>00</v>
      </c>
      <c r="J425" t="str">
        <f>MID('paste from garc here'!$C$1,1+(('table for research'!$B425-1)*36+HEX2DEC('table for research'!J$1))*2,2)</f>
        <v>00</v>
      </c>
      <c r="K425" t="str">
        <f>DEC2HEX(_xlfn.BITAND(HEX2DEC(MID('paste from garc here'!$C$1,1+(('table for research'!$B425-1)*36+HEX2DEC(8))*2,2)),31),2)</f>
        <v>1F</v>
      </c>
      <c r="L425" t="str">
        <f>DEC2HEX(_xlfn.BITAND(HEX2DEC(MID('paste from garc here'!$C$1,1+(('table for research'!$B425-1)*36+HEX2DEC(8))*2,2)),32),2)</f>
        <v>20</v>
      </c>
      <c r="M425" t="str">
        <f>DEC2HEX(_xlfn.BITAND(HEX2DEC(MID('paste from garc here'!$C$1,1+(('table for research'!$B425-1)*36+HEX2DEC(8))*2,2)),64),2)</f>
        <v>00</v>
      </c>
      <c r="N425" t="str">
        <f>DEC2HEX(_xlfn.BITRSHIFT(_xlfn.BITAND(HEX2DEC(MID('paste from garc here'!$C$1,1+(('table for research'!$B425-1)*36+HEX2DEC(9))*2,2)&amp;MID('paste from garc here'!$C$1,1+(('table for research'!$B425-1)*36+HEX2DEC(8))*2,2)),1920),7),2)</f>
        <v>02</v>
      </c>
      <c r="O425" t="str">
        <f>DEC2HEX(_xlfn.BITRSHIFT(HEX2DEC(MID('paste from garc here'!$C$1,1+(('table for research'!$B425-1)*36+HEX2DEC(9))*2,2)&amp;MID('paste from garc here'!$C$1,1+(('table for research'!$B425-1)*36+HEX2DEC(8))*2,2)),11),2)</f>
        <v>00</v>
      </c>
      <c r="P425" t="str">
        <f>MID('paste from garc here'!$C$1,1+(('table for research'!$B425-1)*36+HEX2DEC('table for research'!P$1))*2,2)</f>
        <v>02</v>
      </c>
      <c r="Q425" t="str">
        <f>MID('paste from garc here'!$C$1,1+(('table for research'!$B425-1)*36+HEX2DEC('table for research'!Q$1))*2,2)</f>
        <v>00</v>
      </c>
      <c r="R425" t="str">
        <f>MID('paste from garc here'!$C$1,1+(('table for research'!$B425-1)*36+HEX2DEC('table for research'!R$1))*2,2)</f>
        <v>00</v>
      </c>
      <c r="S425" t="str">
        <f>MID('paste from garc here'!$C$1,1+(('table for research'!$B425-1)*36+HEX2DEC('table for research'!S$1))*2,2)</f>
        <v>06</v>
      </c>
      <c r="T425" t="str">
        <f>MID('paste from garc here'!$C$1,1+(('table for research'!$B425-1)*36+HEX2DEC('table for research'!T$1))*2,2)</f>
        <v>00</v>
      </c>
      <c r="U425" t="str">
        <f>MID('paste from garc here'!$C$1,1+(('table for research'!$B425-1)*36+HEX2DEC('table for research'!U$1))*2,2)</f>
        <v>67</v>
      </c>
      <c r="V425" t="str">
        <f>MID('paste from garc here'!$C$1,1+(('table for research'!$B425-1)*36+HEX2DEC('table for research'!V$1))*2,2)</f>
        <v>00</v>
      </c>
      <c r="W425" t="str">
        <f>MID('paste from garc here'!$C$1,1+(('table for research'!$B425-1)*36+HEX2DEC('table for research'!W$1))*2,2)</f>
        <v>00</v>
      </c>
      <c r="X425" t="str">
        <f>MID('paste from garc here'!$C$1,1+(('table for research'!$B425-1)*36+HEX2DEC('table for research'!X$1))*2,2)</f>
        <v>00</v>
      </c>
      <c r="Y425" t="str">
        <f>MID('paste from garc here'!$C$1,1+(('table for research'!$B425-1)*36+HEX2DEC('table for research'!Y$1))*2,2)</f>
        <v>00</v>
      </c>
      <c r="Z425" t="str">
        <f>MID('paste from garc here'!$C$1,1+(('table for research'!$B425-1)*36+HEX2DEC('table for research'!Z$1))*2,2)</f>
        <v>00</v>
      </c>
      <c r="AA425" t="str">
        <f>MID('paste from garc here'!$C$1,1+(('table for research'!$B425-1)*36+HEX2DEC('table for research'!AA$1))*2,2)</f>
        <v>00</v>
      </c>
      <c r="AB425" t="str">
        <f>MID('paste from garc here'!$C$1,1+(('table for research'!$B425-1)*36+HEX2DEC('table for research'!AB$1))*2,2)</f>
        <v>00</v>
      </c>
      <c r="AC425" t="str">
        <f>MID('paste from garc here'!$C$1,1+(('table for research'!$B425-1)*36+HEX2DEC('table for research'!AC$1))*2,2)</f>
        <v>00</v>
      </c>
      <c r="AD425" t="str">
        <f>MID('paste from garc here'!$C$1,1+(('table for research'!$B425-1)*36+HEX2DEC('table for research'!AD$1))*2,2)</f>
        <v>00</v>
      </c>
      <c r="AE425" t="str">
        <f>MID('paste from garc here'!$C$1,1+(('table for research'!$B425-1)*36+HEX2DEC('table for research'!AE$1))*2,2)</f>
        <v>00</v>
      </c>
      <c r="AF425" t="str">
        <f>MID('paste from garc here'!$C$1,1+(('table for research'!$B425-1)*36+HEX2DEC('table for research'!AF$1))*2,2)</f>
        <v>00</v>
      </c>
      <c r="AG425" t="str">
        <f>MID('paste from garc here'!$C$1,1+(('table for research'!$B425-1)*36+HEX2DEC('table for research'!AG$1))*2,2)</f>
        <v>00</v>
      </c>
      <c r="AH425" t="str">
        <f>MID('paste from garc here'!$C$1,1+(('table for research'!$B425-1)*36+HEX2DEC('table for research'!AH$1))*2,2)</f>
        <v>00</v>
      </c>
      <c r="AI425" t="str">
        <f>MID('paste from garc here'!$C$1,1+(('table for research'!$B425-1)*36+HEX2DEC('table for research'!AI$1))*2,2)</f>
        <v>00</v>
      </c>
      <c r="AJ425" t="str">
        <f>MID('paste from garc here'!$C$1,1+(('table for research'!$B425-1)*36+HEX2DEC('table for research'!AJ$1))*2,2)</f>
        <v>00</v>
      </c>
      <c r="AK425" t="str">
        <f>MID('paste from garc here'!$C$1,1+(('table for research'!$B425-1)*36+HEX2DEC('table for research'!AK$1))*2,2)</f>
        <v>00</v>
      </c>
      <c r="AL425" t="str">
        <f>MID('paste from garc here'!$C$1,1+(('table for research'!$B425-1)*36+HEX2DEC('table for research'!AL$1))*2,2)</f>
        <v>00</v>
      </c>
      <c r="AM425" t="str">
        <f>MID('paste from garc here'!$C$1,1+(('table for research'!$B425-1)*36+HEX2DEC('table for research'!AM$1))*2,2)</f>
        <v>00</v>
      </c>
      <c r="AN425" t="str">
        <f>MID('paste from garc here'!$C$1,1+(('table for research'!$B425-1)*36+HEX2DEC('table for research'!AN$1))*2,2)</f>
        <v>00</v>
      </c>
      <c r="AO425" t="str">
        <f>MID('paste from garc here'!$C$1,1+(('table for research'!$B425-1)*36+HEX2DEC('table for research'!AO$1))*2,2)</f>
        <v>00</v>
      </c>
    </row>
    <row r="426" spans="1:41" x14ac:dyDescent="0.4">
      <c r="A426" t="s">
        <v>429</v>
      </c>
      <c r="B426">
        <f>B425+1</f>
        <v>424</v>
      </c>
      <c r="C426" t="str">
        <f>MID('paste from garc here'!$C$1,1+(('table for research'!$B426-1)*36+HEX2DEC('table for research'!C$1))*2,2)</f>
        <v>00</v>
      </c>
      <c r="D426" t="str">
        <f>MID('paste from garc here'!$C$1,1+(('table for research'!$B426-1)*36+HEX2DEC('table for research'!D$1))*2,2)</f>
        <v>00</v>
      </c>
      <c r="E426" t="str">
        <f>MID('paste from garc here'!$C$1,1+(('table for research'!$B426-1)*36+HEX2DEC('table for research'!E$1))*2,2)</f>
        <v>00</v>
      </c>
      <c r="F426" t="str">
        <f>MID('paste from garc here'!$C$1,1+(('table for research'!$B426-1)*36+HEX2DEC('table for research'!F$1))*2,2)</f>
        <v>00</v>
      </c>
      <c r="G426" t="str">
        <f>MID('paste from garc here'!$C$1,1+(('table for research'!$B426-1)*36+HEX2DEC('table for research'!G$1))*2,2)</f>
        <v>00</v>
      </c>
      <c r="H426" t="str">
        <f>MID('paste from garc here'!$C$1,1+(('table for research'!$B426-1)*36+HEX2DEC('table for research'!H$1))*2,2)</f>
        <v>00</v>
      </c>
      <c r="I426" t="str">
        <f>MID('paste from garc here'!$C$1,1+(('table for research'!$B426-1)*36+HEX2DEC('table for research'!I$1))*2,2)</f>
        <v>00</v>
      </c>
      <c r="J426" t="str">
        <f>MID('paste from garc here'!$C$1,1+(('table for research'!$B426-1)*36+HEX2DEC('table for research'!J$1))*2,2)</f>
        <v>00</v>
      </c>
      <c r="K426" t="str">
        <f>DEC2HEX(_xlfn.BITAND(HEX2DEC(MID('paste from garc here'!$C$1,1+(('table for research'!$B426-1)*36+HEX2DEC(8))*2,2)),31),2)</f>
        <v>1F</v>
      </c>
      <c r="L426" t="str">
        <f>DEC2HEX(_xlfn.BITAND(HEX2DEC(MID('paste from garc here'!$C$1,1+(('table for research'!$B426-1)*36+HEX2DEC(8))*2,2)),32),2)</f>
        <v>20</v>
      </c>
      <c r="M426" t="str">
        <f>DEC2HEX(_xlfn.BITAND(HEX2DEC(MID('paste from garc here'!$C$1,1+(('table for research'!$B426-1)*36+HEX2DEC(8))*2,2)),64),2)</f>
        <v>00</v>
      </c>
      <c r="N426" t="str">
        <f>DEC2HEX(_xlfn.BITRSHIFT(_xlfn.BITAND(HEX2DEC(MID('paste from garc here'!$C$1,1+(('table for research'!$B426-1)*36+HEX2DEC(9))*2,2)&amp;MID('paste from garc here'!$C$1,1+(('table for research'!$B426-1)*36+HEX2DEC(8))*2,2)),1920),7),2)</f>
        <v>02</v>
      </c>
      <c r="O426" t="str">
        <f>DEC2HEX(_xlfn.BITRSHIFT(HEX2DEC(MID('paste from garc here'!$C$1,1+(('table for research'!$B426-1)*36+HEX2DEC(9))*2,2)&amp;MID('paste from garc here'!$C$1,1+(('table for research'!$B426-1)*36+HEX2DEC(8))*2,2)),11),2)</f>
        <v>00</v>
      </c>
      <c r="P426" t="str">
        <f>MID('paste from garc here'!$C$1,1+(('table for research'!$B426-1)*36+HEX2DEC('table for research'!P$1))*2,2)</f>
        <v>02</v>
      </c>
      <c r="Q426" t="str">
        <f>MID('paste from garc here'!$C$1,1+(('table for research'!$B426-1)*36+HEX2DEC('table for research'!Q$1))*2,2)</f>
        <v>00</v>
      </c>
      <c r="R426" t="str">
        <f>MID('paste from garc here'!$C$1,1+(('table for research'!$B426-1)*36+HEX2DEC('table for research'!R$1))*2,2)</f>
        <v>00</v>
      </c>
      <c r="S426" t="str">
        <f>MID('paste from garc here'!$C$1,1+(('table for research'!$B426-1)*36+HEX2DEC('table for research'!S$1))*2,2)</f>
        <v>06</v>
      </c>
      <c r="T426" t="str">
        <f>MID('paste from garc here'!$C$1,1+(('table for research'!$B426-1)*36+HEX2DEC('table for research'!T$1))*2,2)</f>
        <v>00</v>
      </c>
      <c r="U426" t="str">
        <f>MID('paste from garc here'!$C$1,1+(('table for research'!$B426-1)*36+HEX2DEC('table for research'!U$1))*2,2)</f>
        <v>68</v>
      </c>
      <c r="V426" t="str">
        <f>MID('paste from garc here'!$C$1,1+(('table for research'!$B426-1)*36+HEX2DEC('table for research'!V$1))*2,2)</f>
        <v>00</v>
      </c>
      <c r="W426" t="str">
        <f>MID('paste from garc here'!$C$1,1+(('table for research'!$B426-1)*36+HEX2DEC('table for research'!W$1))*2,2)</f>
        <v>00</v>
      </c>
      <c r="X426" t="str">
        <f>MID('paste from garc here'!$C$1,1+(('table for research'!$B426-1)*36+HEX2DEC('table for research'!X$1))*2,2)</f>
        <v>00</v>
      </c>
      <c r="Y426" t="str">
        <f>MID('paste from garc here'!$C$1,1+(('table for research'!$B426-1)*36+HEX2DEC('table for research'!Y$1))*2,2)</f>
        <v>00</v>
      </c>
      <c r="Z426" t="str">
        <f>MID('paste from garc here'!$C$1,1+(('table for research'!$B426-1)*36+HEX2DEC('table for research'!Z$1))*2,2)</f>
        <v>00</v>
      </c>
      <c r="AA426" t="str">
        <f>MID('paste from garc here'!$C$1,1+(('table for research'!$B426-1)*36+HEX2DEC('table for research'!AA$1))*2,2)</f>
        <v>00</v>
      </c>
      <c r="AB426" t="str">
        <f>MID('paste from garc here'!$C$1,1+(('table for research'!$B426-1)*36+HEX2DEC('table for research'!AB$1))*2,2)</f>
        <v>00</v>
      </c>
      <c r="AC426" t="str">
        <f>MID('paste from garc here'!$C$1,1+(('table for research'!$B426-1)*36+HEX2DEC('table for research'!AC$1))*2,2)</f>
        <v>00</v>
      </c>
      <c r="AD426" t="str">
        <f>MID('paste from garc here'!$C$1,1+(('table for research'!$B426-1)*36+HEX2DEC('table for research'!AD$1))*2,2)</f>
        <v>00</v>
      </c>
      <c r="AE426" t="str">
        <f>MID('paste from garc here'!$C$1,1+(('table for research'!$B426-1)*36+HEX2DEC('table for research'!AE$1))*2,2)</f>
        <v>00</v>
      </c>
      <c r="AF426" t="str">
        <f>MID('paste from garc here'!$C$1,1+(('table for research'!$B426-1)*36+HEX2DEC('table for research'!AF$1))*2,2)</f>
        <v>00</v>
      </c>
      <c r="AG426" t="str">
        <f>MID('paste from garc here'!$C$1,1+(('table for research'!$B426-1)*36+HEX2DEC('table for research'!AG$1))*2,2)</f>
        <v>00</v>
      </c>
      <c r="AH426" t="str">
        <f>MID('paste from garc here'!$C$1,1+(('table for research'!$B426-1)*36+HEX2DEC('table for research'!AH$1))*2,2)</f>
        <v>00</v>
      </c>
      <c r="AI426" t="str">
        <f>MID('paste from garc here'!$C$1,1+(('table for research'!$B426-1)*36+HEX2DEC('table for research'!AI$1))*2,2)</f>
        <v>00</v>
      </c>
      <c r="AJ426" t="str">
        <f>MID('paste from garc here'!$C$1,1+(('table for research'!$B426-1)*36+HEX2DEC('table for research'!AJ$1))*2,2)</f>
        <v>00</v>
      </c>
      <c r="AK426" t="str">
        <f>MID('paste from garc here'!$C$1,1+(('table for research'!$B426-1)*36+HEX2DEC('table for research'!AK$1))*2,2)</f>
        <v>00</v>
      </c>
      <c r="AL426" t="str">
        <f>MID('paste from garc here'!$C$1,1+(('table for research'!$B426-1)*36+HEX2DEC('table for research'!AL$1))*2,2)</f>
        <v>00</v>
      </c>
      <c r="AM426" t="str">
        <f>MID('paste from garc here'!$C$1,1+(('table for research'!$B426-1)*36+HEX2DEC('table for research'!AM$1))*2,2)</f>
        <v>00</v>
      </c>
      <c r="AN426" t="str">
        <f>MID('paste from garc here'!$C$1,1+(('table for research'!$B426-1)*36+HEX2DEC('table for research'!AN$1))*2,2)</f>
        <v>00</v>
      </c>
      <c r="AO426" t="str">
        <f>MID('paste from garc here'!$C$1,1+(('table for research'!$B426-1)*36+HEX2DEC('table for research'!AO$1))*2,2)</f>
        <v>00</v>
      </c>
    </row>
    <row r="427" spans="1:41" x14ac:dyDescent="0.4">
      <c r="A427" t="s">
        <v>430</v>
      </c>
      <c r="B427">
        <f>B426+1</f>
        <v>425</v>
      </c>
      <c r="C427" t="str">
        <f>MID('paste from garc here'!$C$1,1+(('table for research'!$B427-1)*36+HEX2DEC('table for research'!C$1))*2,2)</f>
        <v>00</v>
      </c>
      <c r="D427" t="str">
        <f>MID('paste from garc here'!$C$1,1+(('table for research'!$B427-1)*36+HEX2DEC('table for research'!D$1))*2,2)</f>
        <v>00</v>
      </c>
      <c r="E427" t="str">
        <f>MID('paste from garc here'!$C$1,1+(('table for research'!$B427-1)*36+HEX2DEC('table for research'!E$1))*2,2)</f>
        <v>00</v>
      </c>
      <c r="F427" t="str">
        <f>MID('paste from garc here'!$C$1,1+(('table for research'!$B427-1)*36+HEX2DEC('table for research'!F$1))*2,2)</f>
        <v>00</v>
      </c>
      <c r="G427" t="str">
        <f>MID('paste from garc here'!$C$1,1+(('table for research'!$B427-1)*36+HEX2DEC('table for research'!G$1))*2,2)</f>
        <v>00</v>
      </c>
      <c r="H427" t="str">
        <f>MID('paste from garc here'!$C$1,1+(('table for research'!$B427-1)*36+HEX2DEC('table for research'!H$1))*2,2)</f>
        <v>00</v>
      </c>
      <c r="I427" t="str">
        <f>MID('paste from garc here'!$C$1,1+(('table for research'!$B427-1)*36+HEX2DEC('table for research'!I$1))*2,2)</f>
        <v>00</v>
      </c>
      <c r="J427" t="str">
        <f>MID('paste from garc here'!$C$1,1+(('table for research'!$B427-1)*36+HEX2DEC('table for research'!J$1))*2,2)</f>
        <v>00</v>
      </c>
      <c r="K427" t="str">
        <f>DEC2HEX(_xlfn.BITAND(HEX2DEC(MID('paste from garc here'!$C$1,1+(('table for research'!$B427-1)*36+HEX2DEC(8))*2,2)),31),2)</f>
        <v>1F</v>
      </c>
      <c r="L427" t="str">
        <f>DEC2HEX(_xlfn.BITAND(HEX2DEC(MID('paste from garc here'!$C$1,1+(('table for research'!$B427-1)*36+HEX2DEC(8))*2,2)),32),2)</f>
        <v>20</v>
      </c>
      <c r="M427" t="str">
        <f>DEC2HEX(_xlfn.BITAND(HEX2DEC(MID('paste from garc here'!$C$1,1+(('table for research'!$B427-1)*36+HEX2DEC(8))*2,2)),64),2)</f>
        <v>00</v>
      </c>
      <c r="N427" t="str">
        <f>DEC2HEX(_xlfn.BITRSHIFT(_xlfn.BITAND(HEX2DEC(MID('paste from garc here'!$C$1,1+(('table for research'!$B427-1)*36+HEX2DEC(9))*2,2)&amp;MID('paste from garc here'!$C$1,1+(('table for research'!$B427-1)*36+HEX2DEC(8))*2,2)),1920),7),2)</f>
        <v>02</v>
      </c>
      <c r="O427" t="str">
        <f>DEC2HEX(_xlfn.BITRSHIFT(HEX2DEC(MID('paste from garc here'!$C$1,1+(('table for research'!$B427-1)*36+HEX2DEC(9))*2,2)&amp;MID('paste from garc here'!$C$1,1+(('table for research'!$B427-1)*36+HEX2DEC(8))*2,2)),11),2)</f>
        <v>00</v>
      </c>
      <c r="P427" t="str">
        <f>MID('paste from garc here'!$C$1,1+(('table for research'!$B427-1)*36+HEX2DEC('table for research'!P$1))*2,2)</f>
        <v>02</v>
      </c>
      <c r="Q427" t="str">
        <f>MID('paste from garc here'!$C$1,1+(('table for research'!$B427-1)*36+HEX2DEC('table for research'!Q$1))*2,2)</f>
        <v>00</v>
      </c>
      <c r="R427" t="str">
        <f>MID('paste from garc here'!$C$1,1+(('table for research'!$B427-1)*36+HEX2DEC('table for research'!R$1))*2,2)</f>
        <v>00</v>
      </c>
      <c r="S427" t="str">
        <f>MID('paste from garc here'!$C$1,1+(('table for research'!$B427-1)*36+HEX2DEC('table for research'!S$1))*2,2)</f>
        <v>06</v>
      </c>
      <c r="T427" t="str">
        <f>MID('paste from garc here'!$C$1,1+(('table for research'!$B427-1)*36+HEX2DEC('table for research'!T$1))*2,2)</f>
        <v>00</v>
      </c>
      <c r="U427" t="str">
        <f>MID('paste from garc here'!$C$1,1+(('table for research'!$B427-1)*36+HEX2DEC('table for research'!U$1))*2,2)</f>
        <v>69</v>
      </c>
      <c r="V427" t="str">
        <f>MID('paste from garc here'!$C$1,1+(('table for research'!$B427-1)*36+HEX2DEC('table for research'!V$1))*2,2)</f>
        <v>00</v>
      </c>
      <c r="W427" t="str">
        <f>MID('paste from garc here'!$C$1,1+(('table for research'!$B427-1)*36+HEX2DEC('table for research'!W$1))*2,2)</f>
        <v>00</v>
      </c>
      <c r="X427" t="str">
        <f>MID('paste from garc here'!$C$1,1+(('table for research'!$B427-1)*36+HEX2DEC('table for research'!X$1))*2,2)</f>
        <v>00</v>
      </c>
      <c r="Y427" t="str">
        <f>MID('paste from garc here'!$C$1,1+(('table for research'!$B427-1)*36+HEX2DEC('table for research'!Y$1))*2,2)</f>
        <v>00</v>
      </c>
      <c r="Z427" t="str">
        <f>MID('paste from garc here'!$C$1,1+(('table for research'!$B427-1)*36+HEX2DEC('table for research'!Z$1))*2,2)</f>
        <v>00</v>
      </c>
      <c r="AA427" t="str">
        <f>MID('paste from garc here'!$C$1,1+(('table for research'!$B427-1)*36+HEX2DEC('table for research'!AA$1))*2,2)</f>
        <v>00</v>
      </c>
      <c r="AB427" t="str">
        <f>MID('paste from garc here'!$C$1,1+(('table for research'!$B427-1)*36+HEX2DEC('table for research'!AB$1))*2,2)</f>
        <v>00</v>
      </c>
      <c r="AC427" t="str">
        <f>MID('paste from garc here'!$C$1,1+(('table for research'!$B427-1)*36+HEX2DEC('table for research'!AC$1))*2,2)</f>
        <v>00</v>
      </c>
      <c r="AD427" t="str">
        <f>MID('paste from garc here'!$C$1,1+(('table for research'!$B427-1)*36+HEX2DEC('table for research'!AD$1))*2,2)</f>
        <v>00</v>
      </c>
      <c r="AE427" t="str">
        <f>MID('paste from garc here'!$C$1,1+(('table for research'!$B427-1)*36+HEX2DEC('table for research'!AE$1))*2,2)</f>
        <v>00</v>
      </c>
      <c r="AF427" t="str">
        <f>MID('paste from garc here'!$C$1,1+(('table for research'!$B427-1)*36+HEX2DEC('table for research'!AF$1))*2,2)</f>
        <v>00</v>
      </c>
      <c r="AG427" t="str">
        <f>MID('paste from garc here'!$C$1,1+(('table for research'!$B427-1)*36+HEX2DEC('table for research'!AG$1))*2,2)</f>
        <v>00</v>
      </c>
      <c r="AH427" t="str">
        <f>MID('paste from garc here'!$C$1,1+(('table for research'!$B427-1)*36+HEX2DEC('table for research'!AH$1))*2,2)</f>
        <v>00</v>
      </c>
      <c r="AI427" t="str">
        <f>MID('paste from garc here'!$C$1,1+(('table for research'!$B427-1)*36+HEX2DEC('table for research'!AI$1))*2,2)</f>
        <v>00</v>
      </c>
      <c r="AJ427" t="str">
        <f>MID('paste from garc here'!$C$1,1+(('table for research'!$B427-1)*36+HEX2DEC('table for research'!AJ$1))*2,2)</f>
        <v>00</v>
      </c>
      <c r="AK427" t="str">
        <f>MID('paste from garc here'!$C$1,1+(('table for research'!$B427-1)*36+HEX2DEC('table for research'!AK$1))*2,2)</f>
        <v>00</v>
      </c>
      <c r="AL427" t="str">
        <f>MID('paste from garc here'!$C$1,1+(('table for research'!$B427-1)*36+HEX2DEC('table for research'!AL$1))*2,2)</f>
        <v>00</v>
      </c>
      <c r="AM427" t="str">
        <f>MID('paste from garc here'!$C$1,1+(('table for research'!$B427-1)*36+HEX2DEC('table for research'!AM$1))*2,2)</f>
        <v>00</v>
      </c>
      <c r="AN427" t="str">
        <f>MID('paste from garc here'!$C$1,1+(('table for research'!$B427-1)*36+HEX2DEC('table for research'!AN$1))*2,2)</f>
        <v>00</v>
      </c>
      <c r="AO427" t="str">
        <f>MID('paste from garc here'!$C$1,1+(('table for research'!$B427-1)*36+HEX2DEC('table for research'!AO$1))*2,2)</f>
        <v>00</v>
      </c>
    </row>
    <row r="428" spans="1:41" x14ac:dyDescent="0.4">
      <c r="A428" t="s">
        <v>431</v>
      </c>
      <c r="B428">
        <f>B427+1</f>
        <v>426</v>
      </c>
      <c r="C428" t="str">
        <f>MID('paste from garc here'!$C$1,1+(('table for research'!$B428-1)*36+HEX2DEC('table for research'!C$1))*2,2)</f>
        <v>94</v>
      </c>
      <c r="D428" t="str">
        <f>MID('paste from garc here'!$C$1,1+(('table for research'!$B428-1)*36+HEX2DEC('table for research'!D$1))*2,2)</f>
        <v>11</v>
      </c>
      <c r="E428" t="str">
        <f>MID('paste from garc here'!$C$1,1+(('table for research'!$B428-1)*36+HEX2DEC('table for research'!E$1))*2,2)</f>
        <v>66</v>
      </c>
      <c r="F428" t="str">
        <f>MID('paste from garc here'!$C$1,1+(('table for research'!$B428-1)*36+HEX2DEC('table for research'!F$1))*2,2)</f>
        <v>00</v>
      </c>
      <c r="G428" t="str">
        <f>MID('paste from garc here'!$C$1,1+(('table for research'!$B428-1)*36+HEX2DEC('table for research'!G$1))*2,2)</f>
        <v>00</v>
      </c>
      <c r="H428" t="str">
        <f>MID('paste from garc here'!$C$1,1+(('table for research'!$B428-1)*36+HEX2DEC('table for research'!H$1))*2,2)</f>
        <v>00</v>
      </c>
      <c r="I428" t="str">
        <f>MID('paste from garc here'!$C$1,1+(('table for research'!$B428-1)*36+HEX2DEC('table for research'!I$1))*2,2)</f>
        <v>0A</v>
      </c>
      <c r="J428" t="str">
        <f>MID('paste from garc here'!$C$1,1+(('table for research'!$B428-1)*36+HEX2DEC('table for research'!J$1))*2,2)</f>
        <v>00</v>
      </c>
      <c r="K428" t="str">
        <f>DEC2HEX(_xlfn.BITAND(HEX2DEC(MID('paste from garc here'!$C$1,1+(('table for research'!$B428-1)*36+HEX2DEC(8))*2,2)),31),2)</f>
        <v>1F</v>
      </c>
      <c r="L428" t="str">
        <f>DEC2HEX(_xlfn.BITAND(HEX2DEC(MID('paste from garc here'!$C$1,1+(('table for research'!$B428-1)*36+HEX2DEC(8))*2,2)),32),2)</f>
        <v>00</v>
      </c>
      <c r="M428" t="str">
        <f>DEC2HEX(_xlfn.BITAND(HEX2DEC(MID('paste from garc here'!$C$1,1+(('table for research'!$B428-1)*36+HEX2DEC(8))*2,2)),64),2)</f>
        <v>00</v>
      </c>
      <c r="N428" t="str">
        <f>DEC2HEX(_xlfn.BITRSHIFT(_xlfn.BITAND(HEX2DEC(MID('paste from garc here'!$C$1,1+(('table for research'!$B428-1)*36+HEX2DEC(9))*2,2)&amp;MID('paste from garc here'!$C$1,1+(('table for research'!$B428-1)*36+HEX2DEC(8))*2,2)),1920),7),2)</f>
        <v>00</v>
      </c>
      <c r="O428" t="str">
        <f>DEC2HEX(_xlfn.BITRSHIFT(HEX2DEC(MID('paste from garc here'!$C$1,1+(('table for research'!$B428-1)*36+HEX2DEC(9))*2,2)&amp;MID('paste from garc here'!$C$1,1+(('table for research'!$B428-1)*36+HEX2DEC(8))*2,2)),11),2)</f>
        <v>00</v>
      </c>
      <c r="P428" t="str">
        <f>MID('paste from garc here'!$C$1,1+(('table for research'!$B428-1)*36+HEX2DEC('table for research'!P$1))*2,2)</f>
        <v>00</v>
      </c>
      <c r="Q428" t="str">
        <f>MID('paste from garc here'!$C$1,1+(('table for research'!$B428-1)*36+HEX2DEC('table for research'!Q$1))*2,2)</f>
        <v>00</v>
      </c>
      <c r="R428" t="str">
        <f>MID('paste from garc here'!$C$1,1+(('table for research'!$B428-1)*36+HEX2DEC('table for research'!R$1))*2,2)</f>
        <v>00</v>
      </c>
      <c r="S428" t="str">
        <f>MID('paste from garc here'!$C$1,1+(('table for research'!$B428-1)*36+HEX2DEC('table for research'!S$1))*2,2)</f>
        <v>01</v>
      </c>
      <c r="T428" t="str">
        <f>MID('paste from garc here'!$C$1,1+(('table for research'!$B428-1)*36+HEX2DEC('table for research'!T$1))*2,2)</f>
        <v>01</v>
      </c>
      <c r="U428" t="str">
        <f>MID('paste from garc here'!$C$1,1+(('table for research'!$B428-1)*36+HEX2DEC('table for research'!U$1))*2,2)</f>
        <v>13</v>
      </c>
      <c r="V428" t="str">
        <f>MID('paste from garc here'!$C$1,1+(('table for research'!$B428-1)*36+HEX2DEC('table for research'!V$1))*2,2)</f>
        <v>00</v>
      </c>
      <c r="W428" t="str">
        <f>MID('paste from garc here'!$C$1,1+(('table for research'!$B428-1)*36+HEX2DEC('table for research'!W$1))*2,2)</f>
        <v>00</v>
      </c>
      <c r="X428" t="str">
        <f>MID('paste from garc here'!$C$1,1+(('table for research'!$B428-1)*36+HEX2DEC('table for research'!X$1))*2,2)</f>
        <v>00</v>
      </c>
      <c r="Y428" t="str">
        <f>MID('paste from garc here'!$C$1,1+(('table for research'!$B428-1)*36+HEX2DEC('table for research'!Y$1))*2,2)</f>
        <v>00</v>
      </c>
      <c r="Z428" t="str">
        <f>MID('paste from garc here'!$C$1,1+(('table for research'!$B428-1)*36+HEX2DEC('table for research'!Z$1))*2,2)</f>
        <v>00</v>
      </c>
      <c r="AA428" t="str">
        <f>MID('paste from garc here'!$C$1,1+(('table for research'!$B428-1)*36+HEX2DEC('table for research'!AA$1))*2,2)</f>
        <v>00</v>
      </c>
      <c r="AB428" t="str">
        <f>MID('paste from garc here'!$C$1,1+(('table for research'!$B428-1)*36+HEX2DEC('table for research'!AB$1))*2,2)</f>
        <v>00</v>
      </c>
      <c r="AC428" t="str">
        <f>MID('paste from garc here'!$C$1,1+(('table for research'!$B428-1)*36+HEX2DEC('table for research'!AC$1))*2,2)</f>
        <v>00</v>
      </c>
      <c r="AD428" t="str">
        <f>MID('paste from garc here'!$C$1,1+(('table for research'!$B428-1)*36+HEX2DEC('table for research'!AD$1))*2,2)</f>
        <v>00</v>
      </c>
      <c r="AE428" t="str">
        <f>MID('paste from garc here'!$C$1,1+(('table for research'!$B428-1)*36+HEX2DEC('table for research'!AE$1))*2,2)</f>
        <v>00</v>
      </c>
      <c r="AF428" t="str">
        <f>MID('paste from garc here'!$C$1,1+(('table for research'!$B428-1)*36+HEX2DEC('table for research'!AF$1))*2,2)</f>
        <v>00</v>
      </c>
      <c r="AG428" t="str">
        <f>MID('paste from garc here'!$C$1,1+(('table for research'!$B428-1)*36+HEX2DEC('table for research'!AG$1))*2,2)</f>
        <v>00</v>
      </c>
      <c r="AH428" t="str">
        <f>MID('paste from garc here'!$C$1,1+(('table for research'!$B428-1)*36+HEX2DEC('table for research'!AH$1))*2,2)</f>
        <v>00</v>
      </c>
      <c r="AI428" t="str">
        <f>MID('paste from garc here'!$C$1,1+(('table for research'!$B428-1)*36+HEX2DEC('table for research'!AI$1))*2,2)</f>
        <v>00</v>
      </c>
      <c r="AJ428" t="str">
        <f>MID('paste from garc here'!$C$1,1+(('table for research'!$B428-1)*36+HEX2DEC('table for research'!AJ$1))*2,2)</f>
        <v>00</v>
      </c>
      <c r="AK428" t="str">
        <f>MID('paste from garc here'!$C$1,1+(('table for research'!$B428-1)*36+HEX2DEC('table for research'!AK$1))*2,2)</f>
        <v>00</v>
      </c>
      <c r="AL428" t="str">
        <f>MID('paste from garc here'!$C$1,1+(('table for research'!$B428-1)*36+HEX2DEC('table for research'!AL$1))*2,2)</f>
        <v>00</v>
      </c>
      <c r="AM428" t="str">
        <f>MID('paste from garc here'!$C$1,1+(('table for research'!$B428-1)*36+HEX2DEC('table for research'!AM$1))*2,2)</f>
        <v>00</v>
      </c>
      <c r="AN428" t="str">
        <f>MID('paste from garc here'!$C$1,1+(('table for research'!$B428-1)*36+HEX2DEC('table for research'!AN$1))*2,2)</f>
        <v>00</v>
      </c>
      <c r="AO428" t="str">
        <f>MID('paste from garc here'!$C$1,1+(('table for research'!$B428-1)*36+HEX2DEC('table for research'!AO$1))*2,2)</f>
        <v>00</v>
      </c>
    </row>
    <row r="429" spans="1:41" x14ac:dyDescent="0.4">
      <c r="A429" t="s">
        <v>138</v>
      </c>
      <c r="B429">
        <f>B428+1</f>
        <v>427</v>
      </c>
      <c r="C429" t="str">
        <f>MID('paste from garc here'!$C$1,1+(('table for research'!$B429-1)*36+HEX2DEC('table for research'!C$1))*2,2)</f>
        <v>00</v>
      </c>
      <c r="D429" t="str">
        <f>MID('paste from garc here'!$C$1,1+(('table for research'!$B429-1)*36+HEX2DEC('table for research'!D$1))*2,2)</f>
        <v>00</v>
      </c>
      <c r="E429" t="str">
        <f>MID('paste from garc here'!$C$1,1+(('table for research'!$B429-1)*36+HEX2DEC('table for research'!E$1))*2,2)</f>
        <v>00</v>
      </c>
      <c r="F429" t="str">
        <f>MID('paste from garc here'!$C$1,1+(('table for research'!$B429-1)*36+HEX2DEC('table for research'!F$1))*2,2)</f>
        <v>00</v>
      </c>
      <c r="G429" t="str">
        <f>MID('paste from garc here'!$C$1,1+(('table for research'!$B429-1)*36+HEX2DEC('table for research'!G$1))*2,2)</f>
        <v>00</v>
      </c>
      <c r="H429" t="str">
        <f>MID('paste from garc here'!$C$1,1+(('table for research'!$B429-1)*36+HEX2DEC('table for research'!H$1))*2,2)</f>
        <v>00</v>
      </c>
      <c r="I429" t="str">
        <f>MID('paste from garc here'!$C$1,1+(('table for research'!$B429-1)*36+HEX2DEC('table for research'!I$1))*2,2)</f>
        <v>00</v>
      </c>
      <c r="J429" t="str">
        <f>MID('paste from garc here'!$C$1,1+(('table for research'!$B429-1)*36+HEX2DEC('table for research'!J$1))*2,2)</f>
        <v>00</v>
      </c>
      <c r="K429" t="str">
        <f>DEC2HEX(_xlfn.BITAND(HEX2DEC(MID('paste from garc here'!$C$1,1+(('table for research'!$B429-1)*36+HEX2DEC(8))*2,2)),31),2)</f>
        <v>00</v>
      </c>
      <c r="L429" t="str">
        <f>DEC2HEX(_xlfn.BITAND(HEX2DEC(MID('paste from garc here'!$C$1,1+(('table for research'!$B429-1)*36+HEX2DEC(8))*2,2)),32),2)</f>
        <v>00</v>
      </c>
      <c r="M429" t="str">
        <f>DEC2HEX(_xlfn.BITAND(HEX2DEC(MID('paste from garc here'!$C$1,1+(('table for research'!$B429-1)*36+HEX2DEC(8))*2,2)),64),2)</f>
        <v>00</v>
      </c>
      <c r="N429" t="str">
        <f>DEC2HEX(_xlfn.BITRSHIFT(_xlfn.BITAND(HEX2DEC(MID('paste from garc here'!$C$1,1+(('table for research'!$B429-1)*36+HEX2DEC(9))*2,2)&amp;MID('paste from garc here'!$C$1,1+(('table for research'!$B429-1)*36+HEX2DEC(8))*2,2)),1920),7),2)</f>
        <v>00</v>
      </c>
      <c r="O429" t="str">
        <f>DEC2HEX(_xlfn.BITRSHIFT(HEX2DEC(MID('paste from garc here'!$C$1,1+(('table for research'!$B429-1)*36+HEX2DEC(9))*2,2)&amp;MID('paste from garc here'!$C$1,1+(('table for research'!$B429-1)*36+HEX2DEC(8))*2,2)),11),2)</f>
        <v>00</v>
      </c>
      <c r="P429" t="str">
        <f>MID('paste from garc here'!$C$1,1+(('table for research'!$B429-1)*36+HEX2DEC('table for research'!P$1))*2,2)</f>
        <v>00</v>
      </c>
      <c r="Q429" t="str">
        <f>MID('paste from garc here'!$C$1,1+(('table for research'!$B429-1)*36+HEX2DEC('table for research'!Q$1))*2,2)</f>
        <v>00</v>
      </c>
      <c r="R429" t="str">
        <f>MID('paste from garc here'!$C$1,1+(('table for research'!$B429-1)*36+HEX2DEC('table for research'!R$1))*2,2)</f>
        <v>00</v>
      </c>
      <c r="S429" t="str">
        <f>MID('paste from garc here'!$C$1,1+(('table for research'!$B429-1)*36+HEX2DEC('table for research'!S$1))*2,2)</f>
        <v>02</v>
      </c>
      <c r="T429" t="str">
        <f>MID('paste from garc here'!$C$1,1+(('table for research'!$B429-1)*36+HEX2DEC('table for research'!T$1))*2,2)</f>
        <v>00</v>
      </c>
      <c r="U429" t="str">
        <f>MID('paste from garc here'!$C$1,1+(('table for research'!$B429-1)*36+HEX2DEC('table for research'!U$1))*2,2)</f>
        <v>00</v>
      </c>
      <c r="V429" t="str">
        <f>MID('paste from garc here'!$C$1,1+(('table for research'!$B429-1)*36+HEX2DEC('table for research'!V$1))*2,2)</f>
        <v>00</v>
      </c>
      <c r="W429" t="str">
        <f>MID('paste from garc here'!$C$1,1+(('table for research'!$B429-1)*36+HEX2DEC('table for research'!W$1))*2,2)</f>
        <v>00</v>
      </c>
      <c r="X429" t="str">
        <f>MID('paste from garc here'!$C$1,1+(('table for research'!$B429-1)*36+HEX2DEC('table for research'!X$1))*2,2)</f>
        <v>00</v>
      </c>
      <c r="Y429" t="str">
        <f>MID('paste from garc here'!$C$1,1+(('table for research'!$B429-1)*36+HEX2DEC('table for research'!Y$1))*2,2)</f>
        <v>00</v>
      </c>
      <c r="Z429" t="str">
        <f>MID('paste from garc here'!$C$1,1+(('table for research'!$B429-1)*36+HEX2DEC('table for research'!Z$1))*2,2)</f>
        <v>00</v>
      </c>
      <c r="AA429" t="str">
        <f>MID('paste from garc here'!$C$1,1+(('table for research'!$B429-1)*36+HEX2DEC('table for research'!AA$1))*2,2)</f>
        <v>00</v>
      </c>
      <c r="AB429" t="str">
        <f>MID('paste from garc here'!$C$1,1+(('table for research'!$B429-1)*36+HEX2DEC('table for research'!AB$1))*2,2)</f>
        <v>00</v>
      </c>
      <c r="AC429" t="str">
        <f>MID('paste from garc here'!$C$1,1+(('table for research'!$B429-1)*36+HEX2DEC('table for research'!AC$1))*2,2)</f>
        <v>00</v>
      </c>
      <c r="AD429" t="str">
        <f>MID('paste from garc here'!$C$1,1+(('table for research'!$B429-1)*36+HEX2DEC('table for research'!AD$1))*2,2)</f>
        <v>00</v>
      </c>
      <c r="AE429" t="str">
        <f>MID('paste from garc here'!$C$1,1+(('table for research'!$B429-1)*36+HEX2DEC('table for research'!AE$1))*2,2)</f>
        <v>00</v>
      </c>
      <c r="AF429" t="str">
        <f>MID('paste from garc here'!$C$1,1+(('table for research'!$B429-1)*36+HEX2DEC('table for research'!AF$1))*2,2)</f>
        <v>00</v>
      </c>
      <c r="AG429" t="str">
        <f>MID('paste from garc here'!$C$1,1+(('table for research'!$B429-1)*36+HEX2DEC('table for research'!AG$1))*2,2)</f>
        <v>00</v>
      </c>
      <c r="AH429" t="str">
        <f>MID('paste from garc here'!$C$1,1+(('table for research'!$B429-1)*36+HEX2DEC('table for research'!AH$1))*2,2)</f>
        <v>00</v>
      </c>
      <c r="AI429" t="str">
        <f>MID('paste from garc here'!$C$1,1+(('table for research'!$B429-1)*36+HEX2DEC('table for research'!AI$1))*2,2)</f>
        <v>00</v>
      </c>
      <c r="AJ429" t="str">
        <f>MID('paste from garc here'!$C$1,1+(('table for research'!$B429-1)*36+HEX2DEC('table for research'!AJ$1))*2,2)</f>
        <v>00</v>
      </c>
      <c r="AK429" t="str">
        <f>MID('paste from garc here'!$C$1,1+(('table for research'!$B429-1)*36+HEX2DEC('table for research'!AK$1))*2,2)</f>
        <v>00</v>
      </c>
      <c r="AL429" t="str">
        <f>MID('paste from garc here'!$C$1,1+(('table for research'!$B429-1)*36+HEX2DEC('table for research'!AL$1))*2,2)</f>
        <v>00</v>
      </c>
      <c r="AM429" t="str">
        <f>MID('paste from garc here'!$C$1,1+(('table for research'!$B429-1)*36+HEX2DEC('table for research'!AM$1))*2,2)</f>
        <v>00</v>
      </c>
      <c r="AN429" t="str">
        <f>MID('paste from garc here'!$C$1,1+(('table for research'!$B429-1)*36+HEX2DEC('table for research'!AN$1))*2,2)</f>
        <v>00</v>
      </c>
      <c r="AO429" t="str">
        <f>MID('paste from garc here'!$C$1,1+(('table for research'!$B429-1)*36+HEX2DEC('table for research'!AO$1))*2,2)</f>
        <v>00</v>
      </c>
    </row>
    <row r="430" spans="1:41" x14ac:dyDescent="0.4">
      <c r="A430" t="s">
        <v>432</v>
      </c>
      <c r="B430">
        <f>B429+1</f>
        <v>428</v>
      </c>
      <c r="C430" t="str">
        <f>MID('paste from garc here'!$C$1,1+(('table for research'!$B430-1)*36+HEX2DEC('table for research'!C$1))*2,2)</f>
        <v>00</v>
      </c>
      <c r="D430" t="str">
        <f>MID('paste from garc here'!$C$1,1+(('table for research'!$B430-1)*36+HEX2DEC('table for research'!D$1))*2,2)</f>
        <v>00</v>
      </c>
      <c r="E430" t="str">
        <f>MID('paste from garc here'!$C$1,1+(('table for research'!$B430-1)*36+HEX2DEC('table for research'!E$1))*2,2)</f>
        <v>00</v>
      </c>
      <c r="F430" t="str">
        <f>MID('paste from garc here'!$C$1,1+(('table for research'!$B430-1)*36+HEX2DEC('table for research'!F$1))*2,2)</f>
        <v>00</v>
      </c>
      <c r="G430" t="str">
        <f>MID('paste from garc here'!$C$1,1+(('table for research'!$B430-1)*36+HEX2DEC('table for research'!G$1))*2,2)</f>
        <v>00</v>
      </c>
      <c r="H430" t="str">
        <f>MID('paste from garc here'!$C$1,1+(('table for research'!$B430-1)*36+HEX2DEC('table for research'!H$1))*2,2)</f>
        <v>00</v>
      </c>
      <c r="I430" t="str">
        <f>MID('paste from garc here'!$C$1,1+(('table for research'!$B430-1)*36+HEX2DEC('table for research'!I$1))*2,2)</f>
        <v>00</v>
      </c>
      <c r="J430" t="str">
        <f>MID('paste from garc here'!$C$1,1+(('table for research'!$B430-1)*36+HEX2DEC('table for research'!J$1))*2,2)</f>
        <v>00</v>
      </c>
      <c r="K430" t="str">
        <f>DEC2HEX(_xlfn.BITAND(HEX2DEC(MID('paste from garc here'!$C$1,1+(('table for research'!$B430-1)*36+HEX2DEC(8))*2,2)),31),2)</f>
        <v>1F</v>
      </c>
      <c r="L430" t="str">
        <f>DEC2HEX(_xlfn.BITAND(HEX2DEC(MID('paste from garc here'!$C$1,1+(('table for research'!$B430-1)*36+HEX2DEC(8))*2,2)),32),2)</f>
        <v>00</v>
      </c>
      <c r="M430" t="str">
        <f>DEC2HEX(_xlfn.BITAND(HEX2DEC(MID('paste from garc here'!$C$1,1+(('table for research'!$B430-1)*36+HEX2DEC(8))*2,2)),64),2)</f>
        <v>00</v>
      </c>
      <c r="N430" t="str">
        <f>DEC2HEX(_xlfn.BITRSHIFT(_xlfn.BITAND(HEX2DEC(MID('paste from garc here'!$C$1,1+(('table for research'!$B430-1)*36+HEX2DEC(9))*2,2)&amp;MID('paste from garc here'!$C$1,1+(('table for research'!$B430-1)*36+HEX2DEC(8))*2,2)),1920),7),2)</f>
        <v>04</v>
      </c>
      <c r="O430" t="str">
        <f>DEC2HEX(_xlfn.BITRSHIFT(HEX2DEC(MID('paste from garc here'!$C$1,1+(('table for research'!$B430-1)*36+HEX2DEC(9))*2,2)&amp;MID('paste from garc here'!$C$1,1+(('table for research'!$B430-1)*36+HEX2DEC(8))*2,2)),11),2)</f>
        <v>00</v>
      </c>
      <c r="P430" t="str">
        <f>MID('paste from garc here'!$C$1,1+(('table for research'!$B430-1)*36+HEX2DEC('table for research'!P$1))*2,2)</f>
        <v>00</v>
      </c>
      <c r="Q430" t="str">
        <f>MID('paste from garc here'!$C$1,1+(('table for research'!$B430-1)*36+HEX2DEC('table for research'!Q$1))*2,2)</f>
        <v>00</v>
      </c>
      <c r="R430" t="str">
        <f>MID('paste from garc here'!$C$1,1+(('table for research'!$B430-1)*36+HEX2DEC('table for research'!R$1))*2,2)</f>
        <v>00</v>
      </c>
      <c r="S430" t="str">
        <f>MID('paste from garc here'!$C$1,1+(('table for research'!$B430-1)*36+HEX2DEC('table for research'!S$1))*2,2)</f>
        <v>08</v>
      </c>
      <c r="T430" t="str">
        <f>MID('paste from garc here'!$C$1,1+(('table for research'!$B430-1)*36+HEX2DEC('table for research'!T$1))*2,2)</f>
        <v>00</v>
      </c>
      <c r="U430" t="str">
        <f>MID('paste from garc here'!$C$1,1+(('table for research'!$B430-1)*36+HEX2DEC('table for research'!U$1))*2,2)</f>
        <v>FF</v>
      </c>
      <c r="V430" t="str">
        <f>MID('paste from garc here'!$C$1,1+(('table for research'!$B430-1)*36+HEX2DEC('table for research'!V$1))*2,2)</f>
        <v>00</v>
      </c>
      <c r="W430" t="str">
        <f>MID('paste from garc here'!$C$1,1+(('table for research'!$B430-1)*36+HEX2DEC('table for research'!W$1))*2,2)</f>
        <v>00</v>
      </c>
      <c r="X430" t="str">
        <f>MID('paste from garc here'!$C$1,1+(('table for research'!$B430-1)*36+HEX2DEC('table for research'!X$1))*2,2)</f>
        <v>00</v>
      </c>
      <c r="Y430" t="str">
        <f>MID('paste from garc here'!$C$1,1+(('table for research'!$B430-1)*36+HEX2DEC('table for research'!Y$1))*2,2)</f>
        <v>00</v>
      </c>
      <c r="Z430" t="str">
        <f>MID('paste from garc here'!$C$1,1+(('table for research'!$B430-1)*36+HEX2DEC('table for research'!Z$1))*2,2)</f>
        <v>00</v>
      </c>
      <c r="AA430" t="str">
        <f>MID('paste from garc here'!$C$1,1+(('table for research'!$B430-1)*36+HEX2DEC('table for research'!AA$1))*2,2)</f>
        <v>00</v>
      </c>
      <c r="AB430" t="str">
        <f>MID('paste from garc here'!$C$1,1+(('table for research'!$B430-1)*36+HEX2DEC('table for research'!AB$1))*2,2)</f>
        <v>00</v>
      </c>
      <c r="AC430" t="str">
        <f>MID('paste from garc here'!$C$1,1+(('table for research'!$B430-1)*36+HEX2DEC('table for research'!AC$1))*2,2)</f>
        <v>00</v>
      </c>
      <c r="AD430" t="str">
        <f>MID('paste from garc here'!$C$1,1+(('table for research'!$B430-1)*36+HEX2DEC('table for research'!AD$1))*2,2)</f>
        <v>00</v>
      </c>
      <c r="AE430" t="str">
        <f>MID('paste from garc here'!$C$1,1+(('table for research'!$B430-1)*36+HEX2DEC('table for research'!AE$1))*2,2)</f>
        <v>00</v>
      </c>
      <c r="AF430" t="str">
        <f>MID('paste from garc here'!$C$1,1+(('table for research'!$B430-1)*36+HEX2DEC('table for research'!AF$1))*2,2)</f>
        <v>00</v>
      </c>
      <c r="AG430" t="str">
        <f>MID('paste from garc here'!$C$1,1+(('table for research'!$B430-1)*36+HEX2DEC('table for research'!AG$1))*2,2)</f>
        <v>00</v>
      </c>
      <c r="AH430" t="str">
        <f>MID('paste from garc here'!$C$1,1+(('table for research'!$B430-1)*36+HEX2DEC('table for research'!AH$1))*2,2)</f>
        <v>00</v>
      </c>
      <c r="AI430" t="str">
        <f>MID('paste from garc here'!$C$1,1+(('table for research'!$B430-1)*36+HEX2DEC('table for research'!AI$1))*2,2)</f>
        <v>00</v>
      </c>
      <c r="AJ430" t="str">
        <f>MID('paste from garc here'!$C$1,1+(('table for research'!$B430-1)*36+HEX2DEC('table for research'!AJ$1))*2,2)</f>
        <v>00</v>
      </c>
      <c r="AK430" t="str">
        <f>MID('paste from garc here'!$C$1,1+(('table for research'!$B430-1)*36+HEX2DEC('table for research'!AK$1))*2,2)</f>
        <v>00</v>
      </c>
      <c r="AL430" t="str">
        <f>MID('paste from garc here'!$C$1,1+(('table for research'!$B430-1)*36+HEX2DEC('table for research'!AL$1))*2,2)</f>
        <v>00</v>
      </c>
      <c r="AM430" t="str">
        <f>MID('paste from garc here'!$C$1,1+(('table for research'!$B430-1)*36+HEX2DEC('table for research'!AM$1))*2,2)</f>
        <v>00</v>
      </c>
      <c r="AN430" t="str">
        <f>MID('paste from garc here'!$C$1,1+(('table for research'!$B430-1)*36+HEX2DEC('table for research'!AN$1))*2,2)</f>
        <v>00</v>
      </c>
      <c r="AO430" t="str">
        <f>MID('paste from garc here'!$C$1,1+(('table for research'!$B430-1)*36+HEX2DEC('table for research'!AO$1))*2,2)</f>
        <v>00</v>
      </c>
    </row>
    <row r="431" spans="1:41" x14ac:dyDescent="0.4">
      <c r="A431" t="s">
        <v>433</v>
      </c>
      <c r="B431">
        <f>B430+1</f>
        <v>429</v>
      </c>
      <c r="C431" t="str">
        <f>MID('paste from garc here'!$C$1,1+(('table for research'!$B431-1)*36+HEX2DEC('table for research'!C$1))*2,2)</f>
        <v>00</v>
      </c>
      <c r="D431" t="str">
        <f>MID('paste from garc here'!$C$1,1+(('table for research'!$B431-1)*36+HEX2DEC('table for research'!D$1))*2,2)</f>
        <v>00</v>
      </c>
      <c r="E431" t="str">
        <f>MID('paste from garc here'!$C$1,1+(('table for research'!$B431-1)*36+HEX2DEC('table for research'!E$1))*2,2)</f>
        <v>00</v>
      </c>
      <c r="F431" t="str">
        <f>MID('paste from garc here'!$C$1,1+(('table for research'!$B431-1)*36+HEX2DEC('table for research'!F$1))*2,2)</f>
        <v>00</v>
      </c>
      <c r="G431" t="str">
        <f>MID('paste from garc here'!$C$1,1+(('table for research'!$B431-1)*36+HEX2DEC('table for research'!G$1))*2,2)</f>
        <v>00</v>
      </c>
      <c r="H431" t="str">
        <f>MID('paste from garc here'!$C$1,1+(('table for research'!$B431-1)*36+HEX2DEC('table for research'!H$1))*2,2)</f>
        <v>00</v>
      </c>
      <c r="I431" t="str">
        <f>MID('paste from garc here'!$C$1,1+(('table for research'!$B431-1)*36+HEX2DEC('table for research'!I$1))*2,2)</f>
        <v>00</v>
      </c>
      <c r="J431" t="str">
        <f>MID('paste from garc here'!$C$1,1+(('table for research'!$B431-1)*36+HEX2DEC('table for research'!J$1))*2,2)</f>
        <v>00</v>
      </c>
      <c r="K431" t="str">
        <f>DEC2HEX(_xlfn.BITAND(HEX2DEC(MID('paste from garc here'!$C$1,1+(('table for research'!$B431-1)*36+HEX2DEC(8))*2,2)),31),2)</f>
        <v>1F</v>
      </c>
      <c r="L431" t="str">
        <f>DEC2HEX(_xlfn.BITAND(HEX2DEC(MID('paste from garc here'!$C$1,1+(('table for research'!$B431-1)*36+HEX2DEC(8))*2,2)),32),2)</f>
        <v>00</v>
      </c>
      <c r="M431" t="str">
        <f>DEC2HEX(_xlfn.BITAND(HEX2DEC(MID('paste from garc here'!$C$1,1+(('table for research'!$B431-1)*36+HEX2DEC(8))*2,2)),64),2)</f>
        <v>00</v>
      </c>
      <c r="N431" t="str">
        <f>DEC2HEX(_xlfn.BITRSHIFT(_xlfn.BITAND(HEX2DEC(MID('paste from garc here'!$C$1,1+(('table for research'!$B431-1)*36+HEX2DEC(9))*2,2)&amp;MID('paste from garc here'!$C$1,1+(('table for research'!$B431-1)*36+HEX2DEC(8))*2,2)),1920),7),2)</f>
        <v>04</v>
      </c>
      <c r="O431" t="str">
        <f>DEC2HEX(_xlfn.BITRSHIFT(HEX2DEC(MID('paste from garc here'!$C$1,1+(('table for research'!$B431-1)*36+HEX2DEC(9))*2,2)&amp;MID('paste from garc here'!$C$1,1+(('table for research'!$B431-1)*36+HEX2DEC(8))*2,2)),11),2)</f>
        <v>00</v>
      </c>
      <c r="P431" t="str">
        <f>MID('paste from garc here'!$C$1,1+(('table for research'!$B431-1)*36+HEX2DEC('table for research'!P$1))*2,2)</f>
        <v>00</v>
      </c>
      <c r="Q431" t="str">
        <f>MID('paste from garc here'!$C$1,1+(('table for research'!$B431-1)*36+HEX2DEC('table for research'!Q$1))*2,2)</f>
        <v>00</v>
      </c>
      <c r="R431" t="str">
        <f>MID('paste from garc here'!$C$1,1+(('table for research'!$B431-1)*36+HEX2DEC('table for research'!R$1))*2,2)</f>
        <v>00</v>
      </c>
      <c r="S431" t="str">
        <f>MID('paste from garc here'!$C$1,1+(('table for research'!$B431-1)*36+HEX2DEC('table for research'!S$1))*2,2)</f>
        <v>08</v>
      </c>
      <c r="T431" t="str">
        <f>MID('paste from garc here'!$C$1,1+(('table for research'!$B431-1)*36+HEX2DEC('table for research'!T$1))*2,2)</f>
        <v>00</v>
      </c>
      <c r="U431" t="str">
        <f>MID('paste from garc here'!$C$1,1+(('table for research'!$B431-1)*36+HEX2DEC('table for research'!U$1))*2,2)</f>
        <v>FF</v>
      </c>
      <c r="V431" t="str">
        <f>MID('paste from garc here'!$C$1,1+(('table for research'!$B431-1)*36+HEX2DEC('table for research'!V$1))*2,2)</f>
        <v>00</v>
      </c>
      <c r="W431" t="str">
        <f>MID('paste from garc here'!$C$1,1+(('table for research'!$B431-1)*36+HEX2DEC('table for research'!W$1))*2,2)</f>
        <v>00</v>
      </c>
      <c r="X431" t="str">
        <f>MID('paste from garc here'!$C$1,1+(('table for research'!$B431-1)*36+HEX2DEC('table for research'!X$1))*2,2)</f>
        <v>00</v>
      </c>
      <c r="Y431" t="str">
        <f>MID('paste from garc here'!$C$1,1+(('table for research'!$B431-1)*36+HEX2DEC('table for research'!Y$1))*2,2)</f>
        <v>00</v>
      </c>
      <c r="Z431" t="str">
        <f>MID('paste from garc here'!$C$1,1+(('table for research'!$B431-1)*36+HEX2DEC('table for research'!Z$1))*2,2)</f>
        <v>00</v>
      </c>
      <c r="AA431" t="str">
        <f>MID('paste from garc here'!$C$1,1+(('table for research'!$B431-1)*36+HEX2DEC('table for research'!AA$1))*2,2)</f>
        <v>00</v>
      </c>
      <c r="AB431" t="str">
        <f>MID('paste from garc here'!$C$1,1+(('table for research'!$B431-1)*36+HEX2DEC('table for research'!AB$1))*2,2)</f>
        <v>00</v>
      </c>
      <c r="AC431" t="str">
        <f>MID('paste from garc here'!$C$1,1+(('table for research'!$B431-1)*36+HEX2DEC('table for research'!AC$1))*2,2)</f>
        <v>00</v>
      </c>
      <c r="AD431" t="str">
        <f>MID('paste from garc here'!$C$1,1+(('table for research'!$B431-1)*36+HEX2DEC('table for research'!AD$1))*2,2)</f>
        <v>00</v>
      </c>
      <c r="AE431" t="str">
        <f>MID('paste from garc here'!$C$1,1+(('table for research'!$B431-1)*36+HEX2DEC('table for research'!AE$1))*2,2)</f>
        <v>00</v>
      </c>
      <c r="AF431" t="str">
        <f>MID('paste from garc here'!$C$1,1+(('table for research'!$B431-1)*36+HEX2DEC('table for research'!AF$1))*2,2)</f>
        <v>00</v>
      </c>
      <c r="AG431" t="str">
        <f>MID('paste from garc here'!$C$1,1+(('table for research'!$B431-1)*36+HEX2DEC('table for research'!AG$1))*2,2)</f>
        <v>00</v>
      </c>
      <c r="AH431" t="str">
        <f>MID('paste from garc here'!$C$1,1+(('table for research'!$B431-1)*36+HEX2DEC('table for research'!AH$1))*2,2)</f>
        <v>00</v>
      </c>
      <c r="AI431" t="str">
        <f>MID('paste from garc here'!$C$1,1+(('table for research'!$B431-1)*36+HEX2DEC('table for research'!AI$1))*2,2)</f>
        <v>00</v>
      </c>
      <c r="AJ431" t="str">
        <f>MID('paste from garc here'!$C$1,1+(('table for research'!$B431-1)*36+HEX2DEC('table for research'!AJ$1))*2,2)</f>
        <v>00</v>
      </c>
      <c r="AK431" t="str">
        <f>MID('paste from garc here'!$C$1,1+(('table for research'!$B431-1)*36+HEX2DEC('table for research'!AK$1))*2,2)</f>
        <v>00</v>
      </c>
      <c r="AL431" t="str">
        <f>MID('paste from garc here'!$C$1,1+(('table for research'!$B431-1)*36+HEX2DEC('table for research'!AL$1))*2,2)</f>
        <v>00</v>
      </c>
      <c r="AM431" t="str">
        <f>MID('paste from garc here'!$C$1,1+(('table for research'!$B431-1)*36+HEX2DEC('table for research'!AM$1))*2,2)</f>
        <v>00</v>
      </c>
      <c r="AN431" t="str">
        <f>MID('paste from garc here'!$C$1,1+(('table for research'!$B431-1)*36+HEX2DEC('table for research'!AN$1))*2,2)</f>
        <v>00</v>
      </c>
      <c r="AO431" t="str">
        <f>MID('paste from garc here'!$C$1,1+(('table for research'!$B431-1)*36+HEX2DEC('table for research'!AO$1))*2,2)</f>
        <v>00</v>
      </c>
    </row>
    <row r="432" spans="1:41" x14ac:dyDescent="0.4">
      <c r="A432" t="s">
        <v>434</v>
      </c>
      <c r="B432">
        <f>B431+1</f>
        <v>430</v>
      </c>
      <c r="C432" t="str">
        <f>MID('paste from garc here'!$C$1,1+(('table for research'!$B432-1)*36+HEX2DEC('table for research'!C$1))*2,2)</f>
        <v>00</v>
      </c>
      <c r="D432" t="str">
        <f>MID('paste from garc here'!$C$1,1+(('table for research'!$B432-1)*36+HEX2DEC('table for research'!D$1))*2,2)</f>
        <v>00</v>
      </c>
      <c r="E432" t="str">
        <f>MID('paste from garc here'!$C$1,1+(('table for research'!$B432-1)*36+HEX2DEC('table for research'!E$1))*2,2)</f>
        <v>00</v>
      </c>
      <c r="F432" t="str">
        <f>MID('paste from garc here'!$C$1,1+(('table for research'!$B432-1)*36+HEX2DEC('table for research'!F$1))*2,2)</f>
        <v>00</v>
      </c>
      <c r="G432" t="str">
        <f>MID('paste from garc here'!$C$1,1+(('table for research'!$B432-1)*36+HEX2DEC('table for research'!G$1))*2,2)</f>
        <v>00</v>
      </c>
      <c r="H432" t="str">
        <f>MID('paste from garc here'!$C$1,1+(('table for research'!$B432-1)*36+HEX2DEC('table for research'!H$1))*2,2)</f>
        <v>00</v>
      </c>
      <c r="I432" t="str">
        <f>MID('paste from garc here'!$C$1,1+(('table for research'!$B432-1)*36+HEX2DEC('table for research'!I$1))*2,2)</f>
        <v>00</v>
      </c>
      <c r="J432" t="str">
        <f>MID('paste from garc here'!$C$1,1+(('table for research'!$B432-1)*36+HEX2DEC('table for research'!J$1))*2,2)</f>
        <v>00</v>
      </c>
      <c r="K432" t="str">
        <f>DEC2HEX(_xlfn.BITAND(HEX2DEC(MID('paste from garc here'!$C$1,1+(('table for research'!$B432-1)*36+HEX2DEC(8))*2,2)),31),2)</f>
        <v>1F</v>
      </c>
      <c r="L432" t="str">
        <f>DEC2HEX(_xlfn.BITAND(HEX2DEC(MID('paste from garc here'!$C$1,1+(('table for research'!$B432-1)*36+HEX2DEC(8))*2,2)),32),2)</f>
        <v>00</v>
      </c>
      <c r="M432" t="str">
        <f>DEC2HEX(_xlfn.BITAND(HEX2DEC(MID('paste from garc here'!$C$1,1+(('table for research'!$B432-1)*36+HEX2DEC(8))*2,2)),64),2)</f>
        <v>00</v>
      </c>
      <c r="N432" t="str">
        <f>DEC2HEX(_xlfn.BITRSHIFT(_xlfn.BITAND(HEX2DEC(MID('paste from garc here'!$C$1,1+(('table for research'!$B432-1)*36+HEX2DEC(9))*2,2)&amp;MID('paste from garc here'!$C$1,1+(('table for research'!$B432-1)*36+HEX2DEC(8))*2,2)),1920),7),2)</f>
        <v>04</v>
      </c>
      <c r="O432" t="str">
        <f>DEC2HEX(_xlfn.BITRSHIFT(HEX2DEC(MID('paste from garc here'!$C$1,1+(('table for research'!$B432-1)*36+HEX2DEC(9))*2,2)&amp;MID('paste from garc here'!$C$1,1+(('table for research'!$B432-1)*36+HEX2DEC(8))*2,2)),11),2)</f>
        <v>00</v>
      </c>
      <c r="P432" t="str">
        <f>MID('paste from garc here'!$C$1,1+(('table for research'!$B432-1)*36+HEX2DEC('table for research'!P$1))*2,2)</f>
        <v>00</v>
      </c>
      <c r="Q432" t="str">
        <f>MID('paste from garc here'!$C$1,1+(('table for research'!$B432-1)*36+HEX2DEC('table for research'!Q$1))*2,2)</f>
        <v>00</v>
      </c>
      <c r="R432" t="str">
        <f>MID('paste from garc here'!$C$1,1+(('table for research'!$B432-1)*36+HEX2DEC('table for research'!R$1))*2,2)</f>
        <v>00</v>
      </c>
      <c r="S432" t="str">
        <f>MID('paste from garc here'!$C$1,1+(('table for research'!$B432-1)*36+HEX2DEC('table for research'!S$1))*2,2)</f>
        <v>08</v>
      </c>
      <c r="T432" t="str">
        <f>MID('paste from garc here'!$C$1,1+(('table for research'!$B432-1)*36+HEX2DEC('table for research'!T$1))*2,2)</f>
        <v>00</v>
      </c>
      <c r="U432" t="str">
        <f>MID('paste from garc here'!$C$1,1+(('table for research'!$B432-1)*36+HEX2DEC('table for research'!U$1))*2,2)</f>
        <v>FF</v>
      </c>
      <c r="V432" t="str">
        <f>MID('paste from garc here'!$C$1,1+(('table for research'!$B432-1)*36+HEX2DEC('table for research'!V$1))*2,2)</f>
        <v>00</v>
      </c>
      <c r="W432" t="str">
        <f>MID('paste from garc here'!$C$1,1+(('table for research'!$B432-1)*36+HEX2DEC('table for research'!W$1))*2,2)</f>
        <v>00</v>
      </c>
      <c r="X432" t="str">
        <f>MID('paste from garc here'!$C$1,1+(('table for research'!$B432-1)*36+HEX2DEC('table for research'!X$1))*2,2)</f>
        <v>00</v>
      </c>
      <c r="Y432" t="str">
        <f>MID('paste from garc here'!$C$1,1+(('table for research'!$B432-1)*36+HEX2DEC('table for research'!Y$1))*2,2)</f>
        <v>00</v>
      </c>
      <c r="Z432" t="str">
        <f>MID('paste from garc here'!$C$1,1+(('table for research'!$B432-1)*36+HEX2DEC('table for research'!Z$1))*2,2)</f>
        <v>00</v>
      </c>
      <c r="AA432" t="str">
        <f>MID('paste from garc here'!$C$1,1+(('table for research'!$B432-1)*36+HEX2DEC('table for research'!AA$1))*2,2)</f>
        <v>00</v>
      </c>
      <c r="AB432" t="str">
        <f>MID('paste from garc here'!$C$1,1+(('table for research'!$B432-1)*36+HEX2DEC('table for research'!AB$1))*2,2)</f>
        <v>00</v>
      </c>
      <c r="AC432" t="str">
        <f>MID('paste from garc here'!$C$1,1+(('table for research'!$B432-1)*36+HEX2DEC('table for research'!AC$1))*2,2)</f>
        <v>00</v>
      </c>
      <c r="AD432" t="str">
        <f>MID('paste from garc here'!$C$1,1+(('table for research'!$B432-1)*36+HEX2DEC('table for research'!AD$1))*2,2)</f>
        <v>00</v>
      </c>
      <c r="AE432" t="str">
        <f>MID('paste from garc here'!$C$1,1+(('table for research'!$B432-1)*36+HEX2DEC('table for research'!AE$1))*2,2)</f>
        <v>00</v>
      </c>
      <c r="AF432" t="str">
        <f>MID('paste from garc here'!$C$1,1+(('table for research'!$B432-1)*36+HEX2DEC('table for research'!AF$1))*2,2)</f>
        <v>00</v>
      </c>
      <c r="AG432" t="str">
        <f>MID('paste from garc here'!$C$1,1+(('table for research'!$B432-1)*36+HEX2DEC('table for research'!AG$1))*2,2)</f>
        <v>00</v>
      </c>
      <c r="AH432" t="str">
        <f>MID('paste from garc here'!$C$1,1+(('table for research'!$B432-1)*36+HEX2DEC('table for research'!AH$1))*2,2)</f>
        <v>00</v>
      </c>
      <c r="AI432" t="str">
        <f>MID('paste from garc here'!$C$1,1+(('table for research'!$B432-1)*36+HEX2DEC('table for research'!AI$1))*2,2)</f>
        <v>00</v>
      </c>
      <c r="AJ432" t="str">
        <f>MID('paste from garc here'!$C$1,1+(('table for research'!$B432-1)*36+HEX2DEC('table for research'!AJ$1))*2,2)</f>
        <v>00</v>
      </c>
      <c r="AK432" t="str">
        <f>MID('paste from garc here'!$C$1,1+(('table for research'!$B432-1)*36+HEX2DEC('table for research'!AK$1))*2,2)</f>
        <v>00</v>
      </c>
      <c r="AL432" t="str">
        <f>MID('paste from garc here'!$C$1,1+(('table for research'!$B432-1)*36+HEX2DEC('table for research'!AL$1))*2,2)</f>
        <v>00</v>
      </c>
      <c r="AM432" t="str">
        <f>MID('paste from garc here'!$C$1,1+(('table for research'!$B432-1)*36+HEX2DEC('table for research'!AM$1))*2,2)</f>
        <v>00</v>
      </c>
      <c r="AN432" t="str">
        <f>MID('paste from garc here'!$C$1,1+(('table for research'!$B432-1)*36+HEX2DEC('table for research'!AN$1))*2,2)</f>
        <v>00</v>
      </c>
      <c r="AO432" t="str">
        <f>MID('paste from garc here'!$C$1,1+(('table for research'!$B432-1)*36+HEX2DEC('table for research'!AO$1))*2,2)</f>
        <v>00</v>
      </c>
    </row>
    <row r="433" spans="1:41" x14ac:dyDescent="0.4">
      <c r="A433" t="s">
        <v>435</v>
      </c>
      <c r="B433">
        <f>B432+1</f>
        <v>431</v>
      </c>
      <c r="C433" t="str">
        <f>MID('paste from garc here'!$C$1,1+(('table for research'!$B433-1)*36+HEX2DEC('table for research'!C$1))*2,2)</f>
        <v>00</v>
      </c>
      <c r="D433" t="str">
        <f>MID('paste from garc here'!$C$1,1+(('table for research'!$B433-1)*36+HEX2DEC('table for research'!D$1))*2,2)</f>
        <v>00</v>
      </c>
      <c r="E433" t="str">
        <f>MID('paste from garc here'!$C$1,1+(('table for research'!$B433-1)*36+HEX2DEC('table for research'!E$1))*2,2)</f>
        <v>00</v>
      </c>
      <c r="F433" t="str">
        <f>MID('paste from garc here'!$C$1,1+(('table for research'!$B433-1)*36+HEX2DEC('table for research'!F$1))*2,2)</f>
        <v>00</v>
      </c>
      <c r="G433" t="str">
        <f>MID('paste from garc here'!$C$1,1+(('table for research'!$B433-1)*36+HEX2DEC('table for research'!G$1))*2,2)</f>
        <v>00</v>
      </c>
      <c r="H433" t="str">
        <f>MID('paste from garc here'!$C$1,1+(('table for research'!$B433-1)*36+HEX2DEC('table for research'!H$1))*2,2)</f>
        <v>00</v>
      </c>
      <c r="I433" t="str">
        <f>MID('paste from garc here'!$C$1,1+(('table for research'!$B433-1)*36+HEX2DEC('table for research'!I$1))*2,2)</f>
        <v>00</v>
      </c>
      <c r="J433" t="str">
        <f>MID('paste from garc here'!$C$1,1+(('table for research'!$B433-1)*36+HEX2DEC('table for research'!J$1))*2,2)</f>
        <v>00</v>
      </c>
      <c r="K433" t="str">
        <f>DEC2HEX(_xlfn.BITAND(HEX2DEC(MID('paste from garc here'!$C$1,1+(('table for research'!$B433-1)*36+HEX2DEC(8))*2,2)),31),2)</f>
        <v>1F</v>
      </c>
      <c r="L433" t="str">
        <f>DEC2HEX(_xlfn.BITAND(HEX2DEC(MID('paste from garc here'!$C$1,1+(('table for research'!$B433-1)*36+HEX2DEC(8))*2,2)),32),2)</f>
        <v>20</v>
      </c>
      <c r="M433" t="str">
        <f>DEC2HEX(_xlfn.BITAND(HEX2DEC(MID('paste from garc here'!$C$1,1+(('table for research'!$B433-1)*36+HEX2DEC(8))*2,2)),64),2)</f>
        <v>00</v>
      </c>
      <c r="N433" t="str">
        <f>DEC2HEX(_xlfn.BITRSHIFT(_xlfn.BITAND(HEX2DEC(MID('paste from garc here'!$C$1,1+(('table for research'!$B433-1)*36+HEX2DEC(9))*2,2)&amp;MID('paste from garc here'!$C$1,1+(('table for research'!$B433-1)*36+HEX2DEC(8))*2,2)),1920),7),2)</f>
        <v>04</v>
      </c>
      <c r="O433" t="str">
        <f>DEC2HEX(_xlfn.BITRSHIFT(HEX2DEC(MID('paste from garc here'!$C$1,1+(('table for research'!$B433-1)*36+HEX2DEC(9))*2,2)&amp;MID('paste from garc here'!$C$1,1+(('table for research'!$B433-1)*36+HEX2DEC(8))*2,2)),11),2)</f>
        <v>00</v>
      </c>
      <c r="P433" t="str">
        <f>MID('paste from garc here'!$C$1,1+(('table for research'!$B433-1)*36+HEX2DEC('table for research'!P$1))*2,2)</f>
        <v>00</v>
      </c>
      <c r="Q433" t="str">
        <f>MID('paste from garc here'!$C$1,1+(('table for research'!$B433-1)*36+HEX2DEC('table for research'!Q$1))*2,2)</f>
        <v>00</v>
      </c>
      <c r="R433" t="str">
        <f>MID('paste from garc here'!$C$1,1+(('table for research'!$B433-1)*36+HEX2DEC('table for research'!R$1))*2,2)</f>
        <v>00</v>
      </c>
      <c r="S433" t="str">
        <f>MID('paste from garc here'!$C$1,1+(('table for research'!$B433-1)*36+HEX2DEC('table for research'!S$1))*2,2)</f>
        <v>08</v>
      </c>
      <c r="T433" t="str">
        <f>MID('paste from garc here'!$C$1,1+(('table for research'!$B433-1)*36+HEX2DEC('table for research'!T$1))*2,2)</f>
        <v>00</v>
      </c>
      <c r="U433" t="str">
        <f>MID('paste from garc here'!$C$1,1+(('table for research'!$B433-1)*36+HEX2DEC('table for research'!U$1))*2,2)</f>
        <v>FF</v>
      </c>
      <c r="V433" t="str">
        <f>MID('paste from garc here'!$C$1,1+(('table for research'!$B433-1)*36+HEX2DEC('table for research'!V$1))*2,2)</f>
        <v>00</v>
      </c>
      <c r="W433" t="str">
        <f>MID('paste from garc here'!$C$1,1+(('table for research'!$B433-1)*36+HEX2DEC('table for research'!W$1))*2,2)</f>
        <v>00</v>
      </c>
      <c r="X433" t="str">
        <f>MID('paste from garc here'!$C$1,1+(('table for research'!$B433-1)*36+HEX2DEC('table for research'!X$1))*2,2)</f>
        <v>00</v>
      </c>
      <c r="Y433" t="str">
        <f>MID('paste from garc here'!$C$1,1+(('table for research'!$B433-1)*36+HEX2DEC('table for research'!Y$1))*2,2)</f>
        <v>00</v>
      </c>
      <c r="Z433" t="str">
        <f>MID('paste from garc here'!$C$1,1+(('table for research'!$B433-1)*36+HEX2DEC('table for research'!Z$1))*2,2)</f>
        <v>00</v>
      </c>
      <c r="AA433" t="str">
        <f>MID('paste from garc here'!$C$1,1+(('table for research'!$B433-1)*36+HEX2DEC('table for research'!AA$1))*2,2)</f>
        <v>00</v>
      </c>
      <c r="AB433" t="str">
        <f>MID('paste from garc here'!$C$1,1+(('table for research'!$B433-1)*36+HEX2DEC('table for research'!AB$1))*2,2)</f>
        <v>00</v>
      </c>
      <c r="AC433" t="str">
        <f>MID('paste from garc here'!$C$1,1+(('table for research'!$B433-1)*36+HEX2DEC('table for research'!AC$1))*2,2)</f>
        <v>00</v>
      </c>
      <c r="AD433" t="str">
        <f>MID('paste from garc here'!$C$1,1+(('table for research'!$B433-1)*36+HEX2DEC('table for research'!AD$1))*2,2)</f>
        <v>00</v>
      </c>
      <c r="AE433" t="str">
        <f>MID('paste from garc here'!$C$1,1+(('table for research'!$B433-1)*36+HEX2DEC('table for research'!AE$1))*2,2)</f>
        <v>00</v>
      </c>
      <c r="AF433" t="str">
        <f>MID('paste from garc here'!$C$1,1+(('table for research'!$B433-1)*36+HEX2DEC('table for research'!AF$1))*2,2)</f>
        <v>00</v>
      </c>
      <c r="AG433" t="str">
        <f>MID('paste from garc here'!$C$1,1+(('table for research'!$B433-1)*36+HEX2DEC('table for research'!AG$1))*2,2)</f>
        <v>00</v>
      </c>
      <c r="AH433" t="str">
        <f>MID('paste from garc here'!$C$1,1+(('table for research'!$B433-1)*36+HEX2DEC('table for research'!AH$1))*2,2)</f>
        <v>00</v>
      </c>
      <c r="AI433" t="str">
        <f>MID('paste from garc here'!$C$1,1+(('table for research'!$B433-1)*36+HEX2DEC('table for research'!AI$1))*2,2)</f>
        <v>00</v>
      </c>
      <c r="AJ433" t="str">
        <f>MID('paste from garc here'!$C$1,1+(('table for research'!$B433-1)*36+HEX2DEC('table for research'!AJ$1))*2,2)</f>
        <v>00</v>
      </c>
      <c r="AK433" t="str">
        <f>MID('paste from garc here'!$C$1,1+(('table for research'!$B433-1)*36+HEX2DEC('table for research'!AK$1))*2,2)</f>
        <v>00</v>
      </c>
      <c r="AL433" t="str">
        <f>MID('paste from garc here'!$C$1,1+(('table for research'!$B433-1)*36+HEX2DEC('table for research'!AL$1))*2,2)</f>
        <v>00</v>
      </c>
      <c r="AM433" t="str">
        <f>MID('paste from garc here'!$C$1,1+(('table for research'!$B433-1)*36+HEX2DEC('table for research'!AM$1))*2,2)</f>
        <v>00</v>
      </c>
      <c r="AN433" t="str">
        <f>MID('paste from garc here'!$C$1,1+(('table for research'!$B433-1)*36+HEX2DEC('table for research'!AN$1))*2,2)</f>
        <v>00</v>
      </c>
      <c r="AO433" t="str">
        <f>MID('paste from garc here'!$C$1,1+(('table for research'!$B433-1)*36+HEX2DEC('table for research'!AO$1))*2,2)</f>
        <v>00</v>
      </c>
    </row>
    <row r="434" spans="1:41" x14ac:dyDescent="0.4">
      <c r="A434" t="s">
        <v>436</v>
      </c>
      <c r="B434">
        <f>B433+1</f>
        <v>432</v>
      </c>
      <c r="C434" t="str">
        <f>MID('paste from garc here'!$C$1,1+(('table for research'!$B434-1)*36+HEX2DEC('table for research'!C$1))*2,2)</f>
        <v>00</v>
      </c>
      <c r="D434" t="str">
        <f>MID('paste from garc here'!$C$1,1+(('table for research'!$B434-1)*36+HEX2DEC('table for research'!D$1))*2,2)</f>
        <v>00</v>
      </c>
      <c r="E434" t="str">
        <f>MID('paste from garc here'!$C$1,1+(('table for research'!$B434-1)*36+HEX2DEC('table for research'!E$1))*2,2)</f>
        <v>00</v>
      </c>
      <c r="F434" t="str">
        <f>MID('paste from garc here'!$C$1,1+(('table for research'!$B434-1)*36+HEX2DEC('table for research'!F$1))*2,2)</f>
        <v>00</v>
      </c>
      <c r="G434" t="str">
        <f>MID('paste from garc here'!$C$1,1+(('table for research'!$B434-1)*36+HEX2DEC('table for research'!G$1))*2,2)</f>
        <v>00</v>
      </c>
      <c r="H434" t="str">
        <f>MID('paste from garc here'!$C$1,1+(('table for research'!$B434-1)*36+HEX2DEC('table for research'!H$1))*2,2)</f>
        <v>00</v>
      </c>
      <c r="I434" t="str">
        <f>MID('paste from garc here'!$C$1,1+(('table for research'!$B434-1)*36+HEX2DEC('table for research'!I$1))*2,2)</f>
        <v>00</v>
      </c>
      <c r="J434" t="str">
        <f>MID('paste from garc here'!$C$1,1+(('table for research'!$B434-1)*36+HEX2DEC('table for research'!J$1))*2,2)</f>
        <v>00</v>
      </c>
      <c r="K434" t="str">
        <f>DEC2HEX(_xlfn.BITAND(HEX2DEC(MID('paste from garc here'!$C$1,1+(('table for research'!$B434-1)*36+HEX2DEC(8))*2,2)),31),2)</f>
        <v>1F</v>
      </c>
      <c r="L434" t="str">
        <f>DEC2HEX(_xlfn.BITAND(HEX2DEC(MID('paste from garc here'!$C$1,1+(('table for research'!$B434-1)*36+HEX2DEC(8))*2,2)),32),2)</f>
        <v>00</v>
      </c>
      <c r="M434" t="str">
        <f>DEC2HEX(_xlfn.BITAND(HEX2DEC(MID('paste from garc here'!$C$1,1+(('table for research'!$B434-1)*36+HEX2DEC(8))*2,2)),64),2)</f>
        <v>00</v>
      </c>
      <c r="N434" t="str">
        <f>DEC2HEX(_xlfn.BITRSHIFT(_xlfn.BITAND(HEX2DEC(MID('paste from garc here'!$C$1,1+(('table for research'!$B434-1)*36+HEX2DEC(9))*2,2)&amp;MID('paste from garc here'!$C$1,1+(('table for research'!$B434-1)*36+HEX2DEC(8))*2,2)),1920),7),2)</f>
        <v>04</v>
      </c>
      <c r="O434" t="str">
        <f>DEC2HEX(_xlfn.BITRSHIFT(HEX2DEC(MID('paste from garc here'!$C$1,1+(('table for research'!$B434-1)*36+HEX2DEC(9))*2,2)&amp;MID('paste from garc here'!$C$1,1+(('table for research'!$B434-1)*36+HEX2DEC(8))*2,2)),11),2)</f>
        <v>00</v>
      </c>
      <c r="P434" t="str">
        <f>MID('paste from garc here'!$C$1,1+(('table for research'!$B434-1)*36+HEX2DEC('table for research'!P$1))*2,2)</f>
        <v>00</v>
      </c>
      <c r="Q434" t="str">
        <f>MID('paste from garc here'!$C$1,1+(('table for research'!$B434-1)*36+HEX2DEC('table for research'!Q$1))*2,2)</f>
        <v>00</v>
      </c>
      <c r="R434" t="str">
        <f>MID('paste from garc here'!$C$1,1+(('table for research'!$B434-1)*36+HEX2DEC('table for research'!R$1))*2,2)</f>
        <v>00</v>
      </c>
      <c r="S434" t="str">
        <f>MID('paste from garc here'!$C$1,1+(('table for research'!$B434-1)*36+HEX2DEC('table for research'!S$1))*2,2)</f>
        <v>08</v>
      </c>
      <c r="T434" t="str">
        <f>MID('paste from garc here'!$C$1,1+(('table for research'!$B434-1)*36+HEX2DEC('table for research'!T$1))*2,2)</f>
        <v>00</v>
      </c>
      <c r="U434" t="str">
        <f>MID('paste from garc here'!$C$1,1+(('table for research'!$B434-1)*36+HEX2DEC('table for research'!U$1))*2,2)</f>
        <v>FF</v>
      </c>
      <c r="V434" t="str">
        <f>MID('paste from garc here'!$C$1,1+(('table for research'!$B434-1)*36+HEX2DEC('table for research'!V$1))*2,2)</f>
        <v>00</v>
      </c>
      <c r="W434" t="str">
        <f>MID('paste from garc here'!$C$1,1+(('table for research'!$B434-1)*36+HEX2DEC('table for research'!W$1))*2,2)</f>
        <v>00</v>
      </c>
      <c r="X434" t="str">
        <f>MID('paste from garc here'!$C$1,1+(('table for research'!$B434-1)*36+HEX2DEC('table for research'!X$1))*2,2)</f>
        <v>00</v>
      </c>
      <c r="Y434" t="str">
        <f>MID('paste from garc here'!$C$1,1+(('table for research'!$B434-1)*36+HEX2DEC('table for research'!Y$1))*2,2)</f>
        <v>00</v>
      </c>
      <c r="Z434" t="str">
        <f>MID('paste from garc here'!$C$1,1+(('table for research'!$B434-1)*36+HEX2DEC('table for research'!Z$1))*2,2)</f>
        <v>00</v>
      </c>
      <c r="AA434" t="str">
        <f>MID('paste from garc here'!$C$1,1+(('table for research'!$B434-1)*36+HEX2DEC('table for research'!AA$1))*2,2)</f>
        <v>00</v>
      </c>
      <c r="AB434" t="str">
        <f>MID('paste from garc here'!$C$1,1+(('table for research'!$B434-1)*36+HEX2DEC('table for research'!AB$1))*2,2)</f>
        <v>00</v>
      </c>
      <c r="AC434" t="str">
        <f>MID('paste from garc here'!$C$1,1+(('table for research'!$B434-1)*36+HEX2DEC('table for research'!AC$1))*2,2)</f>
        <v>00</v>
      </c>
      <c r="AD434" t="str">
        <f>MID('paste from garc here'!$C$1,1+(('table for research'!$B434-1)*36+HEX2DEC('table for research'!AD$1))*2,2)</f>
        <v>00</v>
      </c>
      <c r="AE434" t="str">
        <f>MID('paste from garc here'!$C$1,1+(('table for research'!$B434-1)*36+HEX2DEC('table for research'!AE$1))*2,2)</f>
        <v>00</v>
      </c>
      <c r="AF434" t="str">
        <f>MID('paste from garc here'!$C$1,1+(('table for research'!$B434-1)*36+HEX2DEC('table for research'!AF$1))*2,2)</f>
        <v>00</v>
      </c>
      <c r="AG434" t="str">
        <f>MID('paste from garc here'!$C$1,1+(('table for research'!$B434-1)*36+HEX2DEC('table for research'!AG$1))*2,2)</f>
        <v>00</v>
      </c>
      <c r="AH434" t="str">
        <f>MID('paste from garc here'!$C$1,1+(('table for research'!$B434-1)*36+HEX2DEC('table for research'!AH$1))*2,2)</f>
        <v>00</v>
      </c>
      <c r="AI434" t="str">
        <f>MID('paste from garc here'!$C$1,1+(('table for research'!$B434-1)*36+HEX2DEC('table for research'!AI$1))*2,2)</f>
        <v>00</v>
      </c>
      <c r="AJ434" t="str">
        <f>MID('paste from garc here'!$C$1,1+(('table for research'!$B434-1)*36+HEX2DEC('table for research'!AJ$1))*2,2)</f>
        <v>00</v>
      </c>
      <c r="AK434" t="str">
        <f>MID('paste from garc here'!$C$1,1+(('table for research'!$B434-1)*36+HEX2DEC('table for research'!AK$1))*2,2)</f>
        <v>00</v>
      </c>
      <c r="AL434" t="str">
        <f>MID('paste from garc here'!$C$1,1+(('table for research'!$B434-1)*36+HEX2DEC('table for research'!AL$1))*2,2)</f>
        <v>00</v>
      </c>
      <c r="AM434" t="str">
        <f>MID('paste from garc here'!$C$1,1+(('table for research'!$B434-1)*36+HEX2DEC('table for research'!AM$1))*2,2)</f>
        <v>00</v>
      </c>
      <c r="AN434" t="str">
        <f>MID('paste from garc here'!$C$1,1+(('table for research'!$B434-1)*36+HEX2DEC('table for research'!AN$1))*2,2)</f>
        <v>00</v>
      </c>
      <c r="AO434" t="str">
        <f>MID('paste from garc here'!$C$1,1+(('table for research'!$B434-1)*36+HEX2DEC('table for research'!AO$1))*2,2)</f>
        <v>00</v>
      </c>
    </row>
    <row r="435" spans="1:41" x14ac:dyDescent="0.4">
      <c r="A435" t="s">
        <v>437</v>
      </c>
      <c r="B435">
        <f>B434+1</f>
        <v>433</v>
      </c>
      <c r="C435" t="str">
        <f>MID('paste from garc here'!$C$1,1+(('table for research'!$B435-1)*36+HEX2DEC('table for research'!C$1))*2,2)</f>
        <v>00</v>
      </c>
      <c r="D435" t="str">
        <f>MID('paste from garc here'!$C$1,1+(('table for research'!$B435-1)*36+HEX2DEC('table for research'!D$1))*2,2)</f>
        <v>00</v>
      </c>
      <c r="E435" t="str">
        <f>MID('paste from garc here'!$C$1,1+(('table for research'!$B435-1)*36+HEX2DEC('table for research'!E$1))*2,2)</f>
        <v>00</v>
      </c>
      <c r="F435" t="str">
        <f>MID('paste from garc here'!$C$1,1+(('table for research'!$B435-1)*36+HEX2DEC('table for research'!F$1))*2,2)</f>
        <v>00</v>
      </c>
      <c r="G435" t="str">
        <f>MID('paste from garc here'!$C$1,1+(('table for research'!$B435-1)*36+HEX2DEC('table for research'!G$1))*2,2)</f>
        <v>00</v>
      </c>
      <c r="H435" t="str">
        <f>MID('paste from garc here'!$C$1,1+(('table for research'!$B435-1)*36+HEX2DEC('table for research'!H$1))*2,2)</f>
        <v>00</v>
      </c>
      <c r="I435" t="str">
        <f>MID('paste from garc here'!$C$1,1+(('table for research'!$B435-1)*36+HEX2DEC('table for research'!I$1))*2,2)</f>
        <v>00</v>
      </c>
      <c r="J435" t="str">
        <f>MID('paste from garc here'!$C$1,1+(('table for research'!$B435-1)*36+HEX2DEC('table for research'!J$1))*2,2)</f>
        <v>00</v>
      </c>
      <c r="K435" t="str">
        <f>DEC2HEX(_xlfn.BITAND(HEX2DEC(MID('paste from garc here'!$C$1,1+(('table for research'!$B435-1)*36+HEX2DEC(8))*2,2)),31),2)</f>
        <v>1F</v>
      </c>
      <c r="L435" t="str">
        <f>DEC2HEX(_xlfn.BITAND(HEX2DEC(MID('paste from garc here'!$C$1,1+(('table for research'!$B435-1)*36+HEX2DEC(8))*2,2)),32),2)</f>
        <v>00</v>
      </c>
      <c r="M435" t="str">
        <f>DEC2HEX(_xlfn.BITAND(HEX2DEC(MID('paste from garc here'!$C$1,1+(('table for research'!$B435-1)*36+HEX2DEC(8))*2,2)),64),2)</f>
        <v>00</v>
      </c>
      <c r="N435" t="str">
        <f>DEC2HEX(_xlfn.BITRSHIFT(_xlfn.BITAND(HEX2DEC(MID('paste from garc here'!$C$1,1+(('table for research'!$B435-1)*36+HEX2DEC(9))*2,2)&amp;MID('paste from garc here'!$C$1,1+(('table for research'!$B435-1)*36+HEX2DEC(8))*2,2)),1920),7),2)</f>
        <v>04</v>
      </c>
      <c r="O435" t="str">
        <f>DEC2HEX(_xlfn.BITRSHIFT(HEX2DEC(MID('paste from garc here'!$C$1,1+(('table for research'!$B435-1)*36+HEX2DEC(9))*2,2)&amp;MID('paste from garc here'!$C$1,1+(('table for research'!$B435-1)*36+HEX2DEC(8))*2,2)),11),2)</f>
        <v>00</v>
      </c>
      <c r="P435" t="str">
        <f>MID('paste from garc here'!$C$1,1+(('table for research'!$B435-1)*36+HEX2DEC('table for research'!P$1))*2,2)</f>
        <v>00</v>
      </c>
      <c r="Q435" t="str">
        <f>MID('paste from garc here'!$C$1,1+(('table for research'!$B435-1)*36+HEX2DEC('table for research'!Q$1))*2,2)</f>
        <v>00</v>
      </c>
      <c r="R435" t="str">
        <f>MID('paste from garc here'!$C$1,1+(('table for research'!$B435-1)*36+HEX2DEC('table for research'!R$1))*2,2)</f>
        <v>00</v>
      </c>
      <c r="S435" t="str">
        <f>MID('paste from garc here'!$C$1,1+(('table for research'!$B435-1)*36+HEX2DEC('table for research'!S$1))*2,2)</f>
        <v>08</v>
      </c>
      <c r="T435" t="str">
        <f>MID('paste from garc here'!$C$1,1+(('table for research'!$B435-1)*36+HEX2DEC('table for research'!T$1))*2,2)</f>
        <v>00</v>
      </c>
      <c r="U435" t="str">
        <f>MID('paste from garc here'!$C$1,1+(('table for research'!$B435-1)*36+HEX2DEC('table for research'!U$1))*2,2)</f>
        <v>FF</v>
      </c>
      <c r="V435" t="str">
        <f>MID('paste from garc here'!$C$1,1+(('table for research'!$B435-1)*36+HEX2DEC('table for research'!V$1))*2,2)</f>
        <v>00</v>
      </c>
      <c r="W435" t="str">
        <f>MID('paste from garc here'!$C$1,1+(('table for research'!$B435-1)*36+HEX2DEC('table for research'!W$1))*2,2)</f>
        <v>00</v>
      </c>
      <c r="X435" t="str">
        <f>MID('paste from garc here'!$C$1,1+(('table for research'!$B435-1)*36+HEX2DEC('table for research'!X$1))*2,2)</f>
        <v>00</v>
      </c>
      <c r="Y435" t="str">
        <f>MID('paste from garc here'!$C$1,1+(('table for research'!$B435-1)*36+HEX2DEC('table for research'!Y$1))*2,2)</f>
        <v>00</v>
      </c>
      <c r="Z435" t="str">
        <f>MID('paste from garc here'!$C$1,1+(('table for research'!$B435-1)*36+HEX2DEC('table for research'!Z$1))*2,2)</f>
        <v>00</v>
      </c>
      <c r="AA435" t="str">
        <f>MID('paste from garc here'!$C$1,1+(('table for research'!$B435-1)*36+HEX2DEC('table for research'!AA$1))*2,2)</f>
        <v>00</v>
      </c>
      <c r="AB435" t="str">
        <f>MID('paste from garc here'!$C$1,1+(('table for research'!$B435-1)*36+HEX2DEC('table for research'!AB$1))*2,2)</f>
        <v>00</v>
      </c>
      <c r="AC435" t="str">
        <f>MID('paste from garc here'!$C$1,1+(('table for research'!$B435-1)*36+HEX2DEC('table for research'!AC$1))*2,2)</f>
        <v>00</v>
      </c>
      <c r="AD435" t="str">
        <f>MID('paste from garc here'!$C$1,1+(('table for research'!$B435-1)*36+HEX2DEC('table for research'!AD$1))*2,2)</f>
        <v>00</v>
      </c>
      <c r="AE435" t="str">
        <f>MID('paste from garc here'!$C$1,1+(('table for research'!$B435-1)*36+HEX2DEC('table for research'!AE$1))*2,2)</f>
        <v>00</v>
      </c>
      <c r="AF435" t="str">
        <f>MID('paste from garc here'!$C$1,1+(('table for research'!$B435-1)*36+HEX2DEC('table for research'!AF$1))*2,2)</f>
        <v>00</v>
      </c>
      <c r="AG435" t="str">
        <f>MID('paste from garc here'!$C$1,1+(('table for research'!$B435-1)*36+HEX2DEC('table for research'!AG$1))*2,2)</f>
        <v>00</v>
      </c>
      <c r="AH435" t="str">
        <f>MID('paste from garc here'!$C$1,1+(('table for research'!$B435-1)*36+HEX2DEC('table for research'!AH$1))*2,2)</f>
        <v>00</v>
      </c>
      <c r="AI435" t="str">
        <f>MID('paste from garc here'!$C$1,1+(('table for research'!$B435-1)*36+HEX2DEC('table for research'!AI$1))*2,2)</f>
        <v>00</v>
      </c>
      <c r="AJ435" t="str">
        <f>MID('paste from garc here'!$C$1,1+(('table for research'!$B435-1)*36+HEX2DEC('table for research'!AJ$1))*2,2)</f>
        <v>00</v>
      </c>
      <c r="AK435" t="str">
        <f>MID('paste from garc here'!$C$1,1+(('table for research'!$B435-1)*36+HEX2DEC('table for research'!AK$1))*2,2)</f>
        <v>00</v>
      </c>
      <c r="AL435" t="str">
        <f>MID('paste from garc here'!$C$1,1+(('table for research'!$B435-1)*36+HEX2DEC('table for research'!AL$1))*2,2)</f>
        <v>00</v>
      </c>
      <c r="AM435" t="str">
        <f>MID('paste from garc here'!$C$1,1+(('table for research'!$B435-1)*36+HEX2DEC('table for research'!AM$1))*2,2)</f>
        <v>00</v>
      </c>
      <c r="AN435" t="str">
        <f>MID('paste from garc here'!$C$1,1+(('table for research'!$B435-1)*36+HEX2DEC('table for research'!AN$1))*2,2)</f>
        <v>00</v>
      </c>
      <c r="AO435" t="str">
        <f>MID('paste from garc here'!$C$1,1+(('table for research'!$B435-1)*36+HEX2DEC('table for research'!AO$1))*2,2)</f>
        <v>00</v>
      </c>
    </row>
    <row r="436" spans="1:41" x14ac:dyDescent="0.4">
      <c r="A436" t="s">
        <v>438</v>
      </c>
      <c r="B436">
        <f>B435+1</f>
        <v>434</v>
      </c>
      <c r="C436" t="str">
        <f>MID('paste from garc here'!$C$1,1+(('table for research'!$B436-1)*36+HEX2DEC('table for research'!C$1))*2,2)</f>
        <v>00</v>
      </c>
      <c r="D436" t="str">
        <f>MID('paste from garc here'!$C$1,1+(('table for research'!$B436-1)*36+HEX2DEC('table for research'!D$1))*2,2)</f>
        <v>00</v>
      </c>
      <c r="E436" t="str">
        <f>MID('paste from garc here'!$C$1,1+(('table for research'!$B436-1)*36+HEX2DEC('table for research'!E$1))*2,2)</f>
        <v>00</v>
      </c>
      <c r="F436" t="str">
        <f>MID('paste from garc here'!$C$1,1+(('table for research'!$B436-1)*36+HEX2DEC('table for research'!F$1))*2,2)</f>
        <v>00</v>
      </c>
      <c r="G436" t="str">
        <f>MID('paste from garc here'!$C$1,1+(('table for research'!$B436-1)*36+HEX2DEC('table for research'!G$1))*2,2)</f>
        <v>00</v>
      </c>
      <c r="H436" t="str">
        <f>MID('paste from garc here'!$C$1,1+(('table for research'!$B436-1)*36+HEX2DEC('table for research'!H$1))*2,2)</f>
        <v>00</v>
      </c>
      <c r="I436" t="str">
        <f>MID('paste from garc here'!$C$1,1+(('table for research'!$B436-1)*36+HEX2DEC('table for research'!I$1))*2,2)</f>
        <v>00</v>
      </c>
      <c r="J436" t="str">
        <f>MID('paste from garc here'!$C$1,1+(('table for research'!$B436-1)*36+HEX2DEC('table for research'!J$1))*2,2)</f>
        <v>00</v>
      </c>
      <c r="K436" t="str">
        <f>DEC2HEX(_xlfn.BITAND(HEX2DEC(MID('paste from garc here'!$C$1,1+(('table for research'!$B436-1)*36+HEX2DEC(8))*2,2)),31),2)</f>
        <v>1F</v>
      </c>
      <c r="L436" t="str">
        <f>DEC2HEX(_xlfn.BITAND(HEX2DEC(MID('paste from garc here'!$C$1,1+(('table for research'!$B436-1)*36+HEX2DEC(8))*2,2)),32),2)</f>
        <v>00</v>
      </c>
      <c r="M436" t="str">
        <f>DEC2HEX(_xlfn.BITAND(HEX2DEC(MID('paste from garc here'!$C$1,1+(('table for research'!$B436-1)*36+HEX2DEC(8))*2,2)),64),2)</f>
        <v>00</v>
      </c>
      <c r="N436" t="str">
        <f>DEC2HEX(_xlfn.BITRSHIFT(_xlfn.BITAND(HEX2DEC(MID('paste from garc here'!$C$1,1+(('table for research'!$B436-1)*36+HEX2DEC(9))*2,2)&amp;MID('paste from garc here'!$C$1,1+(('table for research'!$B436-1)*36+HEX2DEC(8))*2,2)),1920),7),2)</f>
        <v>04</v>
      </c>
      <c r="O436" t="str">
        <f>DEC2HEX(_xlfn.BITRSHIFT(HEX2DEC(MID('paste from garc here'!$C$1,1+(('table for research'!$B436-1)*36+HEX2DEC(9))*2,2)&amp;MID('paste from garc here'!$C$1,1+(('table for research'!$B436-1)*36+HEX2DEC(8))*2,2)),11),2)</f>
        <v>00</v>
      </c>
      <c r="P436" t="str">
        <f>MID('paste from garc here'!$C$1,1+(('table for research'!$B436-1)*36+HEX2DEC('table for research'!P$1))*2,2)</f>
        <v>00</v>
      </c>
      <c r="Q436" t="str">
        <f>MID('paste from garc here'!$C$1,1+(('table for research'!$B436-1)*36+HEX2DEC('table for research'!Q$1))*2,2)</f>
        <v>00</v>
      </c>
      <c r="R436" t="str">
        <f>MID('paste from garc here'!$C$1,1+(('table for research'!$B436-1)*36+HEX2DEC('table for research'!R$1))*2,2)</f>
        <v>00</v>
      </c>
      <c r="S436" t="str">
        <f>MID('paste from garc here'!$C$1,1+(('table for research'!$B436-1)*36+HEX2DEC('table for research'!S$1))*2,2)</f>
        <v>08</v>
      </c>
      <c r="T436" t="str">
        <f>MID('paste from garc here'!$C$1,1+(('table for research'!$B436-1)*36+HEX2DEC('table for research'!T$1))*2,2)</f>
        <v>00</v>
      </c>
      <c r="U436" t="str">
        <f>MID('paste from garc here'!$C$1,1+(('table for research'!$B436-1)*36+HEX2DEC('table for research'!U$1))*2,2)</f>
        <v>FF</v>
      </c>
      <c r="V436" t="str">
        <f>MID('paste from garc here'!$C$1,1+(('table for research'!$B436-1)*36+HEX2DEC('table for research'!V$1))*2,2)</f>
        <v>00</v>
      </c>
      <c r="W436" t="str">
        <f>MID('paste from garc here'!$C$1,1+(('table for research'!$B436-1)*36+HEX2DEC('table for research'!W$1))*2,2)</f>
        <v>00</v>
      </c>
      <c r="X436" t="str">
        <f>MID('paste from garc here'!$C$1,1+(('table for research'!$B436-1)*36+HEX2DEC('table for research'!X$1))*2,2)</f>
        <v>00</v>
      </c>
      <c r="Y436" t="str">
        <f>MID('paste from garc here'!$C$1,1+(('table for research'!$B436-1)*36+HEX2DEC('table for research'!Y$1))*2,2)</f>
        <v>00</v>
      </c>
      <c r="Z436" t="str">
        <f>MID('paste from garc here'!$C$1,1+(('table for research'!$B436-1)*36+HEX2DEC('table for research'!Z$1))*2,2)</f>
        <v>00</v>
      </c>
      <c r="AA436" t="str">
        <f>MID('paste from garc here'!$C$1,1+(('table for research'!$B436-1)*36+HEX2DEC('table for research'!AA$1))*2,2)</f>
        <v>00</v>
      </c>
      <c r="AB436" t="str">
        <f>MID('paste from garc here'!$C$1,1+(('table for research'!$B436-1)*36+HEX2DEC('table for research'!AB$1))*2,2)</f>
        <v>00</v>
      </c>
      <c r="AC436" t="str">
        <f>MID('paste from garc here'!$C$1,1+(('table for research'!$B436-1)*36+HEX2DEC('table for research'!AC$1))*2,2)</f>
        <v>00</v>
      </c>
      <c r="AD436" t="str">
        <f>MID('paste from garc here'!$C$1,1+(('table for research'!$B436-1)*36+HEX2DEC('table for research'!AD$1))*2,2)</f>
        <v>00</v>
      </c>
      <c r="AE436" t="str">
        <f>MID('paste from garc here'!$C$1,1+(('table for research'!$B436-1)*36+HEX2DEC('table for research'!AE$1))*2,2)</f>
        <v>00</v>
      </c>
      <c r="AF436" t="str">
        <f>MID('paste from garc here'!$C$1,1+(('table for research'!$B436-1)*36+HEX2DEC('table for research'!AF$1))*2,2)</f>
        <v>00</v>
      </c>
      <c r="AG436" t="str">
        <f>MID('paste from garc here'!$C$1,1+(('table for research'!$B436-1)*36+HEX2DEC('table for research'!AG$1))*2,2)</f>
        <v>00</v>
      </c>
      <c r="AH436" t="str">
        <f>MID('paste from garc here'!$C$1,1+(('table for research'!$B436-1)*36+HEX2DEC('table for research'!AH$1))*2,2)</f>
        <v>00</v>
      </c>
      <c r="AI436" t="str">
        <f>MID('paste from garc here'!$C$1,1+(('table for research'!$B436-1)*36+HEX2DEC('table for research'!AI$1))*2,2)</f>
        <v>00</v>
      </c>
      <c r="AJ436" t="str">
        <f>MID('paste from garc here'!$C$1,1+(('table for research'!$B436-1)*36+HEX2DEC('table for research'!AJ$1))*2,2)</f>
        <v>00</v>
      </c>
      <c r="AK436" t="str">
        <f>MID('paste from garc here'!$C$1,1+(('table for research'!$B436-1)*36+HEX2DEC('table for research'!AK$1))*2,2)</f>
        <v>00</v>
      </c>
      <c r="AL436" t="str">
        <f>MID('paste from garc here'!$C$1,1+(('table for research'!$B436-1)*36+HEX2DEC('table for research'!AL$1))*2,2)</f>
        <v>00</v>
      </c>
      <c r="AM436" t="str">
        <f>MID('paste from garc here'!$C$1,1+(('table for research'!$B436-1)*36+HEX2DEC('table for research'!AM$1))*2,2)</f>
        <v>00</v>
      </c>
      <c r="AN436" t="str">
        <f>MID('paste from garc here'!$C$1,1+(('table for research'!$B436-1)*36+HEX2DEC('table for research'!AN$1))*2,2)</f>
        <v>00</v>
      </c>
      <c r="AO436" t="str">
        <f>MID('paste from garc here'!$C$1,1+(('table for research'!$B436-1)*36+HEX2DEC('table for research'!AO$1))*2,2)</f>
        <v>00</v>
      </c>
    </row>
    <row r="437" spans="1:41" x14ac:dyDescent="0.4">
      <c r="A437" t="s">
        <v>439</v>
      </c>
      <c r="B437">
        <f>B436+1</f>
        <v>435</v>
      </c>
      <c r="C437" t="str">
        <f>MID('paste from garc here'!$C$1,1+(('table for research'!$B437-1)*36+HEX2DEC('table for research'!C$1))*2,2)</f>
        <v>00</v>
      </c>
      <c r="D437" t="str">
        <f>MID('paste from garc here'!$C$1,1+(('table for research'!$B437-1)*36+HEX2DEC('table for research'!D$1))*2,2)</f>
        <v>00</v>
      </c>
      <c r="E437" t="str">
        <f>MID('paste from garc here'!$C$1,1+(('table for research'!$B437-1)*36+HEX2DEC('table for research'!E$1))*2,2)</f>
        <v>00</v>
      </c>
      <c r="F437" t="str">
        <f>MID('paste from garc here'!$C$1,1+(('table for research'!$B437-1)*36+HEX2DEC('table for research'!F$1))*2,2)</f>
        <v>00</v>
      </c>
      <c r="G437" t="str">
        <f>MID('paste from garc here'!$C$1,1+(('table for research'!$B437-1)*36+HEX2DEC('table for research'!G$1))*2,2)</f>
        <v>00</v>
      </c>
      <c r="H437" t="str">
        <f>MID('paste from garc here'!$C$1,1+(('table for research'!$B437-1)*36+HEX2DEC('table for research'!H$1))*2,2)</f>
        <v>00</v>
      </c>
      <c r="I437" t="str">
        <f>MID('paste from garc here'!$C$1,1+(('table for research'!$B437-1)*36+HEX2DEC('table for research'!I$1))*2,2)</f>
        <v>00</v>
      </c>
      <c r="J437" t="str">
        <f>MID('paste from garc here'!$C$1,1+(('table for research'!$B437-1)*36+HEX2DEC('table for research'!J$1))*2,2)</f>
        <v>00</v>
      </c>
      <c r="K437" t="str">
        <f>DEC2HEX(_xlfn.BITAND(HEX2DEC(MID('paste from garc here'!$C$1,1+(('table for research'!$B437-1)*36+HEX2DEC(8))*2,2)),31),2)</f>
        <v>1F</v>
      </c>
      <c r="L437" t="str">
        <f>DEC2HEX(_xlfn.BITAND(HEX2DEC(MID('paste from garc here'!$C$1,1+(('table for research'!$B437-1)*36+HEX2DEC(8))*2,2)),32),2)</f>
        <v>00</v>
      </c>
      <c r="M437" t="str">
        <f>DEC2HEX(_xlfn.BITAND(HEX2DEC(MID('paste from garc here'!$C$1,1+(('table for research'!$B437-1)*36+HEX2DEC(8))*2,2)),64),2)</f>
        <v>00</v>
      </c>
      <c r="N437" t="str">
        <f>DEC2HEX(_xlfn.BITRSHIFT(_xlfn.BITAND(HEX2DEC(MID('paste from garc here'!$C$1,1+(('table for research'!$B437-1)*36+HEX2DEC(9))*2,2)&amp;MID('paste from garc here'!$C$1,1+(('table for research'!$B437-1)*36+HEX2DEC(8))*2,2)),1920),7),2)</f>
        <v>04</v>
      </c>
      <c r="O437" t="str">
        <f>DEC2HEX(_xlfn.BITRSHIFT(HEX2DEC(MID('paste from garc here'!$C$1,1+(('table for research'!$B437-1)*36+HEX2DEC(9))*2,2)&amp;MID('paste from garc here'!$C$1,1+(('table for research'!$B437-1)*36+HEX2DEC(8))*2,2)),11),2)</f>
        <v>00</v>
      </c>
      <c r="P437" t="str">
        <f>MID('paste from garc here'!$C$1,1+(('table for research'!$B437-1)*36+HEX2DEC('table for research'!P$1))*2,2)</f>
        <v>00</v>
      </c>
      <c r="Q437" t="str">
        <f>MID('paste from garc here'!$C$1,1+(('table for research'!$B437-1)*36+HEX2DEC('table for research'!Q$1))*2,2)</f>
        <v>00</v>
      </c>
      <c r="R437" t="str">
        <f>MID('paste from garc here'!$C$1,1+(('table for research'!$B437-1)*36+HEX2DEC('table for research'!R$1))*2,2)</f>
        <v>00</v>
      </c>
      <c r="S437" t="str">
        <f>MID('paste from garc here'!$C$1,1+(('table for research'!$B437-1)*36+HEX2DEC('table for research'!S$1))*2,2)</f>
        <v>08</v>
      </c>
      <c r="T437" t="str">
        <f>MID('paste from garc here'!$C$1,1+(('table for research'!$B437-1)*36+HEX2DEC('table for research'!T$1))*2,2)</f>
        <v>00</v>
      </c>
      <c r="U437" t="str">
        <f>MID('paste from garc here'!$C$1,1+(('table for research'!$B437-1)*36+HEX2DEC('table for research'!U$1))*2,2)</f>
        <v>FF</v>
      </c>
      <c r="V437" t="str">
        <f>MID('paste from garc here'!$C$1,1+(('table for research'!$B437-1)*36+HEX2DEC('table for research'!V$1))*2,2)</f>
        <v>00</v>
      </c>
      <c r="W437" t="str">
        <f>MID('paste from garc here'!$C$1,1+(('table for research'!$B437-1)*36+HEX2DEC('table for research'!W$1))*2,2)</f>
        <v>00</v>
      </c>
      <c r="X437" t="str">
        <f>MID('paste from garc here'!$C$1,1+(('table for research'!$B437-1)*36+HEX2DEC('table for research'!X$1))*2,2)</f>
        <v>00</v>
      </c>
      <c r="Y437" t="str">
        <f>MID('paste from garc here'!$C$1,1+(('table for research'!$B437-1)*36+HEX2DEC('table for research'!Y$1))*2,2)</f>
        <v>00</v>
      </c>
      <c r="Z437" t="str">
        <f>MID('paste from garc here'!$C$1,1+(('table for research'!$B437-1)*36+HEX2DEC('table for research'!Z$1))*2,2)</f>
        <v>00</v>
      </c>
      <c r="AA437" t="str">
        <f>MID('paste from garc here'!$C$1,1+(('table for research'!$B437-1)*36+HEX2DEC('table for research'!AA$1))*2,2)</f>
        <v>00</v>
      </c>
      <c r="AB437" t="str">
        <f>MID('paste from garc here'!$C$1,1+(('table for research'!$B437-1)*36+HEX2DEC('table for research'!AB$1))*2,2)</f>
        <v>00</v>
      </c>
      <c r="AC437" t="str">
        <f>MID('paste from garc here'!$C$1,1+(('table for research'!$B437-1)*36+HEX2DEC('table for research'!AC$1))*2,2)</f>
        <v>00</v>
      </c>
      <c r="AD437" t="str">
        <f>MID('paste from garc here'!$C$1,1+(('table for research'!$B437-1)*36+HEX2DEC('table for research'!AD$1))*2,2)</f>
        <v>00</v>
      </c>
      <c r="AE437" t="str">
        <f>MID('paste from garc here'!$C$1,1+(('table for research'!$B437-1)*36+HEX2DEC('table for research'!AE$1))*2,2)</f>
        <v>00</v>
      </c>
      <c r="AF437" t="str">
        <f>MID('paste from garc here'!$C$1,1+(('table for research'!$B437-1)*36+HEX2DEC('table for research'!AF$1))*2,2)</f>
        <v>00</v>
      </c>
      <c r="AG437" t="str">
        <f>MID('paste from garc here'!$C$1,1+(('table for research'!$B437-1)*36+HEX2DEC('table for research'!AG$1))*2,2)</f>
        <v>00</v>
      </c>
      <c r="AH437" t="str">
        <f>MID('paste from garc here'!$C$1,1+(('table for research'!$B437-1)*36+HEX2DEC('table for research'!AH$1))*2,2)</f>
        <v>00</v>
      </c>
      <c r="AI437" t="str">
        <f>MID('paste from garc here'!$C$1,1+(('table for research'!$B437-1)*36+HEX2DEC('table for research'!AI$1))*2,2)</f>
        <v>00</v>
      </c>
      <c r="AJ437" t="str">
        <f>MID('paste from garc here'!$C$1,1+(('table for research'!$B437-1)*36+HEX2DEC('table for research'!AJ$1))*2,2)</f>
        <v>00</v>
      </c>
      <c r="AK437" t="str">
        <f>MID('paste from garc here'!$C$1,1+(('table for research'!$B437-1)*36+HEX2DEC('table for research'!AK$1))*2,2)</f>
        <v>00</v>
      </c>
      <c r="AL437" t="str">
        <f>MID('paste from garc here'!$C$1,1+(('table for research'!$B437-1)*36+HEX2DEC('table for research'!AL$1))*2,2)</f>
        <v>00</v>
      </c>
      <c r="AM437" t="str">
        <f>MID('paste from garc here'!$C$1,1+(('table for research'!$B437-1)*36+HEX2DEC('table for research'!AM$1))*2,2)</f>
        <v>00</v>
      </c>
      <c r="AN437" t="str">
        <f>MID('paste from garc here'!$C$1,1+(('table for research'!$B437-1)*36+HEX2DEC('table for research'!AN$1))*2,2)</f>
        <v>00</v>
      </c>
      <c r="AO437" t="str">
        <f>MID('paste from garc here'!$C$1,1+(('table for research'!$B437-1)*36+HEX2DEC('table for research'!AO$1))*2,2)</f>
        <v>00</v>
      </c>
    </row>
    <row r="438" spans="1:41" x14ac:dyDescent="0.4">
      <c r="A438" t="s">
        <v>440</v>
      </c>
      <c r="B438">
        <f>B437+1</f>
        <v>436</v>
      </c>
      <c r="C438" t="str">
        <f>MID('paste from garc here'!$C$1,1+(('table for research'!$B438-1)*36+HEX2DEC('table for research'!C$1))*2,2)</f>
        <v>00</v>
      </c>
      <c r="D438" t="str">
        <f>MID('paste from garc here'!$C$1,1+(('table for research'!$B438-1)*36+HEX2DEC('table for research'!D$1))*2,2)</f>
        <v>00</v>
      </c>
      <c r="E438" t="str">
        <f>MID('paste from garc here'!$C$1,1+(('table for research'!$B438-1)*36+HEX2DEC('table for research'!E$1))*2,2)</f>
        <v>00</v>
      </c>
      <c r="F438" t="str">
        <f>MID('paste from garc here'!$C$1,1+(('table for research'!$B438-1)*36+HEX2DEC('table for research'!F$1))*2,2)</f>
        <v>00</v>
      </c>
      <c r="G438" t="str">
        <f>MID('paste from garc here'!$C$1,1+(('table for research'!$B438-1)*36+HEX2DEC('table for research'!G$1))*2,2)</f>
        <v>00</v>
      </c>
      <c r="H438" t="str">
        <f>MID('paste from garc here'!$C$1,1+(('table for research'!$B438-1)*36+HEX2DEC('table for research'!H$1))*2,2)</f>
        <v>00</v>
      </c>
      <c r="I438" t="str">
        <f>MID('paste from garc here'!$C$1,1+(('table for research'!$B438-1)*36+HEX2DEC('table for research'!I$1))*2,2)</f>
        <v>00</v>
      </c>
      <c r="J438" t="str">
        <f>MID('paste from garc here'!$C$1,1+(('table for research'!$B438-1)*36+HEX2DEC('table for research'!J$1))*2,2)</f>
        <v>00</v>
      </c>
      <c r="K438" t="str">
        <f>DEC2HEX(_xlfn.BITAND(HEX2DEC(MID('paste from garc here'!$C$1,1+(('table for research'!$B438-1)*36+HEX2DEC(8))*2,2)),31),2)</f>
        <v>1F</v>
      </c>
      <c r="L438" t="str">
        <f>DEC2HEX(_xlfn.BITAND(HEX2DEC(MID('paste from garc here'!$C$1,1+(('table for research'!$B438-1)*36+HEX2DEC(8))*2,2)),32),2)</f>
        <v>00</v>
      </c>
      <c r="M438" t="str">
        <f>DEC2HEX(_xlfn.BITAND(HEX2DEC(MID('paste from garc here'!$C$1,1+(('table for research'!$B438-1)*36+HEX2DEC(8))*2,2)),64),2)</f>
        <v>00</v>
      </c>
      <c r="N438" t="str">
        <f>DEC2HEX(_xlfn.BITRSHIFT(_xlfn.BITAND(HEX2DEC(MID('paste from garc here'!$C$1,1+(('table for research'!$B438-1)*36+HEX2DEC(9))*2,2)&amp;MID('paste from garc here'!$C$1,1+(('table for research'!$B438-1)*36+HEX2DEC(8))*2,2)),1920),7),2)</f>
        <v>04</v>
      </c>
      <c r="O438" t="str">
        <f>DEC2HEX(_xlfn.BITRSHIFT(HEX2DEC(MID('paste from garc here'!$C$1,1+(('table for research'!$B438-1)*36+HEX2DEC(9))*2,2)&amp;MID('paste from garc here'!$C$1,1+(('table for research'!$B438-1)*36+HEX2DEC(8))*2,2)),11),2)</f>
        <v>00</v>
      </c>
      <c r="P438" t="str">
        <f>MID('paste from garc here'!$C$1,1+(('table for research'!$B438-1)*36+HEX2DEC('table for research'!P$1))*2,2)</f>
        <v>00</v>
      </c>
      <c r="Q438" t="str">
        <f>MID('paste from garc here'!$C$1,1+(('table for research'!$B438-1)*36+HEX2DEC('table for research'!Q$1))*2,2)</f>
        <v>00</v>
      </c>
      <c r="R438" t="str">
        <f>MID('paste from garc here'!$C$1,1+(('table for research'!$B438-1)*36+HEX2DEC('table for research'!R$1))*2,2)</f>
        <v>00</v>
      </c>
      <c r="S438" t="str">
        <f>MID('paste from garc here'!$C$1,1+(('table for research'!$B438-1)*36+HEX2DEC('table for research'!S$1))*2,2)</f>
        <v>08</v>
      </c>
      <c r="T438" t="str">
        <f>MID('paste from garc here'!$C$1,1+(('table for research'!$B438-1)*36+HEX2DEC('table for research'!T$1))*2,2)</f>
        <v>00</v>
      </c>
      <c r="U438" t="str">
        <f>MID('paste from garc here'!$C$1,1+(('table for research'!$B438-1)*36+HEX2DEC('table for research'!U$1))*2,2)</f>
        <v>FF</v>
      </c>
      <c r="V438" t="str">
        <f>MID('paste from garc here'!$C$1,1+(('table for research'!$B438-1)*36+HEX2DEC('table for research'!V$1))*2,2)</f>
        <v>00</v>
      </c>
      <c r="W438" t="str">
        <f>MID('paste from garc here'!$C$1,1+(('table for research'!$B438-1)*36+HEX2DEC('table for research'!W$1))*2,2)</f>
        <v>00</v>
      </c>
      <c r="X438" t="str">
        <f>MID('paste from garc here'!$C$1,1+(('table for research'!$B438-1)*36+HEX2DEC('table for research'!X$1))*2,2)</f>
        <v>00</v>
      </c>
      <c r="Y438" t="str">
        <f>MID('paste from garc here'!$C$1,1+(('table for research'!$B438-1)*36+HEX2DEC('table for research'!Y$1))*2,2)</f>
        <v>00</v>
      </c>
      <c r="Z438" t="str">
        <f>MID('paste from garc here'!$C$1,1+(('table for research'!$B438-1)*36+HEX2DEC('table for research'!Z$1))*2,2)</f>
        <v>00</v>
      </c>
      <c r="AA438" t="str">
        <f>MID('paste from garc here'!$C$1,1+(('table for research'!$B438-1)*36+HEX2DEC('table for research'!AA$1))*2,2)</f>
        <v>00</v>
      </c>
      <c r="AB438" t="str">
        <f>MID('paste from garc here'!$C$1,1+(('table for research'!$B438-1)*36+HEX2DEC('table for research'!AB$1))*2,2)</f>
        <v>00</v>
      </c>
      <c r="AC438" t="str">
        <f>MID('paste from garc here'!$C$1,1+(('table for research'!$B438-1)*36+HEX2DEC('table for research'!AC$1))*2,2)</f>
        <v>00</v>
      </c>
      <c r="AD438" t="str">
        <f>MID('paste from garc here'!$C$1,1+(('table for research'!$B438-1)*36+HEX2DEC('table for research'!AD$1))*2,2)</f>
        <v>00</v>
      </c>
      <c r="AE438" t="str">
        <f>MID('paste from garc here'!$C$1,1+(('table for research'!$B438-1)*36+HEX2DEC('table for research'!AE$1))*2,2)</f>
        <v>00</v>
      </c>
      <c r="AF438" t="str">
        <f>MID('paste from garc here'!$C$1,1+(('table for research'!$B438-1)*36+HEX2DEC('table for research'!AF$1))*2,2)</f>
        <v>00</v>
      </c>
      <c r="AG438" t="str">
        <f>MID('paste from garc here'!$C$1,1+(('table for research'!$B438-1)*36+HEX2DEC('table for research'!AG$1))*2,2)</f>
        <v>00</v>
      </c>
      <c r="AH438" t="str">
        <f>MID('paste from garc here'!$C$1,1+(('table for research'!$B438-1)*36+HEX2DEC('table for research'!AH$1))*2,2)</f>
        <v>00</v>
      </c>
      <c r="AI438" t="str">
        <f>MID('paste from garc here'!$C$1,1+(('table for research'!$B438-1)*36+HEX2DEC('table for research'!AI$1))*2,2)</f>
        <v>00</v>
      </c>
      <c r="AJ438" t="str">
        <f>MID('paste from garc here'!$C$1,1+(('table for research'!$B438-1)*36+HEX2DEC('table for research'!AJ$1))*2,2)</f>
        <v>00</v>
      </c>
      <c r="AK438" t="str">
        <f>MID('paste from garc here'!$C$1,1+(('table for research'!$B438-1)*36+HEX2DEC('table for research'!AK$1))*2,2)</f>
        <v>00</v>
      </c>
      <c r="AL438" t="str">
        <f>MID('paste from garc here'!$C$1,1+(('table for research'!$B438-1)*36+HEX2DEC('table for research'!AL$1))*2,2)</f>
        <v>00</v>
      </c>
      <c r="AM438" t="str">
        <f>MID('paste from garc here'!$C$1,1+(('table for research'!$B438-1)*36+HEX2DEC('table for research'!AM$1))*2,2)</f>
        <v>00</v>
      </c>
      <c r="AN438" t="str">
        <f>MID('paste from garc here'!$C$1,1+(('table for research'!$B438-1)*36+HEX2DEC('table for research'!AN$1))*2,2)</f>
        <v>00</v>
      </c>
      <c r="AO438" t="str">
        <f>MID('paste from garc here'!$C$1,1+(('table for research'!$B438-1)*36+HEX2DEC('table for research'!AO$1))*2,2)</f>
        <v>00</v>
      </c>
    </row>
    <row r="439" spans="1:41" x14ac:dyDescent="0.4">
      <c r="A439" t="s">
        <v>441</v>
      </c>
      <c r="B439">
        <f>B438+1</f>
        <v>437</v>
      </c>
      <c r="C439" t="str">
        <f>MID('paste from garc here'!$C$1,1+(('table for research'!$B439-1)*36+HEX2DEC('table for research'!C$1))*2,2)</f>
        <v>00</v>
      </c>
      <c r="D439" t="str">
        <f>MID('paste from garc here'!$C$1,1+(('table for research'!$B439-1)*36+HEX2DEC('table for research'!D$1))*2,2)</f>
        <v>00</v>
      </c>
      <c r="E439" t="str">
        <f>MID('paste from garc here'!$C$1,1+(('table for research'!$B439-1)*36+HEX2DEC('table for research'!E$1))*2,2)</f>
        <v>00</v>
      </c>
      <c r="F439" t="str">
        <f>MID('paste from garc here'!$C$1,1+(('table for research'!$B439-1)*36+HEX2DEC('table for research'!F$1))*2,2)</f>
        <v>00</v>
      </c>
      <c r="G439" t="str">
        <f>MID('paste from garc here'!$C$1,1+(('table for research'!$B439-1)*36+HEX2DEC('table for research'!G$1))*2,2)</f>
        <v>00</v>
      </c>
      <c r="H439" t="str">
        <f>MID('paste from garc here'!$C$1,1+(('table for research'!$B439-1)*36+HEX2DEC('table for research'!H$1))*2,2)</f>
        <v>00</v>
      </c>
      <c r="I439" t="str">
        <f>MID('paste from garc here'!$C$1,1+(('table for research'!$B439-1)*36+HEX2DEC('table for research'!I$1))*2,2)</f>
        <v>00</v>
      </c>
      <c r="J439" t="str">
        <f>MID('paste from garc here'!$C$1,1+(('table for research'!$B439-1)*36+HEX2DEC('table for research'!J$1))*2,2)</f>
        <v>00</v>
      </c>
      <c r="K439" t="str">
        <f>DEC2HEX(_xlfn.BITAND(HEX2DEC(MID('paste from garc here'!$C$1,1+(('table for research'!$B439-1)*36+HEX2DEC(8))*2,2)),31),2)</f>
        <v>1F</v>
      </c>
      <c r="L439" t="str">
        <f>DEC2HEX(_xlfn.BITAND(HEX2DEC(MID('paste from garc here'!$C$1,1+(('table for research'!$B439-1)*36+HEX2DEC(8))*2,2)),32),2)</f>
        <v>00</v>
      </c>
      <c r="M439" t="str">
        <f>DEC2HEX(_xlfn.BITAND(HEX2DEC(MID('paste from garc here'!$C$1,1+(('table for research'!$B439-1)*36+HEX2DEC(8))*2,2)),64),2)</f>
        <v>00</v>
      </c>
      <c r="N439" t="str">
        <f>DEC2HEX(_xlfn.BITRSHIFT(_xlfn.BITAND(HEX2DEC(MID('paste from garc here'!$C$1,1+(('table for research'!$B439-1)*36+HEX2DEC(9))*2,2)&amp;MID('paste from garc here'!$C$1,1+(('table for research'!$B439-1)*36+HEX2DEC(8))*2,2)),1920),7),2)</f>
        <v>04</v>
      </c>
      <c r="O439" t="str">
        <f>DEC2HEX(_xlfn.BITRSHIFT(HEX2DEC(MID('paste from garc here'!$C$1,1+(('table for research'!$B439-1)*36+HEX2DEC(9))*2,2)&amp;MID('paste from garc here'!$C$1,1+(('table for research'!$B439-1)*36+HEX2DEC(8))*2,2)),11),2)</f>
        <v>00</v>
      </c>
      <c r="P439" t="str">
        <f>MID('paste from garc here'!$C$1,1+(('table for research'!$B439-1)*36+HEX2DEC('table for research'!P$1))*2,2)</f>
        <v>00</v>
      </c>
      <c r="Q439" t="str">
        <f>MID('paste from garc here'!$C$1,1+(('table for research'!$B439-1)*36+HEX2DEC('table for research'!Q$1))*2,2)</f>
        <v>00</v>
      </c>
      <c r="R439" t="str">
        <f>MID('paste from garc here'!$C$1,1+(('table for research'!$B439-1)*36+HEX2DEC('table for research'!R$1))*2,2)</f>
        <v>00</v>
      </c>
      <c r="S439" t="str">
        <f>MID('paste from garc here'!$C$1,1+(('table for research'!$B439-1)*36+HEX2DEC('table for research'!S$1))*2,2)</f>
        <v>08</v>
      </c>
      <c r="T439" t="str">
        <f>MID('paste from garc here'!$C$1,1+(('table for research'!$B439-1)*36+HEX2DEC('table for research'!T$1))*2,2)</f>
        <v>00</v>
      </c>
      <c r="U439" t="str">
        <f>MID('paste from garc here'!$C$1,1+(('table for research'!$B439-1)*36+HEX2DEC('table for research'!U$1))*2,2)</f>
        <v>FF</v>
      </c>
      <c r="V439" t="str">
        <f>MID('paste from garc here'!$C$1,1+(('table for research'!$B439-1)*36+HEX2DEC('table for research'!V$1))*2,2)</f>
        <v>00</v>
      </c>
      <c r="W439" t="str">
        <f>MID('paste from garc here'!$C$1,1+(('table for research'!$B439-1)*36+HEX2DEC('table for research'!W$1))*2,2)</f>
        <v>00</v>
      </c>
      <c r="X439" t="str">
        <f>MID('paste from garc here'!$C$1,1+(('table for research'!$B439-1)*36+HEX2DEC('table for research'!X$1))*2,2)</f>
        <v>00</v>
      </c>
      <c r="Y439" t="str">
        <f>MID('paste from garc here'!$C$1,1+(('table for research'!$B439-1)*36+HEX2DEC('table for research'!Y$1))*2,2)</f>
        <v>00</v>
      </c>
      <c r="Z439" t="str">
        <f>MID('paste from garc here'!$C$1,1+(('table for research'!$B439-1)*36+HEX2DEC('table for research'!Z$1))*2,2)</f>
        <v>00</v>
      </c>
      <c r="AA439" t="str">
        <f>MID('paste from garc here'!$C$1,1+(('table for research'!$B439-1)*36+HEX2DEC('table for research'!AA$1))*2,2)</f>
        <v>00</v>
      </c>
      <c r="AB439" t="str">
        <f>MID('paste from garc here'!$C$1,1+(('table for research'!$B439-1)*36+HEX2DEC('table for research'!AB$1))*2,2)</f>
        <v>00</v>
      </c>
      <c r="AC439" t="str">
        <f>MID('paste from garc here'!$C$1,1+(('table for research'!$B439-1)*36+HEX2DEC('table for research'!AC$1))*2,2)</f>
        <v>00</v>
      </c>
      <c r="AD439" t="str">
        <f>MID('paste from garc here'!$C$1,1+(('table for research'!$B439-1)*36+HEX2DEC('table for research'!AD$1))*2,2)</f>
        <v>00</v>
      </c>
      <c r="AE439" t="str">
        <f>MID('paste from garc here'!$C$1,1+(('table for research'!$B439-1)*36+HEX2DEC('table for research'!AE$1))*2,2)</f>
        <v>00</v>
      </c>
      <c r="AF439" t="str">
        <f>MID('paste from garc here'!$C$1,1+(('table for research'!$B439-1)*36+HEX2DEC('table for research'!AF$1))*2,2)</f>
        <v>00</v>
      </c>
      <c r="AG439" t="str">
        <f>MID('paste from garc here'!$C$1,1+(('table for research'!$B439-1)*36+HEX2DEC('table for research'!AG$1))*2,2)</f>
        <v>00</v>
      </c>
      <c r="AH439" t="str">
        <f>MID('paste from garc here'!$C$1,1+(('table for research'!$B439-1)*36+HEX2DEC('table for research'!AH$1))*2,2)</f>
        <v>00</v>
      </c>
      <c r="AI439" t="str">
        <f>MID('paste from garc here'!$C$1,1+(('table for research'!$B439-1)*36+HEX2DEC('table for research'!AI$1))*2,2)</f>
        <v>00</v>
      </c>
      <c r="AJ439" t="str">
        <f>MID('paste from garc here'!$C$1,1+(('table for research'!$B439-1)*36+HEX2DEC('table for research'!AJ$1))*2,2)</f>
        <v>00</v>
      </c>
      <c r="AK439" t="str">
        <f>MID('paste from garc here'!$C$1,1+(('table for research'!$B439-1)*36+HEX2DEC('table for research'!AK$1))*2,2)</f>
        <v>00</v>
      </c>
      <c r="AL439" t="str">
        <f>MID('paste from garc here'!$C$1,1+(('table for research'!$B439-1)*36+HEX2DEC('table for research'!AL$1))*2,2)</f>
        <v>00</v>
      </c>
      <c r="AM439" t="str">
        <f>MID('paste from garc here'!$C$1,1+(('table for research'!$B439-1)*36+HEX2DEC('table for research'!AM$1))*2,2)</f>
        <v>00</v>
      </c>
      <c r="AN439" t="str">
        <f>MID('paste from garc here'!$C$1,1+(('table for research'!$B439-1)*36+HEX2DEC('table for research'!AN$1))*2,2)</f>
        <v>00</v>
      </c>
      <c r="AO439" t="str">
        <f>MID('paste from garc here'!$C$1,1+(('table for research'!$B439-1)*36+HEX2DEC('table for research'!AO$1))*2,2)</f>
        <v>00</v>
      </c>
    </row>
    <row r="440" spans="1:41" x14ac:dyDescent="0.4">
      <c r="A440" t="s">
        <v>442</v>
      </c>
      <c r="B440">
        <f>B439+1</f>
        <v>438</v>
      </c>
      <c r="C440" t="str">
        <f>MID('paste from garc here'!$C$1,1+(('table for research'!$B440-1)*36+HEX2DEC('table for research'!C$1))*2,2)</f>
        <v>00</v>
      </c>
      <c r="D440" t="str">
        <f>MID('paste from garc here'!$C$1,1+(('table for research'!$B440-1)*36+HEX2DEC('table for research'!D$1))*2,2)</f>
        <v>00</v>
      </c>
      <c r="E440" t="str">
        <f>MID('paste from garc here'!$C$1,1+(('table for research'!$B440-1)*36+HEX2DEC('table for research'!E$1))*2,2)</f>
        <v>00</v>
      </c>
      <c r="F440" t="str">
        <f>MID('paste from garc here'!$C$1,1+(('table for research'!$B440-1)*36+HEX2DEC('table for research'!F$1))*2,2)</f>
        <v>00</v>
      </c>
      <c r="G440" t="str">
        <f>MID('paste from garc here'!$C$1,1+(('table for research'!$B440-1)*36+HEX2DEC('table for research'!G$1))*2,2)</f>
        <v>00</v>
      </c>
      <c r="H440" t="str">
        <f>MID('paste from garc here'!$C$1,1+(('table for research'!$B440-1)*36+HEX2DEC('table for research'!H$1))*2,2)</f>
        <v>00</v>
      </c>
      <c r="I440" t="str">
        <f>MID('paste from garc here'!$C$1,1+(('table for research'!$B440-1)*36+HEX2DEC('table for research'!I$1))*2,2)</f>
        <v>00</v>
      </c>
      <c r="J440" t="str">
        <f>MID('paste from garc here'!$C$1,1+(('table for research'!$B440-1)*36+HEX2DEC('table for research'!J$1))*2,2)</f>
        <v>00</v>
      </c>
      <c r="K440" t="str">
        <f>DEC2HEX(_xlfn.BITAND(HEX2DEC(MID('paste from garc here'!$C$1,1+(('table for research'!$B440-1)*36+HEX2DEC(8))*2,2)),31),2)</f>
        <v>1F</v>
      </c>
      <c r="L440" t="str">
        <f>DEC2HEX(_xlfn.BITAND(HEX2DEC(MID('paste from garc here'!$C$1,1+(('table for research'!$B440-1)*36+HEX2DEC(8))*2,2)),32),2)</f>
        <v>00</v>
      </c>
      <c r="M440" t="str">
        <f>DEC2HEX(_xlfn.BITAND(HEX2DEC(MID('paste from garc here'!$C$1,1+(('table for research'!$B440-1)*36+HEX2DEC(8))*2,2)),64),2)</f>
        <v>00</v>
      </c>
      <c r="N440" t="str">
        <f>DEC2HEX(_xlfn.BITRSHIFT(_xlfn.BITAND(HEX2DEC(MID('paste from garc here'!$C$1,1+(('table for research'!$B440-1)*36+HEX2DEC(9))*2,2)&amp;MID('paste from garc here'!$C$1,1+(('table for research'!$B440-1)*36+HEX2DEC(8))*2,2)),1920),7),2)</f>
        <v>04</v>
      </c>
      <c r="O440" t="str">
        <f>DEC2HEX(_xlfn.BITRSHIFT(HEX2DEC(MID('paste from garc here'!$C$1,1+(('table for research'!$B440-1)*36+HEX2DEC(9))*2,2)&amp;MID('paste from garc here'!$C$1,1+(('table for research'!$B440-1)*36+HEX2DEC(8))*2,2)),11),2)</f>
        <v>00</v>
      </c>
      <c r="P440" t="str">
        <f>MID('paste from garc here'!$C$1,1+(('table for research'!$B440-1)*36+HEX2DEC('table for research'!P$1))*2,2)</f>
        <v>00</v>
      </c>
      <c r="Q440" t="str">
        <f>MID('paste from garc here'!$C$1,1+(('table for research'!$B440-1)*36+HEX2DEC('table for research'!Q$1))*2,2)</f>
        <v>00</v>
      </c>
      <c r="R440" t="str">
        <f>MID('paste from garc here'!$C$1,1+(('table for research'!$B440-1)*36+HEX2DEC('table for research'!R$1))*2,2)</f>
        <v>00</v>
      </c>
      <c r="S440" t="str">
        <f>MID('paste from garc here'!$C$1,1+(('table for research'!$B440-1)*36+HEX2DEC('table for research'!S$1))*2,2)</f>
        <v>08</v>
      </c>
      <c r="T440" t="str">
        <f>MID('paste from garc here'!$C$1,1+(('table for research'!$B440-1)*36+HEX2DEC('table for research'!T$1))*2,2)</f>
        <v>00</v>
      </c>
      <c r="U440" t="str">
        <f>MID('paste from garc here'!$C$1,1+(('table for research'!$B440-1)*36+HEX2DEC('table for research'!U$1))*2,2)</f>
        <v>FF</v>
      </c>
      <c r="V440" t="str">
        <f>MID('paste from garc here'!$C$1,1+(('table for research'!$B440-1)*36+HEX2DEC('table for research'!V$1))*2,2)</f>
        <v>00</v>
      </c>
      <c r="W440" t="str">
        <f>MID('paste from garc here'!$C$1,1+(('table for research'!$B440-1)*36+HEX2DEC('table for research'!W$1))*2,2)</f>
        <v>00</v>
      </c>
      <c r="X440" t="str">
        <f>MID('paste from garc here'!$C$1,1+(('table for research'!$B440-1)*36+HEX2DEC('table for research'!X$1))*2,2)</f>
        <v>00</v>
      </c>
      <c r="Y440" t="str">
        <f>MID('paste from garc here'!$C$1,1+(('table for research'!$B440-1)*36+HEX2DEC('table for research'!Y$1))*2,2)</f>
        <v>00</v>
      </c>
      <c r="Z440" t="str">
        <f>MID('paste from garc here'!$C$1,1+(('table for research'!$B440-1)*36+HEX2DEC('table for research'!Z$1))*2,2)</f>
        <v>00</v>
      </c>
      <c r="AA440" t="str">
        <f>MID('paste from garc here'!$C$1,1+(('table for research'!$B440-1)*36+HEX2DEC('table for research'!AA$1))*2,2)</f>
        <v>00</v>
      </c>
      <c r="AB440" t="str">
        <f>MID('paste from garc here'!$C$1,1+(('table for research'!$B440-1)*36+HEX2DEC('table for research'!AB$1))*2,2)</f>
        <v>00</v>
      </c>
      <c r="AC440" t="str">
        <f>MID('paste from garc here'!$C$1,1+(('table for research'!$B440-1)*36+HEX2DEC('table for research'!AC$1))*2,2)</f>
        <v>00</v>
      </c>
      <c r="AD440" t="str">
        <f>MID('paste from garc here'!$C$1,1+(('table for research'!$B440-1)*36+HEX2DEC('table for research'!AD$1))*2,2)</f>
        <v>00</v>
      </c>
      <c r="AE440" t="str">
        <f>MID('paste from garc here'!$C$1,1+(('table for research'!$B440-1)*36+HEX2DEC('table for research'!AE$1))*2,2)</f>
        <v>00</v>
      </c>
      <c r="AF440" t="str">
        <f>MID('paste from garc here'!$C$1,1+(('table for research'!$B440-1)*36+HEX2DEC('table for research'!AF$1))*2,2)</f>
        <v>00</v>
      </c>
      <c r="AG440" t="str">
        <f>MID('paste from garc here'!$C$1,1+(('table for research'!$B440-1)*36+HEX2DEC('table for research'!AG$1))*2,2)</f>
        <v>00</v>
      </c>
      <c r="AH440" t="str">
        <f>MID('paste from garc here'!$C$1,1+(('table for research'!$B440-1)*36+HEX2DEC('table for research'!AH$1))*2,2)</f>
        <v>00</v>
      </c>
      <c r="AI440" t="str">
        <f>MID('paste from garc here'!$C$1,1+(('table for research'!$B440-1)*36+HEX2DEC('table for research'!AI$1))*2,2)</f>
        <v>00</v>
      </c>
      <c r="AJ440" t="str">
        <f>MID('paste from garc here'!$C$1,1+(('table for research'!$B440-1)*36+HEX2DEC('table for research'!AJ$1))*2,2)</f>
        <v>00</v>
      </c>
      <c r="AK440" t="str">
        <f>MID('paste from garc here'!$C$1,1+(('table for research'!$B440-1)*36+HEX2DEC('table for research'!AK$1))*2,2)</f>
        <v>00</v>
      </c>
      <c r="AL440" t="str">
        <f>MID('paste from garc here'!$C$1,1+(('table for research'!$B440-1)*36+HEX2DEC('table for research'!AL$1))*2,2)</f>
        <v>00</v>
      </c>
      <c r="AM440" t="str">
        <f>MID('paste from garc here'!$C$1,1+(('table for research'!$B440-1)*36+HEX2DEC('table for research'!AM$1))*2,2)</f>
        <v>00</v>
      </c>
      <c r="AN440" t="str">
        <f>MID('paste from garc here'!$C$1,1+(('table for research'!$B440-1)*36+HEX2DEC('table for research'!AN$1))*2,2)</f>
        <v>00</v>
      </c>
      <c r="AO440" t="str">
        <f>MID('paste from garc here'!$C$1,1+(('table for research'!$B440-1)*36+HEX2DEC('table for research'!AO$1))*2,2)</f>
        <v>00</v>
      </c>
    </row>
    <row r="441" spans="1:41" x14ac:dyDescent="0.4">
      <c r="A441" t="s">
        <v>443</v>
      </c>
      <c r="B441">
        <f>B440+1</f>
        <v>439</v>
      </c>
      <c r="C441" t="str">
        <f>MID('paste from garc here'!$C$1,1+(('table for research'!$B441-1)*36+HEX2DEC('table for research'!C$1))*2,2)</f>
        <v>00</v>
      </c>
      <c r="D441" t="str">
        <f>MID('paste from garc here'!$C$1,1+(('table for research'!$B441-1)*36+HEX2DEC('table for research'!D$1))*2,2)</f>
        <v>00</v>
      </c>
      <c r="E441" t="str">
        <f>MID('paste from garc here'!$C$1,1+(('table for research'!$B441-1)*36+HEX2DEC('table for research'!E$1))*2,2)</f>
        <v>00</v>
      </c>
      <c r="F441" t="str">
        <f>MID('paste from garc here'!$C$1,1+(('table for research'!$B441-1)*36+HEX2DEC('table for research'!F$1))*2,2)</f>
        <v>00</v>
      </c>
      <c r="G441" t="str">
        <f>MID('paste from garc here'!$C$1,1+(('table for research'!$B441-1)*36+HEX2DEC('table for research'!G$1))*2,2)</f>
        <v>00</v>
      </c>
      <c r="H441" t="str">
        <f>MID('paste from garc here'!$C$1,1+(('table for research'!$B441-1)*36+HEX2DEC('table for research'!H$1))*2,2)</f>
        <v>00</v>
      </c>
      <c r="I441" t="str">
        <f>MID('paste from garc here'!$C$1,1+(('table for research'!$B441-1)*36+HEX2DEC('table for research'!I$1))*2,2)</f>
        <v>00</v>
      </c>
      <c r="J441" t="str">
        <f>MID('paste from garc here'!$C$1,1+(('table for research'!$B441-1)*36+HEX2DEC('table for research'!J$1))*2,2)</f>
        <v>00</v>
      </c>
      <c r="K441" t="str">
        <f>DEC2HEX(_xlfn.BITAND(HEX2DEC(MID('paste from garc here'!$C$1,1+(('table for research'!$B441-1)*36+HEX2DEC(8))*2,2)),31),2)</f>
        <v>1F</v>
      </c>
      <c r="L441" t="str">
        <f>DEC2HEX(_xlfn.BITAND(HEX2DEC(MID('paste from garc here'!$C$1,1+(('table for research'!$B441-1)*36+HEX2DEC(8))*2,2)),32),2)</f>
        <v>00</v>
      </c>
      <c r="M441" t="str">
        <f>DEC2HEX(_xlfn.BITAND(HEX2DEC(MID('paste from garc here'!$C$1,1+(('table for research'!$B441-1)*36+HEX2DEC(8))*2,2)),64),2)</f>
        <v>00</v>
      </c>
      <c r="N441" t="str">
        <f>DEC2HEX(_xlfn.BITRSHIFT(_xlfn.BITAND(HEX2DEC(MID('paste from garc here'!$C$1,1+(('table for research'!$B441-1)*36+HEX2DEC(9))*2,2)&amp;MID('paste from garc here'!$C$1,1+(('table for research'!$B441-1)*36+HEX2DEC(8))*2,2)),1920),7),2)</f>
        <v>04</v>
      </c>
      <c r="O441" t="str">
        <f>DEC2HEX(_xlfn.BITRSHIFT(HEX2DEC(MID('paste from garc here'!$C$1,1+(('table for research'!$B441-1)*36+HEX2DEC(9))*2,2)&amp;MID('paste from garc here'!$C$1,1+(('table for research'!$B441-1)*36+HEX2DEC(8))*2,2)),11),2)</f>
        <v>00</v>
      </c>
      <c r="P441" t="str">
        <f>MID('paste from garc here'!$C$1,1+(('table for research'!$B441-1)*36+HEX2DEC('table for research'!P$1))*2,2)</f>
        <v>00</v>
      </c>
      <c r="Q441" t="str">
        <f>MID('paste from garc here'!$C$1,1+(('table for research'!$B441-1)*36+HEX2DEC('table for research'!Q$1))*2,2)</f>
        <v>00</v>
      </c>
      <c r="R441" t="str">
        <f>MID('paste from garc here'!$C$1,1+(('table for research'!$B441-1)*36+HEX2DEC('table for research'!R$1))*2,2)</f>
        <v>00</v>
      </c>
      <c r="S441" t="str">
        <f>MID('paste from garc here'!$C$1,1+(('table for research'!$B441-1)*36+HEX2DEC('table for research'!S$1))*2,2)</f>
        <v>08</v>
      </c>
      <c r="T441" t="str">
        <f>MID('paste from garc here'!$C$1,1+(('table for research'!$B441-1)*36+HEX2DEC('table for research'!T$1))*2,2)</f>
        <v>00</v>
      </c>
      <c r="U441" t="str">
        <f>MID('paste from garc here'!$C$1,1+(('table for research'!$B441-1)*36+HEX2DEC('table for research'!U$1))*2,2)</f>
        <v>FF</v>
      </c>
      <c r="V441" t="str">
        <f>MID('paste from garc here'!$C$1,1+(('table for research'!$B441-1)*36+HEX2DEC('table for research'!V$1))*2,2)</f>
        <v>00</v>
      </c>
      <c r="W441" t="str">
        <f>MID('paste from garc here'!$C$1,1+(('table for research'!$B441-1)*36+HEX2DEC('table for research'!W$1))*2,2)</f>
        <v>00</v>
      </c>
      <c r="X441" t="str">
        <f>MID('paste from garc here'!$C$1,1+(('table for research'!$B441-1)*36+HEX2DEC('table for research'!X$1))*2,2)</f>
        <v>00</v>
      </c>
      <c r="Y441" t="str">
        <f>MID('paste from garc here'!$C$1,1+(('table for research'!$B441-1)*36+HEX2DEC('table for research'!Y$1))*2,2)</f>
        <v>00</v>
      </c>
      <c r="Z441" t="str">
        <f>MID('paste from garc here'!$C$1,1+(('table for research'!$B441-1)*36+HEX2DEC('table for research'!Z$1))*2,2)</f>
        <v>00</v>
      </c>
      <c r="AA441" t="str">
        <f>MID('paste from garc here'!$C$1,1+(('table for research'!$B441-1)*36+HEX2DEC('table for research'!AA$1))*2,2)</f>
        <v>00</v>
      </c>
      <c r="AB441" t="str">
        <f>MID('paste from garc here'!$C$1,1+(('table for research'!$B441-1)*36+HEX2DEC('table for research'!AB$1))*2,2)</f>
        <v>00</v>
      </c>
      <c r="AC441" t="str">
        <f>MID('paste from garc here'!$C$1,1+(('table for research'!$B441-1)*36+HEX2DEC('table for research'!AC$1))*2,2)</f>
        <v>00</v>
      </c>
      <c r="AD441" t="str">
        <f>MID('paste from garc here'!$C$1,1+(('table for research'!$B441-1)*36+HEX2DEC('table for research'!AD$1))*2,2)</f>
        <v>00</v>
      </c>
      <c r="AE441" t="str">
        <f>MID('paste from garc here'!$C$1,1+(('table for research'!$B441-1)*36+HEX2DEC('table for research'!AE$1))*2,2)</f>
        <v>00</v>
      </c>
      <c r="AF441" t="str">
        <f>MID('paste from garc here'!$C$1,1+(('table for research'!$B441-1)*36+HEX2DEC('table for research'!AF$1))*2,2)</f>
        <v>00</v>
      </c>
      <c r="AG441" t="str">
        <f>MID('paste from garc here'!$C$1,1+(('table for research'!$B441-1)*36+HEX2DEC('table for research'!AG$1))*2,2)</f>
        <v>00</v>
      </c>
      <c r="AH441" t="str">
        <f>MID('paste from garc here'!$C$1,1+(('table for research'!$B441-1)*36+HEX2DEC('table for research'!AH$1))*2,2)</f>
        <v>00</v>
      </c>
      <c r="AI441" t="str">
        <f>MID('paste from garc here'!$C$1,1+(('table for research'!$B441-1)*36+HEX2DEC('table for research'!AI$1))*2,2)</f>
        <v>00</v>
      </c>
      <c r="AJ441" t="str">
        <f>MID('paste from garc here'!$C$1,1+(('table for research'!$B441-1)*36+HEX2DEC('table for research'!AJ$1))*2,2)</f>
        <v>00</v>
      </c>
      <c r="AK441" t="str">
        <f>MID('paste from garc here'!$C$1,1+(('table for research'!$B441-1)*36+HEX2DEC('table for research'!AK$1))*2,2)</f>
        <v>00</v>
      </c>
      <c r="AL441" t="str">
        <f>MID('paste from garc here'!$C$1,1+(('table for research'!$B441-1)*36+HEX2DEC('table for research'!AL$1))*2,2)</f>
        <v>00</v>
      </c>
      <c r="AM441" t="str">
        <f>MID('paste from garc here'!$C$1,1+(('table for research'!$B441-1)*36+HEX2DEC('table for research'!AM$1))*2,2)</f>
        <v>00</v>
      </c>
      <c r="AN441" t="str">
        <f>MID('paste from garc here'!$C$1,1+(('table for research'!$B441-1)*36+HEX2DEC('table for research'!AN$1))*2,2)</f>
        <v>00</v>
      </c>
      <c r="AO441" t="str">
        <f>MID('paste from garc here'!$C$1,1+(('table for research'!$B441-1)*36+HEX2DEC('table for research'!AO$1))*2,2)</f>
        <v>00</v>
      </c>
    </row>
    <row r="442" spans="1:41" x14ac:dyDescent="0.4">
      <c r="A442" t="s">
        <v>444</v>
      </c>
      <c r="B442">
        <f>B441+1</f>
        <v>440</v>
      </c>
      <c r="C442" t="str">
        <f>MID('paste from garc here'!$C$1,1+(('table for research'!$B442-1)*36+HEX2DEC('table for research'!C$1))*2,2)</f>
        <v>00</v>
      </c>
      <c r="D442" t="str">
        <f>MID('paste from garc here'!$C$1,1+(('table for research'!$B442-1)*36+HEX2DEC('table for research'!D$1))*2,2)</f>
        <v>00</v>
      </c>
      <c r="E442" t="str">
        <f>MID('paste from garc here'!$C$1,1+(('table for research'!$B442-1)*36+HEX2DEC('table for research'!E$1))*2,2)</f>
        <v>00</v>
      </c>
      <c r="F442" t="str">
        <f>MID('paste from garc here'!$C$1,1+(('table for research'!$B442-1)*36+HEX2DEC('table for research'!F$1))*2,2)</f>
        <v>00</v>
      </c>
      <c r="G442" t="str">
        <f>MID('paste from garc here'!$C$1,1+(('table for research'!$B442-1)*36+HEX2DEC('table for research'!G$1))*2,2)</f>
        <v>00</v>
      </c>
      <c r="H442" t="str">
        <f>MID('paste from garc here'!$C$1,1+(('table for research'!$B442-1)*36+HEX2DEC('table for research'!H$1))*2,2)</f>
        <v>00</v>
      </c>
      <c r="I442" t="str">
        <f>MID('paste from garc here'!$C$1,1+(('table for research'!$B442-1)*36+HEX2DEC('table for research'!I$1))*2,2)</f>
        <v>00</v>
      </c>
      <c r="J442" t="str">
        <f>MID('paste from garc here'!$C$1,1+(('table for research'!$B442-1)*36+HEX2DEC('table for research'!J$1))*2,2)</f>
        <v>00</v>
      </c>
      <c r="K442" t="str">
        <f>DEC2HEX(_xlfn.BITAND(HEX2DEC(MID('paste from garc here'!$C$1,1+(('table for research'!$B442-1)*36+HEX2DEC(8))*2,2)),31),2)</f>
        <v>1F</v>
      </c>
      <c r="L442" t="str">
        <f>DEC2HEX(_xlfn.BITAND(HEX2DEC(MID('paste from garc here'!$C$1,1+(('table for research'!$B442-1)*36+HEX2DEC(8))*2,2)),32),2)</f>
        <v>20</v>
      </c>
      <c r="M442" t="str">
        <f>DEC2HEX(_xlfn.BITAND(HEX2DEC(MID('paste from garc here'!$C$1,1+(('table for research'!$B442-1)*36+HEX2DEC(8))*2,2)),64),2)</f>
        <v>00</v>
      </c>
      <c r="N442" t="str">
        <f>DEC2HEX(_xlfn.BITRSHIFT(_xlfn.BITAND(HEX2DEC(MID('paste from garc here'!$C$1,1+(('table for research'!$B442-1)*36+HEX2DEC(9))*2,2)&amp;MID('paste from garc here'!$C$1,1+(('table for research'!$B442-1)*36+HEX2DEC(8))*2,2)),1920),7),2)</f>
        <v>04</v>
      </c>
      <c r="O442" t="str">
        <f>DEC2HEX(_xlfn.BITRSHIFT(HEX2DEC(MID('paste from garc here'!$C$1,1+(('table for research'!$B442-1)*36+HEX2DEC(9))*2,2)&amp;MID('paste from garc here'!$C$1,1+(('table for research'!$B442-1)*36+HEX2DEC(8))*2,2)),11),2)</f>
        <v>00</v>
      </c>
      <c r="P442" t="str">
        <f>MID('paste from garc here'!$C$1,1+(('table for research'!$B442-1)*36+HEX2DEC('table for research'!P$1))*2,2)</f>
        <v>00</v>
      </c>
      <c r="Q442" t="str">
        <f>MID('paste from garc here'!$C$1,1+(('table for research'!$B442-1)*36+HEX2DEC('table for research'!Q$1))*2,2)</f>
        <v>00</v>
      </c>
      <c r="R442" t="str">
        <f>MID('paste from garc here'!$C$1,1+(('table for research'!$B442-1)*36+HEX2DEC('table for research'!R$1))*2,2)</f>
        <v>00</v>
      </c>
      <c r="S442" t="str">
        <f>MID('paste from garc here'!$C$1,1+(('table for research'!$B442-1)*36+HEX2DEC('table for research'!S$1))*2,2)</f>
        <v>08</v>
      </c>
      <c r="T442" t="str">
        <f>MID('paste from garc here'!$C$1,1+(('table for research'!$B442-1)*36+HEX2DEC('table for research'!T$1))*2,2)</f>
        <v>00</v>
      </c>
      <c r="U442" t="str">
        <f>MID('paste from garc here'!$C$1,1+(('table for research'!$B442-1)*36+HEX2DEC('table for research'!U$1))*2,2)</f>
        <v>FF</v>
      </c>
      <c r="V442" t="str">
        <f>MID('paste from garc here'!$C$1,1+(('table for research'!$B442-1)*36+HEX2DEC('table for research'!V$1))*2,2)</f>
        <v>00</v>
      </c>
      <c r="W442" t="str">
        <f>MID('paste from garc here'!$C$1,1+(('table for research'!$B442-1)*36+HEX2DEC('table for research'!W$1))*2,2)</f>
        <v>00</v>
      </c>
      <c r="X442" t="str">
        <f>MID('paste from garc here'!$C$1,1+(('table for research'!$B442-1)*36+HEX2DEC('table for research'!X$1))*2,2)</f>
        <v>00</v>
      </c>
      <c r="Y442" t="str">
        <f>MID('paste from garc here'!$C$1,1+(('table for research'!$B442-1)*36+HEX2DEC('table for research'!Y$1))*2,2)</f>
        <v>00</v>
      </c>
      <c r="Z442" t="str">
        <f>MID('paste from garc here'!$C$1,1+(('table for research'!$B442-1)*36+HEX2DEC('table for research'!Z$1))*2,2)</f>
        <v>00</v>
      </c>
      <c r="AA442" t="str">
        <f>MID('paste from garc here'!$C$1,1+(('table for research'!$B442-1)*36+HEX2DEC('table for research'!AA$1))*2,2)</f>
        <v>00</v>
      </c>
      <c r="AB442" t="str">
        <f>MID('paste from garc here'!$C$1,1+(('table for research'!$B442-1)*36+HEX2DEC('table for research'!AB$1))*2,2)</f>
        <v>00</v>
      </c>
      <c r="AC442" t="str">
        <f>MID('paste from garc here'!$C$1,1+(('table for research'!$B442-1)*36+HEX2DEC('table for research'!AC$1))*2,2)</f>
        <v>00</v>
      </c>
      <c r="AD442" t="str">
        <f>MID('paste from garc here'!$C$1,1+(('table for research'!$B442-1)*36+HEX2DEC('table for research'!AD$1))*2,2)</f>
        <v>00</v>
      </c>
      <c r="AE442" t="str">
        <f>MID('paste from garc here'!$C$1,1+(('table for research'!$B442-1)*36+HEX2DEC('table for research'!AE$1))*2,2)</f>
        <v>00</v>
      </c>
      <c r="AF442" t="str">
        <f>MID('paste from garc here'!$C$1,1+(('table for research'!$B442-1)*36+HEX2DEC('table for research'!AF$1))*2,2)</f>
        <v>00</v>
      </c>
      <c r="AG442" t="str">
        <f>MID('paste from garc here'!$C$1,1+(('table for research'!$B442-1)*36+HEX2DEC('table for research'!AG$1))*2,2)</f>
        <v>00</v>
      </c>
      <c r="AH442" t="str">
        <f>MID('paste from garc here'!$C$1,1+(('table for research'!$B442-1)*36+HEX2DEC('table for research'!AH$1))*2,2)</f>
        <v>00</v>
      </c>
      <c r="AI442" t="str">
        <f>MID('paste from garc here'!$C$1,1+(('table for research'!$B442-1)*36+HEX2DEC('table for research'!AI$1))*2,2)</f>
        <v>00</v>
      </c>
      <c r="AJ442" t="str">
        <f>MID('paste from garc here'!$C$1,1+(('table for research'!$B442-1)*36+HEX2DEC('table for research'!AJ$1))*2,2)</f>
        <v>00</v>
      </c>
      <c r="AK442" t="str">
        <f>MID('paste from garc here'!$C$1,1+(('table for research'!$B442-1)*36+HEX2DEC('table for research'!AK$1))*2,2)</f>
        <v>00</v>
      </c>
      <c r="AL442" t="str">
        <f>MID('paste from garc here'!$C$1,1+(('table for research'!$B442-1)*36+HEX2DEC('table for research'!AL$1))*2,2)</f>
        <v>00</v>
      </c>
      <c r="AM442" t="str">
        <f>MID('paste from garc here'!$C$1,1+(('table for research'!$B442-1)*36+HEX2DEC('table for research'!AM$1))*2,2)</f>
        <v>00</v>
      </c>
      <c r="AN442" t="str">
        <f>MID('paste from garc here'!$C$1,1+(('table for research'!$B442-1)*36+HEX2DEC('table for research'!AN$1))*2,2)</f>
        <v>00</v>
      </c>
      <c r="AO442" t="str">
        <f>MID('paste from garc here'!$C$1,1+(('table for research'!$B442-1)*36+HEX2DEC('table for research'!AO$1))*2,2)</f>
        <v>00</v>
      </c>
    </row>
    <row r="443" spans="1:41" x14ac:dyDescent="0.4">
      <c r="A443" t="s">
        <v>445</v>
      </c>
      <c r="B443">
        <f>B442+1</f>
        <v>441</v>
      </c>
      <c r="C443" t="str">
        <f>MID('paste from garc here'!$C$1,1+(('table for research'!$B443-1)*36+HEX2DEC('table for research'!C$1))*2,2)</f>
        <v>00</v>
      </c>
      <c r="D443" t="str">
        <f>MID('paste from garc here'!$C$1,1+(('table for research'!$B443-1)*36+HEX2DEC('table for research'!D$1))*2,2)</f>
        <v>00</v>
      </c>
      <c r="E443" t="str">
        <f>MID('paste from garc here'!$C$1,1+(('table for research'!$B443-1)*36+HEX2DEC('table for research'!E$1))*2,2)</f>
        <v>00</v>
      </c>
      <c r="F443" t="str">
        <f>MID('paste from garc here'!$C$1,1+(('table for research'!$B443-1)*36+HEX2DEC('table for research'!F$1))*2,2)</f>
        <v>00</v>
      </c>
      <c r="G443" t="str">
        <f>MID('paste from garc here'!$C$1,1+(('table for research'!$B443-1)*36+HEX2DEC('table for research'!G$1))*2,2)</f>
        <v>00</v>
      </c>
      <c r="H443" t="str">
        <f>MID('paste from garc here'!$C$1,1+(('table for research'!$B443-1)*36+HEX2DEC('table for research'!H$1))*2,2)</f>
        <v>00</v>
      </c>
      <c r="I443" t="str">
        <f>MID('paste from garc here'!$C$1,1+(('table for research'!$B443-1)*36+HEX2DEC('table for research'!I$1))*2,2)</f>
        <v>00</v>
      </c>
      <c r="J443" t="str">
        <f>MID('paste from garc here'!$C$1,1+(('table for research'!$B443-1)*36+HEX2DEC('table for research'!J$1))*2,2)</f>
        <v>00</v>
      </c>
      <c r="K443" t="str">
        <f>DEC2HEX(_xlfn.BITAND(HEX2DEC(MID('paste from garc here'!$C$1,1+(('table for research'!$B443-1)*36+HEX2DEC(8))*2,2)),31),2)</f>
        <v>1F</v>
      </c>
      <c r="L443" t="str">
        <f>DEC2HEX(_xlfn.BITAND(HEX2DEC(MID('paste from garc here'!$C$1,1+(('table for research'!$B443-1)*36+HEX2DEC(8))*2,2)),32),2)</f>
        <v>00</v>
      </c>
      <c r="M443" t="str">
        <f>DEC2HEX(_xlfn.BITAND(HEX2DEC(MID('paste from garc here'!$C$1,1+(('table for research'!$B443-1)*36+HEX2DEC(8))*2,2)),64),2)</f>
        <v>00</v>
      </c>
      <c r="N443" t="str">
        <f>DEC2HEX(_xlfn.BITRSHIFT(_xlfn.BITAND(HEX2DEC(MID('paste from garc here'!$C$1,1+(('table for research'!$B443-1)*36+HEX2DEC(9))*2,2)&amp;MID('paste from garc here'!$C$1,1+(('table for research'!$B443-1)*36+HEX2DEC(8))*2,2)),1920),7),2)</f>
        <v>04</v>
      </c>
      <c r="O443" t="str">
        <f>DEC2HEX(_xlfn.BITRSHIFT(HEX2DEC(MID('paste from garc here'!$C$1,1+(('table for research'!$B443-1)*36+HEX2DEC(9))*2,2)&amp;MID('paste from garc here'!$C$1,1+(('table for research'!$B443-1)*36+HEX2DEC(8))*2,2)),11),2)</f>
        <v>00</v>
      </c>
      <c r="P443" t="str">
        <f>MID('paste from garc here'!$C$1,1+(('table for research'!$B443-1)*36+HEX2DEC('table for research'!P$1))*2,2)</f>
        <v>00</v>
      </c>
      <c r="Q443" t="str">
        <f>MID('paste from garc here'!$C$1,1+(('table for research'!$B443-1)*36+HEX2DEC('table for research'!Q$1))*2,2)</f>
        <v>00</v>
      </c>
      <c r="R443" t="str">
        <f>MID('paste from garc here'!$C$1,1+(('table for research'!$B443-1)*36+HEX2DEC('table for research'!R$1))*2,2)</f>
        <v>00</v>
      </c>
      <c r="S443" t="str">
        <f>MID('paste from garc here'!$C$1,1+(('table for research'!$B443-1)*36+HEX2DEC('table for research'!S$1))*2,2)</f>
        <v>08</v>
      </c>
      <c r="T443" t="str">
        <f>MID('paste from garc here'!$C$1,1+(('table for research'!$B443-1)*36+HEX2DEC('table for research'!T$1))*2,2)</f>
        <v>00</v>
      </c>
      <c r="U443" t="str">
        <f>MID('paste from garc here'!$C$1,1+(('table for research'!$B443-1)*36+HEX2DEC('table for research'!U$1))*2,2)</f>
        <v>FF</v>
      </c>
      <c r="V443" t="str">
        <f>MID('paste from garc here'!$C$1,1+(('table for research'!$B443-1)*36+HEX2DEC('table for research'!V$1))*2,2)</f>
        <v>00</v>
      </c>
      <c r="W443" t="str">
        <f>MID('paste from garc here'!$C$1,1+(('table for research'!$B443-1)*36+HEX2DEC('table for research'!W$1))*2,2)</f>
        <v>00</v>
      </c>
      <c r="X443" t="str">
        <f>MID('paste from garc here'!$C$1,1+(('table for research'!$B443-1)*36+HEX2DEC('table for research'!X$1))*2,2)</f>
        <v>00</v>
      </c>
      <c r="Y443" t="str">
        <f>MID('paste from garc here'!$C$1,1+(('table for research'!$B443-1)*36+HEX2DEC('table for research'!Y$1))*2,2)</f>
        <v>00</v>
      </c>
      <c r="Z443" t="str">
        <f>MID('paste from garc here'!$C$1,1+(('table for research'!$B443-1)*36+HEX2DEC('table for research'!Z$1))*2,2)</f>
        <v>00</v>
      </c>
      <c r="AA443" t="str">
        <f>MID('paste from garc here'!$C$1,1+(('table for research'!$B443-1)*36+HEX2DEC('table for research'!AA$1))*2,2)</f>
        <v>00</v>
      </c>
      <c r="AB443" t="str">
        <f>MID('paste from garc here'!$C$1,1+(('table for research'!$B443-1)*36+HEX2DEC('table for research'!AB$1))*2,2)</f>
        <v>00</v>
      </c>
      <c r="AC443" t="str">
        <f>MID('paste from garc here'!$C$1,1+(('table for research'!$B443-1)*36+HEX2DEC('table for research'!AC$1))*2,2)</f>
        <v>00</v>
      </c>
      <c r="AD443" t="str">
        <f>MID('paste from garc here'!$C$1,1+(('table for research'!$B443-1)*36+HEX2DEC('table for research'!AD$1))*2,2)</f>
        <v>00</v>
      </c>
      <c r="AE443" t="str">
        <f>MID('paste from garc here'!$C$1,1+(('table for research'!$B443-1)*36+HEX2DEC('table for research'!AE$1))*2,2)</f>
        <v>00</v>
      </c>
      <c r="AF443" t="str">
        <f>MID('paste from garc here'!$C$1,1+(('table for research'!$B443-1)*36+HEX2DEC('table for research'!AF$1))*2,2)</f>
        <v>00</v>
      </c>
      <c r="AG443" t="str">
        <f>MID('paste from garc here'!$C$1,1+(('table for research'!$B443-1)*36+HEX2DEC('table for research'!AG$1))*2,2)</f>
        <v>00</v>
      </c>
      <c r="AH443" t="str">
        <f>MID('paste from garc here'!$C$1,1+(('table for research'!$B443-1)*36+HEX2DEC('table for research'!AH$1))*2,2)</f>
        <v>00</v>
      </c>
      <c r="AI443" t="str">
        <f>MID('paste from garc here'!$C$1,1+(('table for research'!$B443-1)*36+HEX2DEC('table for research'!AI$1))*2,2)</f>
        <v>00</v>
      </c>
      <c r="AJ443" t="str">
        <f>MID('paste from garc here'!$C$1,1+(('table for research'!$B443-1)*36+HEX2DEC('table for research'!AJ$1))*2,2)</f>
        <v>00</v>
      </c>
      <c r="AK443" t="str">
        <f>MID('paste from garc here'!$C$1,1+(('table for research'!$B443-1)*36+HEX2DEC('table for research'!AK$1))*2,2)</f>
        <v>00</v>
      </c>
      <c r="AL443" t="str">
        <f>MID('paste from garc here'!$C$1,1+(('table for research'!$B443-1)*36+HEX2DEC('table for research'!AL$1))*2,2)</f>
        <v>00</v>
      </c>
      <c r="AM443" t="str">
        <f>MID('paste from garc here'!$C$1,1+(('table for research'!$B443-1)*36+HEX2DEC('table for research'!AM$1))*2,2)</f>
        <v>00</v>
      </c>
      <c r="AN443" t="str">
        <f>MID('paste from garc here'!$C$1,1+(('table for research'!$B443-1)*36+HEX2DEC('table for research'!AN$1))*2,2)</f>
        <v>00</v>
      </c>
      <c r="AO443" t="str">
        <f>MID('paste from garc here'!$C$1,1+(('table for research'!$B443-1)*36+HEX2DEC('table for research'!AO$1))*2,2)</f>
        <v>00</v>
      </c>
    </row>
    <row r="444" spans="1:41" x14ac:dyDescent="0.4">
      <c r="A444" t="s">
        <v>446</v>
      </c>
      <c r="B444">
        <f>B443+1</f>
        <v>442</v>
      </c>
      <c r="C444" t="str">
        <f>MID('paste from garc here'!$C$1,1+(('table for research'!$B444-1)*36+HEX2DEC('table for research'!C$1))*2,2)</f>
        <v>00</v>
      </c>
      <c r="D444" t="str">
        <f>MID('paste from garc here'!$C$1,1+(('table for research'!$B444-1)*36+HEX2DEC('table for research'!D$1))*2,2)</f>
        <v>00</v>
      </c>
      <c r="E444" t="str">
        <f>MID('paste from garc here'!$C$1,1+(('table for research'!$B444-1)*36+HEX2DEC('table for research'!E$1))*2,2)</f>
        <v>00</v>
      </c>
      <c r="F444" t="str">
        <f>MID('paste from garc here'!$C$1,1+(('table for research'!$B444-1)*36+HEX2DEC('table for research'!F$1))*2,2)</f>
        <v>00</v>
      </c>
      <c r="G444" t="str">
        <f>MID('paste from garc here'!$C$1,1+(('table for research'!$B444-1)*36+HEX2DEC('table for research'!G$1))*2,2)</f>
        <v>00</v>
      </c>
      <c r="H444" t="str">
        <f>MID('paste from garc here'!$C$1,1+(('table for research'!$B444-1)*36+HEX2DEC('table for research'!H$1))*2,2)</f>
        <v>00</v>
      </c>
      <c r="I444" t="str">
        <f>MID('paste from garc here'!$C$1,1+(('table for research'!$B444-1)*36+HEX2DEC('table for research'!I$1))*2,2)</f>
        <v>00</v>
      </c>
      <c r="J444" t="str">
        <f>MID('paste from garc here'!$C$1,1+(('table for research'!$B444-1)*36+HEX2DEC('table for research'!J$1))*2,2)</f>
        <v>00</v>
      </c>
      <c r="K444" t="str">
        <f>DEC2HEX(_xlfn.BITAND(HEX2DEC(MID('paste from garc here'!$C$1,1+(('table for research'!$B444-1)*36+HEX2DEC(8))*2,2)),31),2)</f>
        <v>1F</v>
      </c>
      <c r="L444" t="str">
        <f>DEC2HEX(_xlfn.BITAND(HEX2DEC(MID('paste from garc here'!$C$1,1+(('table for research'!$B444-1)*36+HEX2DEC(8))*2,2)),32),2)</f>
        <v>20</v>
      </c>
      <c r="M444" t="str">
        <f>DEC2HEX(_xlfn.BITAND(HEX2DEC(MID('paste from garc here'!$C$1,1+(('table for research'!$B444-1)*36+HEX2DEC(8))*2,2)),64),2)</f>
        <v>00</v>
      </c>
      <c r="N444" t="str">
        <f>DEC2HEX(_xlfn.BITRSHIFT(_xlfn.BITAND(HEX2DEC(MID('paste from garc here'!$C$1,1+(('table for research'!$B444-1)*36+HEX2DEC(9))*2,2)&amp;MID('paste from garc here'!$C$1,1+(('table for research'!$B444-1)*36+HEX2DEC(8))*2,2)),1920),7),2)</f>
        <v>04</v>
      </c>
      <c r="O444" t="str">
        <f>DEC2HEX(_xlfn.BITRSHIFT(HEX2DEC(MID('paste from garc here'!$C$1,1+(('table for research'!$B444-1)*36+HEX2DEC(9))*2,2)&amp;MID('paste from garc here'!$C$1,1+(('table for research'!$B444-1)*36+HEX2DEC(8))*2,2)),11),2)</f>
        <v>00</v>
      </c>
      <c r="P444" t="str">
        <f>MID('paste from garc here'!$C$1,1+(('table for research'!$B444-1)*36+HEX2DEC('table for research'!P$1))*2,2)</f>
        <v>00</v>
      </c>
      <c r="Q444" t="str">
        <f>MID('paste from garc here'!$C$1,1+(('table for research'!$B444-1)*36+HEX2DEC('table for research'!Q$1))*2,2)</f>
        <v>00</v>
      </c>
      <c r="R444" t="str">
        <f>MID('paste from garc here'!$C$1,1+(('table for research'!$B444-1)*36+HEX2DEC('table for research'!R$1))*2,2)</f>
        <v>00</v>
      </c>
      <c r="S444" t="str">
        <f>MID('paste from garc here'!$C$1,1+(('table for research'!$B444-1)*36+HEX2DEC('table for research'!S$1))*2,2)</f>
        <v>08</v>
      </c>
      <c r="T444" t="str">
        <f>MID('paste from garc here'!$C$1,1+(('table for research'!$B444-1)*36+HEX2DEC('table for research'!T$1))*2,2)</f>
        <v>00</v>
      </c>
      <c r="U444" t="str">
        <f>MID('paste from garc here'!$C$1,1+(('table for research'!$B444-1)*36+HEX2DEC('table for research'!U$1))*2,2)</f>
        <v>FF</v>
      </c>
      <c r="V444" t="str">
        <f>MID('paste from garc here'!$C$1,1+(('table for research'!$B444-1)*36+HEX2DEC('table for research'!V$1))*2,2)</f>
        <v>00</v>
      </c>
      <c r="W444" t="str">
        <f>MID('paste from garc here'!$C$1,1+(('table for research'!$B444-1)*36+HEX2DEC('table for research'!W$1))*2,2)</f>
        <v>00</v>
      </c>
      <c r="X444" t="str">
        <f>MID('paste from garc here'!$C$1,1+(('table for research'!$B444-1)*36+HEX2DEC('table for research'!X$1))*2,2)</f>
        <v>00</v>
      </c>
      <c r="Y444" t="str">
        <f>MID('paste from garc here'!$C$1,1+(('table for research'!$B444-1)*36+HEX2DEC('table for research'!Y$1))*2,2)</f>
        <v>00</v>
      </c>
      <c r="Z444" t="str">
        <f>MID('paste from garc here'!$C$1,1+(('table for research'!$B444-1)*36+HEX2DEC('table for research'!Z$1))*2,2)</f>
        <v>00</v>
      </c>
      <c r="AA444" t="str">
        <f>MID('paste from garc here'!$C$1,1+(('table for research'!$B444-1)*36+HEX2DEC('table for research'!AA$1))*2,2)</f>
        <v>00</v>
      </c>
      <c r="AB444" t="str">
        <f>MID('paste from garc here'!$C$1,1+(('table for research'!$B444-1)*36+HEX2DEC('table for research'!AB$1))*2,2)</f>
        <v>00</v>
      </c>
      <c r="AC444" t="str">
        <f>MID('paste from garc here'!$C$1,1+(('table for research'!$B444-1)*36+HEX2DEC('table for research'!AC$1))*2,2)</f>
        <v>00</v>
      </c>
      <c r="AD444" t="str">
        <f>MID('paste from garc here'!$C$1,1+(('table for research'!$B444-1)*36+HEX2DEC('table for research'!AD$1))*2,2)</f>
        <v>00</v>
      </c>
      <c r="AE444" t="str">
        <f>MID('paste from garc here'!$C$1,1+(('table for research'!$B444-1)*36+HEX2DEC('table for research'!AE$1))*2,2)</f>
        <v>00</v>
      </c>
      <c r="AF444" t="str">
        <f>MID('paste from garc here'!$C$1,1+(('table for research'!$B444-1)*36+HEX2DEC('table for research'!AF$1))*2,2)</f>
        <v>00</v>
      </c>
      <c r="AG444" t="str">
        <f>MID('paste from garc here'!$C$1,1+(('table for research'!$B444-1)*36+HEX2DEC('table for research'!AG$1))*2,2)</f>
        <v>00</v>
      </c>
      <c r="AH444" t="str">
        <f>MID('paste from garc here'!$C$1,1+(('table for research'!$B444-1)*36+HEX2DEC('table for research'!AH$1))*2,2)</f>
        <v>00</v>
      </c>
      <c r="AI444" t="str">
        <f>MID('paste from garc here'!$C$1,1+(('table for research'!$B444-1)*36+HEX2DEC('table for research'!AI$1))*2,2)</f>
        <v>00</v>
      </c>
      <c r="AJ444" t="str">
        <f>MID('paste from garc here'!$C$1,1+(('table for research'!$B444-1)*36+HEX2DEC('table for research'!AJ$1))*2,2)</f>
        <v>00</v>
      </c>
      <c r="AK444" t="str">
        <f>MID('paste from garc here'!$C$1,1+(('table for research'!$B444-1)*36+HEX2DEC('table for research'!AK$1))*2,2)</f>
        <v>00</v>
      </c>
      <c r="AL444" t="str">
        <f>MID('paste from garc here'!$C$1,1+(('table for research'!$B444-1)*36+HEX2DEC('table for research'!AL$1))*2,2)</f>
        <v>00</v>
      </c>
      <c r="AM444" t="str">
        <f>MID('paste from garc here'!$C$1,1+(('table for research'!$B444-1)*36+HEX2DEC('table for research'!AM$1))*2,2)</f>
        <v>00</v>
      </c>
      <c r="AN444" t="str">
        <f>MID('paste from garc here'!$C$1,1+(('table for research'!$B444-1)*36+HEX2DEC('table for research'!AN$1))*2,2)</f>
        <v>00</v>
      </c>
      <c r="AO444" t="str">
        <f>MID('paste from garc here'!$C$1,1+(('table for research'!$B444-1)*36+HEX2DEC('table for research'!AO$1))*2,2)</f>
        <v>00</v>
      </c>
    </row>
    <row r="445" spans="1:41" x14ac:dyDescent="0.4">
      <c r="A445" t="s">
        <v>447</v>
      </c>
      <c r="B445">
        <f>B444+1</f>
        <v>443</v>
      </c>
      <c r="C445" t="str">
        <f>MID('paste from garc here'!$C$1,1+(('table for research'!$B445-1)*36+HEX2DEC('table for research'!C$1))*2,2)</f>
        <v>00</v>
      </c>
      <c r="D445" t="str">
        <f>MID('paste from garc here'!$C$1,1+(('table for research'!$B445-1)*36+HEX2DEC('table for research'!D$1))*2,2)</f>
        <v>00</v>
      </c>
      <c r="E445" t="str">
        <f>MID('paste from garc here'!$C$1,1+(('table for research'!$B445-1)*36+HEX2DEC('table for research'!E$1))*2,2)</f>
        <v>00</v>
      </c>
      <c r="F445" t="str">
        <f>MID('paste from garc here'!$C$1,1+(('table for research'!$B445-1)*36+HEX2DEC('table for research'!F$1))*2,2)</f>
        <v>00</v>
      </c>
      <c r="G445" t="str">
        <f>MID('paste from garc here'!$C$1,1+(('table for research'!$B445-1)*36+HEX2DEC('table for research'!G$1))*2,2)</f>
        <v>00</v>
      </c>
      <c r="H445" t="str">
        <f>MID('paste from garc here'!$C$1,1+(('table for research'!$B445-1)*36+HEX2DEC('table for research'!H$1))*2,2)</f>
        <v>00</v>
      </c>
      <c r="I445" t="str">
        <f>MID('paste from garc here'!$C$1,1+(('table for research'!$B445-1)*36+HEX2DEC('table for research'!I$1))*2,2)</f>
        <v>00</v>
      </c>
      <c r="J445" t="str">
        <f>MID('paste from garc here'!$C$1,1+(('table for research'!$B445-1)*36+HEX2DEC('table for research'!J$1))*2,2)</f>
        <v>00</v>
      </c>
      <c r="K445" t="str">
        <f>DEC2HEX(_xlfn.BITAND(HEX2DEC(MID('paste from garc here'!$C$1,1+(('table for research'!$B445-1)*36+HEX2DEC(8))*2,2)),31),2)</f>
        <v>1F</v>
      </c>
      <c r="L445" t="str">
        <f>DEC2HEX(_xlfn.BITAND(HEX2DEC(MID('paste from garc here'!$C$1,1+(('table for research'!$B445-1)*36+HEX2DEC(8))*2,2)),32),2)</f>
        <v>00</v>
      </c>
      <c r="M445" t="str">
        <f>DEC2HEX(_xlfn.BITAND(HEX2DEC(MID('paste from garc here'!$C$1,1+(('table for research'!$B445-1)*36+HEX2DEC(8))*2,2)),64),2)</f>
        <v>00</v>
      </c>
      <c r="N445" t="str">
        <f>DEC2HEX(_xlfn.BITRSHIFT(_xlfn.BITAND(HEX2DEC(MID('paste from garc here'!$C$1,1+(('table for research'!$B445-1)*36+HEX2DEC(9))*2,2)&amp;MID('paste from garc here'!$C$1,1+(('table for research'!$B445-1)*36+HEX2DEC(8))*2,2)),1920),7),2)</f>
        <v>04</v>
      </c>
      <c r="O445" t="str">
        <f>DEC2HEX(_xlfn.BITRSHIFT(HEX2DEC(MID('paste from garc here'!$C$1,1+(('table for research'!$B445-1)*36+HEX2DEC(9))*2,2)&amp;MID('paste from garc here'!$C$1,1+(('table for research'!$B445-1)*36+HEX2DEC(8))*2,2)),11),2)</f>
        <v>00</v>
      </c>
      <c r="P445" t="str">
        <f>MID('paste from garc here'!$C$1,1+(('table for research'!$B445-1)*36+HEX2DEC('table for research'!P$1))*2,2)</f>
        <v>00</v>
      </c>
      <c r="Q445" t="str">
        <f>MID('paste from garc here'!$C$1,1+(('table for research'!$B445-1)*36+HEX2DEC('table for research'!Q$1))*2,2)</f>
        <v>00</v>
      </c>
      <c r="R445" t="str">
        <f>MID('paste from garc here'!$C$1,1+(('table for research'!$B445-1)*36+HEX2DEC('table for research'!R$1))*2,2)</f>
        <v>00</v>
      </c>
      <c r="S445" t="str">
        <f>MID('paste from garc here'!$C$1,1+(('table for research'!$B445-1)*36+HEX2DEC('table for research'!S$1))*2,2)</f>
        <v>08</v>
      </c>
      <c r="T445" t="str">
        <f>MID('paste from garc here'!$C$1,1+(('table for research'!$B445-1)*36+HEX2DEC('table for research'!T$1))*2,2)</f>
        <v>00</v>
      </c>
      <c r="U445" t="str">
        <f>MID('paste from garc here'!$C$1,1+(('table for research'!$B445-1)*36+HEX2DEC('table for research'!U$1))*2,2)</f>
        <v>FF</v>
      </c>
      <c r="V445" t="str">
        <f>MID('paste from garc here'!$C$1,1+(('table for research'!$B445-1)*36+HEX2DEC('table for research'!V$1))*2,2)</f>
        <v>00</v>
      </c>
      <c r="W445" t="str">
        <f>MID('paste from garc here'!$C$1,1+(('table for research'!$B445-1)*36+HEX2DEC('table for research'!W$1))*2,2)</f>
        <v>00</v>
      </c>
      <c r="X445" t="str">
        <f>MID('paste from garc here'!$C$1,1+(('table for research'!$B445-1)*36+HEX2DEC('table for research'!X$1))*2,2)</f>
        <v>00</v>
      </c>
      <c r="Y445" t="str">
        <f>MID('paste from garc here'!$C$1,1+(('table for research'!$B445-1)*36+HEX2DEC('table for research'!Y$1))*2,2)</f>
        <v>00</v>
      </c>
      <c r="Z445" t="str">
        <f>MID('paste from garc here'!$C$1,1+(('table for research'!$B445-1)*36+HEX2DEC('table for research'!Z$1))*2,2)</f>
        <v>00</v>
      </c>
      <c r="AA445" t="str">
        <f>MID('paste from garc here'!$C$1,1+(('table for research'!$B445-1)*36+HEX2DEC('table for research'!AA$1))*2,2)</f>
        <v>00</v>
      </c>
      <c r="AB445" t="str">
        <f>MID('paste from garc here'!$C$1,1+(('table for research'!$B445-1)*36+HEX2DEC('table for research'!AB$1))*2,2)</f>
        <v>00</v>
      </c>
      <c r="AC445" t="str">
        <f>MID('paste from garc here'!$C$1,1+(('table for research'!$B445-1)*36+HEX2DEC('table for research'!AC$1))*2,2)</f>
        <v>00</v>
      </c>
      <c r="AD445" t="str">
        <f>MID('paste from garc here'!$C$1,1+(('table for research'!$B445-1)*36+HEX2DEC('table for research'!AD$1))*2,2)</f>
        <v>00</v>
      </c>
      <c r="AE445" t="str">
        <f>MID('paste from garc here'!$C$1,1+(('table for research'!$B445-1)*36+HEX2DEC('table for research'!AE$1))*2,2)</f>
        <v>00</v>
      </c>
      <c r="AF445" t="str">
        <f>MID('paste from garc here'!$C$1,1+(('table for research'!$B445-1)*36+HEX2DEC('table for research'!AF$1))*2,2)</f>
        <v>00</v>
      </c>
      <c r="AG445" t="str">
        <f>MID('paste from garc here'!$C$1,1+(('table for research'!$B445-1)*36+HEX2DEC('table for research'!AG$1))*2,2)</f>
        <v>00</v>
      </c>
      <c r="AH445" t="str">
        <f>MID('paste from garc here'!$C$1,1+(('table for research'!$B445-1)*36+HEX2DEC('table for research'!AH$1))*2,2)</f>
        <v>00</v>
      </c>
      <c r="AI445" t="str">
        <f>MID('paste from garc here'!$C$1,1+(('table for research'!$B445-1)*36+HEX2DEC('table for research'!AI$1))*2,2)</f>
        <v>00</v>
      </c>
      <c r="AJ445" t="str">
        <f>MID('paste from garc here'!$C$1,1+(('table for research'!$B445-1)*36+HEX2DEC('table for research'!AJ$1))*2,2)</f>
        <v>00</v>
      </c>
      <c r="AK445" t="str">
        <f>MID('paste from garc here'!$C$1,1+(('table for research'!$B445-1)*36+HEX2DEC('table for research'!AK$1))*2,2)</f>
        <v>00</v>
      </c>
      <c r="AL445" t="str">
        <f>MID('paste from garc here'!$C$1,1+(('table for research'!$B445-1)*36+HEX2DEC('table for research'!AL$1))*2,2)</f>
        <v>00</v>
      </c>
      <c r="AM445" t="str">
        <f>MID('paste from garc here'!$C$1,1+(('table for research'!$B445-1)*36+HEX2DEC('table for research'!AM$1))*2,2)</f>
        <v>00</v>
      </c>
      <c r="AN445" t="str">
        <f>MID('paste from garc here'!$C$1,1+(('table for research'!$B445-1)*36+HEX2DEC('table for research'!AN$1))*2,2)</f>
        <v>00</v>
      </c>
      <c r="AO445" t="str">
        <f>MID('paste from garc here'!$C$1,1+(('table for research'!$B445-1)*36+HEX2DEC('table for research'!AO$1))*2,2)</f>
        <v>00</v>
      </c>
    </row>
    <row r="446" spans="1:41" x14ac:dyDescent="0.4">
      <c r="A446" t="s">
        <v>448</v>
      </c>
      <c r="B446">
        <f>B445+1</f>
        <v>444</v>
      </c>
      <c r="C446" t="str">
        <f>MID('paste from garc here'!$C$1,1+(('table for research'!$B446-1)*36+HEX2DEC('table for research'!C$1))*2,2)</f>
        <v>00</v>
      </c>
      <c r="D446" t="str">
        <f>MID('paste from garc here'!$C$1,1+(('table for research'!$B446-1)*36+HEX2DEC('table for research'!D$1))*2,2)</f>
        <v>00</v>
      </c>
      <c r="E446" t="str">
        <f>MID('paste from garc here'!$C$1,1+(('table for research'!$B446-1)*36+HEX2DEC('table for research'!E$1))*2,2)</f>
        <v>00</v>
      </c>
      <c r="F446" t="str">
        <f>MID('paste from garc here'!$C$1,1+(('table for research'!$B446-1)*36+HEX2DEC('table for research'!F$1))*2,2)</f>
        <v>00</v>
      </c>
      <c r="G446" t="str">
        <f>MID('paste from garc here'!$C$1,1+(('table for research'!$B446-1)*36+HEX2DEC('table for research'!G$1))*2,2)</f>
        <v>00</v>
      </c>
      <c r="H446" t="str">
        <f>MID('paste from garc here'!$C$1,1+(('table for research'!$B446-1)*36+HEX2DEC('table for research'!H$1))*2,2)</f>
        <v>00</v>
      </c>
      <c r="I446" t="str">
        <f>MID('paste from garc here'!$C$1,1+(('table for research'!$B446-1)*36+HEX2DEC('table for research'!I$1))*2,2)</f>
        <v>00</v>
      </c>
      <c r="J446" t="str">
        <f>MID('paste from garc here'!$C$1,1+(('table for research'!$B446-1)*36+HEX2DEC('table for research'!J$1))*2,2)</f>
        <v>00</v>
      </c>
      <c r="K446" t="str">
        <f>DEC2HEX(_xlfn.BITAND(HEX2DEC(MID('paste from garc here'!$C$1,1+(('table for research'!$B446-1)*36+HEX2DEC(8))*2,2)),31),2)</f>
        <v>1F</v>
      </c>
      <c r="L446" t="str">
        <f>DEC2HEX(_xlfn.BITAND(HEX2DEC(MID('paste from garc here'!$C$1,1+(('table for research'!$B446-1)*36+HEX2DEC(8))*2,2)),32),2)</f>
        <v>00</v>
      </c>
      <c r="M446" t="str">
        <f>DEC2HEX(_xlfn.BITAND(HEX2DEC(MID('paste from garc here'!$C$1,1+(('table for research'!$B446-1)*36+HEX2DEC(8))*2,2)),64),2)</f>
        <v>00</v>
      </c>
      <c r="N446" t="str">
        <f>DEC2HEX(_xlfn.BITRSHIFT(_xlfn.BITAND(HEX2DEC(MID('paste from garc here'!$C$1,1+(('table for research'!$B446-1)*36+HEX2DEC(9))*2,2)&amp;MID('paste from garc here'!$C$1,1+(('table for research'!$B446-1)*36+HEX2DEC(8))*2,2)),1920),7),2)</f>
        <v>04</v>
      </c>
      <c r="O446" t="str">
        <f>DEC2HEX(_xlfn.BITRSHIFT(HEX2DEC(MID('paste from garc here'!$C$1,1+(('table for research'!$B446-1)*36+HEX2DEC(9))*2,2)&amp;MID('paste from garc here'!$C$1,1+(('table for research'!$B446-1)*36+HEX2DEC(8))*2,2)),11),2)</f>
        <v>00</v>
      </c>
      <c r="P446" t="str">
        <f>MID('paste from garc here'!$C$1,1+(('table for research'!$B446-1)*36+HEX2DEC('table for research'!P$1))*2,2)</f>
        <v>00</v>
      </c>
      <c r="Q446" t="str">
        <f>MID('paste from garc here'!$C$1,1+(('table for research'!$B446-1)*36+HEX2DEC('table for research'!Q$1))*2,2)</f>
        <v>00</v>
      </c>
      <c r="R446" t="str">
        <f>MID('paste from garc here'!$C$1,1+(('table for research'!$B446-1)*36+HEX2DEC('table for research'!R$1))*2,2)</f>
        <v>00</v>
      </c>
      <c r="S446" t="str">
        <f>MID('paste from garc here'!$C$1,1+(('table for research'!$B446-1)*36+HEX2DEC('table for research'!S$1))*2,2)</f>
        <v>08</v>
      </c>
      <c r="T446" t="str">
        <f>MID('paste from garc here'!$C$1,1+(('table for research'!$B446-1)*36+HEX2DEC('table for research'!T$1))*2,2)</f>
        <v>00</v>
      </c>
      <c r="U446" t="str">
        <f>MID('paste from garc here'!$C$1,1+(('table for research'!$B446-1)*36+HEX2DEC('table for research'!U$1))*2,2)</f>
        <v>FF</v>
      </c>
      <c r="V446" t="str">
        <f>MID('paste from garc here'!$C$1,1+(('table for research'!$B446-1)*36+HEX2DEC('table for research'!V$1))*2,2)</f>
        <v>00</v>
      </c>
      <c r="W446" t="str">
        <f>MID('paste from garc here'!$C$1,1+(('table for research'!$B446-1)*36+HEX2DEC('table for research'!W$1))*2,2)</f>
        <v>00</v>
      </c>
      <c r="X446" t="str">
        <f>MID('paste from garc here'!$C$1,1+(('table for research'!$B446-1)*36+HEX2DEC('table for research'!X$1))*2,2)</f>
        <v>00</v>
      </c>
      <c r="Y446" t="str">
        <f>MID('paste from garc here'!$C$1,1+(('table for research'!$B446-1)*36+HEX2DEC('table for research'!Y$1))*2,2)</f>
        <v>00</v>
      </c>
      <c r="Z446" t="str">
        <f>MID('paste from garc here'!$C$1,1+(('table for research'!$B446-1)*36+HEX2DEC('table for research'!Z$1))*2,2)</f>
        <v>00</v>
      </c>
      <c r="AA446" t="str">
        <f>MID('paste from garc here'!$C$1,1+(('table for research'!$B446-1)*36+HEX2DEC('table for research'!AA$1))*2,2)</f>
        <v>00</v>
      </c>
      <c r="AB446" t="str">
        <f>MID('paste from garc here'!$C$1,1+(('table for research'!$B446-1)*36+HEX2DEC('table for research'!AB$1))*2,2)</f>
        <v>00</v>
      </c>
      <c r="AC446" t="str">
        <f>MID('paste from garc here'!$C$1,1+(('table for research'!$B446-1)*36+HEX2DEC('table for research'!AC$1))*2,2)</f>
        <v>00</v>
      </c>
      <c r="AD446" t="str">
        <f>MID('paste from garc here'!$C$1,1+(('table for research'!$B446-1)*36+HEX2DEC('table for research'!AD$1))*2,2)</f>
        <v>00</v>
      </c>
      <c r="AE446" t="str">
        <f>MID('paste from garc here'!$C$1,1+(('table for research'!$B446-1)*36+HEX2DEC('table for research'!AE$1))*2,2)</f>
        <v>00</v>
      </c>
      <c r="AF446" t="str">
        <f>MID('paste from garc here'!$C$1,1+(('table for research'!$B446-1)*36+HEX2DEC('table for research'!AF$1))*2,2)</f>
        <v>00</v>
      </c>
      <c r="AG446" t="str">
        <f>MID('paste from garc here'!$C$1,1+(('table for research'!$B446-1)*36+HEX2DEC('table for research'!AG$1))*2,2)</f>
        <v>00</v>
      </c>
      <c r="AH446" t="str">
        <f>MID('paste from garc here'!$C$1,1+(('table for research'!$B446-1)*36+HEX2DEC('table for research'!AH$1))*2,2)</f>
        <v>00</v>
      </c>
      <c r="AI446" t="str">
        <f>MID('paste from garc here'!$C$1,1+(('table for research'!$B446-1)*36+HEX2DEC('table for research'!AI$1))*2,2)</f>
        <v>00</v>
      </c>
      <c r="AJ446" t="str">
        <f>MID('paste from garc here'!$C$1,1+(('table for research'!$B446-1)*36+HEX2DEC('table for research'!AJ$1))*2,2)</f>
        <v>00</v>
      </c>
      <c r="AK446" t="str">
        <f>MID('paste from garc here'!$C$1,1+(('table for research'!$B446-1)*36+HEX2DEC('table for research'!AK$1))*2,2)</f>
        <v>00</v>
      </c>
      <c r="AL446" t="str">
        <f>MID('paste from garc here'!$C$1,1+(('table for research'!$B446-1)*36+HEX2DEC('table for research'!AL$1))*2,2)</f>
        <v>00</v>
      </c>
      <c r="AM446" t="str">
        <f>MID('paste from garc here'!$C$1,1+(('table for research'!$B446-1)*36+HEX2DEC('table for research'!AM$1))*2,2)</f>
        <v>00</v>
      </c>
      <c r="AN446" t="str">
        <f>MID('paste from garc here'!$C$1,1+(('table for research'!$B446-1)*36+HEX2DEC('table for research'!AN$1))*2,2)</f>
        <v>00</v>
      </c>
      <c r="AO446" t="str">
        <f>MID('paste from garc here'!$C$1,1+(('table for research'!$B446-1)*36+HEX2DEC('table for research'!AO$1))*2,2)</f>
        <v>00</v>
      </c>
    </row>
    <row r="447" spans="1:41" x14ac:dyDescent="0.4">
      <c r="A447" t="s">
        <v>449</v>
      </c>
      <c r="B447">
        <f>B446+1</f>
        <v>445</v>
      </c>
      <c r="C447" t="str">
        <f>MID('paste from garc here'!$C$1,1+(('table for research'!$B447-1)*36+HEX2DEC('table for research'!C$1))*2,2)</f>
        <v>00</v>
      </c>
      <c r="D447" t="str">
        <f>MID('paste from garc here'!$C$1,1+(('table for research'!$B447-1)*36+HEX2DEC('table for research'!D$1))*2,2)</f>
        <v>00</v>
      </c>
      <c r="E447" t="str">
        <f>MID('paste from garc here'!$C$1,1+(('table for research'!$B447-1)*36+HEX2DEC('table for research'!E$1))*2,2)</f>
        <v>00</v>
      </c>
      <c r="F447" t="str">
        <f>MID('paste from garc here'!$C$1,1+(('table for research'!$B447-1)*36+HEX2DEC('table for research'!F$1))*2,2)</f>
        <v>00</v>
      </c>
      <c r="G447" t="str">
        <f>MID('paste from garc here'!$C$1,1+(('table for research'!$B447-1)*36+HEX2DEC('table for research'!G$1))*2,2)</f>
        <v>00</v>
      </c>
      <c r="H447" t="str">
        <f>MID('paste from garc here'!$C$1,1+(('table for research'!$B447-1)*36+HEX2DEC('table for research'!H$1))*2,2)</f>
        <v>00</v>
      </c>
      <c r="I447" t="str">
        <f>MID('paste from garc here'!$C$1,1+(('table for research'!$B447-1)*36+HEX2DEC('table for research'!I$1))*2,2)</f>
        <v>00</v>
      </c>
      <c r="J447" t="str">
        <f>MID('paste from garc here'!$C$1,1+(('table for research'!$B447-1)*36+HEX2DEC('table for research'!J$1))*2,2)</f>
        <v>00</v>
      </c>
      <c r="K447" t="str">
        <f>DEC2HEX(_xlfn.BITAND(HEX2DEC(MID('paste from garc here'!$C$1,1+(('table for research'!$B447-1)*36+HEX2DEC(8))*2,2)),31),2)</f>
        <v>1F</v>
      </c>
      <c r="L447" t="str">
        <f>DEC2HEX(_xlfn.BITAND(HEX2DEC(MID('paste from garc here'!$C$1,1+(('table for research'!$B447-1)*36+HEX2DEC(8))*2,2)),32),2)</f>
        <v>20</v>
      </c>
      <c r="M447" t="str">
        <f>DEC2HEX(_xlfn.BITAND(HEX2DEC(MID('paste from garc here'!$C$1,1+(('table for research'!$B447-1)*36+HEX2DEC(8))*2,2)),64),2)</f>
        <v>40</v>
      </c>
      <c r="N447" t="str">
        <f>DEC2HEX(_xlfn.BITRSHIFT(_xlfn.BITAND(HEX2DEC(MID('paste from garc here'!$C$1,1+(('table for research'!$B447-1)*36+HEX2DEC(9))*2,2)&amp;MID('paste from garc here'!$C$1,1+(('table for research'!$B447-1)*36+HEX2DEC(8))*2,2)),1920),7),2)</f>
        <v>04</v>
      </c>
      <c r="O447" t="str">
        <f>DEC2HEX(_xlfn.BITRSHIFT(HEX2DEC(MID('paste from garc here'!$C$1,1+(('table for research'!$B447-1)*36+HEX2DEC(9))*2,2)&amp;MID('paste from garc here'!$C$1,1+(('table for research'!$B447-1)*36+HEX2DEC(8))*2,2)),11),2)</f>
        <v>00</v>
      </c>
      <c r="P447" t="str">
        <f>MID('paste from garc here'!$C$1,1+(('table for research'!$B447-1)*36+HEX2DEC('table for research'!P$1))*2,2)</f>
        <v>0D</v>
      </c>
      <c r="Q447" t="str">
        <f>MID('paste from garc here'!$C$1,1+(('table for research'!$B447-1)*36+HEX2DEC('table for research'!Q$1))*2,2)</f>
        <v>00</v>
      </c>
      <c r="R447" t="str">
        <f>MID('paste from garc here'!$C$1,1+(('table for research'!$B447-1)*36+HEX2DEC('table for research'!R$1))*2,2)</f>
        <v>00</v>
      </c>
      <c r="S447" t="str">
        <f>MID('paste from garc here'!$C$1,1+(('table for research'!$B447-1)*36+HEX2DEC('table for research'!S$1))*2,2)</f>
        <v>08</v>
      </c>
      <c r="T447" t="str">
        <f>MID('paste from garc here'!$C$1,1+(('table for research'!$B447-1)*36+HEX2DEC('table for research'!T$1))*2,2)</f>
        <v>00</v>
      </c>
      <c r="U447" t="str">
        <f>MID('paste from garc here'!$C$1,1+(('table for research'!$B447-1)*36+HEX2DEC('table for research'!U$1))*2,2)</f>
        <v>FF</v>
      </c>
      <c r="V447" t="str">
        <f>MID('paste from garc here'!$C$1,1+(('table for research'!$B447-1)*36+HEX2DEC('table for research'!V$1))*2,2)</f>
        <v>00</v>
      </c>
      <c r="W447" t="str">
        <f>MID('paste from garc here'!$C$1,1+(('table for research'!$B447-1)*36+HEX2DEC('table for research'!W$1))*2,2)</f>
        <v>00</v>
      </c>
      <c r="X447" t="str">
        <f>MID('paste from garc here'!$C$1,1+(('table for research'!$B447-1)*36+HEX2DEC('table for research'!X$1))*2,2)</f>
        <v>00</v>
      </c>
      <c r="Y447" t="str">
        <f>MID('paste from garc here'!$C$1,1+(('table for research'!$B447-1)*36+HEX2DEC('table for research'!Y$1))*2,2)</f>
        <v>00</v>
      </c>
      <c r="Z447" t="str">
        <f>MID('paste from garc here'!$C$1,1+(('table for research'!$B447-1)*36+HEX2DEC('table for research'!Z$1))*2,2)</f>
        <v>00</v>
      </c>
      <c r="AA447" t="str">
        <f>MID('paste from garc here'!$C$1,1+(('table for research'!$B447-1)*36+HEX2DEC('table for research'!AA$1))*2,2)</f>
        <v>00</v>
      </c>
      <c r="AB447" t="str">
        <f>MID('paste from garc here'!$C$1,1+(('table for research'!$B447-1)*36+HEX2DEC('table for research'!AB$1))*2,2)</f>
        <v>00</v>
      </c>
      <c r="AC447" t="str">
        <f>MID('paste from garc here'!$C$1,1+(('table for research'!$B447-1)*36+HEX2DEC('table for research'!AC$1))*2,2)</f>
        <v>00</v>
      </c>
      <c r="AD447" t="str">
        <f>MID('paste from garc here'!$C$1,1+(('table for research'!$B447-1)*36+HEX2DEC('table for research'!AD$1))*2,2)</f>
        <v>00</v>
      </c>
      <c r="AE447" t="str">
        <f>MID('paste from garc here'!$C$1,1+(('table for research'!$B447-1)*36+HEX2DEC('table for research'!AE$1))*2,2)</f>
        <v>00</v>
      </c>
      <c r="AF447" t="str">
        <f>MID('paste from garc here'!$C$1,1+(('table for research'!$B447-1)*36+HEX2DEC('table for research'!AF$1))*2,2)</f>
        <v>00</v>
      </c>
      <c r="AG447" t="str">
        <f>MID('paste from garc here'!$C$1,1+(('table for research'!$B447-1)*36+HEX2DEC('table for research'!AG$1))*2,2)</f>
        <v>00</v>
      </c>
      <c r="AH447" t="str">
        <f>MID('paste from garc here'!$C$1,1+(('table for research'!$B447-1)*36+HEX2DEC('table for research'!AH$1))*2,2)</f>
        <v>00</v>
      </c>
      <c r="AI447" t="str">
        <f>MID('paste from garc here'!$C$1,1+(('table for research'!$B447-1)*36+HEX2DEC('table for research'!AI$1))*2,2)</f>
        <v>00</v>
      </c>
      <c r="AJ447" t="str">
        <f>MID('paste from garc here'!$C$1,1+(('table for research'!$B447-1)*36+HEX2DEC('table for research'!AJ$1))*2,2)</f>
        <v>00</v>
      </c>
      <c r="AK447" t="str">
        <f>MID('paste from garc here'!$C$1,1+(('table for research'!$B447-1)*36+HEX2DEC('table for research'!AK$1))*2,2)</f>
        <v>00</v>
      </c>
      <c r="AL447" t="str">
        <f>MID('paste from garc here'!$C$1,1+(('table for research'!$B447-1)*36+HEX2DEC('table for research'!AL$1))*2,2)</f>
        <v>00</v>
      </c>
      <c r="AM447" t="str">
        <f>MID('paste from garc here'!$C$1,1+(('table for research'!$B447-1)*36+HEX2DEC('table for research'!AM$1))*2,2)</f>
        <v>00</v>
      </c>
      <c r="AN447" t="str">
        <f>MID('paste from garc here'!$C$1,1+(('table for research'!$B447-1)*36+HEX2DEC('table for research'!AN$1))*2,2)</f>
        <v>00</v>
      </c>
      <c r="AO447" t="str">
        <f>MID('paste from garc here'!$C$1,1+(('table for research'!$B447-1)*36+HEX2DEC('table for research'!AO$1))*2,2)</f>
        <v>00</v>
      </c>
    </row>
    <row r="448" spans="1:41" x14ac:dyDescent="0.4">
      <c r="A448" t="s">
        <v>450</v>
      </c>
      <c r="B448">
        <f>B447+1</f>
        <v>446</v>
      </c>
      <c r="C448" t="str">
        <f>MID('paste from garc here'!$C$1,1+(('table for research'!$B448-1)*36+HEX2DEC('table for research'!C$1))*2,2)</f>
        <v>00</v>
      </c>
      <c r="D448" t="str">
        <f>MID('paste from garc here'!$C$1,1+(('table for research'!$B448-1)*36+HEX2DEC('table for research'!D$1))*2,2)</f>
        <v>00</v>
      </c>
      <c r="E448" t="str">
        <f>MID('paste from garc here'!$C$1,1+(('table for research'!$B448-1)*36+HEX2DEC('table for research'!E$1))*2,2)</f>
        <v>00</v>
      </c>
      <c r="F448" t="str">
        <f>MID('paste from garc here'!$C$1,1+(('table for research'!$B448-1)*36+HEX2DEC('table for research'!F$1))*2,2)</f>
        <v>00</v>
      </c>
      <c r="G448" t="str">
        <f>MID('paste from garc here'!$C$1,1+(('table for research'!$B448-1)*36+HEX2DEC('table for research'!G$1))*2,2)</f>
        <v>00</v>
      </c>
      <c r="H448" t="str">
        <f>MID('paste from garc here'!$C$1,1+(('table for research'!$B448-1)*36+HEX2DEC('table for research'!H$1))*2,2)</f>
        <v>00</v>
      </c>
      <c r="I448" t="str">
        <f>MID('paste from garc here'!$C$1,1+(('table for research'!$B448-1)*36+HEX2DEC('table for research'!I$1))*2,2)</f>
        <v>00</v>
      </c>
      <c r="J448" t="str">
        <f>MID('paste from garc here'!$C$1,1+(('table for research'!$B448-1)*36+HEX2DEC('table for research'!J$1))*2,2)</f>
        <v>00</v>
      </c>
      <c r="K448" t="str">
        <f>DEC2HEX(_xlfn.BITAND(HEX2DEC(MID('paste from garc here'!$C$1,1+(('table for research'!$B448-1)*36+HEX2DEC(8))*2,2)),31),2)</f>
        <v>1F</v>
      </c>
      <c r="L448" t="str">
        <f>DEC2HEX(_xlfn.BITAND(HEX2DEC(MID('paste from garc here'!$C$1,1+(('table for research'!$B448-1)*36+HEX2DEC(8))*2,2)),32),2)</f>
        <v>20</v>
      </c>
      <c r="M448" t="str">
        <f>DEC2HEX(_xlfn.BITAND(HEX2DEC(MID('paste from garc here'!$C$1,1+(('table for research'!$B448-1)*36+HEX2DEC(8))*2,2)),64),2)</f>
        <v>40</v>
      </c>
      <c r="N448" t="str">
        <f>DEC2HEX(_xlfn.BITRSHIFT(_xlfn.BITAND(HEX2DEC(MID('paste from garc here'!$C$1,1+(('table for research'!$B448-1)*36+HEX2DEC(9))*2,2)&amp;MID('paste from garc here'!$C$1,1+(('table for research'!$B448-1)*36+HEX2DEC(8))*2,2)),1920),7),2)</f>
        <v>04</v>
      </c>
      <c r="O448" t="str">
        <f>DEC2HEX(_xlfn.BITRSHIFT(HEX2DEC(MID('paste from garc here'!$C$1,1+(('table for research'!$B448-1)*36+HEX2DEC(9))*2,2)&amp;MID('paste from garc here'!$C$1,1+(('table for research'!$B448-1)*36+HEX2DEC(8))*2,2)),11),2)</f>
        <v>00</v>
      </c>
      <c r="P448" t="str">
        <f>MID('paste from garc here'!$C$1,1+(('table for research'!$B448-1)*36+HEX2DEC('table for research'!P$1))*2,2)</f>
        <v>0D</v>
      </c>
      <c r="Q448" t="str">
        <f>MID('paste from garc here'!$C$1,1+(('table for research'!$B448-1)*36+HEX2DEC('table for research'!Q$1))*2,2)</f>
        <v>00</v>
      </c>
      <c r="R448" t="str">
        <f>MID('paste from garc here'!$C$1,1+(('table for research'!$B448-1)*36+HEX2DEC('table for research'!R$1))*2,2)</f>
        <v>00</v>
      </c>
      <c r="S448" t="str">
        <f>MID('paste from garc here'!$C$1,1+(('table for research'!$B448-1)*36+HEX2DEC('table for research'!S$1))*2,2)</f>
        <v>08</v>
      </c>
      <c r="T448" t="str">
        <f>MID('paste from garc here'!$C$1,1+(('table for research'!$B448-1)*36+HEX2DEC('table for research'!T$1))*2,2)</f>
        <v>00</v>
      </c>
      <c r="U448" t="str">
        <f>MID('paste from garc here'!$C$1,1+(('table for research'!$B448-1)*36+HEX2DEC('table for research'!U$1))*2,2)</f>
        <v>FF</v>
      </c>
      <c r="V448" t="str">
        <f>MID('paste from garc here'!$C$1,1+(('table for research'!$B448-1)*36+HEX2DEC('table for research'!V$1))*2,2)</f>
        <v>01</v>
      </c>
      <c r="W448" t="str">
        <f>MID('paste from garc here'!$C$1,1+(('table for research'!$B448-1)*36+HEX2DEC('table for research'!W$1))*2,2)</f>
        <v>00</v>
      </c>
      <c r="X448" t="str">
        <f>MID('paste from garc here'!$C$1,1+(('table for research'!$B448-1)*36+HEX2DEC('table for research'!X$1))*2,2)</f>
        <v>00</v>
      </c>
      <c r="Y448" t="str">
        <f>MID('paste from garc here'!$C$1,1+(('table for research'!$B448-1)*36+HEX2DEC('table for research'!Y$1))*2,2)</f>
        <v>00</v>
      </c>
      <c r="Z448" t="str">
        <f>MID('paste from garc here'!$C$1,1+(('table for research'!$B448-1)*36+HEX2DEC('table for research'!Z$1))*2,2)</f>
        <v>00</v>
      </c>
      <c r="AA448" t="str">
        <f>MID('paste from garc here'!$C$1,1+(('table for research'!$B448-1)*36+HEX2DEC('table for research'!AA$1))*2,2)</f>
        <v>00</v>
      </c>
      <c r="AB448" t="str">
        <f>MID('paste from garc here'!$C$1,1+(('table for research'!$B448-1)*36+HEX2DEC('table for research'!AB$1))*2,2)</f>
        <v>00</v>
      </c>
      <c r="AC448" t="str">
        <f>MID('paste from garc here'!$C$1,1+(('table for research'!$B448-1)*36+HEX2DEC('table for research'!AC$1))*2,2)</f>
        <v>00</v>
      </c>
      <c r="AD448" t="str">
        <f>MID('paste from garc here'!$C$1,1+(('table for research'!$B448-1)*36+HEX2DEC('table for research'!AD$1))*2,2)</f>
        <v>00</v>
      </c>
      <c r="AE448" t="str">
        <f>MID('paste from garc here'!$C$1,1+(('table for research'!$B448-1)*36+HEX2DEC('table for research'!AE$1))*2,2)</f>
        <v>00</v>
      </c>
      <c r="AF448" t="str">
        <f>MID('paste from garc here'!$C$1,1+(('table for research'!$B448-1)*36+HEX2DEC('table for research'!AF$1))*2,2)</f>
        <v>00</v>
      </c>
      <c r="AG448" t="str">
        <f>MID('paste from garc here'!$C$1,1+(('table for research'!$B448-1)*36+HEX2DEC('table for research'!AG$1))*2,2)</f>
        <v>00</v>
      </c>
      <c r="AH448" t="str">
        <f>MID('paste from garc here'!$C$1,1+(('table for research'!$B448-1)*36+HEX2DEC('table for research'!AH$1))*2,2)</f>
        <v>00</v>
      </c>
      <c r="AI448" t="str">
        <f>MID('paste from garc here'!$C$1,1+(('table for research'!$B448-1)*36+HEX2DEC('table for research'!AI$1))*2,2)</f>
        <v>00</v>
      </c>
      <c r="AJ448" t="str">
        <f>MID('paste from garc here'!$C$1,1+(('table for research'!$B448-1)*36+HEX2DEC('table for research'!AJ$1))*2,2)</f>
        <v>00</v>
      </c>
      <c r="AK448" t="str">
        <f>MID('paste from garc here'!$C$1,1+(('table for research'!$B448-1)*36+HEX2DEC('table for research'!AK$1))*2,2)</f>
        <v>00</v>
      </c>
      <c r="AL448" t="str">
        <f>MID('paste from garc here'!$C$1,1+(('table for research'!$B448-1)*36+HEX2DEC('table for research'!AL$1))*2,2)</f>
        <v>00</v>
      </c>
      <c r="AM448" t="str">
        <f>MID('paste from garc here'!$C$1,1+(('table for research'!$B448-1)*36+HEX2DEC('table for research'!AM$1))*2,2)</f>
        <v>00</v>
      </c>
      <c r="AN448" t="str">
        <f>MID('paste from garc here'!$C$1,1+(('table for research'!$B448-1)*36+HEX2DEC('table for research'!AN$1))*2,2)</f>
        <v>00</v>
      </c>
      <c r="AO448" t="str">
        <f>MID('paste from garc here'!$C$1,1+(('table for research'!$B448-1)*36+HEX2DEC('table for research'!AO$1))*2,2)</f>
        <v>00</v>
      </c>
    </row>
    <row r="449" spans="1:41" x14ac:dyDescent="0.4">
      <c r="A449" t="s">
        <v>451</v>
      </c>
      <c r="B449">
        <f>B448+1</f>
        <v>447</v>
      </c>
      <c r="C449" t="str">
        <f>MID('paste from garc here'!$C$1,1+(('table for research'!$B449-1)*36+HEX2DEC('table for research'!C$1))*2,2)</f>
        <v>00</v>
      </c>
      <c r="D449" t="str">
        <f>MID('paste from garc here'!$C$1,1+(('table for research'!$B449-1)*36+HEX2DEC('table for research'!D$1))*2,2)</f>
        <v>00</v>
      </c>
      <c r="E449" t="str">
        <f>MID('paste from garc here'!$C$1,1+(('table for research'!$B449-1)*36+HEX2DEC('table for research'!E$1))*2,2)</f>
        <v>00</v>
      </c>
      <c r="F449" t="str">
        <f>MID('paste from garc here'!$C$1,1+(('table for research'!$B449-1)*36+HEX2DEC('table for research'!F$1))*2,2)</f>
        <v>00</v>
      </c>
      <c r="G449" t="str">
        <f>MID('paste from garc here'!$C$1,1+(('table for research'!$B449-1)*36+HEX2DEC('table for research'!G$1))*2,2)</f>
        <v>00</v>
      </c>
      <c r="H449" t="str">
        <f>MID('paste from garc here'!$C$1,1+(('table for research'!$B449-1)*36+HEX2DEC('table for research'!H$1))*2,2)</f>
        <v>00</v>
      </c>
      <c r="I449" t="str">
        <f>MID('paste from garc here'!$C$1,1+(('table for research'!$B449-1)*36+HEX2DEC('table for research'!I$1))*2,2)</f>
        <v>00</v>
      </c>
      <c r="J449" t="str">
        <f>MID('paste from garc here'!$C$1,1+(('table for research'!$B449-1)*36+HEX2DEC('table for research'!J$1))*2,2)</f>
        <v>00</v>
      </c>
      <c r="K449" t="str">
        <f>DEC2HEX(_xlfn.BITAND(HEX2DEC(MID('paste from garc here'!$C$1,1+(('table for research'!$B449-1)*36+HEX2DEC(8))*2,2)),31),2)</f>
        <v>1F</v>
      </c>
      <c r="L449" t="str">
        <f>DEC2HEX(_xlfn.BITAND(HEX2DEC(MID('paste from garc here'!$C$1,1+(('table for research'!$B449-1)*36+HEX2DEC(8))*2,2)),32),2)</f>
        <v>20</v>
      </c>
      <c r="M449" t="str">
        <f>DEC2HEX(_xlfn.BITAND(HEX2DEC(MID('paste from garc here'!$C$1,1+(('table for research'!$B449-1)*36+HEX2DEC(8))*2,2)),64),2)</f>
        <v>40</v>
      </c>
      <c r="N449" t="str">
        <f>DEC2HEX(_xlfn.BITRSHIFT(_xlfn.BITAND(HEX2DEC(MID('paste from garc here'!$C$1,1+(('table for research'!$B449-1)*36+HEX2DEC(9))*2,2)&amp;MID('paste from garc here'!$C$1,1+(('table for research'!$B449-1)*36+HEX2DEC(8))*2,2)),1920),7),2)</f>
        <v>04</v>
      </c>
      <c r="O449" t="str">
        <f>DEC2HEX(_xlfn.BITRSHIFT(HEX2DEC(MID('paste from garc here'!$C$1,1+(('table for research'!$B449-1)*36+HEX2DEC(9))*2,2)&amp;MID('paste from garc here'!$C$1,1+(('table for research'!$B449-1)*36+HEX2DEC(8))*2,2)),11),2)</f>
        <v>00</v>
      </c>
      <c r="P449" t="str">
        <f>MID('paste from garc here'!$C$1,1+(('table for research'!$B449-1)*36+HEX2DEC('table for research'!P$1))*2,2)</f>
        <v>0D</v>
      </c>
      <c r="Q449" t="str">
        <f>MID('paste from garc here'!$C$1,1+(('table for research'!$B449-1)*36+HEX2DEC('table for research'!Q$1))*2,2)</f>
        <v>00</v>
      </c>
      <c r="R449" t="str">
        <f>MID('paste from garc here'!$C$1,1+(('table for research'!$B449-1)*36+HEX2DEC('table for research'!R$1))*2,2)</f>
        <v>00</v>
      </c>
      <c r="S449" t="str">
        <f>MID('paste from garc here'!$C$1,1+(('table for research'!$B449-1)*36+HEX2DEC('table for research'!S$1))*2,2)</f>
        <v>08</v>
      </c>
      <c r="T449" t="str">
        <f>MID('paste from garc here'!$C$1,1+(('table for research'!$B449-1)*36+HEX2DEC('table for research'!T$1))*2,2)</f>
        <v>00</v>
      </c>
      <c r="U449" t="str">
        <f>MID('paste from garc here'!$C$1,1+(('table for research'!$B449-1)*36+HEX2DEC('table for research'!U$1))*2,2)</f>
        <v>FF</v>
      </c>
      <c r="V449" t="str">
        <f>MID('paste from garc here'!$C$1,1+(('table for research'!$B449-1)*36+HEX2DEC('table for research'!V$1))*2,2)</f>
        <v>02</v>
      </c>
      <c r="W449" t="str">
        <f>MID('paste from garc here'!$C$1,1+(('table for research'!$B449-1)*36+HEX2DEC('table for research'!W$1))*2,2)</f>
        <v>00</v>
      </c>
      <c r="X449" t="str">
        <f>MID('paste from garc here'!$C$1,1+(('table for research'!$B449-1)*36+HEX2DEC('table for research'!X$1))*2,2)</f>
        <v>00</v>
      </c>
      <c r="Y449" t="str">
        <f>MID('paste from garc here'!$C$1,1+(('table for research'!$B449-1)*36+HEX2DEC('table for research'!Y$1))*2,2)</f>
        <v>00</v>
      </c>
      <c r="Z449" t="str">
        <f>MID('paste from garc here'!$C$1,1+(('table for research'!$B449-1)*36+HEX2DEC('table for research'!Z$1))*2,2)</f>
        <v>00</v>
      </c>
      <c r="AA449" t="str">
        <f>MID('paste from garc here'!$C$1,1+(('table for research'!$B449-1)*36+HEX2DEC('table for research'!AA$1))*2,2)</f>
        <v>00</v>
      </c>
      <c r="AB449" t="str">
        <f>MID('paste from garc here'!$C$1,1+(('table for research'!$B449-1)*36+HEX2DEC('table for research'!AB$1))*2,2)</f>
        <v>00</v>
      </c>
      <c r="AC449" t="str">
        <f>MID('paste from garc here'!$C$1,1+(('table for research'!$B449-1)*36+HEX2DEC('table for research'!AC$1))*2,2)</f>
        <v>00</v>
      </c>
      <c r="AD449" t="str">
        <f>MID('paste from garc here'!$C$1,1+(('table for research'!$B449-1)*36+HEX2DEC('table for research'!AD$1))*2,2)</f>
        <v>00</v>
      </c>
      <c r="AE449" t="str">
        <f>MID('paste from garc here'!$C$1,1+(('table for research'!$B449-1)*36+HEX2DEC('table for research'!AE$1))*2,2)</f>
        <v>00</v>
      </c>
      <c r="AF449" t="str">
        <f>MID('paste from garc here'!$C$1,1+(('table for research'!$B449-1)*36+HEX2DEC('table for research'!AF$1))*2,2)</f>
        <v>00</v>
      </c>
      <c r="AG449" t="str">
        <f>MID('paste from garc here'!$C$1,1+(('table for research'!$B449-1)*36+HEX2DEC('table for research'!AG$1))*2,2)</f>
        <v>00</v>
      </c>
      <c r="AH449" t="str">
        <f>MID('paste from garc here'!$C$1,1+(('table for research'!$B449-1)*36+HEX2DEC('table for research'!AH$1))*2,2)</f>
        <v>00</v>
      </c>
      <c r="AI449" t="str">
        <f>MID('paste from garc here'!$C$1,1+(('table for research'!$B449-1)*36+HEX2DEC('table for research'!AI$1))*2,2)</f>
        <v>00</v>
      </c>
      <c r="AJ449" t="str">
        <f>MID('paste from garc here'!$C$1,1+(('table for research'!$B449-1)*36+HEX2DEC('table for research'!AJ$1))*2,2)</f>
        <v>00</v>
      </c>
      <c r="AK449" t="str">
        <f>MID('paste from garc here'!$C$1,1+(('table for research'!$B449-1)*36+HEX2DEC('table for research'!AK$1))*2,2)</f>
        <v>00</v>
      </c>
      <c r="AL449" t="str">
        <f>MID('paste from garc here'!$C$1,1+(('table for research'!$B449-1)*36+HEX2DEC('table for research'!AL$1))*2,2)</f>
        <v>00</v>
      </c>
      <c r="AM449" t="str">
        <f>MID('paste from garc here'!$C$1,1+(('table for research'!$B449-1)*36+HEX2DEC('table for research'!AM$1))*2,2)</f>
        <v>00</v>
      </c>
      <c r="AN449" t="str">
        <f>MID('paste from garc here'!$C$1,1+(('table for research'!$B449-1)*36+HEX2DEC('table for research'!AN$1))*2,2)</f>
        <v>00</v>
      </c>
      <c r="AO449" t="str">
        <f>MID('paste from garc here'!$C$1,1+(('table for research'!$B449-1)*36+HEX2DEC('table for research'!AO$1))*2,2)</f>
        <v>00</v>
      </c>
    </row>
    <row r="450" spans="1:41" x14ac:dyDescent="0.4">
      <c r="A450" t="s">
        <v>452</v>
      </c>
      <c r="B450">
        <f>B449+1</f>
        <v>448</v>
      </c>
      <c r="C450" t="str">
        <f>MID('paste from garc here'!$C$1,1+(('table for research'!$B450-1)*36+HEX2DEC('table for research'!C$1))*2,2)</f>
        <v>00</v>
      </c>
      <c r="D450" t="str">
        <f>MID('paste from garc here'!$C$1,1+(('table for research'!$B450-1)*36+HEX2DEC('table for research'!D$1))*2,2)</f>
        <v>00</v>
      </c>
      <c r="E450" t="str">
        <f>MID('paste from garc here'!$C$1,1+(('table for research'!$B450-1)*36+HEX2DEC('table for research'!E$1))*2,2)</f>
        <v>00</v>
      </c>
      <c r="F450" t="str">
        <f>MID('paste from garc here'!$C$1,1+(('table for research'!$B450-1)*36+HEX2DEC('table for research'!F$1))*2,2)</f>
        <v>00</v>
      </c>
      <c r="G450" t="str">
        <f>MID('paste from garc here'!$C$1,1+(('table for research'!$B450-1)*36+HEX2DEC('table for research'!G$1))*2,2)</f>
        <v>00</v>
      </c>
      <c r="H450" t="str">
        <f>MID('paste from garc here'!$C$1,1+(('table for research'!$B450-1)*36+HEX2DEC('table for research'!H$1))*2,2)</f>
        <v>00</v>
      </c>
      <c r="I450" t="str">
        <f>MID('paste from garc here'!$C$1,1+(('table for research'!$B450-1)*36+HEX2DEC('table for research'!I$1))*2,2)</f>
        <v>00</v>
      </c>
      <c r="J450" t="str">
        <f>MID('paste from garc here'!$C$1,1+(('table for research'!$B450-1)*36+HEX2DEC('table for research'!J$1))*2,2)</f>
        <v>00</v>
      </c>
      <c r="K450" t="str">
        <f>DEC2HEX(_xlfn.BITAND(HEX2DEC(MID('paste from garc here'!$C$1,1+(('table for research'!$B450-1)*36+HEX2DEC(8))*2,2)),31),2)</f>
        <v>1F</v>
      </c>
      <c r="L450" t="str">
        <f>DEC2HEX(_xlfn.BITAND(HEX2DEC(MID('paste from garc here'!$C$1,1+(('table for research'!$B450-1)*36+HEX2DEC(8))*2,2)),32),2)</f>
        <v>00</v>
      </c>
      <c r="M450" t="str">
        <f>DEC2HEX(_xlfn.BITAND(HEX2DEC(MID('paste from garc here'!$C$1,1+(('table for research'!$B450-1)*36+HEX2DEC(8))*2,2)),64),2)</f>
        <v>00</v>
      </c>
      <c r="N450" t="str">
        <f>DEC2HEX(_xlfn.BITRSHIFT(_xlfn.BITAND(HEX2DEC(MID('paste from garc here'!$C$1,1+(('table for research'!$B450-1)*36+HEX2DEC(9))*2,2)&amp;MID('paste from garc here'!$C$1,1+(('table for research'!$B450-1)*36+HEX2DEC(8))*2,2)),1920),7),2)</f>
        <v>04</v>
      </c>
      <c r="O450" t="str">
        <f>DEC2HEX(_xlfn.BITRSHIFT(HEX2DEC(MID('paste from garc here'!$C$1,1+(('table for research'!$B450-1)*36+HEX2DEC(9))*2,2)&amp;MID('paste from garc here'!$C$1,1+(('table for research'!$B450-1)*36+HEX2DEC(8))*2,2)),11),2)</f>
        <v>00</v>
      </c>
      <c r="P450" t="str">
        <f>MID('paste from garc here'!$C$1,1+(('table for research'!$B450-1)*36+HEX2DEC('table for research'!P$1))*2,2)</f>
        <v>00</v>
      </c>
      <c r="Q450" t="str">
        <f>MID('paste from garc here'!$C$1,1+(('table for research'!$B450-1)*36+HEX2DEC('table for research'!Q$1))*2,2)</f>
        <v>00</v>
      </c>
      <c r="R450" t="str">
        <f>MID('paste from garc here'!$C$1,1+(('table for research'!$B450-1)*36+HEX2DEC('table for research'!R$1))*2,2)</f>
        <v>00</v>
      </c>
      <c r="S450" t="str">
        <f>MID('paste from garc here'!$C$1,1+(('table for research'!$B450-1)*36+HEX2DEC('table for research'!S$1))*2,2)</f>
        <v>08</v>
      </c>
      <c r="T450" t="str">
        <f>MID('paste from garc here'!$C$1,1+(('table for research'!$B450-1)*36+HEX2DEC('table for research'!T$1))*2,2)</f>
        <v>00</v>
      </c>
      <c r="U450" t="str">
        <f>MID('paste from garc here'!$C$1,1+(('table for research'!$B450-1)*36+HEX2DEC('table for research'!U$1))*2,2)</f>
        <v>FF</v>
      </c>
      <c r="V450" t="str">
        <f>MID('paste from garc here'!$C$1,1+(('table for research'!$B450-1)*36+HEX2DEC('table for research'!V$1))*2,2)</f>
        <v>00</v>
      </c>
      <c r="W450" t="str">
        <f>MID('paste from garc here'!$C$1,1+(('table for research'!$B450-1)*36+HEX2DEC('table for research'!W$1))*2,2)</f>
        <v>00</v>
      </c>
      <c r="X450" t="str">
        <f>MID('paste from garc here'!$C$1,1+(('table for research'!$B450-1)*36+HEX2DEC('table for research'!X$1))*2,2)</f>
        <v>00</v>
      </c>
      <c r="Y450" t="str">
        <f>MID('paste from garc here'!$C$1,1+(('table for research'!$B450-1)*36+HEX2DEC('table for research'!Y$1))*2,2)</f>
        <v>00</v>
      </c>
      <c r="Z450" t="str">
        <f>MID('paste from garc here'!$C$1,1+(('table for research'!$B450-1)*36+HEX2DEC('table for research'!Z$1))*2,2)</f>
        <v>00</v>
      </c>
      <c r="AA450" t="str">
        <f>MID('paste from garc here'!$C$1,1+(('table for research'!$B450-1)*36+HEX2DEC('table for research'!AA$1))*2,2)</f>
        <v>00</v>
      </c>
      <c r="AB450" t="str">
        <f>MID('paste from garc here'!$C$1,1+(('table for research'!$B450-1)*36+HEX2DEC('table for research'!AB$1))*2,2)</f>
        <v>00</v>
      </c>
      <c r="AC450" t="str">
        <f>MID('paste from garc here'!$C$1,1+(('table for research'!$B450-1)*36+HEX2DEC('table for research'!AC$1))*2,2)</f>
        <v>00</v>
      </c>
      <c r="AD450" t="str">
        <f>MID('paste from garc here'!$C$1,1+(('table for research'!$B450-1)*36+HEX2DEC('table for research'!AD$1))*2,2)</f>
        <v>00</v>
      </c>
      <c r="AE450" t="str">
        <f>MID('paste from garc here'!$C$1,1+(('table for research'!$B450-1)*36+HEX2DEC('table for research'!AE$1))*2,2)</f>
        <v>00</v>
      </c>
      <c r="AF450" t="str">
        <f>MID('paste from garc here'!$C$1,1+(('table for research'!$B450-1)*36+HEX2DEC('table for research'!AF$1))*2,2)</f>
        <v>00</v>
      </c>
      <c r="AG450" t="str">
        <f>MID('paste from garc here'!$C$1,1+(('table for research'!$B450-1)*36+HEX2DEC('table for research'!AG$1))*2,2)</f>
        <v>00</v>
      </c>
      <c r="AH450" t="str">
        <f>MID('paste from garc here'!$C$1,1+(('table for research'!$B450-1)*36+HEX2DEC('table for research'!AH$1))*2,2)</f>
        <v>00</v>
      </c>
      <c r="AI450" t="str">
        <f>MID('paste from garc here'!$C$1,1+(('table for research'!$B450-1)*36+HEX2DEC('table for research'!AI$1))*2,2)</f>
        <v>00</v>
      </c>
      <c r="AJ450" t="str">
        <f>MID('paste from garc here'!$C$1,1+(('table for research'!$B450-1)*36+HEX2DEC('table for research'!AJ$1))*2,2)</f>
        <v>00</v>
      </c>
      <c r="AK450" t="str">
        <f>MID('paste from garc here'!$C$1,1+(('table for research'!$B450-1)*36+HEX2DEC('table for research'!AK$1))*2,2)</f>
        <v>00</v>
      </c>
      <c r="AL450" t="str">
        <f>MID('paste from garc here'!$C$1,1+(('table for research'!$B450-1)*36+HEX2DEC('table for research'!AL$1))*2,2)</f>
        <v>00</v>
      </c>
      <c r="AM450" t="str">
        <f>MID('paste from garc here'!$C$1,1+(('table for research'!$B450-1)*36+HEX2DEC('table for research'!AM$1))*2,2)</f>
        <v>00</v>
      </c>
      <c r="AN450" t="str">
        <f>MID('paste from garc here'!$C$1,1+(('table for research'!$B450-1)*36+HEX2DEC('table for research'!AN$1))*2,2)</f>
        <v>00</v>
      </c>
      <c r="AO450" t="str">
        <f>MID('paste from garc here'!$C$1,1+(('table for research'!$B450-1)*36+HEX2DEC('table for research'!AO$1))*2,2)</f>
        <v>00</v>
      </c>
    </row>
    <row r="451" spans="1:41" x14ac:dyDescent="0.4">
      <c r="A451" t="s">
        <v>453</v>
      </c>
      <c r="B451">
        <f>B450+1</f>
        <v>449</v>
      </c>
      <c r="C451" t="str">
        <f>MID('paste from garc here'!$C$1,1+(('table for research'!$B451-1)*36+HEX2DEC('table for research'!C$1))*2,2)</f>
        <v>00</v>
      </c>
      <c r="D451" t="str">
        <f>MID('paste from garc here'!$C$1,1+(('table for research'!$B451-1)*36+HEX2DEC('table for research'!D$1))*2,2)</f>
        <v>00</v>
      </c>
      <c r="E451" t="str">
        <f>MID('paste from garc here'!$C$1,1+(('table for research'!$B451-1)*36+HEX2DEC('table for research'!E$1))*2,2)</f>
        <v>00</v>
      </c>
      <c r="F451" t="str">
        <f>MID('paste from garc here'!$C$1,1+(('table for research'!$B451-1)*36+HEX2DEC('table for research'!F$1))*2,2)</f>
        <v>00</v>
      </c>
      <c r="G451" t="str">
        <f>MID('paste from garc here'!$C$1,1+(('table for research'!$B451-1)*36+HEX2DEC('table for research'!G$1))*2,2)</f>
        <v>00</v>
      </c>
      <c r="H451" t="str">
        <f>MID('paste from garc here'!$C$1,1+(('table for research'!$B451-1)*36+HEX2DEC('table for research'!H$1))*2,2)</f>
        <v>00</v>
      </c>
      <c r="I451" t="str">
        <f>MID('paste from garc here'!$C$1,1+(('table for research'!$B451-1)*36+HEX2DEC('table for research'!I$1))*2,2)</f>
        <v>00</v>
      </c>
      <c r="J451" t="str">
        <f>MID('paste from garc here'!$C$1,1+(('table for research'!$B451-1)*36+HEX2DEC('table for research'!J$1))*2,2)</f>
        <v>00</v>
      </c>
      <c r="K451" t="str">
        <f>DEC2HEX(_xlfn.BITAND(HEX2DEC(MID('paste from garc here'!$C$1,1+(('table for research'!$B451-1)*36+HEX2DEC(8))*2,2)),31),2)</f>
        <v>1F</v>
      </c>
      <c r="L451" t="str">
        <f>DEC2HEX(_xlfn.BITAND(HEX2DEC(MID('paste from garc here'!$C$1,1+(('table for research'!$B451-1)*36+HEX2DEC(8))*2,2)),32),2)</f>
        <v>00</v>
      </c>
      <c r="M451" t="str">
        <f>DEC2HEX(_xlfn.BITAND(HEX2DEC(MID('paste from garc here'!$C$1,1+(('table for research'!$B451-1)*36+HEX2DEC(8))*2,2)),64),2)</f>
        <v>00</v>
      </c>
      <c r="N451" t="str">
        <f>DEC2HEX(_xlfn.BITRSHIFT(_xlfn.BITAND(HEX2DEC(MID('paste from garc here'!$C$1,1+(('table for research'!$B451-1)*36+HEX2DEC(9))*2,2)&amp;MID('paste from garc here'!$C$1,1+(('table for research'!$B451-1)*36+HEX2DEC(8))*2,2)),1920),7),2)</f>
        <v>04</v>
      </c>
      <c r="O451" t="str">
        <f>DEC2HEX(_xlfn.BITRSHIFT(HEX2DEC(MID('paste from garc here'!$C$1,1+(('table for research'!$B451-1)*36+HEX2DEC(9))*2,2)&amp;MID('paste from garc here'!$C$1,1+(('table for research'!$B451-1)*36+HEX2DEC(8))*2,2)),11),2)</f>
        <v>00</v>
      </c>
      <c r="P451" t="str">
        <f>MID('paste from garc here'!$C$1,1+(('table for research'!$B451-1)*36+HEX2DEC('table for research'!P$1))*2,2)</f>
        <v>00</v>
      </c>
      <c r="Q451" t="str">
        <f>MID('paste from garc here'!$C$1,1+(('table for research'!$B451-1)*36+HEX2DEC('table for research'!Q$1))*2,2)</f>
        <v>00</v>
      </c>
      <c r="R451" t="str">
        <f>MID('paste from garc here'!$C$1,1+(('table for research'!$B451-1)*36+HEX2DEC('table for research'!R$1))*2,2)</f>
        <v>00</v>
      </c>
      <c r="S451" t="str">
        <f>MID('paste from garc here'!$C$1,1+(('table for research'!$B451-1)*36+HEX2DEC('table for research'!S$1))*2,2)</f>
        <v>08</v>
      </c>
      <c r="T451" t="str">
        <f>MID('paste from garc here'!$C$1,1+(('table for research'!$B451-1)*36+HEX2DEC('table for research'!T$1))*2,2)</f>
        <v>00</v>
      </c>
      <c r="U451" t="str">
        <f>MID('paste from garc here'!$C$1,1+(('table for research'!$B451-1)*36+HEX2DEC('table for research'!U$1))*2,2)</f>
        <v>FF</v>
      </c>
      <c r="V451" t="str">
        <f>MID('paste from garc here'!$C$1,1+(('table for research'!$B451-1)*36+HEX2DEC('table for research'!V$1))*2,2)</f>
        <v>00</v>
      </c>
      <c r="W451" t="str">
        <f>MID('paste from garc here'!$C$1,1+(('table for research'!$B451-1)*36+HEX2DEC('table for research'!W$1))*2,2)</f>
        <v>00</v>
      </c>
      <c r="X451" t="str">
        <f>MID('paste from garc here'!$C$1,1+(('table for research'!$B451-1)*36+HEX2DEC('table for research'!X$1))*2,2)</f>
        <v>00</v>
      </c>
      <c r="Y451" t="str">
        <f>MID('paste from garc here'!$C$1,1+(('table for research'!$B451-1)*36+HEX2DEC('table for research'!Y$1))*2,2)</f>
        <v>00</v>
      </c>
      <c r="Z451" t="str">
        <f>MID('paste from garc here'!$C$1,1+(('table for research'!$B451-1)*36+HEX2DEC('table for research'!Z$1))*2,2)</f>
        <v>00</v>
      </c>
      <c r="AA451" t="str">
        <f>MID('paste from garc here'!$C$1,1+(('table for research'!$B451-1)*36+HEX2DEC('table for research'!AA$1))*2,2)</f>
        <v>00</v>
      </c>
      <c r="AB451" t="str">
        <f>MID('paste from garc here'!$C$1,1+(('table for research'!$B451-1)*36+HEX2DEC('table for research'!AB$1))*2,2)</f>
        <v>00</v>
      </c>
      <c r="AC451" t="str">
        <f>MID('paste from garc here'!$C$1,1+(('table for research'!$B451-1)*36+HEX2DEC('table for research'!AC$1))*2,2)</f>
        <v>00</v>
      </c>
      <c r="AD451" t="str">
        <f>MID('paste from garc here'!$C$1,1+(('table for research'!$B451-1)*36+HEX2DEC('table for research'!AD$1))*2,2)</f>
        <v>00</v>
      </c>
      <c r="AE451" t="str">
        <f>MID('paste from garc here'!$C$1,1+(('table for research'!$B451-1)*36+HEX2DEC('table for research'!AE$1))*2,2)</f>
        <v>00</v>
      </c>
      <c r="AF451" t="str">
        <f>MID('paste from garc here'!$C$1,1+(('table for research'!$B451-1)*36+HEX2DEC('table for research'!AF$1))*2,2)</f>
        <v>00</v>
      </c>
      <c r="AG451" t="str">
        <f>MID('paste from garc here'!$C$1,1+(('table for research'!$B451-1)*36+HEX2DEC('table for research'!AG$1))*2,2)</f>
        <v>00</v>
      </c>
      <c r="AH451" t="str">
        <f>MID('paste from garc here'!$C$1,1+(('table for research'!$B451-1)*36+HEX2DEC('table for research'!AH$1))*2,2)</f>
        <v>00</v>
      </c>
      <c r="AI451" t="str">
        <f>MID('paste from garc here'!$C$1,1+(('table for research'!$B451-1)*36+HEX2DEC('table for research'!AI$1))*2,2)</f>
        <v>00</v>
      </c>
      <c r="AJ451" t="str">
        <f>MID('paste from garc here'!$C$1,1+(('table for research'!$B451-1)*36+HEX2DEC('table for research'!AJ$1))*2,2)</f>
        <v>00</v>
      </c>
      <c r="AK451" t="str">
        <f>MID('paste from garc here'!$C$1,1+(('table for research'!$B451-1)*36+HEX2DEC('table for research'!AK$1))*2,2)</f>
        <v>00</v>
      </c>
      <c r="AL451" t="str">
        <f>MID('paste from garc here'!$C$1,1+(('table for research'!$B451-1)*36+HEX2DEC('table for research'!AL$1))*2,2)</f>
        <v>00</v>
      </c>
      <c r="AM451" t="str">
        <f>MID('paste from garc here'!$C$1,1+(('table for research'!$B451-1)*36+HEX2DEC('table for research'!AM$1))*2,2)</f>
        <v>00</v>
      </c>
      <c r="AN451" t="str">
        <f>MID('paste from garc here'!$C$1,1+(('table for research'!$B451-1)*36+HEX2DEC('table for research'!AN$1))*2,2)</f>
        <v>00</v>
      </c>
      <c r="AO451" t="str">
        <f>MID('paste from garc here'!$C$1,1+(('table for research'!$B451-1)*36+HEX2DEC('table for research'!AO$1))*2,2)</f>
        <v>00</v>
      </c>
    </row>
    <row r="452" spans="1:41" x14ac:dyDescent="0.4">
      <c r="A452" t="s">
        <v>454</v>
      </c>
      <c r="B452">
        <f>B451+1</f>
        <v>450</v>
      </c>
      <c r="C452" t="str">
        <f>MID('paste from garc here'!$C$1,1+(('table for research'!$B452-1)*36+HEX2DEC('table for research'!C$1))*2,2)</f>
        <v>00</v>
      </c>
      <c r="D452" t="str">
        <f>MID('paste from garc here'!$C$1,1+(('table for research'!$B452-1)*36+HEX2DEC('table for research'!D$1))*2,2)</f>
        <v>00</v>
      </c>
      <c r="E452" t="str">
        <f>MID('paste from garc here'!$C$1,1+(('table for research'!$B452-1)*36+HEX2DEC('table for research'!E$1))*2,2)</f>
        <v>00</v>
      </c>
      <c r="F452" t="str">
        <f>MID('paste from garc here'!$C$1,1+(('table for research'!$B452-1)*36+HEX2DEC('table for research'!F$1))*2,2)</f>
        <v>00</v>
      </c>
      <c r="G452" t="str">
        <f>MID('paste from garc here'!$C$1,1+(('table for research'!$B452-1)*36+HEX2DEC('table for research'!G$1))*2,2)</f>
        <v>00</v>
      </c>
      <c r="H452" t="str">
        <f>MID('paste from garc here'!$C$1,1+(('table for research'!$B452-1)*36+HEX2DEC('table for research'!H$1))*2,2)</f>
        <v>00</v>
      </c>
      <c r="I452" t="str">
        <f>MID('paste from garc here'!$C$1,1+(('table for research'!$B452-1)*36+HEX2DEC('table for research'!I$1))*2,2)</f>
        <v>00</v>
      </c>
      <c r="J452" t="str">
        <f>MID('paste from garc here'!$C$1,1+(('table for research'!$B452-1)*36+HEX2DEC('table for research'!J$1))*2,2)</f>
        <v>00</v>
      </c>
      <c r="K452" t="str">
        <f>DEC2HEX(_xlfn.BITAND(HEX2DEC(MID('paste from garc here'!$C$1,1+(('table for research'!$B452-1)*36+HEX2DEC(8))*2,2)),31),2)</f>
        <v>1F</v>
      </c>
      <c r="L452" t="str">
        <f>DEC2HEX(_xlfn.BITAND(HEX2DEC(MID('paste from garc here'!$C$1,1+(('table for research'!$B452-1)*36+HEX2DEC(8))*2,2)),32),2)</f>
        <v>20</v>
      </c>
      <c r="M452" t="str">
        <f>DEC2HEX(_xlfn.BITAND(HEX2DEC(MID('paste from garc here'!$C$1,1+(('table for research'!$B452-1)*36+HEX2DEC(8))*2,2)),64),2)</f>
        <v>00</v>
      </c>
      <c r="N452" t="str">
        <f>DEC2HEX(_xlfn.BITRSHIFT(_xlfn.BITAND(HEX2DEC(MID('paste from garc here'!$C$1,1+(('table for research'!$B452-1)*36+HEX2DEC(9))*2,2)&amp;MID('paste from garc here'!$C$1,1+(('table for research'!$B452-1)*36+HEX2DEC(8))*2,2)),1920),7),2)</f>
        <v>04</v>
      </c>
      <c r="O452" t="str">
        <f>DEC2HEX(_xlfn.BITRSHIFT(HEX2DEC(MID('paste from garc here'!$C$1,1+(('table for research'!$B452-1)*36+HEX2DEC(9))*2,2)&amp;MID('paste from garc here'!$C$1,1+(('table for research'!$B452-1)*36+HEX2DEC(8))*2,2)),11),2)</f>
        <v>00</v>
      </c>
      <c r="P452" t="str">
        <f>MID('paste from garc here'!$C$1,1+(('table for research'!$B452-1)*36+HEX2DEC('table for research'!P$1))*2,2)</f>
        <v>00</v>
      </c>
      <c r="Q452" t="str">
        <f>MID('paste from garc here'!$C$1,1+(('table for research'!$B452-1)*36+HEX2DEC('table for research'!Q$1))*2,2)</f>
        <v>00</v>
      </c>
      <c r="R452" t="str">
        <f>MID('paste from garc here'!$C$1,1+(('table for research'!$B452-1)*36+HEX2DEC('table for research'!R$1))*2,2)</f>
        <v>00</v>
      </c>
      <c r="S452" t="str">
        <f>MID('paste from garc here'!$C$1,1+(('table for research'!$B452-1)*36+HEX2DEC('table for research'!S$1))*2,2)</f>
        <v>08</v>
      </c>
      <c r="T452" t="str">
        <f>MID('paste from garc here'!$C$1,1+(('table for research'!$B452-1)*36+HEX2DEC('table for research'!T$1))*2,2)</f>
        <v>00</v>
      </c>
      <c r="U452" t="str">
        <f>MID('paste from garc here'!$C$1,1+(('table for research'!$B452-1)*36+HEX2DEC('table for research'!U$1))*2,2)</f>
        <v>FF</v>
      </c>
      <c r="V452" t="str">
        <f>MID('paste from garc here'!$C$1,1+(('table for research'!$B452-1)*36+HEX2DEC('table for research'!V$1))*2,2)</f>
        <v>00</v>
      </c>
      <c r="W452" t="str">
        <f>MID('paste from garc here'!$C$1,1+(('table for research'!$B452-1)*36+HEX2DEC('table for research'!W$1))*2,2)</f>
        <v>00</v>
      </c>
      <c r="X452" t="str">
        <f>MID('paste from garc here'!$C$1,1+(('table for research'!$B452-1)*36+HEX2DEC('table for research'!X$1))*2,2)</f>
        <v>00</v>
      </c>
      <c r="Y452" t="str">
        <f>MID('paste from garc here'!$C$1,1+(('table for research'!$B452-1)*36+HEX2DEC('table for research'!Y$1))*2,2)</f>
        <v>00</v>
      </c>
      <c r="Z452" t="str">
        <f>MID('paste from garc here'!$C$1,1+(('table for research'!$B452-1)*36+HEX2DEC('table for research'!Z$1))*2,2)</f>
        <v>00</v>
      </c>
      <c r="AA452" t="str">
        <f>MID('paste from garc here'!$C$1,1+(('table for research'!$B452-1)*36+HEX2DEC('table for research'!AA$1))*2,2)</f>
        <v>00</v>
      </c>
      <c r="AB452" t="str">
        <f>MID('paste from garc here'!$C$1,1+(('table for research'!$B452-1)*36+HEX2DEC('table for research'!AB$1))*2,2)</f>
        <v>00</v>
      </c>
      <c r="AC452" t="str">
        <f>MID('paste from garc here'!$C$1,1+(('table for research'!$B452-1)*36+HEX2DEC('table for research'!AC$1))*2,2)</f>
        <v>00</v>
      </c>
      <c r="AD452" t="str">
        <f>MID('paste from garc here'!$C$1,1+(('table for research'!$B452-1)*36+HEX2DEC('table for research'!AD$1))*2,2)</f>
        <v>00</v>
      </c>
      <c r="AE452" t="str">
        <f>MID('paste from garc here'!$C$1,1+(('table for research'!$B452-1)*36+HEX2DEC('table for research'!AE$1))*2,2)</f>
        <v>00</v>
      </c>
      <c r="AF452" t="str">
        <f>MID('paste from garc here'!$C$1,1+(('table for research'!$B452-1)*36+HEX2DEC('table for research'!AF$1))*2,2)</f>
        <v>00</v>
      </c>
      <c r="AG452" t="str">
        <f>MID('paste from garc here'!$C$1,1+(('table for research'!$B452-1)*36+HEX2DEC('table for research'!AG$1))*2,2)</f>
        <v>00</v>
      </c>
      <c r="AH452" t="str">
        <f>MID('paste from garc here'!$C$1,1+(('table for research'!$B452-1)*36+HEX2DEC('table for research'!AH$1))*2,2)</f>
        <v>00</v>
      </c>
      <c r="AI452" t="str">
        <f>MID('paste from garc here'!$C$1,1+(('table for research'!$B452-1)*36+HEX2DEC('table for research'!AI$1))*2,2)</f>
        <v>00</v>
      </c>
      <c r="AJ452" t="str">
        <f>MID('paste from garc here'!$C$1,1+(('table for research'!$B452-1)*36+HEX2DEC('table for research'!AJ$1))*2,2)</f>
        <v>00</v>
      </c>
      <c r="AK452" t="str">
        <f>MID('paste from garc here'!$C$1,1+(('table for research'!$B452-1)*36+HEX2DEC('table for research'!AK$1))*2,2)</f>
        <v>00</v>
      </c>
      <c r="AL452" t="str">
        <f>MID('paste from garc here'!$C$1,1+(('table for research'!$B452-1)*36+HEX2DEC('table for research'!AL$1))*2,2)</f>
        <v>00</v>
      </c>
      <c r="AM452" t="str">
        <f>MID('paste from garc here'!$C$1,1+(('table for research'!$B452-1)*36+HEX2DEC('table for research'!AM$1))*2,2)</f>
        <v>00</v>
      </c>
      <c r="AN452" t="str">
        <f>MID('paste from garc here'!$C$1,1+(('table for research'!$B452-1)*36+HEX2DEC('table for research'!AN$1))*2,2)</f>
        <v>00</v>
      </c>
      <c r="AO452" t="str">
        <f>MID('paste from garc here'!$C$1,1+(('table for research'!$B452-1)*36+HEX2DEC('table for research'!AO$1))*2,2)</f>
        <v>00</v>
      </c>
    </row>
    <row r="453" spans="1:41" x14ac:dyDescent="0.4">
      <c r="A453" t="s">
        <v>455</v>
      </c>
      <c r="B453">
        <f>B452+1</f>
        <v>451</v>
      </c>
      <c r="C453" t="str">
        <f>MID('paste from garc here'!$C$1,1+(('table for research'!$B453-1)*36+HEX2DEC('table for research'!C$1))*2,2)</f>
        <v>00</v>
      </c>
      <c r="D453" t="str">
        <f>MID('paste from garc here'!$C$1,1+(('table for research'!$B453-1)*36+HEX2DEC('table for research'!D$1))*2,2)</f>
        <v>00</v>
      </c>
      <c r="E453" t="str">
        <f>MID('paste from garc here'!$C$1,1+(('table for research'!$B453-1)*36+HEX2DEC('table for research'!E$1))*2,2)</f>
        <v>00</v>
      </c>
      <c r="F453" t="str">
        <f>MID('paste from garc here'!$C$1,1+(('table for research'!$B453-1)*36+HEX2DEC('table for research'!F$1))*2,2)</f>
        <v>00</v>
      </c>
      <c r="G453" t="str">
        <f>MID('paste from garc here'!$C$1,1+(('table for research'!$B453-1)*36+HEX2DEC('table for research'!G$1))*2,2)</f>
        <v>00</v>
      </c>
      <c r="H453" t="str">
        <f>MID('paste from garc here'!$C$1,1+(('table for research'!$B453-1)*36+HEX2DEC('table for research'!H$1))*2,2)</f>
        <v>00</v>
      </c>
      <c r="I453" t="str">
        <f>MID('paste from garc here'!$C$1,1+(('table for research'!$B453-1)*36+HEX2DEC('table for research'!I$1))*2,2)</f>
        <v>00</v>
      </c>
      <c r="J453" t="str">
        <f>MID('paste from garc here'!$C$1,1+(('table for research'!$B453-1)*36+HEX2DEC('table for research'!J$1))*2,2)</f>
        <v>00</v>
      </c>
      <c r="K453" t="str">
        <f>DEC2HEX(_xlfn.BITAND(HEX2DEC(MID('paste from garc here'!$C$1,1+(('table for research'!$B453-1)*36+HEX2DEC(8))*2,2)),31),2)</f>
        <v>1F</v>
      </c>
      <c r="L453" t="str">
        <f>DEC2HEX(_xlfn.BITAND(HEX2DEC(MID('paste from garc here'!$C$1,1+(('table for research'!$B453-1)*36+HEX2DEC(8))*2,2)),32),2)</f>
        <v>00</v>
      </c>
      <c r="M453" t="str">
        <f>DEC2HEX(_xlfn.BITAND(HEX2DEC(MID('paste from garc here'!$C$1,1+(('table for research'!$B453-1)*36+HEX2DEC(8))*2,2)),64),2)</f>
        <v>00</v>
      </c>
      <c r="N453" t="str">
        <f>DEC2HEX(_xlfn.BITRSHIFT(_xlfn.BITAND(HEX2DEC(MID('paste from garc here'!$C$1,1+(('table for research'!$B453-1)*36+HEX2DEC(9))*2,2)&amp;MID('paste from garc here'!$C$1,1+(('table for research'!$B453-1)*36+HEX2DEC(8))*2,2)),1920),7),2)</f>
        <v>04</v>
      </c>
      <c r="O453" t="str">
        <f>DEC2HEX(_xlfn.BITRSHIFT(HEX2DEC(MID('paste from garc here'!$C$1,1+(('table for research'!$B453-1)*36+HEX2DEC(9))*2,2)&amp;MID('paste from garc here'!$C$1,1+(('table for research'!$B453-1)*36+HEX2DEC(8))*2,2)),11),2)</f>
        <v>00</v>
      </c>
      <c r="P453" t="str">
        <f>MID('paste from garc here'!$C$1,1+(('table for research'!$B453-1)*36+HEX2DEC('table for research'!P$1))*2,2)</f>
        <v>00</v>
      </c>
      <c r="Q453" t="str">
        <f>MID('paste from garc here'!$C$1,1+(('table for research'!$B453-1)*36+HEX2DEC('table for research'!Q$1))*2,2)</f>
        <v>00</v>
      </c>
      <c r="R453" t="str">
        <f>MID('paste from garc here'!$C$1,1+(('table for research'!$B453-1)*36+HEX2DEC('table for research'!R$1))*2,2)</f>
        <v>00</v>
      </c>
      <c r="S453" t="str">
        <f>MID('paste from garc here'!$C$1,1+(('table for research'!$B453-1)*36+HEX2DEC('table for research'!S$1))*2,2)</f>
        <v>08</v>
      </c>
      <c r="T453" t="str">
        <f>MID('paste from garc here'!$C$1,1+(('table for research'!$B453-1)*36+HEX2DEC('table for research'!T$1))*2,2)</f>
        <v>00</v>
      </c>
      <c r="U453" t="str">
        <f>MID('paste from garc here'!$C$1,1+(('table for research'!$B453-1)*36+HEX2DEC('table for research'!U$1))*2,2)</f>
        <v>FF</v>
      </c>
      <c r="V453" t="str">
        <f>MID('paste from garc here'!$C$1,1+(('table for research'!$B453-1)*36+HEX2DEC('table for research'!V$1))*2,2)</f>
        <v>00</v>
      </c>
      <c r="W453" t="str">
        <f>MID('paste from garc here'!$C$1,1+(('table for research'!$B453-1)*36+HEX2DEC('table for research'!W$1))*2,2)</f>
        <v>00</v>
      </c>
      <c r="X453" t="str">
        <f>MID('paste from garc here'!$C$1,1+(('table for research'!$B453-1)*36+HEX2DEC('table for research'!X$1))*2,2)</f>
        <v>00</v>
      </c>
      <c r="Y453" t="str">
        <f>MID('paste from garc here'!$C$1,1+(('table for research'!$B453-1)*36+HEX2DEC('table for research'!Y$1))*2,2)</f>
        <v>00</v>
      </c>
      <c r="Z453" t="str">
        <f>MID('paste from garc here'!$C$1,1+(('table for research'!$B453-1)*36+HEX2DEC('table for research'!Z$1))*2,2)</f>
        <v>00</v>
      </c>
      <c r="AA453" t="str">
        <f>MID('paste from garc here'!$C$1,1+(('table for research'!$B453-1)*36+HEX2DEC('table for research'!AA$1))*2,2)</f>
        <v>00</v>
      </c>
      <c r="AB453" t="str">
        <f>MID('paste from garc here'!$C$1,1+(('table for research'!$B453-1)*36+HEX2DEC('table for research'!AB$1))*2,2)</f>
        <v>00</v>
      </c>
      <c r="AC453" t="str">
        <f>MID('paste from garc here'!$C$1,1+(('table for research'!$B453-1)*36+HEX2DEC('table for research'!AC$1))*2,2)</f>
        <v>00</v>
      </c>
      <c r="AD453" t="str">
        <f>MID('paste from garc here'!$C$1,1+(('table for research'!$B453-1)*36+HEX2DEC('table for research'!AD$1))*2,2)</f>
        <v>00</v>
      </c>
      <c r="AE453" t="str">
        <f>MID('paste from garc here'!$C$1,1+(('table for research'!$B453-1)*36+HEX2DEC('table for research'!AE$1))*2,2)</f>
        <v>00</v>
      </c>
      <c r="AF453" t="str">
        <f>MID('paste from garc here'!$C$1,1+(('table for research'!$B453-1)*36+HEX2DEC('table for research'!AF$1))*2,2)</f>
        <v>00</v>
      </c>
      <c r="AG453" t="str">
        <f>MID('paste from garc here'!$C$1,1+(('table for research'!$B453-1)*36+HEX2DEC('table for research'!AG$1))*2,2)</f>
        <v>00</v>
      </c>
      <c r="AH453" t="str">
        <f>MID('paste from garc here'!$C$1,1+(('table for research'!$B453-1)*36+HEX2DEC('table for research'!AH$1))*2,2)</f>
        <v>00</v>
      </c>
      <c r="AI453" t="str">
        <f>MID('paste from garc here'!$C$1,1+(('table for research'!$B453-1)*36+HEX2DEC('table for research'!AI$1))*2,2)</f>
        <v>00</v>
      </c>
      <c r="AJ453" t="str">
        <f>MID('paste from garc here'!$C$1,1+(('table for research'!$B453-1)*36+HEX2DEC('table for research'!AJ$1))*2,2)</f>
        <v>00</v>
      </c>
      <c r="AK453" t="str">
        <f>MID('paste from garc here'!$C$1,1+(('table for research'!$B453-1)*36+HEX2DEC('table for research'!AK$1))*2,2)</f>
        <v>00</v>
      </c>
      <c r="AL453" t="str">
        <f>MID('paste from garc here'!$C$1,1+(('table for research'!$B453-1)*36+HEX2DEC('table for research'!AL$1))*2,2)</f>
        <v>00</v>
      </c>
      <c r="AM453" t="str">
        <f>MID('paste from garc here'!$C$1,1+(('table for research'!$B453-1)*36+HEX2DEC('table for research'!AM$1))*2,2)</f>
        <v>00</v>
      </c>
      <c r="AN453" t="str">
        <f>MID('paste from garc here'!$C$1,1+(('table for research'!$B453-1)*36+HEX2DEC('table for research'!AN$1))*2,2)</f>
        <v>00</v>
      </c>
      <c r="AO453" t="str">
        <f>MID('paste from garc here'!$C$1,1+(('table for research'!$B453-1)*36+HEX2DEC('table for research'!AO$1))*2,2)</f>
        <v>00</v>
      </c>
    </row>
    <row r="454" spans="1:41" x14ac:dyDescent="0.4">
      <c r="A454" t="s">
        <v>456</v>
      </c>
      <c r="B454">
        <f>B453+1</f>
        <v>452</v>
      </c>
      <c r="C454" t="str">
        <f>MID('paste from garc here'!$C$1,1+(('table for research'!$B454-1)*36+HEX2DEC('table for research'!C$1))*2,2)</f>
        <v>00</v>
      </c>
      <c r="D454" t="str">
        <f>MID('paste from garc here'!$C$1,1+(('table for research'!$B454-1)*36+HEX2DEC('table for research'!D$1))*2,2)</f>
        <v>00</v>
      </c>
      <c r="E454" t="str">
        <f>MID('paste from garc here'!$C$1,1+(('table for research'!$B454-1)*36+HEX2DEC('table for research'!E$1))*2,2)</f>
        <v>00</v>
      </c>
      <c r="F454" t="str">
        <f>MID('paste from garc here'!$C$1,1+(('table for research'!$B454-1)*36+HEX2DEC('table for research'!F$1))*2,2)</f>
        <v>00</v>
      </c>
      <c r="G454" t="str">
        <f>MID('paste from garc here'!$C$1,1+(('table for research'!$B454-1)*36+HEX2DEC('table for research'!G$1))*2,2)</f>
        <v>00</v>
      </c>
      <c r="H454" t="str">
        <f>MID('paste from garc here'!$C$1,1+(('table for research'!$B454-1)*36+HEX2DEC('table for research'!H$1))*2,2)</f>
        <v>00</v>
      </c>
      <c r="I454" t="str">
        <f>MID('paste from garc here'!$C$1,1+(('table for research'!$B454-1)*36+HEX2DEC('table for research'!I$1))*2,2)</f>
        <v>00</v>
      </c>
      <c r="J454" t="str">
        <f>MID('paste from garc here'!$C$1,1+(('table for research'!$B454-1)*36+HEX2DEC('table for research'!J$1))*2,2)</f>
        <v>00</v>
      </c>
      <c r="K454" t="str">
        <f>DEC2HEX(_xlfn.BITAND(HEX2DEC(MID('paste from garc here'!$C$1,1+(('table for research'!$B454-1)*36+HEX2DEC(8))*2,2)),31),2)</f>
        <v>1F</v>
      </c>
      <c r="L454" t="str">
        <f>DEC2HEX(_xlfn.BITAND(HEX2DEC(MID('paste from garc here'!$C$1,1+(('table for research'!$B454-1)*36+HEX2DEC(8))*2,2)),32),2)</f>
        <v>00</v>
      </c>
      <c r="M454" t="str">
        <f>DEC2HEX(_xlfn.BITAND(HEX2DEC(MID('paste from garc here'!$C$1,1+(('table for research'!$B454-1)*36+HEX2DEC(8))*2,2)),64),2)</f>
        <v>00</v>
      </c>
      <c r="N454" t="str">
        <f>DEC2HEX(_xlfn.BITRSHIFT(_xlfn.BITAND(HEX2DEC(MID('paste from garc here'!$C$1,1+(('table for research'!$B454-1)*36+HEX2DEC(9))*2,2)&amp;MID('paste from garc here'!$C$1,1+(('table for research'!$B454-1)*36+HEX2DEC(8))*2,2)),1920),7),2)</f>
        <v>04</v>
      </c>
      <c r="O454" t="str">
        <f>DEC2HEX(_xlfn.BITRSHIFT(HEX2DEC(MID('paste from garc here'!$C$1,1+(('table for research'!$B454-1)*36+HEX2DEC(9))*2,2)&amp;MID('paste from garc here'!$C$1,1+(('table for research'!$B454-1)*36+HEX2DEC(8))*2,2)),11),2)</f>
        <v>00</v>
      </c>
      <c r="P454" t="str">
        <f>MID('paste from garc here'!$C$1,1+(('table for research'!$B454-1)*36+HEX2DEC('table for research'!P$1))*2,2)</f>
        <v>00</v>
      </c>
      <c r="Q454" t="str">
        <f>MID('paste from garc here'!$C$1,1+(('table for research'!$B454-1)*36+HEX2DEC('table for research'!Q$1))*2,2)</f>
        <v>00</v>
      </c>
      <c r="R454" t="str">
        <f>MID('paste from garc here'!$C$1,1+(('table for research'!$B454-1)*36+HEX2DEC('table for research'!R$1))*2,2)</f>
        <v>00</v>
      </c>
      <c r="S454" t="str">
        <f>MID('paste from garc here'!$C$1,1+(('table for research'!$B454-1)*36+HEX2DEC('table for research'!S$1))*2,2)</f>
        <v>08</v>
      </c>
      <c r="T454" t="str">
        <f>MID('paste from garc here'!$C$1,1+(('table for research'!$B454-1)*36+HEX2DEC('table for research'!T$1))*2,2)</f>
        <v>00</v>
      </c>
      <c r="U454" t="str">
        <f>MID('paste from garc here'!$C$1,1+(('table for research'!$B454-1)*36+HEX2DEC('table for research'!U$1))*2,2)</f>
        <v>FF</v>
      </c>
      <c r="V454" t="str">
        <f>MID('paste from garc here'!$C$1,1+(('table for research'!$B454-1)*36+HEX2DEC('table for research'!V$1))*2,2)</f>
        <v>00</v>
      </c>
      <c r="W454" t="str">
        <f>MID('paste from garc here'!$C$1,1+(('table for research'!$B454-1)*36+HEX2DEC('table for research'!W$1))*2,2)</f>
        <v>00</v>
      </c>
      <c r="X454" t="str">
        <f>MID('paste from garc here'!$C$1,1+(('table for research'!$B454-1)*36+HEX2DEC('table for research'!X$1))*2,2)</f>
        <v>00</v>
      </c>
      <c r="Y454" t="str">
        <f>MID('paste from garc here'!$C$1,1+(('table for research'!$B454-1)*36+HEX2DEC('table for research'!Y$1))*2,2)</f>
        <v>00</v>
      </c>
      <c r="Z454" t="str">
        <f>MID('paste from garc here'!$C$1,1+(('table for research'!$B454-1)*36+HEX2DEC('table for research'!Z$1))*2,2)</f>
        <v>00</v>
      </c>
      <c r="AA454" t="str">
        <f>MID('paste from garc here'!$C$1,1+(('table for research'!$B454-1)*36+HEX2DEC('table for research'!AA$1))*2,2)</f>
        <v>00</v>
      </c>
      <c r="AB454" t="str">
        <f>MID('paste from garc here'!$C$1,1+(('table for research'!$B454-1)*36+HEX2DEC('table for research'!AB$1))*2,2)</f>
        <v>00</v>
      </c>
      <c r="AC454" t="str">
        <f>MID('paste from garc here'!$C$1,1+(('table for research'!$B454-1)*36+HEX2DEC('table for research'!AC$1))*2,2)</f>
        <v>00</v>
      </c>
      <c r="AD454" t="str">
        <f>MID('paste from garc here'!$C$1,1+(('table for research'!$B454-1)*36+HEX2DEC('table for research'!AD$1))*2,2)</f>
        <v>00</v>
      </c>
      <c r="AE454" t="str">
        <f>MID('paste from garc here'!$C$1,1+(('table for research'!$B454-1)*36+HEX2DEC('table for research'!AE$1))*2,2)</f>
        <v>00</v>
      </c>
      <c r="AF454" t="str">
        <f>MID('paste from garc here'!$C$1,1+(('table for research'!$B454-1)*36+HEX2DEC('table for research'!AF$1))*2,2)</f>
        <v>00</v>
      </c>
      <c r="AG454" t="str">
        <f>MID('paste from garc here'!$C$1,1+(('table for research'!$B454-1)*36+HEX2DEC('table for research'!AG$1))*2,2)</f>
        <v>00</v>
      </c>
      <c r="AH454" t="str">
        <f>MID('paste from garc here'!$C$1,1+(('table for research'!$B454-1)*36+HEX2DEC('table for research'!AH$1))*2,2)</f>
        <v>00</v>
      </c>
      <c r="AI454" t="str">
        <f>MID('paste from garc here'!$C$1,1+(('table for research'!$B454-1)*36+HEX2DEC('table for research'!AI$1))*2,2)</f>
        <v>00</v>
      </c>
      <c r="AJ454" t="str">
        <f>MID('paste from garc here'!$C$1,1+(('table for research'!$B454-1)*36+HEX2DEC('table for research'!AJ$1))*2,2)</f>
        <v>00</v>
      </c>
      <c r="AK454" t="str">
        <f>MID('paste from garc here'!$C$1,1+(('table for research'!$B454-1)*36+HEX2DEC('table for research'!AK$1))*2,2)</f>
        <v>00</v>
      </c>
      <c r="AL454" t="str">
        <f>MID('paste from garc here'!$C$1,1+(('table for research'!$B454-1)*36+HEX2DEC('table for research'!AL$1))*2,2)</f>
        <v>00</v>
      </c>
      <c r="AM454" t="str">
        <f>MID('paste from garc here'!$C$1,1+(('table for research'!$B454-1)*36+HEX2DEC('table for research'!AM$1))*2,2)</f>
        <v>00</v>
      </c>
      <c r="AN454" t="str">
        <f>MID('paste from garc here'!$C$1,1+(('table for research'!$B454-1)*36+HEX2DEC('table for research'!AN$1))*2,2)</f>
        <v>00</v>
      </c>
      <c r="AO454" t="str">
        <f>MID('paste from garc here'!$C$1,1+(('table for research'!$B454-1)*36+HEX2DEC('table for research'!AO$1))*2,2)</f>
        <v>00</v>
      </c>
    </row>
    <row r="455" spans="1:41" x14ac:dyDescent="0.4">
      <c r="A455" t="s">
        <v>457</v>
      </c>
      <c r="B455">
        <f>B454+1</f>
        <v>453</v>
      </c>
      <c r="C455" t="str">
        <f>MID('paste from garc here'!$C$1,1+(('table for research'!$B455-1)*36+HEX2DEC('table for research'!C$1))*2,2)</f>
        <v>00</v>
      </c>
      <c r="D455" t="str">
        <f>MID('paste from garc here'!$C$1,1+(('table for research'!$B455-1)*36+HEX2DEC('table for research'!D$1))*2,2)</f>
        <v>00</v>
      </c>
      <c r="E455" t="str">
        <f>MID('paste from garc here'!$C$1,1+(('table for research'!$B455-1)*36+HEX2DEC('table for research'!E$1))*2,2)</f>
        <v>00</v>
      </c>
      <c r="F455" t="str">
        <f>MID('paste from garc here'!$C$1,1+(('table for research'!$B455-1)*36+HEX2DEC('table for research'!F$1))*2,2)</f>
        <v>00</v>
      </c>
      <c r="G455" t="str">
        <f>MID('paste from garc here'!$C$1,1+(('table for research'!$B455-1)*36+HEX2DEC('table for research'!G$1))*2,2)</f>
        <v>00</v>
      </c>
      <c r="H455" t="str">
        <f>MID('paste from garc here'!$C$1,1+(('table for research'!$B455-1)*36+HEX2DEC('table for research'!H$1))*2,2)</f>
        <v>00</v>
      </c>
      <c r="I455" t="str">
        <f>MID('paste from garc here'!$C$1,1+(('table for research'!$B455-1)*36+HEX2DEC('table for research'!I$1))*2,2)</f>
        <v>00</v>
      </c>
      <c r="J455" t="str">
        <f>MID('paste from garc here'!$C$1,1+(('table for research'!$B455-1)*36+HEX2DEC('table for research'!J$1))*2,2)</f>
        <v>00</v>
      </c>
      <c r="K455" t="str">
        <f>DEC2HEX(_xlfn.BITAND(HEX2DEC(MID('paste from garc here'!$C$1,1+(('table for research'!$B455-1)*36+HEX2DEC(8))*2,2)),31),2)</f>
        <v>1F</v>
      </c>
      <c r="L455" t="str">
        <f>DEC2HEX(_xlfn.BITAND(HEX2DEC(MID('paste from garc here'!$C$1,1+(('table for research'!$B455-1)*36+HEX2DEC(8))*2,2)),32),2)</f>
        <v>00</v>
      </c>
      <c r="M455" t="str">
        <f>DEC2HEX(_xlfn.BITAND(HEX2DEC(MID('paste from garc here'!$C$1,1+(('table for research'!$B455-1)*36+HEX2DEC(8))*2,2)),64),2)</f>
        <v>00</v>
      </c>
      <c r="N455" t="str">
        <f>DEC2HEX(_xlfn.BITRSHIFT(_xlfn.BITAND(HEX2DEC(MID('paste from garc here'!$C$1,1+(('table for research'!$B455-1)*36+HEX2DEC(9))*2,2)&amp;MID('paste from garc here'!$C$1,1+(('table for research'!$B455-1)*36+HEX2DEC(8))*2,2)),1920),7),2)</f>
        <v>04</v>
      </c>
      <c r="O455" t="str">
        <f>DEC2HEX(_xlfn.BITRSHIFT(HEX2DEC(MID('paste from garc here'!$C$1,1+(('table for research'!$B455-1)*36+HEX2DEC(9))*2,2)&amp;MID('paste from garc here'!$C$1,1+(('table for research'!$B455-1)*36+HEX2DEC(8))*2,2)),11),2)</f>
        <v>00</v>
      </c>
      <c r="P455" t="str">
        <f>MID('paste from garc here'!$C$1,1+(('table for research'!$B455-1)*36+HEX2DEC('table for research'!P$1))*2,2)</f>
        <v>00</v>
      </c>
      <c r="Q455" t="str">
        <f>MID('paste from garc here'!$C$1,1+(('table for research'!$B455-1)*36+HEX2DEC('table for research'!Q$1))*2,2)</f>
        <v>00</v>
      </c>
      <c r="R455" t="str">
        <f>MID('paste from garc here'!$C$1,1+(('table for research'!$B455-1)*36+HEX2DEC('table for research'!R$1))*2,2)</f>
        <v>00</v>
      </c>
      <c r="S455" t="str">
        <f>MID('paste from garc here'!$C$1,1+(('table for research'!$B455-1)*36+HEX2DEC('table for research'!S$1))*2,2)</f>
        <v>08</v>
      </c>
      <c r="T455" t="str">
        <f>MID('paste from garc here'!$C$1,1+(('table for research'!$B455-1)*36+HEX2DEC('table for research'!T$1))*2,2)</f>
        <v>00</v>
      </c>
      <c r="U455" t="str">
        <f>MID('paste from garc here'!$C$1,1+(('table for research'!$B455-1)*36+HEX2DEC('table for research'!U$1))*2,2)</f>
        <v>FF</v>
      </c>
      <c r="V455" t="str">
        <f>MID('paste from garc here'!$C$1,1+(('table for research'!$B455-1)*36+HEX2DEC('table for research'!V$1))*2,2)</f>
        <v>00</v>
      </c>
      <c r="W455" t="str">
        <f>MID('paste from garc here'!$C$1,1+(('table for research'!$B455-1)*36+HEX2DEC('table for research'!W$1))*2,2)</f>
        <v>00</v>
      </c>
      <c r="X455" t="str">
        <f>MID('paste from garc here'!$C$1,1+(('table for research'!$B455-1)*36+HEX2DEC('table for research'!X$1))*2,2)</f>
        <v>00</v>
      </c>
      <c r="Y455" t="str">
        <f>MID('paste from garc here'!$C$1,1+(('table for research'!$B455-1)*36+HEX2DEC('table for research'!Y$1))*2,2)</f>
        <v>00</v>
      </c>
      <c r="Z455" t="str">
        <f>MID('paste from garc here'!$C$1,1+(('table for research'!$B455-1)*36+HEX2DEC('table for research'!Z$1))*2,2)</f>
        <v>00</v>
      </c>
      <c r="AA455" t="str">
        <f>MID('paste from garc here'!$C$1,1+(('table for research'!$B455-1)*36+HEX2DEC('table for research'!AA$1))*2,2)</f>
        <v>00</v>
      </c>
      <c r="AB455" t="str">
        <f>MID('paste from garc here'!$C$1,1+(('table for research'!$B455-1)*36+HEX2DEC('table for research'!AB$1))*2,2)</f>
        <v>00</v>
      </c>
      <c r="AC455" t="str">
        <f>MID('paste from garc here'!$C$1,1+(('table for research'!$B455-1)*36+HEX2DEC('table for research'!AC$1))*2,2)</f>
        <v>00</v>
      </c>
      <c r="AD455" t="str">
        <f>MID('paste from garc here'!$C$1,1+(('table for research'!$B455-1)*36+HEX2DEC('table for research'!AD$1))*2,2)</f>
        <v>00</v>
      </c>
      <c r="AE455" t="str">
        <f>MID('paste from garc here'!$C$1,1+(('table for research'!$B455-1)*36+HEX2DEC('table for research'!AE$1))*2,2)</f>
        <v>00</v>
      </c>
      <c r="AF455" t="str">
        <f>MID('paste from garc here'!$C$1,1+(('table for research'!$B455-1)*36+HEX2DEC('table for research'!AF$1))*2,2)</f>
        <v>00</v>
      </c>
      <c r="AG455" t="str">
        <f>MID('paste from garc here'!$C$1,1+(('table for research'!$B455-1)*36+HEX2DEC('table for research'!AG$1))*2,2)</f>
        <v>00</v>
      </c>
      <c r="AH455" t="str">
        <f>MID('paste from garc here'!$C$1,1+(('table for research'!$B455-1)*36+HEX2DEC('table for research'!AH$1))*2,2)</f>
        <v>00</v>
      </c>
      <c r="AI455" t="str">
        <f>MID('paste from garc here'!$C$1,1+(('table for research'!$B455-1)*36+HEX2DEC('table for research'!AI$1))*2,2)</f>
        <v>00</v>
      </c>
      <c r="AJ455" t="str">
        <f>MID('paste from garc here'!$C$1,1+(('table for research'!$B455-1)*36+HEX2DEC('table for research'!AJ$1))*2,2)</f>
        <v>00</v>
      </c>
      <c r="AK455" t="str">
        <f>MID('paste from garc here'!$C$1,1+(('table for research'!$B455-1)*36+HEX2DEC('table for research'!AK$1))*2,2)</f>
        <v>00</v>
      </c>
      <c r="AL455" t="str">
        <f>MID('paste from garc here'!$C$1,1+(('table for research'!$B455-1)*36+HEX2DEC('table for research'!AL$1))*2,2)</f>
        <v>00</v>
      </c>
      <c r="AM455" t="str">
        <f>MID('paste from garc here'!$C$1,1+(('table for research'!$B455-1)*36+HEX2DEC('table for research'!AM$1))*2,2)</f>
        <v>00</v>
      </c>
      <c r="AN455" t="str">
        <f>MID('paste from garc here'!$C$1,1+(('table for research'!$B455-1)*36+HEX2DEC('table for research'!AN$1))*2,2)</f>
        <v>00</v>
      </c>
      <c r="AO455" t="str">
        <f>MID('paste from garc here'!$C$1,1+(('table for research'!$B455-1)*36+HEX2DEC('table for research'!AO$1))*2,2)</f>
        <v>00</v>
      </c>
    </row>
    <row r="456" spans="1:41" x14ac:dyDescent="0.4">
      <c r="A456" t="s">
        <v>458</v>
      </c>
      <c r="B456">
        <f>B455+1</f>
        <v>454</v>
      </c>
      <c r="C456" t="str">
        <f>MID('paste from garc here'!$C$1,1+(('table for research'!$B456-1)*36+HEX2DEC('table for research'!C$1))*2,2)</f>
        <v>00</v>
      </c>
      <c r="D456" t="str">
        <f>MID('paste from garc here'!$C$1,1+(('table for research'!$B456-1)*36+HEX2DEC('table for research'!D$1))*2,2)</f>
        <v>00</v>
      </c>
      <c r="E456" t="str">
        <f>MID('paste from garc here'!$C$1,1+(('table for research'!$B456-1)*36+HEX2DEC('table for research'!E$1))*2,2)</f>
        <v>00</v>
      </c>
      <c r="F456" t="str">
        <f>MID('paste from garc here'!$C$1,1+(('table for research'!$B456-1)*36+HEX2DEC('table for research'!F$1))*2,2)</f>
        <v>00</v>
      </c>
      <c r="G456" t="str">
        <f>MID('paste from garc here'!$C$1,1+(('table for research'!$B456-1)*36+HEX2DEC('table for research'!G$1))*2,2)</f>
        <v>00</v>
      </c>
      <c r="H456" t="str">
        <f>MID('paste from garc here'!$C$1,1+(('table for research'!$B456-1)*36+HEX2DEC('table for research'!H$1))*2,2)</f>
        <v>00</v>
      </c>
      <c r="I456" t="str">
        <f>MID('paste from garc here'!$C$1,1+(('table for research'!$B456-1)*36+HEX2DEC('table for research'!I$1))*2,2)</f>
        <v>00</v>
      </c>
      <c r="J456" t="str">
        <f>MID('paste from garc here'!$C$1,1+(('table for research'!$B456-1)*36+HEX2DEC('table for research'!J$1))*2,2)</f>
        <v>00</v>
      </c>
      <c r="K456" t="str">
        <f>DEC2HEX(_xlfn.BITAND(HEX2DEC(MID('paste from garc here'!$C$1,1+(('table for research'!$B456-1)*36+HEX2DEC(8))*2,2)),31),2)</f>
        <v>1F</v>
      </c>
      <c r="L456" t="str">
        <f>DEC2HEX(_xlfn.BITAND(HEX2DEC(MID('paste from garc here'!$C$1,1+(('table for research'!$B456-1)*36+HEX2DEC(8))*2,2)),32),2)</f>
        <v>00</v>
      </c>
      <c r="M456" t="str">
        <f>DEC2HEX(_xlfn.BITAND(HEX2DEC(MID('paste from garc here'!$C$1,1+(('table for research'!$B456-1)*36+HEX2DEC(8))*2,2)),64),2)</f>
        <v>00</v>
      </c>
      <c r="N456" t="str">
        <f>DEC2HEX(_xlfn.BITRSHIFT(_xlfn.BITAND(HEX2DEC(MID('paste from garc here'!$C$1,1+(('table for research'!$B456-1)*36+HEX2DEC(9))*2,2)&amp;MID('paste from garc here'!$C$1,1+(('table for research'!$B456-1)*36+HEX2DEC(8))*2,2)),1920),7),2)</f>
        <v>04</v>
      </c>
      <c r="O456" t="str">
        <f>DEC2HEX(_xlfn.BITRSHIFT(HEX2DEC(MID('paste from garc here'!$C$1,1+(('table for research'!$B456-1)*36+HEX2DEC(9))*2,2)&amp;MID('paste from garc here'!$C$1,1+(('table for research'!$B456-1)*36+HEX2DEC(8))*2,2)),11),2)</f>
        <v>00</v>
      </c>
      <c r="P456" t="str">
        <f>MID('paste from garc here'!$C$1,1+(('table for research'!$B456-1)*36+HEX2DEC('table for research'!P$1))*2,2)</f>
        <v>00</v>
      </c>
      <c r="Q456" t="str">
        <f>MID('paste from garc here'!$C$1,1+(('table for research'!$B456-1)*36+HEX2DEC('table for research'!Q$1))*2,2)</f>
        <v>00</v>
      </c>
      <c r="R456" t="str">
        <f>MID('paste from garc here'!$C$1,1+(('table for research'!$B456-1)*36+HEX2DEC('table for research'!R$1))*2,2)</f>
        <v>00</v>
      </c>
      <c r="S456" t="str">
        <f>MID('paste from garc here'!$C$1,1+(('table for research'!$B456-1)*36+HEX2DEC('table for research'!S$1))*2,2)</f>
        <v>08</v>
      </c>
      <c r="T456" t="str">
        <f>MID('paste from garc here'!$C$1,1+(('table for research'!$B456-1)*36+HEX2DEC('table for research'!T$1))*2,2)</f>
        <v>00</v>
      </c>
      <c r="U456" t="str">
        <f>MID('paste from garc here'!$C$1,1+(('table for research'!$B456-1)*36+HEX2DEC('table for research'!U$1))*2,2)</f>
        <v>FF</v>
      </c>
      <c r="V456" t="str">
        <f>MID('paste from garc here'!$C$1,1+(('table for research'!$B456-1)*36+HEX2DEC('table for research'!V$1))*2,2)</f>
        <v>00</v>
      </c>
      <c r="W456" t="str">
        <f>MID('paste from garc here'!$C$1,1+(('table for research'!$B456-1)*36+HEX2DEC('table for research'!W$1))*2,2)</f>
        <v>00</v>
      </c>
      <c r="X456" t="str">
        <f>MID('paste from garc here'!$C$1,1+(('table for research'!$B456-1)*36+HEX2DEC('table for research'!X$1))*2,2)</f>
        <v>00</v>
      </c>
      <c r="Y456" t="str">
        <f>MID('paste from garc here'!$C$1,1+(('table for research'!$B456-1)*36+HEX2DEC('table for research'!Y$1))*2,2)</f>
        <v>00</v>
      </c>
      <c r="Z456" t="str">
        <f>MID('paste from garc here'!$C$1,1+(('table for research'!$B456-1)*36+HEX2DEC('table for research'!Z$1))*2,2)</f>
        <v>00</v>
      </c>
      <c r="AA456" t="str">
        <f>MID('paste from garc here'!$C$1,1+(('table for research'!$B456-1)*36+HEX2DEC('table for research'!AA$1))*2,2)</f>
        <v>00</v>
      </c>
      <c r="AB456" t="str">
        <f>MID('paste from garc here'!$C$1,1+(('table for research'!$B456-1)*36+HEX2DEC('table for research'!AB$1))*2,2)</f>
        <v>00</v>
      </c>
      <c r="AC456" t="str">
        <f>MID('paste from garc here'!$C$1,1+(('table for research'!$B456-1)*36+HEX2DEC('table for research'!AC$1))*2,2)</f>
        <v>00</v>
      </c>
      <c r="AD456" t="str">
        <f>MID('paste from garc here'!$C$1,1+(('table for research'!$B456-1)*36+HEX2DEC('table for research'!AD$1))*2,2)</f>
        <v>00</v>
      </c>
      <c r="AE456" t="str">
        <f>MID('paste from garc here'!$C$1,1+(('table for research'!$B456-1)*36+HEX2DEC('table for research'!AE$1))*2,2)</f>
        <v>00</v>
      </c>
      <c r="AF456" t="str">
        <f>MID('paste from garc here'!$C$1,1+(('table for research'!$B456-1)*36+HEX2DEC('table for research'!AF$1))*2,2)</f>
        <v>00</v>
      </c>
      <c r="AG456" t="str">
        <f>MID('paste from garc here'!$C$1,1+(('table for research'!$B456-1)*36+HEX2DEC('table for research'!AG$1))*2,2)</f>
        <v>00</v>
      </c>
      <c r="AH456" t="str">
        <f>MID('paste from garc here'!$C$1,1+(('table for research'!$B456-1)*36+HEX2DEC('table for research'!AH$1))*2,2)</f>
        <v>00</v>
      </c>
      <c r="AI456" t="str">
        <f>MID('paste from garc here'!$C$1,1+(('table for research'!$B456-1)*36+HEX2DEC('table for research'!AI$1))*2,2)</f>
        <v>00</v>
      </c>
      <c r="AJ456" t="str">
        <f>MID('paste from garc here'!$C$1,1+(('table for research'!$B456-1)*36+HEX2DEC('table for research'!AJ$1))*2,2)</f>
        <v>00</v>
      </c>
      <c r="AK456" t="str">
        <f>MID('paste from garc here'!$C$1,1+(('table for research'!$B456-1)*36+HEX2DEC('table for research'!AK$1))*2,2)</f>
        <v>00</v>
      </c>
      <c r="AL456" t="str">
        <f>MID('paste from garc here'!$C$1,1+(('table for research'!$B456-1)*36+HEX2DEC('table for research'!AL$1))*2,2)</f>
        <v>00</v>
      </c>
      <c r="AM456" t="str">
        <f>MID('paste from garc here'!$C$1,1+(('table for research'!$B456-1)*36+HEX2DEC('table for research'!AM$1))*2,2)</f>
        <v>00</v>
      </c>
      <c r="AN456" t="str">
        <f>MID('paste from garc here'!$C$1,1+(('table for research'!$B456-1)*36+HEX2DEC('table for research'!AN$1))*2,2)</f>
        <v>00</v>
      </c>
      <c r="AO456" t="str">
        <f>MID('paste from garc here'!$C$1,1+(('table for research'!$B456-1)*36+HEX2DEC('table for research'!AO$1))*2,2)</f>
        <v>00</v>
      </c>
    </row>
    <row r="457" spans="1:41" x14ac:dyDescent="0.4">
      <c r="A457" t="s">
        <v>459</v>
      </c>
      <c r="B457">
        <f>B456+1</f>
        <v>455</v>
      </c>
      <c r="C457" t="str">
        <f>MID('paste from garc here'!$C$1,1+(('table for research'!$B457-1)*36+HEX2DEC('table for research'!C$1))*2,2)</f>
        <v>00</v>
      </c>
      <c r="D457" t="str">
        <f>MID('paste from garc here'!$C$1,1+(('table for research'!$B457-1)*36+HEX2DEC('table for research'!D$1))*2,2)</f>
        <v>00</v>
      </c>
      <c r="E457" t="str">
        <f>MID('paste from garc here'!$C$1,1+(('table for research'!$B457-1)*36+HEX2DEC('table for research'!E$1))*2,2)</f>
        <v>00</v>
      </c>
      <c r="F457" t="str">
        <f>MID('paste from garc here'!$C$1,1+(('table for research'!$B457-1)*36+HEX2DEC('table for research'!F$1))*2,2)</f>
        <v>00</v>
      </c>
      <c r="G457" t="str">
        <f>MID('paste from garc here'!$C$1,1+(('table for research'!$B457-1)*36+HEX2DEC('table for research'!G$1))*2,2)</f>
        <v>00</v>
      </c>
      <c r="H457" t="str">
        <f>MID('paste from garc here'!$C$1,1+(('table for research'!$B457-1)*36+HEX2DEC('table for research'!H$1))*2,2)</f>
        <v>00</v>
      </c>
      <c r="I457" t="str">
        <f>MID('paste from garc here'!$C$1,1+(('table for research'!$B457-1)*36+HEX2DEC('table for research'!I$1))*2,2)</f>
        <v>00</v>
      </c>
      <c r="J457" t="str">
        <f>MID('paste from garc here'!$C$1,1+(('table for research'!$B457-1)*36+HEX2DEC('table for research'!J$1))*2,2)</f>
        <v>00</v>
      </c>
      <c r="K457" t="str">
        <f>DEC2HEX(_xlfn.BITAND(HEX2DEC(MID('paste from garc here'!$C$1,1+(('table for research'!$B457-1)*36+HEX2DEC(8))*2,2)),31),2)</f>
        <v>1F</v>
      </c>
      <c r="L457" t="str">
        <f>DEC2HEX(_xlfn.BITAND(HEX2DEC(MID('paste from garc here'!$C$1,1+(('table for research'!$B457-1)*36+HEX2DEC(8))*2,2)),32),2)</f>
        <v>00</v>
      </c>
      <c r="M457" t="str">
        <f>DEC2HEX(_xlfn.BITAND(HEX2DEC(MID('paste from garc here'!$C$1,1+(('table for research'!$B457-1)*36+HEX2DEC(8))*2,2)),64),2)</f>
        <v>00</v>
      </c>
      <c r="N457" t="str">
        <f>DEC2HEX(_xlfn.BITRSHIFT(_xlfn.BITAND(HEX2DEC(MID('paste from garc here'!$C$1,1+(('table for research'!$B457-1)*36+HEX2DEC(9))*2,2)&amp;MID('paste from garc here'!$C$1,1+(('table for research'!$B457-1)*36+HEX2DEC(8))*2,2)),1920),7),2)</f>
        <v>04</v>
      </c>
      <c r="O457" t="str">
        <f>DEC2HEX(_xlfn.BITRSHIFT(HEX2DEC(MID('paste from garc here'!$C$1,1+(('table for research'!$B457-1)*36+HEX2DEC(9))*2,2)&amp;MID('paste from garc here'!$C$1,1+(('table for research'!$B457-1)*36+HEX2DEC(8))*2,2)),11),2)</f>
        <v>00</v>
      </c>
      <c r="P457" t="str">
        <f>MID('paste from garc here'!$C$1,1+(('table for research'!$B457-1)*36+HEX2DEC('table for research'!P$1))*2,2)</f>
        <v>00</v>
      </c>
      <c r="Q457" t="str">
        <f>MID('paste from garc here'!$C$1,1+(('table for research'!$B457-1)*36+HEX2DEC('table for research'!Q$1))*2,2)</f>
        <v>00</v>
      </c>
      <c r="R457" t="str">
        <f>MID('paste from garc here'!$C$1,1+(('table for research'!$B457-1)*36+HEX2DEC('table for research'!R$1))*2,2)</f>
        <v>00</v>
      </c>
      <c r="S457" t="str">
        <f>MID('paste from garc here'!$C$1,1+(('table for research'!$B457-1)*36+HEX2DEC('table for research'!S$1))*2,2)</f>
        <v>08</v>
      </c>
      <c r="T457" t="str">
        <f>MID('paste from garc here'!$C$1,1+(('table for research'!$B457-1)*36+HEX2DEC('table for research'!T$1))*2,2)</f>
        <v>00</v>
      </c>
      <c r="U457" t="str">
        <f>MID('paste from garc here'!$C$1,1+(('table for research'!$B457-1)*36+HEX2DEC('table for research'!U$1))*2,2)</f>
        <v>FF</v>
      </c>
      <c r="V457" t="str">
        <f>MID('paste from garc here'!$C$1,1+(('table for research'!$B457-1)*36+HEX2DEC('table for research'!V$1))*2,2)</f>
        <v>00</v>
      </c>
      <c r="W457" t="str">
        <f>MID('paste from garc here'!$C$1,1+(('table for research'!$B457-1)*36+HEX2DEC('table for research'!W$1))*2,2)</f>
        <v>00</v>
      </c>
      <c r="X457" t="str">
        <f>MID('paste from garc here'!$C$1,1+(('table for research'!$B457-1)*36+HEX2DEC('table for research'!X$1))*2,2)</f>
        <v>00</v>
      </c>
      <c r="Y457" t="str">
        <f>MID('paste from garc here'!$C$1,1+(('table for research'!$B457-1)*36+HEX2DEC('table for research'!Y$1))*2,2)</f>
        <v>00</v>
      </c>
      <c r="Z457" t="str">
        <f>MID('paste from garc here'!$C$1,1+(('table for research'!$B457-1)*36+HEX2DEC('table for research'!Z$1))*2,2)</f>
        <v>00</v>
      </c>
      <c r="AA457" t="str">
        <f>MID('paste from garc here'!$C$1,1+(('table for research'!$B457-1)*36+HEX2DEC('table for research'!AA$1))*2,2)</f>
        <v>00</v>
      </c>
      <c r="AB457" t="str">
        <f>MID('paste from garc here'!$C$1,1+(('table for research'!$B457-1)*36+HEX2DEC('table for research'!AB$1))*2,2)</f>
        <v>00</v>
      </c>
      <c r="AC457" t="str">
        <f>MID('paste from garc here'!$C$1,1+(('table for research'!$B457-1)*36+HEX2DEC('table for research'!AC$1))*2,2)</f>
        <v>00</v>
      </c>
      <c r="AD457" t="str">
        <f>MID('paste from garc here'!$C$1,1+(('table for research'!$B457-1)*36+HEX2DEC('table for research'!AD$1))*2,2)</f>
        <v>00</v>
      </c>
      <c r="AE457" t="str">
        <f>MID('paste from garc here'!$C$1,1+(('table for research'!$B457-1)*36+HEX2DEC('table for research'!AE$1))*2,2)</f>
        <v>00</v>
      </c>
      <c r="AF457" t="str">
        <f>MID('paste from garc here'!$C$1,1+(('table for research'!$B457-1)*36+HEX2DEC('table for research'!AF$1))*2,2)</f>
        <v>00</v>
      </c>
      <c r="AG457" t="str">
        <f>MID('paste from garc here'!$C$1,1+(('table for research'!$B457-1)*36+HEX2DEC('table for research'!AG$1))*2,2)</f>
        <v>00</v>
      </c>
      <c r="AH457" t="str">
        <f>MID('paste from garc here'!$C$1,1+(('table for research'!$B457-1)*36+HEX2DEC('table for research'!AH$1))*2,2)</f>
        <v>00</v>
      </c>
      <c r="AI457" t="str">
        <f>MID('paste from garc here'!$C$1,1+(('table for research'!$B457-1)*36+HEX2DEC('table for research'!AI$1))*2,2)</f>
        <v>00</v>
      </c>
      <c r="AJ457" t="str">
        <f>MID('paste from garc here'!$C$1,1+(('table for research'!$B457-1)*36+HEX2DEC('table for research'!AJ$1))*2,2)</f>
        <v>00</v>
      </c>
      <c r="AK457" t="str">
        <f>MID('paste from garc here'!$C$1,1+(('table for research'!$B457-1)*36+HEX2DEC('table for research'!AK$1))*2,2)</f>
        <v>00</v>
      </c>
      <c r="AL457" t="str">
        <f>MID('paste from garc here'!$C$1,1+(('table for research'!$B457-1)*36+HEX2DEC('table for research'!AL$1))*2,2)</f>
        <v>00</v>
      </c>
      <c r="AM457" t="str">
        <f>MID('paste from garc here'!$C$1,1+(('table for research'!$B457-1)*36+HEX2DEC('table for research'!AM$1))*2,2)</f>
        <v>00</v>
      </c>
      <c r="AN457" t="str">
        <f>MID('paste from garc here'!$C$1,1+(('table for research'!$B457-1)*36+HEX2DEC('table for research'!AN$1))*2,2)</f>
        <v>00</v>
      </c>
      <c r="AO457" t="str">
        <f>MID('paste from garc here'!$C$1,1+(('table for research'!$B457-1)*36+HEX2DEC('table for research'!AO$1))*2,2)</f>
        <v>00</v>
      </c>
    </row>
    <row r="458" spans="1:41" x14ac:dyDescent="0.4">
      <c r="A458" t="s">
        <v>460</v>
      </c>
      <c r="B458">
        <f>B457+1</f>
        <v>456</v>
      </c>
      <c r="C458" t="str">
        <f>MID('paste from garc here'!$C$2,1+(('table for research'!$B458-456)*36+HEX2DEC('table for research'!C$1))*2,2)</f>
        <v>00</v>
      </c>
      <c r="D458" t="str">
        <f>MID('paste from garc here'!$C$2,1+(('table for research'!$B458-456)*36+HEX2DEC('table for research'!D$1))*2,2)</f>
        <v>00</v>
      </c>
      <c r="E458" t="str">
        <f>MID('paste from garc here'!$C$2,1+(('table for research'!$B458-456)*36+HEX2DEC('table for research'!E$1))*2,2)</f>
        <v>00</v>
      </c>
      <c r="F458" t="str">
        <f>MID('paste from garc here'!$C$2,1+(('table for research'!$B458-456)*36+HEX2DEC('table for research'!F$1))*2,2)</f>
        <v>00</v>
      </c>
      <c r="G458" t="str">
        <f>MID('paste from garc here'!$C$2,1+(('table for research'!$B458-456)*36+HEX2DEC('table for research'!G$1))*2,2)</f>
        <v>00</v>
      </c>
      <c r="H458" t="str">
        <f>MID('paste from garc here'!$C$2,1+(('table for research'!$B458-456)*36+HEX2DEC('table for research'!H$1))*2,2)</f>
        <v>00</v>
      </c>
      <c r="I458" t="str">
        <f>MID('paste from garc here'!$C$2,1+(('table for research'!$B458-456)*36+HEX2DEC('table for research'!I$1))*2,2)</f>
        <v>00</v>
      </c>
      <c r="J458" t="str">
        <f>MID('paste from garc here'!$C$2,1+(('table for research'!$B458-456)*36+HEX2DEC('table for research'!J$1))*2,2)</f>
        <v>00</v>
      </c>
      <c r="K458" t="str">
        <f>DEC2HEX(_xlfn.BITAND(HEX2DEC(MID('paste from garc here'!$C$1,1+(('table for research'!$B458-1)*36+HEX2DEC(8))*2,2)),31),2)</f>
        <v>00</v>
      </c>
      <c r="L458" t="str">
        <f>DEC2HEX(_xlfn.BITAND(HEX2DEC(MID('paste from garc here'!$C$1,1+(('table for research'!$B458-1)*36+HEX2DEC(8))*2,2)),32),2)</f>
        <v>00</v>
      </c>
      <c r="M458" t="str">
        <f>DEC2HEX(_xlfn.BITAND(HEX2DEC(MID('paste from garc here'!$C$1,1+(('table for research'!$B458-1)*36+HEX2DEC(8))*2,2)),64),2)</f>
        <v>00</v>
      </c>
      <c r="N458" t="str">
        <f>DEC2HEX(_xlfn.BITRSHIFT(_xlfn.BITAND(HEX2DEC(MID('paste from garc here'!$C$1,1+(('table for research'!$B458-1)*36+HEX2DEC(9))*2,2)&amp;MID('paste from garc here'!$C$1,1+(('table for research'!$B458-1)*36+HEX2DEC(8))*2,2)),1920),7),2)</f>
        <v>00</v>
      </c>
      <c r="O458" t="str">
        <f>DEC2HEX(_xlfn.BITRSHIFT(HEX2DEC(MID('paste from garc here'!$C$1,1+(('table for research'!$B458-1)*36+HEX2DEC(9))*2,2)&amp;MID('paste from garc here'!$C$1,1+(('table for research'!$B458-1)*36+HEX2DEC(8))*2,2)),11),2)</f>
        <v>00</v>
      </c>
      <c r="P458" t="str">
        <f>MID('paste from garc here'!$C$2,1+(('table for research'!$B458-456)*36+HEX2DEC('table for research'!P$1))*2,2)</f>
        <v>00</v>
      </c>
      <c r="Q458" t="str">
        <f>MID('paste from garc here'!$C$2,1+(('table for research'!$B458-456)*36+HEX2DEC('table for research'!Q$1))*2,2)</f>
        <v>00</v>
      </c>
      <c r="R458" t="str">
        <f>MID('paste from garc here'!$C$2,1+(('table for research'!$B458-456)*36+HEX2DEC('table for research'!R$1))*2,2)</f>
        <v>00</v>
      </c>
      <c r="S458" t="str">
        <f>MID('paste from garc here'!$C$2,1+(('table for research'!$B458-456)*36+HEX2DEC('table for research'!S$1))*2,2)</f>
        <v>08</v>
      </c>
      <c r="T458" t="str">
        <f>MID('paste from garc here'!$C$2,1+(('table for research'!$B458-456)*36+HEX2DEC('table for research'!T$1))*2,2)</f>
        <v>00</v>
      </c>
      <c r="U458" t="str">
        <f>MID('paste from garc here'!$C$2,1+(('table for research'!$B458-456)*36+HEX2DEC('table for research'!U$1))*2,2)</f>
        <v>FF</v>
      </c>
      <c r="V458" t="str">
        <f>MID('paste from garc here'!$C$2,1+(('table for research'!$B458-456)*36+HEX2DEC('table for research'!V$1))*2,2)</f>
        <v>00</v>
      </c>
      <c r="W458" t="str">
        <f>MID('paste from garc here'!$C$2,1+(('table for research'!$B458-456)*36+HEX2DEC('table for research'!W$1))*2,2)</f>
        <v>00</v>
      </c>
      <c r="X458" t="str">
        <f>MID('paste from garc here'!$C$2,1+(('table for research'!$B458-456)*36+HEX2DEC('table for research'!X$1))*2,2)</f>
        <v>00</v>
      </c>
      <c r="Y458" t="str">
        <f>MID('paste from garc here'!$C$2,1+(('table for research'!$B458-456)*36+HEX2DEC('table for research'!Y$1))*2,2)</f>
        <v>00</v>
      </c>
      <c r="Z458" t="str">
        <f>MID('paste from garc here'!$C$2,1+(('table for research'!$B458-456)*36+HEX2DEC('table for research'!Z$1))*2,2)</f>
        <v>00</v>
      </c>
      <c r="AA458" t="str">
        <f>MID('paste from garc here'!$C$2,1+(('table for research'!$B458-456)*36+HEX2DEC('table for research'!AA$1))*2,2)</f>
        <v>00</v>
      </c>
      <c r="AB458" t="str">
        <f>MID('paste from garc here'!$C$2,1+(('table for research'!$B458-456)*36+HEX2DEC('table for research'!AB$1))*2,2)</f>
        <v>00</v>
      </c>
      <c r="AC458" t="str">
        <f>MID('paste from garc here'!$C$2,1+(('table for research'!$B458-456)*36+HEX2DEC('table for research'!AC$1))*2,2)</f>
        <v>00</v>
      </c>
      <c r="AD458" t="str">
        <f>MID('paste from garc here'!$C$2,1+(('table for research'!$B458-456)*36+HEX2DEC('table for research'!AD$1))*2,2)</f>
        <v>00</v>
      </c>
      <c r="AE458" t="str">
        <f>MID('paste from garc here'!$C$2,1+(('table for research'!$B458-456)*36+HEX2DEC('table for research'!AE$1))*2,2)</f>
        <v>00</v>
      </c>
      <c r="AF458" t="str">
        <f>MID('paste from garc here'!$C$2,1+(('table for research'!$B458-456)*36+HEX2DEC('table for research'!AF$1))*2,2)</f>
        <v>00</v>
      </c>
      <c r="AG458" t="str">
        <f>MID('paste from garc here'!$C$2,1+(('table for research'!$B458-456)*36+HEX2DEC('table for research'!AG$1))*2,2)</f>
        <v>00</v>
      </c>
      <c r="AH458" t="str">
        <f>MID('paste from garc here'!$C$2,1+(('table for research'!$B458-456)*36+HEX2DEC('table for research'!AH$1))*2,2)</f>
        <v>00</v>
      </c>
      <c r="AI458" t="str">
        <f>MID('paste from garc here'!$C$2,1+(('table for research'!$B458-456)*36+HEX2DEC('table for research'!AI$1))*2,2)</f>
        <v>00</v>
      </c>
      <c r="AJ458" t="str">
        <f>MID('paste from garc here'!$C$2,1+(('table for research'!$B458-456)*36+HEX2DEC('table for research'!AJ$1))*2,2)</f>
        <v>00</v>
      </c>
      <c r="AK458" t="str">
        <f>MID('paste from garc here'!$C$2,1+(('table for research'!$B458-456)*36+HEX2DEC('table for research'!AK$1))*2,2)</f>
        <v>00</v>
      </c>
      <c r="AL458" t="str">
        <f>MID('paste from garc here'!$C$2,1+(('table for research'!$B458-456)*36+HEX2DEC('table for research'!AL$1))*2,2)</f>
        <v>00</v>
      </c>
      <c r="AM458" t="str">
        <f>MID('paste from garc here'!$C$2,1+(('table for research'!$B458-456)*36+HEX2DEC('table for research'!AM$1))*2,2)</f>
        <v>00</v>
      </c>
      <c r="AN458" t="str">
        <f>MID('paste from garc here'!$C$2,1+(('table for research'!$B458-456)*36+HEX2DEC('table for research'!AN$1))*2,2)</f>
        <v>00</v>
      </c>
      <c r="AO458" t="str">
        <f>MID('paste from garc here'!$C$2,1+(('table for research'!$B458-456)*36+HEX2DEC('table for research'!AO$1))*2,2)</f>
        <v>00</v>
      </c>
    </row>
    <row r="459" spans="1:41" x14ac:dyDescent="0.4">
      <c r="A459" t="s">
        <v>461</v>
      </c>
      <c r="B459">
        <f>B458+1</f>
        <v>457</v>
      </c>
      <c r="C459" t="str">
        <f>MID('paste from garc here'!$C$2,1+(('table for research'!$B459-456)*36+HEX2DEC('table for research'!C$1))*2,2)</f>
        <v>00</v>
      </c>
      <c r="D459" t="str">
        <f>MID('paste from garc here'!$C$2,1+(('table for research'!$B459-456)*36+HEX2DEC('table for research'!D$1))*2,2)</f>
        <v>00</v>
      </c>
      <c r="E459" t="str">
        <f>MID('paste from garc here'!$C$2,1+(('table for research'!$B459-456)*36+HEX2DEC('table for research'!E$1))*2,2)</f>
        <v>00</v>
      </c>
      <c r="F459" t="str">
        <f>MID('paste from garc here'!$C$2,1+(('table for research'!$B459-456)*36+HEX2DEC('table for research'!F$1))*2,2)</f>
        <v>00</v>
      </c>
      <c r="G459" t="str">
        <f>MID('paste from garc here'!$C$2,1+(('table for research'!$B459-456)*36+HEX2DEC('table for research'!G$1))*2,2)</f>
        <v>00</v>
      </c>
      <c r="H459" t="str">
        <f>MID('paste from garc here'!$C$2,1+(('table for research'!$B459-456)*36+HEX2DEC('table for research'!H$1))*2,2)</f>
        <v>00</v>
      </c>
      <c r="I459" t="str">
        <f>MID('paste from garc here'!$C$2,1+(('table for research'!$B459-456)*36+HEX2DEC('table for research'!I$1))*2,2)</f>
        <v>00</v>
      </c>
      <c r="J459" t="str">
        <f>MID('paste from garc here'!$C$2,1+(('table for research'!$B459-456)*36+HEX2DEC('table for research'!J$1))*2,2)</f>
        <v>00</v>
      </c>
      <c r="K459" t="str">
        <f>DEC2HEX(_xlfn.BITAND(HEX2DEC(MID('paste from garc here'!$C$1,1+(('table for research'!$B459-1)*36+HEX2DEC(8))*2,2)),31),2)</f>
        <v>00</v>
      </c>
      <c r="L459" t="str">
        <f>DEC2HEX(_xlfn.BITAND(HEX2DEC(MID('paste from garc here'!$C$1,1+(('table for research'!$B459-1)*36+HEX2DEC(8))*2,2)),32),2)</f>
        <v>00</v>
      </c>
      <c r="M459" t="str">
        <f>DEC2HEX(_xlfn.BITAND(HEX2DEC(MID('paste from garc here'!$C$1,1+(('table for research'!$B459-1)*36+HEX2DEC(8))*2,2)),64),2)</f>
        <v>00</v>
      </c>
      <c r="N459" t="str">
        <f>DEC2HEX(_xlfn.BITRSHIFT(_xlfn.BITAND(HEX2DEC(MID('paste from garc here'!$C$1,1+(('table for research'!$B459-1)*36+HEX2DEC(9))*2,2)&amp;MID('paste from garc here'!$C$1,1+(('table for research'!$B459-1)*36+HEX2DEC(8))*2,2)),1920),7),2)</f>
        <v>00</v>
      </c>
      <c r="O459" t="str">
        <f>DEC2HEX(_xlfn.BITRSHIFT(HEX2DEC(MID('paste from garc here'!$C$1,1+(('table for research'!$B459-1)*36+HEX2DEC(9))*2,2)&amp;MID('paste from garc here'!$C$1,1+(('table for research'!$B459-1)*36+HEX2DEC(8))*2,2)),11),2)</f>
        <v>00</v>
      </c>
      <c r="P459" t="str">
        <f>MID('paste from garc here'!$C$2,1+(('table for research'!$B459-456)*36+HEX2DEC('table for research'!P$1))*2,2)</f>
        <v>00</v>
      </c>
      <c r="Q459" t="str">
        <f>MID('paste from garc here'!$C$2,1+(('table for research'!$B459-456)*36+HEX2DEC('table for research'!Q$1))*2,2)</f>
        <v>00</v>
      </c>
      <c r="R459" t="str">
        <f>MID('paste from garc here'!$C$2,1+(('table for research'!$B459-456)*36+HEX2DEC('table for research'!R$1))*2,2)</f>
        <v>00</v>
      </c>
      <c r="S459" t="str">
        <f>MID('paste from garc here'!$C$2,1+(('table for research'!$B459-456)*36+HEX2DEC('table for research'!S$1))*2,2)</f>
        <v>08</v>
      </c>
      <c r="T459" t="str">
        <f>MID('paste from garc here'!$C$2,1+(('table for research'!$B459-456)*36+HEX2DEC('table for research'!T$1))*2,2)</f>
        <v>00</v>
      </c>
      <c r="U459" t="str">
        <f>MID('paste from garc here'!$C$2,1+(('table for research'!$B459-456)*36+HEX2DEC('table for research'!U$1))*2,2)</f>
        <v>FF</v>
      </c>
      <c r="V459" t="str">
        <f>MID('paste from garc here'!$C$2,1+(('table for research'!$B459-456)*36+HEX2DEC('table for research'!V$1))*2,2)</f>
        <v>00</v>
      </c>
      <c r="W459" t="str">
        <f>MID('paste from garc here'!$C$2,1+(('table for research'!$B459-456)*36+HEX2DEC('table for research'!W$1))*2,2)</f>
        <v>00</v>
      </c>
      <c r="X459" t="str">
        <f>MID('paste from garc here'!$C$2,1+(('table for research'!$B459-456)*36+HEX2DEC('table for research'!X$1))*2,2)</f>
        <v>00</v>
      </c>
      <c r="Y459" t="str">
        <f>MID('paste from garc here'!$C$2,1+(('table for research'!$B459-456)*36+HEX2DEC('table for research'!Y$1))*2,2)</f>
        <v>00</v>
      </c>
      <c r="Z459" t="str">
        <f>MID('paste from garc here'!$C$2,1+(('table for research'!$B459-456)*36+HEX2DEC('table for research'!Z$1))*2,2)</f>
        <v>00</v>
      </c>
      <c r="AA459" t="str">
        <f>MID('paste from garc here'!$C$2,1+(('table for research'!$B459-456)*36+HEX2DEC('table for research'!AA$1))*2,2)</f>
        <v>00</v>
      </c>
      <c r="AB459" t="str">
        <f>MID('paste from garc here'!$C$2,1+(('table for research'!$B459-456)*36+HEX2DEC('table for research'!AB$1))*2,2)</f>
        <v>00</v>
      </c>
      <c r="AC459" t="str">
        <f>MID('paste from garc here'!$C$2,1+(('table for research'!$B459-456)*36+HEX2DEC('table for research'!AC$1))*2,2)</f>
        <v>00</v>
      </c>
      <c r="AD459" t="str">
        <f>MID('paste from garc here'!$C$2,1+(('table for research'!$B459-456)*36+HEX2DEC('table for research'!AD$1))*2,2)</f>
        <v>00</v>
      </c>
      <c r="AE459" t="str">
        <f>MID('paste from garc here'!$C$2,1+(('table for research'!$B459-456)*36+HEX2DEC('table for research'!AE$1))*2,2)</f>
        <v>00</v>
      </c>
      <c r="AF459" t="str">
        <f>MID('paste from garc here'!$C$2,1+(('table for research'!$B459-456)*36+HEX2DEC('table for research'!AF$1))*2,2)</f>
        <v>00</v>
      </c>
      <c r="AG459" t="str">
        <f>MID('paste from garc here'!$C$2,1+(('table for research'!$B459-456)*36+HEX2DEC('table for research'!AG$1))*2,2)</f>
        <v>00</v>
      </c>
      <c r="AH459" t="str">
        <f>MID('paste from garc here'!$C$2,1+(('table for research'!$B459-456)*36+HEX2DEC('table for research'!AH$1))*2,2)</f>
        <v>00</v>
      </c>
      <c r="AI459" t="str">
        <f>MID('paste from garc here'!$C$2,1+(('table for research'!$B459-456)*36+HEX2DEC('table for research'!AI$1))*2,2)</f>
        <v>00</v>
      </c>
      <c r="AJ459" t="str">
        <f>MID('paste from garc here'!$C$2,1+(('table for research'!$B459-456)*36+HEX2DEC('table for research'!AJ$1))*2,2)</f>
        <v>00</v>
      </c>
      <c r="AK459" t="str">
        <f>MID('paste from garc here'!$C$2,1+(('table for research'!$B459-456)*36+HEX2DEC('table for research'!AK$1))*2,2)</f>
        <v>00</v>
      </c>
      <c r="AL459" t="str">
        <f>MID('paste from garc here'!$C$2,1+(('table for research'!$B459-456)*36+HEX2DEC('table for research'!AL$1))*2,2)</f>
        <v>00</v>
      </c>
      <c r="AM459" t="str">
        <f>MID('paste from garc here'!$C$2,1+(('table for research'!$B459-456)*36+HEX2DEC('table for research'!AM$1))*2,2)</f>
        <v>00</v>
      </c>
      <c r="AN459" t="str">
        <f>MID('paste from garc here'!$C$2,1+(('table for research'!$B459-456)*36+HEX2DEC('table for research'!AN$1))*2,2)</f>
        <v>00</v>
      </c>
      <c r="AO459" t="str">
        <f>MID('paste from garc here'!$C$2,1+(('table for research'!$B459-456)*36+HEX2DEC('table for research'!AO$1))*2,2)</f>
        <v>00</v>
      </c>
    </row>
    <row r="460" spans="1:41" x14ac:dyDescent="0.4">
      <c r="A460" t="s">
        <v>462</v>
      </c>
      <c r="B460">
        <f>B459+1</f>
        <v>458</v>
      </c>
      <c r="C460" t="str">
        <f>MID('paste from garc here'!$C$2,1+(('table for research'!$B460-456)*36+HEX2DEC('table for research'!C$1))*2,2)</f>
        <v>00</v>
      </c>
      <c r="D460" t="str">
        <f>MID('paste from garc here'!$C$2,1+(('table for research'!$B460-456)*36+HEX2DEC('table for research'!D$1))*2,2)</f>
        <v>00</v>
      </c>
      <c r="E460" t="str">
        <f>MID('paste from garc here'!$C$2,1+(('table for research'!$B460-456)*36+HEX2DEC('table for research'!E$1))*2,2)</f>
        <v>00</v>
      </c>
      <c r="F460" t="str">
        <f>MID('paste from garc here'!$C$2,1+(('table for research'!$B460-456)*36+HEX2DEC('table for research'!F$1))*2,2)</f>
        <v>00</v>
      </c>
      <c r="G460" t="str">
        <f>MID('paste from garc here'!$C$2,1+(('table for research'!$B460-456)*36+HEX2DEC('table for research'!G$1))*2,2)</f>
        <v>00</v>
      </c>
      <c r="H460" t="str">
        <f>MID('paste from garc here'!$C$2,1+(('table for research'!$B460-456)*36+HEX2DEC('table for research'!H$1))*2,2)</f>
        <v>00</v>
      </c>
      <c r="I460" t="str">
        <f>MID('paste from garc here'!$C$2,1+(('table for research'!$B460-456)*36+HEX2DEC('table for research'!I$1))*2,2)</f>
        <v>00</v>
      </c>
      <c r="J460" t="str">
        <f>MID('paste from garc here'!$C$2,1+(('table for research'!$B460-456)*36+HEX2DEC('table for research'!J$1))*2,2)</f>
        <v>00</v>
      </c>
      <c r="K460" t="str">
        <f>DEC2HEX(_xlfn.BITAND(HEX2DEC(MID('paste from garc here'!$C$1,1+(('table for research'!$B460-1)*36+HEX2DEC(8))*2,2)),31),2)</f>
        <v>00</v>
      </c>
      <c r="L460" t="str">
        <f>DEC2HEX(_xlfn.BITAND(HEX2DEC(MID('paste from garc here'!$C$1,1+(('table for research'!$B460-1)*36+HEX2DEC(8))*2,2)),32),2)</f>
        <v>00</v>
      </c>
      <c r="M460" t="str">
        <f>DEC2HEX(_xlfn.BITAND(HEX2DEC(MID('paste from garc here'!$C$1,1+(('table for research'!$B460-1)*36+HEX2DEC(8))*2,2)),64),2)</f>
        <v>00</v>
      </c>
      <c r="N460" t="str">
        <f>DEC2HEX(_xlfn.BITRSHIFT(_xlfn.BITAND(HEX2DEC(MID('paste from garc here'!$C$1,1+(('table for research'!$B460-1)*36+HEX2DEC(9))*2,2)&amp;MID('paste from garc here'!$C$1,1+(('table for research'!$B460-1)*36+HEX2DEC(8))*2,2)),1920),7),2)</f>
        <v>00</v>
      </c>
      <c r="O460" t="str">
        <f>DEC2HEX(_xlfn.BITRSHIFT(HEX2DEC(MID('paste from garc here'!$C$1,1+(('table for research'!$B460-1)*36+HEX2DEC(9))*2,2)&amp;MID('paste from garc here'!$C$1,1+(('table for research'!$B460-1)*36+HEX2DEC(8))*2,2)),11),2)</f>
        <v>00</v>
      </c>
      <c r="P460" t="str">
        <f>MID('paste from garc here'!$C$2,1+(('table for research'!$B460-456)*36+HEX2DEC('table for research'!P$1))*2,2)</f>
        <v>00</v>
      </c>
      <c r="Q460" t="str">
        <f>MID('paste from garc here'!$C$2,1+(('table for research'!$B460-456)*36+HEX2DEC('table for research'!Q$1))*2,2)</f>
        <v>00</v>
      </c>
      <c r="R460" t="str">
        <f>MID('paste from garc here'!$C$2,1+(('table for research'!$B460-456)*36+HEX2DEC('table for research'!R$1))*2,2)</f>
        <v>00</v>
      </c>
      <c r="S460" t="str">
        <f>MID('paste from garc here'!$C$2,1+(('table for research'!$B460-456)*36+HEX2DEC('table for research'!S$1))*2,2)</f>
        <v>08</v>
      </c>
      <c r="T460" t="str">
        <f>MID('paste from garc here'!$C$2,1+(('table for research'!$B460-456)*36+HEX2DEC('table for research'!T$1))*2,2)</f>
        <v>00</v>
      </c>
      <c r="U460" t="str">
        <f>MID('paste from garc here'!$C$2,1+(('table for research'!$B460-456)*36+HEX2DEC('table for research'!U$1))*2,2)</f>
        <v>FF</v>
      </c>
      <c r="V460" t="str">
        <f>MID('paste from garc here'!$C$2,1+(('table for research'!$B460-456)*36+HEX2DEC('table for research'!V$1))*2,2)</f>
        <v>00</v>
      </c>
      <c r="W460" t="str">
        <f>MID('paste from garc here'!$C$2,1+(('table for research'!$B460-456)*36+HEX2DEC('table for research'!W$1))*2,2)</f>
        <v>00</v>
      </c>
      <c r="X460" t="str">
        <f>MID('paste from garc here'!$C$2,1+(('table for research'!$B460-456)*36+HEX2DEC('table for research'!X$1))*2,2)</f>
        <v>00</v>
      </c>
      <c r="Y460" t="str">
        <f>MID('paste from garc here'!$C$2,1+(('table for research'!$B460-456)*36+HEX2DEC('table for research'!Y$1))*2,2)</f>
        <v>00</v>
      </c>
      <c r="Z460" t="str">
        <f>MID('paste from garc here'!$C$2,1+(('table for research'!$B460-456)*36+HEX2DEC('table for research'!Z$1))*2,2)</f>
        <v>00</v>
      </c>
      <c r="AA460" t="str">
        <f>MID('paste from garc here'!$C$2,1+(('table for research'!$B460-456)*36+HEX2DEC('table for research'!AA$1))*2,2)</f>
        <v>00</v>
      </c>
      <c r="AB460" t="str">
        <f>MID('paste from garc here'!$C$2,1+(('table for research'!$B460-456)*36+HEX2DEC('table for research'!AB$1))*2,2)</f>
        <v>00</v>
      </c>
      <c r="AC460" t="str">
        <f>MID('paste from garc here'!$C$2,1+(('table for research'!$B460-456)*36+HEX2DEC('table for research'!AC$1))*2,2)</f>
        <v>00</v>
      </c>
      <c r="AD460" t="str">
        <f>MID('paste from garc here'!$C$2,1+(('table for research'!$B460-456)*36+HEX2DEC('table for research'!AD$1))*2,2)</f>
        <v>00</v>
      </c>
      <c r="AE460" t="str">
        <f>MID('paste from garc here'!$C$2,1+(('table for research'!$B460-456)*36+HEX2DEC('table for research'!AE$1))*2,2)</f>
        <v>00</v>
      </c>
      <c r="AF460" t="str">
        <f>MID('paste from garc here'!$C$2,1+(('table for research'!$B460-456)*36+HEX2DEC('table for research'!AF$1))*2,2)</f>
        <v>00</v>
      </c>
      <c r="AG460" t="str">
        <f>MID('paste from garc here'!$C$2,1+(('table for research'!$B460-456)*36+HEX2DEC('table for research'!AG$1))*2,2)</f>
        <v>00</v>
      </c>
      <c r="AH460" t="str">
        <f>MID('paste from garc here'!$C$2,1+(('table for research'!$B460-456)*36+HEX2DEC('table for research'!AH$1))*2,2)</f>
        <v>00</v>
      </c>
      <c r="AI460" t="str">
        <f>MID('paste from garc here'!$C$2,1+(('table for research'!$B460-456)*36+HEX2DEC('table for research'!AI$1))*2,2)</f>
        <v>00</v>
      </c>
      <c r="AJ460" t="str">
        <f>MID('paste from garc here'!$C$2,1+(('table for research'!$B460-456)*36+HEX2DEC('table for research'!AJ$1))*2,2)</f>
        <v>00</v>
      </c>
      <c r="AK460" t="str">
        <f>MID('paste from garc here'!$C$2,1+(('table for research'!$B460-456)*36+HEX2DEC('table for research'!AK$1))*2,2)</f>
        <v>00</v>
      </c>
      <c r="AL460" t="str">
        <f>MID('paste from garc here'!$C$2,1+(('table for research'!$B460-456)*36+HEX2DEC('table for research'!AL$1))*2,2)</f>
        <v>00</v>
      </c>
      <c r="AM460" t="str">
        <f>MID('paste from garc here'!$C$2,1+(('table for research'!$B460-456)*36+HEX2DEC('table for research'!AM$1))*2,2)</f>
        <v>00</v>
      </c>
      <c r="AN460" t="str">
        <f>MID('paste from garc here'!$C$2,1+(('table for research'!$B460-456)*36+HEX2DEC('table for research'!AN$1))*2,2)</f>
        <v>00</v>
      </c>
      <c r="AO460" t="str">
        <f>MID('paste from garc here'!$C$2,1+(('table for research'!$B460-456)*36+HEX2DEC('table for research'!AO$1))*2,2)</f>
        <v>00</v>
      </c>
    </row>
    <row r="461" spans="1:41" x14ac:dyDescent="0.4">
      <c r="A461" t="s">
        <v>463</v>
      </c>
      <c r="B461">
        <f>B460+1</f>
        <v>459</v>
      </c>
      <c r="C461" t="str">
        <f>MID('paste from garc here'!$C$2,1+(('table for research'!$B461-456)*36+HEX2DEC('table for research'!C$1))*2,2)</f>
        <v>00</v>
      </c>
      <c r="D461" t="str">
        <f>MID('paste from garc here'!$C$2,1+(('table for research'!$B461-456)*36+HEX2DEC('table for research'!D$1))*2,2)</f>
        <v>00</v>
      </c>
      <c r="E461" t="str">
        <f>MID('paste from garc here'!$C$2,1+(('table for research'!$B461-456)*36+HEX2DEC('table for research'!E$1))*2,2)</f>
        <v>00</v>
      </c>
      <c r="F461" t="str">
        <f>MID('paste from garc here'!$C$2,1+(('table for research'!$B461-456)*36+HEX2DEC('table for research'!F$1))*2,2)</f>
        <v>00</v>
      </c>
      <c r="G461" t="str">
        <f>MID('paste from garc here'!$C$2,1+(('table for research'!$B461-456)*36+HEX2DEC('table for research'!G$1))*2,2)</f>
        <v>00</v>
      </c>
      <c r="H461" t="str">
        <f>MID('paste from garc here'!$C$2,1+(('table for research'!$B461-456)*36+HEX2DEC('table for research'!H$1))*2,2)</f>
        <v>00</v>
      </c>
      <c r="I461" t="str">
        <f>MID('paste from garc here'!$C$2,1+(('table for research'!$B461-456)*36+HEX2DEC('table for research'!I$1))*2,2)</f>
        <v>00</v>
      </c>
      <c r="J461" t="str">
        <f>MID('paste from garc here'!$C$2,1+(('table for research'!$B461-456)*36+HEX2DEC('table for research'!J$1))*2,2)</f>
        <v>00</v>
      </c>
      <c r="K461" t="str">
        <f>DEC2HEX(_xlfn.BITAND(HEX2DEC(MID('paste from garc here'!$C$1,1+(('table for research'!$B461-1)*36+HEX2DEC(8))*2,2)),31),2)</f>
        <v>00</v>
      </c>
      <c r="L461" t="str">
        <f>DEC2HEX(_xlfn.BITAND(HEX2DEC(MID('paste from garc here'!$C$1,1+(('table for research'!$B461-1)*36+HEX2DEC(8))*2,2)),32),2)</f>
        <v>00</v>
      </c>
      <c r="M461" t="str">
        <f>DEC2HEX(_xlfn.BITAND(HEX2DEC(MID('paste from garc here'!$C$1,1+(('table for research'!$B461-1)*36+HEX2DEC(8))*2,2)),64),2)</f>
        <v>00</v>
      </c>
      <c r="N461" t="str">
        <f>DEC2HEX(_xlfn.BITRSHIFT(_xlfn.BITAND(HEX2DEC(MID('paste from garc here'!$C$1,1+(('table for research'!$B461-1)*36+HEX2DEC(9))*2,2)&amp;MID('paste from garc here'!$C$1,1+(('table for research'!$B461-1)*36+HEX2DEC(8))*2,2)),1920),7),2)</f>
        <v>00</v>
      </c>
      <c r="O461" t="str">
        <f>DEC2HEX(_xlfn.BITRSHIFT(HEX2DEC(MID('paste from garc here'!$C$1,1+(('table for research'!$B461-1)*36+HEX2DEC(9))*2,2)&amp;MID('paste from garc here'!$C$1,1+(('table for research'!$B461-1)*36+HEX2DEC(8))*2,2)),11),2)</f>
        <v>00</v>
      </c>
      <c r="P461" t="str">
        <f>MID('paste from garc here'!$C$2,1+(('table for research'!$B461-456)*36+HEX2DEC('table for research'!P$1))*2,2)</f>
        <v>00</v>
      </c>
      <c r="Q461" t="str">
        <f>MID('paste from garc here'!$C$2,1+(('table for research'!$B461-456)*36+HEX2DEC('table for research'!Q$1))*2,2)</f>
        <v>00</v>
      </c>
      <c r="R461" t="str">
        <f>MID('paste from garc here'!$C$2,1+(('table for research'!$B461-456)*36+HEX2DEC('table for research'!R$1))*2,2)</f>
        <v>00</v>
      </c>
      <c r="S461" t="str">
        <f>MID('paste from garc here'!$C$2,1+(('table for research'!$B461-456)*36+HEX2DEC('table for research'!S$1))*2,2)</f>
        <v>08</v>
      </c>
      <c r="T461" t="str">
        <f>MID('paste from garc here'!$C$2,1+(('table for research'!$B461-456)*36+HEX2DEC('table for research'!T$1))*2,2)</f>
        <v>00</v>
      </c>
      <c r="U461" t="str">
        <f>MID('paste from garc here'!$C$2,1+(('table for research'!$B461-456)*36+HEX2DEC('table for research'!U$1))*2,2)</f>
        <v>FF</v>
      </c>
      <c r="V461" t="str">
        <f>MID('paste from garc here'!$C$2,1+(('table for research'!$B461-456)*36+HEX2DEC('table for research'!V$1))*2,2)</f>
        <v>00</v>
      </c>
      <c r="W461" t="str">
        <f>MID('paste from garc here'!$C$2,1+(('table for research'!$B461-456)*36+HEX2DEC('table for research'!W$1))*2,2)</f>
        <v>00</v>
      </c>
      <c r="X461" t="str">
        <f>MID('paste from garc here'!$C$2,1+(('table for research'!$B461-456)*36+HEX2DEC('table for research'!X$1))*2,2)</f>
        <v>00</v>
      </c>
      <c r="Y461" t="str">
        <f>MID('paste from garc here'!$C$2,1+(('table for research'!$B461-456)*36+HEX2DEC('table for research'!Y$1))*2,2)</f>
        <v>00</v>
      </c>
      <c r="Z461" t="str">
        <f>MID('paste from garc here'!$C$2,1+(('table for research'!$B461-456)*36+HEX2DEC('table for research'!Z$1))*2,2)</f>
        <v>00</v>
      </c>
      <c r="AA461" t="str">
        <f>MID('paste from garc here'!$C$2,1+(('table for research'!$B461-456)*36+HEX2DEC('table for research'!AA$1))*2,2)</f>
        <v>00</v>
      </c>
      <c r="AB461" t="str">
        <f>MID('paste from garc here'!$C$2,1+(('table for research'!$B461-456)*36+HEX2DEC('table for research'!AB$1))*2,2)</f>
        <v>00</v>
      </c>
      <c r="AC461" t="str">
        <f>MID('paste from garc here'!$C$2,1+(('table for research'!$B461-456)*36+HEX2DEC('table for research'!AC$1))*2,2)</f>
        <v>00</v>
      </c>
      <c r="AD461" t="str">
        <f>MID('paste from garc here'!$C$2,1+(('table for research'!$B461-456)*36+HEX2DEC('table for research'!AD$1))*2,2)</f>
        <v>00</v>
      </c>
      <c r="AE461" t="str">
        <f>MID('paste from garc here'!$C$2,1+(('table for research'!$B461-456)*36+HEX2DEC('table for research'!AE$1))*2,2)</f>
        <v>00</v>
      </c>
      <c r="AF461" t="str">
        <f>MID('paste from garc here'!$C$2,1+(('table for research'!$B461-456)*36+HEX2DEC('table for research'!AF$1))*2,2)</f>
        <v>00</v>
      </c>
      <c r="AG461" t="str">
        <f>MID('paste from garc here'!$C$2,1+(('table for research'!$B461-456)*36+HEX2DEC('table for research'!AG$1))*2,2)</f>
        <v>00</v>
      </c>
      <c r="AH461" t="str">
        <f>MID('paste from garc here'!$C$2,1+(('table for research'!$B461-456)*36+HEX2DEC('table for research'!AH$1))*2,2)</f>
        <v>00</v>
      </c>
      <c r="AI461" t="str">
        <f>MID('paste from garc here'!$C$2,1+(('table for research'!$B461-456)*36+HEX2DEC('table for research'!AI$1))*2,2)</f>
        <v>00</v>
      </c>
      <c r="AJ461" t="str">
        <f>MID('paste from garc here'!$C$2,1+(('table for research'!$B461-456)*36+HEX2DEC('table for research'!AJ$1))*2,2)</f>
        <v>00</v>
      </c>
      <c r="AK461" t="str">
        <f>MID('paste from garc here'!$C$2,1+(('table for research'!$B461-456)*36+HEX2DEC('table for research'!AK$1))*2,2)</f>
        <v>00</v>
      </c>
      <c r="AL461" t="str">
        <f>MID('paste from garc here'!$C$2,1+(('table for research'!$B461-456)*36+HEX2DEC('table for research'!AL$1))*2,2)</f>
        <v>00</v>
      </c>
      <c r="AM461" t="str">
        <f>MID('paste from garc here'!$C$2,1+(('table for research'!$B461-456)*36+HEX2DEC('table for research'!AM$1))*2,2)</f>
        <v>00</v>
      </c>
      <c r="AN461" t="str">
        <f>MID('paste from garc here'!$C$2,1+(('table for research'!$B461-456)*36+HEX2DEC('table for research'!AN$1))*2,2)</f>
        <v>00</v>
      </c>
      <c r="AO461" t="str">
        <f>MID('paste from garc here'!$C$2,1+(('table for research'!$B461-456)*36+HEX2DEC('table for research'!AO$1))*2,2)</f>
        <v>00</v>
      </c>
    </row>
    <row r="462" spans="1:41" x14ac:dyDescent="0.4">
      <c r="A462" t="s">
        <v>464</v>
      </c>
      <c r="B462">
        <f>B461+1</f>
        <v>460</v>
      </c>
      <c r="C462" t="str">
        <f>MID('paste from garc here'!$C$2,1+(('table for research'!$B462-456)*36+HEX2DEC('table for research'!C$1))*2,2)</f>
        <v>00</v>
      </c>
      <c r="D462" t="str">
        <f>MID('paste from garc here'!$C$2,1+(('table for research'!$B462-456)*36+HEX2DEC('table for research'!D$1))*2,2)</f>
        <v>00</v>
      </c>
      <c r="E462" t="str">
        <f>MID('paste from garc here'!$C$2,1+(('table for research'!$B462-456)*36+HEX2DEC('table for research'!E$1))*2,2)</f>
        <v>00</v>
      </c>
      <c r="F462" t="str">
        <f>MID('paste from garc here'!$C$2,1+(('table for research'!$B462-456)*36+HEX2DEC('table for research'!F$1))*2,2)</f>
        <v>00</v>
      </c>
      <c r="G462" t="str">
        <f>MID('paste from garc here'!$C$2,1+(('table for research'!$B462-456)*36+HEX2DEC('table for research'!G$1))*2,2)</f>
        <v>00</v>
      </c>
      <c r="H462" t="str">
        <f>MID('paste from garc here'!$C$2,1+(('table for research'!$B462-456)*36+HEX2DEC('table for research'!H$1))*2,2)</f>
        <v>00</v>
      </c>
      <c r="I462" t="str">
        <f>MID('paste from garc here'!$C$2,1+(('table for research'!$B462-456)*36+HEX2DEC('table for research'!I$1))*2,2)</f>
        <v>00</v>
      </c>
      <c r="J462" t="str">
        <f>MID('paste from garc here'!$C$2,1+(('table for research'!$B462-456)*36+HEX2DEC('table for research'!J$1))*2,2)</f>
        <v>00</v>
      </c>
      <c r="K462" t="str">
        <f>DEC2HEX(_xlfn.BITAND(HEX2DEC(MID('paste from garc here'!$C$1,1+(('table for research'!$B462-1)*36+HEX2DEC(8))*2,2)),31),2)</f>
        <v>00</v>
      </c>
      <c r="L462" t="str">
        <f>DEC2HEX(_xlfn.BITAND(HEX2DEC(MID('paste from garc here'!$C$1,1+(('table for research'!$B462-1)*36+HEX2DEC(8))*2,2)),32),2)</f>
        <v>00</v>
      </c>
      <c r="M462" t="str">
        <f>DEC2HEX(_xlfn.BITAND(HEX2DEC(MID('paste from garc here'!$C$1,1+(('table for research'!$B462-1)*36+HEX2DEC(8))*2,2)),64),2)</f>
        <v>00</v>
      </c>
      <c r="N462" t="str">
        <f>DEC2HEX(_xlfn.BITRSHIFT(_xlfn.BITAND(HEX2DEC(MID('paste from garc here'!$C$1,1+(('table for research'!$B462-1)*36+HEX2DEC(9))*2,2)&amp;MID('paste from garc here'!$C$1,1+(('table for research'!$B462-1)*36+HEX2DEC(8))*2,2)),1920),7),2)</f>
        <v>00</v>
      </c>
      <c r="O462" t="str">
        <f>DEC2HEX(_xlfn.BITRSHIFT(HEX2DEC(MID('paste from garc here'!$C$1,1+(('table for research'!$B462-1)*36+HEX2DEC(9))*2,2)&amp;MID('paste from garc here'!$C$1,1+(('table for research'!$B462-1)*36+HEX2DEC(8))*2,2)),11),2)</f>
        <v>00</v>
      </c>
      <c r="P462" t="str">
        <f>MID('paste from garc here'!$C$2,1+(('table for research'!$B462-456)*36+HEX2DEC('table for research'!P$1))*2,2)</f>
        <v>00</v>
      </c>
      <c r="Q462" t="str">
        <f>MID('paste from garc here'!$C$2,1+(('table for research'!$B462-456)*36+HEX2DEC('table for research'!Q$1))*2,2)</f>
        <v>00</v>
      </c>
      <c r="R462" t="str">
        <f>MID('paste from garc here'!$C$2,1+(('table for research'!$B462-456)*36+HEX2DEC('table for research'!R$1))*2,2)</f>
        <v>00</v>
      </c>
      <c r="S462" t="str">
        <f>MID('paste from garc here'!$C$2,1+(('table for research'!$B462-456)*36+HEX2DEC('table for research'!S$1))*2,2)</f>
        <v>08</v>
      </c>
      <c r="T462" t="str">
        <f>MID('paste from garc here'!$C$2,1+(('table for research'!$B462-456)*36+HEX2DEC('table for research'!T$1))*2,2)</f>
        <v>00</v>
      </c>
      <c r="U462" t="str">
        <f>MID('paste from garc here'!$C$2,1+(('table for research'!$B462-456)*36+HEX2DEC('table for research'!U$1))*2,2)</f>
        <v>FF</v>
      </c>
      <c r="V462" t="str">
        <f>MID('paste from garc here'!$C$2,1+(('table for research'!$B462-456)*36+HEX2DEC('table for research'!V$1))*2,2)</f>
        <v>00</v>
      </c>
      <c r="W462" t="str">
        <f>MID('paste from garc here'!$C$2,1+(('table for research'!$B462-456)*36+HEX2DEC('table for research'!W$1))*2,2)</f>
        <v>00</v>
      </c>
      <c r="X462" t="str">
        <f>MID('paste from garc here'!$C$2,1+(('table for research'!$B462-456)*36+HEX2DEC('table for research'!X$1))*2,2)</f>
        <v>00</v>
      </c>
      <c r="Y462" t="str">
        <f>MID('paste from garc here'!$C$2,1+(('table for research'!$B462-456)*36+HEX2DEC('table for research'!Y$1))*2,2)</f>
        <v>00</v>
      </c>
      <c r="Z462" t="str">
        <f>MID('paste from garc here'!$C$2,1+(('table for research'!$B462-456)*36+HEX2DEC('table for research'!Z$1))*2,2)</f>
        <v>00</v>
      </c>
      <c r="AA462" t="str">
        <f>MID('paste from garc here'!$C$2,1+(('table for research'!$B462-456)*36+HEX2DEC('table for research'!AA$1))*2,2)</f>
        <v>00</v>
      </c>
      <c r="AB462" t="str">
        <f>MID('paste from garc here'!$C$2,1+(('table for research'!$B462-456)*36+HEX2DEC('table for research'!AB$1))*2,2)</f>
        <v>00</v>
      </c>
      <c r="AC462" t="str">
        <f>MID('paste from garc here'!$C$2,1+(('table for research'!$B462-456)*36+HEX2DEC('table for research'!AC$1))*2,2)</f>
        <v>00</v>
      </c>
      <c r="AD462" t="str">
        <f>MID('paste from garc here'!$C$2,1+(('table for research'!$B462-456)*36+HEX2DEC('table for research'!AD$1))*2,2)</f>
        <v>00</v>
      </c>
      <c r="AE462" t="str">
        <f>MID('paste from garc here'!$C$2,1+(('table for research'!$B462-456)*36+HEX2DEC('table for research'!AE$1))*2,2)</f>
        <v>00</v>
      </c>
      <c r="AF462" t="str">
        <f>MID('paste from garc here'!$C$2,1+(('table for research'!$B462-456)*36+HEX2DEC('table for research'!AF$1))*2,2)</f>
        <v>00</v>
      </c>
      <c r="AG462" t="str">
        <f>MID('paste from garc here'!$C$2,1+(('table for research'!$B462-456)*36+HEX2DEC('table for research'!AG$1))*2,2)</f>
        <v>00</v>
      </c>
      <c r="AH462" t="str">
        <f>MID('paste from garc here'!$C$2,1+(('table for research'!$B462-456)*36+HEX2DEC('table for research'!AH$1))*2,2)</f>
        <v>00</v>
      </c>
      <c r="AI462" t="str">
        <f>MID('paste from garc here'!$C$2,1+(('table for research'!$B462-456)*36+HEX2DEC('table for research'!AI$1))*2,2)</f>
        <v>00</v>
      </c>
      <c r="AJ462" t="str">
        <f>MID('paste from garc here'!$C$2,1+(('table for research'!$B462-456)*36+HEX2DEC('table for research'!AJ$1))*2,2)</f>
        <v>00</v>
      </c>
      <c r="AK462" t="str">
        <f>MID('paste from garc here'!$C$2,1+(('table for research'!$B462-456)*36+HEX2DEC('table for research'!AK$1))*2,2)</f>
        <v>00</v>
      </c>
      <c r="AL462" t="str">
        <f>MID('paste from garc here'!$C$2,1+(('table for research'!$B462-456)*36+HEX2DEC('table for research'!AL$1))*2,2)</f>
        <v>00</v>
      </c>
      <c r="AM462" t="str">
        <f>MID('paste from garc here'!$C$2,1+(('table for research'!$B462-456)*36+HEX2DEC('table for research'!AM$1))*2,2)</f>
        <v>00</v>
      </c>
      <c r="AN462" t="str">
        <f>MID('paste from garc here'!$C$2,1+(('table for research'!$B462-456)*36+HEX2DEC('table for research'!AN$1))*2,2)</f>
        <v>00</v>
      </c>
      <c r="AO462" t="str">
        <f>MID('paste from garc here'!$C$2,1+(('table for research'!$B462-456)*36+HEX2DEC('table for research'!AO$1))*2,2)</f>
        <v>00</v>
      </c>
    </row>
    <row r="463" spans="1:41" x14ac:dyDescent="0.4">
      <c r="A463" t="s">
        <v>465</v>
      </c>
      <c r="B463">
        <f>B462+1</f>
        <v>461</v>
      </c>
      <c r="C463" t="str">
        <f>MID('paste from garc here'!$C$2,1+(('table for research'!$B463-456)*36+HEX2DEC('table for research'!C$1))*2,2)</f>
        <v>00</v>
      </c>
      <c r="D463" t="str">
        <f>MID('paste from garc here'!$C$2,1+(('table for research'!$B463-456)*36+HEX2DEC('table for research'!D$1))*2,2)</f>
        <v>00</v>
      </c>
      <c r="E463" t="str">
        <f>MID('paste from garc here'!$C$2,1+(('table for research'!$B463-456)*36+HEX2DEC('table for research'!E$1))*2,2)</f>
        <v>00</v>
      </c>
      <c r="F463" t="str">
        <f>MID('paste from garc here'!$C$2,1+(('table for research'!$B463-456)*36+HEX2DEC('table for research'!F$1))*2,2)</f>
        <v>00</v>
      </c>
      <c r="G463" t="str">
        <f>MID('paste from garc here'!$C$2,1+(('table for research'!$B463-456)*36+HEX2DEC('table for research'!G$1))*2,2)</f>
        <v>00</v>
      </c>
      <c r="H463" t="str">
        <f>MID('paste from garc here'!$C$2,1+(('table for research'!$B463-456)*36+HEX2DEC('table for research'!H$1))*2,2)</f>
        <v>00</v>
      </c>
      <c r="I463" t="str">
        <f>MID('paste from garc here'!$C$2,1+(('table for research'!$B463-456)*36+HEX2DEC('table for research'!I$1))*2,2)</f>
        <v>00</v>
      </c>
      <c r="J463" t="str">
        <f>MID('paste from garc here'!$C$2,1+(('table for research'!$B463-456)*36+HEX2DEC('table for research'!J$1))*2,2)</f>
        <v>00</v>
      </c>
      <c r="K463" t="str">
        <f>DEC2HEX(_xlfn.BITAND(HEX2DEC(MID('paste from garc here'!$C$1,1+(('table for research'!$B463-1)*36+HEX2DEC(8))*2,2)),31),2)</f>
        <v>00</v>
      </c>
      <c r="L463" t="str">
        <f>DEC2HEX(_xlfn.BITAND(HEX2DEC(MID('paste from garc here'!$C$1,1+(('table for research'!$B463-1)*36+HEX2DEC(8))*2,2)),32),2)</f>
        <v>00</v>
      </c>
      <c r="M463" t="str">
        <f>DEC2HEX(_xlfn.BITAND(HEX2DEC(MID('paste from garc here'!$C$1,1+(('table for research'!$B463-1)*36+HEX2DEC(8))*2,2)),64),2)</f>
        <v>00</v>
      </c>
      <c r="N463" t="str">
        <f>DEC2HEX(_xlfn.BITRSHIFT(_xlfn.BITAND(HEX2DEC(MID('paste from garc here'!$C$1,1+(('table for research'!$B463-1)*36+HEX2DEC(9))*2,2)&amp;MID('paste from garc here'!$C$1,1+(('table for research'!$B463-1)*36+HEX2DEC(8))*2,2)),1920),7),2)</f>
        <v>00</v>
      </c>
      <c r="O463" t="str">
        <f>DEC2HEX(_xlfn.BITRSHIFT(HEX2DEC(MID('paste from garc here'!$C$1,1+(('table for research'!$B463-1)*36+HEX2DEC(9))*2,2)&amp;MID('paste from garc here'!$C$1,1+(('table for research'!$B463-1)*36+HEX2DEC(8))*2,2)),11),2)</f>
        <v>00</v>
      </c>
      <c r="P463" t="str">
        <f>MID('paste from garc here'!$C$2,1+(('table for research'!$B463-456)*36+HEX2DEC('table for research'!P$1))*2,2)</f>
        <v>00</v>
      </c>
      <c r="Q463" t="str">
        <f>MID('paste from garc here'!$C$2,1+(('table for research'!$B463-456)*36+HEX2DEC('table for research'!Q$1))*2,2)</f>
        <v>00</v>
      </c>
      <c r="R463" t="str">
        <f>MID('paste from garc here'!$C$2,1+(('table for research'!$B463-456)*36+HEX2DEC('table for research'!R$1))*2,2)</f>
        <v>00</v>
      </c>
      <c r="S463" t="str">
        <f>MID('paste from garc here'!$C$2,1+(('table for research'!$B463-456)*36+HEX2DEC('table for research'!S$1))*2,2)</f>
        <v>08</v>
      </c>
      <c r="T463" t="str">
        <f>MID('paste from garc here'!$C$2,1+(('table for research'!$B463-456)*36+HEX2DEC('table for research'!T$1))*2,2)</f>
        <v>00</v>
      </c>
      <c r="U463" t="str">
        <f>MID('paste from garc here'!$C$2,1+(('table for research'!$B463-456)*36+HEX2DEC('table for research'!U$1))*2,2)</f>
        <v>FF</v>
      </c>
      <c r="V463" t="str">
        <f>MID('paste from garc here'!$C$2,1+(('table for research'!$B463-456)*36+HEX2DEC('table for research'!V$1))*2,2)</f>
        <v>00</v>
      </c>
      <c r="W463" t="str">
        <f>MID('paste from garc here'!$C$2,1+(('table for research'!$B463-456)*36+HEX2DEC('table for research'!W$1))*2,2)</f>
        <v>00</v>
      </c>
      <c r="X463" t="str">
        <f>MID('paste from garc here'!$C$2,1+(('table for research'!$B463-456)*36+HEX2DEC('table for research'!X$1))*2,2)</f>
        <v>00</v>
      </c>
      <c r="Y463" t="str">
        <f>MID('paste from garc here'!$C$2,1+(('table for research'!$B463-456)*36+HEX2DEC('table for research'!Y$1))*2,2)</f>
        <v>00</v>
      </c>
      <c r="Z463" t="str">
        <f>MID('paste from garc here'!$C$2,1+(('table for research'!$B463-456)*36+HEX2DEC('table for research'!Z$1))*2,2)</f>
        <v>00</v>
      </c>
      <c r="AA463" t="str">
        <f>MID('paste from garc here'!$C$2,1+(('table for research'!$B463-456)*36+HEX2DEC('table for research'!AA$1))*2,2)</f>
        <v>00</v>
      </c>
      <c r="AB463" t="str">
        <f>MID('paste from garc here'!$C$2,1+(('table for research'!$B463-456)*36+HEX2DEC('table for research'!AB$1))*2,2)</f>
        <v>00</v>
      </c>
      <c r="AC463" t="str">
        <f>MID('paste from garc here'!$C$2,1+(('table for research'!$B463-456)*36+HEX2DEC('table for research'!AC$1))*2,2)</f>
        <v>00</v>
      </c>
      <c r="AD463" t="str">
        <f>MID('paste from garc here'!$C$2,1+(('table for research'!$B463-456)*36+HEX2DEC('table for research'!AD$1))*2,2)</f>
        <v>00</v>
      </c>
      <c r="AE463" t="str">
        <f>MID('paste from garc here'!$C$2,1+(('table for research'!$B463-456)*36+HEX2DEC('table for research'!AE$1))*2,2)</f>
        <v>00</v>
      </c>
      <c r="AF463" t="str">
        <f>MID('paste from garc here'!$C$2,1+(('table for research'!$B463-456)*36+HEX2DEC('table for research'!AF$1))*2,2)</f>
        <v>00</v>
      </c>
      <c r="AG463" t="str">
        <f>MID('paste from garc here'!$C$2,1+(('table for research'!$B463-456)*36+HEX2DEC('table for research'!AG$1))*2,2)</f>
        <v>00</v>
      </c>
      <c r="AH463" t="str">
        <f>MID('paste from garc here'!$C$2,1+(('table for research'!$B463-456)*36+HEX2DEC('table for research'!AH$1))*2,2)</f>
        <v>00</v>
      </c>
      <c r="AI463" t="str">
        <f>MID('paste from garc here'!$C$2,1+(('table for research'!$B463-456)*36+HEX2DEC('table for research'!AI$1))*2,2)</f>
        <v>00</v>
      </c>
      <c r="AJ463" t="str">
        <f>MID('paste from garc here'!$C$2,1+(('table for research'!$B463-456)*36+HEX2DEC('table for research'!AJ$1))*2,2)</f>
        <v>00</v>
      </c>
      <c r="AK463" t="str">
        <f>MID('paste from garc here'!$C$2,1+(('table for research'!$B463-456)*36+HEX2DEC('table for research'!AK$1))*2,2)</f>
        <v>00</v>
      </c>
      <c r="AL463" t="str">
        <f>MID('paste from garc here'!$C$2,1+(('table for research'!$B463-456)*36+HEX2DEC('table for research'!AL$1))*2,2)</f>
        <v>00</v>
      </c>
      <c r="AM463" t="str">
        <f>MID('paste from garc here'!$C$2,1+(('table for research'!$B463-456)*36+HEX2DEC('table for research'!AM$1))*2,2)</f>
        <v>00</v>
      </c>
      <c r="AN463" t="str">
        <f>MID('paste from garc here'!$C$2,1+(('table for research'!$B463-456)*36+HEX2DEC('table for research'!AN$1))*2,2)</f>
        <v>00</v>
      </c>
      <c r="AO463" t="str">
        <f>MID('paste from garc here'!$C$2,1+(('table for research'!$B463-456)*36+HEX2DEC('table for research'!AO$1))*2,2)</f>
        <v>00</v>
      </c>
    </row>
    <row r="464" spans="1:41" x14ac:dyDescent="0.4">
      <c r="A464" t="s">
        <v>466</v>
      </c>
      <c r="B464">
        <f>B463+1</f>
        <v>462</v>
      </c>
      <c r="C464" t="str">
        <f>MID('paste from garc here'!$C$2,1+(('table for research'!$B464-456)*36+HEX2DEC('table for research'!C$1))*2,2)</f>
        <v>00</v>
      </c>
      <c r="D464" t="str">
        <f>MID('paste from garc here'!$C$2,1+(('table for research'!$B464-456)*36+HEX2DEC('table for research'!D$1))*2,2)</f>
        <v>00</v>
      </c>
      <c r="E464" t="str">
        <f>MID('paste from garc here'!$C$2,1+(('table for research'!$B464-456)*36+HEX2DEC('table for research'!E$1))*2,2)</f>
        <v>00</v>
      </c>
      <c r="F464" t="str">
        <f>MID('paste from garc here'!$C$2,1+(('table for research'!$B464-456)*36+HEX2DEC('table for research'!F$1))*2,2)</f>
        <v>00</v>
      </c>
      <c r="G464" t="str">
        <f>MID('paste from garc here'!$C$2,1+(('table for research'!$B464-456)*36+HEX2DEC('table for research'!G$1))*2,2)</f>
        <v>00</v>
      </c>
      <c r="H464" t="str">
        <f>MID('paste from garc here'!$C$2,1+(('table for research'!$B464-456)*36+HEX2DEC('table for research'!H$1))*2,2)</f>
        <v>00</v>
      </c>
      <c r="I464" t="str">
        <f>MID('paste from garc here'!$C$2,1+(('table for research'!$B464-456)*36+HEX2DEC('table for research'!I$1))*2,2)</f>
        <v>00</v>
      </c>
      <c r="J464" t="str">
        <f>MID('paste from garc here'!$C$2,1+(('table for research'!$B464-456)*36+HEX2DEC('table for research'!J$1))*2,2)</f>
        <v>00</v>
      </c>
      <c r="K464" t="str">
        <f>DEC2HEX(_xlfn.BITAND(HEX2DEC(MID('paste from garc here'!$C$1,1+(('table for research'!$B464-1)*36+HEX2DEC(8))*2,2)),31),2)</f>
        <v>00</v>
      </c>
      <c r="L464" t="str">
        <f>DEC2HEX(_xlfn.BITAND(HEX2DEC(MID('paste from garc here'!$C$1,1+(('table for research'!$B464-1)*36+HEX2DEC(8))*2,2)),32),2)</f>
        <v>00</v>
      </c>
      <c r="M464" t="str">
        <f>DEC2HEX(_xlfn.BITAND(HEX2DEC(MID('paste from garc here'!$C$1,1+(('table for research'!$B464-1)*36+HEX2DEC(8))*2,2)),64),2)</f>
        <v>00</v>
      </c>
      <c r="N464" t="str">
        <f>DEC2HEX(_xlfn.BITRSHIFT(_xlfn.BITAND(HEX2DEC(MID('paste from garc here'!$C$1,1+(('table for research'!$B464-1)*36+HEX2DEC(9))*2,2)&amp;MID('paste from garc here'!$C$1,1+(('table for research'!$B464-1)*36+HEX2DEC(8))*2,2)),1920),7),2)</f>
        <v>00</v>
      </c>
      <c r="O464" t="str">
        <f>DEC2HEX(_xlfn.BITRSHIFT(HEX2DEC(MID('paste from garc here'!$C$1,1+(('table for research'!$B464-1)*36+HEX2DEC(9))*2,2)&amp;MID('paste from garc here'!$C$1,1+(('table for research'!$B464-1)*36+HEX2DEC(8))*2,2)),11),2)</f>
        <v>00</v>
      </c>
      <c r="P464" t="str">
        <f>MID('paste from garc here'!$C$2,1+(('table for research'!$B464-456)*36+HEX2DEC('table for research'!P$1))*2,2)</f>
        <v>00</v>
      </c>
      <c r="Q464" t="str">
        <f>MID('paste from garc here'!$C$2,1+(('table for research'!$B464-456)*36+HEX2DEC('table for research'!Q$1))*2,2)</f>
        <v>00</v>
      </c>
      <c r="R464" t="str">
        <f>MID('paste from garc here'!$C$2,1+(('table for research'!$B464-456)*36+HEX2DEC('table for research'!R$1))*2,2)</f>
        <v>00</v>
      </c>
      <c r="S464" t="str">
        <f>MID('paste from garc here'!$C$2,1+(('table for research'!$B464-456)*36+HEX2DEC('table for research'!S$1))*2,2)</f>
        <v>08</v>
      </c>
      <c r="T464" t="str">
        <f>MID('paste from garc here'!$C$2,1+(('table for research'!$B464-456)*36+HEX2DEC('table for research'!T$1))*2,2)</f>
        <v>00</v>
      </c>
      <c r="U464" t="str">
        <f>MID('paste from garc here'!$C$2,1+(('table for research'!$B464-456)*36+HEX2DEC('table for research'!U$1))*2,2)</f>
        <v>FF</v>
      </c>
      <c r="V464" t="str">
        <f>MID('paste from garc here'!$C$2,1+(('table for research'!$B464-456)*36+HEX2DEC('table for research'!V$1))*2,2)</f>
        <v>00</v>
      </c>
      <c r="W464" t="str">
        <f>MID('paste from garc here'!$C$2,1+(('table for research'!$B464-456)*36+HEX2DEC('table for research'!W$1))*2,2)</f>
        <v>00</v>
      </c>
      <c r="X464" t="str">
        <f>MID('paste from garc here'!$C$2,1+(('table for research'!$B464-456)*36+HEX2DEC('table for research'!X$1))*2,2)</f>
        <v>00</v>
      </c>
      <c r="Y464" t="str">
        <f>MID('paste from garc here'!$C$2,1+(('table for research'!$B464-456)*36+HEX2DEC('table for research'!Y$1))*2,2)</f>
        <v>00</v>
      </c>
      <c r="Z464" t="str">
        <f>MID('paste from garc here'!$C$2,1+(('table for research'!$B464-456)*36+HEX2DEC('table for research'!Z$1))*2,2)</f>
        <v>00</v>
      </c>
      <c r="AA464" t="str">
        <f>MID('paste from garc here'!$C$2,1+(('table for research'!$B464-456)*36+HEX2DEC('table for research'!AA$1))*2,2)</f>
        <v>00</v>
      </c>
      <c r="AB464" t="str">
        <f>MID('paste from garc here'!$C$2,1+(('table for research'!$B464-456)*36+HEX2DEC('table for research'!AB$1))*2,2)</f>
        <v>00</v>
      </c>
      <c r="AC464" t="str">
        <f>MID('paste from garc here'!$C$2,1+(('table for research'!$B464-456)*36+HEX2DEC('table for research'!AC$1))*2,2)</f>
        <v>00</v>
      </c>
      <c r="AD464" t="str">
        <f>MID('paste from garc here'!$C$2,1+(('table for research'!$B464-456)*36+HEX2DEC('table for research'!AD$1))*2,2)</f>
        <v>00</v>
      </c>
      <c r="AE464" t="str">
        <f>MID('paste from garc here'!$C$2,1+(('table for research'!$B464-456)*36+HEX2DEC('table for research'!AE$1))*2,2)</f>
        <v>00</v>
      </c>
      <c r="AF464" t="str">
        <f>MID('paste from garc here'!$C$2,1+(('table for research'!$B464-456)*36+HEX2DEC('table for research'!AF$1))*2,2)</f>
        <v>00</v>
      </c>
      <c r="AG464" t="str">
        <f>MID('paste from garc here'!$C$2,1+(('table for research'!$B464-456)*36+HEX2DEC('table for research'!AG$1))*2,2)</f>
        <v>00</v>
      </c>
      <c r="AH464" t="str">
        <f>MID('paste from garc here'!$C$2,1+(('table for research'!$B464-456)*36+HEX2DEC('table for research'!AH$1))*2,2)</f>
        <v>00</v>
      </c>
      <c r="AI464" t="str">
        <f>MID('paste from garc here'!$C$2,1+(('table for research'!$B464-456)*36+HEX2DEC('table for research'!AI$1))*2,2)</f>
        <v>00</v>
      </c>
      <c r="AJ464" t="str">
        <f>MID('paste from garc here'!$C$2,1+(('table for research'!$B464-456)*36+HEX2DEC('table for research'!AJ$1))*2,2)</f>
        <v>00</v>
      </c>
      <c r="AK464" t="str">
        <f>MID('paste from garc here'!$C$2,1+(('table for research'!$B464-456)*36+HEX2DEC('table for research'!AK$1))*2,2)</f>
        <v>00</v>
      </c>
      <c r="AL464" t="str">
        <f>MID('paste from garc here'!$C$2,1+(('table for research'!$B464-456)*36+HEX2DEC('table for research'!AL$1))*2,2)</f>
        <v>00</v>
      </c>
      <c r="AM464" t="str">
        <f>MID('paste from garc here'!$C$2,1+(('table for research'!$B464-456)*36+HEX2DEC('table for research'!AM$1))*2,2)</f>
        <v>00</v>
      </c>
      <c r="AN464" t="str">
        <f>MID('paste from garc here'!$C$2,1+(('table for research'!$B464-456)*36+HEX2DEC('table for research'!AN$1))*2,2)</f>
        <v>00</v>
      </c>
      <c r="AO464" t="str">
        <f>MID('paste from garc here'!$C$2,1+(('table for research'!$B464-456)*36+HEX2DEC('table for research'!AO$1))*2,2)</f>
        <v>00</v>
      </c>
    </row>
    <row r="465" spans="1:41" x14ac:dyDescent="0.4">
      <c r="A465" t="s">
        <v>467</v>
      </c>
      <c r="B465">
        <f>B464+1</f>
        <v>463</v>
      </c>
      <c r="C465" t="str">
        <f>MID('paste from garc here'!$C$2,1+(('table for research'!$B465-456)*36+HEX2DEC('table for research'!C$1))*2,2)</f>
        <v>00</v>
      </c>
      <c r="D465" t="str">
        <f>MID('paste from garc here'!$C$2,1+(('table for research'!$B465-456)*36+HEX2DEC('table for research'!D$1))*2,2)</f>
        <v>00</v>
      </c>
      <c r="E465" t="str">
        <f>MID('paste from garc here'!$C$2,1+(('table for research'!$B465-456)*36+HEX2DEC('table for research'!E$1))*2,2)</f>
        <v>00</v>
      </c>
      <c r="F465" t="str">
        <f>MID('paste from garc here'!$C$2,1+(('table for research'!$B465-456)*36+HEX2DEC('table for research'!F$1))*2,2)</f>
        <v>00</v>
      </c>
      <c r="G465" t="str">
        <f>MID('paste from garc here'!$C$2,1+(('table for research'!$B465-456)*36+HEX2DEC('table for research'!G$1))*2,2)</f>
        <v>00</v>
      </c>
      <c r="H465" t="str">
        <f>MID('paste from garc here'!$C$2,1+(('table for research'!$B465-456)*36+HEX2DEC('table for research'!H$1))*2,2)</f>
        <v>00</v>
      </c>
      <c r="I465" t="str">
        <f>MID('paste from garc here'!$C$2,1+(('table for research'!$B465-456)*36+HEX2DEC('table for research'!I$1))*2,2)</f>
        <v>00</v>
      </c>
      <c r="J465" t="str">
        <f>MID('paste from garc here'!$C$2,1+(('table for research'!$B465-456)*36+HEX2DEC('table for research'!J$1))*2,2)</f>
        <v>00</v>
      </c>
      <c r="K465" t="str">
        <f>DEC2HEX(_xlfn.BITAND(HEX2DEC(MID('paste from garc here'!$C$1,1+(('table for research'!$B465-1)*36+HEX2DEC(8))*2,2)),31),2)</f>
        <v>00</v>
      </c>
      <c r="L465" t="str">
        <f>DEC2HEX(_xlfn.BITAND(HEX2DEC(MID('paste from garc here'!$C$1,1+(('table for research'!$B465-1)*36+HEX2DEC(8))*2,2)),32),2)</f>
        <v>00</v>
      </c>
      <c r="M465" t="str">
        <f>DEC2HEX(_xlfn.BITAND(HEX2DEC(MID('paste from garc here'!$C$1,1+(('table for research'!$B465-1)*36+HEX2DEC(8))*2,2)),64),2)</f>
        <v>00</v>
      </c>
      <c r="N465" t="str">
        <f>DEC2HEX(_xlfn.BITRSHIFT(_xlfn.BITAND(HEX2DEC(MID('paste from garc here'!$C$1,1+(('table for research'!$B465-1)*36+HEX2DEC(9))*2,2)&amp;MID('paste from garc here'!$C$1,1+(('table for research'!$B465-1)*36+HEX2DEC(8))*2,2)),1920),7),2)</f>
        <v>00</v>
      </c>
      <c r="O465" t="str">
        <f>DEC2HEX(_xlfn.BITRSHIFT(HEX2DEC(MID('paste from garc here'!$C$1,1+(('table for research'!$B465-1)*36+HEX2DEC(9))*2,2)&amp;MID('paste from garc here'!$C$1,1+(('table for research'!$B465-1)*36+HEX2DEC(8))*2,2)),11),2)</f>
        <v>00</v>
      </c>
      <c r="P465" t="str">
        <f>MID('paste from garc here'!$C$2,1+(('table for research'!$B465-456)*36+HEX2DEC('table for research'!P$1))*2,2)</f>
        <v>00</v>
      </c>
      <c r="Q465" t="str">
        <f>MID('paste from garc here'!$C$2,1+(('table for research'!$B465-456)*36+HEX2DEC('table for research'!Q$1))*2,2)</f>
        <v>00</v>
      </c>
      <c r="R465" t="str">
        <f>MID('paste from garc here'!$C$2,1+(('table for research'!$B465-456)*36+HEX2DEC('table for research'!R$1))*2,2)</f>
        <v>00</v>
      </c>
      <c r="S465" t="str">
        <f>MID('paste from garc here'!$C$2,1+(('table for research'!$B465-456)*36+HEX2DEC('table for research'!S$1))*2,2)</f>
        <v>08</v>
      </c>
      <c r="T465" t="str">
        <f>MID('paste from garc here'!$C$2,1+(('table for research'!$B465-456)*36+HEX2DEC('table for research'!T$1))*2,2)</f>
        <v>00</v>
      </c>
      <c r="U465" t="str">
        <f>MID('paste from garc here'!$C$2,1+(('table for research'!$B465-456)*36+HEX2DEC('table for research'!U$1))*2,2)</f>
        <v>FF</v>
      </c>
      <c r="V465" t="str">
        <f>MID('paste from garc here'!$C$2,1+(('table for research'!$B465-456)*36+HEX2DEC('table for research'!V$1))*2,2)</f>
        <v>00</v>
      </c>
      <c r="W465" t="str">
        <f>MID('paste from garc here'!$C$2,1+(('table for research'!$B465-456)*36+HEX2DEC('table for research'!W$1))*2,2)</f>
        <v>00</v>
      </c>
      <c r="X465" t="str">
        <f>MID('paste from garc here'!$C$2,1+(('table for research'!$B465-456)*36+HEX2DEC('table for research'!X$1))*2,2)</f>
        <v>00</v>
      </c>
      <c r="Y465" t="str">
        <f>MID('paste from garc here'!$C$2,1+(('table for research'!$B465-456)*36+HEX2DEC('table for research'!Y$1))*2,2)</f>
        <v>00</v>
      </c>
      <c r="Z465" t="str">
        <f>MID('paste from garc here'!$C$2,1+(('table for research'!$B465-456)*36+HEX2DEC('table for research'!Z$1))*2,2)</f>
        <v>00</v>
      </c>
      <c r="AA465" t="str">
        <f>MID('paste from garc here'!$C$2,1+(('table for research'!$B465-456)*36+HEX2DEC('table for research'!AA$1))*2,2)</f>
        <v>00</v>
      </c>
      <c r="AB465" t="str">
        <f>MID('paste from garc here'!$C$2,1+(('table for research'!$B465-456)*36+HEX2DEC('table for research'!AB$1))*2,2)</f>
        <v>00</v>
      </c>
      <c r="AC465" t="str">
        <f>MID('paste from garc here'!$C$2,1+(('table for research'!$B465-456)*36+HEX2DEC('table for research'!AC$1))*2,2)</f>
        <v>00</v>
      </c>
      <c r="AD465" t="str">
        <f>MID('paste from garc here'!$C$2,1+(('table for research'!$B465-456)*36+HEX2DEC('table for research'!AD$1))*2,2)</f>
        <v>00</v>
      </c>
      <c r="AE465" t="str">
        <f>MID('paste from garc here'!$C$2,1+(('table for research'!$B465-456)*36+HEX2DEC('table for research'!AE$1))*2,2)</f>
        <v>00</v>
      </c>
      <c r="AF465" t="str">
        <f>MID('paste from garc here'!$C$2,1+(('table for research'!$B465-456)*36+HEX2DEC('table for research'!AF$1))*2,2)</f>
        <v>00</v>
      </c>
      <c r="AG465" t="str">
        <f>MID('paste from garc here'!$C$2,1+(('table for research'!$B465-456)*36+HEX2DEC('table for research'!AG$1))*2,2)</f>
        <v>00</v>
      </c>
      <c r="AH465" t="str">
        <f>MID('paste from garc here'!$C$2,1+(('table for research'!$B465-456)*36+HEX2DEC('table for research'!AH$1))*2,2)</f>
        <v>00</v>
      </c>
      <c r="AI465" t="str">
        <f>MID('paste from garc here'!$C$2,1+(('table for research'!$B465-456)*36+HEX2DEC('table for research'!AI$1))*2,2)</f>
        <v>00</v>
      </c>
      <c r="AJ465" t="str">
        <f>MID('paste from garc here'!$C$2,1+(('table for research'!$B465-456)*36+HEX2DEC('table for research'!AJ$1))*2,2)</f>
        <v>00</v>
      </c>
      <c r="AK465" t="str">
        <f>MID('paste from garc here'!$C$2,1+(('table for research'!$B465-456)*36+HEX2DEC('table for research'!AK$1))*2,2)</f>
        <v>00</v>
      </c>
      <c r="AL465" t="str">
        <f>MID('paste from garc here'!$C$2,1+(('table for research'!$B465-456)*36+HEX2DEC('table for research'!AL$1))*2,2)</f>
        <v>00</v>
      </c>
      <c r="AM465" t="str">
        <f>MID('paste from garc here'!$C$2,1+(('table for research'!$B465-456)*36+HEX2DEC('table for research'!AM$1))*2,2)</f>
        <v>00</v>
      </c>
      <c r="AN465" t="str">
        <f>MID('paste from garc here'!$C$2,1+(('table for research'!$B465-456)*36+HEX2DEC('table for research'!AN$1))*2,2)</f>
        <v>00</v>
      </c>
      <c r="AO465" t="str">
        <f>MID('paste from garc here'!$C$2,1+(('table for research'!$B465-456)*36+HEX2DEC('table for research'!AO$1))*2,2)</f>
        <v>00</v>
      </c>
    </row>
    <row r="466" spans="1:41" x14ac:dyDescent="0.4">
      <c r="A466" t="s">
        <v>468</v>
      </c>
      <c r="B466">
        <f>B465+1</f>
        <v>464</v>
      </c>
      <c r="C466" t="str">
        <f>MID('paste from garc here'!$C$2,1+(('table for research'!$B466-456)*36+HEX2DEC('table for research'!C$1))*2,2)</f>
        <v>00</v>
      </c>
      <c r="D466" t="str">
        <f>MID('paste from garc here'!$C$2,1+(('table for research'!$B466-456)*36+HEX2DEC('table for research'!D$1))*2,2)</f>
        <v>00</v>
      </c>
      <c r="E466" t="str">
        <f>MID('paste from garc here'!$C$2,1+(('table for research'!$B466-456)*36+HEX2DEC('table for research'!E$1))*2,2)</f>
        <v>00</v>
      </c>
      <c r="F466" t="str">
        <f>MID('paste from garc here'!$C$2,1+(('table for research'!$B466-456)*36+HEX2DEC('table for research'!F$1))*2,2)</f>
        <v>00</v>
      </c>
      <c r="G466" t="str">
        <f>MID('paste from garc here'!$C$2,1+(('table for research'!$B466-456)*36+HEX2DEC('table for research'!G$1))*2,2)</f>
        <v>00</v>
      </c>
      <c r="H466" t="str">
        <f>MID('paste from garc here'!$C$2,1+(('table for research'!$B466-456)*36+HEX2DEC('table for research'!H$1))*2,2)</f>
        <v>00</v>
      </c>
      <c r="I466" t="str">
        <f>MID('paste from garc here'!$C$2,1+(('table for research'!$B466-456)*36+HEX2DEC('table for research'!I$1))*2,2)</f>
        <v>00</v>
      </c>
      <c r="J466" t="str">
        <f>MID('paste from garc here'!$C$2,1+(('table for research'!$B466-456)*36+HEX2DEC('table for research'!J$1))*2,2)</f>
        <v>00</v>
      </c>
      <c r="K466" t="str">
        <f>DEC2HEX(_xlfn.BITAND(HEX2DEC(MID('paste from garc here'!$C$1,1+(('table for research'!$B466-1)*36+HEX2DEC(8))*2,2)),31),2)</f>
        <v>00</v>
      </c>
      <c r="L466" t="str">
        <f>DEC2HEX(_xlfn.BITAND(HEX2DEC(MID('paste from garc here'!$C$1,1+(('table for research'!$B466-1)*36+HEX2DEC(8))*2,2)),32),2)</f>
        <v>00</v>
      </c>
      <c r="M466" t="str">
        <f>DEC2HEX(_xlfn.BITAND(HEX2DEC(MID('paste from garc here'!$C$1,1+(('table for research'!$B466-1)*36+HEX2DEC(8))*2,2)),64),2)</f>
        <v>00</v>
      </c>
      <c r="N466" t="str">
        <f>DEC2HEX(_xlfn.BITRSHIFT(_xlfn.BITAND(HEX2DEC(MID('paste from garc here'!$C$1,1+(('table for research'!$B466-1)*36+HEX2DEC(9))*2,2)&amp;MID('paste from garc here'!$C$1,1+(('table for research'!$B466-1)*36+HEX2DEC(8))*2,2)),1920),7),2)</f>
        <v>00</v>
      </c>
      <c r="O466" t="str">
        <f>DEC2HEX(_xlfn.BITRSHIFT(HEX2DEC(MID('paste from garc here'!$C$1,1+(('table for research'!$B466-1)*36+HEX2DEC(9))*2,2)&amp;MID('paste from garc here'!$C$1,1+(('table for research'!$B466-1)*36+HEX2DEC(8))*2,2)),11),2)</f>
        <v>00</v>
      </c>
      <c r="P466" t="str">
        <f>MID('paste from garc here'!$C$2,1+(('table for research'!$B466-456)*36+HEX2DEC('table for research'!P$1))*2,2)</f>
        <v>00</v>
      </c>
      <c r="Q466" t="str">
        <f>MID('paste from garc here'!$C$2,1+(('table for research'!$B466-456)*36+HEX2DEC('table for research'!Q$1))*2,2)</f>
        <v>00</v>
      </c>
      <c r="R466" t="str">
        <f>MID('paste from garc here'!$C$2,1+(('table for research'!$B466-456)*36+HEX2DEC('table for research'!R$1))*2,2)</f>
        <v>00</v>
      </c>
      <c r="S466" t="str">
        <f>MID('paste from garc here'!$C$2,1+(('table for research'!$B466-456)*36+HEX2DEC('table for research'!S$1))*2,2)</f>
        <v>08</v>
      </c>
      <c r="T466" t="str">
        <f>MID('paste from garc here'!$C$2,1+(('table for research'!$B466-456)*36+HEX2DEC('table for research'!T$1))*2,2)</f>
        <v>00</v>
      </c>
      <c r="U466" t="str">
        <f>MID('paste from garc here'!$C$2,1+(('table for research'!$B466-456)*36+HEX2DEC('table for research'!U$1))*2,2)</f>
        <v>FF</v>
      </c>
      <c r="V466" t="str">
        <f>MID('paste from garc here'!$C$2,1+(('table for research'!$B466-456)*36+HEX2DEC('table for research'!V$1))*2,2)</f>
        <v>00</v>
      </c>
      <c r="W466" t="str">
        <f>MID('paste from garc here'!$C$2,1+(('table for research'!$B466-456)*36+HEX2DEC('table for research'!W$1))*2,2)</f>
        <v>00</v>
      </c>
      <c r="X466" t="str">
        <f>MID('paste from garc here'!$C$2,1+(('table for research'!$B466-456)*36+HEX2DEC('table for research'!X$1))*2,2)</f>
        <v>00</v>
      </c>
      <c r="Y466" t="str">
        <f>MID('paste from garc here'!$C$2,1+(('table for research'!$B466-456)*36+HEX2DEC('table for research'!Y$1))*2,2)</f>
        <v>00</v>
      </c>
      <c r="Z466" t="str">
        <f>MID('paste from garc here'!$C$2,1+(('table for research'!$B466-456)*36+HEX2DEC('table for research'!Z$1))*2,2)</f>
        <v>00</v>
      </c>
      <c r="AA466" t="str">
        <f>MID('paste from garc here'!$C$2,1+(('table for research'!$B466-456)*36+HEX2DEC('table for research'!AA$1))*2,2)</f>
        <v>00</v>
      </c>
      <c r="AB466" t="str">
        <f>MID('paste from garc here'!$C$2,1+(('table for research'!$B466-456)*36+HEX2DEC('table for research'!AB$1))*2,2)</f>
        <v>00</v>
      </c>
      <c r="AC466" t="str">
        <f>MID('paste from garc here'!$C$2,1+(('table for research'!$B466-456)*36+HEX2DEC('table for research'!AC$1))*2,2)</f>
        <v>00</v>
      </c>
      <c r="AD466" t="str">
        <f>MID('paste from garc here'!$C$2,1+(('table for research'!$B466-456)*36+HEX2DEC('table for research'!AD$1))*2,2)</f>
        <v>00</v>
      </c>
      <c r="AE466" t="str">
        <f>MID('paste from garc here'!$C$2,1+(('table for research'!$B466-456)*36+HEX2DEC('table for research'!AE$1))*2,2)</f>
        <v>00</v>
      </c>
      <c r="AF466" t="str">
        <f>MID('paste from garc here'!$C$2,1+(('table for research'!$B466-456)*36+HEX2DEC('table for research'!AF$1))*2,2)</f>
        <v>00</v>
      </c>
      <c r="AG466" t="str">
        <f>MID('paste from garc here'!$C$2,1+(('table for research'!$B466-456)*36+HEX2DEC('table for research'!AG$1))*2,2)</f>
        <v>00</v>
      </c>
      <c r="AH466" t="str">
        <f>MID('paste from garc here'!$C$2,1+(('table for research'!$B466-456)*36+HEX2DEC('table for research'!AH$1))*2,2)</f>
        <v>00</v>
      </c>
      <c r="AI466" t="str">
        <f>MID('paste from garc here'!$C$2,1+(('table for research'!$B466-456)*36+HEX2DEC('table for research'!AI$1))*2,2)</f>
        <v>00</v>
      </c>
      <c r="AJ466" t="str">
        <f>MID('paste from garc here'!$C$2,1+(('table for research'!$B466-456)*36+HEX2DEC('table for research'!AJ$1))*2,2)</f>
        <v>00</v>
      </c>
      <c r="AK466" t="str">
        <f>MID('paste from garc here'!$C$2,1+(('table for research'!$B466-456)*36+HEX2DEC('table for research'!AK$1))*2,2)</f>
        <v>00</v>
      </c>
      <c r="AL466" t="str">
        <f>MID('paste from garc here'!$C$2,1+(('table for research'!$B466-456)*36+HEX2DEC('table for research'!AL$1))*2,2)</f>
        <v>00</v>
      </c>
      <c r="AM466" t="str">
        <f>MID('paste from garc here'!$C$2,1+(('table for research'!$B466-456)*36+HEX2DEC('table for research'!AM$1))*2,2)</f>
        <v>00</v>
      </c>
      <c r="AN466" t="str">
        <f>MID('paste from garc here'!$C$2,1+(('table for research'!$B466-456)*36+HEX2DEC('table for research'!AN$1))*2,2)</f>
        <v>00</v>
      </c>
      <c r="AO466" t="str">
        <f>MID('paste from garc here'!$C$2,1+(('table for research'!$B466-456)*36+HEX2DEC('table for research'!AO$1))*2,2)</f>
        <v>00</v>
      </c>
    </row>
    <row r="467" spans="1:41" x14ac:dyDescent="0.4">
      <c r="A467" t="s">
        <v>469</v>
      </c>
      <c r="B467">
        <f>B466+1</f>
        <v>465</v>
      </c>
      <c r="C467" t="str">
        <f>MID('paste from garc here'!$C$2,1+(('table for research'!$B467-456)*36+HEX2DEC('table for research'!C$1))*2,2)</f>
        <v>00</v>
      </c>
      <c r="D467" t="str">
        <f>MID('paste from garc here'!$C$2,1+(('table for research'!$B467-456)*36+HEX2DEC('table for research'!D$1))*2,2)</f>
        <v>00</v>
      </c>
      <c r="E467" t="str">
        <f>MID('paste from garc here'!$C$2,1+(('table for research'!$B467-456)*36+HEX2DEC('table for research'!E$1))*2,2)</f>
        <v>00</v>
      </c>
      <c r="F467" t="str">
        <f>MID('paste from garc here'!$C$2,1+(('table for research'!$B467-456)*36+HEX2DEC('table for research'!F$1))*2,2)</f>
        <v>00</v>
      </c>
      <c r="G467" t="str">
        <f>MID('paste from garc here'!$C$2,1+(('table for research'!$B467-456)*36+HEX2DEC('table for research'!G$1))*2,2)</f>
        <v>00</v>
      </c>
      <c r="H467" t="str">
        <f>MID('paste from garc here'!$C$2,1+(('table for research'!$B467-456)*36+HEX2DEC('table for research'!H$1))*2,2)</f>
        <v>00</v>
      </c>
      <c r="I467" t="str">
        <f>MID('paste from garc here'!$C$2,1+(('table for research'!$B467-456)*36+HEX2DEC('table for research'!I$1))*2,2)</f>
        <v>00</v>
      </c>
      <c r="J467" t="str">
        <f>MID('paste from garc here'!$C$2,1+(('table for research'!$B467-456)*36+HEX2DEC('table for research'!J$1))*2,2)</f>
        <v>00</v>
      </c>
      <c r="K467" t="str">
        <f>DEC2HEX(_xlfn.BITAND(HEX2DEC(MID('paste from garc here'!$C$1,1+(('table for research'!$B467-1)*36+HEX2DEC(8))*2,2)),31),2)</f>
        <v>00</v>
      </c>
      <c r="L467" t="str">
        <f>DEC2HEX(_xlfn.BITAND(HEX2DEC(MID('paste from garc here'!$C$1,1+(('table for research'!$B467-1)*36+HEX2DEC(8))*2,2)),32),2)</f>
        <v>00</v>
      </c>
      <c r="M467" t="str">
        <f>DEC2HEX(_xlfn.BITAND(HEX2DEC(MID('paste from garc here'!$C$1,1+(('table for research'!$B467-1)*36+HEX2DEC(8))*2,2)),64),2)</f>
        <v>00</v>
      </c>
      <c r="N467" t="str">
        <f>DEC2HEX(_xlfn.BITRSHIFT(_xlfn.BITAND(HEX2DEC(MID('paste from garc here'!$C$1,1+(('table for research'!$B467-1)*36+HEX2DEC(9))*2,2)&amp;MID('paste from garc here'!$C$1,1+(('table for research'!$B467-1)*36+HEX2DEC(8))*2,2)),1920),7),2)</f>
        <v>00</v>
      </c>
      <c r="O467" t="str">
        <f>DEC2HEX(_xlfn.BITRSHIFT(HEX2DEC(MID('paste from garc here'!$C$1,1+(('table for research'!$B467-1)*36+HEX2DEC(9))*2,2)&amp;MID('paste from garc here'!$C$1,1+(('table for research'!$B467-1)*36+HEX2DEC(8))*2,2)),11),2)</f>
        <v>00</v>
      </c>
      <c r="P467" t="str">
        <f>MID('paste from garc here'!$C$2,1+(('table for research'!$B467-456)*36+HEX2DEC('table for research'!P$1))*2,2)</f>
        <v>0E</v>
      </c>
      <c r="Q467" t="str">
        <f>MID('paste from garc here'!$C$2,1+(('table for research'!$B467-456)*36+HEX2DEC('table for research'!Q$1))*2,2)</f>
        <v>00</v>
      </c>
      <c r="R467" t="str">
        <f>MID('paste from garc here'!$C$2,1+(('table for research'!$B467-456)*36+HEX2DEC('table for research'!R$1))*2,2)</f>
        <v>00</v>
      </c>
      <c r="S467" t="str">
        <f>MID('paste from garc here'!$C$2,1+(('table for research'!$B467-456)*36+HEX2DEC('table for research'!S$1))*2,2)</f>
        <v>08</v>
      </c>
      <c r="T467" t="str">
        <f>MID('paste from garc here'!$C$2,1+(('table for research'!$B467-456)*36+HEX2DEC('table for research'!T$1))*2,2)</f>
        <v>00</v>
      </c>
      <c r="U467" t="str">
        <f>MID('paste from garc here'!$C$2,1+(('table for research'!$B467-456)*36+HEX2DEC('table for research'!U$1))*2,2)</f>
        <v>03</v>
      </c>
      <c r="V467" t="str">
        <f>MID('paste from garc here'!$C$2,1+(('table for research'!$B467-456)*36+HEX2DEC('table for research'!V$1))*2,2)</f>
        <v>00</v>
      </c>
      <c r="W467" t="str">
        <f>MID('paste from garc here'!$C$2,1+(('table for research'!$B467-456)*36+HEX2DEC('table for research'!W$1))*2,2)</f>
        <v>00</v>
      </c>
      <c r="X467" t="str">
        <f>MID('paste from garc here'!$C$2,1+(('table for research'!$B467-456)*36+HEX2DEC('table for research'!X$1))*2,2)</f>
        <v>00</v>
      </c>
      <c r="Y467" t="str">
        <f>MID('paste from garc here'!$C$2,1+(('table for research'!$B467-456)*36+HEX2DEC('table for research'!Y$1))*2,2)</f>
        <v>00</v>
      </c>
      <c r="Z467" t="str">
        <f>MID('paste from garc here'!$C$2,1+(('table for research'!$B467-456)*36+HEX2DEC('table for research'!Z$1))*2,2)</f>
        <v>00</v>
      </c>
      <c r="AA467" t="str">
        <f>MID('paste from garc here'!$C$2,1+(('table for research'!$B467-456)*36+HEX2DEC('table for research'!AA$1))*2,2)</f>
        <v>00</v>
      </c>
      <c r="AB467" t="str">
        <f>MID('paste from garc here'!$C$2,1+(('table for research'!$B467-456)*36+HEX2DEC('table for research'!AB$1))*2,2)</f>
        <v>00</v>
      </c>
      <c r="AC467" t="str">
        <f>MID('paste from garc here'!$C$2,1+(('table for research'!$B467-456)*36+HEX2DEC('table for research'!AC$1))*2,2)</f>
        <v>00</v>
      </c>
      <c r="AD467" t="str">
        <f>MID('paste from garc here'!$C$2,1+(('table for research'!$B467-456)*36+HEX2DEC('table for research'!AD$1))*2,2)</f>
        <v>00</v>
      </c>
      <c r="AE467" t="str">
        <f>MID('paste from garc here'!$C$2,1+(('table for research'!$B467-456)*36+HEX2DEC('table for research'!AE$1))*2,2)</f>
        <v>00</v>
      </c>
      <c r="AF467" t="str">
        <f>MID('paste from garc here'!$C$2,1+(('table for research'!$B467-456)*36+HEX2DEC('table for research'!AF$1))*2,2)</f>
        <v>00</v>
      </c>
      <c r="AG467" t="str">
        <f>MID('paste from garc here'!$C$2,1+(('table for research'!$B467-456)*36+HEX2DEC('table for research'!AG$1))*2,2)</f>
        <v>00</v>
      </c>
      <c r="AH467" t="str">
        <f>MID('paste from garc here'!$C$2,1+(('table for research'!$B467-456)*36+HEX2DEC('table for research'!AH$1))*2,2)</f>
        <v>00</v>
      </c>
      <c r="AI467" t="str">
        <f>MID('paste from garc here'!$C$2,1+(('table for research'!$B467-456)*36+HEX2DEC('table for research'!AI$1))*2,2)</f>
        <v>00</v>
      </c>
      <c r="AJ467" t="str">
        <f>MID('paste from garc here'!$C$2,1+(('table for research'!$B467-456)*36+HEX2DEC('table for research'!AJ$1))*2,2)</f>
        <v>00</v>
      </c>
      <c r="AK467" t="str">
        <f>MID('paste from garc here'!$C$2,1+(('table for research'!$B467-456)*36+HEX2DEC('table for research'!AK$1))*2,2)</f>
        <v>00</v>
      </c>
      <c r="AL467" t="str">
        <f>MID('paste from garc here'!$C$2,1+(('table for research'!$B467-456)*36+HEX2DEC('table for research'!AL$1))*2,2)</f>
        <v>00</v>
      </c>
      <c r="AM467" t="str">
        <f>MID('paste from garc here'!$C$2,1+(('table for research'!$B467-456)*36+HEX2DEC('table for research'!AM$1))*2,2)</f>
        <v>00</v>
      </c>
      <c r="AN467" t="str">
        <f>MID('paste from garc here'!$C$2,1+(('table for research'!$B467-456)*36+HEX2DEC('table for research'!AN$1))*2,2)</f>
        <v>00</v>
      </c>
      <c r="AO467" t="str">
        <f>MID('paste from garc here'!$C$2,1+(('table for research'!$B467-456)*36+HEX2DEC('table for research'!AO$1))*2,2)</f>
        <v>00</v>
      </c>
    </row>
    <row r="468" spans="1:41" x14ac:dyDescent="0.4">
      <c r="A468" t="s">
        <v>470</v>
      </c>
      <c r="B468">
        <f>B467+1</f>
        <v>466</v>
      </c>
      <c r="C468" t="str">
        <f>MID('paste from garc here'!$C$2,1+(('table for research'!$B468-456)*36+HEX2DEC('table for research'!C$1))*2,2)</f>
        <v>00</v>
      </c>
      <c r="D468" t="str">
        <f>MID('paste from garc here'!$C$2,1+(('table for research'!$B468-456)*36+HEX2DEC('table for research'!D$1))*2,2)</f>
        <v>00</v>
      </c>
      <c r="E468" t="str">
        <f>MID('paste from garc here'!$C$2,1+(('table for research'!$B468-456)*36+HEX2DEC('table for research'!E$1))*2,2)</f>
        <v>00</v>
      </c>
      <c r="F468" t="str">
        <f>MID('paste from garc here'!$C$2,1+(('table for research'!$B468-456)*36+HEX2DEC('table for research'!F$1))*2,2)</f>
        <v>00</v>
      </c>
      <c r="G468" t="str">
        <f>MID('paste from garc here'!$C$2,1+(('table for research'!$B468-456)*36+HEX2DEC('table for research'!G$1))*2,2)</f>
        <v>00</v>
      </c>
      <c r="H468" t="str">
        <f>MID('paste from garc here'!$C$2,1+(('table for research'!$B468-456)*36+HEX2DEC('table for research'!H$1))*2,2)</f>
        <v>00</v>
      </c>
      <c r="I468" t="str">
        <f>MID('paste from garc here'!$C$2,1+(('table for research'!$B468-456)*36+HEX2DEC('table for research'!I$1))*2,2)</f>
        <v>00</v>
      </c>
      <c r="J468" t="str">
        <f>MID('paste from garc here'!$C$2,1+(('table for research'!$B468-456)*36+HEX2DEC('table for research'!J$1))*2,2)</f>
        <v>00</v>
      </c>
      <c r="K468" t="str">
        <f>DEC2HEX(_xlfn.BITAND(HEX2DEC(MID('paste from garc here'!$C$1,1+(('table for research'!$B468-1)*36+HEX2DEC(8))*2,2)),31),2)</f>
        <v>00</v>
      </c>
      <c r="L468" t="str">
        <f>DEC2HEX(_xlfn.BITAND(HEX2DEC(MID('paste from garc here'!$C$1,1+(('table for research'!$B468-1)*36+HEX2DEC(8))*2,2)),32),2)</f>
        <v>00</v>
      </c>
      <c r="M468" t="str">
        <f>DEC2HEX(_xlfn.BITAND(HEX2DEC(MID('paste from garc here'!$C$1,1+(('table for research'!$B468-1)*36+HEX2DEC(8))*2,2)),64),2)</f>
        <v>00</v>
      </c>
      <c r="N468" t="str">
        <f>DEC2HEX(_xlfn.BITRSHIFT(_xlfn.BITAND(HEX2DEC(MID('paste from garc here'!$C$1,1+(('table for research'!$B468-1)*36+HEX2DEC(9))*2,2)&amp;MID('paste from garc here'!$C$1,1+(('table for research'!$B468-1)*36+HEX2DEC(8))*2,2)),1920),7),2)</f>
        <v>00</v>
      </c>
      <c r="O468" t="str">
        <f>DEC2HEX(_xlfn.BITRSHIFT(HEX2DEC(MID('paste from garc here'!$C$1,1+(('table for research'!$B468-1)*36+HEX2DEC(9))*2,2)&amp;MID('paste from garc here'!$C$1,1+(('table for research'!$B468-1)*36+HEX2DEC(8))*2,2)),11),2)</f>
        <v>00</v>
      </c>
      <c r="P468" t="str">
        <f>MID('paste from garc here'!$C$2,1+(('table for research'!$B468-456)*36+HEX2DEC('table for research'!P$1))*2,2)</f>
        <v>0F</v>
      </c>
      <c r="Q468" t="str">
        <f>MID('paste from garc here'!$C$2,1+(('table for research'!$B468-456)*36+HEX2DEC('table for research'!Q$1))*2,2)</f>
        <v>00</v>
      </c>
      <c r="R468" t="str">
        <f>MID('paste from garc here'!$C$2,1+(('table for research'!$B468-456)*36+HEX2DEC('table for research'!R$1))*2,2)</f>
        <v>00</v>
      </c>
      <c r="S468" t="str">
        <f>MID('paste from garc here'!$C$2,1+(('table for research'!$B468-456)*36+HEX2DEC('table for research'!S$1))*2,2)</f>
        <v>08</v>
      </c>
      <c r="T468" t="str">
        <f>MID('paste from garc here'!$C$2,1+(('table for research'!$B468-456)*36+HEX2DEC('table for research'!T$1))*2,2)</f>
        <v>00</v>
      </c>
      <c r="U468" t="str">
        <f>MID('paste from garc here'!$C$2,1+(('table for research'!$B468-456)*36+HEX2DEC('table for research'!U$1))*2,2)</f>
        <v>2A</v>
      </c>
      <c r="V468" t="str">
        <f>MID('paste from garc here'!$C$2,1+(('table for research'!$B468-456)*36+HEX2DEC('table for research'!V$1))*2,2)</f>
        <v>00</v>
      </c>
      <c r="W468" t="str">
        <f>MID('paste from garc here'!$C$2,1+(('table for research'!$B468-456)*36+HEX2DEC('table for research'!W$1))*2,2)</f>
        <v>00</v>
      </c>
      <c r="X468" t="str">
        <f>MID('paste from garc here'!$C$2,1+(('table for research'!$B468-456)*36+HEX2DEC('table for research'!X$1))*2,2)</f>
        <v>00</v>
      </c>
      <c r="Y468" t="str">
        <f>MID('paste from garc here'!$C$2,1+(('table for research'!$B468-456)*36+HEX2DEC('table for research'!Y$1))*2,2)</f>
        <v>00</v>
      </c>
      <c r="Z468" t="str">
        <f>MID('paste from garc here'!$C$2,1+(('table for research'!$B468-456)*36+HEX2DEC('table for research'!Z$1))*2,2)</f>
        <v>00</v>
      </c>
      <c r="AA468" t="str">
        <f>MID('paste from garc here'!$C$2,1+(('table for research'!$B468-456)*36+HEX2DEC('table for research'!AA$1))*2,2)</f>
        <v>00</v>
      </c>
      <c r="AB468" t="str">
        <f>MID('paste from garc here'!$C$2,1+(('table for research'!$B468-456)*36+HEX2DEC('table for research'!AB$1))*2,2)</f>
        <v>00</v>
      </c>
      <c r="AC468" t="str">
        <f>MID('paste from garc here'!$C$2,1+(('table for research'!$B468-456)*36+HEX2DEC('table for research'!AC$1))*2,2)</f>
        <v>00</v>
      </c>
      <c r="AD468" t="str">
        <f>MID('paste from garc here'!$C$2,1+(('table for research'!$B468-456)*36+HEX2DEC('table for research'!AD$1))*2,2)</f>
        <v>00</v>
      </c>
      <c r="AE468" t="str">
        <f>MID('paste from garc here'!$C$2,1+(('table for research'!$B468-456)*36+HEX2DEC('table for research'!AE$1))*2,2)</f>
        <v>00</v>
      </c>
      <c r="AF468" t="str">
        <f>MID('paste from garc here'!$C$2,1+(('table for research'!$B468-456)*36+HEX2DEC('table for research'!AF$1))*2,2)</f>
        <v>00</v>
      </c>
      <c r="AG468" t="str">
        <f>MID('paste from garc here'!$C$2,1+(('table for research'!$B468-456)*36+HEX2DEC('table for research'!AG$1))*2,2)</f>
        <v>00</v>
      </c>
      <c r="AH468" t="str">
        <f>MID('paste from garc here'!$C$2,1+(('table for research'!$B468-456)*36+HEX2DEC('table for research'!AH$1))*2,2)</f>
        <v>00</v>
      </c>
      <c r="AI468" t="str">
        <f>MID('paste from garc here'!$C$2,1+(('table for research'!$B468-456)*36+HEX2DEC('table for research'!AI$1))*2,2)</f>
        <v>00</v>
      </c>
      <c r="AJ468" t="str">
        <f>MID('paste from garc here'!$C$2,1+(('table for research'!$B468-456)*36+HEX2DEC('table for research'!AJ$1))*2,2)</f>
        <v>00</v>
      </c>
      <c r="AK468" t="str">
        <f>MID('paste from garc here'!$C$2,1+(('table for research'!$B468-456)*36+HEX2DEC('table for research'!AK$1))*2,2)</f>
        <v>00</v>
      </c>
      <c r="AL468" t="str">
        <f>MID('paste from garc here'!$C$2,1+(('table for research'!$B468-456)*36+HEX2DEC('table for research'!AL$1))*2,2)</f>
        <v>00</v>
      </c>
      <c r="AM468" t="str">
        <f>MID('paste from garc here'!$C$2,1+(('table for research'!$B468-456)*36+HEX2DEC('table for research'!AM$1))*2,2)</f>
        <v>00</v>
      </c>
      <c r="AN468" t="str">
        <f>MID('paste from garc here'!$C$2,1+(('table for research'!$B468-456)*36+HEX2DEC('table for research'!AN$1))*2,2)</f>
        <v>00</v>
      </c>
      <c r="AO468" t="str">
        <f>MID('paste from garc here'!$C$2,1+(('table for research'!$B468-456)*36+HEX2DEC('table for research'!AO$1))*2,2)</f>
        <v>00</v>
      </c>
    </row>
    <row r="469" spans="1:41" x14ac:dyDescent="0.4">
      <c r="A469" t="s">
        <v>471</v>
      </c>
      <c r="B469">
        <f>B468+1</f>
        <v>467</v>
      </c>
      <c r="C469" t="str">
        <f>MID('paste from garc here'!$C$2,1+(('table for research'!$B469-456)*36+HEX2DEC('table for research'!C$1))*2,2)</f>
        <v>00</v>
      </c>
      <c r="D469" t="str">
        <f>MID('paste from garc here'!$C$2,1+(('table for research'!$B469-456)*36+HEX2DEC('table for research'!D$1))*2,2)</f>
        <v>00</v>
      </c>
      <c r="E469" t="str">
        <f>MID('paste from garc here'!$C$2,1+(('table for research'!$B469-456)*36+HEX2DEC('table for research'!E$1))*2,2)</f>
        <v>00</v>
      </c>
      <c r="F469" t="str">
        <f>MID('paste from garc here'!$C$2,1+(('table for research'!$B469-456)*36+HEX2DEC('table for research'!F$1))*2,2)</f>
        <v>00</v>
      </c>
      <c r="G469" t="str">
        <f>MID('paste from garc here'!$C$2,1+(('table for research'!$B469-456)*36+HEX2DEC('table for research'!G$1))*2,2)</f>
        <v>00</v>
      </c>
      <c r="H469" t="str">
        <f>MID('paste from garc here'!$C$2,1+(('table for research'!$B469-456)*36+HEX2DEC('table for research'!H$1))*2,2)</f>
        <v>00</v>
      </c>
      <c r="I469" t="str">
        <f>MID('paste from garc here'!$C$2,1+(('table for research'!$B469-456)*36+HEX2DEC('table for research'!I$1))*2,2)</f>
        <v>00</v>
      </c>
      <c r="J469" t="str">
        <f>MID('paste from garc here'!$C$2,1+(('table for research'!$B469-456)*36+HEX2DEC('table for research'!J$1))*2,2)</f>
        <v>00</v>
      </c>
      <c r="K469" t="str">
        <f>DEC2HEX(_xlfn.BITAND(HEX2DEC(MID('paste from garc here'!$C$1,1+(('table for research'!$B469-1)*36+HEX2DEC(8))*2,2)),31),2)</f>
        <v>00</v>
      </c>
      <c r="L469" t="str">
        <f>DEC2HEX(_xlfn.BITAND(HEX2DEC(MID('paste from garc here'!$C$1,1+(('table for research'!$B469-1)*36+HEX2DEC(8))*2,2)),32),2)</f>
        <v>00</v>
      </c>
      <c r="M469" t="str">
        <f>DEC2HEX(_xlfn.BITAND(HEX2DEC(MID('paste from garc here'!$C$1,1+(('table for research'!$B469-1)*36+HEX2DEC(8))*2,2)),64),2)</f>
        <v>00</v>
      </c>
      <c r="N469" t="str">
        <f>DEC2HEX(_xlfn.BITRSHIFT(_xlfn.BITAND(HEX2DEC(MID('paste from garc here'!$C$1,1+(('table for research'!$B469-1)*36+HEX2DEC(9))*2,2)&amp;MID('paste from garc here'!$C$1,1+(('table for research'!$B469-1)*36+HEX2DEC(8))*2,2)),1920),7),2)</f>
        <v>00</v>
      </c>
      <c r="O469" t="str">
        <f>DEC2HEX(_xlfn.BITRSHIFT(HEX2DEC(MID('paste from garc here'!$C$1,1+(('table for research'!$B469-1)*36+HEX2DEC(9))*2,2)&amp;MID('paste from garc here'!$C$1,1+(('table for research'!$B469-1)*36+HEX2DEC(8))*2,2)),11),2)</f>
        <v>00</v>
      </c>
      <c r="P469" t="str">
        <f>MID('paste from garc here'!$C$2,1+(('table for research'!$B469-456)*36+HEX2DEC('table for research'!P$1))*2,2)</f>
        <v>00</v>
      </c>
      <c r="Q469" t="str">
        <f>MID('paste from garc here'!$C$2,1+(('table for research'!$B469-456)*36+HEX2DEC('table for research'!Q$1))*2,2)</f>
        <v>00</v>
      </c>
      <c r="R469" t="str">
        <f>MID('paste from garc here'!$C$2,1+(('table for research'!$B469-456)*36+HEX2DEC('table for research'!R$1))*2,2)</f>
        <v>00</v>
      </c>
      <c r="S469" t="str">
        <f>MID('paste from garc here'!$C$2,1+(('table for research'!$B469-456)*36+HEX2DEC('table for research'!S$1))*2,2)</f>
        <v>08</v>
      </c>
      <c r="T469" t="str">
        <f>MID('paste from garc here'!$C$2,1+(('table for research'!$B469-456)*36+HEX2DEC('table for research'!T$1))*2,2)</f>
        <v>00</v>
      </c>
      <c r="U469" t="str">
        <f>MID('paste from garc here'!$C$2,1+(('table for research'!$B469-456)*36+HEX2DEC('table for research'!U$1))*2,2)</f>
        <v>FF</v>
      </c>
      <c r="V469" t="str">
        <f>MID('paste from garc here'!$C$2,1+(('table for research'!$B469-456)*36+HEX2DEC('table for research'!V$1))*2,2)</f>
        <v>00</v>
      </c>
      <c r="W469" t="str">
        <f>MID('paste from garc here'!$C$2,1+(('table for research'!$B469-456)*36+HEX2DEC('table for research'!W$1))*2,2)</f>
        <v>00</v>
      </c>
      <c r="X469" t="str">
        <f>MID('paste from garc here'!$C$2,1+(('table for research'!$B469-456)*36+HEX2DEC('table for research'!X$1))*2,2)</f>
        <v>00</v>
      </c>
      <c r="Y469" t="str">
        <f>MID('paste from garc here'!$C$2,1+(('table for research'!$B469-456)*36+HEX2DEC('table for research'!Y$1))*2,2)</f>
        <v>00</v>
      </c>
      <c r="Z469" t="str">
        <f>MID('paste from garc here'!$C$2,1+(('table for research'!$B469-456)*36+HEX2DEC('table for research'!Z$1))*2,2)</f>
        <v>00</v>
      </c>
      <c r="AA469" t="str">
        <f>MID('paste from garc here'!$C$2,1+(('table for research'!$B469-456)*36+HEX2DEC('table for research'!AA$1))*2,2)</f>
        <v>00</v>
      </c>
      <c r="AB469" t="str">
        <f>MID('paste from garc here'!$C$2,1+(('table for research'!$B469-456)*36+HEX2DEC('table for research'!AB$1))*2,2)</f>
        <v>00</v>
      </c>
      <c r="AC469" t="str">
        <f>MID('paste from garc here'!$C$2,1+(('table for research'!$B469-456)*36+HEX2DEC('table for research'!AC$1))*2,2)</f>
        <v>00</v>
      </c>
      <c r="AD469" t="str">
        <f>MID('paste from garc here'!$C$2,1+(('table for research'!$B469-456)*36+HEX2DEC('table for research'!AD$1))*2,2)</f>
        <v>00</v>
      </c>
      <c r="AE469" t="str">
        <f>MID('paste from garc here'!$C$2,1+(('table for research'!$B469-456)*36+HEX2DEC('table for research'!AE$1))*2,2)</f>
        <v>00</v>
      </c>
      <c r="AF469" t="str">
        <f>MID('paste from garc here'!$C$2,1+(('table for research'!$B469-456)*36+HEX2DEC('table for research'!AF$1))*2,2)</f>
        <v>00</v>
      </c>
      <c r="AG469" t="str">
        <f>MID('paste from garc here'!$C$2,1+(('table for research'!$B469-456)*36+HEX2DEC('table for research'!AG$1))*2,2)</f>
        <v>00</v>
      </c>
      <c r="AH469" t="str">
        <f>MID('paste from garc here'!$C$2,1+(('table for research'!$B469-456)*36+HEX2DEC('table for research'!AH$1))*2,2)</f>
        <v>00</v>
      </c>
      <c r="AI469" t="str">
        <f>MID('paste from garc here'!$C$2,1+(('table for research'!$B469-456)*36+HEX2DEC('table for research'!AI$1))*2,2)</f>
        <v>00</v>
      </c>
      <c r="AJ469" t="str">
        <f>MID('paste from garc here'!$C$2,1+(('table for research'!$B469-456)*36+HEX2DEC('table for research'!AJ$1))*2,2)</f>
        <v>00</v>
      </c>
      <c r="AK469" t="str">
        <f>MID('paste from garc here'!$C$2,1+(('table for research'!$B469-456)*36+HEX2DEC('table for research'!AK$1))*2,2)</f>
        <v>00</v>
      </c>
      <c r="AL469" t="str">
        <f>MID('paste from garc here'!$C$2,1+(('table for research'!$B469-456)*36+HEX2DEC('table for research'!AL$1))*2,2)</f>
        <v>00</v>
      </c>
      <c r="AM469" t="str">
        <f>MID('paste from garc here'!$C$2,1+(('table for research'!$B469-456)*36+HEX2DEC('table for research'!AM$1))*2,2)</f>
        <v>00</v>
      </c>
      <c r="AN469" t="str">
        <f>MID('paste from garc here'!$C$2,1+(('table for research'!$B469-456)*36+HEX2DEC('table for research'!AN$1))*2,2)</f>
        <v>00</v>
      </c>
      <c r="AO469" t="str">
        <f>MID('paste from garc here'!$C$2,1+(('table for research'!$B469-456)*36+HEX2DEC('table for research'!AO$1))*2,2)</f>
        <v>00</v>
      </c>
    </row>
    <row r="470" spans="1:41" x14ac:dyDescent="0.4">
      <c r="A470" t="s">
        <v>472</v>
      </c>
      <c r="B470">
        <f>B469+1</f>
        <v>468</v>
      </c>
      <c r="C470" t="str">
        <f>MID('paste from garc here'!$C$2,1+(('table for research'!$B470-456)*36+HEX2DEC('table for research'!C$1))*2,2)</f>
        <v>00</v>
      </c>
      <c r="D470" t="str">
        <f>MID('paste from garc here'!$C$2,1+(('table for research'!$B470-456)*36+HEX2DEC('table for research'!D$1))*2,2)</f>
        <v>00</v>
      </c>
      <c r="E470" t="str">
        <f>MID('paste from garc here'!$C$2,1+(('table for research'!$B470-456)*36+HEX2DEC('table for research'!E$1))*2,2)</f>
        <v>00</v>
      </c>
      <c r="F470" t="str">
        <f>MID('paste from garc here'!$C$2,1+(('table for research'!$B470-456)*36+HEX2DEC('table for research'!F$1))*2,2)</f>
        <v>00</v>
      </c>
      <c r="G470" t="str">
        <f>MID('paste from garc here'!$C$2,1+(('table for research'!$B470-456)*36+HEX2DEC('table for research'!G$1))*2,2)</f>
        <v>00</v>
      </c>
      <c r="H470" t="str">
        <f>MID('paste from garc here'!$C$2,1+(('table for research'!$B470-456)*36+HEX2DEC('table for research'!H$1))*2,2)</f>
        <v>00</v>
      </c>
      <c r="I470" t="str">
        <f>MID('paste from garc here'!$C$2,1+(('table for research'!$B470-456)*36+HEX2DEC('table for research'!I$1))*2,2)</f>
        <v>00</v>
      </c>
      <c r="J470" t="str">
        <f>MID('paste from garc here'!$C$2,1+(('table for research'!$B470-456)*36+HEX2DEC('table for research'!J$1))*2,2)</f>
        <v>00</v>
      </c>
      <c r="K470" t="str">
        <f>DEC2HEX(_xlfn.BITAND(HEX2DEC(MID('paste from garc here'!$C$1,1+(('table for research'!$B470-1)*36+HEX2DEC(8))*2,2)),31),2)</f>
        <v>00</v>
      </c>
      <c r="L470" t="str">
        <f>DEC2HEX(_xlfn.BITAND(HEX2DEC(MID('paste from garc here'!$C$1,1+(('table for research'!$B470-1)*36+HEX2DEC(8))*2,2)),32),2)</f>
        <v>00</v>
      </c>
      <c r="M470" t="str">
        <f>DEC2HEX(_xlfn.BITAND(HEX2DEC(MID('paste from garc here'!$C$1,1+(('table for research'!$B470-1)*36+HEX2DEC(8))*2,2)),64),2)</f>
        <v>00</v>
      </c>
      <c r="N470" t="str">
        <f>DEC2HEX(_xlfn.BITRSHIFT(_xlfn.BITAND(HEX2DEC(MID('paste from garc here'!$C$1,1+(('table for research'!$B470-1)*36+HEX2DEC(9))*2,2)&amp;MID('paste from garc here'!$C$1,1+(('table for research'!$B470-1)*36+HEX2DEC(8))*2,2)),1920),7),2)</f>
        <v>00</v>
      </c>
      <c r="O470" t="str">
        <f>DEC2HEX(_xlfn.BITRSHIFT(HEX2DEC(MID('paste from garc here'!$C$1,1+(('table for research'!$B470-1)*36+HEX2DEC(9))*2,2)&amp;MID('paste from garc here'!$C$1,1+(('table for research'!$B470-1)*36+HEX2DEC(8))*2,2)),11),2)</f>
        <v>00</v>
      </c>
      <c r="P470" t="str">
        <f>MID('paste from garc here'!$C$2,1+(('table for research'!$B470-456)*36+HEX2DEC('table for research'!P$1))*2,2)</f>
        <v>00</v>
      </c>
      <c r="Q470" t="str">
        <f>MID('paste from garc here'!$C$2,1+(('table for research'!$B470-456)*36+HEX2DEC('table for research'!Q$1))*2,2)</f>
        <v>00</v>
      </c>
      <c r="R470" t="str">
        <f>MID('paste from garc here'!$C$2,1+(('table for research'!$B470-456)*36+HEX2DEC('table for research'!R$1))*2,2)</f>
        <v>00</v>
      </c>
      <c r="S470" t="str">
        <f>MID('paste from garc here'!$C$2,1+(('table for research'!$B470-456)*36+HEX2DEC('table for research'!S$1))*2,2)</f>
        <v>08</v>
      </c>
      <c r="T470" t="str">
        <f>MID('paste from garc here'!$C$2,1+(('table for research'!$B470-456)*36+HEX2DEC('table for research'!T$1))*2,2)</f>
        <v>00</v>
      </c>
      <c r="U470" t="str">
        <f>MID('paste from garc here'!$C$2,1+(('table for research'!$B470-456)*36+HEX2DEC('table for research'!U$1))*2,2)</f>
        <v>FF</v>
      </c>
      <c r="V470" t="str">
        <f>MID('paste from garc here'!$C$2,1+(('table for research'!$B470-456)*36+HEX2DEC('table for research'!V$1))*2,2)</f>
        <v>00</v>
      </c>
      <c r="W470" t="str">
        <f>MID('paste from garc here'!$C$2,1+(('table for research'!$B470-456)*36+HEX2DEC('table for research'!W$1))*2,2)</f>
        <v>00</v>
      </c>
      <c r="X470" t="str">
        <f>MID('paste from garc here'!$C$2,1+(('table for research'!$B470-456)*36+HEX2DEC('table for research'!X$1))*2,2)</f>
        <v>00</v>
      </c>
      <c r="Y470" t="str">
        <f>MID('paste from garc here'!$C$2,1+(('table for research'!$B470-456)*36+HEX2DEC('table for research'!Y$1))*2,2)</f>
        <v>00</v>
      </c>
      <c r="Z470" t="str">
        <f>MID('paste from garc here'!$C$2,1+(('table for research'!$B470-456)*36+HEX2DEC('table for research'!Z$1))*2,2)</f>
        <v>00</v>
      </c>
      <c r="AA470" t="str">
        <f>MID('paste from garc here'!$C$2,1+(('table for research'!$B470-456)*36+HEX2DEC('table for research'!AA$1))*2,2)</f>
        <v>00</v>
      </c>
      <c r="AB470" t="str">
        <f>MID('paste from garc here'!$C$2,1+(('table for research'!$B470-456)*36+HEX2DEC('table for research'!AB$1))*2,2)</f>
        <v>00</v>
      </c>
      <c r="AC470" t="str">
        <f>MID('paste from garc here'!$C$2,1+(('table for research'!$B470-456)*36+HEX2DEC('table for research'!AC$1))*2,2)</f>
        <v>00</v>
      </c>
      <c r="AD470" t="str">
        <f>MID('paste from garc here'!$C$2,1+(('table for research'!$B470-456)*36+HEX2DEC('table for research'!AD$1))*2,2)</f>
        <v>00</v>
      </c>
      <c r="AE470" t="str">
        <f>MID('paste from garc here'!$C$2,1+(('table for research'!$B470-456)*36+HEX2DEC('table for research'!AE$1))*2,2)</f>
        <v>00</v>
      </c>
      <c r="AF470" t="str">
        <f>MID('paste from garc here'!$C$2,1+(('table for research'!$B470-456)*36+HEX2DEC('table for research'!AF$1))*2,2)</f>
        <v>00</v>
      </c>
      <c r="AG470" t="str">
        <f>MID('paste from garc here'!$C$2,1+(('table for research'!$B470-456)*36+HEX2DEC('table for research'!AG$1))*2,2)</f>
        <v>00</v>
      </c>
      <c r="AH470" t="str">
        <f>MID('paste from garc here'!$C$2,1+(('table for research'!$B470-456)*36+HEX2DEC('table for research'!AH$1))*2,2)</f>
        <v>00</v>
      </c>
      <c r="AI470" t="str">
        <f>MID('paste from garc here'!$C$2,1+(('table for research'!$B470-456)*36+HEX2DEC('table for research'!AI$1))*2,2)</f>
        <v>00</v>
      </c>
      <c r="AJ470" t="str">
        <f>MID('paste from garc here'!$C$2,1+(('table for research'!$B470-456)*36+HEX2DEC('table for research'!AJ$1))*2,2)</f>
        <v>00</v>
      </c>
      <c r="AK470" t="str">
        <f>MID('paste from garc here'!$C$2,1+(('table for research'!$B470-456)*36+HEX2DEC('table for research'!AK$1))*2,2)</f>
        <v>00</v>
      </c>
      <c r="AL470" t="str">
        <f>MID('paste from garc here'!$C$2,1+(('table for research'!$B470-456)*36+HEX2DEC('table for research'!AL$1))*2,2)</f>
        <v>00</v>
      </c>
      <c r="AM470" t="str">
        <f>MID('paste from garc here'!$C$2,1+(('table for research'!$B470-456)*36+HEX2DEC('table for research'!AM$1))*2,2)</f>
        <v>00</v>
      </c>
      <c r="AN470" t="str">
        <f>MID('paste from garc here'!$C$2,1+(('table for research'!$B470-456)*36+HEX2DEC('table for research'!AN$1))*2,2)</f>
        <v>00</v>
      </c>
      <c r="AO470" t="str">
        <f>MID('paste from garc here'!$C$2,1+(('table for research'!$B470-456)*36+HEX2DEC('table for research'!AO$1))*2,2)</f>
        <v>00</v>
      </c>
    </row>
    <row r="471" spans="1:41" x14ac:dyDescent="0.4">
      <c r="A471" t="s">
        <v>473</v>
      </c>
      <c r="B471">
        <f>B470+1</f>
        <v>469</v>
      </c>
      <c r="C471" t="str">
        <f>MID('paste from garc here'!$C$2,1+(('table for research'!$B471-456)*36+HEX2DEC('table for research'!C$1))*2,2)</f>
        <v>00</v>
      </c>
      <c r="D471" t="str">
        <f>MID('paste from garc here'!$C$2,1+(('table for research'!$B471-456)*36+HEX2DEC('table for research'!D$1))*2,2)</f>
        <v>00</v>
      </c>
      <c r="E471" t="str">
        <f>MID('paste from garc here'!$C$2,1+(('table for research'!$B471-456)*36+HEX2DEC('table for research'!E$1))*2,2)</f>
        <v>00</v>
      </c>
      <c r="F471" t="str">
        <f>MID('paste from garc here'!$C$2,1+(('table for research'!$B471-456)*36+HEX2DEC('table for research'!F$1))*2,2)</f>
        <v>00</v>
      </c>
      <c r="G471" t="str">
        <f>MID('paste from garc here'!$C$2,1+(('table for research'!$B471-456)*36+HEX2DEC('table for research'!G$1))*2,2)</f>
        <v>00</v>
      </c>
      <c r="H471" t="str">
        <f>MID('paste from garc here'!$C$2,1+(('table for research'!$B471-456)*36+HEX2DEC('table for research'!H$1))*2,2)</f>
        <v>00</v>
      </c>
      <c r="I471" t="str">
        <f>MID('paste from garc here'!$C$2,1+(('table for research'!$B471-456)*36+HEX2DEC('table for research'!I$1))*2,2)</f>
        <v>00</v>
      </c>
      <c r="J471" t="str">
        <f>MID('paste from garc here'!$C$2,1+(('table for research'!$B471-456)*36+HEX2DEC('table for research'!J$1))*2,2)</f>
        <v>00</v>
      </c>
      <c r="K471" t="str">
        <f>DEC2HEX(_xlfn.BITAND(HEX2DEC(MID('paste from garc here'!$C$1,1+(('table for research'!$B471-1)*36+HEX2DEC(8))*2,2)),31),2)</f>
        <v>00</v>
      </c>
      <c r="L471" t="str">
        <f>DEC2HEX(_xlfn.BITAND(HEX2DEC(MID('paste from garc here'!$C$1,1+(('table for research'!$B471-1)*36+HEX2DEC(8))*2,2)),32),2)</f>
        <v>00</v>
      </c>
      <c r="M471" t="str">
        <f>DEC2HEX(_xlfn.BITAND(HEX2DEC(MID('paste from garc here'!$C$1,1+(('table for research'!$B471-1)*36+HEX2DEC(8))*2,2)),64),2)</f>
        <v>00</v>
      </c>
      <c r="N471" t="str">
        <f>DEC2HEX(_xlfn.BITRSHIFT(_xlfn.BITAND(HEX2DEC(MID('paste from garc here'!$C$1,1+(('table for research'!$B471-1)*36+HEX2DEC(9))*2,2)&amp;MID('paste from garc here'!$C$1,1+(('table for research'!$B471-1)*36+HEX2DEC(8))*2,2)),1920),7),2)</f>
        <v>00</v>
      </c>
      <c r="O471" t="str">
        <f>DEC2HEX(_xlfn.BITRSHIFT(HEX2DEC(MID('paste from garc here'!$C$1,1+(('table for research'!$B471-1)*36+HEX2DEC(9))*2,2)&amp;MID('paste from garc here'!$C$1,1+(('table for research'!$B471-1)*36+HEX2DEC(8))*2,2)),11),2)</f>
        <v>00</v>
      </c>
      <c r="P471" t="str">
        <f>MID('paste from garc here'!$C$2,1+(('table for research'!$B471-456)*36+HEX2DEC('table for research'!P$1))*2,2)</f>
        <v>00</v>
      </c>
      <c r="Q471" t="str">
        <f>MID('paste from garc here'!$C$2,1+(('table for research'!$B471-456)*36+HEX2DEC('table for research'!Q$1))*2,2)</f>
        <v>00</v>
      </c>
      <c r="R471" t="str">
        <f>MID('paste from garc here'!$C$2,1+(('table for research'!$B471-456)*36+HEX2DEC('table for research'!R$1))*2,2)</f>
        <v>00</v>
      </c>
      <c r="S471" t="str">
        <f>MID('paste from garc here'!$C$2,1+(('table for research'!$B471-456)*36+HEX2DEC('table for research'!S$1))*2,2)</f>
        <v>08</v>
      </c>
      <c r="T471" t="str">
        <f>MID('paste from garc here'!$C$2,1+(('table for research'!$B471-456)*36+HEX2DEC('table for research'!T$1))*2,2)</f>
        <v>00</v>
      </c>
      <c r="U471" t="str">
        <f>MID('paste from garc here'!$C$2,1+(('table for research'!$B471-456)*36+HEX2DEC('table for research'!U$1))*2,2)</f>
        <v>FF</v>
      </c>
      <c r="V471" t="str">
        <f>MID('paste from garc here'!$C$2,1+(('table for research'!$B471-456)*36+HEX2DEC('table for research'!V$1))*2,2)</f>
        <v>00</v>
      </c>
      <c r="W471" t="str">
        <f>MID('paste from garc here'!$C$2,1+(('table for research'!$B471-456)*36+HEX2DEC('table for research'!W$1))*2,2)</f>
        <v>00</v>
      </c>
      <c r="X471" t="str">
        <f>MID('paste from garc here'!$C$2,1+(('table for research'!$B471-456)*36+HEX2DEC('table for research'!X$1))*2,2)</f>
        <v>00</v>
      </c>
      <c r="Y471" t="str">
        <f>MID('paste from garc here'!$C$2,1+(('table for research'!$B471-456)*36+HEX2DEC('table for research'!Y$1))*2,2)</f>
        <v>00</v>
      </c>
      <c r="Z471" t="str">
        <f>MID('paste from garc here'!$C$2,1+(('table for research'!$B471-456)*36+HEX2DEC('table for research'!Z$1))*2,2)</f>
        <v>00</v>
      </c>
      <c r="AA471" t="str">
        <f>MID('paste from garc here'!$C$2,1+(('table for research'!$B471-456)*36+HEX2DEC('table for research'!AA$1))*2,2)</f>
        <v>00</v>
      </c>
      <c r="AB471" t="str">
        <f>MID('paste from garc here'!$C$2,1+(('table for research'!$B471-456)*36+HEX2DEC('table for research'!AB$1))*2,2)</f>
        <v>00</v>
      </c>
      <c r="AC471" t="str">
        <f>MID('paste from garc here'!$C$2,1+(('table for research'!$B471-456)*36+HEX2DEC('table for research'!AC$1))*2,2)</f>
        <v>00</v>
      </c>
      <c r="AD471" t="str">
        <f>MID('paste from garc here'!$C$2,1+(('table for research'!$B471-456)*36+HEX2DEC('table for research'!AD$1))*2,2)</f>
        <v>00</v>
      </c>
      <c r="AE471" t="str">
        <f>MID('paste from garc here'!$C$2,1+(('table for research'!$B471-456)*36+HEX2DEC('table for research'!AE$1))*2,2)</f>
        <v>00</v>
      </c>
      <c r="AF471" t="str">
        <f>MID('paste from garc here'!$C$2,1+(('table for research'!$B471-456)*36+HEX2DEC('table for research'!AF$1))*2,2)</f>
        <v>00</v>
      </c>
      <c r="AG471" t="str">
        <f>MID('paste from garc here'!$C$2,1+(('table for research'!$B471-456)*36+HEX2DEC('table for research'!AG$1))*2,2)</f>
        <v>00</v>
      </c>
      <c r="AH471" t="str">
        <f>MID('paste from garc here'!$C$2,1+(('table for research'!$B471-456)*36+HEX2DEC('table for research'!AH$1))*2,2)</f>
        <v>00</v>
      </c>
      <c r="AI471" t="str">
        <f>MID('paste from garc here'!$C$2,1+(('table for research'!$B471-456)*36+HEX2DEC('table for research'!AI$1))*2,2)</f>
        <v>00</v>
      </c>
      <c r="AJ471" t="str">
        <f>MID('paste from garc here'!$C$2,1+(('table for research'!$B471-456)*36+HEX2DEC('table for research'!AJ$1))*2,2)</f>
        <v>00</v>
      </c>
      <c r="AK471" t="str">
        <f>MID('paste from garc here'!$C$2,1+(('table for research'!$B471-456)*36+HEX2DEC('table for research'!AK$1))*2,2)</f>
        <v>00</v>
      </c>
      <c r="AL471" t="str">
        <f>MID('paste from garc here'!$C$2,1+(('table for research'!$B471-456)*36+HEX2DEC('table for research'!AL$1))*2,2)</f>
        <v>00</v>
      </c>
      <c r="AM471" t="str">
        <f>MID('paste from garc here'!$C$2,1+(('table for research'!$B471-456)*36+HEX2DEC('table for research'!AM$1))*2,2)</f>
        <v>00</v>
      </c>
      <c r="AN471" t="str">
        <f>MID('paste from garc here'!$C$2,1+(('table for research'!$B471-456)*36+HEX2DEC('table for research'!AN$1))*2,2)</f>
        <v>00</v>
      </c>
      <c r="AO471" t="str">
        <f>MID('paste from garc here'!$C$2,1+(('table for research'!$B471-456)*36+HEX2DEC('table for research'!AO$1))*2,2)</f>
        <v>00</v>
      </c>
    </row>
    <row r="472" spans="1:41" x14ac:dyDescent="0.4">
      <c r="A472" t="s">
        <v>474</v>
      </c>
      <c r="B472">
        <f>B471+1</f>
        <v>470</v>
      </c>
      <c r="C472" t="str">
        <f>MID('paste from garc here'!$C$2,1+(('table for research'!$B472-456)*36+HEX2DEC('table for research'!C$1))*2,2)</f>
        <v>00</v>
      </c>
      <c r="D472" t="str">
        <f>MID('paste from garc here'!$C$2,1+(('table for research'!$B472-456)*36+HEX2DEC('table for research'!D$1))*2,2)</f>
        <v>00</v>
      </c>
      <c r="E472" t="str">
        <f>MID('paste from garc here'!$C$2,1+(('table for research'!$B472-456)*36+HEX2DEC('table for research'!E$1))*2,2)</f>
        <v>00</v>
      </c>
      <c r="F472" t="str">
        <f>MID('paste from garc here'!$C$2,1+(('table for research'!$B472-456)*36+HEX2DEC('table for research'!F$1))*2,2)</f>
        <v>00</v>
      </c>
      <c r="G472" t="str">
        <f>MID('paste from garc here'!$C$2,1+(('table for research'!$B472-456)*36+HEX2DEC('table for research'!G$1))*2,2)</f>
        <v>00</v>
      </c>
      <c r="H472" t="str">
        <f>MID('paste from garc here'!$C$2,1+(('table for research'!$B472-456)*36+HEX2DEC('table for research'!H$1))*2,2)</f>
        <v>00</v>
      </c>
      <c r="I472" t="str">
        <f>MID('paste from garc here'!$C$2,1+(('table for research'!$B472-456)*36+HEX2DEC('table for research'!I$1))*2,2)</f>
        <v>00</v>
      </c>
      <c r="J472" t="str">
        <f>MID('paste from garc here'!$C$2,1+(('table for research'!$B472-456)*36+HEX2DEC('table for research'!J$1))*2,2)</f>
        <v>00</v>
      </c>
      <c r="K472" t="str">
        <f>DEC2HEX(_xlfn.BITAND(HEX2DEC(MID('paste from garc here'!$C$1,1+(('table for research'!$B472-1)*36+HEX2DEC(8))*2,2)),31),2)</f>
        <v>00</v>
      </c>
      <c r="L472" t="str">
        <f>DEC2HEX(_xlfn.BITAND(HEX2DEC(MID('paste from garc here'!$C$1,1+(('table for research'!$B472-1)*36+HEX2DEC(8))*2,2)),32),2)</f>
        <v>00</v>
      </c>
      <c r="M472" t="str">
        <f>DEC2HEX(_xlfn.BITAND(HEX2DEC(MID('paste from garc here'!$C$1,1+(('table for research'!$B472-1)*36+HEX2DEC(8))*2,2)),64),2)</f>
        <v>00</v>
      </c>
      <c r="N472" t="str">
        <f>DEC2HEX(_xlfn.BITRSHIFT(_xlfn.BITAND(HEX2DEC(MID('paste from garc here'!$C$1,1+(('table for research'!$B472-1)*36+HEX2DEC(9))*2,2)&amp;MID('paste from garc here'!$C$1,1+(('table for research'!$B472-1)*36+HEX2DEC(8))*2,2)),1920),7),2)</f>
        <v>00</v>
      </c>
      <c r="O472" t="str">
        <f>DEC2HEX(_xlfn.BITRSHIFT(HEX2DEC(MID('paste from garc here'!$C$1,1+(('table for research'!$B472-1)*36+HEX2DEC(9))*2,2)&amp;MID('paste from garc here'!$C$1,1+(('table for research'!$B472-1)*36+HEX2DEC(8))*2,2)),11),2)</f>
        <v>00</v>
      </c>
      <c r="P472" t="str">
        <f>MID('paste from garc here'!$C$2,1+(('table for research'!$B472-456)*36+HEX2DEC('table for research'!P$1))*2,2)</f>
        <v>00</v>
      </c>
      <c r="Q472" t="str">
        <f>MID('paste from garc here'!$C$2,1+(('table for research'!$B472-456)*36+HEX2DEC('table for research'!Q$1))*2,2)</f>
        <v>00</v>
      </c>
      <c r="R472" t="str">
        <f>MID('paste from garc here'!$C$2,1+(('table for research'!$B472-456)*36+HEX2DEC('table for research'!R$1))*2,2)</f>
        <v>00</v>
      </c>
      <c r="S472" t="str">
        <f>MID('paste from garc here'!$C$2,1+(('table for research'!$B472-456)*36+HEX2DEC('table for research'!S$1))*2,2)</f>
        <v>08</v>
      </c>
      <c r="T472" t="str">
        <f>MID('paste from garc here'!$C$2,1+(('table for research'!$B472-456)*36+HEX2DEC('table for research'!T$1))*2,2)</f>
        <v>00</v>
      </c>
      <c r="U472" t="str">
        <f>MID('paste from garc here'!$C$2,1+(('table for research'!$B472-456)*36+HEX2DEC('table for research'!U$1))*2,2)</f>
        <v>FF</v>
      </c>
      <c r="V472" t="str">
        <f>MID('paste from garc here'!$C$2,1+(('table for research'!$B472-456)*36+HEX2DEC('table for research'!V$1))*2,2)</f>
        <v>00</v>
      </c>
      <c r="W472" t="str">
        <f>MID('paste from garc here'!$C$2,1+(('table for research'!$B472-456)*36+HEX2DEC('table for research'!W$1))*2,2)</f>
        <v>00</v>
      </c>
      <c r="X472" t="str">
        <f>MID('paste from garc here'!$C$2,1+(('table for research'!$B472-456)*36+HEX2DEC('table for research'!X$1))*2,2)</f>
        <v>00</v>
      </c>
      <c r="Y472" t="str">
        <f>MID('paste from garc here'!$C$2,1+(('table for research'!$B472-456)*36+HEX2DEC('table for research'!Y$1))*2,2)</f>
        <v>00</v>
      </c>
      <c r="Z472" t="str">
        <f>MID('paste from garc here'!$C$2,1+(('table for research'!$B472-456)*36+HEX2DEC('table for research'!Z$1))*2,2)</f>
        <v>00</v>
      </c>
      <c r="AA472" t="str">
        <f>MID('paste from garc here'!$C$2,1+(('table for research'!$B472-456)*36+HEX2DEC('table for research'!AA$1))*2,2)</f>
        <v>00</v>
      </c>
      <c r="AB472" t="str">
        <f>MID('paste from garc here'!$C$2,1+(('table for research'!$B472-456)*36+HEX2DEC('table for research'!AB$1))*2,2)</f>
        <v>00</v>
      </c>
      <c r="AC472" t="str">
        <f>MID('paste from garc here'!$C$2,1+(('table for research'!$B472-456)*36+HEX2DEC('table for research'!AC$1))*2,2)</f>
        <v>00</v>
      </c>
      <c r="AD472" t="str">
        <f>MID('paste from garc here'!$C$2,1+(('table for research'!$B472-456)*36+HEX2DEC('table for research'!AD$1))*2,2)</f>
        <v>00</v>
      </c>
      <c r="AE472" t="str">
        <f>MID('paste from garc here'!$C$2,1+(('table for research'!$B472-456)*36+HEX2DEC('table for research'!AE$1))*2,2)</f>
        <v>00</v>
      </c>
      <c r="AF472" t="str">
        <f>MID('paste from garc here'!$C$2,1+(('table for research'!$B472-456)*36+HEX2DEC('table for research'!AF$1))*2,2)</f>
        <v>00</v>
      </c>
      <c r="AG472" t="str">
        <f>MID('paste from garc here'!$C$2,1+(('table for research'!$B472-456)*36+HEX2DEC('table for research'!AG$1))*2,2)</f>
        <v>00</v>
      </c>
      <c r="AH472" t="str">
        <f>MID('paste from garc here'!$C$2,1+(('table for research'!$B472-456)*36+HEX2DEC('table for research'!AH$1))*2,2)</f>
        <v>00</v>
      </c>
      <c r="AI472" t="str">
        <f>MID('paste from garc here'!$C$2,1+(('table for research'!$B472-456)*36+HEX2DEC('table for research'!AI$1))*2,2)</f>
        <v>00</v>
      </c>
      <c r="AJ472" t="str">
        <f>MID('paste from garc here'!$C$2,1+(('table for research'!$B472-456)*36+HEX2DEC('table for research'!AJ$1))*2,2)</f>
        <v>00</v>
      </c>
      <c r="AK472" t="str">
        <f>MID('paste from garc here'!$C$2,1+(('table for research'!$B472-456)*36+HEX2DEC('table for research'!AK$1))*2,2)</f>
        <v>00</v>
      </c>
      <c r="AL472" t="str">
        <f>MID('paste from garc here'!$C$2,1+(('table for research'!$B472-456)*36+HEX2DEC('table for research'!AL$1))*2,2)</f>
        <v>00</v>
      </c>
      <c r="AM472" t="str">
        <f>MID('paste from garc here'!$C$2,1+(('table for research'!$B472-456)*36+HEX2DEC('table for research'!AM$1))*2,2)</f>
        <v>00</v>
      </c>
      <c r="AN472" t="str">
        <f>MID('paste from garc here'!$C$2,1+(('table for research'!$B472-456)*36+HEX2DEC('table for research'!AN$1))*2,2)</f>
        <v>00</v>
      </c>
      <c r="AO472" t="str">
        <f>MID('paste from garc here'!$C$2,1+(('table for research'!$B472-456)*36+HEX2DEC('table for research'!AO$1))*2,2)</f>
        <v>00</v>
      </c>
    </row>
    <row r="473" spans="1:41" x14ac:dyDescent="0.4">
      <c r="A473" t="s">
        <v>475</v>
      </c>
      <c r="B473">
        <f>B472+1</f>
        <v>471</v>
      </c>
      <c r="C473" t="str">
        <f>MID('paste from garc here'!$C$2,1+(('table for research'!$B473-456)*36+HEX2DEC('table for research'!C$1))*2,2)</f>
        <v>00</v>
      </c>
      <c r="D473" t="str">
        <f>MID('paste from garc here'!$C$2,1+(('table for research'!$B473-456)*36+HEX2DEC('table for research'!D$1))*2,2)</f>
        <v>00</v>
      </c>
      <c r="E473" t="str">
        <f>MID('paste from garc here'!$C$2,1+(('table for research'!$B473-456)*36+HEX2DEC('table for research'!E$1))*2,2)</f>
        <v>00</v>
      </c>
      <c r="F473" t="str">
        <f>MID('paste from garc here'!$C$2,1+(('table for research'!$B473-456)*36+HEX2DEC('table for research'!F$1))*2,2)</f>
        <v>00</v>
      </c>
      <c r="G473" t="str">
        <f>MID('paste from garc here'!$C$2,1+(('table for research'!$B473-456)*36+HEX2DEC('table for research'!G$1))*2,2)</f>
        <v>00</v>
      </c>
      <c r="H473" t="str">
        <f>MID('paste from garc here'!$C$2,1+(('table for research'!$B473-456)*36+HEX2DEC('table for research'!H$1))*2,2)</f>
        <v>00</v>
      </c>
      <c r="I473" t="str">
        <f>MID('paste from garc here'!$C$2,1+(('table for research'!$B473-456)*36+HEX2DEC('table for research'!I$1))*2,2)</f>
        <v>00</v>
      </c>
      <c r="J473" t="str">
        <f>MID('paste from garc here'!$C$2,1+(('table for research'!$B473-456)*36+HEX2DEC('table for research'!J$1))*2,2)</f>
        <v>00</v>
      </c>
      <c r="K473" t="str">
        <f>DEC2HEX(_xlfn.BITAND(HEX2DEC(MID('paste from garc here'!$C$1,1+(('table for research'!$B473-1)*36+HEX2DEC(8))*2,2)),31),2)</f>
        <v>00</v>
      </c>
      <c r="L473" t="str">
        <f>DEC2HEX(_xlfn.BITAND(HEX2DEC(MID('paste from garc here'!$C$1,1+(('table for research'!$B473-1)*36+HEX2DEC(8))*2,2)),32),2)</f>
        <v>00</v>
      </c>
      <c r="M473" t="str">
        <f>DEC2HEX(_xlfn.BITAND(HEX2DEC(MID('paste from garc here'!$C$1,1+(('table for research'!$B473-1)*36+HEX2DEC(8))*2,2)),64),2)</f>
        <v>00</v>
      </c>
      <c r="N473" t="str">
        <f>DEC2HEX(_xlfn.BITRSHIFT(_xlfn.BITAND(HEX2DEC(MID('paste from garc here'!$C$1,1+(('table for research'!$B473-1)*36+HEX2DEC(9))*2,2)&amp;MID('paste from garc here'!$C$1,1+(('table for research'!$B473-1)*36+HEX2DEC(8))*2,2)),1920),7),2)</f>
        <v>00</v>
      </c>
      <c r="O473" t="str">
        <f>DEC2HEX(_xlfn.BITRSHIFT(HEX2DEC(MID('paste from garc here'!$C$1,1+(('table for research'!$B473-1)*36+HEX2DEC(9))*2,2)&amp;MID('paste from garc here'!$C$1,1+(('table for research'!$B473-1)*36+HEX2DEC(8))*2,2)),11),2)</f>
        <v>00</v>
      </c>
      <c r="P473" t="str">
        <f>MID('paste from garc here'!$C$2,1+(('table for research'!$B473-456)*36+HEX2DEC('table for research'!P$1))*2,2)</f>
        <v>10</v>
      </c>
      <c r="Q473" t="str">
        <f>MID('paste from garc here'!$C$2,1+(('table for research'!$B473-456)*36+HEX2DEC('table for research'!Q$1))*2,2)</f>
        <v>00</v>
      </c>
      <c r="R473" t="str">
        <f>MID('paste from garc here'!$C$2,1+(('table for research'!$B473-456)*36+HEX2DEC('table for research'!R$1))*2,2)</f>
        <v>00</v>
      </c>
      <c r="S473" t="str">
        <f>MID('paste from garc here'!$C$2,1+(('table for research'!$B473-456)*36+HEX2DEC('table for research'!S$1))*2,2)</f>
        <v>08</v>
      </c>
      <c r="T473" t="str">
        <f>MID('paste from garc here'!$C$2,1+(('table for research'!$B473-456)*36+HEX2DEC('table for research'!T$1))*2,2)</f>
        <v>00</v>
      </c>
      <c r="U473" t="str">
        <f>MID('paste from garc here'!$C$2,1+(('table for research'!$B473-456)*36+HEX2DEC('table for research'!U$1))*2,2)</f>
        <v>FF</v>
      </c>
      <c r="V473" t="str">
        <f>MID('paste from garc here'!$C$2,1+(('table for research'!$B473-456)*36+HEX2DEC('table for research'!V$1))*2,2)</f>
        <v>00</v>
      </c>
      <c r="W473" t="str">
        <f>MID('paste from garc here'!$C$2,1+(('table for research'!$B473-456)*36+HEX2DEC('table for research'!W$1))*2,2)</f>
        <v>00</v>
      </c>
      <c r="X473" t="str">
        <f>MID('paste from garc here'!$C$2,1+(('table for research'!$B473-456)*36+HEX2DEC('table for research'!X$1))*2,2)</f>
        <v>00</v>
      </c>
      <c r="Y473" t="str">
        <f>MID('paste from garc here'!$C$2,1+(('table for research'!$B473-456)*36+HEX2DEC('table for research'!Y$1))*2,2)</f>
        <v>00</v>
      </c>
      <c r="Z473" t="str">
        <f>MID('paste from garc here'!$C$2,1+(('table for research'!$B473-456)*36+HEX2DEC('table for research'!Z$1))*2,2)</f>
        <v>00</v>
      </c>
      <c r="AA473" t="str">
        <f>MID('paste from garc here'!$C$2,1+(('table for research'!$B473-456)*36+HEX2DEC('table for research'!AA$1))*2,2)</f>
        <v>00</v>
      </c>
      <c r="AB473" t="str">
        <f>MID('paste from garc here'!$C$2,1+(('table for research'!$B473-456)*36+HEX2DEC('table for research'!AB$1))*2,2)</f>
        <v>00</v>
      </c>
      <c r="AC473" t="str">
        <f>MID('paste from garc here'!$C$2,1+(('table for research'!$B473-456)*36+HEX2DEC('table for research'!AC$1))*2,2)</f>
        <v>00</v>
      </c>
      <c r="AD473" t="str">
        <f>MID('paste from garc here'!$C$2,1+(('table for research'!$B473-456)*36+HEX2DEC('table for research'!AD$1))*2,2)</f>
        <v>00</v>
      </c>
      <c r="AE473" t="str">
        <f>MID('paste from garc here'!$C$2,1+(('table for research'!$B473-456)*36+HEX2DEC('table for research'!AE$1))*2,2)</f>
        <v>00</v>
      </c>
      <c r="AF473" t="str">
        <f>MID('paste from garc here'!$C$2,1+(('table for research'!$B473-456)*36+HEX2DEC('table for research'!AF$1))*2,2)</f>
        <v>00</v>
      </c>
      <c r="AG473" t="str">
        <f>MID('paste from garc here'!$C$2,1+(('table for research'!$B473-456)*36+HEX2DEC('table for research'!AG$1))*2,2)</f>
        <v>00</v>
      </c>
      <c r="AH473" t="str">
        <f>MID('paste from garc here'!$C$2,1+(('table for research'!$B473-456)*36+HEX2DEC('table for research'!AH$1))*2,2)</f>
        <v>00</v>
      </c>
      <c r="AI473" t="str">
        <f>MID('paste from garc here'!$C$2,1+(('table for research'!$B473-456)*36+HEX2DEC('table for research'!AI$1))*2,2)</f>
        <v>00</v>
      </c>
      <c r="AJ473" t="str">
        <f>MID('paste from garc here'!$C$2,1+(('table for research'!$B473-456)*36+HEX2DEC('table for research'!AJ$1))*2,2)</f>
        <v>00</v>
      </c>
      <c r="AK473" t="str">
        <f>MID('paste from garc here'!$C$2,1+(('table for research'!$B473-456)*36+HEX2DEC('table for research'!AK$1))*2,2)</f>
        <v>00</v>
      </c>
      <c r="AL473" t="str">
        <f>MID('paste from garc here'!$C$2,1+(('table for research'!$B473-456)*36+HEX2DEC('table for research'!AL$1))*2,2)</f>
        <v>00</v>
      </c>
      <c r="AM473" t="str">
        <f>MID('paste from garc here'!$C$2,1+(('table for research'!$B473-456)*36+HEX2DEC('table for research'!AM$1))*2,2)</f>
        <v>00</v>
      </c>
      <c r="AN473" t="str">
        <f>MID('paste from garc here'!$C$2,1+(('table for research'!$B473-456)*36+HEX2DEC('table for research'!AN$1))*2,2)</f>
        <v>00</v>
      </c>
      <c r="AO473" t="str">
        <f>MID('paste from garc here'!$C$2,1+(('table for research'!$B473-456)*36+HEX2DEC('table for research'!AO$1))*2,2)</f>
        <v>00</v>
      </c>
    </row>
    <row r="474" spans="1:41" x14ac:dyDescent="0.4">
      <c r="A474" t="s">
        <v>476</v>
      </c>
      <c r="B474">
        <f>B473+1</f>
        <v>472</v>
      </c>
      <c r="C474" t="str">
        <f>MID('paste from garc here'!$C$2,1+(('table for research'!$B474-456)*36+HEX2DEC('table for research'!C$1))*2,2)</f>
        <v>00</v>
      </c>
      <c r="D474" t="str">
        <f>MID('paste from garc here'!$C$2,1+(('table for research'!$B474-456)*36+HEX2DEC('table for research'!D$1))*2,2)</f>
        <v>00</v>
      </c>
      <c r="E474" t="str">
        <f>MID('paste from garc here'!$C$2,1+(('table for research'!$B474-456)*36+HEX2DEC('table for research'!E$1))*2,2)</f>
        <v>00</v>
      </c>
      <c r="F474" t="str">
        <f>MID('paste from garc here'!$C$2,1+(('table for research'!$B474-456)*36+HEX2DEC('table for research'!F$1))*2,2)</f>
        <v>00</v>
      </c>
      <c r="G474" t="str">
        <f>MID('paste from garc here'!$C$2,1+(('table for research'!$B474-456)*36+HEX2DEC('table for research'!G$1))*2,2)</f>
        <v>00</v>
      </c>
      <c r="H474" t="str">
        <f>MID('paste from garc here'!$C$2,1+(('table for research'!$B474-456)*36+HEX2DEC('table for research'!H$1))*2,2)</f>
        <v>00</v>
      </c>
      <c r="I474" t="str">
        <f>MID('paste from garc here'!$C$2,1+(('table for research'!$B474-456)*36+HEX2DEC('table for research'!I$1))*2,2)</f>
        <v>00</v>
      </c>
      <c r="J474" t="str">
        <f>MID('paste from garc here'!$C$2,1+(('table for research'!$B474-456)*36+HEX2DEC('table for research'!J$1))*2,2)</f>
        <v>00</v>
      </c>
      <c r="K474" t="str">
        <f>DEC2HEX(_xlfn.BITAND(HEX2DEC(MID('paste from garc here'!$C$1,1+(('table for research'!$B474-1)*36+HEX2DEC(8))*2,2)),31),2)</f>
        <v>00</v>
      </c>
      <c r="L474" t="str">
        <f>DEC2HEX(_xlfn.BITAND(HEX2DEC(MID('paste from garc here'!$C$1,1+(('table for research'!$B474-1)*36+HEX2DEC(8))*2,2)),32),2)</f>
        <v>00</v>
      </c>
      <c r="M474" t="str">
        <f>DEC2HEX(_xlfn.BITAND(HEX2DEC(MID('paste from garc here'!$C$1,1+(('table for research'!$B474-1)*36+HEX2DEC(8))*2,2)),64),2)</f>
        <v>00</v>
      </c>
      <c r="N474" t="str">
        <f>DEC2HEX(_xlfn.BITRSHIFT(_xlfn.BITAND(HEX2DEC(MID('paste from garc here'!$C$1,1+(('table for research'!$B474-1)*36+HEX2DEC(9))*2,2)&amp;MID('paste from garc here'!$C$1,1+(('table for research'!$B474-1)*36+HEX2DEC(8))*2,2)),1920),7),2)</f>
        <v>00</v>
      </c>
      <c r="O474" t="str">
        <f>DEC2HEX(_xlfn.BITRSHIFT(HEX2DEC(MID('paste from garc here'!$C$1,1+(('table for research'!$B474-1)*36+HEX2DEC(9))*2,2)&amp;MID('paste from garc here'!$C$1,1+(('table for research'!$B474-1)*36+HEX2DEC(8))*2,2)),11),2)</f>
        <v>00</v>
      </c>
      <c r="P474" t="str">
        <f>MID('paste from garc here'!$C$2,1+(('table for research'!$B474-456)*36+HEX2DEC('table for research'!P$1))*2,2)</f>
        <v>00</v>
      </c>
      <c r="Q474" t="str">
        <f>MID('paste from garc here'!$C$2,1+(('table for research'!$B474-456)*36+HEX2DEC('table for research'!Q$1))*2,2)</f>
        <v>00</v>
      </c>
      <c r="R474" t="str">
        <f>MID('paste from garc here'!$C$2,1+(('table for research'!$B474-456)*36+HEX2DEC('table for research'!R$1))*2,2)</f>
        <v>00</v>
      </c>
      <c r="S474" t="str">
        <f>MID('paste from garc here'!$C$2,1+(('table for research'!$B474-456)*36+HEX2DEC('table for research'!S$1))*2,2)</f>
        <v>08</v>
      </c>
      <c r="T474" t="str">
        <f>MID('paste from garc here'!$C$2,1+(('table for research'!$B474-456)*36+HEX2DEC('table for research'!T$1))*2,2)</f>
        <v>00</v>
      </c>
      <c r="U474" t="str">
        <f>MID('paste from garc here'!$C$2,1+(('table for research'!$B474-456)*36+HEX2DEC('table for research'!U$1))*2,2)</f>
        <v>FF</v>
      </c>
      <c r="V474" t="str">
        <f>MID('paste from garc here'!$C$2,1+(('table for research'!$B474-456)*36+HEX2DEC('table for research'!V$1))*2,2)</f>
        <v>00</v>
      </c>
      <c r="W474" t="str">
        <f>MID('paste from garc here'!$C$2,1+(('table for research'!$B474-456)*36+HEX2DEC('table for research'!W$1))*2,2)</f>
        <v>00</v>
      </c>
      <c r="X474" t="str">
        <f>MID('paste from garc here'!$C$2,1+(('table for research'!$B474-456)*36+HEX2DEC('table for research'!X$1))*2,2)</f>
        <v>00</v>
      </c>
      <c r="Y474" t="str">
        <f>MID('paste from garc here'!$C$2,1+(('table for research'!$B474-456)*36+HEX2DEC('table for research'!Y$1))*2,2)</f>
        <v>00</v>
      </c>
      <c r="Z474" t="str">
        <f>MID('paste from garc here'!$C$2,1+(('table for research'!$B474-456)*36+HEX2DEC('table for research'!Z$1))*2,2)</f>
        <v>00</v>
      </c>
      <c r="AA474" t="str">
        <f>MID('paste from garc here'!$C$2,1+(('table for research'!$B474-456)*36+HEX2DEC('table for research'!AA$1))*2,2)</f>
        <v>00</v>
      </c>
      <c r="AB474" t="str">
        <f>MID('paste from garc here'!$C$2,1+(('table for research'!$B474-456)*36+HEX2DEC('table for research'!AB$1))*2,2)</f>
        <v>00</v>
      </c>
      <c r="AC474" t="str">
        <f>MID('paste from garc here'!$C$2,1+(('table for research'!$B474-456)*36+HEX2DEC('table for research'!AC$1))*2,2)</f>
        <v>00</v>
      </c>
      <c r="AD474" t="str">
        <f>MID('paste from garc here'!$C$2,1+(('table for research'!$B474-456)*36+HEX2DEC('table for research'!AD$1))*2,2)</f>
        <v>00</v>
      </c>
      <c r="AE474" t="str">
        <f>MID('paste from garc here'!$C$2,1+(('table for research'!$B474-456)*36+HEX2DEC('table for research'!AE$1))*2,2)</f>
        <v>00</v>
      </c>
      <c r="AF474" t="str">
        <f>MID('paste from garc here'!$C$2,1+(('table for research'!$B474-456)*36+HEX2DEC('table for research'!AF$1))*2,2)</f>
        <v>00</v>
      </c>
      <c r="AG474" t="str">
        <f>MID('paste from garc here'!$C$2,1+(('table for research'!$B474-456)*36+HEX2DEC('table for research'!AG$1))*2,2)</f>
        <v>00</v>
      </c>
      <c r="AH474" t="str">
        <f>MID('paste from garc here'!$C$2,1+(('table for research'!$B474-456)*36+HEX2DEC('table for research'!AH$1))*2,2)</f>
        <v>00</v>
      </c>
      <c r="AI474" t="str">
        <f>MID('paste from garc here'!$C$2,1+(('table for research'!$B474-456)*36+HEX2DEC('table for research'!AI$1))*2,2)</f>
        <v>00</v>
      </c>
      <c r="AJ474" t="str">
        <f>MID('paste from garc here'!$C$2,1+(('table for research'!$B474-456)*36+HEX2DEC('table for research'!AJ$1))*2,2)</f>
        <v>00</v>
      </c>
      <c r="AK474" t="str">
        <f>MID('paste from garc here'!$C$2,1+(('table for research'!$B474-456)*36+HEX2DEC('table for research'!AK$1))*2,2)</f>
        <v>00</v>
      </c>
      <c r="AL474" t="str">
        <f>MID('paste from garc here'!$C$2,1+(('table for research'!$B474-456)*36+HEX2DEC('table for research'!AL$1))*2,2)</f>
        <v>00</v>
      </c>
      <c r="AM474" t="str">
        <f>MID('paste from garc here'!$C$2,1+(('table for research'!$B474-456)*36+HEX2DEC('table for research'!AM$1))*2,2)</f>
        <v>00</v>
      </c>
      <c r="AN474" t="str">
        <f>MID('paste from garc here'!$C$2,1+(('table for research'!$B474-456)*36+HEX2DEC('table for research'!AN$1))*2,2)</f>
        <v>00</v>
      </c>
      <c r="AO474" t="str">
        <f>MID('paste from garc here'!$C$2,1+(('table for research'!$B474-456)*36+HEX2DEC('table for research'!AO$1))*2,2)</f>
        <v>00</v>
      </c>
    </row>
    <row r="475" spans="1:41" x14ac:dyDescent="0.4">
      <c r="A475" t="s">
        <v>477</v>
      </c>
      <c r="B475">
        <f>B474+1</f>
        <v>473</v>
      </c>
      <c r="C475" t="str">
        <f>MID('paste from garc here'!$C$2,1+(('table for research'!$B475-456)*36+HEX2DEC('table for research'!C$1))*2,2)</f>
        <v>00</v>
      </c>
      <c r="D475" t="str">
        <f>MID('paste from garc here'!$C$2,1+(('table for research'!$B475-456)*36+HEX2DEC('table for research'!D$1))*2,2)</f>
        <v>00</v>
      </c>
      <c r="E475" t="str">
        <f>MID('paste from garc here'!$C$2,1+(('table for research'!$B475-456)*36+HEX2DEC('table for research'!E$1))*2,2)</f>
        <v>00</v>
      </c>
      <c r="F475" t="str">
        <f>MID('paste from garc here'!$C$2,1+(('table for research'!$B475-456)*36+HEX2DEC('table for research'!F$1))*2,2)</f>
        <v>00</v>
      </c>
      <c r="G475" t="str">
        <f>MID('paste from garc here'!$C$2,1+(('table for research'!$B475-456)*36+HEX2DEC('table for research'!G$1))*2,2)</f>
        <v>00</v>
      </c>
      <c r="H475" t="str">
        <f>MID('paste from garc here'!$C$2,1+(('table for research'!$B475-456)*36+HEX2DEC('table for research'!H$1))*2,2)</f>
        <v>00</v>
      </c>
      <c r="I475" t="str">
        <f>MID('paste from garc here'!$C$2,1+(('table for research'!$B475-456)*36+HEX2DEC('table for research'!I$1))*2,2)</f>
        <v>00</v>
      </c>
      <c r="J475" t="str">
        <f>MID('paste from garc here'!$C$2,1+(('table for research'!$B475-456)*36+HEX2DEC('table for research'!J$1))*2,2)</f>
        <v>00</v>
      </c>
      <c r="K475" t="str">
        <f>DEC2HEX(_xlfn.BITAND(HEX2DEC(MID('paste from garc here'!$C$1,1+(('table for research'!$B475-1)*36+HEX2DEC(8))*2,2)),31),2)</f>
        <v>00</v>
      </c>
      <c r="L475" t="str">
        <f>DEC2HEX(_xlfn.BITAND(HEX2DEC(MID('paste from garc here'!$C$1,1+(('table for research'!$B475-1)*36+HEX2DEC(8))*2,2)),32),2)</f>
        <v>00</v>
      </c>
      <c r="M475" t="str">
        <f>DEC2HEX(_xlfn.BITAND(HEX2DEC(MID('paste from garc here'!$C$1,1+(('table for research'!$B475-1)*36+HEX2DEC(8))*2,2)),64),2)</f>
        <v>00</v>
      </c>
      <c r="N475" t="str">
        <f>DEC2HEX(_xlfn.BITRSHIFT(_xlfn.BITAND(HEX2DEC(MID('paste from garc here'!$C$1,1+(('table for research'!$B475-1)*36+HEX2DEC(9))*2,2)&amp;MID('paste from garc here'!$C$1,1+(('table for research'!$B475-1)*36+HEX2DEC(8))*2,2)),1920),7),2)</f>
        <v>00</v>
      </c>
      <c r="O475" t="str">
        <f>DEC2HEX(_xlfn.BITRSHIFT(HEX2DEC(MID('paste from garc here'!$C$1,1+(('table for research'!$B475-1)*36+HEX2DEC(9))*2,2)&amp;MID('paste from garc here'!$C$1,1+(('table for research'!$B475-1)*36+HEX2DEC(8))*2,2)),11),2)</f>
        <v>00</v>
      </c>
      <c r="P475" t="str">
        <f>MID('paste from garc here'!$C$2,1+(('table for research'!$B475-456)*36+HEX2DEC('table for research'!P$1))*2,2)</f>
        <v>00</v>
      </c>
      <c r="Q475" t="str">
        <f>MID('paste from garc here'!$C$2,1+(('table for research'!$B475-456)*36+HEX2DEC('table for research'!Q$1))*2,2)</f>
        <v>00</v>
      </c>
      <c r="R475" t="str">
        <f>MID('paste from garc here'!$C$2,1+(('table for research'!$B475-456)*36+HEX2DEC('table for research'!R$1))*2,2)</f>
        <v>00</v>
      </c>
      <c r="S475" t="str">
        <f>MID('paste from garc here'!$C$2,1+(('table for research'!$B475-456)*36+HEX2DEC('table for research'!S$1))*2,2)</f>
        <v>08</v>
      </c>
      <c r="T475" t="str">
        <f>MID('paste from garc here'!$C$2,1+(('table for research'!$B475-456)*36+HEX2DEC('table for research'!T$1))*2,2)</f>
        <v>00</v>
      </c>
      <c r="U475" t="str">
        <f>MID('paste from garc here'!$C$2,1+(('table for research'!$B475-456)*36+HEX2DEC('table for research'!U$1))*2,2)</f>
        <v>FF</v>
      </c>
      <c r="V475" t="str">
        <f>MID('paste from garc here'!$C$2,1+(('table for research'!$B475-456)*36+HEX2DEC('table for research'!V$1))*2,2)</f>
        <v>00</v>
      </c>
      <c r="W475" t="str">
        <f>MID('paste from garc here'!$C$2,1+(('table for research'!$B475-456)*36+HEX2DEC('table for research'!W$1))*2,2)</f>
        <v>00</v>
      </c>
      <c r="X475" t="str">
        <f>MID('paste from garc here'!$C$2,1+(('table for research'!$B475-456)*36+HEX2DEC('table for research'!X$1))*2,2)</f>
        <v>00</v>
      </c>
      <c r="Y475" t="str">
        <f>MID('paste from garc here'!$C$2,1+(('table for research'!$B475-456)*36+HEX2DEC('table for research'!Y$1))*2,2)</f>
        <v>00</v>
      </c>
      <c r="Z475" t="str">
        <f>MID('paste from garc here'!$C$2,1+(('table for research'!$B475-456)*36+HEX2DEC('table for research'!Z$1))*2,2)</f>
        <v>00</v>
      </c>
      <c r="AA475" t="str">
        <f>MID('paste from garc here'!$C$2,1+(('table for research'!$B475-456)*36+HEX2DEC('table for research'!AA$1))*2,2)</f>
        <v>00</v>
      </c>
      <c r="AB475" t="str">
        <f>MID('paste from garc here'!$C$2,1+(('table for research'!$B475-456)*36+HEX2DEC('table for research'!AB$1))*2,2)</f>
        <v>00</v>
      </c>
      <c r="AC475" t="str">
        <f>MID('paste from garc here'!$C$2,1+(('table for research'!$B475-456)*36+HEX2DEC('table for research'!AC$1))*2,2)</f>
        <v>00</v>
      </c>
      <c r="AD475" t="str">
        <f>MID('paste from garc here'!$C$2,1+(('table for research'!$B475-456)*36+HEX2DEC('table for research'!AD$1))*2,2)</f>
        <v>00</v>
      </c>
      <c r="AE475" t="str">
        <f>MID('paste from garc here'!$C$2,1+(('table for research'!$B475-456)*36+HEX2DEC('table for research'!AE$1))*2,2)</f>
        <v>00</v>
      </c>
      <c r="AF475" t="str">
        <f>MID('paste from garc here'!$C$2,1+(('table for research'!$B475-456)*36+HEX2DEC('table for research'!AF$1))*2,2)</f>
        <v>00</v>
      </c>
      <c r="AG475" t="str">
        <f>MID('paste from garc here'!$C$2,1+(('table for research'!$B475-456)*36+HEX2DEC('table for research'!AG$1))*2,2)</f>
        <v>00</v>
      </c>
      <c r="AH475" t="str">
        <f>MID('paste from garc here'!$C$2,1+(('table for research'!$B475-456)*36+HEX2DEC('table for research'!AH$1))*2,2)</f>
        <v>00</v>
      </c>
      <c r="AI475" t="str">
        <f>MID('paste from garc here'!$C$2,1+(('table for research'!$B475-456)*36+HEX2DEC('table for research'!AI$1))*2,2)</f>
        <v>00</v>
      </c>
      <c r="AJ475" t="str">
        <f>MID('paste from garc here'!$C$2,1+(('table for research'!$B475-456)*36+HEX2DEC('table for research'!AJ$1))*2,2)</f>
        <v>00</v>
      </c>
      <c r="AK475" t="str">
        <f>MID('paste from garc here'!$C$2,1+(('table for research'!$B475-456)*36+HEX2DEC('table for research'!AK$1))*2,2)</f>
        <v>00</v>
      </c>
      <c r="AL475" t="str">
        <f>MID('paste from garc here'!$C$2,1+(('table for research'!$B475-456)*36+HEX2DEC('table for research'!AL$1))*2,2)</f>
        <v>00</v>
      </c>
      <c r="AM475" t="str">
        <f>MID('paste from garc here'!$C$2,1+(('table for research'!$B475-456)*36+HEX2DEC('table for research'!AM$1))*2,2)</f>
        <v>00</v>
      </c>
      <c r="AN475" t="str">
        <f>MID('paste from garc here'!$C$2,1+(('table for research'!$B475-456)*36+HEX2DEC('table for research'!AN$1))*2,2)</f>
        <v>00</v>
      </c>
      <c r="AO475" t="str">
        <f>MID('paste from garc here'!$C$2,1+(('table for research'!$B475-456)*36+HEX2DEC('table for research'!AO$1))*2,2)</f>
        <v>00</v>
      </c>
    </row>
    <row r="476" spans="1:41" x14ac:dyDescent="0.4">
      <c r="A476" t="s">
        <v>478</v>
      </c>
      <c r="B476">
        <f>B475+1</f>
        <v>474</v>
      </c>
      <c r="C476" t="str">
        <f>MID('paste from garc here'!$C$2,1+(('table for research'!$B476-456)*36+HEX2DEC('table for research'!C$1))*2,2)</f>
        <v>00</v>
      </c>
      <c r="D476" t="str">
        <f>MID('paste from garc here'!$C$2,1+(('table for research'!$B476-456)*36+HEX2DEC('table for research'!D$1))*2,2)</f>
        <v>00</v>
      </c>
      <c r="E476" t="str">
        <f>MID('paste from garc here'!$C$2,1+(('table for research'!$B476-456)*36+HEX2DEC('table for research'!E$1))*2,2)</f>
        <v>00</v>
      </c>
      <c r="F476" t="str">
        <f>MID('paste from garc here'!$C$2,1+(('table for research'!$B476-456)*36+HEX2DEC('table for research'!F$1))*2,2)</f>
        <v>00</v>
      </c>
      <c r="G476" t="str">
        <f>MID('paste from garc here'!$C$2,1+(('table for research'!$B476-456)*36+HEX2DEC('table for research'!G$1))*2,2)</f>
        <v>00</v>
      </c>
      <c r="H476" t="str">
        <f>MID('paste from garc here'!$C$2,1+(('table for research'!$B476-456)*36+HEX2DEC('table for research'!H$1))*2,2)</f>
        <v>00</v>
      </c>
      <c r="I476" t="str">
        <f>MID('paste from garc here'!$C$2,1+(('table for research'!$B476-456)*36+HEX2DEC('table for research'!I$1))*2,2)</f>
        <v>00</v>
      </c>
      <c r="J476" t="str">
        <f>MID('paste from garc here'!$C$2,1+(('table for research'!$B476-456)*36+HEX2DEC('table for research'!J$1))*2,2)</f>
        <v>00</v>
      </c>
      <c r="K476" t="str">
        <f>DEC2HEX(_xlfn.BITAND(HEX2DEC(MID('paste from garc here'!$C$1,1+(('table for research'!$B476-1)*36+HEX2DEC(8))*2,2)),31),2)</f>
        <v>00</v>
      </c>
      <c r="L476" t="str">
        <f>DEC2HEX(_xlfn.BITAND(HEX2DEC(MID('paste from garc here'!$C$1,1+(('table for research'!$B476-1)*36+HEX2DEC(8))*2,2)),32),2)</f>
        <v>00</v>
      </c>
      <c r="M476" t="str">
        <f>DEC2HEX(_xlfn.BITAND(HEX2DEC(MID('paste from garc here'!$C$1,1+(('table for research'!$B476-1)*36+HEX2DEC(8))*2,2)),64),2)</f>
        <v>00</v>
      </c>
      <c r="N476" t="str">
        <f>DEC2HEX(_xlfn.BITRSHIFT(_xlfn.BITAND(HEX2DEC(MID('paste from garc here'!$C$1,1+(('table for research'!$B476-1)*36+HEX2DEC(9))*2,2)&amp;MID('paste from garc here'!$C$1,1+(('table for research'!$B476-1)*36+HEX2DEC(8))*2,2)),1920),7),2)</f>
        <v>00</v>
      </c>
      <c r="O476" t="str">
        <f>DEC2HEX(_xlfn.BITRSHIFT(HEX2DEC(MID('paste from garc here'!$C$1,1+(('table for research'!$B476-1)*36+HEX2DEC(9))*2,2)&amp;MID('paste from garc here'!$C$1,1+(('table for research'!$B476-1)*36+HEX2DEC(8))*2,2)),11),2)</f>
        <v>00</v>
      </c>
      <c r="P476" t="str">
        <f>MID('paste from garc here'!$C$2,1+(('table for research'!$B476-456)*36+HEX2DEC('table for research'!P$1))*2,2)</f>
        <v>00</v>
      </c>
      <c r="Q476" t="str">
        <f>MID('paste from garc here'!$C$2,1+(('table for research'!$B476-456)*36+HEX2DEC('table for research'!Q$1))*2,2)</f>
        <v>00</v>
      </c>
      <c r="R476" t="str">
        <f>MID('paste from garc here'!$C$2,1+(('table for research'!$B476-456)*36+HEX2DEC('table for research'!R$1))*2,2)</f>
        <v>00</v>
      </c>
      <c r="S476" t="str">
        <f>MID('paste from garc here'!$C$2,1+(('table for research'!$B476-456)*36+HEX2DEC('table for research'!S$1))*2,2)</f>
        <v>08</v>
      </c>
      <c r="T476" t="str">
        <f>MID('paste from garc here'!$C$2,1+(('table for research'!$B476-456)*36+HEX2DEC('table for research'!T$1))*2,2)</f>
        <v>00</v>
      </c>
      <c r="U476" t="str">
        <f>MID('paste from garc here'!$C$2,1+(('table for research'!$B476-456)*36+HEX2DEC('table for research'!U$1))*2,2)</f>
        <v>FF</v>
      </c>
      <c r="V476" t="str">
        <f>MID('paste from garc here'!$C$2,1+(('table for research'!$B476-456)*36+HEX2DEC('table for research'!V$1))*2,2)</f>
        <v>00</v>
      </c>
      <c r="W476" t="str">
        <f>MID('paste from garc here'!$C$2,1+(('table for research'!$B476-456)*36+HEX2DEC('table for research'!W$1))*2,2)</f>
        <v>00</v>
      </c>
      <c r="X476" t="str">
        <f>MID('paste from garc here'!$C$2,1+(('table for research'!$B476-456)*36+HEX2DEC('table for research'!X$1))*2,2)</f>
        <v>00</v>
      </c>
      <c r="Y476" t="str">
        <f>MID('paste from garc here'!$C$2,1+(('table for research'!$B476-456)*36+HEX2DEC('table for research'!Y$1))*2,2)</f>
        <v>00</v>
      </c>
      <c r="Z476" t="str">
        <f>MID('paste from garc here'!$C$2,1+(('table for research'!$B476-456)*36+HEX2DEC('table for research'!Z$1))*2,2)</f>
        <v>00</v>
      </c>
      <c r="AA476" t="str">
        <f>MID('paste from garc here'!$C$2,1+(('table for research'!$B476-456)*36+HEX2DEC('table for research'!AA$1))*2,2)</f>
        <v>00</v>
      </c>
      <c r="AB476" t="str">
        <f>MID('paste from garc here'!$C$2,1+(('table for research'!$B476-456)*36+HEX2DEC('table for research'!AB$1))*2,2)</f>
        <v>00</v>
      </c>
      <c r="AC476" t="str">
        <f>MID('paste from garc here'!$C$2,1+(('table for research'!$B476-456)*36+HEX2DEC('table for research'!AC$1))*2,2)</f>
        <v>00</v>
      </c>
      <c r="AD476" t="str">
        <f>MID('paste from garc here'!$C$2,1+(('table for research'!$B476-456)*36+HEX2DEC('table for research'!AD$1))*2,2)</f>
        <v>00</v>
      </c>
      <c r="AE476" t="str">
        <f>MID('paste from garc here'!$C$2,1+(('table for research'!$B476-456)*36+HEX2DEC('table for research'!AE$1))*2,2)</f>
        <v>00</v>
      </c>
      <c r="AF476" t="str">
        <f>MID('paste from garc here'!$C$2,1+(('table for research'!$B476-456)*36+HEX2DEC('table for research'!AF$1))*2,2)</f>
        <v>00</v>
      </c>
      <c r="AG476" t="str">
        <f>MID('paste from garc here'!$C$2,1+(('table for research'!$B476-456)*36+HEX2DEC('table for research'!AG$1))*2,2)</f>
        <v>00</v>
      </c>
      <c r="AH476" t="str">
        <f>MID('paste from garc here'!$C$2,1+(('table for research'!$B476-456)*36+HEX2DEC('table for research'!AH$1))*2,2)</f>
        <v>00</v>
      </c>
      <c r="AI476" t="str">
        <f>MID('paste from garc here'!$C$2,1+(('table for research'!$B476-456)*36+HEX2DEC('table for research'!AI$1))*2,2)</f>
        <v>00</v>
      </c>
      <c r="AJ476" t="str">
        <f>MID('paste from garc here'!$C$2,1+(('table for research'!$B476-456)*36+HEX2DEC('table for research'!AJ$1))*2,2)</f>
        <v>00</v>
      </c>
      <c r="AK476" t="str">
        <f>MID('paste from garc here'!$C$2,1+(('table for research'!$B476-456)*36+HEX2DEC('table for research'!AK$1))*2,2)</f>
        <v>00</v>
      </c>
      <c r="AL476" t="str">
        <f>MID('paste from garc here'!$C$2,1+(('table for research'!$B476-456)*36+HEX2DEC('table for research'!AL$1))*2,2)</f>
        <v>00</v>
      </c>
      <c r="AM476" t="str">
        <f>MID('paste from garc here'!$C$2,1+(('table for research'!$B476-456)*36+HEX2DEC('table for research'!AM$1))*2,2)</f>
        <v>00</v>
      </c>
      <c r="AN476" t="str">
        <f>MID('paste from garc here'!$C$2,1+(('table for research'!$B476-456)*36+HEX2DEC('table for research'!AN$1))*2,2)</f>
        <v>00</v>
      </c>
      <c r="AO476" t="str">
        <f>MID('paste from garc here'!$C$2,1+(('table for research'!$B476-456)*36+HEX2DEC('table for research'!AO$1))*2,2)</f>
        <v>00</v>
      </c>
    </row>
    <row r="477" spans="1:41" x14ac:dyDescent="0.4">
      <c r="A477" t="s">
        <v>479</v>
      </c>
      <c r="B477">
        <f>B476+1</f>
        <v>475</v>
      </c>
      <c r="C477" t="str">
        <f>MID('paste from garc here'!$C$2,1+(('table for research'!$B477-456)*36+HEX2DEC('table for research'!C$1))*2,2)</f>
        <v>00</v>
      </c>
      <c r="D477" t="str">
        <f>MID('paste from garc here'!$C$2,1+(('table for research'!$B477-456)*36+HEX2DEC('table for research'!D$1))*2,2)</f>
        <v>00</v>
      </c>
      <c r="E477" t="str">
        <f>MID('paste from garc here'!$C$2,1+(('table for research'!$B477-456)*36+HEX2DEC('table for research'!E$1))*2,2)</f>
        <v>00</v>
      </c>
      <c r="F477" t="str">
        <f>MID('paste from garc here'!$C$2,1+(('table for research'!$B477-456)*36+HEX2DEC('table for research'!F$1))*2,2)</f>
        <v>00</v>
      </c>
      <c r="G477" t="str">
        <f>MID('paste from garc here'!$C$2,1+(('table for research'!$B477-456)*36+HEX2DEC('table for research'!G$1))*2,2)</f>
        <v>00</v>
      </c>
      <c r="H477" t="str">
        <f>MID('paste from garc here'!$C$2,1+(('table for research'!$B477-456)*36+HEX2DEC('table for research'!H$1))*2,2)</f>
        <v>00</v>
      </c>
      <c r="I477" t="str">
        <f>MID('paste from garc here'!$C$2,1+(('table for research'!$B477-456)*36+HEX2DEC('table for research'!I$1))*2,2)</f>
        <v>00</v>
      </c>
      <c r="J477" t="str">
        <f>MID('paste from garc here'!$C$2,1+(('table for research'!$B477-456)*36+HEX2DEC('table for research'!J$1))*2,2)</f>
        <v>00</v>
      </c>
      <c r="K477" t="str">
        <f>DEC2HEX(_xlfn.BITAND(HEX2DEC(MID('paste from garc here'!$C$1,1+(('table for research'!$B477-1)*36+HEX2DEC(8))*2,2)),31),2)</f>
        <v>00</v>
      </c>
      <c r="L477" t="str">
        <f>DEC2HEX(_xlfn.BITAND(HEX2DEC(MID('paste from garc here'!$C$1,1+(('table for research'!$B477-1)*36+HEX2DEC(8))*2,2)),32),2)</f>
        <v>00</v>
      </c>
      <c r="M477" t="str">
        <f>DEC2HEX(_xlfn.BITAND(HEX2DEC(MID('paste from garc here'!$C$1,1+(('table for research'!$B477-1)*36+HEX2DEC(8))*2,2)),64),2)</f>
        <v>00</v>
      </c>
      <c r="N477" t="str">
        <f>DEC2HEX(_xlfn.BITRSHIFT(_xlfn.BITAND(HEX2DEC(MID('paste from garc here'!$C$1,1+(('table for research'!$B477-1)*36+HEX2DEC(9))*2,2)&amp;MID('paste from garc here'!$C$1,1+(('table for research'!$B477-1)*36+HEX2DEC(8))*2,2)),1920),7),2)</f>
        <v>00</v>
      </c>
      <c r="O477" t="str">
        <f>DEC2HEX(_xlfn.BITRSHIFT(HEX2DEC(MID('paste from garc here'!$C$1,1+(('table for research'!$B477-1)*36+HEX2DEC(9))*2,2)&amp;MID('paste from garc here'!$C$1,1+(('table for research'!$B477-1)*36+HEX2DEC(8))*2,2)),11),2)</f>
        <v>00</v>
      </c>
      <c r="P477" t="str">
        <f>MID('paste from garc here'!$C$2,1+(('table for research'!$B477-456)*36+HEX2DEC('table for research'!P$1))*2,2)</f>
        <v>00</v>
      </c>
      <c r="Q477" t="str">
        <f>MID('paste from garc here'!$C$2,1+(('table for research'!$B477-456)*36+HEX2DEC('table for research'!Q$1))*2,2)</f>
        <v>00</v>
      </c>
      <c r="R477" t="str">
        <f>MID('paste from garc here'!$C$2,1+(('table for research'!$B477-456)*36+HEX2DEC('table for research'!R$1))*2,2)</f>
        <v>00</v>
      </c>
      <c r="S477" t="str">
        <f>MID('paste from garc here'!$C$2,1+(('table for research'!$B477-456)*36+HEX2DEC('table for research'!S$1))*2,2)</f>
        <v>08</v>
      </c>
      <c r="T477" t="str">
        <f>MID('paste from garc here'!$C$2,1+(('table for research'!$B477-456)*36+HEX2DEC('table for research'!T$1))*2,2)</f>
        <v>00</v>
      </c>
      <c r="U477" t="str">
        <f>MID('paste from garc here'!$C$2,1+(('table for research'!$B477-456)*36+HEX2DEC('table for research'!U$1))*2,2)</f>
        <v>FF</v>
      </c>
      <c r="V477" t="str">
        <f>MID('paste from garc here'!$C$2,1+(('table for research'!$B477-456)*36+HEX2DEC('table for research'!V$1))*2,2)</f>
        <v>00</v>
      </c>
      <c r="W477" t="str">
        <f>MID('paste from garc here'!$C$2,1+(('table for research'!$B477-456)*36+HEX2DEC('table for research'!W$1))*2,2)</f>
        <v>00</v>
      </c>
      <c r="X477" t="str">
        <f>MID('paste from garc here'!$C$2,1+(('table for research'!$B477-456)*36+HEX2DEC('table for research'!X$1))*2,2)</f>
        <v>00</v>
      </c>
      <c r="Y477" t="str">
        <f>MID('paste from garc here'!$C$2,1+(('table for research'!$B477-456)*36+HEX2DEC('table for research'!Y$1))*2,2)</f>
        <v>00</v>
      </c>
      <c r="Z477" t="str">
        <f>MID('paste from garc here'!$C$2,1+(('table for research'!$B477-456)*36+HEX2DEC('table for research'!Z$1))*2,2)</f>
        <v>00</v>
      </c>
      <c r="AA477" t="str">
        <f>MID('paste from garc here'!$C$2,1+(('table for research'!$B477-456)*36+HEX2DEC('table for research'!AA$1))*2,2)</f>
        <v>00</v>
      </c>
      <c r="AB477" t="str">
        <f>MID('paste from garc here'!$C$2,1+(('table for research'!$B477-456)*36+HEX2DEC('table for research'!AB$1))*2,2)</f>
        <v>00</v>
      </c>
      <c r="AC477" t="str">
        <f>MID('paste from garc here'!$C$2,1+(('table for research'!$B477-456)*36+HEX2DEC('table for research'!AC$1))*2,2)</f>
        <v>00</v>
      </c>
      <c r="AD477" t="str">
        <f>MID('paste from garc here'!$C$2,1+(('table for research'!$B477-456)*36+HEX2DEC('table for research'!AD$1))*2,2)</f>
        <v>00</v>
      </c>
      <c r="AE477" t="str">
        <f>MID('paste from garc here'!$C$2,1+(('table for research'!$B477-456)*36+HEX2DEC('table for research'!AE$1))*2,2)</f>
        <v>00</v>
      </c>
      <c r="AF477" t="str">
        <f>MID('paste from garc here'!$C$2,1+(('table for research'!$B477-456)*36+HEX2DEC('table for research'!AF$1))*2,2)</f>
        <v>00</v>
      </c>
      <c r="AG477" t="str">
        <f>MID('paste from garc here'!$C$2,1+(('table for research'!$B477-456)*36+HEX2DEC('table for research'!AG$1))*2,2)</f>
        <v>00</v>
      </c>
      <c r="AH477" t="str">
        <f>MID('paste from garc here'!$C$2,1+(('table for research'!$B477-456)*36+HEX2DEC('table for research'!AH$1))*2,2)</f>
        <v>00</v>
      </c>
      <c r="AI477" t="str">
        <f>MID('paste from garc here'!$C$2,1+(('table for research'!$B477-456)*36+HEX2DEC('table for research'!AI$1))*2,2)</f>
        <v>00</v>
      </c>
      <c r="AJ477" t="str">
        <f>MID('paste from garc here'!$C$2,1+(('table for research'!$B477-456)*36+HEX2DEC('table for research'!AJ$1))*2,2)</f>
        <v>00</v>
      </c>
      <c r="AK477" t="str">
        <f>MID('paste from garc here'!$C$2,1+(('table for research'!$B477-456)*36+HEX2DEC('table for research'!AK$1))*2,2)</f>
        <v>00</v>
      </c>
      <c r="AL477" t="str">
        <f>MID('paste from garc here'!$C$2,1+(('table for research'!$B477-456)*36+HEX2DEC('table for research'!AL$1))*2,2)</f>
        <v>00</v>
      </c>
      <c r="AM477" t="str">
        <f>MID('paste from garc here'!$C$2,1+(('table for research'!$B477-456)*36+HEX2DEC('table for research'!AM$1))*2,2)</f>
        <v>00</v>
      </c>
      <c r="AN477" t="str">
        <f>MID('paste from garc here'!$C$2,1+(('table for research'!$B477-456)*36+HEX2DEC('table for research'!AN$1))*2,2)</f>
        <v>00</v>
      </c>
      <c r="AO477" t="str">
        <f>MID('paste from garc here'!$C$2,1+(('table for research'!$B477-456)*36+HEX2DEC('table for research'!AO$1))*2,2)</f>
        <v>00</v>
      </c>
    </row>
    <row r="478" spans="1:41" x14ac:dyDescent="0.4">
      <c r="A478" t="s">
        <v>480</v>
      </c>
      <c r="B478">
        <f>B477+1</f>
        <v>476</v>
      </c>
      <c r="C478" t="str">
        <f>MID('paste from garc here'!$C$2,1+(('table for research'!$B478-456)*36+HEX2DEC('table for research'!C$1))*2,2)</f>
        <v>00</v>
      </c>
      <c r="D478" t="str">
        <f>MID('paste from garc here'!$C$2,1+(('table for research'!$B478-456)*36+HEX2DEC('table for research'!D$1))*2,2)</f>
        <v>00</v>
      </c>
      <c r="E478" t="str">
        <f>MID('paste from garc here'!$C$2,1+(('table for research'!$B478-456)*36+HEX2DEC('table for research'!E$1))*2,2)</f>
        <v>00</v>
      </c>
      <c r="F478" t="str">
        <f>MID('paste from garc here'!$C$2,1+(('table for research'!$B478-456)*36+HEX2DEC('table for research'!F$1))*2,2)</f>
        <v>00</v>
      </c>
      <c r="G478" t="str">
        <f>MID('paste from garc here'!$C$2,1+(('table for research'!$B478-456)*36+HEX2DEC('table for research'!G$1))*2,2)</f>
        <v>00</v>
      </c>
      <c r="H478" t="str">
        <f>MID('paste from garc here'!$C$2,1+(('table for research'!$B478-456)*36+HEX2DEC('table for research'!H$1))*2,2)</f>
        <v>00</v>
      </c>
      <c r="I478" t="str">
        <f>MID('paste from garc here'!$C$2,1+(('table for research'!$B478-456)*36+HEX2DEC('table for research'!I$1))*2,2)</f>
        <v>00</v>
      </c>
      <c r="J478" t="str">
        <f>MID('paste from garc here'!$C$2,1+(('table for research'!$B478-456)*36+HEX2DEC('table for research'!J$1))*2,2)</f>
        <v>00</v>
      </c>
      <c r="K478" t="str">
        <f>DEC2HEX(_xlfn.BITAND(HEX2DEC(MID('paste from garc here'!$C$1,1+(('table for research'!$B478-1)*36+HEX2DEC(8))*2,2)),31),2)</f>
        <v>00</v>
      </c>
      <c r="L478" t="str">
        <f>DEC2HEX(_xlfn.BITAND(HEX2DEC(MID('paste from garc here'!$C$1,1+(('table for research'!$B478-1)*36+HEX2DEC(8))*2,2)),32),2)</f>
        <v>00</v>
      </c>
      <c r="M478" t="str">
        <f>DEC2HEX(_xlfn.BITAND(HEX2DEC(MID('paste from garc here'!$C$1,1+(('table for research'!$B478-1)*36+HEX2DEC(8))*2,2)),64),2)</f>
        <v>00</v>
      </c>
      <c r="N478" t="str">
        <f>DEC2HEX(_xlfn.BITRSHIFT(_xlfn.BITAND(HEX2DEC(MID('paste from garc here'!$C$1,1+(('table for research'!$B478-1)*36+HEX2DEC(9))*2,2)&amp;MID('paste from garc here'!$C$1,1+(('table for research'!$B478-1)*36+HEX2DEC(8))*2,2)),1920),7),2)</f>
        <v>00</v>
      </c>
      <c r="O478" t="str">
        <f>DEC2HEX(_xlfn.BITRSHIFT(HEX2DEC(MID('paste from garc here'!$C$1,1+(('table for research'!$B478-1)*36+HEX2DEC(9))*2,2)&amp;MID('paste from garc here'!$C$1,1+(('table for research'!$B478-1)*36+HEX2DEC(8))*2,2)),11),2)</f>
        <v>00</v>
      </c>
      <c r="P478" t="str">
        <f>MID('paste from garc here'!$C$2,1+(('table for research'!$B478-456)*36+HEX2DEC('table for research'!P$1))*2,2)</f>
        <v>00</v>
      </c>
      <c r="Q478" t="str">
        <f>MID('paste from garc here'!$C$2,1+(('table for research'!$B478-456)*36+HEX2DEC('table for research'!Q$1))*2,2)</f>
        <v>00</v>
      </c>
      <c r="R478" t="str">
        <f>MID('paste from garc here'!$C$2,1+(('table for research'!$B478-456)*36+HEX2DEC('table for research'!R$1))*2,2)</f>
        <v>00</v>
      </c>
      <c r="S478" t="str">
        <f>MID('paste from garc here'!$C$2,1+(('table for research'!$B478-456)*36+HEX2DEC('table for research'!S$1))*2,2)</f>
        <v>08</v>
      </c>
      <c r="T478" t="str">
        <f>MID('paste from garc here'!$C$2,1+(('table for research'!$B478-456)*36+HEX2DEC('table for research'!T$1))*2,2)</f>
        <v>00</v>
      </c>
      <c r="U478" t="str">
        <f>MID('paste from garc here'!$C$2,1+(('table for research'!$B478-456)*36+HEX2DEC('table for research'!U$1))*2,2)</f>
        <v>FF</v>
      </c>
      <c r="V478" t="str">
        <f>MID('paste from garc here'!$C$2,1+(('table for research'!$B478-456)*36+HEX2DEC('table for research'!V$1))*2,2)</f>
        <v>00</v>
      </c>
      <c r="W478" t="str">
        <f>MID('paste from garc here'!$C$2,1+(('table for research'!$B478-456)*36+HEX2DEC('table for research'!W$1))*2,2)</f>
        <v>00</v>
      </c>
      <c r="X478" t="str">
        <f>MID('paste from garc here'!$C$2,1+(('table for research'!$B478-456)*36+HEX2DEC('table for research'!X$1))*2,2)</f>
        <v>00</v>
      </c>
      <c r="Y478" t="str">
        <f>MID('paste from garc here'!$C$2,1+(('table for research'!$B478-456)*36+HEX2DEC('table for research'!Y$1))*2,2)</f>
        <v>00</v>
      </c>
      <c r="Z478" t="str">
        <f>MID('paste from garc here'!$C$2,1+(('table for research'!$B478-456)*36+HEX2DEC('table for research'!Z$1))*2,2)</f>
        <v>00</v>
      </c>
      <c r="AA478" t="str">
        <f>MID('paste from garc here'!$C$2,1+(('table for research'!$B478-456)*36+HEX2DEC('table for research'!AA$1))*2,2)</f>
        <v>00</v>
      </c>
      <c r="AB478" t="str">
        <f>MID('paste from garc here'!$C$2,1+(('table for research'!$B478-456)*36+HEX2DEC('table for research'!AB$1))*2,2)</f>
        <v>00</v>
      </c>
      <c r="AC478" t="str">
        <f>MID('paste from garc here'!$C$2,1+(('table for research'!$B478-456)*36+HEX2DEC('table for research'!AC$1))*2,2)</f>
        <v>00</v>
      </c>
      <c r="AD478" t="str">
        <f>MID('paste from garc here'!$C$2,1+(('table for research'!$B478-456)*36+HEX2DEC('table for research'!AD$1))*2,2)</f>
        <v>00</v>
      </c>
      <c r="AE478" t="str">
        <f>MID('paste from garc here'!$C$2,1+(('table for research'!$B478-456)*36+HEX2DEC('table for research'!AE$1))*2,2)</f>
        <v>00</v>
      </c>
      <c r="AF478" t="str">
        <f>MID('paste from garc here'!$C$2,1+(('table for research'!$B478-456)*36+HEX2DEC('table for research'!AF$1))*2,2)</f>
        <v>00</v>
      </c>
      <c r="AG478" t="str">
        <f>MID('paste from garc here'!$C$2,1+(('table for research'!$B478-456)*36+HEX2DEC('table for research'!AG$1))*2,2)</f>
        <v>00</v>
      </c>
      <c r="AH478" t="str">
        <f>MID('paste from garc here'!$C$2,1+(('table for research'!$B478-456)*36+HEX2DEC('table for research'!AH$1))*2,2)</f>
        <v>00</v>
      </c>
      <c r="AI478" t="str">
        <f>MID('paste from garc here'!$C$2,1+(('table for research'!$B478-456)*36+HEX2DEC('table for research'!AI$1))*2,2)</f>
        <v>00</v>
      </c>
      <c r="AJ478" t="str">
        <f>MID('paste from garc here'!$C$2,1+(('table for research'!$B478-456)*36+HEX2DEC('table for research'!AJ$1))*2,2)</f>
        <v>00</v>
      </c>
      <c r="AK478" t="str">
        <f>MID('paste from garc here'!$C$2,1+(('table for research'!$B478-456)*36+HEX2DEC('table for research'!AK$1))*2,2)</f>
        <v>00</v>
      </c>
      <c r="AL478" t="str">
        <f>MID('paste from garc here'!$C$2,1+(('table for research'!$B478-456)*36+HEX2DEC('table for research'!AL$1))*2,2)</f>
        <v>00</v>
      </c>
      <c r="AM478" t="str">
        <f>MID('paste from garc here'!$C$2,1+(('table for research'!$B478-456)*36+HEX2DEC('table for research'!AM$1))*2,2)</f>
        <v>00</v>
      </c>
      <c r="AN478" t="str">
        <f>MID('paste from garc here'!$C$2,1+(('table for research'!$B478-456)*36+HEX2DEC('table for research'!AN$1))*2,2)</f>
        <v>00</v>
      </c>
      <c r="AO478" t="str">
        <f>MID('paste from garc here'!$C$2,1+(('table for research'!$B478-456)*36+HEX2DEC('table for research'!AO$1))*2,2)</f>
        <v>00</v>
      </c>
    </row>
    <row r="479" spans="1:41" x14ac:dyDescent="0.4">
      <c r="A479" t="s">
        <v>481</v>
      </c>
      <c r="B479">
        <f>B478+1</f>
        <v>477</v>
      </c>
      <c r="C479" t="str">
        <f>MID('paste from garc here'!$C$2,1+(('table for research'!$B479-456)*36+HEX2DEC('table for research'!C$1))*2,2)</f>
        <v>00</v>
      </c>
      <c r="D479" t="str">
        <f>MID('paste from garc here'!$C$2,1+(('table for research'!$B479-456)*36+HEX2DEC('table for research'!D$1))*2,2)</f>
        <v>00</v>
      </c>
      <c r="E479" t="str">
        <f>MID('paste from garc here'!$C$2,1+(('table for research'!$B479-456)*36+HEX2DEC('table for research'!E$1))*2,2)</f>
        <v>00</v>
      </c>
      <c r="F479" t="str">
        <f>MID('paste from garc here'!$C$2,1+(('table for research'!$B479-456)*36+HEX2DEC('table for research'!F$1))*2,2)</f>
        <v>00</v>
      </c>
      <c r="G479" t="str">
        <f>MID('paste from garc here'!$C$2,1+(('table for research'!$B479-456)*36+HEX2DEC('table for research'!G$1))*2,2)</f>
        <v>00</v>
      </c>
      <c r="H479" t="str">
        <f>MID('paste from garc here'!$C$2,1+(('table for research'!$B479-456)*36+HEX2DEC('table for research'!H$1))*2,2)</f>
        <v>00</v>
      </c>
      <c r="I479" t="str">
        <f>MID('paste from garc here'!$C$2,1+(('table for research'!$B479-456)*36+HEX2DEC('table for research'!I$1))*2,2)</f>
        <v>00</v>
      </c>
      <c r="J479" t="str">
        <f>MID('paste from garc here'!$C$2,1+(('table for research'!$B479-456)*36+HEX2DEC('table for research'!J$1))*2,2)</f>
        <v>00</v>
      </c>
      <c r="K479" t="str">
        <f>DEC2HEX(_xlfn.BITAND(HEX2DEC(MID('paste from garc here'!$C$1,1+(('table for research'!$B479-1)*36+HEX2DEC(8))*2,2)),31),2)</f>
        <v>00</v>
      </c>
      <c r="L479" t="str">
        <f>DEC2HEX(_xlfn.BITAND(HEX2DEC(MID('paste from garc here'!$C$1,1+(('table for research'!$B479-1)*36+HEX2DEC(8))*2,2)),32),2)</f>
        <v>00</v>
      </c>
      <c r="M479" t="str">
        <f>DEC2HEX(_xlfn.BITAND(HEX2DEC(MID('paste from garc here'!$C$1,1+(('table for research'!$B479-1)*36+HEX2DEC(8))*2,2)),64),2)</f>
        <v>00</v>
      </c>
      <c r="N479" t="str">
        <f>DEC2HEX(_xlfn.BITRSHIFT(_xlfn.BITAND(HEX2DEC(MID('paste from garc here'!$C$1,1+(('table for research'!$B479-1)*36+HEX2DEC(9))*2,2)&amp;MID('paste from garc here'!$C$1,1+(('table for research'!$B479-1)*36+HEX2DEC(8))*2,2)),1920),7),2)</f>
        <v>00</v>
      </c>
      <c r="O479" t="str">
        <f>DEC2HEX(_xlfn.BITRSHIFT(HEX2DEC(MID('paste from garc here'!$C$1,1+(('table for research'!$B479-1)*36+HEX2DEC(9))*2,2)&amp;MID('paste from garc here'!$C$1,1+(('table for research'!$B479-1)*36+HEX2DEC(8))*2,2)),11),2)</f>
        <v>00</v>
      </c>
      <c r="P479" t="str">
        <f>MID('paste from garc here'!$C$2,1+(('table for research'!$B479-456)*36+HEX2DEC('table for research'!P$1))*2,2)</f>
        <v>00</v>
      </c>
      <c r="Q479" t="str">
        <f>MID('paste from garc here'!$C$2,1+(('table for research'!$B479-456)*36+HEX2DEC('table for research'!Q$1))*2,2)</f>
        <v>00</v>
      </c>
      <c r="R479" t="str">
        <f>MID('paste from garc here'!$C$2,1+(('table for research'!$B479-456)*36+HEX2DEC('table for research'!R$1))*2,2)</f>
        <v>00</v>
      </c>
      <c r="S479" t="str">
        <f>MID('paste from garc here'!$C$2,1+(('table for research'!$B479-456)*36+HEX2DEC('table for research'!S$1))*2,2)</f>
        <v>08</v>
      </c>
      <c r="T479" t="str">
        <f>MID('paste from garc here'!$C$2,1+(('table for research'!$B479-456)*36+HEX2DEC('table for research'!T$1))*2,2)</f>
        <v>00</v>
      </c>
      <c r="U479" t="str">
        <f>MID('paste from garc here'!$C$2,1+(('table for research'!$B479-456)*36+HEX2DEC('table for research'!U$1))*2,2)</f>
        <v>FF</v>
      </c>
      <c r="V479" t="str">
        <f>MID('paste from garc here'!$C$2,1+(('table for research'!$B479-456)*36+HEX2DEC('table for research'!V$1))*2,2)</f>
        <v>00</v>
      </c>
      <c r="W479" t="str">
        <f>MID('paste from garc here'!$C$2,1+(('table for research'!$B479-456)*36+HEX2DEC('table for research'!W$1))*2,2)</f>
        <v>00</v>
      </c>
      <c r="X479" t="str">
        <f>MID('paste from garc here'!$C$2,1+(('table for research'!$B479-456)*36+HEX2DEC('table for research'!X$1))*2,2)</f>
        <v>00</v>
      </c>
      <c r="Y479" t="str">
        <f>MID('paste from garc here'!$C$2,1+(('table for research'!$B479-456)*36+HEX2DEC('table for research'!Y$1))*2,2)</f>
        <v>00</v>
      </c>
      <c r="Z479" t="str">
        <f>MID('paste from garc here'!$C$2,1+(('table for research'!$B479-456)*36+HEX2DEC('table for research'!Z$1))*2,2)</f>
        <v>00</v>
      </c>
      <c r="AA479" t="str">
        <f>MID('paste from garc here'!$C$2,1+(('table for research'!$B479-456)*36+HEX2DEC('table for research'!AA$1))*2,2)</f>
        <v>00</v>
      </c>
      <c r="AB479" t="str">
        <f>MID('paste from garc here'!$C$2,1+(('table for research'!$B479-456)*36+HEX2DEC('table for research'!AB$1))*2,2)</f>
        <v>00</v>
      </c>
      <c r="AC479" t="str">
        <f>MID('paste from garc here'!$C$2,1+(('table for research'!$B479-456)*36+HEX2DEC('table for research'!AC$1))*2,2)</f>
        <v>00</v>
      </c>
      <c r="AD479" t="str">
        <f>MID('paste from garc here'!$C$2,1+(('table for research'!$B479-456)*36+HEX2DEC('table for research'!AD$1))*2,2)</f>
        <v>00</v>
      </c>
      <c r="AE479" t="str">
        <f>MID('paste from garc here'!$C$2,1+(('table for research'!$B479-456)*36+HEX2DEC('table for research'!AE$1))*2,2)</f>
        <v>00</v>
      </c>
      <c r="AF479" t="str">
        <f>MID('paste from garc here'!$C$2,1+(('table for research'!$B479-456)*36+HEX2DEC('table for research'!AF$1))*2,2)</f>
        <v>00</v>
      </c>
      <c r="AG479" t="str">
        <f>MID('paste from garc here'!$C$2,1+(('table for research'!$B479-456)*36+HEX2DEC('table for research'!AG$1))*2,2)</f>
        <v>00</v>
      </c>
      <c r="AH479" t="str">
        <f>MID('paste from garc here'!$C$2,1+(('table for research'!$B479-456)*36+HEX2DEC('table for research'!AH$1))*2,2)</f>
        <v>00</v>
      </c>
      <c r="AI479" t="str">
        <f>MID('paste from garc here'!$C$2,1+(('table for research'!$B479-456)*36+HEX2DEC('table for research'!AI$1))*2,2)</f>
        <v>00</v>
      </c>
      <c r="AJ479" t="str">
        <f>MID('paste from garc here'!$C$2,1+(('table for research'!$B479-456)*36+HEX2DEC('table for research'!AJ$1))*2,2)</f>
        <v>00</v>
      </c>
      <c r="AK479" t="str">
        <f>MID('paste from garc here'!$C$2,1+(('table for research'!$B479-456)*36+HEX2DEC('table for research'!AK$1))*2,2)</f>
        <v>00</v>
      </c>
      <c r="AL479" t="str">
        <f>MID('paste from garc here'!$C$2,1+(('table for research'!$B479-456)*36+HEX2DEC('table for research'!AL$1))*2,2)</f>
        <v>00</v>
      </c>
      <c r="AM479" t="str">
        <f>MID('paste from garc here'!$C$2,1+(('table for research'!$B479-456)*36+HEX2DEC('table for research'!AM$1))*2,2)</f>
        <v>00</v>
      </c>
      <c r="AN479" t="str">
        <f>MID('paste from garc here'!$C$2,1+(('table for research'!$B479-456)*36+HEX2DEC('table for research'!AN$1))*2,2)</f>
        <v>00</v>
      </c>
      <c r="AO479" t="str">
        <f>MID('paste from garc here'!$C$2,1+(('table for research'!$B479-456)*36+HEX2DEC('table for research'!AO$1))*2,2)</f>
        <v>00</v>
      </c>
    </row>
    <row r="480" spans="1:41" x14ac:dyDescent="0.4">
      <c r="A480" t="s">
        <v>482</v>
      </c>
      <c r="B480">
        <f>B479+1</f>
        <v>478</v>
      </c>
      <c r="C480" t="str">
        <f>MID('paste from garc here'!$C$2,1+(('table for research'!$B480-456)*36+HEX2DEC('table for research'!C$1))*2,2)</f>
        <v>00</v>
      </c>
      <c r="D480" t="str">
        <f>MID('paste from garc here'!$C$2,1+(('table for research'!$B480-456)*36+HEX2DEC('table for research'!D$1))*2,2)</f>
        <v>00</v>
      </c>
      <c r="E480" t="str">
        <f>MID('paste from garc here'!$C$2,1+(('table for research'!$B480-456)*36+HEX2DEC('table for research'!E$1))*2,2)</f>
        <v>00</v>
      </c>
      <c r="F480" t="str">
        <f>MID('paste from garc here'!$C$2,1+(('table for research'!$B480-456)*36+HEX2DEC('table for research'!F$1))*2,2)</f>
        <v>00</v>
      </c>
      <c r="G480" t="str">
        <f>MID('paste from garc here'!$C$2,1+(('table for research'!$B480-456)*36+HEX2DEC('table for research'!G$1))*2,2)</f>
        <v>00</v>
      </c>
      <c r="H480" t="str">
        <f>MID('paste from garc here'!$C$2,1+(('table for research'!$B480-456)*36+HEX2DEC('table for research'!H$1))*2,2)</f>
        <v>00</v>
      </c>
      <c r="I480" t="str">
        <f>MID('paste from garc here'!$C$2,1+(('table for research'!$B480-456)*36+HEX2DEC('table for research'!I$1))*2,2)</f>
        <v>00</v>
      </c>
      <c r="J480" t="str">
        <f>MID('paste from garc here'!$C$2,1+(('table for research'!$B480-456)*36+HEX2DEC('table for research'!J$1))*2,2)</f>
        <v>00</v>
      </c>
      <c r="K480" t="str">
        <f>DEC2HEX(_xlfn.BITAND(HEX2DEC(MID('paste from garc here'!$C$1,1+(('table for research'!$B480-1)*36+HEX2DEC(8))*2,2)),31),2)</f>
        <v>00</v>
      </c>
      <c r="L480" t="str">
        <f>DEC2HEX(_xlfn.BITAND(HEX2DEC(MID('paste from garc here'!$C$1,1+(('table for research'!$B480-1)*36+HEX2DEC(8))*2,2)),32),2)</f>
        <v>00</v>
      </c>
      <c r="M480" t="str">
        <f>DEC2HEX(_xlfn.BITAND(HEX2DEC(MID('paste from garc here'!$C$1,1+(('table for research'!$B480-1)*36+HEX2DEC(8))*2,2)),64),2)</f>
        <v>00</v>
      </c>
      <c r="N480" t="str">
        <f>DEC2HEX(_xlfn.BITRSHIFT(_xlfn.BITAND(HEX2DEC(MID('paste from garc here'!$C$1,1+(('table for research'!$B480-1)*36+HEX2DEC(9))*2,2)&amp;MID('paste from garc here'!$C$1,1+(('table for research'!$B480-1)*36+HEX2DEC(8))*2,2)),1920),7),2)</f>
        <v>00</v>
      </c>
      <c r="O480" t="str">
        <f>DEC2HEX(_xlfn.BITRSHIFT(HEX2DEC(MID('paste from garc here'!$C$1,1+(('table for research'!$B480-1)*36+HEX2DEC(9))*2,2)&amp;MID('paste from garc here'!$C$1,1+(('table for research'!$B480-1)*36+HEX2DEC(8))*2,2)),11),2)</f>
        <v>00</v>
      </c>
      <c r="P480" t="str">
        <f>MID('paste from garc here'!$C$2,1+(('table for research'!$B480-456)*36+HEX2DEC('table for research'!P$1))*2,2)</f>
        <v>00</v>
      </c>
      <c r="Q480" t="str">
        <f>MID('paste from garc here'!$C$2,1+(('table for research'!$B480-456)*36+HEX2DEC('table for research'!Q$1))*2,2)</f>
        <v>00</v>
      </c>
      <c r="R480" t="str">
        <f>MID('paste from garc here'!$C$2,1+(('table for research'!$B480-456)*36+HEX2DEC('table for research'!R$1))*2,2)</f>
        <v>00</v>
      </c>
      <c r="S480" t="str">
        <f>MID('paste from garc here'!$C$2,1+(('table for research'!$B480-456)*36+HEX2DEC('table for research'!S$1))*2,2)</f>
        <v>08</v>
      </c>
      <c r="T480" t="str">
        <f>MID('paste from garc here'!$C$2,1+(('table for research'!$B480-456)*36+HEX2DEC('table for research'!T$1))*2,2)</f>
        <v>00</v>
      </c>
      <c r="U480" t="str">
        <f>MID('paste from garc here'!$C$2,1+(('table for research'!$B480-456)*36+HEX2DEC('table for research'!U$1))*2,2)</f>
        <v>FF</v>
      </c>
      <c r="V480" t="str">
        <f>MID('paste from garc here'!$C$2,1+(('table for research'!$B480-456)*36+HEX2DEC('table for research'!V$1))*2,2)</f>
        <v>00</v>
      </c>
      <c r="W480" t="str">
        <f>MID('paste from garc here'!$C$2,1+(('table for research'!$B480-456)*36+HEX2DEC('table for research'!W$1))*2,2)</f>
        <v>00</v>
      </c>
      <c r="X480" t="str">
        <f>MID('paste from garc here'!$C$2,1+(('table for research'!$B480-456)*36+HEX2DEC('table for research'!X$1))*2,2)</f>
        <v>00</v>
      </c>
      <c r="Y480" t="str">
        <f>MID('paste from garc here'!$C$2,1+(('table for research'!$B480-456)*36+HEX2DEC('table for research'!Y$1))*2,2)</f>
        <v>00</v>
      </c>
      <c r="Z480" t="str">
        <f>MID('paste from garc here'!$C$2,1+(('table for research'!$B480-456)*36+HEX2DEC('table for research'!Z$1))*2,2)</f>
        <v>00</v>
      </c>
      <c r="AA480" t="str">
        <f>MID('paste from garc here'!$C$2,1+(('table for research'!$B480-456)*36+HEX2DEC('table for research'!AA$1))*2,2)</f>
        <v>00</v>
      </c>
      <c r="AB480" t="str">
        <f>MID('paste from garc here'!$C$2,1+(('table for research'!$B480-456)*36+HEX2DEC('table for research'!AB$1))*2,2)</f>
        <v>00</v>
      </c>
      <c r="AC480" t="str">
        <f>MID('paste from garc here'!$C$2,1+(('table for research'!$B480-456)*36+HEX2DEC('table for research'!AC$1))*2,2)</f>
        <v>00</v>
      </c>
      <c r="AD480" t="str">
        <f>MID('paste from garc here'!$C$2,1+(('table for research'!$B480-456)*36+HEX2DEC('table for research'!AD$1))*2,2)</f>
        <v>00</v>
      </c>
      <c r="AE480" t="str">
        <f>MID('paste from garc here'!$C$2,1+(('table for research'!$B480-456)*36+HEX2DEC('table for research'!AE$1))*2,2)</f>
        <v>00</v>
      </c>
      <c r="AF480" t="str">
        <f>MID('paste from garc here'!$C$2,1+(('table for research'!$B480-456)*36+HEX2DEC('table for research'!AF$1))*2,2)</f>
        <v>00</v>
      </c>
      <c r="AG480" t="str">
        <f>MID('paste from garc here'!$C$2,1+(('table for research'!$B480-456)*36+HEX2DEC('table for research'!AG$1))*2,2)</f>
        <v>00</v>
      </c>
      <c r="AH480" t="str">
        <f>MID('paste from garc here'!$C$2,1+(('table for research'!$B480-456)*36+HEX2DEC('table for research'!AH$1))*2,2)</f>
        <v>00</v>
      </c>
      <c r="AI480" t="str">
        <f>MID('paste from garc here'!$C$2,1+(('table for research'!$B480-456)*36+HEX2DEC('table for research'!AI$1))*2,2)</f>
        <v>00</v>
      </c>
      <c r="AJ480" t="str">
        <f>MID('paste from garc here'!$C$2,1+(('table for research'!$B480-456)*36+HEX2DEC('table for research'!AJ$1))*2,2)</f>
        <v>00</v>
      </c>
      <c r="AK480" t="str">
        <f>MID('paste from garc here'!$C$2,1+(('table for research'!$B480-456)*36+HEX2DEC('table for research'!AK$1))*2,2)</f>
        <v>00</v>
      </c>
      <c r="AL480" t="str">
        <f>MID('paste from garc here'!$C$2,1+(('table for research'!$B480-456)*36+HEX2DEC('table for research'!AL$1))*2,2)</f>
        <v>00</v>
      </c>
      <c r="AM480" t="str">
        <f>MID('paste from garc here'!$C$2,1+(('table for research'!$B480-456)*36+HEX2DEC('table for research'!AM$1))*2,2)</f>
        <v>00</v>
      </c>
      <c r="AN480" t="str">
        <f>MID('paste from garc here'!$C$2,1+(('table for research'!$B480-456)*36+HEX2DEC('table for research'!AN$1))*2,2)</f>
        <v>00</v>
      </c>
      <c r="AO480" t="str">
        <f>MID('paste from garc here'!$C$2,1+(('table for research'!$B480-456)*36+HEX2DEC('table for research'!AO$1))*2,2)</f>
        <v>00</v>
      </c>
    </row>
    <row r="481" spans="1:41" x14ac:dyDescent="0.4">
      <c r="A481" t="s">
        <v>483</v>
      </c>
      <c r="B481">
        <f>B480+1</f>
        <v>479</v>
      </c>
      <c r="C481" t="str">
        <f>MID('paste from garc here'!$C$2,1+(('table for research'!$B481-456)*36+HEX2DEC('table for research'!C$1))*2,2)</f>
        <v>00</v>
      </c>
      <c r="D481" t="str">
        <f>MID('paste from garc here'!$C$2,1+(('table for research'!$B481-456)*36+HEX2DEC('table for research'!D$1))*2,2)</f>
        <v>00</v>
      </c>
      <c r="E481" t="str">
        <f>MID('paste from garc here'!$C$2,1+(('table for research'!$B481-456)*36+HEX2DEC('table for research'!E$1))*2,2)</f>
        <v>00</v>
      </c>
      <c r="F481" t="str">
        <f>MID('paste from garc here'!$C$2,1+(('table for research'!$B481-456)*36+HEX2DEC('table for research'!F$1))*2,2)</f>
        <v>00</v>
      </c>
      <c r="G481" t="str">
        <f>MID('paste from garc here'!$C$2,1+(('table for research'!$B481-456)*36+HEX2DEC('table for research'!G$1))*2,2)</f>
        <v>00</v>
      </c>
      <c r="H481" t="str">
        <f>MID('paste from garc here'!$C$2,1+(('table for research'!$B481-456)*36+HEX2DEC('table for research'!H$1))*2,2)</f>
        <v>00</v>
      </c>
      <c r="I481" t="str">
        <f>MID('paste from garc here'!$C$2,1+(('table for research'!$B481-456)*36+HEX2DEC('table for research'!I$1))*2,2)</f>
        <v>00</v>
      </c>
      <c r="J481" t="str">
        <f>MID('paste from garc here'!$C$2,1+(('table for research'!$B481-456)*36+HEX2DEC('table for research'!J$1))*2,2)</f>
        <v>00</v>
      </c>
      <c r="K481" t="str">
        <f>DEC2HEX(_xlfn.BITAND(HEX2DEC(MID('paste from garc here'!$C$1,1+(('table for research'!$B481-1)*36+HEX2DEC(8))*2,2)),31),2)</f>
        <v>00</v>
      </c>
      <c r="L481" t="str">
        <f>DEC2HEX(_xlfn.BITAND(HEX2DEC(MID('paste from garc here'!$C$1,1+(('table for research'!$B481-1)*36+HEX2DEC(8))*2,2)),32),2)</f>
        <v>00</v>
      </c>
      <c r="M481" t="str">
        <f>DEC2HEX(_xlfn.BITAND(HEX2DEC(MID('paste from garc here'!$C$1,1+(('table for research'!$B481-1)*36+HEX2DEC(8))*2,2)),64),2)</f>
        <v>00</v>
      </c>
      <c r="N481" t="str">
        <f>DEC2HEX(_xlfn.BITRSHIFT(_xlfn.BITAND(HEX2DEC(MID('paste from garc here'!$C$1,1+(('table for research'!$B481-1)*36+HEX2DEC(9))*2,2)&amp;MID('paste from garc here'!$C$1,1+(('table for research'!$B481-1)*36+HEX2DEC(8))*2,2)),1920),7),2)</f>
        <v>00</v>
      </c>
      <c r="O481" t="str">
        <f>DEC2HEX(_xlfn.BITRSHIFT(HEX2DEC(MID('paste from garc here'!$C$1,1+(('table for research'!$B481-1)*36+HEX2DEC(9))*2,2)&amp;MID('paste from garc here'!$C$1,1+(('table for research'!$B481-1)*36+HEX2DEC(8))*2,2)),11),2)</f>
        <v>00</v>
      </c>
      <c r="P481" t="str">
        <f>MID('paste from garc here'!$C$2,1+(('table for research'!$B481-456)*36+HEX2DEC('table for research'!P$1))*2,2)</f>
        <v>00</v>
      </c>
      <c r="Q481" t="str">
        <f>MID('paste from garc here'!$C$2,1+(('table for research'!$B481-456)*36+HEX2DEC('table for research'!Q$1))*2,2)</f>
        <v>00</v>
      </c>
      <c r="R481" t="str">
        <f>MID('paste from garc here'!$C$2,1+(('table for research'!$B481-456)*36+HEX2DEC('table for research'!R$1))*2,2)</f>
        <v>00</v>
      </c>
      <c r="S481" t="str">
        <f>MID('paste from garc here'!$C$2,1+(('table for research'!$B481-456)*36+HEX2DEC('table for research'!S$1))*2,2)</f>
        <v>08</v>
      </c>
      <c r="T481" t="str">
        <f>MID('paste from garc here'!$C$2,1+(('table for research'!$B481-456)*36+HEX2DEC('table for research'!T$1))*2,2)</f>
        <v>00</v>
      </c>
      <c r="U481" t="str">
        <f>MID('paste from garc here'!$C$2,1+(('table for research'!$B481-456)*36+HEX2DEC('table for research'!U$1))*2,2)</f>
        <v>FF</v>
      </c>
      <c r="V481" t="str">
        <f>MID('paste from garc here'!$C$2,1+(('table for research'!$B481-456)*36+HEX2DEC('table for research'!V$1))*2,2)</f>
        <v>00</v>
      </c>
      <c r="W481" t="str">
        <f>MID('paste from garc here'!$C$2,1+(('table for research'!$B481-456)*36+HEX2DEC('table for research'!W$1))*2,2)</f>
        <v>00</v>
      </c>
      <c r="X481" t="str">
        <f>MID('paste from garc here'!$C$2,1+(('table for research'!$B481-456)*36+HEX2DEC('table for research'!X$1))*2,2)</f>
        <v>00</v>
      </c>
      <c r="Y481" t="str">
        <f>MID('paste from garc here'!$C$2,1+(('table for research'!$B481-456)*36+HEX2DEC('table for research'!Y$1))*2,2)</f>
        <v>00</v>
      </c>
      <c r="Z481" t="str">
        <f>MID('paste from garc here'!$C$2,1+(('table for research'!$B481-456)*36+HEX2DEC('table for research'!Z$1))*2,2)</f>
        <v>00</v>
      </c>
      <c r="AA481" t="str">
        <f>MID('paste from garc here'!$C$2,1+(('table for research'!$B481-456)*36+HEX2DEC('table for research'!AA$1))*2,2)</f>
        <v>00</v>
      </c>
      <c r="AB481" t="str">
        <f>MID('paste from garc here'!$C$2,1+(('table for research'!$B481-456)*36+HEX2DEC('table for research'!AB$1))*2,2)</f>
        <v>00</v>
      </c>
      <c r="AC481" t="str">
        <f>MID('paste from garc here'!$C$2,1+(('table for research'!$B481-456)*36+HEX2DEC('table for research'!AC$1))*2,2)</f>
        <v>00</v>
      </c>
      <c r="AD481" t="str">
        <f>MID('paste from garc here'!$C$2,1+(('table for research'!$B481-456)*36+HEX2DEC('table for research'!AD$1))*2,2)</f>
        <v>00</v>
      </c>
      <c r="AE481" t="str">
        <f>MID('paste from garc here'!$C$2,1+(('table for research'!$B481-456)*36+HEX2DEC('table for research'!AE$1))*2,2)</f>
        <v>00</v>
      </c>
      <c r="AF481" t="str">
        <f>MID('paste from garc here'!$C$2,1+(('table for research'!$B481-456)*36+HEX2DEC('table for research'!AF$1))*2,2)</f>
        <v>00</v>
      </c>
      <c r="AG481" t="str">
        <f>MID('paste from garc here'!$C$2,1+(('table for research'!$B481-456)*36+HEX2DEC('table for research'!AG$1))*2,2)</f>
        <v>00</v>
      </c>
      <c r="AH481" t="str">
        <f>MID('paste from garc here'!$C$2,1+(('table for research'!$B481-456)*36+HEX2DEC('table for research'!AH$1))*2,2)</f>
        <v>00</v>
      </c>
      <c r="AI481" t="str">
        <f>MID('paste from garc here'!$C$2,1+(('table for research'!$B481-456)*36+HEX2DEC('table for research'!AI$1))*2,2)</f>
        <v>00</v>
      </c>
      <c r="AJ481" t="str">
        <f>MID('paste from garc here'!$C$2,1+(('table for research'!$B481-456)*36+HEX2DEC('table for research'!AJ$1))*2,2)</f>
        <v>00</v>
      </c>
      <c r="AK481" t="str">
        <f>MID('paste from garc here'!$C$2,1+(('table for research'!$B481-456)*36+HEX2DEC('table for research'!AK$1))*2,2)</f>
        <v>00</v>
      </c>
      <c r="AL481" t="str">
        <f>MID('paste from garc here'!$C$2,1+(('table for research'!$B481-456)*36+HEX2DEC('table for research'!AL$1))*2,2)</f>
        <v>00</v>
      </c>
      <c r="AM481" t="str">
        <f>MID('paste from garc here'!$C$2,1+(('table for research'!$B481-456)*36+HEX2DEC('table for research'!AM$1))*2,2)</f>
        <v>00</v>
      </c>
      <c r="AN481" t="str">
        <f>MID('paste from garc here'!$C$2,1+(('table for research'!$B481-456)*36+HEX2DEC('table for research'!AN$1))*2,2)</f>
        <v>00</v>
      </c>
      <c r="AO481" t="str">
        <f>MID('paste from garc here'!$C$2,1+(('table for research'!$B481-456)*36+HEX2DEC('table for research'!AO$1))*2,2)</f>
        <v>00</v>
      </c>
    </row>
    <row r="482" spans="1:41" x14ac:dyDescent="0.4">
      <c r="A482" t="s">
        <v>484</v>
      </c>
      <c r="B482">
        <f>B481+1</f>
        <v>480</v>
      </c>
      <c r="C482" t="str">
        <f>MID('paste from garc here'!$C$2,1+(('table for research'!$B482-456)*36+HEX2DEC('table for research'!C$1))*2,2)</f>
        <v>00</v>
      </c>
      <c r="D482" t="str">
        <f>MID('paste from garc here'!$C$2,1+(('table for research'!$B482-456)*36+HEX2DEC('table for research'!D$1))*2,2)</f>
        <v>00</v>
      </c>
      <c r="E482" t="str">
        <f>MID('paste from garc here'!$C$2,1+(('table for research'!$B482-456)*36+HEX2DEC('table for research'!E$1))*2,2)</f>
        <v>00</v>
      </c>
      <c r="F482" t="str">
        <f>MID('paste from garc here'!$C$2,1+(('table for research'!$B482-456)*36+HEX2DEC('table for research'!F$1))*2,2)</f>
        <v>00</v>
      </c>
      <c r="G482" t="str">
        <f>MID('paste from garc here'!$C$2,1+(('table for research'!$B482-456)*36+HEX2DEC('table for research'!G$1))*2,2)</f>
        <v>00</v>
      </c>
      <c r="H482" t="str">
        <f>MID('paste from garc here'!$C$2,1+(('table for research'!$B482-456)*36+HEX2DEC('table for research'!H$1))*2,2)</f>
        <v>00</v>
      </c>
      <c r="I482" t="str">
        <f>MID('paste from garc here'!$C$2,1+(('table for research'!$B482-456)*36+HEX2DEC('table for research'!I$1))*2,2)</f>
        <v>00</v>
      </c>
      <c r="J482" t="str">
        <f>MID('paste from garc here'!$C$2,1+(('table for research'!$B482-456)*36+HEX2DEC('table for research'!J$1))*2,2)</f>
        <v>00</v>
      </c>
      <c r="K482" t="str">
        <f>DEC2HEX(_xlfn.BITAND(HEX2DEC(MID('paste from garc here'!$C$1,1+(('table for research'!$B482-1)*36+HEX2DEC(8))*2,2)),31),2)</f>
        <v>00</v>
      </c>
      <c r="L482" t="str">
        <f>DEC2HEX(_xlfn.BITAND(HEX2DEC(MID('paste from garc here'!$C$1,1+(('table for research'!$B482-1)*36+HEX2DEC(8))*2,2)),32),2)</f>
        <v>00</v>
      </c>
      <c r="M482" t="str">
        <f>DEC2HEX(_xlfn.BITAND(HEX2DEC(MID('paste from garc here'!$C$1,1+(('table for research'!$B482-1)*36+HEX2DEC(8))*2,2)),64),2)</f>
        <v>00</v>
      </c>
      <c r="N482" t="str">
        <f>DEC2HEX(_xlfn.BITRSHIFT(_xlfn.BITAND(HEX2DEC(MID('paste from garc here'!$C$1,1+(('table for research'!$B482-1)*36+HEX2DEC(9))*2,2)&amp;MID('paste from garc here'!$C$1,1+(('table for research'!$B482-1)*36+HEX2DEC(8))*2,2)),1920),7),2)</f>
        <v>00</v>
      </c>
      <c r="O482" t="str">
        <f>DEC2HEX(_xlfn.BITRSHIFT(HEX2DEC(MID('paste from garc here'!$C$1,1+(('table for research'!$B482-1)*36+HEX2DEC(9))*2,2)&amp;MID('paste from garc here'!$C$1,1+(('table for research'!$B482-1)*36+HEX2DEC(8))*2,2)),11),2)</f>
        <v>00</v>
      </c>
      <c r="P482" t="str">
        <f>MID('paste from garc here'!$C$2,1+(('table for research'!$B482-456)*36+HEX2DEC('table for research'!P$1))*2,2)</f>
        <v>00</v>
      </c>
      <c r="Q482" t="str">
        <f>MID('paste from garc here'!$C$2,1+(('table for research'!$B482-456)*36+HEX2DEC('table for research'!Q$1))*2,2)</f>
        <v>00</v>
      </c>
      <c r="R482" t="str">
        <f>MID('paste from garc here'!$C$2,1+(('table for research'!$B482-456)*36+HEX2DEC('table for research'!R$1))*2,2)</f>
        <v>00</v>
      </c>
      <c r="S482" t="str">
        <f>MID('paste from garc here'!$C$2,1+(('table for research'!$B482-456)*36+HEX2DEC('table for research'!S$1))*2,2)</f>
        <v>08</v>
      </c>
      <c r="T482" t="str">
        <f>MID('paste from garc here'!$C$2,1+(('table for research'!$B482-456)*36+HEX2DEC('table for research'!T$1))*2,2)</f>
        <v>00</v>
      </c>
      <c r="U482" t="str">
        <f>MID('paste from garc here'!$C$2,1+(('table for research'!$B482-456)*36+HEX2DEC('table for research'!U$1))*2,2)</f>
        <v>FF</v>
      </c>
      <c r="V482" t="str">
        <f>MID('paste from garc here'!$C$2,1+(('table for research'!$B482-456)*36+HEX2DEC('table for research'!V$1))*2,2)</f>
        <v>00</v>
      </c>
      <c r="W482" t="str">
        <f>MID('paste from garc here'!$C$2,1+(('table for research'!$B482-456)*36+HEX2DEC('table for research'!W$1))*2,2)</f>
        <v>00</v>
      </c>
      <c r="X482" t="str">
        <f>MID('paste from garc here'!$C$2,1+(('table for research'!$B482-456)*36+HEX2DEC('table for research'!X$1))*2,2)</f>
        <v>00</v>
      </c>
      <c r="Y482" t="str">
        <f>MID('paste from garc here'!$C$2,1+(('table for research'!$B482-456)*36+HEX2DEC('table for research'!Y$1))*2,2)</f>
        <v>00</v>
      </c>
      <c r="Z482" t="str">
        <f>MID('paste from garc here'!$C$2,1+(('table for research'!$B482-456)*36+HEX2DEC('table for research'!Z$1))*2,2)</f>
        <v>00</v>
      </c>
      <c r="AA482" t="str">
        <f>MID('paste from garc here'!$C$2,1+(('table for research'!$B482-456)*36+HEX2DEC('table for research'!AA$1))*2,2)</f>
        <v>00</v>
      </c>
      <c r="AB482" t="str">
        <f>MID('paste from garc here'!$C$2,1+(('table for research'!$B482-456)*36+HEX2DEC('table for research'!AB$1))*2,2)</f>
        <v>00</v>
      </c>
      <c r="AC482" t="str">
        <f>MID('paste from garc here'!$C$2,1+(('table for research'!$B482-456)*36+HEX2DEC('table for research'!AC$1))*2,2)</f>
        <v>00</v>
      </c>
      <c r="AD482" t="str">
        <f>MID('paste from garc here'!$C$2,1+(('table for research'!$B482-456)*36+HEX2DEC('table for research'!AD$1))*2,2)</f>
        <v>00</v>
      </c>
      <c r="AE482" t="str">
        <f>MID('paste from garc here'!$C$2,1+(('table for research'!$B482-456)*36+HEX2DEC('table for research'!AE$1))*2,2)</f>
        <v>00</v>
      </c>
      <c r="AF482" t="str">
        <f>MID('paste from garc here'!$C$2,1+(('table for research'!$B482-456)*36+HEX2DEC('table for research'!AF$1))*2,2)</f>
        <v>00</v>
      </c>
      <c r="AG482" t="str">
        <f>MID('paste from garc here'!$C$2,1+(('table for research'!$B482-456)*36+HEX2DEC('table for research'!AG$1))*2,2)</f>
        <v>00</v>
      </c>
      <c r="AH482" t="str">
        <f>MID('paste from garc here'!$C$2,1+(('table for research'!$B482-456)*36+HEX2DEC('table for research'!AH$1))*2,2)</f>
        <v>00</v>
      </c>
      <c r="AI482" t="str">
        <f>MID('paste from garc here'!$C$2,1+(('table for research'!$B482-456)*36+HEX2DEC('table for research'!AI$1))*2,2)</f>
        <v>00</v>
      </c>
      <c r="AJ482" t="str">
        <f>MID('paste from garc here'!$C$2,1+(('table for research'!$B482-456)*36+HEX2DEC('table for research'!AJ$1))*2,2)</f>
        <v>00</v>
      </c>
      <c r="AK482" t="str">
        <f>MID('paste from garc here'!$C$2,1+(('table for research'!$B482-456)*36+HEX2DEC('table for research'!AK$1))*2,2)</f>
        <v>00</v>
      </c>
      <c r="AL482" t="str">
        <f>MID('paste from garc here'!$C$2,1+(('table for research'!$B482-456)*36+HEX2DEC('table for research'!AL$1))*2,2)</f>
        <v>00</v>
      </c>
      <c r="AM482" t="str">
        <f>MID('paste from garc here'!$C$2,1+(('table for research'!$B482-456)*36+HEX2DEC('table for research'!AM$1))*2,2)</f>
        <v>00</v>
      </c>
      <c r="AN482" t="str">
        <f>MID('paste from garc here'!$C$2,1+(('table for research'!$B482-456)*36+HEX2DEC('table for research'!AN$1))*2,2)</f>
        <v>00</v>
      </c>
      <c r="AO482" t="str">
        <f>MID('paste from garc here'!$C$2,1+(('table for research'!$B482-456)*36+HEX2DEC('table for research'!AO$1))*2,2)</f>
        <v>00</v>
      </c>
    </row>
    <row r="483" spans="1:41" x14ac:dyDescent="0.4">
      <c r="A483" t="s">
        <v>485</v>
      </c>
      <c r="B483">
        <f>B482+1</f>
        <v>481</v>
      </c>
      <c r="C483" t="str">
        <f>MID('paste from garc here'!$C$2,1+(('table for research'!$B483-456)*36+HEX2DEC('table for research'!C$1))*2,2)</f>
        <v>00</v>
      </c>
      <c r="D483" t="str">
        <f>MID('paste from garc here'!$C$2,1+(('table for research'!$B483-456)*36+HEX2DEC('table for research'!D$1))*2,2)</f>
        <v>00</v>
      </c>
      <c r="E483" t="str">
        <f>MID('paste from garc here'!$C$2,1+(('table for research'!$B483-456)*36+HEX2DEC('table for research'!E$1))*2,2)</f>
        <v>00</v>
      </c>
      <c r="F483" t="str">
        <f>MID('paste from garc here'!$C$2,1+(('table for research'!$B483-456)*36+HEX2DEC('table for research'!F$1))*2,2)</f>
        <v>00</v>
      </c>
      <c r="G483" t="str">
        <f>MID('paste from garc here'!$C$2,1+(('table for research'!$B483-456)*36+HEX2DEC('table for research'!G$1))*2,2)</f>
        <v>00</v>
      </c>
      <c r="H483" t="str">
        <f>MID('paste from garc here'!$C$2,1+(('table for research'!$B483-456)*36+HEX2DEC('table for research'!H$1))*2,2)</f>
        <v>00</v>
      </c>
      <c r="I483" t="str">
        <f>MID('paste from garc here'!$C$2,1+(('table for research'!$B483-456)*36+HEX2DEC('table for research'!I$1))*2,2)</f>
        <v>00</v>
      </c>
      <c r="J483" t="str">
        <f>MID('paste from garc here'!$C$2,1+(('table for research'!$B483-456)*36+HEX2DEC('table for research'!J$1))*2,2)</f>
        <v>00</v>
      </c>
      <c r="K483" t="str">
        <f>DEC2HEX(_xlfn.BITAND(HEX2DEC(MID('paste from garc here'!$C$1,1+(('table for research'!$B483-1)*36+HEX2DEC(8))*2,2)),31),2)</f>
        <v>00</v>
      </c>
      <c r="L483" t="str">
        <f>DEC2HEX(_xlfn.BITAND(HEX2DEC(MID('paste from garc here'!$C$1,1+(('table for research'!$B483-1)*36+HEX2DEC(8))*2,2)),32),2)</f>
        <v>00</v>
      </c>
      <c r="M483" t="str">
        <f>DEC2HEX(_xlfn.BITAND(HEX2DEC(MID('paste from garc here'!$C$1,1+(('table for research'!$B483-1)*36+HEX2DEC(8))*2,2)),64),2)</f>
        <v>00</v>
      </c>
      <c r="N483" t="str">
        <f>DEC2HEX(_xlfn.BITRSHIFT(_xlfn.BITAND(HEX2DEC(MID('paste from garc here'!$C$1,1+(('table for research'!$B483-1)*36+HEX2DEC(9))*2,2)&amp;MID('paste from garc here'!$C$1,1+(('table for research'!$B483-1)*36+HEX2DEC(8))*2,2)),1920),7),2)</f>
        <v>00</v>
      </c>
      <c r="O483" t="str">
        <f>DEC2HEX(_xlfn.BITRSHIFT(HEX2DEC(MID('paste from garc here'!$C$1,1+(('table for research'!$B483-1)*36+HEX2DEC(9))*2,2)&amp;MID('paste from garc here'!$C$1,1+(('table for research'!$B483-1)*36+HEX2DEC(8))*2,2)),11),2)</f>
        <v>00</v>
      </c>
      <c r="P483" t="str">
        <f>MID('paste from garc here'!$C$2,1+(('table for research'!$B483-456)*36+HEX2DEC('table for research'!P$1))*2,2)</f>
        <v>00</v>
      </c>
      <c r="Q483" t="str">
        <f>MID('paste from garc here'!$C$2,1+(('table for research'!$B483-456)*36+HEX2DEC('table for research'!Q$1))*2,2)</f>
        <v>00</v>
      </c>
      <c r="R483" t="str">
        <f>MID('paste from garc here'!$C$2,1+(('table for research'!$B483-456)*36+HEX2DEC('table for research'!R$1))*2,2)</f>
        <v>00</v>
      </c>
      <c r="S483" t="str">
        <f>MID('paste from garc here'!$C$2,1+(('table for research'!$B483-456)*36+HEX2DEC('table for research'!S$1))*2,2)</f>
        <v>08</v>
      </c>
      <c r="T483" t="str">
        <f>MID('paste from garc here'!$C$2,1+(('table for research'!$B483-456)*36+HEX2DEC('table for research'!T$1))*2,2)</f>
        <v>00</v>
      </c>
      <c r="U483" t="str">
        <f>MID('paste from garc here'!$C$2,1+(('table for research'!$B483-456)*36+HEX2DEC('table for research'!U$1))*2,2)</f>
        <v>FF</v>
      </c>
      <c r="V483" t="str">
        <f>MID('paste from garc here'!$C$2,1+(('table for research'!$B483-456)*36+HEX2DEC('table for research'!V$1))*2,2)</f>
        <v>00</v>
      </c>
      <c r="W483" t="str">
        <f>MID('paste from garc here'!$C$2,1+(('table for research'!$B483-456)*36+HEX2DEC('table for research'!W$1))*2,2)</f>
        <v>00</v>
      </c>
      <c r="X483" t="str">
        <f>MID('paste from garc here'!$C$2,1+(('table for research'!$B483-456)*36+HEX2DEC('table for research'!X$1))*2,2)</f>
        <v>00</v>
      </c>
      <c r="Y483" t="str">
        <f>MID('paste from garc here'!$C$2,1+(('table for research'!$B483-456)*36+HEX2DEC('table for research'!Y$1))*2,2)</f>
        <v>00</v>
      </c>
      <c r="Z483" t="str">
        <f>MID('paste from garc here'!$C$2,1+(('table for research'!$B483-456)*36+HEX2DEC('table for research'!Z$1))*2,2)</f>
        <v>00</v>
      </c>
      <c r="AA483" t="str">
        <f>MID('paste from garc here'!$C$2,1+(('table for research'!$B483-456)*36+HEX2DEC('table for research'!AA$1))*2,2)</f>
        <v>00</v>
      </c>
      <c r="AB483" t="str">
        <f>MID('paste from garc here'!$C$2,1+(('table for research'!$B483-456)*36+HEX2DEC('table for research'!AB$1))*2,2)</f>
        <v>00</v>
      </c>
      <c r="AC483" t="str">
        <f>MID('paste from garc here'!$C$2,1+(('table for research'!$B483-456)*36+HEX2DEC('table for research'!AC$1))*2,2)</f>
        <v>00</v>
      </c>
      <c r="AD483" t="str">
        <f>MID('paste from garc here'!$C$2,1+(('table for research'!$B483-456)*36+HEX2DEC('table for research'!AD$1))*2,2)</f>
        <v>00</v>
      </c>
      <c r="AE483" t="str">
        <f>MID('paste from garc here'!$C$2,1+(('table for research'!$B483-456)*36+HEX2DEC('table for research'!AE$1))*2,2)</f>
        <v>00</v>
      </c>
      <c r="AF483" t="str">
        <f>MID('paste from garc here'!$C$2,1+(('table for research'!$B483-456)*36+HEX2DEC('table for research'!AF$1))*2,2)</f>
        <v>00</v>
      </c>
      <c r="AG483" t="str">
        <f>MID('paste from garc here'!$C$2,1+(('table for research'!$B483-456)*36+HEX2DEC('table for research'!AG$1))*2,2)</f>
        <v>00</v>
      </c>
      <c r="AH483" t="str">
        <f>MID('paste from garc here'!$C$2,1+(('table for research'!$B483-456)*36+HEX2DEC('table for research'!AH$1))*2,2)</f>
        <v>00</v>
      </c>
      <c r="AI483" t="str">
        <f>MID('paste from garc here'!$C$2,1+(('table for research'!$B483-456)*36+HEX2DEC('table for research'!AI$1))*2,2)</f>
        <v>00</v>
      </c>
      <c r="AJ483" t="str">
        <f>MID('paste from garc here'!$C$2,1+(('table for research'!$B483-456)*36+HEX2DEC('table for research'!AJ$1))*2,2)</f>
        <v>00</v>
      </c>
      <c r="AK483" t="str">
        <f>MID('paste from garc here'!$C$2,1+(('table for research'!$B483-456)*36+HEX2DEC('table for research'!AK$1))*2,2)</f>
        <v>00</v>
      </c>
      <c r="AL483" t="str">
        <f>MID('paste from garc here'!$C$2,1+(('table for research'!$B483-456)*36+HEX2DEC('table for research'!AL$1))*2,2)</f>
        <v>00</v>
      </c>
      <c r="AM483" t="str">
        <f>MID('paste from garc here'!$C$2,1+(('table for research'!$B483-456)*36+HEX2DEC('table for research'!AM$1))*2,2)</f>
        <v>00</v>
      </c>
      <c r="AN483" t="str">
        <f>MID('paste from garc here'!$C$2,1+(('table for research'!$B483-456)*36+HEX2DEC('table for research'!AN$1))*2,2)</f>
        <v>00</v>
      </c>
      <c r="AO483" t="str">
        <f>MID('paste from garc here'!$C$2,1+(('table for research'!$B483-456)*36+HEX2DEC('table for research'!AO$1))*2,2)</f>
        <v>00</v>
      </c>
    </row>
    <row r="484" spans="1:41" x14ac:dyDescent="0.4">
      <c r="A484" t="s">
        <v>486</v>
      </c>
      <c r="B484">
        <f>B483+1</f>
        <v>482</v>
      </c>
      <c r="C484" t="str">
        <f>MID('paste from garc here'!$C$2,1+(('table for research'!$B484-456)*36+HEX2DEC('table for research'!C$1))*2,2)</f>
        <v>00</v>
      </c>
      <c r="D484" t="str">
        <f>MID('paste from garc here'!$C$2,1+(('table for research'!$B484-456)*36+HEX2DEC('table for research'!D$1))*2,2)</f>
        <v>00</v>
      </c>
      <c r="E484" t="str">
        <f>MID('paste from garc here'!$C$2,1+(('table for research'!$B484-456)*36+HEX2DEC('table for research'!E$1))*2,2)</f>
        <v>00</v>
      </c>
      <c r="F484" t="str">
        <f>MID('paste from garc here'!$C$2,1+(('table for research'!$B484-456)*36+HEX2DEC('table for research'!F$1))*2,2)</f>
        <v>00</v>
      </c>
      <c r="G484" t="str">
        <f>MID('paste from garc here'!$C$2,1+(('table for research'!$B484-456)*36+HEX2DEC('table for research'!G$1))*2,2)</f>
        <v>00</v>
      </c>
      <c r="H484" t="str">
        <f>MID('paste from garc here'!$C$2,1+(('table for research'!$B484-456)*36+HEX2DEC('table for research'!H$1))*2,2)</f>
        <v>00</v>
      </c>
      <c r="I484" t="str">
        <f>MID('paste from garc here'!$C$2,1+(('table for research'!$B484-456)*36+HEX2DEC('table for research'!I$1))*2,2)</f>
        <v>00</v>
      </c>
      <c r="J484" t="str">
        <f>MID('paste from garc here'!$C$2,1+(('table for research'!$B484-456)*36+HEX2DEC('table for research'!J$1))*2,2)</f>
        <v>00</v>
      </c>
      <c r="K484" t="str">
        <f>DEC2HEX(_xlfn.BITAND(HEX2DEC(MID('paste from garc here'!$C$1,1+(('table for research'!$B484-1)*36+HEX2DEC(8))*2,2)),31),2)</f>
        <v>00</v>
      </c>
      <c r="L484" t="str">
        <f>DEC2HEX(_xlfn.BITAND(HEX2DEC(MID('paste from garc here'!$C$1,1+(('table for research'!$B484-1)*36+HEX2DEC(8))*2,2)),32),2)</f>
        <v>00</v>
      </c>
      <c r="M484" t="str">
        <f>DEC2HEX(_xlfn.BITAND(HEX2DEC(MID('paste from garc here'!$C$1,1+(('table for research'!$B484-1)*36+HEX2DEC(8))*2,2)),64),2)</f>
        <v>00</v>
      </c>
      <c r="N484" t="str">
        <f>DEC2HEX(_xlfn.BITRSHIFT(_xlfn.BITAND(HEX2DEC(MID('paste from garc here'!$C$1,1+(('table for research'!$B484-1)*36+HEX2DEC(9))*2,2)&amp;MID('paste from garc here'!$C$1,1+(('table for research'!$B484-1)*36+HEX2DEC(8))*2,2)),1920),7),2)</f>
        <v>00</v>
      </c>
      <c r="O484" t="str">
        <f>DEC2HEX(_xlfn.BITRSHIFT(HEX2DEC(MID('paste from garc here'!$C$1,1+(('table for research'!$B484-1)*36+HEX2DEC(9))*2,2)&amp;MID('paste from garc here'!$C$1,1+(('table for research'!$B484-1)*36+HEX2DEC(8))*2,2)),11),2)</f>
        <v>00</v>
      </c>
      <c r="P484" t="str">
        <f>MID('paste from garc here'!$C$2,1+(('table for research'!$B484-456)*36+HEX2DEC('table for research'!P$1))*2,2)</f>
        <v>00</v>
      </c>
      <c r="Q484" t="str">
        <f>MID('paste from garc here'!$C$2,1+(('table for research'!$B484-456)*36+HEX2DEC('table for research'!Q$1))*2,2)</f>
        <v>00</v>
      </c>
      <c r="R484" t="str">
        <f>MID('paste from garc here'!$C$2,1+(('table for research'!$B484-456)*36+HEX2DEC('table for research'!R$1))*2,2)</f>
        <v>00</v>
      </c>
      <c r="S484" t="str">
        <f>MID('paste from garc here'!$C$2,1+(('table for research'!$B484-456)*36+HEX2DEC('table for research'!S$1))*2,2)</f>
        <v>08</v>
      </c>
      <c r="T484" t="str">
        <f>MID('paste from garc here'!$C$2,1+(('table for research'!$B484-456)*36+HEX2DEC('table for research'!T$1))*2,2)</f>
        <v>00</v>
      </c>
      <c r="U484" t="str">
        <f>MID('paste from garc here'!$C$2,1+(('table for research'!$B484-456)*36+HEX2DEC('table for research'!U$1))*2,2)</f>
        <v>FF</v>
      </c>
      <c r="V484" t="str">
        <f>MID('paste from garc here'!$C$2,1+(('table for research'!$B484-456)*36+HEX2DEC('table for research'!V$1))*2,2)</f>
        <v>00</v>
      </c>
      <c r="W484" t="str">
        <f>MID('paste from garc here'!$C$2,1+(('table for research'!$B484-456)*36+HEX2DEC('table for research'!W$1))*2,2)</f>
        <v>00</v>
      </c>
      <c r="X484" t="str">
        <f>MID('paste from garc here'!$C$2,1+(('table for research'!$B484-456)*36+HEX2DEC('table for research'!X$1))*2,2)</f>
        <v>00</v>
      </c>
      <c r="Y484" t="str">
        <f>MID('paste from garc here'!$C$2,1+(('table for research'!$B484-456)*36+HEX2DEC('table for research'!Y$1))*2,2)</f>
        <v>00</v>
      </c>
      <c r="Z484" t="str">
        <f>MID('paste from garc here'!$C$2,1+(('table for research'!$B484-456)*36+HEX2DEC('table for research'!Z$1))*2,2)</f>
        <v>00</v>
      </c>
      <c r="AA484" t="str">
        <f>MID('paste from garc here'!$C$2,1+(('table for research'!$B484-456)*36+HEX2DEC('table for research'!AA$1))*2,2)</f>
        <v>00</v>
      </c>
      <c r="AB484" t="str">
        <f>MID('paste from garc here'!$C$2,1+(('table for research'!$B484-456)*36+HEX2DEC('table for research'!AB$1))*2,2)</f>
        <v>00</v>
      </c>
      <c r="AC484" t="str">
        <f>MID('paste from garc here'!$C$2,1+(('table for research'!$B484-456)*36+HEX2DEC('table for research'!AC$1))*2,2)</f>
        <v>00</v>
      </c>
      <c r="AD484" t="str">
        <f>MID('paste from garc here'!$C$2,1+(('table for research'!$B484-456)*36+HEX2DEC('table for research'!AD$1))*2,2)</f>
        <v>00</v>
      </c>
      <c r="AE484" t="str">
        <f>MID('paste from garc here'!$C$2,1+(('table for research'!$B484-456)*36+HEX2DEC('table for research'!AE$1))*2,2)</f>
        <v>00</v>
      </c>
      <c r="AF484" t="str">
        <f>MID('paste from garc here'!$C$2,1+(('table for research'!$B484-456)*36+HEX2DEC('table for research'!AF$1))*2,2)</f>
        <v>00</v>
      </c>
      <c r="AG484" t="str">
        <f>MID('paste from garc here'!$C$2,1+(('table for research'!$B484-456)*36+HEX2DEC('table for research'!AG$1))*2,2)</f>
        <v>00</v>
      </c>
      <c r="AH484" t="str">
        <f>MID('paste from garc here'!$C$2,1+(('table for research'!$B484-456)*36+HEX2DEC('table for research'!AH$1))*2,2)</f>
        <v>00</v>
      </c>
      <c r="AI484" t="str">
        <f>MID('paste from garc here'!$C$2,1+(('table for research'!$B484-456)*36+HEX2DEC('table for research'!AI$1))*2,2)</f>
        <v>00</v>
      </c>
      <c r="AJ484" t="str">
        <f>MID('paste from garc here'!$C$2,1+(('table for research'!$B484-456)*36+HEX2DEC('table for research'!AJ$1))*2,2)</f>
        <v>00</v>
      </c>
      <c r="AK484" t="str">
        <f>MID('paste from garc here'!$C$2,1+(('table for research'!$B484-456)*36+HEX2DEC('table for research'!AK$1))*2,2)</f>
        <v>00</v>
      </c>
      <c r="AL484" t="str">
        <f>MID('paste from garc here'!$C$2,1+(('table for research'!$B484-456)*36+HEX2DEC('table for research'!AL$1))*2,2)</f>
        <v>00</v>
      </c>
      <c r="AM484" t="str">
        <f>MID('paste from garc here'!$C$2,1+(('table for research'!$B484-456)*36+HEX2DEC('table for research'!AM$1))*2,2)</f>
        <v>00</v>
      </c>
      <c r="AN484" t="str">
        <f>MID('paste from garc here'!$C$2,1+(('table for research'!$B484-456)*36+HEX2DEC('table for research'!AN$1))*2,2)</f>
        <v>00</v>
      </c>
      <c r="AO484" t="str">
        <f>MID('paste from garc here'!$C$2,1+(('table for research'!$B484-456)*36+HEX2DEC('table for research'!AO$1))*2,2)</f>
        <v>00</v>
      </c>
    </row>
    <row r="485" spans="1:41" x14ac:dyDescent="0.4">
      <c r="A485" t="s">
        <v>487</v>
      </c>
      <c r="B485">
        <f>B484+1</f>
        <v>483</v>
      </c>
      <c r="C485" t="str">
        <f>MID('paste from garc here'!$C$2,1+(('table for research'!$B485-456)*36+HEX2DEC('table for research'!C$1))*2,2)</f>
        <v>00</v>
      </c>
      <c r="D485" t="str">
        <f>MID('paste from garc here'!$C$2,1+(('table for research'!$B485-456)*36+HEX2DEC('table for research'!D$1))*2,2)</f>
        <v>00</v>
      </c>
      <c r="E485" t="str">
        <f>MID('paste from garc here'!$C$2,1+(('table for research'!$B485-456)*36+HEX2DEC('table for research'!E$1))*2,2)</f>
        <v>00</v>
      </c>
      <c r="F485" t="str">
        <f>MID('paste from garc here'!$C$2,1+(('table for research'!$B485-456)*36+HEX2DEC('table for research'!F$1))*2,2)</f>
        <v>00</v>
      </c>
      <c r="G485" t="str">
        <f>MID('paste from garc here'!$C$2,1+(('table for research'!$B485-456)*36+HEX2DEC('table for research'!G$1))*2,2)</f>
        <v>00</v>
      </c>
      <c r="H485" t="str">
        <f>MID('paste from garc here'!$C$2,1+(('table for research'!$B485-456)*36+HEX2DEC('table for research'!H$1))*2,2)</f>
        <v>00</v>
      </c>
      <c r="I485" t="str">
        <f>MID('paste from garc here'!$C$2,1+(('table for research'!$B485-456)*36+HEX2DEC('table for research'!I$1))*2,2)</f>
        <v>00</v>
      </c>
      <c r="J485" t="str">
        <f>MID('paste from garc here'!$C$2,1+(('table for research'!$B485-456)*36+HEX2DEC('table for research'!J$1))*2,2)</f>
        <v>00</v>
      </c>
      <c r="K485" t="str">
        <f>DEC2HEX(_xlfn.BITAND(HEX2DEC(MID('paste from garc here'!$C$1,1+(('table for research'!$B485-1)*36+HEX2DEC(8))*2,2)),31),2)</f>
        <v>00</v>
      </c>
      <c r="L485" t="str">
        <f>DEC2HEX(_xlfn.BITAND(HEX2DEC(MID('paste from garc here'!$C$1,1+(('table for research'!$B485-1)*36+HEX2DEC(8))*2,2)),32),2)</f>
        <v>00</v>
      </c>
      <c r="M485" t="str">
        <f>DEC2HEX(_xlfn.BITAND(HEX2DEC(MID('paste from garc here'!$C$1,1+(('table for research'!$B485-1)*36+HEX2DEC(8))*2,2)),64),2)</f>
        <v>00</v>
      </c>
      <c r="N485" t="str">
        <f>DEC2HEX(_xlfn.BITRSHIFT(_xlfn.BITAND(HEX2DEC(MID('paste from garc here'!$C$1,1+(('table for research'!$B485-1)*36+HEX2DEC(9))*2,2)&amp;MID('paste from garc here'!$C$1,1+(('table for research'!$B485-1)*36+HEX2DEC(8))*2,2)),1920),7),2)</f>
        <v>00</v>
      </c>
      <c r="O485" t="str">
        <f>DEC2HEX(_xlfn.BITRSHIFT(HEX2DEC(MID('paste from garc here'!$C$1,1+(('table for research'!$B485-1)*36+HEX2DEC(9))*2,2)&amp;MID('paste from garc here'!$C$1,1+(('table for research'!$B485-1)*36+HEX2DEC(8))*2,2)),11),2)</f>
        <v>00</v>
      </c>
      <c r="P485" t="str">
        <f>MID('paste from garc here'!$C$2,1+(('table for research'!$B485-456)*36+HEX2DEC('table for research'!P$1))*2,2)</f>
        <v>00</v>
      </c>
      <c r="Q485" t="str">
        <f>MID('paste from garc here'!$C$2,1+(('table for research'!$B485-456)*36+HEX2DEC('table for research'!Q$1))*2,2)</f>
        <v>00</v>
      </c>
      <c r="R485" t="str">
        <f>MID('paste from garc here'!$C$2,1+(('table for research'!$B485-456)*36+HEX2DEC('table for research'!R$1))*2,2)</f>
        <v>00</v>
      </c>
      <c r="S485" t="str">
        <f>MID('paste from garc here'!$C$2,1+(('table for research'!$B485-456)*36+HEX2DEC('table for research'!S$1))*2,2)</f>
        <v>08</v>
      </c>
      <c r="T485" t="str">
        <f>MID('paste from garc here'!$C$2,1+(('table for research'!$B485-456)*36+HEX2DEC('table for research'!T$1))*2,2)</f>
        <v>00</v>
      </c>
      <c r="U485" t="str">
        <f>MID('paste from garc here'!$C$2,1+(('table for research'!$B485-456)*36+HEX2DEC('table for research'!U$1))*2,2)</f>
        <v>FF</v>
      </c>
      <c r="V485" t="str">
        <f>MID('paste from garc here'!$C$2,1+(('table for research'!$B485-456)*36+HEX2DEC('table for research'!V$1))*2,2)</f>
        <v>00</v>
      </c>
      <c r="W485" t="str">
        <f>MID('paste from garc here'!$C$2,1+(('table for research'!$B485-456)*36+HEX2DEC('table for research'!W$1))*2,2)</f>
        <v>00</v>
      </c>
      <c r="X485" t="str">
        <f>MID('paste from garc here'!$C$2,1+(('table for research'!$B485-456)*36+HEX2DEC('table for research'!X$1))*2,2)</f>
        <v>00</v>
      </c>
      <c r="Y485" t="str">
        <f>MID('paste from garc here'!$C$2,1+(('table for research'!$B485-456)*36+HEX2DEC('table for research'!Y$1))*2,2)</f>
        <v>00</v>
      </c>
      <c r="Z485" t="str">
        <f>MID('paste from garc here'!$C$2,1+(('table for research'!$B485-456)*36+HEX2DEC('table for research'!Z$1))*2,2)</f>
        <v>00</v>
      </c>
      <c r="AA485" t="str">
        <f>MID('paste from garc here'!$C$2,1+(('table for research'!$B485-456)*36+HEX2DEC('table for research'!AA$1))*2,2)</f>
        <v>00</v>
      </c>
      <c r="AB485" t="str">
        <f>MID('paste from garc here'!$C$2,1+(('table for research'!$B485-456)*36+HEX2DEC('table for research'!AB$1))*2,2)</f>
        <v>00</v>
      </c>
      <c r="AC485" t="str">
        <f>MID('paste from garc here'!$C$2,1+(('table for research'!$B485-456)*36+HEX2DEC('table for research'!AC$1))*2,2)</f>
        <v>00</v>
      </c>
      <c r="AD485" t="str">
        <f>MID('paste from garc here'!$C$2,1+(('table for research'!$B485-456)*36+HEX2DEC('table for research'!AD$1))*2,2)</f>
        <v>00</v>
      </c>
      <c r="AE485" t="str">
        <f>MID('paste from garc here'!$C$2,1+(('table for research'!$B485-456)*36+HEX2DEC('table for research'!AE$1))*2,2)</f>
        <v>00</v>
      </c>
      <c r="AF485" t="str">
        <f>MID('paste from garc here'!$C$2,1+(('table for research'!$B485-456)*36+HEX2DEC('table for research'!AF$1))*2,2)</f>
        <v>00</v>
      </c>
      <c r="AG485" t="str">
        <f>MID('paste from garc here'!$C$2,1+(('table for research'!$B485-456)*36+HEX2DEC('table for research'!AG$1))*2,2)</f>
        <v>00</v>
      </c>
      <c r="AH485" t="str">
        <f>MID('paste from garc here'!$C$2,1+(('table for research'!$B485-456)*36+HEX2DEC('table for research'!AH$1))*2,2)</f>
        <v>00</v>
      </c>
      <c r="AI485" t="str">
        <f>MID('paste from garc here'!$C$2,1+(('table for research'!$B485-456)*36+HEX2DEC('table for research'!AI$1))*2,2)</f>
        <v>00</v>
      </c>
      <c r="AJ485" t="str">
        <f>MID('paste from garc here'!$C$2,1+(('table for research'!$B485-456)*36+HEX2DEC('table for research'!AJ$1))*2,2)</f>
        <v>00</v>
      </c>
      <c r="AK485" t="str">
        <f>MID('paste from garc here'!$C$2,1+(('table for research'!$B485-456)*36+HEX2DEC('table for research'!AK$1))*2,2)</f>
        <v>00</v>
      </c>
      <c r="AL485" t="str">
        <f>MID('paste from garc here'!$C$2,1+(('table for research'!$B485-456)*36+HEX2DEC('table for research'!AL$1))*2,2)</f>
        <v>00</v>
      </c>
      <c r="AM485" t="str">
        <f>MID('paste from garc here'!$C$2,1+(('table for research'!$B485-456)*36+HEX2DEC('table for research'!AM$1))*2,2)</f>
        <v>00</v>
      </c>
      <c r="AN485" t="str">
        <f>MID('paste from garc here'!$C$2,1+(('table for research'!$B485-456)*36+HEX2DEC('table for research'!AN$1))*2,2)</f>
        <v>00</v>
      </c>
      <c r="AO485" t="str">
        <f>MID('paste from garc here'!$C$2,1+(('table for research'!$B485-456)*36+HEX2DEC('table for research'!AO$1))*2,2)</f>
        <v>00</v>
      </c>
    </row>
    <row r="486" spans="1:41" x14ac:dyDescent="0.4">
      <c r="A486" t="s">
        <v>488</v>
      </c>
      <c r="B486">
        <f>B485+1</f>
        <v>484</v>
      </c>
      <c r="C486" t="str">
        <f>MID('paste from garc here'!$C$2,1+(('table for research'!$B486-456)*36+HEX2DEC('table for research'!C$1))*2,2)</f>
        <v>00</v>
      </c>
      <c r="D486" t="str">
        <f>MID('paste from garc here'!$C$2,1+(('table for research'!$B486-456)*36+HEX2DEC('table for research'!D$1))*2,2)</f>
        <v>00</v>
      </c>
      <c r="E486" t="str">
        <f>MID('paste from garc here'!$C$2,1+(('table for research'!$B486-456)*36+HEX2DEC('table for research'!E$1))*2,2)</f>
        <v>00</v>
      </c>
      <c r="F486" t="str">
        <f>MID('paste from garc here'!$C$2,1+(('table for research'!$B486-456)*36+HEX2DEC('table for research'!F$1))*2,2)</f>
        <v>00</v>
      </c>
      <c r="G486" t="str">
        <f>MID('paste from garc here'!$C$2,1+(('table for research'!$B486-456)*36+HEX2DEC('table for research'!G$1))*2,2)</f>
        <v>00</v>
      </c>
      <c r="H486" t="str">
        <f>MID('paste from garc here'!$C$2,1+(('table for research'!$B486-456)*36+HEX2DEC('table for research'!H$1))*2,2)</f>
        <v>00</v>
      </c>
      <c r="I486" t="str">
        <f>MID('paste from garc here'!$C$2,1+(('table for research'!$B486-456)*36+HEX2DEC('table for research'!I$1))*2,2)</f>
        <v>00</v>
      </c>
      <c r="J486" t="str">
        <f>MID('paste from garc here'!$C$2,1+(('table for research'!$B486-456)*36+HEX2DEC('table for research'!J$1))*2,2)</f>
        <v>00</v>
      </c>
      <c r="K486" t="str">
        <f>DEC2HEX(_xlfn.BITAND(HEX2DEC(MID('paste from garc here'!$C$1,1+(('table for research'!$B486-1)*36+HEX2DEC(8))*2,2)),31),2)</f>
        <v>00</v>
      </c>
      <c r="L486" t="str">
        <f>DEC2HEX(_xlfn.BITAND(HEX2DEC(MID('paste from garc here'!$C$1,1+(('table for research'!$B486-1)*36+HEX2DEC(8))*2,2)),32),2)</f>
        <v>00</v>
      </c>
      <c r="M486" t="str">
        <f>DEC2HEX(_xlfn.BITAND(HEX2DEC(MID('paste from garc here'!$C$1,1+(('table for research'!$B486-1)*36+HEX2DEC(8))*2,2)),64),2)</f>
        <v>00</v>
      </c>
      <c r="N486" t="str">
        <f>DEC2HEX(_xlfn.BITRSHIFT(_xlfn.BITAND(HEX2DEC(MID('paste from garc here'!$C$1,1+(('table for research'!$B486-1)*36+HEX2DEC(9))*2,2)&amp;MID('paste from garc here'!$C$1,1+(('table for research'!$B486-1)*36+HEX2DEC(8))*2,2)),1920),7),2)</f>
        <v>00</v>
      </c>
      <c r="O486" t="str">
        <f>DEC2HEX(_xlfn.BITRSHIFT(HEX2DEC(MID('paste from garc here'!$C$1,1+(('table for research'!$B486-1)*36+HEX2DEC(9))*2,2)&amp;MID('paste from garc here'!$C$1,1+(('table for research'!$B486-1)*36+HEX2DEC(8))*2,2)),11),2)</f>
        <v>00</v>
      </c>
      <c r="P486" t="str">
        <f>MID('paste from garc here'!$C$2,1+(('table for research'!$B486-456)*36+HEX2DEC('table for research'!P$1))*2,2)</f>
        <v>00</v>
      </c>
      <c r="Q486" t="str">
        <f>MID('paste from garc here'!$C$2,1+(('table for research'!$B486-456)*36+HEX2DEC('table for research'!Q$1))*2,2)</f>
        <v>00</v>
      </c>
      <c r="R486" t="str">
        <f>MID('paste from garc here'!$C$2,1+(('table for research'!$B486-456)*36+HEX2DEC('table for research'!R$1))*2,2)</f>
        <v>00</v>
      </c>
      <c r="S486" t="str">
        <f>MID('paste from garc here'!$C$2,1+(('table for research'!$B486-456)*36+HEX2DEC('table for research'!S$1))*2,2)</f>
        <v>08</v>
      </c>
      <c r="T486" t="str">
        <f>MID('paste from garc here'!$C$2,1+(('table for research'!$B486-456)*36+HEX2DEC('table for research'!T$1))*2,2)</f>
        <v>00</v>
      </c>
      <c r="U486" t="str">
        <f>MID('paste from garc here'!$C$2,1+(('table for research'!$B486-456)*36+HEX2DEC('table for research'!U$1))*2,2)</f>
        <v>FF</v>
      </c>
      <c r="V486" t="str">
        <f>MID('paste from garc here'!$C$2,1+(('table for research'!$B486-456)*36+HEX2DEC('table for research'!V$1))*2,2)</f>
        <v>00</v>
      </c>
      <c r="W486" t="str">
        <f>MID('paste from garc here'!$C$2,1+(('table for research'!$B486-456)*36+HEX2DEC('table for research'!W$1))*2,2)</f>
        <v>00</v>
      </c>
      <c r="X486" t="str">
        <f>MID('paste from garc here'!$C$2,1+(('table for research'!$B486-456)*36+HEX2DEC('table for research'!X$1))*2,2)</f>
        <v>00</v>
      </c>
      <c r="Y486" t="str">
        <f>MID('paste from garc here'!$C$2,1+(('table for research'!$B486-456)*36+HEX2DEC('table for research'!Y$1))*2,2)</f>
        <v>00</v>
      </c>
      <c r="Z486" t="str">
        <f>MID('paste from garc here'!$C$2,1+(('table for research'!$B486-456)*36+HEX2DEC('table for research'!Z$1))*2,2)</f>
        <v>00</v>
      </c>
      <c r="AA486" t="str">
        <f>MID('paste from garc here'!$C$2,1+(('table for research'!$B486-456)*36+HEX2DEC('table for research'!AA$1))*2,2)</f>
        <v>00</v>
      </c>
      <c r="AB486" t="str">
        <f>MID('paste from garc here'!$C$2,1+(('table for research'!$B486-456)*36+HEX2DEC('table for research'!AB$1))*2,2)</f>
        <v>00</v>
      </c>
      <c r="AC486" t="str">
        <f>MID('paste from garc here'!$C$2,1+(('table for research'!$B486-456)*36+HEX2DEC('table for research'!AC$1))*2,2)</f>
        <v>00</v>
      </c>
      <c r="AD486" t="str">
        <f>MID('paste from garc here'!$C$2,1+(('table for research'!$B486-456)*36+HEX2DEC('table for research'!AD$1))*2,2)</f>
        <v>00</v>
      </c>
      <c r="AE486" t="str">
        <f>MID('paste from garc here'!$C$2,1+(('table for research'!$B486-456)*36+HEX2DEC('table for research'!AE$1))*2,2)</f>
        <v>00</v>
      </c>
      <c r="AF486" t="str">
        <f>MID('paste from garc here'!$C$2,1+(('table for research'!$B486-456)*36+HEX2DEC('table for research'!AF$1))*2,2)</f>
        <v>00</v>
      </c>
      <c r="AG486" t="str">
        <f>MID('paste from garc here'!$C$2,1+(('table for research'!$B486-456)*36+HEX2DEC('table for research'!AG$1))*2,2)</f>
        <v>00</v>
      </c>
      <c r="AH486" t="str">
        <f>MID('paste from garc here'!$C$2,1+(('table for research'!$B486-456)*36+HEX2DEC('table for research'!AH$1))*2,2)</f>
        <v>00</v>
      </c>
      <c r="AI486" t="str">
        <f>MID('paste from garc here'!$C$2,1+(('table for research'!$B486-456)*36+HEX2DEC('table for research'!AI$1))*2,2)</f>
        <v>00</v>
      </c>
      <c r="AJ486" t="str">
        <f>MID('paste from garc here'!$C$2,1+(('table for research'!$B486-456)*36+HEX2DEC('table for research'!AJ$1))*2,2)</f>
        <v>00</v>
      </c>
      <c r="AK486" t="str">
        <f>MID('paste from garc here'!$C$2,1+(('table for research'!$B486-456)*36+HEX2DEC('table for research'!AK$1))*2,2)</f>
        <v>00</v>
      </c>
      <c r="AL486" t="str">
        <f>MID('paste from garc here'!$C$2,1+(('table for research'!$B486-456)*36+HEX2DEC('table for research'!AL$1))*2,2)</f>
        <v>00</v>
      </c>
      <c r="AM486" t="str">
        <f>MID('paste from garc here'!$C$2,1+(('table for research'!$B486-456)*36+HEX2DEC('table for research'!AM$1))*2,2)</f>
        <v>00</v>
      </c>
      <c r="AN486" t="str">
        <f>MID('paste from garc here'!$C$2,1+(('table for research'!$B486-456)*36+HEX2DEC('table for research'!AN$1))*2,2)</f>
        <v>00</v>
      </c>
      <c r="AO486" t="str">
        <f>MID('paste from garc here'!$C$2,1+(('table for research'!$B486-456)*36+HEX2DEC('table for research'!AO$1))*2,2)</f>
        <v>00</v>
      </c>
    </row>
    <row r="487" spans="1:41" x14ac:dyDescent="0.4">
      <c r="A487" t="s">
        <v>489</v>
      </c>
      <c r="B487">
        <f>B486+1</f>
        <v>485</v>
      </c>
      <c r="C487" t="str">
        <f>MID('paste from garc here'!$C$2,1+(('table for research'!$B487-456)*36+HEX2DEC('table for research'!C$1))*2,2)</f>
        <v>02</v>
      </c>
      <c r="D487" t="str">
        <f>MID('paste from garc here'!$C$2,1+(('table for research'!$B487-456)*36+HEX2DEC('table for research'!D$1))*2,2)</f>
        <v>00</v>
      </c>
      <c r="E487" t="str">
        <f>MID('paste from garc here'!$C$2,1+(('table for research'!$B487-456)*36+HEX2DEC('table for research'!E$1))*2,2)</f>
        <v>00</v>
      </c>
      <c r="F487" t="str">
        <f>MID('paste from garc here'!$C$2,1+(('table for research'!$B487-456)*36+HEX2DEC('table for research'!F$1))*2,2)</f>
        <v>00</v>
      </c>
      <c r="G487" t="str">
        <f>MID('paste from garc here'!$C$2,1+(('table for research'!$B487-456)*36+HEX2DEC('table for research'!G$1))*2,2)</f>
        <v>00</v>
      </c>
      <c r="H487" t="str">
        <f>MID('paste from garc here'!$C$2,1+(('table for research'!$B487-456)*36+HEX2DEC('table for research'!H$1))*2,2)</f>
        <v>00</v>
      </c>
      <c r="I487" t="str">
        <f>MID('paste from garc here'!$C$2,1+(('table for research'!$B487-456)*36+HEX2DEC('table for research'!I$1))*2,2)</f>
        <v>00</v>
      </c>
      <c r="J487" t="str">
        <f>MID('paste from garc here'!$C$2,1+(('table for research'!$B487-456)*36+HEX2DEC('table for research'!J$1))*2,2)</f>
        <v>00</v>
      </c>
      <c r="K487" t="str">
        <f>DEC2HEX(_xlfn.BITAND(HEX2DEC(MID('paste from garc here'!$C$1,1+(('table for research'!$B487-1)*36+HEX2DEC(8))*2,2)),31),2)</f>
        <v>00</v>
      </c>
      <c r="L487" t="str">
        <f>DEC2HEX(_xlfn.BITAND(HEX2DEC(MID('paste from garc here'!$C$1,1+(('table for research'!$B487-1)*36+HEX2DEC(8))*2,2)),32),2)</f>
        <v>00</v>
      </c>
      <c r="M487" t="str">
        <f>DEC2HEX(_xlfn.BITAND(HEX2DEC(MID('paste from garc here'!$C$1,1+(('table for research'!$B487-1)*36+HEX2DEC(8))*2,2)),64),2)</f>
        <v>00</v>
      </c>
      <c r="N487" t="str">
        <f>DEC2HEX(_xlfn.BITRSHIFT(_xlfn.BITAND(HEX2DEC(MID('paste from garc here'!$C$1,1+(('table for research'!$B487-1)*36+HEX2DEC(9))*2,2)&amp;MID('paste from garc here'!$C$1,1+(('table for research'!$B487-1)*36+HEX2DEC(8))*2,2)),1920),7),2)</f>
        <v>00</v>
      </c>
      <c r="O487" t="str">
        <f>DEC2HEX(_xlfn.BITRSHIFT(HEX2DEC(MID('paste from garc here'!$C$1,1+(('table for research'!$B487-1)*36+HEX2DEC(9))*2,2)&amp;MID('paste from garc here'!$C$1,1+(('table for research'!$B487-1)*36+HEX2DEC(8))*2,2)),11),2)</f>
        <v>00</v>
      </c>
      <c r="P487" t="str">
        <f>MID('paste from garc here'!$C$2,1+(('table for research'!$B487-456)*36+HEX2DEC('table for research'!P$1))*2,2)</f>
        <v>00</v>
      </c>
      <c r="Q487" t="str">
        <f>MID('paste from garc here'!$C$2,1+(('table for research'!$B487-456)*36+HEX2DEC('table for research'!Q$1))*2,2)</f>
        <v>00</v>
      </c>
      <c r="R487" t="str">
        <f>MID('paste from garc here'!$C$2,1+(('table for research'!$B487-456)*36+HEX2DEC('table for research'!R$1))*2,2)</f>
        <v>00</v>
      </c>
      <c r="S487" t="str">
        <f>MID('paste from garc here'!$C$2,1+(('table for research'!$B487-456)*36+HEX2DEC('table for research'!S$1))*2,2)</f>
        <v>02</v>
      </c>
      <c r="T487" t="str">
        <f>MID('paste from garc here'!$C$2,1+(('table for research'!$B487-456)*36+HEX2DEC('table for research'!T$1))*2,2)</f>
        <v>00</v>
      </c>
      <c r="U487" t="str">
        <f>MID('paste from garc here'!$C$2,1+(('table for research'!$B487-456)*36+HEX2DEC('table for research'!U$1))*2,2)</f>
        <v>FF</v>
      </c>
      <c r="V487" t="str">
        <f>MID('paste from garc here'!$C$2,1+(('table for research'!$B487-456)*36+HEX2DEC('table for research'!V$1))*2,2)</f>
        <v>00</v>
      </c>
      <c r="W487" t="str">
        <f>MID('paste from garc here'!$C$2,1+(('table for research'!$B487-456)*36+HEX2DEC('table for research'!W$1))*2,2)</f>
        <v>00</v>
      </c>
      <c r="X487" t="str">
        <f>MID('paste from garc here'!$C$2,1+(('table for research'!$B487-456)*36+HEX2DEC('table for research'!X$1))*2,2)</f>
        <v>00</v>
      </c>
      <c r="Y487" t="str">
        <f>MID('paste from garc here'!$C$2,1+(('table for research'!$B487-456)*36+HEX2DEC('table for research'!Y$1))*2,2)</f>
        <v>00</v>
      </c>
      <c r="Z487" t="str">
        <f>MID('paste from garc here'!$C$2,1+(('table for research'!$B487-456)*36+HEX2DEC('table for research'!Z$1))*2,2)</f>
        <v>00</v>
      </c>
      <c r="AA487" t="str">
        <f>MID('paste from garc here'!$C$2,1+(('table for research'!$B487-456)*36+HEX2DEC('table for research'!AA$1))*2,2)</f>
        <v>00</v>
      </c>
      <c r="AB487" t="str">
        <f>MID('paste from garc here'!$C$2,1+(('table for research'!$B487-456)*36+HEX2DEC('table for research'!AB$1))*2,2)</f>
        <v>00</v>
      </c>
      <c r="AC487" t="str">
        <f>MID('paste from garc here'!$C$2,1+(('table for research'!$B487-456)*36+HEX2DEC('table for research'!AC$1))*2,2)</f>
        <v>00</v>
      </c>
      <c r="AD487" t="str">
        <f>MID('paste from garc here'!$C$2,1+(('table for research'!$B487-456)*36+HEX2DEC('table for research'!AD$1))*2,2)</f>
        <v>00</v>
      </c>
      <c r="AE487" t="str">
        <f>MID('paste from garc here'!$C$2,1+(('table for research'!$B487-456)*36+HEX2DEC('table for research'!AE$1))*2,2)</f>
        <v>00</v>
      </c>
      <c r="AF487" t="str">
        <f>MID('paste from garc here'!$C$2,1+(('table for research'!$B487-456)*36+HEX2DEC('table for research'!AF$1))*2,2)</f>
        <v>00</v>
      </c>
      <c r="AG487" t="str">
        <f>MID('paste from garc here'!$C$2,1+(('table for research'!$B487-456)*36+HEX2DEC('table for research'!AG$1))*2,2)</f>
        <v>00</v>
      </c>
      <c r="AH487" t="str">
        <f>MID('paste from garc here'!$C$2,1+(('table for research'!$B487-456)*36+HEX2DEC('table for research'!AH$1))*2,2)</f>
        <v>00</v>
      </c>
      <c r="AI487" t="str">
        <f>MID('paste from garc here'!$C$2,1+(('table for research'!$B487-456)*36+HEX2DEC('table for research'!AI$1))*2,2)</f>
        <v>00</v>
      </c>
      <c r="AJ487" t="str">
        <f>MID('paste from garc here'!$C$2,1+(('table for research'!$B487-456)*36+HEX2DEC('table for research'!AJ$1))*2,2)</f>
        <v>00</v>
      </c>
      <c r="AK487" t="str">
        <f>MID('paste from garc here'!$C$2,1+(('table for research'!$B487-456)*36+HEX2DEC('table for research'!AK$1))*2,2)</f>
        <v>00</v>
      </c>
      <c r="AL487" t="str">
        <f>MID('paste from garc here'!$C$2,1+(('table for research'!$B487-456)*36+HEX2DEC('table for research'!AL$1))*2,2)</f>
        <v>00</v>
      </c>
      <c r="AM487" t="str">
        <f>MID('paste from garc here'!$C$2,1+(('table for research'!$B487-456)*36+HEX2DEC('table for research'!AM$1))*2,2)</f>
        <v>00</v>
      </c>
      <c r="AN487" t="str">
        <f>MID('paste from garc here'!$C$2,1+(('table for research'!$B487-456)*36+HEX2DEC('table for research'!AN$1))*2,2)</f>
        <v>00</v>
      </c>
      <c r="AO487" t="str">
        <f>MID('paste from garc here'!$C$2,1+(('table for research'!$B487-456)*36+HEX2DEC('table for research'!AO$1))*2,2)</f>
        <v>00</v>
      </c>
    </row>
    <row r="488" spans="1:41" x14ac:dyDescent="0.4">
      <c r="A488" t="s">
        <v>490</v>
      </c>
      <c r="B488">
        <f>B487+1</f>
        <v>486</v>
      </c>
      <c r="C488" t="str">
        <f>MID('paste from garc here'!$C$2,1+(('table for research'!$B488-456)*36+HEX2DEC('table for research'!C$1))*2,2)</f>
        <v>02</v>
      </c>
      <c r="D488" t="str">
        <f>MID('paste from garc here'!$C$2,1+(('table for research'!$B488-456)*36+HEX2DEC('table for research'!D$1))*2,2)</f>
        <v>00</v>
      </c>
      <c r="E488" t="str">
        <f>MID('paste from garc here'!$C$2,1+(('table for research'!$B488-456)*36+HEX2DEC('table for research'!E$1))*2,2)</f>
        <v>00</v>
      </c>
      <c r="F488" t="str">
        <f>MID('paste from garc here'!$C$2,1+(('table for research'!$B488-456)*36+HEX2DEC('table for research'!F$1))*2,2)</f>
        <v>00</v>
      </c>
      <c r="G488" t="str">
        <f>MID('paste from garc here'!$C$2,1+(('table for research'!$B488-456)*36+HEX2DEC('table for research'!G$1))*2,2)</f>
        <v>00</v>
      </c>
      <c r="H488" t="str">
        <f>MID('paste from garc here'!$C$2,1+(('table for research'!$B488-456)*36+HEX2DEC('table for research'!H$1))*2,2)</f>
        <v>00</v>
      </c>
      <c r="I488" t="str">
        <f>MID('paste from garc here'!$C$2,1+(('table for research'!$B488-456)*36+HEX2DEC('table for research'!I$1))*2,2)</f>
        <v>00</v>
      </c>
      <c r="J488" t="str">
        <f>MID('paste from garc here'!$C$2,1+(('table for research'!$B488-456)*36+HEX2DEC('table for research'!J$1))*2,2)</f>
        <v>00</v>
      </c>
      <c r="K488" t="str">
        <f>DEC2HEX(_xlfn.BITAND(HEX2DEC(MID('paste from garc here'!$C$1,1+(('table for research'!$B488-1)*36+HEX2DEC(8))*2,2)),31),2)</f>
        <v>00</v>
      </c>
      <c r="L488" t="str">
        <f>DEC2HEX(_xlfn.BITAND(HEX2DEC(MID('paste from garc here'!$C$1,1+(('table for research'!$B488-1)*36+HEX2DEC(8))*2,2)),32),2)</f>
        <v>00</v>
      </c>
      <c r="M488" t="str">
        <f>DEC2HEX(_xlfn.BITAND(HEX2DEC(MID('paste from garc here'!$C$1,1+(('table for research'!$B488-1)*36+HEX2DEC(8))*2,2)),64),2)</f>
        <v>00</v>
      </c>
      <c r="N488" t="str">
        <f>DEC2HEX(_xlfn.BITRSHIFT(_xlfn.BITAND(HEX2DEC(MID('paste from garc here'!$C$1,1+(('table for research'!$B488-1)*36+HEX2DEC(9))*2,2)&amp;MID('paste from garc here'!$C$1,1+(('table for research'!$B488-1)*36+HEX2DEC(8))*2,2)),1920),7),2)</f>
        <v>00</v>
      </c>
      <c r="O488" t="str">
        <f>DEC2HEX(_xlfn.BITRSHIFT(HEX2DEC(MID('paste from garc here'!$C$1,1+(('table for research'!$B488-1)*36+HEX2DEC(9))*2,2)&amp;MID('paste from garc here'!$C$1,1+(('table for research'!$B488-1)*36+HEX2DEC(8))*2,2)),11),2)</f>
        <v>00</v>
      </c>
      <c r="P488" t="str">
        <f>MID('paste from garc here'!$C$2,1+(('table for research'!$B488-456)*36+HEX2DEC('table for research'!P$1))*2,2)</f>
        <v>00</v>
      </c>
      <c r="Q488" t="str">
        <f>MID('paste from garc here'!$C$2,1+(('table for research'!$B488-456)*36+HEX2DEC('table for research'!Q$1))*2,2)</f>
        <v>00</v>
      </c>
      <c r="R488" t="str">
        <f>MID('paste from garc here'!$C$2,1+(('table for research'!$B488-456)*36+HEX2DEC('table for research'!R$1))*2,2)</f>
        <v>00</v>
      </c>
      <c r="S488" t="str">
        <f>MID('paste from garc here'!$C$2,1+(('table for research'!$B488-456)*36+HEX2DEC('table for research'!S$1))*2,2)</f>
        <v>02</v>
      </c>
      <c r="T488" t="str">
        <f>MID('paste from garc here'!$C$2,1+(('table for research'!$B488-456)*36+HEX2DEC('table for research'!T$1))*2,2)</f>
        <v>00</v>
      </c>
      <c r="U488" t="str">
        <f>MID('paste from garc here'!$C$2,1+(('table for research'!$B488-456)*36+HEX2DEC('table for research'!U$1))*2,2)</f>
        <v>FF</v>
      </c>
      <c r="V488" t="str">
        <f>MID('paste from garc here'!$C$2,1+(('table for research'!$B488-456)*36+HEX2DEC('table for research'!V$1))*2,2)</f>
        <v>00</v>
      </c>
      <c r="W488" t="str">
        <f>MID('paste from garc here'!$C$2,1+(('table for research'!$B488-456)*36+HEX2DEC('table for research'!W$1))*2,2)</f>
        <v>00</v>
      </c>
      <c r="X488" t="str">
        <f>MID('paste from garc here'!$C$2,1+(('table for research'!$B488-456)*36+HEX2DEC('table for research'!X$1))*2,2)</f>
        <v>00</v>
      </c>
      <c r="Y488" t="str">
        <f>MID('paste from garc here'!$C$2,1+(('table for research'!$B488-456)*36+HEX2DEC('table for research'!Y$1))*2,2)</f>
        <v>00</v>
      </c>
      <c r="Z488" t="str">
        <f>MID('paste from garc here'!$C$2,1+(('table for research'!$B488-456)*36+HEX2DEC('table for research'!Z$1))*2,2)</f>
        <v>00</v>
      </c>
      <c r="AA488" t="str">
        <f>MID('paste from garc here'!$C$2,1+(('table for research'!$B488-456)*36+HEX2DEC('table for research'!AA$1))*2,2)</f>
        <v>00</v>
      </c>
      <c r="AB488" t="str">
        <f>MID('paste from garc here'!$C$2,1+(('table for research'!$B488-456)*36+HEX2DEC('table for research'!AB$1))*2,2)</f>
        <v>00</v>
      </c>
      <c r="AC488" t="str">
        <f>MID('paste from garc here'!$C$2,1+(('table for research'!$B488-456)*36+HEX2DEC('table for research'!AC$1))*2,2)</f>
        <v>00</v>
      </c>
      <c r="AD488" t="str">
        <f>MID('paste from garc here'!$C$2,1+(('table for research'!$B488-456)*36+HEX2DEC('table for research'!AD$1))*2,2)</f>
        <v>00</v>
      </c>
      <c r="AE488" t="str">
        <f>MID('paste from garc here'!$C$2,1+(('table for research'!$B488-456)*36+HEX2DEC('table for research'!AE$1))*2,2)</f>
        <v>00</v>
      </c>
      <c r="AF488" t="str">
        <f>MID('paste from garc here'!$C$2,1+(('table for research'!$B488-456)*36+HEX2DEC('table for research'!AF$1))*2,2)</f>
        <v>00</v>
      </c>
      <c r="AG488" t="str">
        <f>MID('paste from garc here'!$C$2,1+(('table for research'!$B488-456)*36+HEX2DEC('table for research'!AG$1))*2,2)</f>
        <v>00</v>
      </c>
      <c r="AH488" t="str">
        <f>MID('paste from garc here'!$C$2,1+(('table for research'!$B488-456)*36+HEX2DEC('table for research'!AH$1))*2,2)</f>
        <v>00</v>
      </c>
      <c r="AI488" t="str">
        <f>MID('paste from garc here'!$C$2,1+(('table for research'!$B488-456)*36+HEX2DEC('table for research'!AI$1))*2,2)</f>
        <v>00</v>
      </c>
      <c r="AJ488" t="str">
        <f>MID('paste from garc here'!$C$2,1+(('table for research'!$B488-456)*36+HEX2DEC('table for research'!AJ$1))*2,2)</f>
        <v>00</v>
      </c>
      <c r="AK488" t="str">
        <f>MID('paste from garc here'!$C$2,1+(('table for research'!$B488-456)*36+HEX2DEC('table for research'!AK$1))*2,2)</f>
        <v>00</v>
      </c>
      <c r="AL488" t="str">
        <f>MID('paste from garc here'!$C$2,1+(('table for research'!$B488-456)*36+HEX2DEC('table for research'!AL$1))*2,2)</f>
        <v>00</v>
      </c>
      <c r="AM488" t="str">
        <f>MID('paste from garc here'!$C$2,1+(('table for research'!$B488-456)*36+HEX2DEC('table for research'!AM$1))*2,2)</f>
        <v>00</v>
      </c>
      <c r="AN488" t="str">
        <f>MID('paste from garc here'!$C$2,1+(('table for research'!$B488-456)*36+HEX2DEC('table for research'!AN$1))*2,2)</f>
        <v>00</v>
      </c>
      <c r="AO488" t="str">
        <f>MID('paste from garc here'!$C$2,1+(('table for research'!$B488-456)*36+HEX2DEC('table for research'!AO$1))*2,2)</f>
        <v>00</v>
      </c>
    </row>
    <row r="489" spans="1:41" x14ac:dyDescent="0.4">
      <c r="A489" t="s">
        <v>491</v>
      </c>
      <c r="B489">
        <f>B488+1</f>
        <v>487</v>
      </c>
      <c r="C489" t="str">
        <f>MID('paste from garc here'!$C$2,1+(('table for research'!$B489-456)*36+HEX2DEC('table for research'!C$1))*2,2)</f>
        <v>02</v>
      </c>
      <c r="D489" t="str">
        <f>MID('paste from garc here'!$C$2,1+(('table for research'!$B489-456)*36+HEX2DEC('table for research'!D$1))*2,2)</f>
        <v>00</v>
      </c>
      <c r="E489" t="str">
        <f>MID('paste from garc here'!$C$2,1+(('table for research'!$B489-456)*36+HEX2DEC('table for research'!E$1))*2,2)</f>
        <v>00</v>
      </c>
      <c r="F489" t="str">
        <f>MID('paste from garc here'!$C$2,1+(('table for research'!$B489-456)*36+HEX2DEC('table for research'!F$1))*2,2)</f>
        <v>00</v>
      </c>
      <c r="G489" t="str">
        <f>MID('paste from garc here'!$C$2,1+(('table for research'!$B489-456)*36+HEX2DEC('table for research'!G$1))*2,2)</f>
        <v>00</v>
      </c>
      <c r="H489" t="str">
        <f>MID('paste from garc here'!$C$2,1+(('table for research'!$B489-456)*36+HEX2DEC('table for research'!H$1))*2,2)</f>
        <v>00</v>
      </c>
      <c r="I489" t="str">
        <f>MID('paste from garc here'!$C$2,1+(('table for research'!$B489-456)*36+HEX2DEC('table for research'!I$1))*2,2)</f>
        <v>00</v>
      </c>
      <c r="J489" t="str">
        <f>MID('paste from garc here'!$C$2,1+(('table for research'!$B489-456)*36+HEX2DEC('table for research'!J$1))*2,2)</f>
        <v>00</v>
      </c>
      <c r="K489" t="str">
        <f>DEC2HEX(_xlfn.BITAND(HEX2DEC(MID('paste from garc here'!$C$1,1+(('table for research'!$B489-1)*36+HEX2DEC(8))*2,2)),31),2)</f>
        <v>00</v>
      </c>
      <c r="L489" t="str">
        <f>DEC2HEX(_xlfn.BITAND(HEX2DEC(MID('paste from garc here'!$C$1,1+(('table for research'!$B489-1)*36+HEX2DEC(8))*2,2)),32),2)</f>
        <v>00</v>
      </c>
      <c r="M489" t="str">
        <f>DEC2HEX(_xlfn.BITAND(HEX2DEC(MID('paste from garc here'!$C$1,1+(('table for research'!$B489-1)*36+HEX2DEC(8))*2,2)),64),2)</f>
        <v>00</v>
      </c>
      <c r="N489" t="str">
        <f>DEC2HEX(_xlfn.BITRSHIFT(_xlfn.BITAND(HEX2DEC(MID('paste from garc here'!$C$1,1+(('table for research'!$B489-1)*36+HEX2DEC(9))*2,2)&amp;MID('paste from garc here'!$C$1,1+(('table for research'!$B489-1)*36+HEX2DEC(8))*2,2)),1920),7),2)</f>
        <v>00</v>
      </c>
      <c r="O489" t="str">
        <f>DEC2HEX(_xlfn.BITRSHIFT(HEX2DEC(MID('paste from garc here'!$C$1,1+(('table for research'!$B489-1)*36+HEX2DEC(9))*2,2)&amp;MID('paste from garc here'!$C$1,1+(('table for research'!$B489-1)*36+HEX2DEC(8))*2,2)),11),2)</f>
        <v>00</v>
      </c>
      <c r="P489" t="str">
        <f>MID('paste from garc here'!$C$2,1+(('table for research'!$B489-456)*36+HEX2DEC('table for research'!P$1))*2,2)</f>
        <v>00</v>
      </c>
      <c r="Q489" t="str">
        <f>MID('paste from garc here'!$C$2,1+(('table for research'!$B489-456)*36+HEX2DEC('table for research'!Q$1))*2,2)</f>
        <v>00</v>
      </c>
      <c r="R489" t="str">
        <f>MID('paste from garc here'!$C$2,1+(('table for research'!$B489-456)*36+HEX2DEC('table for research'!R$1))*2,2)</f>
        <v>00</v>
      </c>
      <c r="S489" t="str">
        <f>MID('paste from garc here'!$C$2,1+(('table for research'!$B489-456)*36+HEX2DEC('table for research'!S$1))*2,2)</f>
        <v>02</v>
      </c>
      <c r="T489" t="str">
        <f>MID('paste from garc here'!$C$2,1+(('table for research'!$B489-456)*36+HEX2DEC('table for research'!T$1))*2,2)</f>
        <v>00</v>
      </c>
      <c r="U489" t="str">
        <f>MID('paste from garc here'!$C$2,1+(('table for research'!$B489-456)*36+HEX2DEC('table for research'!U$1))*2,2)</f>
        <v>FF</v>
      </c>
      <c r="V489" t="str">
        <f>MID('paste from garc here'!$C$2,1+(('table for research'!$B489-456)*36+HEX2DEC('table for research'!V$1))*2,2)</f>
        <v>00</v>
      </c>
      <c r="W489" t="str">
        <f>MID('paste from garc here'!$C$2,1+(('table for research'!$B489-456)*36+HEX2DEC('table for research'!W$1))*2,2)</f>
        <v>00</v>
      </c>
      <c r="X489" t="str">
        <f>MID('paste from garc here'!$C$2,1+(('table for research'!$B489-456)*36+HEX2DEC('table for research'!X$1))*2,2)</f>
        <v>00</v>
      </c>
      <c r="Y489" t="str">
        <f>MID('paste from garc here'!$C$2,1+(('table for research'!$B489-456)*36+HEX2DEC('table for research'!Y$1))*2,2)</f>
        <v>00</v>
      </c>
      <c r="Z489" t="str">
        <f>MID('paste from garc here'!$C$2,1+(('table for research'!$B489-456)*36+HEX2DEC('table for research'!Z$1))*2,2)</f>
        <v>00</v>
      </c>
      <c r="AA489" t="str">
        <f>MID('paste from garc here'!$C$2,1+(('table for research'!$B489-456)*36+HEX2DEC('table for research'!AA$1))*2,2)</f>
        <v>00</v>
      </c>
      <c r="AB489" t="str">
        <f>MID('paste from garc here'!$C$2,1+(('table for research'!$B489-456)*36+HEX2DEC('table for research'!AB$1))*2,2)</f>
        <v>00</v>
      </c>
      <c r="AC489" t="str">
        <f>MID('paste from garc here'!$C$2,1+(('table for research'!$B489-456)*36+HEX2DEC('table for research'!AC$1))*2,2)</f>
        <v>00</v>
      </c>
      <c r="AD489" t="str">
        <f>MID('paste from garc here'!$C$2,1+(('table for research'!$B489-456)*36+HEX2DEC('table for research'!AD$1))*2,2)</f>
        <v>00</v>
      </c>
      <c r="AE489" t="str">
        <f>MID('paste from garc here'!$C$2,1+(('table for research'!$B489-456)*36+HEX2DEC('table for research'!AE$1))*2,2)</f>
        <v>00</v>
      </c>
      <c r="AF489" t="str">
        <f>MID('paste from garc here'!$C$2,1+(('table for research'!$B489-456)*36+HEX2DEC('table for research'!AF$1))*2,2)</f>
        <v>00</v>
      </c>
      <c r="AG489" t="str">
        <f>MID('paste from garc here'!$C$2,1+(('table for research'!$B489-456)*36+HEX2DEC('table for research'!AG$1))*2,2)</f>
        <v>00</v>
      </c>
      <c r="AH489" t="str">
        <f>MID('paste from garc here'!$C$2,1+(('table for research'!$B489-456)*36+HEX2DEC('table for research'!AH$1))*2,2)</f>
        <v>00</v>
      </c>
      <c r="AI489" t="str">
        <f>MID('paste from garc here'!$C$2,1+(('table for research'!$B489-456)*36+HEX2DEC('table for research'!AI$1))*2,2)</f>
        <v>00</v>
      </c>
      <c r="AJ489" t="str">
        <f>MID('paste from garc here'!$C$2,1+(('table for research'!$B489-456)*36+HEX2DEC('table for research'!AJ$1))*2,2)</f>
        <v>00</v>
      </c>
      <c r="AK489" t="str">
        <f>MID('paste from garc here'!$C$2,1+(('table for research'!$B489-456)*36+HEX2DEC('table for research'!AK$1))*2,2)</f>
        <v>00</v>
      </c>
      <c r="AL489" t="str">
        <f>MID('paste from garc here'!$C$2,1+(('table for research'!$B489-456)*36+HEX2DEC('table for research'!AL$1))*2,2)</f>
        <v>00</v>
      </c>
      <c r="AM489" t="str">
        <f>MID('paste from garc here'!$C$2,1+(('table for research'!$B489-456)*36+HEX2DEC('table for research'!AM$1))*2,2)</f>
        <v>00</v>
      </c>
      <c r="AN489" t="str">
        <f>MID('paste from garc here'!$C$2,1+(('table for research'!$B489-456)*36+HEX2DEC('table for research'!AN$1))*2,2)</f>
        <v>00</v>
      </c>
      <c r="AO489" t="str">
        <f>MID('paste from garc here'!$C$2,1+(('table for research'!$B489-456)*36+HEX2DEC('table for research'!AO$1))*2,2)</f>
        <v>00</v>
      </c>
    </row>
    <row r="490" spans="1:41" x14ac:dyDescent="0.4">
      <c r="A490" t="s">
        <v>492</v>
      </c>
      <c r="B490">
        <f>B489+1</f>
        <v>488</v>
      </c>
      <c r="C490" t="str">
        <f>MID('paste from garc here'!$C$2,1+(('table for research'!$B490-456)*36+HEX2DEC('table for research'!C$1))*2,2)</f>
        <v>02</v>
      </c>
      <c r="D490" t="str">
        <f>MID('paste from garc here'!$C$2,1+(('table for research'!$B490-456)*36+HEX2DEC('table for research'!D$1))*2,2)</f>
        <v>00</v>
      </c>
      <c r="E490" t="str">
        <f>MID('paste from garc here'!$C$2,1+(('table for research'!$B490-456)*36+HEX2DEC('table for research'!E$1))*2,2)</f>
        <v>00</v>
      </c>
      <c r="F490" t="str">
        <f>MID('paste from garc here'!$C$2,1+(('table for research'!$B490-456)*36+HEX2DEC('table for research'!F$1))*2,2)</f>
        <v>00</v>
      </c>
      <c r="G490" t="str">
        <f>MID('paste from garc here'!$C$2,1+(('table for research'!$B490-456)*36+HEX2DEC('table for research'!G$1))*2,2)</f>
        <v>00</v>
      </c>
      <c r="H490" t="str">
        <f>MID('paste from garc here'!$C$2,1+(('table for research'!$B490-456)*36+HEX2DEC('table for research'!H$1))*2,2)</f>
        <v>00</v>
      </c>
      <c r="I490" t="str">
        <f>MID('paste from garc here'!$C$2,1+(('table for research'!$B490-456)*36+HEX2DEC('table for research'!I$1))*2,2)</f>
        <v>00</v>
      </c>
      <c r="J490" t="str">
        <f>MID('paste from garc here'!$C$2,1+(('table for research'!$B490-456)*36+HEX2DEC('table for research'!J$1))*2,2)</f>
        <v>00</v>
      </c>
      <c r="K490" t="str">
        <f>DEC2HEX(_xlfn.BITAND(HEX2DEC(MID('paste from garc here'!$C$1,1+(('table for research'!$B490-1)*36+HEX2DEC(8))*2,2)),31),2)</f>
        <v>00</v>
      </c>
      <c r="L490" t="str">
        <f>DEC2HEX(_xlfn.BITAND(HEX2DEC(MID('paste from garc here'!$C$1,1+(('table for research'!$B490-1)*36+HEX2DEC(8))*2,2)),32),2)</f>
        <v>00</v>
      </c>
      <c r="M490" t="str">
        <f>DEC2HEX(_xlfn.BITAND(HEX2DEC(MID('paste from garc here'!$C$1,1+(('table for research'!$B490-1)*36+HEX2DEC(8))*2,2)),64),2)</f>
        <v>00</v>
      </c>
      <c r="N490" t="str">
        <f>DEC2HEX(_xlfn.BITRSHIFT(_xlfn.BITAND(HEX2DEC(MID('paste from garc here'!$C$1,1+(('table for research'!$B490-1)*36+HEX2DEC(9))*2,2)&amp;MID('paste from garc here'!$C$1,1+(('table for research'!$B490-1)*36+HEX2DEC(8))*2,2)),1920),7),2)</f>
        <v>00</v>
      </c>
      <c r="O490" t="str">
        <f>DEC2HEX(_xlfn.BITRSHIFT(HEX2DEC(MID('paste from garc here'!$C$1,1+(('table for research'!$B490-1)*36+HEX2DEC(9))*2,2)&amp;MID('paste from garc here'!$C$1,1+(('table for research'!$B490-1)*36+HEX2DEC(8))*2,2)),11),2)</f>
        <v>00</v>
      </c>
      <c r="P490" t="str">
        <f>MID('paste from garc here'!$C$2,1+(('table for research'!$B490-456)*36+HEX2DEC('table for research'!P$1))*2,2)</f>
        <v>00</v>
      </c>
      <c r="Q490" t="str">
        <f>MID('paste from garc here'!$C$2,1+(('table for research'!$B490-456)*36+HEX2DEC('table for research'!Q$1))*2,2)</f>
        <v>00</v>
      </c>
      <c r="R490" t="str">
        <f>MID('paste from garc here'!$C$2,1+(('table for research'!$B490-456)*36+HEX2DEC('table for research'!R$1))*2,2)</f>
        <v>00</v>
      </c>
      <c r="S490" t="str">
        <f>MID('paste from garc here'!$C$2,1+(('table for research'!$B490-456)*36+HEX2DEC('table for research'!S$1))*2,2)</f>
        <v>02</v>
      </c>
      <c r="T490" t="str">
        <f>MID('paste from garc here'!$C$2,1+(('table for research'!$B490-456)*36+HEX2DEC('table for research'!T$1))*2,2)</f>
        <v>00</v>
      </c>
      <c r="U490" t="str">
        <f>MID('paste from garc here'!$C$2,1+(('table for research'!$B490-456)*36+HEX2DEC('table for research'!U$1))*2,2)</f>
        <v>FF</v>
      </c>
      <c r="V490" t="str">
        <f>MID('paste from garc here'!$C$2,1+(('table for research'!$B490-456)*36+HEX2DEC('table for research'!V$1))*2,2)</f>
        <v>00</v>
      </c>
      <c r="W490" t="str">
        <f>MID('paste from garc here'!$C$2,1+(('table for research'!$B490-456)*36+HEX2DEC('table for research'!W$1))*2,2)</f>
        <v>00</v>
      </c>
      <c r="X490" t="str">
        <f>MID('paste from garc here'!$C$2,1+(('table for research'!$B490-456)*36+HEX2DEC('table for research'!X$1))*2,2)</f>
        <v>00</v>
      </c>
      <c r="Y490" t="str">
        <f>MID('paste from garc here'!$C$2,1+(('table for research'!$B490-456)*36+HEX2DEC('table for research'!Y$1))*2,2)</f>
        <v>00</v>
      </c>
      <c r="Z490" t="str">
        <f>MID('paste from garc here'!$C$2,1+(('table for research'!$B490-456)*36+HEX2DEC('table for research'!Z$1))*2,2)</f>
        <v>00</v>
      </c>
      <c r="AA490" t="str">
        <f>MID('paste from garc here'!$C$2,1+(('table for research'!$B490-456)*36+HEX2DEC('table for research'!AA$1))*2,2)</f>
        <v>00</v>
      </c>
      <c r="AB490" t="str">
        <f>MID('paste from garc here'!$C$2,1+(('table for research'!$B490-456)*36+HEX2DEC('table for research'!AB$1))*2,2)</f>
        <v>00</v>
      </c>
      <c r="AC490" t="str">
        <f>MID('paste from garc here'!$C$2,1+(('table for research'!$B490-456)*36+HEX2DEC('table for research'!AC$1))*2,2)</f>
        <v>00</v>
      </c>
      <c r="AD490" t="str">
        <f>MID('paste from garc here'!$C$2,1+(('table for research'!$B490-456)*36+HEX2DEC('table for research'!AD$1))*2,2)</f>
        <v>00</v>
      </c>
      <c r="AE490" t="str">
        <f>MID('paste from garc here'!$C$2,1+(('table for research'!$B490-456)*36+HEX2DEC('table for research'!AE$1))*2,2)</f>
        <v>00</v>
      </c>
      <c r="AF490" t="str">
        <f>MID('paste from garc here'!$C$2,1+(('table for research'!$B490-456)*36+HEX2DEC('table for research'!AF$1))*2,2)</f>
        <v>00</v>
      </c>
      <c r="AG490" t="str">
        <f>MID('paste from garc here'!$C$2,1+(('table for research'!$B490-456)*36+HEX2DEC('table for research'!AG$1))*2,2)</f>
        <v>00</v>
      </c>
      <c r="AH490" t="str">
        <f>MID('paste from garc here'!$C$2,1+(('table for research'!$B490-456)*36+HEX2DEC('table for research'!AH$1))*2,2)</f>
        <v>00</v>
      </c>
      <c r="AI490" t="str">
        <f>MID('paste from garc here'!$C$2,1+(('table for research'!$B490-456)*36+HEX2DEC('table for research'!AI$1))*2,2)</f>
        <v>00</v>
      </c>
      <c r="AJ490" t="str">
        <f>MID('paste from garc here'!$C$2,1+(('table for research'!$B490-456)*36+HEX2DEC('table for research'!AJ$1))*2,2)</f>
        <v>00</v>
      </c>
      <c r="AK490" t="str">
        <f>MID('paste from garc here'!$C$2,1+(('table for research'!$B490-456)*36+HEX2DEC('table for research'!AK$1))*2,2)</f>
        <v>00</v>
      </c>
      <c r="AL490" t="str">
        <f>MID('paste from garc here'!$C$2,1+(('table for research'!$B490-456)*36+HEX2DEC('table for research'!AL$1))*2,2)</f>
        <v>00</v>
      </c>
      <c r="AM490" t="str">
        <f>MID('paste from garc here'!$C$2,1+(('table for research'!$B490-456)*36+HEX2DEC('table for research'!AM$1))*2,2)</f>
        <v>00</v>
      </c>
      <c r="AN490" t="str">
        <f>MID('paste from garc here'!$C$2,1+(('table for research'!$B490-456)*36+HEX2DEC('table for research'!AN$1))*2,2)</f>
        <v>00</v>
      </c>
      <c r="AO490" t="str">
        <f>MID('paste from garc here'!$C$2,1+(('table for research'!$B490-456)*36+HEX2DEC('table for research'!AO$1))*2,2)</f>
        <v>00</v>
      </c>
    </row>
    <row r="491" spans="1:41" x14ac:dyDescent="0.4">
      <c r="A491" t="s">
        <v>493</v>
      </c>
      <c r="B491">
        <f>B490+1</f>
        <v>489</v>
      </c>
      <c r="C491" t="str">
        <f>MID('paste from garc here'!$C$2,1+(('table for research'!$B491-456)*36+HEX2DEC('table for research'!C$1))*2,2)</f>
        <v>02</v>
      </c>
      <c r="D491" t="str">
        <f>MID('paste from garc here'!$C$2,1+(('table for research'!$B491-456)*36+HEX2DEC('table for research'!D$1))*2,2)</f>
        <v>00</v>
      </c>
      <c r="E491" t="str">
        <f>MID('paste from garc here'!$C$2,1+(('table for research'!$B491-456)*36+HEX2DEC('table for research'!E$1))*2,2)</f>
        <v>00</v>
      </c>
      <c r="F491" t="str">
        <f>MID('paste from garc here'!$C$2,1+(('table for research'!$B491-456)*36+HEX2DEC('table for research'!F$1))*2,2)</f>
        <v>00</v>
      </c>
      <c r="G491" t="str">
        <f>MID('paste from garc here'!$C$2,1+(('table for research'!$B491-456)*36+HEX2DEC('table for research'!G$1))*2,2)</f>
        <v>00</v>
      </c>
      <c r="H491" t="str">
        <f>MID('paste from garc here'!$C$2,1+(('table for research'!$B491-456)*36+HEX2DEC('table for research'!H$1))*2,2)</f>
        <v>00</v>
      </c>
      <c r="I491" t="str">
        <f>MID('paste from garc here'!$C$2,1+(('table for research'!$B491-456)*36+HEX2DEC('table for research'!I$1))*2,2)</f>
        <v>00</v>
      </c>
      <c r="J491" t="str">
        <f>MID('paste from garc here'!$C$2,1+(('table for research'!$B491-456)*36+HEX2DEC('table for research'!J$1))*2,2)</f>
        <v>00</v>
      </c>
      <c r="K491" t="str">
        <f>DEC2HEX(_xlfn.BITAND(HEX2DEC(MID('paste from garc here'!$C$1,1+(('table for research'!$B491-1)*36+HEX2DEC(8))*2,2)),31),2)</f>
        <v>00</v>
      </c>
      <c r="L491" t="str">
        <f>DEC2HEX(_xlfn.BITAND(HEX2DEC(MID('paste from garc here'!$C$1,1+(('table for research'!$B491-1)*36+HEX2DEC(8))*2,2)),32),2)</f>
        <v>00</v>
      </c>
      <c r="M491" t="str">
        <f>DEC2HEX(_xlfn.BITAND(HEX2DEC(MID('paste from garc here'!$C$1,1+(('table for research'!$B491-1)*36+HEX2DEC(8))*2,2)),64),2)</f>
        <v>00</v>
      </c>
      <c r="N491" t="str">
        <f>DEC2HEX(_xlfn.BITRSHIFT(_xlfn.BITAND(HEX2DEC(MID('paste from garc here'!$C$1,1+(('table for research'!$B491-1)*36+HEX2DEC(9))*2,2)&amp;MID('paste from garc here'!$C$1,1+(('table for research'!$B491-1)*36+HEX2DEC(8))*2,2)),1920),7),2)</f>
        <v>00</v>
      </c>
      <c r="O491" t="str">
        <f>DEC2HEX(_xlfn.BITRSHIFT(HEX2DEC(MID('paste from garc here'!$C$1,1+(('table for research'!$B491-1)*36+HEX2DEC(9))*2,2)&amp;MID('paste from garc here'!$C$1,1+(('table for research'!$B491-1)*36+HEX2DEC(8))*2,2)),11),2)</f>
        <v>00</v>
      </c>
      <c r="P491" t="str">
        <f>MID('paste from garc here'!$C$2,1+(('table for research'!$B491-456)*36+HEX2DEC('table for research'!P$1))*2,2)</f>
        <v>00</v>
      </c>
      <c r="Q491" t="str">
        <f>MID('paste from garc here'!$C$2,1+(('table for research'!$B491-456)*36+HEX2DEC('table for research'!Q$1))*2,2)</f>
        <v>00</v>
      </c>
      <c r="R491" t="str">
        <f>MID('paste from garc here'!$C$2,1+(('table for research'!$B491-456)*36+HEX2DEC('table for research'!R$1))*2,2)</f>
        <v>00</v>
      </c>
      <c r="S491" t="str">
        <f>MID('paste from garc here'!$C$2,1+(('table for research'!$B491-456)*36+HEX2DEC('table for research'!S$1))*2,2)</f>
        <v>02</v>
      </c>
      <c r="T491" t="str">
        <f>MID('paste from garc here'!$C$2,1+(('table for research'!$B491-456)*36+HEX2DEC('table for research'!T$1))*2,2)</f>
        <v>00</v>
      </c>
      <c r="U491" t="str">
        <f>MID('paste from garc here'!$C$2,1+(('table for research'!$B491-456)*36+HEX2DEC('table for research'!U$1))*2,2)</f>
        <v>FF</v>
      </c>
      <c r="V491" t="str">
        <f>MID('paste from garc here'!$C$2,1+(('table for research'!$B491-456)*36+HEX2DEC('table for research'!V$1))*2,2)</f>
        <v>00</v>
      </c>
      <c r="W491" t="str">
        <f>MID('paste from garc here'!$C$2,1+(('table for research'!$B491-456)*36+HEX2DEC('table for research'!W$1))*2,2)</f>
        <v>00</v>
      </c>
      <c r="X491" t="str">
        <f>MID('paste from garc here'!$C$2,1+(('table for research'!$B491-456)*36+HEX2DEC('table for research'!X$1))*2,2)</f>
        <v>00</v>
      </c>
      <c r="Y491" t="str">
        <f>MID('paste from garc here'!$C$2,1+(('table for research'!$B491-456)*36+HEX2DEC('table for research'!Y$1))*2,2)</f>
        <v>00</v>
      </c>
      <c r="Z491" t="str">
        <f>MID('paste from garc here'!$C$2,1+(('table for research'!$B491-456)*36+HEX2DEC('table for research'!Z$1))*2,2)</f>
        <v>00</v>
      </c>
      <c r="AA491" t="str">
        <f>MID('paste from garc here'!$C$2,1+(('table for research'!$B491-456)*36+HEX2DEC('table for research'!AA$1))*2,2)</f>
        <v>00</v>
      </c>
      <c r="AB491" t="str">
        <f>MID('paste from garc here'!$C$2,1+(('table for research'!$B491-456)*36+HEX2DEC('table for research'!AB$1))*2,2)</f>
        <v>00</v>
      </c>
      <c r="AC491" t="str">
        <f>MID('paste from garc here'!$C$2,1+(('table for research'!$B491-456)*36+HEX2DEC('table for research'!AC$1))*2,2)</f>
        <v>00</v>
      </c>
      <c r="AD491" t="str">
        <f>MID('paste from garc here'!$C$2,1+(('table for research'!$B491-456)*36+HEX2DEC('table for research'!AD$1))*2,2)</f>
        <v>00</v>
      </c>
      <c r="AE491" t="str">
        <f>MID('paste from garc here'!$C$2,1+(('table for research'!$B491-456)*36+HEX2DEC('table for research'!AE$1))*2,2)</f>
        <v>00</v>
      </c>
      <c r="AF491" t="str">
        <f>MID('paste from garc here'!$C$2,1+(('table for research'!$B491-456)*36+HEX2DEC('table for research'!AF$1))*2,2)</f>
        <v>00</v>
      </c>
      <c r="AG491" t="str">
        <f>MID('paste from garc here'!$C$2,1+(('table for research'!$B491-456)*36+HEX2DEC('table for research'!AG$1))*2,2)</f>
        <v>00</v>
      </c>
      <c r="AH491" t="str">
        <f>MID('paste from garc here'!$C$2,1+(('table for research'!$B491-456)*36+HEX2DEC('table for research'!AH$1))*2,2)</f>
        <v>00</v>
      </c>
      <c r="AI491" t="str">
        <f>MID('paste from garc here'!$C$2,1+(('table for research'!$B491-456)*36+HEX2DEC('table for research'!AI$1))*2,2)</f>
        <v>00</v>
      </c>
      <c r="AJ491" t="str">
        <f>MID('paste from garc here'!$C$2,1+(('table for research'!$B491-456)*36+HEX2DEC('table for research'!AJ$1))*2,2)</f>
        <v>00</v>
      </c>
      <c r="AK491" t="str">
        <f>MID('paste from garc here'!$C$2,1+(('table for research'!$B491-456)*36+HEX2DEC('table for research'!AK$1))*2,2)</f>
        <v>00</v>
      </c>
      <c r="AL491" t="str">
        <f>MID('paste from garc here'!$C$2,1+(('table for research'!$B491-456)*36+HEX2DEC('table for research'!AL$1))*2,2)</f>
        <v>00</v>
      </c>
      <c r="AM491" t="str">
        <f>MID('paste from garc here'!$C$2,1+(('table for research'!$B491-456)*36+HEX2DEC('table for research'!AM$1))*2,2)</f>
        <v>00</v>
      </c>
      <c r="AN491" t="str">
        <f>MID('paste from garc here'!$C$2,1+(('table for research'!$B491-456)*36+HEX2DEC('table for research'!AN$1))*2,2)</f>
        <v>00</v>
      </c>
      <c r="AO491" t="str">
        <f>MID('paste from garc here'!$C$2,1+(('table for research'!$B491-456)*36+HEX2DEC('table for research'!AO$1))*2,2)</f>
        <v>00</v>
      </c>
    </row>
    <row r="492" spans="1:41" x14ac:dyDescent="0.4">
      <c r="A492" t="s">
        <v>494</v>
      </c>
      <c r="B492">
        <f>B491+1</f>
        <v>490</v>
      </c>
      <c r="C492" t="str">
        <f>MID('paste from garc here'!$C$2,1+(('table for research'!$B492-456)*36+HEX2DEC('table for research'!C$1))*2,2)</f>
        <v>02</v>
      </c>
      <c r="D492" t="str">
        <f>MID('paste from garc here'!$C$2,1+(('table for research'!$B492-456)*36+HEX2DEC('table for research'!D$1))*2,2)</f>
        <v>00</v>
      </c>
      <c r="E492" t="str">
        <f>MID('paste from garc here'!$C$2,1+(('table for research'!$B492-456)*36+HEX2DEC('table for research'!E$1))*2,2)</f>
        <v>00</v>
      </c>
      <c r="F492" t="str">
        <f>MID('paste from garc here'!$C$2,1+(('table for research'!$B492-456)*36+HEX2DEC('table for research'!F$1))*2,2)</f>
        <v>00</v>
      </c>
      <c r="G492" t="str">
        <f>MID('paste from garc here'!$C$2,1+(('table for research'!$B492-456)*36+HEX2DEC('table for research'!G$1))*2,2)</f>
        <v>00</v>
      </c>
      <c r="H492" t="str">
        <f>MID('paste from garc here'!$C$2,1+(('table for research'!$B492-456)*36+HEX2DEC('table for research'!H$1))*2,2)</f>
        <v>00</v>
      </c>
      <c r="I492" t="str">
        <f>MID('paste from garc here'!$C$2,1+(('table for research'!$B492-456)*36+HEX2DEC('table for research'!I$1))*2,2)</f>
        <v>00</v>
      </c>
      <c r="J492" t="str">
        <f>MID('paste from garc here'!$C$2,1+(('table for research'!$B492-456)*36+HEX2DEC('table for research'!J$1))*2,2)</f>
        <v>00</v>
      </c>
      <c r="K492" t="str">
        <f>DEC2HEX(_xlfn.BITAND(HEX2DEC(MID('paste from garc here'!$C$1,1+(('table for research'!$B492-1)*36+HEX2DEC(8))*2,2)),31),2)</f>
        <v>00</v>
      </c>
      <c r="L492" t="str">
        <f>DEC2HEX(_xlfn.BITAND(HEX2DEC(MID('paste from garc here'!$C$1,1+(('table for research'!$B492-1)*36+HEX2DEC(8))*2,2)),32),2)</f>
        <v>00</v>
      </c>
      <c r="M492" t="str">
        <f>DEC2HEX(_xlfn.BITAND(HEX2DEC(MID('paste from garc here'!$C$1,1+(('table for research'!$B492-1)*36+HEX2DEC(8))*2,2)),64),2)</f>
        <v>00</v>
      </c>
      <c r="N492" t="str">
        <f>DEC2HEX(_xlfn.BITRSHIFT(_xlfn.BITAND(HEX2DEC(MID('paste from garc here'!$C$1,1+(('table for research'!$B492-1)*36+HEX2DEC(9))*2,2)&amp;MID('paste from garc here'!$C$1,1+(('table for research'!$B492-1)*36+HEX2DEC(8))*2,2)),1920),7),2)</f>
        <v>00</v>
      </c>
      <c r="O492" t="str">
        <f>DEC2HEX(_xlfn.BITRSHIFT(HEX2DEC(MID('paste from garc here'!$C$1,1+(('table for research'!$B492-1)*36+HEX2DEC(9))*2,2)&amp;MID('paste from garc here'!$C$1,1+(('table for research'!$B492-1)*36+HEX2DEC(8))*2,2)),11),2)</f>
        <v>00</v>
      </c>
      <c r="P492" t="str">
        <f>MID('paste from garc here'!$C$2,1+(('table for research'!$B492-456)*36+HEX2DEC('table for research'!P$1))*2,2)</f>
        <v>00</v>
      </c>
      <c r="Q492" t="str">
        <f>MID('paste from garc here'!$C$2,1+(('table for research'!$B492-456)*36+HEX2DEC('table for research'!Q$1))*2,2)</f>
        <v>00</v>
      </c>
      <c r="R492" t="str">
        <f>MID('paste from garc here'!$C$2,1+(('table for research'!$B492-456)*36+HEX2DEC('table for research'!R$1))*2,2)</f>
        <v>00</v>
      </c>
      <c r="S492" t="str">
        <f>MID('paste from garc here'!$C$2,1+(('table for research'!$B492-456)*36+HEX2DEC('table for research'!S$1))*2,2)</f>
        <v>02</v>
      </c>
      <c r="T492" t="str">
        <f>MID('paste from garc here'!$C$2,1+(('table for research'!$B492-456)*36+HEX2DEC('table for research'!T$1))*2,2)</f>
        <v>00</v>
      </c>
      <c r="U492" t="str">
        <f>MID('paste from garc here'!$C$2,1+(('table for research'!$B492-456)*36+HEX2DEC('table for research'!U$1))*2,2)</f>
        <v>FF</v>
      </c>
      <c r="V492" t="str">
        <f>MID('paste from garc here'!$C$2,1+(('table for research'!$B492-456)*36+HEX2DEC('table for research'!V$1))*2,2)</f>
        <v>00</v>
      </c>
      <c r="W492" t="str">
        <f>MID('paste from garc here'!$C$2,1+(('table for research'!$B492-456)*36+HEX2DEC('table for research'!W$1))*2,2)</f>
        <v>00</v>
      </c>
      <c r="X492" t="str">
        <f>MID('paste from garc here'!$C$2,1+(('table for research'!$B492-456)*36+HEX2DEC('table for research'!X$1))*2,2)</f>
        <v>00</v>
      </c>
      <c r="Y492" t="str">
        <f>MID('paste from garc here'!$C$2,1+(('table for research'!$B492-456)*36+HEX2DEC('table for research'!Y$1))*2,2)</f>
        <v>00</v>
      </c>
      <c r="Z492" t="str">
        <f>MID('paste from garc here'!$C$2,1+(('table for research'!$B492-456)*36+HEX2DEC('table for research'!Z$1))*2,2)</f>
        <v>00</v>
      </c>
      <c r="AA492" t="str">
        <f>MID('paste from garc here'!$C$2,1+(('table for research'!$B492-456)*36+HEX2DEC('table for research'!AA$1))*2,2)</f>
        <v>00</v>
      </c>
      <c r="AB492" t="str">
        <f>MID('paste from garc here'!$C$2,1+(('table for research'!$B492-456)*36+HEX2DEC('table for research'!AB$1))*2,2)</f>
        <v>00</v>
      </c>
      <c r="AC492" t="str">
        <f>MID('paste from garc here'!$C$2,1+(('table for research'!$B492-456)*36+HEX2DEC('table for research'!AC$1))*2,2)</f>
        <v>00</v>
      </c>
      <c r="AD492" t="str">
        <f>MID('paste from garc here'!$C$2,1+(('table for research'!$B492-456)*36+HEX2DEC('table for research'!AD$1))*2,2)</f>
        <v>00</v>
      </c>
      <c r="AE492" t="str">
        <f>MID('paste from garc here'!$C$2,1+(('table for research'!$B492-456)*36+HEX2DEC('table for research'!AE$1))*2,2)</f>
        <v>00</v>
      </c>
      <c r="AF492" t="str">
        <f>MID('paste from garc here'!$C$2,1+(('table for research'!$B492-456)*36+HEX2DEC('table for research'!AF$1))*2,2)</f>
        <v>00</v>
      </c>
      <c r="AG492" t="str">
        <f>MID('paste from garc here'!$C$2,1+(('table for research'!$B492-456)*36+HEX2DEC('table for research'!AG$1))*2,2)</f>
        <v>00</v>
      </c>
      <c r="AH492" t="str">
        <f>MID('paste from garc here'!$C$2,1+(('table for research'!$B492-456)*36+HEX2DEC('table for research'!AH$1))*2,2)</f>
        <v>00</v>
      </c>
      <c r="AI492" t="str">
        <f>MID('paste from garc here'!$C$2,1+(('table for research'!$B492-456)*36+HEX2DEC('table for research'!AI$1))*2,2)</f>
        <v>00</v>
      </c>
      <c r="AJ492" t="str">
        <f>MID('paste from garc here'!$C$2,1+(('table for research'!$B492-456)*36+HEX2DEC('table for research'!AJ$1))*2,2)</f>
        <v>00</v>
      </c>
      <c r="AK492" t="str">
        <f>MID('paste from garc here'!$C$2,1+(('table for research'!$B492-456)*36+HEX2DEC('table for research'!AK$1))*2,2)</f>
        <v>00</v>
      </c>
      <c r="AL492" t="str">
        <f>MID('paste from garc here'!$C$2,1+(('table for research'!$B492-456)*36+HEX2DEC('table for research'!AL$1))*2,2)</f>
        <v>00</v>
      </c>
      <c r="AM492" t="str">
        <f>MID('paste from garc here'!$C$2,1+(('table for research'!$B492-456)*36+HEX2DEC('table for research'!AM$1))*2,2)</f>
        <v>00</v>
      </c>
      <c r="AN492" t="str">
        <f>MID('paste from garc here'!$C$2,1+(('table for research'!$B492-456)*36+HEX2DEC('table for research'!AN$1))*2,2)</f>
        <v>00</v>
      </c>
      <c r="AO492" t="str">
        <f>MID('paste from garc here'!$C$2,1+(('table for research'!$B492-456)*36+HEX2DEC('table for research'!AO$1))*2,2)</f>
        <v>00</v>
      </c>
    </row>
    <row r="493" spans="1:41" x14ac:dyDescent="0.4">
      <c r="A493" t="s">
        <v>495</v>
      </c>
      <c r="B493">
        <f>B492+1</f>
        <v>491</v>
      </c>
      <c r="C493" t="str">
        <f>MID('paste from garc here'!$C$2,1+(('table for research'!$B493-456)*36+HEX2DEC('table for research'!C$1))*2,2)</f>
        <v>02</v>
      </c>
      <c r="D493" t="str">
        <f>MID('paste from garc here'!$C$2,1+(('table for research'!$B493-456)*36+HEX2DEC('table for research'!D$1))*2,2)</f>
        <v>00</v>
      </c>
      <c r="E493" t="str">
        <f>MID('paste from garc here'!$C$2,1+(('table for research'!$B493-456)*36+HEX2DEC('table for research'!E$1))*2,2)</f>
        <v>00</v>
      </c>
      <c r="F493" t="str">
        <f>MID('paste from garc here'!$C$2,1+(('table for research'!$B493-456)*36+HEX2DEC('table for research'!F$1))*2,2)</f>
        <v>00</v>
      </c>
      <c r="G493" t="str">
        <f>MID('paste from garc here'!$C$2,1+(('table for research'!$B493-456)*36+HEX2DEC('table for research'!G$1))*2,2)</f>
        <v>00</v>
      </c>
      <c r="H493" t="str">
        <f>MID('paste from garc here'!$C$2,1+(('table for research'!$B493-456)*36+HEX2DEC('table for research'!H$1))*2,2)</f>
        <v>00</v>
      </c>
      <c r="I493" t="str">
        <f>MID('paste from garc here'!$C$2,1+(('table for research'!$B493-456)*36+HEX2DEC('table for research'!I$1))*2,2)</f>
        <v>00</v>
      </c>
      <c r="J493" t="str">
        <f>MID('paste from garc here'!$C$2,1+(('table for research'!$B493-456)*36+HEX2DEC('table for research'!J$1))*2,2)</f>
        <v>00</v>
      </c>
      <c r="K493" t="str">
        <f>DEC2HEX(_xlfn.BITAND(HEX2DEC(MID('paste from garc here'!$C$1,1+(('table for research'!$B493-1)*36+HEX2DEC(8))*2,2)),31),2)</f>
        <v>00</v>
      </c>
      <c r="L493" t="str">
        <f>DEC2HEX(_xlfn.BITAND(HEX2DEC(MID('paste from garc here'!$C$1,1+(('table for research'!$B493-1)*36+HEX2DEC(8))*2,2)),32),2)</f>
        <v>00</v>
      </c>
      <c r="M493" t="str">
        <f>DEC2HEX(_xlfn.BITAND(HEX2DEC(MID('paste from garc here'!$C$1,1+(('table for research'!$B493-1)*36+HEX2DEC(8))*2,2)),64),2)</f>
        <v>00</v>
      </c>
      <c r="N493" t="str">
        <f>DEC2HEX(_xlfn.BITRSHIFT(_xlfn.BITAND(HEX2DEC(MID('paste from garc here'!$C$1,1+(('table for research'!$B493-1)*36+HEX2DEC(9))*2,2)&amp;MID('paste from garc here'!$C$1,1+(('table for research'!$B493-1)*36+HEX2DEC(8))*2,2)),1920),7),2)</f>
        <v>00</v>
      </c>
      <c r="O493" t="str">
        <f>DEC2HEX(_xlfn.BITRSHIFT(HEX2DEC(MID('paste from garc here'!$C$1,1+(('table for research'!$B493-1)*36+HEX2DEC(9))*2,2)&amp;MID('paste from garc here'!$C$1,1+(('table for research'!$B493-1)*36+HEX2DEC(8))*2,2)),11),2)</f>
        <v>00</v>
      </c>
      <c r="P493" t="str">
        <f>MID('paste from garc here'!$C$2,1+(('table for research'!$B493-456)*36+HEX2DEC('table for research'!P$1))*2,2)</f>
        <v>00</v>
      </c>
      <c r="Q493" t="str">
        <f>MID('paste from garc here'!$C$2,1+(('table for research'!$B493-456)*36+HEX2DEC('table for research'!Q$1))*2,2)</f>
        <v>00</v>
      </c>
      <c r="R493" t="str">
        <f>MID('paste from garc here'!$C$2,1+(('table for research'!$B493-456)*36+HEX2DEC('table for research'!R$1))*2,2)</f>
        <v>00</v>
      </c>
      <c r="S493" t="str">
        <f>MID('paste from garc here'!$C$2,1+(('table for research'!$B493-456)*36+HEX2DEC('table for research'!S$1))*2,2)</f>
        <v>02</v>
      </c>
      <c r="T493" t="str">
        <f>MID('paste from garc here'!$C$2,1+(('table for research'!$B493-456)*36+HEX2DEC('table for research'!T$1))*2,2)</f>
        <v>00</v>
      </c>
      <c r="U493" t="str">
        <f>MID('paste from garc here'!$C$2,1+(('table for research'!$B493-456)*36+HEX2DEC('table for research'!U$1))*2,2)</f>
        <v>FF</v>
      </c>
      <c r="V493" t="str">
        <f>MID('paste from garc here'!$C$2,1+(('table for research'!$B493-456)*36+HEX2DEC('table for research'!V$1))*2,2)</f>
        <v>00</v>
      </c>
      <c r="W493" t="str">
        <f>MID('paste from garc here'!$C$2,1+(('table for research'!$B493-456)*36+HEX2DEC('table for research'!W$1))*2,2)</f>
        <v>00</v>
      </c>
      <c r="X493" t="str">
        <f>MID('paste from garc here'!$C$2,1+(('table for research'!$B493-456)*36+HEX2DEC('table for research'!X$1))*2,2)</f>
        <v>00</v>
      </c>
      <c r="Y493" t="str">
        <f>MID('paste from garc here'!$C$2,1+(('table for research'!$B493-456)*36+HEX2DEC('table for research'!Y$1))*2,2)</f>
        <v>00</v>
      </c>
      <c r="Z493" t="str">
        <f>MID('paste from garc here'!$C$2,1+(('table for research'!$B493-456)*36+HEX2DEC('table for research'!Z$1))*2,2)</f>
        <v>00</v>
      </c>
      <c r="AA493" t="str">
        <f>MID('paste from garc here'!$C$2,1+(('table for research'!$B493-456)*36+HEX2DEC('table for research'!AA$1))*2,2)</f>
        <v>00</v>
      </c>
      <c r="AB493" t="str">
        <f>MID('paste from garc here'!$C$2,1+(('table for research'!$B493-456)*36+HEX2DEC('table for research'!AB$1))*2,2)</f>
        <v>00</v>
      </c>
      <c r="AC493" t="str">
        <f>MID('paste from garc here'!$C$2,1+(('table for research'!$B493-456)*36+HEX2DEC('table for research'!AC$1))*2,2)</f>
        <v>00</v>
      </c>
      <c r="AD493" t="str">
        <f>MID('paste from garc here'!$C$2,1+(('table for research'!$B493-456)*36+HEX2DEC('table for research'!AD$1))*2,2)</f>
        <v>00</v>
      </c>
      <c r="AE493" t="str">
        <f>MID('paste from garc here'!$C$2,1+(('table for research'!$B493-456)*36+HEX2DEC('table for research'!AE$1))*2,2)</f>
        <v>00</v>
      </c>
      <c r="AF493" t="str">
        <f>MID('paste from garc here'!$C$2,1+(('table for research'!$B493-456)*36+HEX2DEC('table for research'!AF$1))*2,2)</f>
        <v>00</v>
      </c>
      <c r="AG493" t="str">
        <f>MID('paste from garc here'!$C$2,1+(('table for research'!$B493-456)*36+HEX2DEC('table for research'!AG$1))*2,2)</f>
        <v>00</v>
      </c>
      <c r="AH493" t="str">
        <f>MID('paste from garc here'!$C$2,1+(('table for research'!$B493-456)*36+HEX2DEC('table for research'!AH$1))*2,2)</f>
        <v>00</v>
      </c>
      <c r="AI493" t="str">
        <f>MID('paste from garc here'!$C$2,1+(('table for research'!$B493-456)*36+HEX2DEC('table for research'!AI$1))*2,2)</f>
        <v>00</v>
      </c>
      <c r="AJ493" t="str">
        <f>MID('paste from garc here'!$C$2,1+(('table for research'!$B493-456)*36+HEX2DEC('table for research'!AJ$1))*2,2)</f>
        <v>00</v>
      </c>
      <c r="AK493" t="str">
        <f>MID('paste from garc here'!$C$2,1+(('table for research'!$B493-456)*36+HEX2DEC('table for research'!AK$1))*2,2)</f>
        <v>00</v>
      </c>
      <c r="AL493" t="str">
        <f>MID('paste from garc here'!$C$2,1+(('table for research'!$B493-456)*36+HEX2DEC('table for research'!AL$1))*2,2)</f>
        <v>00</v>
      </c>
      <c r="AM493" t="str">
        <f>MID('paste from garc here'!$C$2,1+(('table for research'!$B493-456)*36+HEX2DEC('table for research'!AM$1))*2,2)</f>
        <v>00</v>
      </c>
      <c r="AN493" t="str">
        <f>MID('paste from garc here'!$C$2,1+(('table for research'!$B493-456)*36+HEX2DEC('table for research'!AN$1))*2,2)</f>
        <v>00</v>
      </c>
      <c r="AO493" t="str">
        <f>MID('paste from garc here'!$C$2,1+(('table for research'!$B493-456)*36+HEX2DEC('table for research'!AO$1))*2,2)</f>
        <v>00</v>
      </c>
    </row>
    <row r="494" spans="1:41" x14ac:dyDescent="0.4">
      <c r="A494" t="s">
        <v>496</v>
      </c>
      <c r="B494">
        <f>B493+1</f>
        <v>492</v>
      </c>
      <c r="C494" t="str">
        <f>MID('paste from garc here'!$C$2,1+(('table for research'!$B494-456)*36+HEX2DEC('table for research'!C$1))*2,2)</f>
        <v>96</v>
      </c>
      <c r="D494" t="str">
        <f>MID('paste from garc here'!$C$2,1+(('table for research'!$B494-456)*36+HEX2DEC('table for research'!D$1))*2,2)</f>
        <v>00</v>
      </c>
      <c r="E494" t="str">
        <f>MID('paste from garc here'!$C$2,1+(('table for research'!$B494-456)*36+HEX2DEC('table for research'!E$1))*2,2)</f>
        <v>00</v>
      </c>
      <c r="F494" t="str">
        <f>MID('paste from garc here'!$C$2,1+(('table for research'!$B494-456)*36+HEX2DEC('table for research'!F$1))*2,2)</f>
        <v>00</v>
      </c>
      <c r="G494" t="str">
        <f>MID('paste from garc here'!$C$2,1+(('table for research'!$B494-456)*36+HEX2DEC('table for research'!G$1))*2,2)</f>
        <v>00</v>
      </c>
      <c r="H494" t="str">
        <f>MID('paste from garc here'!$C$2,1+(('table for research'!$B494-456)*36+HEX2DEC('table for research'!H$1))*2,2)</f>
        <v>00</v>
      </c>
      <c r="I494" t="str">
        <f>MID('paste from garc here'!$C$2,1+(('table for research'!$B494-456)*36+HEX2DEC('table for research'!I$1))*2,2)</f>
        <v>00</v>
      </c>
      <c r="J494" t="str">
        <f>MID('paste from garc here'!$C$2,1+(('table for research'!$B494-456)*36+HEX2DEC('table for research'!J$1))*2,2)</f>
        <v>00</v>
      </c>
      <c r="K494" t="str">
        <f>DEC2HEX(_xlfn.BITAND(HEX2DEC(MID('paste from garc here'!$C$1,1+(('table for research'!$B494-1)*36+HEX2DEC(8))*2,2)),31),2)</f>
        <v>00</v>
      </c>
      <c r="L494" t="str">
        <f>DEC2HEX(_xlfn.BITAND(HEX2DEC(MID('paste from garc here'!$C$1,1+(('table for research'!$B494-1)*36+HEX2DEC(8))*2,2)),32),2)</f>
        <v>00</v>
      </c>
      <c r="M494" t="str">
        <f>DEC2HEX(_xlfn.BITAND(HEX2DEC(MID('paste from garc here'!$C$1,1+(('table for research'!$B494-1)*36+HEX2DEC(8))*2,2)),64),2)</f>
        <v>00</v>
      </c>
      <c r="N494" t="str">
        <f>DEC2HEX(_xlfn.BITRSHIFT(_xlfn.BITAND(HEX2DEC(MID('paste from garc here'!$C$1,1+(('table for research'!$B494-1)*36+HEX2DEC(9))*2,2)&amp;MID('paste from garc here'!$C$1,1+(('table for research'!$B494-1)*36+HEX2DEC(8))*2,2)),1920),7),2)</f>
        <v>00</v>
      </c>
      <c r="O494" t="str">
        <f>DEC2HEX(_xlfn.BITRSHIFT(HEX2DEC(MID('paste from garc here'!$C$1,1+(('table for research'!$B494-1)*36+HEX2DEC(9))*2,2)&amp;MID('paste from garc here'!$C$1,1+(('table for research'!$B494-1)*36+HEX2DEC(8))*2,2)),11),2)</f>
        <v>00</v>
      </c>
      <c r="P494" t="str">
        <f>MID('paste from garc here'!$C$2,1+(('table for research'!$B494-456)*36+HEX2DEC('table for research'!P$1))*2,2)</f>
        <v>00</v>
      </c>
      <c r="Q494" t="str">
        <f>MID('paste from garc here'!$C$2,1+(('table for research'!$B494-456)*36+HEX2DEC('table for research'!Q$1))*2,2)</f>
        <v>01</v>
      </c>
      <c r="R494" t="str">
        <f>MID('paste from garc here'!$C$2,1+(('table for research'!$B494-456)*36+HEX2DEC('table for research'!R$1))*2,2)</f>
        <v>02</v>
      </c>
      <c r="S494" t="str">
        <f>MID('paste from garc here'!$C$2,1+(('table for research'!$B494-456)*36+HEX2DEC('table for research'!S$1))*2,2)</f>
        <v>04</v>
      </c>
      <c r="T494" t="str">
        <f>MID('paste from garc here'!$C$2,1+(('table for research'!$B494-456)*36+HEX2DEC('table for research'!T$1))*2,2)</f>
        <v>00</v>
      </c>
      <c r="U494" t="str">
        <f>MID('paste from garc here'!$C$2,1+(('table for research'!$B494-456)*36+HEX2DEC('table for research'!U$1))*2,2)</f>
        <v>10</v>
      </c>
      <c r="V494" t="str">
        <f>MID('paste from garc here'!$C$2,1+(('table for research'!$B494-456)*36+HEX2DEC('table for research'!V$1))*2,2)</f>
        <v>10</v>
      </c>
      <c r="W494" t="str">
        <f>MID('paste from garc here'!$C$2,1+(('table for research'!$B494-456)*36+HEX2DEC('table for research'!W$1))*2,2)</f>
        <v>00</v>
      </c>
      <c r="X494" t="str">
        <f>MID('paste from garc here'!$C$2,1+(('table for research'!$B494-456)*36+HEX2DEC('table for research'!X$1))*2,2)</f>
        <v>00</v>
      </c>
      <c r="Y494" t="str">
        <f>MID('paste from garc here'!$C$2,1+(('table for research'!$B494-456)*36+HEX2DEC('table for research'!Y$1))*2,2)</f>
        <v>00</v>
      </c>
      <c r="Z494" t="str">
        <f>MID('paste from garc here'!$C$2,1+(('table for research'!$B494-456)*36+HEX2DEC('table for research'!Z$1))*2,2)</f>
        <v>00</v>
      </c>
      <c r="AA494" t="str">
        <f>MID('paste from garc here'!$C$2,1+(('table for research'!$B494-456)*36+HEX2DEC('table for research'!AA$1))*2,2)</f>
        <v>00</v>
      </c>
      <c r="AB494" t="str">
        <f>MID('paste from garc here'!$C$2,1+(('table for research'!$B494-456)*36+HEX2DEC('table for research'!AB$1))*2,2)</f>
        <v>00</v>
      </c>
      <c r="AC494" t="str">
        <f>MID('paste from garc here'!$C$2,1+(('table for research'!$B494-456)*36+HEX2DEC('table for research'!AC$1))*2,2)</f>
        <v>00</v>
      </c>
      <c r="AD494" t="str">
        <f>MID('paste from garc here'!$C$2,1+(('table for research'!$B494-456)*36+HEX2DEC('table for research'!AD$1))*2,2)</f>
        <v>00</v>
      </c>
      <c r="AE494" t="str">
        <f>MID('paste from garc here'!$C$2,1+(('table for research'!$B494-456)*36+HEX2DEC('table for research'!AE$1))*2,2)</f>
        <v>00</v>
      </c>
      <c r="AF494" t="str">
        <f>MID('paste from garc here'!$C$2,1+(('table for research'!$B494-456)*36+HEX2DEC('table for research'!AF$1))*2,2)</f>
        <v>00</v>
      </c>
      <c r="AG494" t="str">
        <f>MID('paste from garc here'!$C$2,1+(('table for research'!$B494-456)*36+HEX2DEC('table for research'!AG$1))*2,2)</f>
        <v>00</v>
      </c>
      <c r="AH494" t="str">
        <f>MID('paste from garc here'!$C$2,1+(('table for research'!$B494-456)*36+HEX2DEC('table for research'!AH$1))*2,2)</f>
        <v>00</v>
      </c>
      <c r="AI494" t="str">
        <f>MID('paste from garc here'!$C$2,1+(('table for research'!$B494-456)*36+HEX2DEC('table for research'!AI$1))*2,2)</f>
        <v>00</v>
      </c>
      <c r="AJ494" t="str">
        <f>MID('paste from garc here'!$C$2,1+(('table for research'!$B494-456)*36+HEX2DEC('table for research'!AJ$1))*2,2)</f>
        <v>00</v>
      </c>
      <c r="AK494" t="str">
        <f>MID('paste from garc here'!$C$2,1+(('table for research'!$B494-456)*36+HEX2DEC('table for research'!AK$1))*2,2)</f>
        <v>00</v>
      </c>
      <c r="AL494" t="str">
        <f>MID('paste from garc here'!$C$2,1+(('table for research'!$B494-456)*36+HEX2DEC('table for research'!AL$1))*2,2)</f>
        <v>00</v>
      </c>
      <c r="AM494" t="str">
        <f>MID('paste from garc here'!$C$2,1+(('table for research'!$B494-456)*36+HEX2DEC('table for research'!AM$1))*2,2)</f>
        <v>00</v>
      </c>
      <c r="AN494" t="str">
        <f>MID('paste from garc here'!$C$2,1+(('table for research'!$B494-456)*36+HEX2DEC('table for research'!AN$1))*2,2)</f>
        <v>00</v>
      </c>
      <c r="AO494" t="str">
        <f>MID('paste from garc here'!$C$2,1+(('table for research'!$B494-456)*36+HEX2DEC('table for research'!AO$1))*2,2)</f>
        <v>00</v>
      </c>
    </row>
    <row r="495" spans="1:41" x14ac:dyDescent="0.4">
      <c r="A495" t="s">
        <v>497</v>
      </c>
      <c r="B495">
        <f>B494+1</f>
        <v>493</v>
      </c>
      <c r="C495" t="str">
        <f>MID('paste from garc here'!$C$2,1+(('table for research'!$B495-456)*36+HEX2DEC('table for research'!C$1))*2,2)</f>
        <v>96</v>
      </c>
      <c r="D495" t="str">
        <f>MID('paste from garc here'!$C$2,1+(('table for research'!$B495-456)*36+HEX2DEC('table for research'!D$1))*2,2)</f>
        <v>00</v>
      </c>
      <c r="E495" t="str">
        <f>MID('paste from garc here'!$C$2,1+(('table for research'!$B495-456)*36+HEX2DEC('table for research'!E$1))*2,2)</f>
        <v>00</v>
      </c>
      <c r="F495" t="str">
        <f>MID('paste from garc here'!$C$2,1+(('table for research'!$B495-456)*36+HEX2DEC('table for research'!F$1))*2,2)</f>
        <v>00</v>
      </c>
      <c r="G495" t="str">
        <f>MID('paste from garc here'!$C$2,1+(('table for research'!$B495-456)*36+HEX2DEC('table for research'!G$1))*2,2)</f>
        <v>00</v>
      </c>
      <c r="H495" t="str">
        <f>MID('paste from garc here'!$C$2,1+(('table for research'!$B495-456)*36+HEX2DEC('table for research'!H$1))*2,2)</f>
        <v>00</v>
      </c>
      <c r="I495" t="str">
        <f>MID('paste from garc here'!$C$2,1+(('table for research'!$B495-456)*36+HEX2DEC('table for research'!I$1))*2,2)</f>
        <v>00</v>
      </c>
      <c r="J495" t="str">
        <f>MID('paste from garc here'!$C$2,1+(('table for research'!$B495-456)*36+HEX2DEC('table for research'!J$1))*2,2)</f>
        <v>00</v>
      </c>
      <c r="K495" t="str">
        <f>DEC2HEX(_xlfn.BITAND(HEX2DEC(MID('paste from garc here'!$C$1,1+(('table for research'!$B495-1)*36+HEX2DEC(8))*2,2)),31),2)</f>
        <v>00</v>
      </c>
      <c r="L495" t="str">
        <f>DEC2HEX(_xlfn.BITAND(HEX2DEC(MID('paste from garc here'!$C$1,1+(('table for research'!$B495-1)*36+HEX2DEC(8))*2,2)),32),2)</f>
        <v>00</v>
      </c>
      <c r="M495" t="str">
        <f>DEC2HEX(_xlfn.BITAND(HEX2DEC(MID('paste from garc here'!$C$1,1+(('table for research'!$B495-1)*36+HEX2DEC(8))*2,2)),64),2)</f>
        <v>00</v>
      </c>
      <c r="N495" t="str">
        <f>DEC2HEX(_xlfn.BITRSHIFT(_xlfn.BITAND(HEX2DEC(MID('paste from garc here'!$C$1,1+(('table for research'!$B495-1)*36+HEX2DEC(9))*2,2)&amp;MID('paste from garc here'!$C$1,1+(('table for research'!$B495-1)*36+HEX2DEC(8))*2,2)),1920),7),2)</f>
        <v>00</v>
      </c>
      <c r="O495" t="str">
        <f>DEC2HEX(_xlfn.BITRSHIFT(HEX2DEC(MID('paste from garc here'!$C$1,1+(('table for research'!$B495-1)*36+HEX2DEC(9))*2,2)&amp;MID('paste from garc here'!$C$1,1+(('table for research'!$B495-1)*36+HEX2DEC(8))*2,2)),11),2)</f>
        <v>00</v>
      </c>
      <c r="P495" t="str">
        <f>MID('paste from garc here'!$C$2,1+(('table for research'!$B495-456)*36+HEX2DEC('table for research'!P$1))*2,2)</f>
        <v>00</v>
      </c>
      <c r="Q495" t="str">
        <f>MID('paste from garc here'!$C$2,1+(('table for research'!$B495-456)*36+HEX2DEC('table for research'!Q$1))*2,2)</f>
        <v>01</v>
      </c>
      <c r="R495" t="str">
        <f>MID('paste from garc here'!$C$2,1+(('table for research'!$B495-456)*36+HEX2DEC('table for research'!R$1))*2,2)</f>
        <v>02</v>
      </c>
      <c r="S495" t="str">
        <f>MID('paste from garc here'!$C$2,1+(('table for research'!$B495-456)*36+HEX2DEC('table for research'!S$1))*2,2)</f>
        <v>04</v>
      </c>
      <c r="T495" t="str">
        <f>MID('paste from garc here'!$C$2,1+(('table for research'!$B495-456)*36+HEX2DEC('table for research'!T$1))*2,2)</f>
        <v>00</v>
      </c>
      <c r="U495" t="str">
        <f>MID('paste from garc here'!$C$2,1+(('table for research'!$B495-456)*36+HEX2DEC('table for research'!U$1))*2,2)</f>
        <v>11</v>
      </c>
      <c r="V495" t="str">
        <f>MID('paste from garc here'!$C$2,1+(('table for research'!$B495-456)*36+HEX2DEC('table for research'!V$1))*2,2)</f>
        <v>11</v>
      </c>
      <c r="W495" t="str">
        <f>MID('paste from garc here'!$C$2,1+(('table for research'!$B495-456)*36+HEX2DEC('table for research'!W$1))*2,2)</f>
        <v>00</v>
      </c>
      <c r="X495" t="str">
        <f>MID('paste from garc here'!$C$2,1+(('table for research'!$B495-456)*36+HEX2DEC('table for research'!X$1))*2,2)</f>
        <v>00</v>
      </c>
      <c r="Y495" t="str">
        <f>MID('paste from garc here'!$C$2,1+(('table for research'!$B495-456)*36+HEX2DEC('table for research'!Y$1))*2,2)</f>
        <v>00</v>
      </c>
      <c r="Z495" t="str">
        <f>MID('paste from garc here'!$C$2,1+(('table for research'!$B495-456)*36+HEX2DEC('table for research'!Z$1))*2,2)</f>
        <v>00</v>
      </c>
      <c r="AA495" t="str">
        <f>MID('paste from garc here'!$C$2,1+(('table for research'!$B495-456)*36+HEX2DEC('table for research'!AA$1))*2,2)</f>
        <v>00</v>
      </c>
      <c r="AB495" t="str">
        <f>MID('paste from garc here'!$C$2,1+(('table for research'!$B495-456)*36+HEX2DEC('table for research'!AB$1))*2,2)</f>
        <v>00</v>
      </c>
      <c r="AC495" t="str">
        <f>MID('paste from garc here'!$C$2,1+(('table for research'!$B495-456)*36+HEX2DEC('table for research'!AC$1))*2,2)</f>
        <v>00</v>
      </c>
      <c r="AD495" t="str">
        <f>MID('paste from garc here'!$C$2,1+(('table for research'!$B495-456)*36+HEX2DEC('table for research'!AD$1))*2,2)</f>
        <v>00</v>
      </c>
      <c r="AE495" t="str">
        <f>MID('paste from garc here'!$C$2,1+(('table for research'!$B495-456)*36+HEX2DEC('table for research'!AE$1))*2,2)</f>
        <v>00</v>
      </c>
      <c r="AF495" t="str">
        <f>MID('paste from garc here'!$C$2,1+(('table for research'!$B495-456)*36+HEX2DEC('table for research'!AF$1))*2,2)</f>
        <v>00</v>
      </c>
      <c r="AG495" t="str">
        <f>MID('paste from garc here'!$C$2,1+(('table for research'!$B495-456)*36+HEX2DEC('table for research'!AG$1))*2,2)</f>
        <v>00</v>
      </c>
      <c r="AH495" t="str">
        <f>MID('paste from garc here'!$C$2,1+(('table for research'!$B495-456)*36+HEX2DEC('table for research'!AH$1))*2,2)</f>
        <v>00</v>
      </c>
      <c r="AI495" t="str">
        <f>MID('paste from garc here'!$C$2,1+(('table for research'!$B495-456)*36+HEX2DEC('table for research'!AI$1))*2,2)</f>
        <v>00</v>
      </c>
      <c r="AJ495" t="str">
        <f>MID('paste from garc here'!$C$2,1+(('table for research'!$B495-456)*36+HEX2DEC('table for research'!AJ$1))*2,2)</f>
        <v>00</v>
      </c>
      <c r="AK495" t="str">
        <f>MID('paste from garc here'!$C$2,1+(('table for research'!$B495-456)*36+HEX2DEC('table for research'!AK$1))*2,2)</f>
        <v>00</v>
      </c>
      <c r="AL495" t="str">
        <f>MID('paste from garc here'!$C$2,1+(('table for research'!$B495-456)*36+HEX2DEC('table for research'!AL$1))*2,2)</f>
        <v>00</v>
      </c>
      <c r="AM495" t="str">
        <f>MID('paste from garc here'!$C$2,1+(('table for research'!$B495-456)*36+HEX2DEC('table for research'!AM$1))*2,2)</f>
        <v>00</v>
      </c>
      <c r="AN495" t="str">
        <f>MID('paste from garc here'!$C$2,1+(('table for research'!$B495-456)*36+HEX2DEC('table for research'!AN$1))*2,2)</f>
        <v>00</v>
      </c>
      <c r="AO495" t="str">
        <f>MID('paste from garc here'!$C$2,1+(('table for research'!$B495-456)*36+HEX2DEC('table for research'!AO$1))*2,2)</f>
        <v>00</v>
      </c>
    </row>
    <row r="496" spans="1:41" x14ac:dyDescent="0.4">
      <c r="A496" t="s">
        <v>498</v>
      </c>
      <c r="B496">
        <f>B495+1</f>
        <v>494</v>
      </c>
      <c r="C496" t="str">
        <f>MID('paste from garc here'!$C$2,1+(('table for research'!$B496-456)*36+HEX2DEC('table for research'!C$1))*2,2)</f>
        <v>96</v>
      </c>
      <c r="D496" t="str">
        <f>MID('paste from garc here'!$C$2,1+(('table for research'!$B496-456)*36+HEX2DEC('table for research'!D$1))*2,2)</f>
        <v>00</v>
      </c>
      <c r="E496" t="str">
        <f>MID('paste from garc here'!$C$2,1+(('table for research'!$B496-456)*36+HEX2DEC('table for research'!E$1))*2,2)</f>
        <v>00</v>
      </c>
      <c r="F496" t="str">
        <f>MID('paste from garc here'!$C$2,1+(('table for research'!$B496-456)*36+HEX2DEC('table for research'!F$1))*2,2)</f>
        <v>00</v>
      </c>
      <c r="G496" t="str">
        <f>MID('paste from garc here'!$C$2,1+(('table for research'!$B496-456)*36+HEX2DEC('table for research'!G$1))*2,2)</f>
        <v>00</v>
      </c>
      <c r="H496" t="str">
        <f>MID('paste from garc here'!$C$2,1+(('table for research'!$B496-456)*36+HEX2DEC('table for research'!H$1))*2,2)</f>
        <v>00</v>
      </c>
      <c r="I496" t="str">
        <f>MID('paste from garc here'!$C$2,1+(('table for research'!$B496-456)*36+HEX2DEC('table for research'!I$1))*2,2)</f>
        <v>00</v>
      </c>
      <c r="J496" t="str">
        <f>MID('paste from garc here'!$C$2,1+(('table for research'!$B496-456)*36+HEX2DEC('table for research'!J$1))*2,2)</f>
        <v>00</v>
      </c>
      <c r="K496" t="str">
        <f>DEC2HEX(_xlfn.BITAND(HEX2DEC(MID('paste from garc here'!$C$1,1+(('table for research'!$B496-1)*36+HEX2DEC(8))*2,2)),31),2)</f>
        <v>00</v>
      </c>
      <c r="L496" t="str">
        <f>DEC2HEX(_xlfn.BITAND(HEX2DEC(MID('paste from garc here'!$C$1,1+(('table for research'!$B496-1)*36+HEX2DEC(8))*2,2)),32),2)</f>
        <v>00</v>
      </c>
      <c r="M496" t="str">
        <f>DEC2HEX(_xlfn.BITAND(HEX2DEC(MID('paste from garc here'!$C$1,1+(('table for research'!$B496-1)*36+HEX2DEC(8))*2,2)),64),2)</f>
        <v>00</v>
      </c>
      <c r="N496" t="str">
        <f>DEC2HEX(_xlfn.BITRSHIFT(_xlfn.BITAND(HEX2DEC(MID('paste from garc here'!$C$1,1+(('table for research'!$B496-1)*36+HEX2DEC(9))*2,2)&amp;MID('paste from garc here'!$C$1,1+(('table for research'!$B496-1)*36+HEX2DEC(8))*2,2)),1920),7),2)</f>
        <v>00</v>
      </c>
      <c r="O496" t="str">
        <f>DEC2HEX(_xlfn.BITRSHIFT(HEX2DEC(MID('paste from garc here'!$C$1,1+(('table for research'!$B496-1)*36+HEX2DEC(9))*2,2)&amp;MID('paste from garc here'!$C$1,1+(('table for research'!$B496-1)*36+HEX2DEC(8))*2,2)),11),2)</f>
        <v>00</v>
      </c>
      <c r="P496" t="str">
        <f>MID('paste from garc here'!$C$2,1+(('table for research'!$B496-456)*36+HEX2DEC('table for research'!P$1))*2,2)</f>
        <v>00</v>
      </c>
      <c r="Q496" t="str">
        <f>MID('paste from garc here'!$C$2,1+(('table for research'!$B496-456)*36+HEX2DEC('table for research'!Q$1))*2,2)</f>
        <v>01</v>
      </c>
      <c r="R496" t="str">
        <f>MID('paste from garc here'!$C$2,1+(('table for research'!$B496-456)*36+HEX2DEC('table for research'!R$1))*2,2)</f>
        <v>02</v>
      </c>
      <c r="S496" t="str">
        <f>MID('paste from garc here'!$C$2,1+(('table for research'!$B496-456)*36+HEX2DEC('table for research'!S$1))*2,2)</f>
        <v>04</v>
      </c>
      <c r="T496" t="str">
        <f>MID('paste from garc here'!$C$2,1+(('table for research'!$B496-456)*36+HEX2DEC('table for research'!T$1))*2,2)</f>
        <v>00</v>
      </c>
      <c r="U496" t="str">
        <f>MID('paste from garc here'!$C$2,1+(('table for research'!$B496-456)*36+HEX2DEC('table for research'!U$1))*2,2)</f>
        <v>12</v>
      </c>
      <c r="V496" t="str">
        <f>MID('paste from garc here'!$C$2,1+(('table for research'!$B496-456)*36+HEX2DEC('table for research'!V$1))*2,2)</f>
        <v>12</v>
      </c>
      <c r="W496" t="str">
        <f>MID('paste from garc here'!$C$2,1+(('table for research'!$B496-456)*36+HEX2DEC('table for research'!W$1))*2,2)</f>
        <v>00</v>
      </c>
      <c r="X496" t="str">
        <f>MID('paste from garc here'!$C$2,1+(('table for research'!$B496-456)*36+HEX2DEC('table for research'!X$1))*2,2)</f>
        <v>00</v>
      </c>
      <c r="Y496" t="str">
        <f>MID('paste from garc here'!$C$2,1+(('table for research'!$B496-456)*36+HEX2DEC('table for research'!Y$1))*2,2)</f>
        <v>00</v>
      </c>
      <c r="Z496" t="str">
        <f>MID('paste from garc here'!$C$2,1+(('table for research'!$B496-456)*36+HEX2DEC('table for research'!Z$1))*2,2)</f>
        <v>00</v>
      </c>
      <c r="AA496" t="str">
        <f>MID('paste from garc here'!$C$2,1+(('table for research'!$B496-456)*36+HEX2DEC('table for research'!AA$1))*2,2)</f>
        <v>00</v>
      </c>
      <c r="AB496" t="str">
        <f>MID('paste from garc here'!$C$2,1+(('table for research'!$B496-456)*36+HEX2DEC('table for research'!AB$1))*2,2)</f>
        <v>00</v>
      </c>
      <c r="AC496" t="str">
        <f>MID('paste from garc here'!$C$2,1+(('table for research'!$B496-456)*36+HEX2DEC('table for research'!AC$1))*2,2)</f>
        <v>00</v>
      </c>
      <c r="AD496" t="str">
        <f>MID('paste from garc here'!$C$2,1+(('table for research'!$B496-456)*36+HEX2DEC('table for research'!AD$1))*2,2)</f>
        <v>00</v>
      </c>
      <c r="AE496" t="str">
        <f>MID('paste from garc here'!$C$2,1+(('table for research'!$B496-456)*36+HEX2DEC('table for research'!AE$1))*2,2)</f>
        <v>00</v>
      </c>
      <c r="AF496" t="str">
        <f>MID('paste from garc here'!$C$2,1+(('table for research'!$B496-456)*36+HEX2DEC('table for research'!AF$1))*2,2)</f>
        <v>00</v>
      </c>
      <c r="AG496" t="str">
        <f>MID('paste from garc here'!$C$2,1+(('table for research'!$B496-456)*36+HEX2DEC('table for research'!AG$1))*2,2)</f>
        <v>00</v>
      </c>
      <c r="AH496" t="str">
        <f>MID('paste from garc here'!$C$2,1+(('table for research'!$B496-456)*36+HEX2DEC('table for research'!AH$1))*2,2)</f>
        <v>00</v>
      </c>
      <c r="AI496" t="str">
        <f>MID('paste from garc here'!$C$2,1+(('table for research'!$B496-456)*36+HEX2DEC('table for research'!AI$1))*2,2)</f>
        <v>00</v>
      </c>
      <c r="AJ496" t="str">
        <f>MID('paste from garc here'!$C$2,1+(('table for research'!$B496-456)*36+HEX2DEC('table for research'!AJ$1))*2,2)</f>
        <v>00</v>
      </c>
      <c r="AK496" t="str">
        <f>MID('paste from garc here'!$C$2,1+(('table for research'!$B496-456)*36+HEX2DEC('table for research'!AK$1))*2,2)</f>
        <v>00</v>
      </c>
      <c r="AL496" t="str">
        <f>MID('paste from garc here'!$C$2,1+(('table for research'!$B496-456)*36+HEX2DEC('table for research'!AL$1))*2,2)</f>
        <v>00</v>
      </c>
      <c r="AM496" t="str">
        <f>MID('paste from garc here'!$C$2,1+(('table for research'!$B496-456)*36+HEX2DEC('table for research'!AM$1))*2,2)</f>
        <v>00</v>
      </c>
      <c r="AN496" t="str">
        <f>MID('paste from garc here'!$C$2,1+(('table for research'!$B496-456)*36+HEX2DEC('table for research'!AN$1))*2,2)</f>
        <v>00</v>
      </c>
      <c r="AO496" t="str">
        <f>MID('paste from garc here'!$C$2,1+(('table for research'!$B496-456)*36+HEX2DEC('table for research'!AO$1))*2,2)</f>
        <v>00</v>
      </c>
    </row>
    <row r="497" spans="1:41" x14ac:dyDescent="0.4">
      <c r="A497" t="s">
        <v>499</v>
      </c>
      <c r="B497">
        <f>B496+1</f>
        <v>495</v>
      </c>
      <c r="C497" t="str">
        <f>MID('paste from garc here'!$C$2,1+(('table for research'!$B497-456)*36+HEX2DEC('table for research'!C$1))*2,2)</f>
        <v>96</v>
      </c>
      <c r="D497" t="str">
        <f>MID('paste from garc here'!$C$2,1+(('table for research'!$B497-456)*36+HEX2DEC('table for research'!D$1))*2,2)</f>
        <v>00</v>
      </c>
      <c r="E497" t="str">
        <f>MID('paste from garc here'!$C$2,1+(('table for research'!$B497-456)*36+HEX2DEC('table for research'!E$1))*2,2)</f>
        <v>00</v>
      </c>
      <c r="F497" t="str">
        <f>MID('paste from garc here'!$C$2,1+(('table for research'!$B497-456)*36+HEX2DEC('table for research'!F$1))*2,2)</f>
        <v>00</v>
      </c>
      <c r="G497" t="str">
        <f>MID('paste from garc here'!$C$2,1+(('table for research'!$B497-456)*36+HEX2DEC('table for research'!G$1))*2,2)</f>
        <v>00</v>
      </c>
      <c r="H497" t="str">
        <f>MID('paste from garc here'!$C$2,1+(('table for research'!$B497-456)*36+HEX2DEC('table for research'!H$1))*2,2)</f>
        <v>00</v>
      </c>
      <c r="I497" t="str">
        <f>MID('paste from garc here'!$C$2,1+(('table for research'!$B497-456)*36+HEX2DEC('table for research'!I$1))*2,2)</f>
        <v>00</v>
      </c>
      <c r="J497" t="str">
        <f>MID('paste from garc here'!$C$2,1+(('table for research'!$B497-456)*36+HEX2DEC('table for research'!J$1))*2,2)</f>
        <v>00</v>
      </c>
      <c r="K497" t="str">
        <f>DEC2HEX(_xlfn.BITAND(HEX2DEC(MID('paste from garc here'!$C$1,1+(('table for research'!$B497-1)*36+HEX2DEC(8))*2,2)),31),2)</f>
        <v>00</v>
      </c>
      <c r="L497" t="str">
        <f>DEC2HEX(_xlfn.BITAND(HEX2DEC(MID('paste from garc here'!$C$1,1+(('table for research'!$B497-1)*36+HEX2DEC(8))*2,2)),32),2)</f>
        <v>00</v>
      </c>
      <c r="M497" t="str">
        <f>DEC2HEX(_xlfn.BITAND(HEX2DEC(MID('paste from garc here'!$C$1,1+(('table for research'!$B497-1)*36+HEX2DEC(8))*2,2)),64),2)</f>
        <v>00</v>
      </c>
      <c r="N497" t="str">
        <f>DEC2HEX(_xlfn.BITRSHIFT(_xlfn.BITAND(HEX2DEC(MID('paste from garc here'!$C$1,1+(('table for research'!$B497-1)*36+HEX2DEC(9))*2,2)&amp;MID('paste from garc here'!$C$1,1+(('table for research'!$B497-1)*36+HEX2DEC(8))*2,2)),1920),7),2)</f>
        <v>00</v>
      </c>
      <c r="O497" t="str">
        <f>DEC2HEX(_xlfn.BITRSHIFT(HEX2DEC(MID('paste from garc here'!$C$1,1+(('table for research'!$B497-1)*36+HEX2DEC(9))*2,2)&amp;MID('paste from garc here'!$C$1,1+(('table for research'!$B497-1)*36+HEX2DEC(8))*2,2)),11),2)</f>
        <v>00</v>
      </c>
      <c r="P497" t="str">
        <f>MID('paste from garc here'!$C$2,1+(('table for research'!$B497-456)*36+HEX2DEC('table for research'!P$1))*2,2)</f>
        <v>00</v>
      </c>
      <c r="Q497" t="str">
        <f>MID('paste from garc here'!$C$2,1+(('table for research'!$B497-456)*36+HEX2DEC('table for research'!Q$1))*2,2)</f>
        <v>01</v>
      </c>
      <c r="R497" t="str">
        <f>MID('paste from garc here'!$C$2,1+(('table for research'!$B497-456)*36+HEX2DEC('table for research'!R$1))*2,2)</f>
        <v>02</v>
      </c>
      <c r="S497" t="str">
        <f>MID('paste from garc here'!$C$2,1+(('table for research'!$B497-456)*36+HEX2DEC('table for research'!S$1))*2,2)</f>
        <v>04</v>
      </c>
      <c r="T497" t="str">
        <f>MID('paste from garc here'!$C$2,1+(('table for research'!$B497-456)*36+HEX2DEC('table for research'!T$1))*2,2)</f>
        <v>00</v>
      </c>
      <c r="U497" t="str">
        <f>MID('paste from garc here'!$C$2,1+(('table for research'!$B497-456)*36+HEX2DEC('table for research'!U$1))*2,2)</f>
        <v>13</v>
      </c>
      <c r="V497" t="str">
        <f>MID('paste from garc here'!$C$2,1+(('table for research'!$B497-456)*36+HEX2DEC('table for research'!V$1))*2,2)</f>
        <v>13</v>
      </c>
      <c r="W497" t="str">
        <f>MID('paste from garc here'!$C$2,1+(('table for research'!$B497-456)*36+HEX2DEC('table for research'!W$1))*2,2)</f>
        <v>00</v>
      </c>
      <c r="X497" t="str">
        <f>MID('paste from garc here'!$C$2,1+(('table for research'!$B497-456)*36+HEX2DEC('table for research'!X$1))*2,2)</f>
        <v>00</v>
      </c>
      <c r="Y497" t="str">
        <f>MID('paste from garc here'!$C$2,1+(('table for research'!$B497-456)*36+HEX2DEC('table for research'!Y$1))*2,2)</f>
        <v>00</v>
      </c>
      <c r="Z497" t="str">
        <f>MID('paste from garc here'!$C$2,1+(('table for research'!$B497-456)*36+HEX2DEC('table for research'!Z$1))*2,2)</f>
        <v>00</v>
      </c>
      <c r="AA497" t="str">
        <f>MID('paste from garc here'!$C$2,1+(('table for research'!$B497-456)*36+HEX2DEC('table for research'!AA$1))*2,2)</f>
        <v>00</v>
      </c>
      <c r="AB497" t="str">
        <f>MID('paste from garc here'!$C$2,1+(('table for research'!$B497-456)*36+HEX2DEC('table for research'!AB$1))*2,2)</f>
        <v>00</v>
      </c>
      <c r="AC497" t="str">
        <f>MID('paste from garc here'!$C$2,1+(('table for research'!$B497-456)*36+HEX2DEC('table for research'!AC$1))*2,2)</f>
        <v>00</v>
      </c>
      <c r="AD497" t="str">
        <f>MID('paste from garc here'!$C$2,1+(('table for research'!$B497-456)*36+HEX2DEC('table for research'!AD$1))*2,2)</f>
        <v>00</v>
      </c>
      <c r="AE497" t="str">
        <f>MID('paste from garc here'!$C$2,1+(('table for research'!$B497-456)*36+HEX2DEC('table for research'!AE$1))*2,2)</f>
        <v>00</v>
      </c>
      <c r="AF497" t="str">
        <f>MID('paste from garc here'!$C$2,1+(('table for research'!$B497-456)*36+HEX2DEC('table for research'!AF$1))*2,2)</f>
        <v>00</v>
      </c>
      <c r="AG497" t="str">
        <f>MID('paste from garc here'!$C$2,1+(('table for research'!$B497-456)*36+HEX2DEC('table for research'!AG$1))*2,2)</f>
        <v>00</v>
      </c>
      <c r="AH497" t="str">
        <f>MID('paste from garc here'!$C$2,1+(('table for research'!$B497-456)*36+HEX2DEC('table for research'!AH$1))*2,2)</f>
        <v>00</v>
      </c>
      <c r="AI497" t="str">
        <f>MID('paste from garc here'!$C$2,1+(('table for research'!$B497-456)*36+HEX2DEC('table for research'!AI$1))*2,2)</f>
        <v>00</v>
      </c>
      <c r="AJ497" t="str">
        <f>MID('paste from garc here'!$C$2,1+(('table for research'!$B497-456)*36+HEX2DEC('table for research'!AJ$1))*2,2)</f>
        <v>00</v>
      </c>
      <c r="AK497" t="str">
        <f>MID('paste from garc here'!$C$2,1+(('table for research'!$B497-456)*36+HEX2DEC('table for research'!AK$1))*2,2)</f>
        <v>00</v>
      </c>
      <c r="AL497" t="str">
        <f>MID('paste from garc here'!$C$2,1+(('table for research'!$B497-456)*36+HEX2DEC('table for research'!AL$1))*2,2)</f>
        <v>00</v>
      </c>
      <c r="AM497" t="str">
        <f>MID('paste from garc here'!$C$2,1+(('table for research'!$B497-456)*36+HEX2DEC('table for research'!AM$1))*2,2)</f>
        <v>00</v>
      </c>
      <c r="AN497" t="str">
        <f>MID('paste from garc here'!$C$2,1+(('table for research'!$B497-456)*36+HEX2DEC('table for research'!AN$1))*2,2)</f>
        <v>00</v>
      </c>
      <c r="AO497" t="str">
        <f>MID('paste from garc here'!$C$2,1+(('table for research'!$B497-456)*36+HEX2DEC('table for research'!AO$1))*2,2)</f>
        <v>00</v>
      </c>
    </row>
    <row r="498" spans="1:41" x14ac:dyDescent="0.4">
      <c r="A498" t="s">
        <v>500</v>
      </c>
      <c r="B498">
        <f>B497+1</f>
        <v>496</v>
      </c>
      <c r="C498" t="str">
        <f>MID('paste from garc here'!$C$2,1+(('table for research'!$B498-456)*36+HEX2DEC('table for research'!C$1))*2,2)</f>
        <v>96</v>
      </c>
      <c r="D498" t="str">
        <f>MID('paste from garc here'!$C$2,1+(('table for research'!$B498-456)*36+HEX2DEC('table for research'!D$1))*2,2)</f>
        <v>00</v>
      </c>
      <c r="E498" t="str">
        <f>MID('paste from garc here'!$C$2,1+(('table for research'!$B498-456)*36+HEX2DEC('table for research'!E$1))*2,2)</f>
        <v>00</v>
      </c>
      <c r="F498" t="str">
        <f>MID('paste from garc here'!$C$2,1+(('table for research'!$B498-456)*36+HEX2DEC('table for research'!F$1))*2,2)</f>
        <v>00</v>
      </c>
      <c r="G498" t="str">
        <f>MID('paste from garc here'!$C$2,1+(('table for research'!$B498-456)*36+HEX2DEC('table for research'!G$1))*2,2)</f>
        <v>00</v>
      </c>
      <c r="H498" t="str">
        <f>MID('paste from garc here'!$C$2,1+(('table for research'!$B498-456)*36+HEX2DEC('table for research'!H$1))*2,2)</f>
        <v>00</v>
      </c>
      <c r="I498" t="str">
        <f>MID('paste from garc here'!$C$2,1+(('table for research'!$B498-456)*36+HEX2DEC('table for research'!I$1))*2,2)</f>
        <v>00</v>
      </c>
      <c r="J498" t="str">
        <f>MID('paste from garc here'!$C$2,1+(('table for research'!$B498-456)*36+HEX2DEC('table for research'!J$1))*2,2)</f>
        <v>00</v>
      </c>
      <c r="K498" t="str">
        <f>DEC2HEX(_xlfn.BITAND(HEX2DEC(MID('paste from garc here'!$C$1,1+(('table for research'!$B498-1)*36+HEX2DEC(8))*2,2)),31),2)</f>
        <v>00</v>
      </c>
      <c r="L498" t="str">
        <f>DEC2HEX(_xlfn.BITAND(HEX2DEC(MID('paste from garc here'!$C$1,1+(('table for research'!$B498-1)*36+HEX2DEC(8))*2,2)),32),2)</f>
        <v>00</v>
      </c>
      <c r="M498" t="str">
        <f>DEC2HEX(_xlfn.BITAND(HEX2DEC(MID('paste from garc here'!$C$1,1+(('table for research'!$B498-1)*36+HEX2DEC(8))*2,2)),64),2)</f>
        <v>00</v>
      </c>
      <c r="N498" t="str">
        <f>DEC2HEX(_xlfn.BITRSHIFT(_xlfn.BITAND(HEX2DEC(MID('paste from garc here'!$C$1,1+(('table for research'!$B498-1)*36+HEX2DEC(9))*2,2)&amp;MID('paste from garc here'!$C$1,1+(('table for research'!$B498-1)*36+HEX2DEC(8))*2,2)),1920),7),2)</f>
        <v>00</v>
      </c>
      <c r="O498" t="str">
        <f>DEC2HEX(_xlfn.BITRSHIFT(HEX2DEC(MID('paste from garc here'!$C$1,1+(('table for research'!$B498-1)*36+HEX2DEC(9))*2,2)&amp;MID('paste from garc here'!$C$1,1+(('table for research'!$B498-1)*36+HEX2DEC(8))*2,2)),11),2)</f>
        <v>00</v>
      </c>
      <c r="P498" t="str">
        <f>MID('paste from garc here'!$C$2,1+(('table for research'!$B498-456)*36+HEX2DEC('table for research'!P$1))*2,2)</f>
        <v>00</v>
      </c>
      <c r="Q498" t="str">
        <f>MID('paste from garc here'!$C$2,1+(('table for research'!$B498-456)*36+HEX2DEC('table for research'!Q$1))*2,2)</f>
        <v>01</v>
      </c>
      <c r="R498" t="str">
        <f>MID('paste from garc here'!$C$2,1+(('table for research'!$B498-456)*36+HEX2DEC('table for research'!R$1))*2,2)</f>
        <v>02</v>
      </c>
      <c r="S498" t="str">
        <f>MID('paste from garc here'!$C$2,1+(('table for research'!$B498-456)*36+HEX2DEC('table for research'!S$1))*2,2)</f>
        <v>04</v>
      </c>
      <c r="T498" t="str">
        <f>MID('paste from garc here'!$C$2,1+(('table for research'!$B498-456)*36+HEX2DEC('table for research'!T$1))*2,2)</f>
        <v>00</v>
      </c>
      <c r="U498" t="str">
        <f>MID('paste from garc here'!$C$2,1+(('table for research'!$B498-456)*36+HEX2DEC('table for research'!U$1))*2,2)</f>
        <v>14</v>
      </c>
      <c r="V498" t="str">
        <f>MID('paste from garc here'!$C$2,1+(('table for research'!$B498-456)*36+HEX2DEC('table for research'!V$1))*2,2)</f>
        <v>14</v>
      </c>
      <c r="W498" t="str">
        <f>MID('paste from garc here'!$C$2,1+(('table for research'!$B498-456)*36+HEX2DEC('table for research'!W$1))*2,2)</f>
        <v>00</v>
      </c>
      <c r="X498" t="str">
        <f>MID('paste from garc here'!$C$2,1+(('table for research'!$B498-456)*36+HEX2DEC('table for research'!X$1))*2,2)</f>
        <v>00</v>
      </c>
      <c r="Y498" t="str">
        <f>MID('paste from garc here'!$C$2,1+(('table for research'!$B498-456)*36+HEX2DEC('table for research'!Y$1))*2,2)</f>
        <v>00</v>
      </c>
      <c r="Z498" t="str">
        <f>MID('paste from garc here'!$C$2,1+(('table for research'!$B498-456)*36+HEX2DEC('table for research'!Z$1))*2,2)</f>
        <v>00</v>
      </c>
      <c r="AA498" t="str">
        <f>MID('paste from garc here'!$C$2,1+(('table for research'!$B498-456)*36+HEX2DEC('table for research'!AA$1))*2,2)</f>
        <v>00</v>
      </c>
      <c r="AB498" t="str">
        <f>MID('paste from garc here'!$C$2,1+(('table for research'!$B498-456)*36+HEX2DEC('table for research'!AB$1))*2,2)</f>
        <v>00</v>
      </c>
      <c r="AC498" t="str">
        <f>MID('paste from garc here'!$C$2,1+(('table for research'!$B498-456)*36+HEX2DEC('table for research'!AC$1))*2,2)</f>
        <v>00</v>
      </c>
      <c r="AD498" t="str">
        <f>MID('paste from garc here'!$C$2,1+(('table for research'!$B498-456)*36+HEX2DEC('table for research'!AD$1))*2,2)</f>
        <v>00</v>
      </c>
      <c r="AE498" t="str">
        <f>MID('paste from garc here'!$C$2,1+(('table for research'!$B498-456)*36+HEX2DEC('table for research'!AE$1))*2,2)</f>
        <v>00</v>
      </c>
      <c r="AF498" t="str">
        <f>MID('paste from garc here'!$C$2,1+(('table for research'!$B498-456)*36+HEX2DEC('table for research'!AF$1))*2,2)</f>
        <v>00</v>
      </c>
      <c r="AG498" t="str">
        <f>MID('paste from garc here'!$C$2,1+(('table for research'!$B498-456)*36+HEX2DEC('table for research'!AG$1))*2,2)</f>
        <v>00</v>
      </c>
      <c r="AH498" t="str">
        <f>MID('paste from garc here'!$C$2,1+(('table for research'!$B498-456)*36+HEX2DEC('table for research'!AH$1))*2,2)</f>
        <v>00</v>
      </c>
      <c r="AI498" t="str">
        <f>MID('paste from garc here'!$C$2,1+(('table for research'!$B498-456)*36+HEX2DEC('table for research'!AI$1))*2,2)</f>
        <v>00</v>
      </c>
      <c r="AJ498" t="str">
        <f>MID('paste from garc here'!$C$2,1+(('table for research'!$B498-456)*36+HEX2DEC('table for research'!AJ$1))*2,2)</f>
        <v>00</v>
      </c>
      <c r="AK498" t="str">
        <f>MID('paste from garc here'!$C$2,1+(('table for research'!$B498-456)*36+HEX2DEC('table for research'!AK$1))*2,2)</f>
        <v>00</v>
      </c>
      <c r="AL498" t="str">
        <f>MID('paste from garc here'!$C$2,1+(('table for research'!$B498-456)*36+HEX2DEC('table for research'!AL$1))*2,2)</f>
        <v>00</v>
      </c>
      <c r="AM498" t="str">
        <f>MID('paste from garc here'!$C$2,1+(('table for research'!$B498-456)*36+HEX2DEC('table for research'!AM$1))*2,2)</f>
        <v>00</v>
      </c>
      <c r="AN498" t="str">
        <f>MID('paste from garc here'!$C$2,1+(('table for research'!$B498-456)*36+HEX2DEC('table for research'!AN$1))*2,2)</f>
        <v>00</v>
      </c>
      <c r="AO498" t="str">
        <f>MID('paste from garc here'!$C$2,1+(('table for research'!$B498-456)*36+HEX2DEC('table for research'!AO$1))*2,2)</f>
        <v>00</v>
      </c>
    </row>
    <row r="499" spans="1:41" x14ac:dyDescent="0.4">
      <c r="A499" t="s">
        <v>501</v>
      </c>
      <c r="B499">
        <f>B498+1</f>
        <v>497</v>
      </c>
      <c r="C499" t="str">
        <f>MID('paste from garc here'!$C$2,1+(('table for research'!$B499-456)*36+HEX2DEC('table for research'!C$1))*2,2)</f>
        <v>96</v>
      </c>
      <c r="D499" t="str">
        <f>MID('paste from garc here'!$C$2,1+(('table for research'!$B499-456)*36+HEX2DEC('table for research'!D$1))*2,2)</f>
        <v>00</v>
      </c>
      <c r="E499" t="str">
        <f>MID('paste from garc here'!$C$2,1+(('table for research'!$B499-456)*36+HEX2DEC('table for research'!E$1))*2,2)</f>
        <v>00</v>
      </c>
      <c r="F499" t="str">
        <f>MID('paste from garc here'!$C$2,1+(('table for research'!$B499-456)*36+HEX2DEC('table for research'!F$1))*2,2)</f>
        <v>00</v>
      </c>
      <c r="G499" t="str">
        <f>MID('paste from garc here'!$C$2,1+(('table for research'!$B499-456)*36+HEX2DEC('table for research'!G$1))*2,2)</f>
        <v>00</v>
      </c>
      <c r="H499" t="str">
        <f>MID('paste from garc here'!$C$2,1+(('table for research'!$B499-456)*36+HEX2DEC('table for research'!H$1))*2,2)</f>
        <v>00</v>
      </c>
      <c r="I499" t="str">
        <f>MID('paste from garc here'!$C$2,1+(('table for research'!$B499-456)*36+HEX2DEC('table for research'!I$1))*2,2)</f>
        <v>00</v>
      </c>
      <c r="J499" t="str">
        <f>MID('paste from garc here'!$C$2,1+(('table for research'!$B499-456)*36+HEX2DEC('table for research'!J$1))*2,2)</f>
        <v>00</v>
      </c>
      <c r="K499" t="str">
        <f>DEC2HEX(_xlfn.BITAND(HEX2DEC(MID('paste from garc here'!$C$1,1+(('table for research'!$B499-1)*36+HEX2DEC(8))*2,2)),31),2)</f>
        <v>00</v>
      </c>
      <c r="L499" t="str">
        <f>DEC2HEX(_xlfn.BITAND(HEX2DEC(MID('paste from garc here'!$C$1,1+(('table for research'!$B499-1)*36+HEX2DEC(8))*2,2)),32),2)</f>
        <v>00</v>
      </c>
      <c r="M499" t="str">
        <f>DEC2HEX(_xlfn.BITAND(HEX2DEC(MID('paste from garc here'!$C$1,1+(('table for research'!$B499-1)*36+HEX2DEC(8))*2,2)),64),2)</f>
        <v>00</v>
      </c>
      <c r="N499" t="str">
        <f>DEC2HEX(_xlfn.BITRSHIFT(_xlfn.BITAND(HEX2DEC(MID('paste from garc here'!$C$1,1+(('table for research'!$B499-1)*36+HEX2DEC(9))*2,2)&amp;MID('paste from garc here'!$C$1,1+(('table for research'!$B499-1)*36+HEX2DEC(8))*2,2)),1920),7),2)</f>
        <v>00</v>
      </c>
      <c r="O499" t="str">
        <f>DEC2HEX(_xlfn.BITRSHIFT(HEX2DEC(MID('paste from garc here'!$C$1,1+(('table for research'!$B499-1)*36+HEX2DEC(9))*2,2)&amp;MID('paste from garc here'!$C$1,1+(('table for research'!$B499-1)*36+HEX2DEC(8))*2,2)),11),2)</f>
        <v>00</v>
      </c>
      <c r="P499" t="str">
        <f>MID('paste from garc here'!$C$2,1+(('table for research'!$B499-456)*36+HEX2DEC('table for research'!P$1))*2,2)</f>
        <v>00</v>
      </c>
      <c r="Q499" t="str">
        <f>MID('paste from garc here'!$C$2,1+(('table for research'!$B499-456)*36+HEX2DEC('table for research'!Q$1))*2,2)</f>
        <v>01</v>
      </c>
      <c r="R499" t="str">
        <f>MID('paste from garc here'!$C$2,1+(('table for research'!$B499-456)*36+HEX2DEC('table for research'!R$1))*2,2)</f>
        <v>02</v>
      </c>
      <c r="S499" t="str">
        <f>MID('paste from garc here'!$C$2,1+(('table for research'!$B499-456)*36+HEX2DEC('table for research'!S$1))*2,2)</f>
        <v>04</v>
      </c>
      <c r="T499" t="str">
        <f>MID('paste from garc here'!$C$2,1+(('table for research'!$B499-456)*36+HEX2DEC('table for research'!T$1))*2,2)</f>
        <v>00</v>
      </c>
      <c r="U499" t="str">
        <f>MID('paste from garc here'!$C$2,1+(('table for research'!$B499-456)*36+HEX2DEC('table for research'!U$1))*2,2)</f>
        <v>15</v>
      </c>
      <c r="V499" t="str">
        <f>MID('paste from garc here'!$C$2,1+(('table for research'!$B499-456)*36+HEX2DEC('table for research'!V$1))*2,2)</f>
        <v>15</v>
      </c>
      <c r="W499" t="str">
        <f>MID('paste from garc here'!$C$2,1+(('table for research'!$B499-456)*36+HEX2DEC('table for research'!W$1))*2,2)</f>
        <v>00</v>
      </c>
      <c r="X499" t="str">
        <f>MID('paste from garc here'!$C$2,1+(('table for research'!$B499-456)*36+HEX2DEC('table for research'!X$1))*2,2)</f>
        <v>00</v>
      </c>
      <c r="Y499" t="str">
        <f>MID('paste from garc here'!$C$2,1+(('table for research'!$B499-456)*36+HEX2DEC('table for research'!Y$1))*2,2)</f>
        <v>00</v>
      </c>
      <c r="Z499" t="str">
        <f>MID('paste from garc here'!$C$2,1+(('table for research'!$B499-456)*36+HEX2DEC('table for research'!Z$1))*2,2)</f>
        <v>00</v>
      </c>
      <c r="AA499" t="str">
        <f>MID('paste from garc here'!$C$2,1+(('table for research'!$B499-456)*36+HEX2DEC('table for research'!AA$1))*2,2)</f>
        <v>00</v>
      </c>
      <c r="AB499" t="str">
        <f>MID('paste from garc here'!$C$2,1+(('table for research'!$B499-456)*36+HEX2DEC('table for research'!AB$1))*2,2)</f>
        <v>00</v>
      </c>
      <c r="AC499" t="str">
        <f>MID('paste from garc here'!$C$2,1+(('table for research'!$B499-456)*36+HEX2DEC('table for research'!AC$1))*2,2)</f>
        <v>00</v>
      </c>
      <c r="AD499" t="str">
        <f>MID('paste from garc here'!$C$2,1+(('table for research'!$B499-456)*36+HEX2DEC('table for research'!AD$1))*2,2)</f>
        <v>00</v>
      </c>
      <c r="AE499" t="str">
        <f>MID('paste from garc here'!$C$2,1+(('table for research'!$B499-456)*36+HEX2DEC('table for research'!AE$1))*2,2)</f>
        <v>00</v>
      </c>
      <c r="AF499" t="str">
        <f>MID('paste from garc here'!$C$2,1+(('table for research'!$B499-456)*36+HEX2DEC('table for research'!AF$1))*2,2)</f>
        <v>00</v>
      </c>
      <c r="AG499" t="str">
        <f>MID('paste from garc here'!$C$2,1+(('table for research'!$B499-456)*36+HEX2DEC('table for research'!AG$1))*2,2)</f>
        <v>00</v>
      </c>
      <c r="AH499" t="str">
        <f>MID('paste from garc here'!$C$2,1+(('table for research'!$B499-456)*36+HEX2DEC('table for research'!AH$1))*2,2)</f>
        <v>00</v>
      </c>
      <c r="AI499" t="str">
        <f>MID('paste from garc here'!$C$2,1+(('table for research'!$B499-456)*36+HEX2DEC('table for research'!AI$1))*2,2)</f>
        <v>00</v>
      </c>
      <c r="AJ499" t="str">
        <f>MID('paste from garc here'!$C$2,1+(('table for research'!$B499-456)*36+HEX2DEC('table for research'!AJ$1))*2,2)</f>
        <v>00</v>
      </c>
      <c r="AK499" t="str">
        <f>MID('paste from garc here'!$C$2,1+(('table for research'!$B499-456)*36+HEX2DEC('table for research'!AK$1))*2,2)</f>
        <v>00</v>
      </c>
      <c r="AL499" t="str">
        <f>MID('paste from garc here'!$C$2,1+(('table for research'!$B499-456)*36+HEX2DEC('table for research'!AL$1))*2,2)</f>
        <v>00</v>
      </c>
      <c r="AM499" t="str">
        <f>MID('paste from garc here'!$C$2,1+(('table for research'!$B499-456)*36+HEX2DEC('table for research'!AM$1))*2,2)</f>
        <v>00</v>
      </c>
      <c r="AN499" t="str">
        <f>MID('paste from garc here'!$C$2,1+(('table for research'!$B499-456)*36+HEX2DEC('table for research'!AN$1))*2,2)</f>
        <v>00</v>
      </c>
      <c r="AO499" t="str">
        <f>MID('paste from garc here'!$C$2,1+(('table for research'!$B499-456)*36+HEX2DEC('table for research'!AO$1))*2,2)</f>
        <v>00</v>
      </c>
    </row>
    <row r="500" spans="1:41" x14ac:dyDescent="0.4">
      <c r="A500" t="s">
        <v>502</v>
      </c>
      <c r="B500">
        <f>B499+1</f>
        <v>498</v>
      </c>
      <c r="C500" t="str">
        <f>MID('paste from garc here'!$C$2,1+(('table for research'!$B500-456)*36+HEX2DEC('table for research'!C$1))*2,2)</f>
        <v>96</v>
      </c>
      <c r="D500" t="str">
        <f>MID('paste from garc here'!$C$2,1+(('table for research'!$B500-456)*36+HEX2DEC('table for research'!D$1))*2,2)</f>
        <v>00</v>
      </c>
      <c r="E500" t="str">
        <f>MID('paste from garc here'!$C$2,1+(('table for research'!$B500-456)*36+HEX2DEC('table for research'!E$1))*2,2)</f>
        <v>00</v>
      </c>
      <c r="F500" t="str">
        <f>MID('paste from garc here'!$C$2,1+(('table for research'!$B500-456)*36+HEX2DEC('table for research'!F$1))*2,2)</f>
        <v>00</v>
      </c>
      <c r="G500" t="str">
        <f>MID('paste from garc here'!$C$2,1+(('table for research'!$B500-456)*36+HEX2DEC('table for research'!G$1))*2,2)</f>
        <v>00</v>
      </c>
      <c r="H500" t="str">
        <f>MID('paste from garc here'!$C$2,1+(('table for research'!$B500-456)*36+HEX2DEC('table for research'!H$1))*2,2)</f>
        <v>00</v>
      </c>
      <c r="I500" t="str">
        <f>MID('paste from garc here'!$C$2,1+(('table for research'!$B500-456)*36+HEX2DEC('table for research'!I$1))*2,2)</f>
        <v>00</v>
      </c>
      <c r="J500" t="str">
        <f>MID('paste from garc here'!$C$2,1+(('table for research'!$B500-456)*36+HEX2DEC('table for research'!J$1))*2,2)</f>
        <v>00</v>
      </c>
      <c r="K500" t="str">
        <f>DEC2HEX(_xlfn.BITAND(HEX2DEC(MID('paste from garc here'!$C$1,1+(('table for research'!$B500-1)*36+HEX2DEC(8))*2,2)),31),2)</f>
        <v>00</v>
      </c>
      <c r="L500" t="str">
        <f>DEC2HEX(_xlfn.BITAND(HEX2DEC(MID('paste from garc here'!$C$1,1+(('table for research'!$B500-1)*36+HEX2DEC(8))*2,2)),32),2)</f>
        <v>00</v>
      </c>
      <c r="M500" t="str">
        <f>DEC2HEX(_xlfn.BITAND(HEX2DEC(MID('paste from garc here'!$C$1,1+(('table for research'!$B500-1)*36+HEX2DEC(8))*2,2)),64),2)</f>
        <v>00</v>
      </c>
      <c r="N500" t="str">
        <f>DEC2HEX(_xlfn.BITRSHIFT(_xlfn.BITAND(HEX2DEC(MID('paste from garc here'!$C$1,1+(('table for research'!$B500-1)*36+HEX2DEC(9))*2,2)&amp;MID('paste from garc here'!$C$1,1+(('table for research'!$B500-1)*36+HEX2DEC(8))*2,2)),1920),7),2)</f>
        <v>00</v>
      </c>
      <c r="O500" t="str">
        <f>DEC2HEX(_xlfn.BITRSHIFT(HEX2DEC(MID('paste from garc here'!$C$1,1+(('table for research'!$B500-1)*36+HEX2DEC(9))*2,2)&amp;MID('paste from garc here'!$C$1,1+(('table for research'!$B500-1)*36+HEX2DEC(8))*2,2)),11),2)</f>
        <v>00</v>
      </c>
      <c r="P500" t="str">
        <f>MID('paste from garc here'!$C$2,1+(('table for research'!$B500-456)*36+HEX2DEC('table for research'!P$1))*2,2)</f>
        <v>00</v>
      </c>
      <c r="Q500" t="str">
        <f>MID('paste from garc here'!$C$2,1+(('table for research'!$B500-456)*36+HEX2DEC('table for research'!Q$1))*2,2)</f>
        <v>01</v>
      </c>
      <c r="R500" t="str">
        <f>MID('paste from garc here'!$C$2,1+(('table for research'!$B500-456)*36+HEX2DEC('table for research'!R$1))*2,2)</f>
        <v>02</v>
      </c>
      <c r="S500" t="str">
        <f>MID('paste from garc here'!$C$2,1+(('table for research'!$B500-456)*36+HEX2DEC('table for research'!S$1))*2,2)</f>
        <v>04</v>
      </c>
      <c r="T500" t="str">
        <f>MID('paste from garc here'!$C$2,1+(('table for research'!$B500-456)*36+HEX2DEC('table for research'!T$1))*2,2)</f>
        <v>00</v>
      </c>
      <c r="U500" t="str">
        <f>MID('paste from garc here'!$C$2,1+(('table for research'!$B500-456)*36+HEX2DEC('table for research'!U$1))*2,2)</f>
        <v>16</v>
      </c>
      <c r="V500" t="str">
        <f>MID('paste from garc here'!$C$2,1+(('table for research'!$B500-456)*36+HEX2DEC('table for research'!V$1))*2,2)</f>
        <v>16</v>
      </c>
      <c r="W500" t="str">
        <f>MID('paste from garc here'!$C$2,1+(('table for research'!$B500-456)*36+HEX2DEC('table for research'!W$1))*2,2)</f>
        <v>00</v>
      </c>
      <c r="X500" t="str">
        <f>MID('paste from garc here'!$C$2,1+(('table for research'!$B500-456)*36+HEX2DEC('table for research'!X$1))*2,2)</f>
        <v>00</v>
      </c>
      <c r="Y500" t="str">
        <f>MID('paste from garc here'!$C$2,1+(('table for research'!$B500-456)*36+HEX2DEC('table for research'!Y$1))*2,2)</f>
        <v>00</v>
      </c>
      <c r="Z500" t="str">
        <f>MID('paste from garc here'!$C$2,1+(('table for research'!$B500-456)*36+HEX2DEC('table for research'!Z$1))*2,2)</f>
        <v>00</v>
      </c>
      <c r="AA500" t="str">
        <f>MID('paste from garc here'!$C$2,1+(('table for research'!$B500-456)*36+HEX2DEC('table for research'!AA$1))*2,2)</f>
        <v>00</v>
      </c>
      <c r="AB500" t="str">
        <f>MID('paste from garc here'!$C$2,1+(('table for research'!$B500-456)*36+HEX2DEC('table for research'!AB$1))*2,2)</f>
        <v>00</v>
      </c>
      <c r="AC500" t="str">
        <f>MID('paste from garc here'!$C$2,1+(('table for research'!$B500-456)*36+HEX2DEC('table for research'!AC$1))*2,2)</f>
        <v>00</v>
      </c>
      <c r="AD500" t="str">
        <f>MID('paste from garc here'!$C$2,1+(('table for research'!$B500-456)*36+HEX2DEC('table for research'!AD$1))*2,2)</f>
        <v>00</v>
      </c>
      <c r="AE500" t="str">
        <f>MID('paste from garc here'!$C$2,1+(('table for research'!$B500-456)*36+HEX2DEC('table for research'!AE$1))*2,2)</f>
        <v>00</v>
      </c>
      <c r="AF500" t="str">
        <f>MID('paste from garc here'!$C$2,1+(('table for research'!$B500-456)*36+HEX2DEC('table for research'!AF$1))*2,2)</f>
        <v>00</v>
      </c>
      <c r="AG500" t="str">
        <f>MID('paste from garc here'!$C$2,1+(('table for research'!$B500-456)*36+HEX2DEC('table for research'!AG$1))*2,2)</f>
        <v>00</v>
      </c>
      <c r="AH500" t="str">
        <f>MID('paste from garc here'!$C$2,1+(('table for research'!$B500-456)*36+HEX2DEC('table for research'!AH$1))*2,2)</f>
        <v>00</v>
      </c>
      <c r="AI500" t="str">
        <f>MID('paste from garc here'!$C$2,1+(('table for research'!$B500-456)*36+HEX2DEC('table for research'!AI$1))*2,2)</f>
        <v>00</v>
      </c>
      <c r="AJ500" t="str">
        <f>MID('paste from garc here'!$C$2,1+(('table for research'!$B500-456)*36+HEX2DEC('table for research'!AJ$1))*2,2)</f>
        <v>00</v>
      </c>
      <c r="AK500" t="str">
        <f>MID('paste from garc here'!$C$2,1+(('table for research'!$B500-456)*36+HEX2DEC('table for research'!AK$1))*2,2)</f>
        <v>00</v>
      </c>
      <c r="AL500" t="str">
        <f>MID('paste from garc here'!$C$2,1+(('table for research'!$B500-456)*36+HEX2DEC('table for research'!AL$1))*2,2)</f>
        <v>00</v>
      </c>
      <c r="AM500" t="str">
        <f>MID('paste from garc here'!$C$2,1+(('table for research'!$B500-456)*36+HEX2DEC('table for research'!AM$1))*2,2)</f>
        <v>00</v>
      </c>
      <c r="AN500" t="str">
        <f>MID('paste from garc here'!$C$2,1+(('table for research'!$B500-456)*36+HEX2DEC('table for research'!AN$1))*2,2)</f>
        <v>00</v>
      </c>
      <c r="AO500" t="str">
        <f>MID('paste from garc here'!$C$2,1+(('table for research'!$B500-456)*36+HEX2DEC('table for research'!AO$1))*2,2)</f>
        <v>00</v>
      </c>
    </row>
    <row r="501" spans="1:41" x14ac:dyDescent="0.4">
      <c r="A501" t="s">
        <v>503</v>
      </c>
      <c r="B501">
        <f>B500+1</f>
        <v>499</v>
      </c>
      <c r="C501" t="str">
        <f>MID('paste from garc here'!$C$2,1+(('table for research'!$B501-456)*36+HEX2DEC('table for research'!C$1))*2,2)</f>
        <v>1E</v>
      </c>
      <c r="D501" t="str">
        <f>MID('paste from garc here'!$C$2,1+(('table for research'!$B501-456)*36+HEX2DEC('table for research'!D$1))*2,2)</f>
        <v>00</v>
      </c>
      <c r="E501" t="str">
        <f>MID('paste from garc here'!$C$2,1+(('table for research'!$B501-456)*36+HEX2DEC('table for research'!E$1))*2,2)</f>
        <v>00</v>
      </c>
      <c r="F501" t="str">
        <f>MID('paste from garc here'!$C$2,1+(('table for research'!$B501-456)*36+HEX2DEC('table for research'!F$1))*2,2)</f>
        <v>00</v>
      </c>
      <c r="G501" t="str">
        <f>MID('paste from garc here'!$C$2,1+(('table for research'!$B501-456)*36+HEX2DEC('table for research'!G$1))*2,2)</f>
        <v>00</v>
      </c>
      <c r="H501" t="str">
        <f>MID('paste from garc here'!$C$2,1+(('table for research'!$B501-456)*36+HEX2DEC('table for research'!H$1))*2,2)</f>
        <v>00</v>
      </c>
      <c r="I501" t="str">
        <f>MID('paste from garc here'!$C$2,1+(('table for research'!$B501-456)*36+HEX2DEC('table for research'!I$1))*2,2)</f>
        <v>00</v>
      </c>
      <c r="J501" t="str">
        <f>MID('paste from garc here'!$C$2,1+(('table for research'!$B501-456)*36+HEX2DEC('table for research'!J$1))*2,2)</f>
        <v>00</v>
      </c>
      <c r="K501" t="str">
        <f>DEC2HEX(_xlfn.BITAND(HEX2DEC(MID('paste from garc here'!$C$1,1+(('table for research'!$B501-1)*36+HEX2DEC(8))*2,2)),31),2)</f>
        <v>00</v>
      </c>
      <c r="L501" t="str">
        <f>DEC2HEX(_xlfn.BITAND(HEX2DEC(MID('paste from garc here'!$C$1,1+(('table for research'!$B501-1)*36+HEX2DEC(8))*2,2)),32),2)</f>
        <v>00</v>
      </c>
      <c r="M501" t="str">
        <f>DEC2HEX(_xlfn.BITAND(HEX2DEC(MID('paste from garc here'!$C$1,1+(('table for research'!$B501-1)*36+HEX2DEC(8))*2,2)),64),2)</f>
        <v>00</v>
      </c>
      <c r="N501" t="str">
        <f>DEC2HEX(_xlfn.BITRSHIFT(_xlfn.BITAND(HEX2DEC(MID('paste from garc here'!$C$1,1+(('table for research'!$B501-1)*36+HEX2DEC(9))*2,2)&amp;MID('paste from garc here'!$C$1,1+(('table for research'!$B501-1)*36+HEX2DEC(8))*2,2)),1920),7),2)</f>
        <v>00</v>
      </c>
      <c r="O501" t="str">
        <f>DEC2HEX(_xlfn.BITRSHIFT(HEX2DEC(MID('paste from garc here'!$C$1,1+(('table for research'!$B501-1)*36+HEX2DEC(9))*2,2)&amp;MID('paste from garc here'!$C$1,1+(('table for research'!$B501-1)*36+HEX2DEC(8))*2,2)),11),2)</f>
        <v>00</v>
      </c>
      <c r="P501" t="str">
        <f>MID('paste from garc here'!$C$2,1+(('table for research'!$B501-456)*36+HEX2DEC('table for research'!P$1))*2,2)</f>
        <v>00</v>
      </c>
      <c r="Q501" t="str">
        <f>MID('paste from garc here'!$C$2,1+(('table for research'!$B501-456)*36+HEX2DEC('table for research'!Q$1))*2,2)</f>
        <v>01</v>
      </c>
      <c r="R501" t="str">
        <f>MID('paste from garc here'!$C$2,1+(('table for research'!$B501-456)*36+HEX2DEC('table for research'!R$1))*2,2)</f>
        <v>02</v>
      </c>
      <c r="S501" t="str">
        <f>MID('paste from garc here'!$C$2,1+(('table for research'!$B501-456)*36+HEX2DEC('table for research'!S$1))*2,2)</f>
        <v>04</v>
      </c>
      <c r="T501" t="str">
        <f>MID('paste from garc here'!$C$2,1+(('table for research'!$B501-456)*36+HEX2DEC('table for research'!T$1))*2,2)</f>
        <v>00</v>
      </c>
      <c r="U501" t="str">
        <f>MID('paste from garc here'!$C$2,1+(('table for research'!$B501-456)*36+HEX2DEC('table for research'!U$1))*2,2)</f>
        <v>17</v>
      </c>
      <c r="V501" t="str">
        <f>MID('paste from garc here'!$C$2,1+(('table for research'!$B501-456)*36+HEX2DEC('table for research'!V$1))*2,2)</f>
        <v>17</v>
      </c>
      <c r="W501" t="str">
        <f>MID('paste from garc here'!$C$2,1+(('table for research'!$B501-456)*36+HEX2DEC('table for research'!W$1))*2,2)</f>
        <v>00</v>
      </c>
      <c r="X501" t="str">
        <f>MID('paste from garc here'!$C$2,1+(('table for research'!$B501-456)*36+HEX2DEC('table for research'!X$1))*2,2)</f>
        <v>00</v>
      </c>
      <c r="Y501" t="str">
        <f>MID('paste from garc here'!$C$2,1+(('table for research'!$B501-456)*36+HEX2DEC('table for research'!Y$1))*2,2)</f>
        <v>00</v>
      </c>
      <c r="Z501" t="str">
        <f>MID('paste from garc here'!$C$2,1+(('table for research'!$B501-456)*36+HEX2DEC('table for research'!Z$1))*2,2)</f>
        <v>00</v>
      </c>
      <c r="AA501" t="str">
        <f>MID('paste from garc here'!$C$2,1+(('table for research'!$B501-456)*36+HEX2DEC('table for research'!AA$1))*2,2)</f>
        <v>00</v>
      </c>
      <c r="AB501" t="str">
        <f>MID('paste from garc here'!$C$2,1+(('table for research'!$B501-456)*36+HEX2DEC('table for research'!AB$1))*2,2)</f>
        <v>00</v>
      </c>
      <c r="AC501" t="str">
        <f>MID('paste from garc here'!$C$2,1+(('table for research'!$B501-456)*36+HEX2DEC('table for research'!AC$1))*2,2)</f>
        <v>00</v>
      </c>
      <c r="AD501" t="str">
        <f>MID('paste from garc here'!$C$2,1+(('table for research'!$B501-456)*36+HEX2DEC('table for research'!AD$1))*2,2)</f>
        <v>00</v>
      </c>
      <c r="AE501" t="str">
        <f>MID('paste from garc here'!$C$2,1+(('table for research'!$B501-456)*36+HEX2DEC('table for research'!AE$1))*2,2)</f>
        <v>00</v>
      </c>
      <c r="AF501" t="str">
        <f>MID('paste from garc here'!$C$2,1+(('table for research'!$B501-456)*36+HEX2DEC('table for research'!AF$1))*2,2)</f>
        <v>00</v>
      </c>
      <c r="AG501" t="str">
        <f>MID('paste from garc here'!$C$2,1+(('table for research'!$B501-456)*36+HEX2DEC('table for research'!AG$1))*2,2)</f>
        <v>00</v>
      </c>
      <c r="AH501" t="str">
        <f>MID('paste from garc here'!$C$2,1+(('table for research'!$B501-456)*36+HEX2DEC('table for research'!AH$1))*2,2)</f>
        <v>00</v>
      </c>
      <c r="AI501" t="str">
        <f>MID('paste from garc here'!$C$2,1+(('table for research'!$B501-456)*36+HEX2DEC('table for research'!AI$1))*2,2)</f>
        <v>00</v>
      </c>
      <c r="AJ501" t="str">
        <f>MID('paste from garc here'!$C$2,1+(('table for research'!$B501-456)*36+HEX2DEC('table for research'!AJ$1))*2,2)</f>
        <v>00</v>
      </c>
      <c r="AK501" t="str">
        <f>MID('paste from garc here'!$C$2,1+(('table for research'!$B501-456)*36+HEX2DEC('table for research'!AK$1))*2,2)</f>
        <v>00</v>
      </c>
      <c r="AL501" t="str">
        <f>MID('paste from garc here'!$C$2,1+(('table for research'!$B501-456)*36+HEX2DEC('table for research'!AL$1))*2,2)</f>
        <v>00</v>
      </c>
      <c r="AM501" t="str">
        <f>MID('paste from garc here'!$C$2,1+(('table for research'!$B501-456)*36+HEX2DEC('table for research'!AM$1))*2,2)</f>
        <v>00</v>
      </c>
      <c r="AN501" t="str">
        <f>MID('paste from garc here'!$C$2,1+(('table for research'!$B501-456)*36+HEX2DEC('table for research'!AN$1))*2,2)</f>
        <v>00</v>
      </c>
      <c r="AO501" t="str">
        <f>MID('paste from garc here'!$C$2,1+(('table for research'!$B501-456)*36+HEX2DEC('table for research'!AO$1))*2,2)</f>
        <v>00</v>
      </c>
    </row>
    <row r="502" spans="1:41" x14ac:dyDescent="0.4">
      <c r="A502" t="s">
        <v>504</v>
      </c>
      <c r="B502">
        <f>B501+1</f>
        <v>500</v>
      </c>
      <c r="C502" t="str">
        <f>MID('paste from garc here'!$C$2,1+(('table for research'!$B502-456)*36+HEX2DEC('table for research'!C$1))*2,2)</f>
        <v>00</v>
      </c>
      <c r="D502" t="str">
        <f>MID('paste from garc here'!$C$2,1+(('table for research'!$B502-456)*36+HEX2DEC('table for research'!D$1))*2,2)</f>
        <v>00</v>
      </c>
      <c r="E502" t="str">
        <f>MID('paste from garc here'!$C$2,1+(('table for research'!$B502-456)*36+HEX2DEC('table for research'!E$1))*2,2)</f>
        <v>00</v>
      </c>
      <c r="F502" t="str">
        <f>MID('paste from garc here'!$C$2,1+(('table for research'!$B502-456)*36+HEX2DEC('table for research'!F$1))*2,2)</f>
        <v>00</v>
      </c>
      <c r="G502" t="str">
        <f>MID('paste from garc here'!$C$2,1+(('table for research'!$B502-456)*36+HEX2DEC('table for research'!G$1))*2,2)</f>
        <v>00</v>
      </c>
      <c r="H502" t="str">
        <f>MID('paste from garc here'!$C$2,1+(('table for research'!$B502-456)*36+HEX2DEC('table for research'!H$1))*2,2)</f>
        <v>00</v>
      </c>
      <c r="I502" t="str">
        <f>MID('paste from garc here'!$C$2,1+(('table for research'!$B502-456)*36+HEX2DEC('table for research'!I$1))*2,2)</f>
        <v>00</v>
      </c>
      <c r="J502" t="str">
        <f>MID('paste from garc here'!$C$2,1+(('table for research'!$B502-456)*36+HEX2DEC('table for research'!J$1))*2,2)</f>
        <v>00</v>
      </c>
      <c r="K502" t="str">
        <f>DEC2HEX(_xlfn.BITAND(HEX2DEC(MID('paste from garc here'!$C$1,1+(('table for research'!$B502-1)*36+HEX2DEC(8))*2,2)),31),2)</f>
        <v>00</v>
      </c>
      <c r="L502" t="str">
        <f>DEC2HEX(_xlfn.BITAND(HEX2DEC(MID('paste from garc here'!$C$1,1+(('table for research'!$B502-1)*36+HEX2DEC(8))*2,2)),32),2)</f>
        <v>00</v>
      </c>
      <c r="M502" t="str">
        <f>DEC2HEX(_xlfn.BITAND(HEX2DEC(MID('paste from garc here'!$C$1,1+(('table for research'!$B502-1)*36+HEX2DEC(8))*2,2)),64),2)</f>
        <v>00</v>
      </c>
      <c r="N502" t="str">
        <f>DEC2HEX(_xlfn.BITRSHIFT(_xlfn.BITAND(HEX2DEC(MID('paste from garc here'!$C$1,1+(('table for research'!$B502-1)*36+HEX2DEC(9))*2,2)&amp;MID('paste from garc here'!$C$1,1+(('table for research'!$B502-1)*36+HEX2DEC(8))*2,2)),1920),7),2)</f>
        <v>00</v>
      </c>
      <c r="O502" t="str">
        <f>DEC2HEX(_xlfn.BITRSHIFT(HEX2DEC(MID('paste from garc here'!$C$1,1+(('table for research'!$B502-1)*36+HEX2DEC(9))*2,2)&amp;MID('paste from garc here'!$C$1,1+(('table for research'!$B502-1)*36+HEX2DEC(8))*2,2)),11),2)</f>
        <v>00</v>
      </c>
      <c r="P502" t="str">
        <f>MID('paste from garc here'!$C$2,1+(('table for research'!$B502-456)*36+HEX2DEC('table for research'!P$1))*2,2)</f>
        <v>00</v>
      </c>
      <c r="Q502" t="str">
        <f>MID('paste from garc here'!$C$2,1+(('table for research'!$B502-456)*36+HEX2DEC('table for research'!Q$1))*2,2)</f>
        <v>00</v>
      </c>
      <c r="R502" t="str">
        <f>MID('paste from garc here'!$C$2,1+(('table for research'!$B502-456)*36+HEX2DEC('table for research'!R$1))*2,2)</f>
        <v>02</v>
      </c>
      <c r="S502" t="str">
        <f>MID('paste from garc here'!$C$2,1+(('table for research'!$B502-456)*36+HEX2DEC('table for research'!S$1))*2,2)</f>
        <v>04</v>
      </c>
      <c r="T502" t="str">
        <f>MID('paste from garc here'!$C$2,1+(('table for research'!$B502-456)*36+HEX2DEC('table for research'!T$1))*2,2)</f>
        <v>00</v>
      </c>
      <c r="U502" t="str">
        <f>MID('paste from garc here'!$C$2,1+(('table for research'!$B502-456)*36+HEX2DEC('table for research'!U$1))*2,2)</f>
        <v>FF</v>
      </c>
      <c r="V502" t="str">
        <f>MID('paste from garc here'!$C$2,1+(('table for research'!$B502-456)*36+HEX2DEC('table for research'!V$1))*2,2)</f>
        <v>00</v>
      </c>
      <c r="W502" t="str">
        <f>MID('paste from garc here'!$C$2,1+(('table for research'!$B502-456)*36+HEX2DEC('table for research'!W$1))*2,2)</f>
        <v>00</v>
      </c>
      <c r="X502" t="str">
        <f>MID('paste from garc here'!$C$2,1+(('table for research'!$B502-456)*36+HEX2DEC('table for research'!X$1))*2,2)</f>
        <v>00</v>
      </c>
      <c r="Y502" t="str">
        <f>MID('paste from garc here'!$C$2,1+(('table for research'!$B502-456)*36+HEX2DEC('table for research'!Y$1))*2,2)</f>
        <v>00</v>
      </c>
      <c r="Z502" t="str">
        <f>MID('paste from garc here'!$C$2,1+(('table for research'!$B502-456)*36+HEX2DEC('table for research'!Z$1))*2,2)</f>
        <v>00</v>
      </c>
      <c r="AA502" t="str">
        <f>MID('paste from garc here'!$C$2,1+(('table for research'!$B502-456)*36+HEX2DEC('table for research'!AA$1))*2,2)</f>
        <v>00</v>
      </c>
      <c r="AB502" t="str">
        <f>MID('paste from garc here'!$C$2,1+(('table for research'!$B502-456)*36+HEX2DEC('table for research'!AB$1))*2,2)</f>
        <v>00</v>
      </c>
      <c r="AC502" t="str">
        <f>MID('paste from garc here'!$C$2,1+(('table for research'!$B502-456)*36+HEX2DEC('table for research'!AC$1))*2,2)</f>
        <v>00</v>
      </c>
      <c r="AD502" t="str">
        <f>MID('paste from garc here'!$C$2,1+(('table for research'!$B502-456)*36+HEX2DEC('table for research'!AD$1))*2,2)</f>
        <v>00</v>
      </c>
      <c r="AE502" t="str">
        <f>MID('paste from garc here'!$C$2,1+(('table for research'!$B502-456)*36+HEX2DEC('table for research'!AE$1))*2,2)</f>
        <v>00</v>
      </c>
      <c r="AF502" t="str">
        <f>MID('paste from garc here'!$C$2,1+(('table for research'!$B502-456)*36+HEX2DEC('table for research'!AF$1))*2,2)</f>
        <v>00</v>
      </c>
      <c r="AG502" t="str">
        <f>MID('paste from garc here'!$C$2,1+(('table for research'!$B502-456)*36+HEX2DEC('table for research'!AG$1))*2,2)</f>
        <v>00</v>
      </c>
      <c r="AH502" t="str">
        <f>MID('paste from garc here'!$C$2,1+(('table for research'!$B502-456)*36+HEX2DEC('table for research'!AH$1))*2,2)</f>
        <v>00</v>
      </c>
      <c r="AI502" t="str">
        <f>MID('paste from garc here'!$C$2,1+(('table for research'!$B502-456)*36+HEX2DEC('table for research'!AI$1))*2,2)</f>
        <v>00</v>
      </c>
      <c r="AJ502" t="str">
        <f>MID('paste from garc here'!$C$2,1+(('table for research'!$B502-456)*36+HEX2DEC('table for research'!AJ$1))*2,2)</f>
        <v>00</v>
      </c>
      <c r="AK502" t="str">
        <f>MID('paste from garc here'!$C$2,1+(('table for research'!$B502-456)*36+HEX2DEC('table for research'!AK$1))*2,2)</f>
        <v>00</v>
      </c>
      <c r="AL502" t="str">
        <f>MID('paste from garc here'!$C$2,1+(('table for research'!$B502-456)*36+HEX2DEC('table for research'!AL$1))*2,2)</f>
        <v>00</v>
      </c>
      <c r="AM502" t="str">
        <f>MID('paste from garc here'!$C$2,1+(('table for research'!$B502-456)*36+HEX2DEC('table for research'!AM$1))*2,2)</f>
        <v>00</v>
      </c>
      <c r="AN502" t="str">
        <f>MID('paste from garc here'!$C$2,1+(('table for research'!$B502-456)*36+HEX2DEC('table for research'!AN$1))*2,2)</f>
        <v>00</v>
      </c>
      <c r="AO502" t="str">
        <f>MID('paste from garc here'!$C$2,1+(('table for research'!$B502-456)*36+HEX2DEC('table for research'!AO$1))*2,2)</f>
        <v>00</v>
      </c>
    </row>
    <row r="503" spans="1:41" x14ac:dyDescent="0.4">
      <c r="A503" t="s">
        <v>505</v>
      </c>
      <c r="B503">
        <f>B502+1</f>
        <v>501</v>
      </c>
      <c r="C503" t="str">
        <f>MID('paste from garc here'!$C$2,1+(('table for research'!$B503-456)*36+HEX2DEC('table for research'!C$1))*2,2)</f>
        <v>00</v>
      </c>
      <c r="D503" t="str">
        <f>MID('paste from garc here'!$C$2,1+(('table for research'!$B503-456)*36+HEX2DEC('table for research'!D$1))*2,2)</f>
        <v>00</v>
      </c>
      <c r="E503" t="str">
        <f>MID('paste from garc here'!$C$2,1+(('table for research'!$B503-456)*36+HEX2DEC('table for research'!E$1))*2,2)</f>
        <v>00</v>
      </c>
      <c r="F503" t="str">
        <f>MID('paste from garc here'!$C$2,1+(('table for research'!$B503-456)*36+HEX2DEC('table for research'!F$1))*2,2)</f>
        <v>00</v>
      </c>
      <c r="G503" t="str">
        <f>MID('paste from garc here'!$C$2,1+(('table for research'!$B503-456)*36+HEX2DEC('table for research'!G$1))*2,2)</f>
        <v>00</v>
      </c>
      <c r="H503" t="str">
        <f>MID('paste from garc here'!$C$2,1+(('table for research'!$B503-456)*36+HEX2DEC('table for research'!H$1))*2,2)</f>
        <v>00</v>
      </c>
      <c r="I503" t="str">
        <f>MID('paste from garc here'!$C$2,1+(('table for research'!$B503-456)*36+HEX2DEC('table for research'!I$1))*2,2)</f>
        <v>00</v>
      </c>
      <c r="J503" t="str">
        <f>MID('paste from garc here'!$C$2,1+(('table for research'!$B503-456)*36+HEX2DEC('table for research'!J$1))*2,2)</f>
        <v>00</v>
      </c>
      <c r="K503" t="str">
        <f>DEC2HEX(_xlfn.BITAND(HEX2DEC(MID('paste from garc here'!$C$1,1+(('table for research'!$B503-1)*36+HEX2DEC(8))*2,2)),31),2)</f>
        <v>00</v>
      </c>
      <c r="L503" t="str">
        <f>DEC2HEX(_xlfn.BITAND(HEX2DEC(MID('paste from garc here'!$C$1,1+(('table for research'!$B503-1)*36+HEX2DEC(8))*2,2)),32),2)</f>
        <v>00</v>
      </c>
      <c r="M503" t="str">
        <f>DEC2HEX(_xlfn.BITAND(HEX2DEC(MID('paste from garc here'!$C$1,1+(('table for research'!$B503-1)*36+HEX2DEC(8))*2,2)),64),2)</f>
        <v>00</v>
      </c>
      <c r="N503" t="str">
        <f>DEC2HEX(_xlfn.BITRSHIFT(_xlfn.BITAND(HEX2DEC(MID('paste from garc here'!$C$1,1+(('table for research'!$B503-1)*36+HEX2DEC(9))*2,2)&amp;MID('paste from garc here'!$C$1,1+(('table for research'!$B503-1)*36+HEX2DEC(8))*2,2)),1920),7),2)</f>
        <v>00</v>
      </c>
      <c r="O503" t="str">
        <f>DEC2HEX(_xlfn.BITRSHIFT(HEX2DEC(MID('paste from garc here'!$C$1,1+(('table for research'!$B503-1)*36+HEX2DEC(9))*2,2)&amp;MID('paste from garc here'!$C$1,1+(('table for research'!$B503-1)*36+HEX2DEC(8))*2,2)),11),2)</f>
        <v>00</v>
      </c>
      <c r="P503" t="str">
        <f>MID('paste from garc here'!$C$2,1+(('table for research'!$B503-456)*36+HEX2DEC('table for research'!P$1))*2,2)</f>
        <v>00</v>
      </c>
      <c r="Q503" t="str">
        <f>MID('paste from garc here'!$C$2,1+(('table for research'!$B503-456)*36+HEX2DEC('table for research'!Q$1))*2,2)</f>
        <v>00</v>
      </c>
      <c r="R503" t="str">
        <f>MID('paste from garc here'!$C$2,1+(('table for research'!$B503-456)*36+HEX2DEC('table for research'!R$1))*2,2)</f>
        <v>00</v>
      </c>
      <c r="S503" t="str">
        <f>MID('paste from garc here'!$C$2,1+(('table for research'!$B503-456)*36+HEX2DEC('table for research'!S$1))*2,2)</f>
        <v>08</v>
      </c>
      <c r="T503" t="str">
        <f>MID('paste from garc here'!$C$2,1+(('table for research'!$B503-456)*36+HEX2DEC('table for research'!T$1))*2,2)</f>
        <v>00</v>
      </c>
      <c r="U503" t="str">
        <f>MID('paste from garc here'!$C$2,1+(('table for research'!$B503-456)*36+HEX2DEC('table for research'!U$1))*2,2)</f>
        <v>FF</v>
      </c>
      <c r="V503" t="str">
        <f>MID('paste from garc here'!$C$2,1+(('table for research'!$B503-456)*36+HEX2DEC('table for research'!V$1))*2,2)</f>
        <v>00</v>
      </c>
      <c r="W503" t="str">
        <f>MID('paste from garc here'!$C$2,1+(('table for research'!$B503-456)*36+HEX2DEC('table for research'!W$1))*2,2)</f>
        <v>00</v>
      </c>
      <c r="X503" t="str">
        <f>MID('paste from garc here'!$C$2,1+(('table for research'!$B503-456)*36+HEX2DEC('table for research'!X$1))*2,2)</f>
        <v>00</v>
      </c>
      <c r="Y503" t="str">
        <f>MID('paste from garc here'!$C$2,1+(('table for research'!$B503-456)*36+HEX2DEC('table for research'!Y$1))*2,2)</f>
        <v>00</v>
      </c>
      <c r="Z503" t="str">
        <f>MID('paste from garc here'!$C$2,1+(('table for research'!$B503-456)*36+HEX2DEC('table for research'!Z$1))*2,2)</f>
        <v>00</v>
      </c>
      <c r="AA503" t="str">
        <f>MID('paste from garc here'!$C$2,1+(('table for research'!$B503-456)*36+HEX2DEC('table for research'!AA$1))*2,2)</f>
        <v>00</v>
      </c>
      <c r="AB503" t="str">
        <f>MID('paste from garc here'!$C$2,1+(('table for research'!$B503-456)*36+HEX2DEC('table for research'!AB$1))*2,2)</f>
        <v>00</v>
      </c>
      <c r="AC503" t="str">
        <f>MID('paste from garc here'!$C$2,1+(('table for research'!$B503-456)*36+HEX2DEC('table for research'!AC$1))*2,2)</f>
        <v>00</v>
      </c>
      <c r="AD503" t="str">
        <f>MID('paste from garc here'!$C$2,1+(('table for research'!$B503-456)*36+HEX2DEC('table for research'!AD$1))*2,2)</f>
        <v>00</v>
      </c>
      <c r="AE503" t="str">
        <f>MID('paste from garc here'!$C$2,1+(('table for research'!$B503-456)*36+HEX2DEC('table for research'!AE$1))*2,2)</f>
        <v>00</v>
      </c>
      <c r="AF503" t="str">
        <f>MID('paste from garc here'!$C$2,1+(('table for research'!$B503-456)*36+HEX2DEC('table for research'!AF$1))*2,2)</f>
        <v>00</v>
      </c>
      <c r="AG503" t="str">
        <f>MID('paste from garc here'!$C$2,1+(('table for research'!$B503-456)*36+HEX2DEC('table for research'!AG$1))*2,2)</f>
        <v>00</v>
      </c>
      <c r="AH503" t="str">
        <f>MID('paste from garc here'!$C$2,1+(('table for research'!$B503-456)*36+HEX2DEC('table for research'!AH$1))*2,2)</f>
        <v>00</v>
      </c>
      <c r="AI503" t="str">
        <f>MID('paste from garc here'!$C$2,1+(('table for research'!$B503-456)*36+HEX2DEC('table for research'!AI$1))*2,2)</f>
        <v>00</v>
      </c>
      <c r="AJ503" t="str">
        <f>MID('paste from garc here'!$C$2,1+(('table for research'!$B503-456)*36+HEX2DEC('table for research'!AJ$1))*2,2)</f>
        <v>00</v>
      </c>
      <c r="AK503" t="str">
        <f>MID('paste from garc here'!$C$2,1+(('table for research'!$B503-456)*36+HEX2DEC('table for research'!AK$1))*2,2)</f>
        <v>00</v>
      </c>
      <c r="AL503" t="str">
        <f>MID('paste from garc here'!$C$2,1+(('table for research'!$B503-456)*36+HEX2DEC('table for research'!AL$1))*2,2)</f>
        <v>00</v>
      </c>
      <c r="AM503" t="str">
        <f>MID('paste from garc here'!$C$2,1+(('table for research'!$B503-456)*36+HEX2DEC('table for research'!AM$1))*2,2)</f>
        <v>00</v>
      </c>
      <c r="AN503" t="str">
        <f>MID('paste from garc here'!$C$2,1+(('table for research'!$B503-456)*36+HEX2DEC('table for research'!AN$1))*2,2)</f>
        <v>00</v>
      </c>
      <c r="AO503" t="str">
        <f>MID('paste from garc here'!$C$2,1+(('table for research'!$B503-456)*36+HEX2DEC('table for research'!AO$1))*2,2)</f>
        <v>00</v>
      </c>
    </row>
    <row r="504" spans="1:41" x14ac:dyDescent="0.4">
      <c r="A504" t="s">
        <v>506</v>
      </c>
      <c r="B504">
        <f>B503+1</f>
        <v>502</v>
      </c>
      <c r="C504" t="str">
        <f>MID('paste from garc here'!$C$2,1+(('table for research'!$B504-456)*36+HEX2DEC('table for research'!C$1))*2,2)</f>
        <v>00</v>
      </c>
      <c r="D504" t="str">
        <f>MID('paste from garc here'!$C$2,1+(('table for research'!$B504-456)*36+HEX2DEC('table for research'!D$1))*2,2)</f>
        <v>00</v>
      </c>
      <c r="E504" t="str">
        <f>MID('paste from garc here'!$C$2,1+(('table for research'!$B504-456)*36+HEX2DEC('table for research'!E$1))*2,2)</f>
        <v>00</v>
      </c>
      <c r="F504" t="str">
        <f>MID('paste from garc here'!$C$2,1+(('table for research'!$B504-456)*36+HEX2DEC('table for research'!F$1))*2,2)</f>
        <v>00</v>
      </c>
      <c r="G504" t="str">
        <f>MID('paste from garc here'!$C$2,1+(('table for research'!$B504-456)*36+HEX2DEC('table for research'!G$1))*2,2)</f>
        <v>00</v>
      </c>
      <c r="H504" t="str">
        <f>MID('paste from garc here'!$C$2,1+(('table for research'!$B504-456)*36+HEX2DEC('table for research'!H$1))*2,2)</f>
        <v>00</v>
      </c>
      <c r="I504" t="str">
        <f>MID('paste from garc here'!$C$2,1+(('table for research'!$B504-456)*36+HEX2DEC('table for research'!I$1))*2,2)</f>
        <v>00</v>
      </c>
      <c r="J504" t="str">
        <f>MID('paste from garc here'!$C$2,1+(('table for research'!$B504-456)*36+HEX2DEC('table for research'!J$1))*2,2)</f>
        <v>00</v>
      </c>
      <c r="K504" t="str">
        <f>DEC2HEX(_xlfn.BITAND(HEX2DEC(MID('paste from garc here'!$C$1,1+(('table for research'!$B504-1)*36+HEX2DEC(8))*2,2)),31),2)</f>
        <v>00</v>
      </c>
      <c r="L504" t="str">
        <f>DEC2HEX(_xlfn.BITAND(HEX2DEC(MID('paste from garc here'!$C$1,1+(('table for research'!$B504-1)*36+HEX2DEC(8))*2,2)),32),2)</f>
        <v>00</v>
      </c>
      <c r="M504" t="str">
        <f>DEC2HEX(_xlfn.BITAND(HEX2DEC(MID('paste from garc here'!$C$1,1+(('table for research'!$B504-1)*36+HEX2DEC(8))*2,2)),64),2)</f>
        <v>00</v>
      </c>
      <c r="N504" t="str">
        <f>DEC2HEX(_xlfn.BITRSHIFT(_xlfn.BITAND(HEX2DEC(MID('paste from garc here'!$C$1,1+(('table for research'!$B504-1)*36+HEX2DEC(9))*2,2)&amp;MID('paste from garc here'!$C$1,1+(('table for research'!$B504-1)*36+HEX2DEC(8))*2,2)),1920),7),2)</f>
        <v>00</v>
      </c>
      <c r="O504" t="str">
        <f>DEC2HEX(_xlfn.BITRSHIFT(HEX2DEC(MID('paste from garc here'!$C$1,1+(('table for research'!$B504-1)*36+HEX2DEC(9))*2,2)&amp;MID('paste from garc here'!$C$1,1+(('table for research'!$B504-1)*36+HEX2DEC(8))*2,2)),11),2)</f>
        <v>00</v>
      </c>
      <c r="P504" t="str">
        <f>MID('paste from garc here'!$C$2,1+(('table for research'!$B504-456)*36+HEX2DEC('table for research'!P$1))*2,2)</f>
        <v>00</v>
      </c>
      <c r="Q504" t="str">
        <f>MID('paste from garc here'!$C$2,1+(('table for research'!$B504-456)*36+HEX2DEC('table for research'!Q$1))*2,2)</f>
        <v>00</v>
      </c>
      <c r="R504" t="str">
        <f>MID('paste from garc here'!$C$2,1+(('table for research'!$B504-456)*36+HEX2DEC('table for research'!R$1))*2,2)</f>
        <v>00</v>
      </c>
      <c r="S504" t="str">
        <f>MID('paste from garc here'!$C$2,1+(('table for research'!$B504-456)*36+HEX2DEC('table for research'!S$1))*2,2)</f>
        <v>08</v>
      </c>
      <c r="T504" t="str">
        <f>MID('paste from garc here'!$C$2,1+(('table for research'!$B504-456)*36+HEX2DEC('table for research'!T$1))*2,2)</f>
        <v>00</v>
      </c>
      <c r="U504" t="str">
        <f>MID('paste from garc here'!$C$2,1+(('table for research'!$B504-456)*36+HEX2DEC('table for research'!U$1))*2,2)</f>
        <v>FF</v>
      </c>
      <c r="V504" t="str">
        <f>MID('paste from garc here'!$C$2,1+(('table for research'!$B504-456)*36+HEX2DEC('table for research'!V$1))*2,2)</f>
        <v>00</v>
      </c>
      <c r="W504" t="str">
        <f>MID('paste from garc here'!$C$2,1+(('table for research'!$B504-456)*36+HEX2DEC('table for research'!W$1))*2,2)</f>
        <v>00</v>
      </c>
      <c r="X504" t="str">
        <f>MID('paste from garc here'!$C$2,1+(('table for research'!$B504-456)*36+HEX2DEC('table for research'!X$1))*2,2)</f>
        <v>00</v>
      </c>
      <c r="Y504" t="str">
        <f>MID('paste from garc here'!$C$2,1+(('table for research'!$B504-456)*36+HEX2DEC('table for research'!Y$1))*2,2)</f>
        <v>00</v>
      </c>
      <c r="Z504" t="str">
        <f>MID('paste from garc here'!$C$2,1+(('table for research'!$B504-456)*36+HEX2DEC('table for research'!Z$1))*2,2)</f>
        <v>00</v>
      </c>
      <c r="AA504" t="str">
        <f>MID('paste from garc here'!$C$2,1+(('table for research'!$B504-456)*36+HEX2DEC('table for research'!AA$1))*2,2)</f>
        <v>00</v>
      </c>
      <c r="AB504" t="str">
        <f>MID('paste from garc here'!$C$2,1+(('table for research'!$B504-456)*36+HEX2DEC('table for research'!AB$1))*2,2)</f>
        <v>00</v>
      </c>
      <c r="AC504" t="str">
        <f>MID('paste from garc here'!$C$2,1+(('table for research'!$B504-456)*36+HEX2DEC('table for research'!AC$1))*2,2)</f>
        <v>00</v>
      </c>
      <c r="AD504" t="str">
        <f>MID('paste from garc here'!$C$2,1+(('table for research'!$B504-456)*36+HEX2DEC('table for research'!AD$1))*2,2)</f>
        <v>00</v>
      </c>
      <c r="AE504" t="str">
        <f>MID('paste from garc here'!$C$2,1+(('table for research'!$B504-456)*36+HEX2DEC('table for research'!AE$1))*2,2)</f>
        <v>00</v>
      </c>
      <c r="AF504" t="str">
        <f>MID('paste from garc here'!$C$2,1+(('table for research'!$B504-456)*36+HEX2DEC('table for research'!AF$1))*2,2)</f>
        <v>00</v>
      </c>
      <c r="AG504" t="str">
        <f>MID('paste from garc here'!$C$2,1+(('table for research'!$B504-456)*36+HEX2DEC('table for research'!AG$1))*2,2)</f>
        <v>00</v>
      </c>
      <c r="AH504" t="str">
        <f>MID('paste from garc here'!$C$2,1+(('table for research'!$B504-456)*36+HEX2DEC('table for research'!AH$1))*2,2)</f>
        <v>00</v>
      </c>
      <c r="AI504" t="str">
        <f>MID('paste from garc here'!$C$2,1+(('table for research'!$B504-456)*36+HEX2DEC('table for research'!AI$1))*2,2)</f>
        <v>00</v>
      </c>
      <c r="AJ504" t="str">
        <f>MID('paste from garc here'!$C$2,1+(('table for research'!$B504-456)*36+HEX2DEC('table for research'!AJ$1))*2,2)</f>
        <v>00</v>
      </c>
      <c r="AK504" t="str">
        <f>MID('paste from garc here'!$C$2,1+(('table for research'!$B504-456)*36+HEX2DEC('table for research'!AK$1))*2,2)</f>
        <v>00</v>
      </c>
      <c r="AL504" t="str">
        <f>MID('paste from garc here'!$C$2,1+(('table for research'!$B504-456)*36+HEX2DEC('table for research'!AL$1))*2,2)</f>
        <v>00</v>
      </c>
      <c r="AM504" t="str">
        <f>MID('paste from garc here'!$C$2,1+(('table for research'!$B504-456)*36+HEX2DEC('table for research'!AM$1))*2,2)</f>
        <v>00</v>
      </c>
      <c r="AN504" t="str">
        <f>MID('paste from garc here'!$C$2,1+(('table for research'!$B504-456)*36+HEX2DEC('table for research'!AN$1))*2,2)</f>
        <v>00</v>
      </c>
      <c r="AO504" t="str">
        <f>MID('paste from garc here'!$C$2,1+(('table for research'!$B504-456)*36+HEX2DEC('table for research'!AO$1))*2,2)</f>
        <v>00</v>
      </c>
    </row>
    <row r="505" spans="1:41" x14ac:dyDescent="0.4">
      <c r="A505" t="s">
        <v>507</v>
      </c>
      <c r="B505">
        <f>B504+1</f>
        <v>503</v>
      </c>
      <c r="C505" t="str">
        <f>MID('paste from garc here'!$C$2,1+(('table for research'!$B505-456)*36+HEX2DEC('table for research'!C$1))*2,2)</f>
        <v>00</v>
      </c>
      <c r="D505" t="str">
        <f>MID('paste from garc here'!$C$2,1+(('table for research'!$B505-456)*36+HEX2DEC('table for research'!D$1))*2,2)</f>
        <v>00</v>
      </c>
      <c r="E505" t="str">
        <f>MID('paste from garc here'!$C$2,1+(('table for research'!$B505-456)*36+HEX2DEC('table for research'!E$1))*2,2)</f>
        <v>00</v>
      </c>
      <c r="F505" t="str">
        <f>MID('paste from garc here'!$C$2,1+(('table for research'!$B505-456)*36+HEX2DEC('table for research'!F$1))*2,2)</f>
        <v>00</v>
      </c>
      <c r="G505" t="str">
        <f>MID('paste from garc here'!$C$2,1+(('table for research'!$B505-456)*36+HEX2DEC('table for research'!G$1))*2,2)</f>
        <v>00</v>
      </c>
      <c r="H505" t="str">
        <f>MID('paste from garc here'!$C$2,1+(('table for research'!$B505-456)*36+HEX2DEC('table for research'!H$1))*2,2)</f>
        <v>00</v>
      </c>
      <c r="I505" t="str">
        <f>MID('paste from garc here'!$C$2,1+(('table for research'!$B505-456)*36+HEX2DEC('table for research'!I$1))*2,2)</f>
        <v>00</v>
      </c>
      <c r="J505" t="str">
        <f>MID('paste from garc here'!$C$2,1+(('table for research'!$B505-456)*36+HEX2DEC('table for research'!J$1))*2,2)</f>
        <v>00</v>
      </c>
      <c r="K505" t="str">
        <f>DEC2HEX(_xlfn.BITAND(HEX2DEC(MID('paste from garc here'!$C$1,1+(('table for research'!$B505-1)*36+HEX2DEC(8))*2,2)),31),2)</f>
        <v>00</v>
      </c>
      <c r="L505" t="str">
        <f>DEC2HEX(_xlfn.BITAND(HEX2DEC(MID('paste from garc here'!$C$1,1+(('table for research'!$B505-1)*36+HEX2DEC(8))*2,2)),32),2)</f>
        <v>00</v>
      </c>
      <c r="M505" t="str">
        <f>DEC2HEX(_xlfn.BITAND(HEX2DEC(MID('paste from garc here'!$C$1,1+(('table for research'!$B505-1)*36+HEX2DEC(8))*2,2)),64),2)</f>
        <v>00</v>
      </c>
      <c r="N505" t="str">
        <f>DEC2HEX(_xlfn.BITRSHIFT(_xlfn.BITAND(HEX2DEC(MID('paste from garc here'!$C$1,1+(('table for research'!$B505-1)*36+HEX2DEC(9))*2,2)&amp;MID('paste from garc here'!$C$1,1+(('table for research'!$B505-1)*36+HEX2DEC(8))*2,2)),1920),7),2)</f>
        <v>00</v>
      </c>
      <c r="O505" t="str">
        <f>DEC2HEX(_xlfn.BITRSHIFT(HEX2DEC(MID('paste from garc here'!$C$1,1+(('table for research'!$B505-1)*36+HEX2DEC(9))*2,2)&amp;MID('paste from garc here'!$C$1,1+(('table for research'!$B505-1)*36+HEX2DEC(8))*2,2)),11),2)</f>
        <v>00</v>
      </c>
      <c r="P505" t="str">
        <f>MID('paste from garc here'!$C$2,1+(('table for research'!$B505-456)*36+HEX2DEC('table for research'!P$1))*2,2)</f>
        <v>00</v>
      </c>
      <c r="Q505" t="str">
        <f>MID('paste from garc here'!$C$2,1+(('table for research'!$B505-456)*36+HEX2DEC('table for research'!Q$1))*2,2)</f>
        <v>00</v>
      </c>
      <c r="R505" t="str">
        <f>MID('paste from garc here'!$C$2,1+(('table for research'!$B505-456)*36+HEX2DEC('table for research'!R$1))*2,2)</f>
        <v>00</v>
      </c>
      <c r="S505" t="str">
        <f>MID('paste from garc here'!$C$2,1+(('table for research'!$B505-456)*36+HEX2DEC('table for research'!S$1))*2,2)</f>
        <v>08</v>
      </c>
      <c r="T505" t="str">
        <f>MID('paste from garc here'!$C$2,1+(('table for research'!$B505-456)*36+HEX2DEC('table for research'!T$1))*2,2)</f>
        <v>00</v>
      </c>
      <c r="U505" t="str">
        <f>MID('paste from garc here'!$C$2,1+(('table for research'!$B505-456)*36+HEX2DEC('table for research'!U$1))*2,2)</f>
        <v>FF</v>
      </c>
      <c r="V505" t="str">
        <f>MID('paste from garc here'!$C$2,1+(('table for research'!$B505-456)*36+HEX2DEC('table for research'!V$1))*2,2)</f>
        <v>00</v>
      </c>
      <c r="W505" t="str">
        <f>MID('paste from garc here'!$C$2,1+(('table for research'!$B505-456)*36+HEX2DEC('table for research'!W$1))*2,2)</f>
        <v>00</v>
      </c>
      <c r="X505" t="str">
        <f>MID('paste from garc here'!$C$2,1+(('table for research'!$B505-456)*36+HEX2DEC('table for research'!X$1))*2,2)</f>
        <v>00</v>
      </c>
      <c r="Y505" t="str">
        <f>MID('paste from garc here'!$C$2,1+(('table for research'!$B505-456)*36+HEX2DEC('table for research'!Y$1))*2,2)</f>
        <v>00</v>
      </c>
      <c r="Z505" t="str">
        <f>MID('paste from garc here'!$C$2,1+(('table for research'!$B505-456)*36+HEX2DEC('table for research'!Z$1))*2,2)</f>
        <v>00</v>
      </c>
      <c r="AA505" t="str">
        <f>MID('paste from garc here'!$C$2,1+(('table for research'!$B505-456)*36+HEX2DEC('table for research'!AA$1))*2,2)</f>
        <v>00</v>
      </c>
      <c r="AB505" t="str">
        <f>MID('paste from garc here'!$C$2,1+(('table for research'!$B505-456)*36+HEX2DEC('table for research'!AB$1))*2,2)</f>
        <v>00</v>
      </c>
      <c r="AC505" t="str">
        <f>MID('paste from garc here'!$C$2,1+(('table for research'!$B505-456)*36+HEX2DEC('table for research'!AC$1))*2,2)</f>
        <v>00</v>
      </c>
      <c r="AD505" t="str">
        <f>MID('paste from garc here'!$C$2,1+(('table for research'!$B505-456)*36+HEX2DEC('table for research'!AD$1))*2,2)</f>
        <v>00</v>
      </c>
      <c r="AE505" t="str">
        <f>MID('paste from garc here'!$C$2,1+(('table for research'!$B505-456)*36+HEX2DEC('table for research'!AE$1))*2,2)</f>
        <v>00</v>
      </c>
      <c r="AF505" t="str">
        <f>MID('paste from garc here'!$C$2,1+(('table for research'!$B505-456)*36+HEX2DEC('table for research'!AF$1))*2,2)</f>
        <v>00</v>
      </c>
      <c r="AG505" t="str">
        <f>MID('paste from garc here'!$C$2,1+(('table for research'!$B505-456)*36+HEX2DEC('table for research'!AG$1))*2,2)</f>
        <v>00</v>
      </c>
      <c r="AH505" t="str">
        <f>MID('paste from garc here'!$C$2,1+(('table for research'!$B505-456)*36+HEX2DEC('table for research'!AH$1))*2,2)</f>
        <v>00</v>
      </c>
      <c r="AI505" t="str">
        <f>MID('paste from garc here'!$C$2,1+(('table for research'!$B505-456)*36+HEX2DEC('table for research'!AI$1))*2,2)</f>
        <v>00</v>
      </c>
      <c r="AJ505" t="str">
        <f>MID('paste from garc here'!$C$2,1+(('table for research'!$B505-456)*36+HEX2DEC('table for research'!AJ$1))*2,2)</f>
        <v>00</v>
      </c>
      <c r="AK505" t="str">
        <f>MID('paste from garc here'!$C$2,1+(('table for research'!$B505-456)*36+HEX2DEC('table for research'!AK$1))*2,2)</f>
        <v>00</v>
      </c>
      <c r="AL505" t="str">
        <f>MID('paste from garc here'!$C$2,1+(('table for research'!$B505-456)*36+HEX2DEC('table for research'!AL$1))*2,2)</f>
        <v>00</v>
      </c>
      <c r="AM505" t="str">
        <f>MID('paste from garc here'!$C$2,1+(('table for research'!$B505-456)*36+HEX2DEC('table for research'!AM$1))*2,2)</f>
        <v>00</v>
      </c>
      <c r="AN505" t="str">
        <f>MID('paste from garc here'!$C$2,1+(('table for research'!$B505-456)*36+HEX2DEC('table for research'!AN$1))*2,2)</f>
        <v>00</v>
      </c>
      <c r="AO505" t="str">
        <f>MID('paste from garc here'!$C$2,1+(('table for research'!$B505-456)*36+HEX2DEC('table for research'!AO$1))*2,2)</f>
        <v>00</v>
      </c>
    </row>
    <row r="506" spans="1:41" x14ac:dyDescent="0.4">
      <c r="A506" t="s">
        <v>508</v>
      </c>
      <c r="B506">
        <f>B505+1</f>
        <v>504</v>
      </c>
      <c r="C506" t="str">
        <f>MID('paste from garc here'!$C$2,1+(('table for research'!$B506-456)*36+HEX2DEC('table for research'!C$1))*2,2)</f>
        <v>23</v>
      </c>
      <c r="D506" t="str">
        <f>MID('paste from garc here'!$C$2,1+(('table for research'!$B506-456)*36+HEX2DEC('table for research'!D$1))*2,2)</f>
        <v>00</v>
      </c>
      <c r="E506" t="str">
        <f>MID('paste from garc here'!$C$2,1+(('table for research'!$B506-456)*36+HEX2DEC('table for research'!E$1))*2,2)</f>
        <v>00</v>
      </c>
      <c r="F506" t="str">
        <f>MID('paste from garc here'!$C$2,1+(('table for research'!$B506-456)*36+HEX2DEC('table for research'!F$1))*2,2)</f>
        <v>00</v>
      </c>
      <c r="G506" t="str">
        <f>MID('paste from garc here'!$C$2,1+(('table for research'!$B506-456)*36+HEX2DEC('table for research'!G$1))*2,2)</f>
        <v>00</v>
      </c>
      <c r="H506" t="str">
        <f>MID('paste from garc here'!$C$2,1+(('table for research'!$B506-456)*36+HEX2DEC('table for research'!H$1))*2,2)</f>
        <v>00</v>
      </c>
      <c r="I506" t="str">
        <f>MID('paste from garc here'!$C$2,1+(('table for research'!$B506-456)*36+HEX2DEC('table for research'!I$1))*2,2)</f>
        <v>1E</v>
      </c>
      <c r="J506" t="str">
        <f>MID('paste from garc here'!$C$2,1+(('table for research'!$B506-456)*36+HEX2DEC('table for research'!J$1))*2,2)</f>
        <v>00</v>
      </c>
      <c r="K506" t="str">
        <f>DEC2HEX(_xlfn.BITAND(HEX2DEC(MID('paste from garc here'!$C$1,1+(('table for research'!$B506-1)*36+HEX2DEC(8))*2,2)),31),2)</f>
        <v>00</v>
      </c>
      <c r="L506" t="str">
        <f>DEC2HEX(_xlfn.BITAND(HEX2DEC(MID('paste from garc here'!$C$1,1+(('table for research'!$B506-1)*36+HEX2DEC(8))*2,2)),32),2)</f>
        <v>00</v>
      </c>
      <c r="M506" t="str">
        <f>DEC2HEX(_xlfn.BITAND(HEX2DEC(MID('paste from garc here'!$C$1,1+(('table for research'!$B506-1)*36+HEX2DEC(8))*2,2)),64),2)</f>
        <v>00</v>
      </c>
      <c r="N506" t="str">
        <f>DEC2HEX(_xlfn.BITRSHIFT(_xlfn.BITAND(HEX2DEC(MID('paste from garc here'!$C$1,1+(('table for research'!$B506-1)*36+HEX2DEC(9))*2,2)&amp;MID('paste from garc here'!$C$1,1+(('table for research'!$B506-1)*36+HEX2DEC(8))*2,2)),1920),7),2)</f>
        <v>00</v>
      </c>
      <c r="O506" t="str">
        <f>DEC2HEX(_xlfn.BITRSHIFT(HEX2DEC(MID('paste from garc here'!$C$1,1+(('table for research'!$B506-1)*36+HEX2DEC(9))*2,2)&amp;MID('paste from garc here'!$C$1,1+(('table for research'!$B506-1)*36+HEX2DEC(8))*2,2)),11),2)</f>
        <v>00</v>
      </c>
      <c r="P506" t="str">
        <f>MID('paste from garc here'!$C$2,1+(('table for research'!$B506-456)*36+HEX2DEC('table for research'!P$1))*2,2)</f>
        <v>01</v>
      </c>
      <c r="Q506" t="str">
        <f>MID('paste from garc here'!$C$2,1+(('table for research'!$B506-456)*36+HEX2DEC('table for research'!Q$1))*2,2)</f>
        <v>02</v>
      </c>
      <c r="R506" t="str">
        <f>MID('paste from garc here'!$C$2,1+(('table for research'!$B506-456)*36+HEX2DEC('table for research'!R$1))*2,2)</f>
        <v>01</v>
      </c>
      <c r="S506" t="str">
        <f>MID('paste from garc here'!$C$2,1+(('table for research'!$B506-456)*36+HEX2DEC('table for research'!S$1))*2,2)</f>
        <v>00</v>
      </c>
      <c r="T506" t="str">
        <f>MID('paste from garc here'!$C$2,1+(('table for research'!$B506-456)*36+HEX2DEC('table for research'!T$1))*2,2)</f>
        <v>00</v>
      </c>
      <c r="U506" t="str">
        <f>MID('paste from garc here'!$C$2,1+(('table for research'!$B506-456)*36+HEX2DEC('table for research'!U$1))*2,2)</f>
        <v>1D</v>
      </c>
      <c r="V506" t="str">
        <f>MID('paste from garc here'!$C$2,1+(('table for research'!$B506-456)*36+HEX2DEC('table for research'!V$1))*2,2)</f>
        <v>3F</v>
      </c>
      <c r="W506" t="str">
        <f>MID('paste from garc here'!$C$2,1+(('table for research'!$B506-456)*36+HEX2DEC('table for research'!W$1))*2,2)</f>
        <v>00</v>
      </c>
      <c r="X506" t="str">
        <f>MID('paste from garc here'!$C$2,1+(('table for research'!$B506-456)*36+HEX2DEC('table for research'!X$1))*2,2)</f>
        <v>00</v>
      </c>
      <c r="Y506" t="str">
        <f>MID('paste from garc here'!$C$2,1+(('table for research'!$B506-456)*36+HEX2DEC('table for research'!Y$1))*2,2)</f>
        <v>00</v>
      </c>
      <c r="Z506" t="str">
        <f>MID('paste from garc here'!$C$2,1+(('table for research'!$B506-456)*36+HEX2DEC('table for research'!Z$1))*2,2)</f>
        <v>00</v>
      </c>
      <c r="AA506" t="str">
        <f>MID('paste from garc here'!$C$2,1+(('table for research'!$B506-456)*36+HEX2DEC('table for research'!AA$1))*2,2)</f>
        <v>00</v>
      </c>
      <c r="AB506" t="str">
        <f>MID('paste from garc here'!$C$2,1+(('table for research'!$B506-456)*36+HEX2DEC('table for research'!AB$1))*2,2)</f>
        <v>00</v>
      </c>
      <c r="AC506" t="str">
        <f>MID('paste from garc here'!$C$2,1+(('table for research'!$B506-456)*36+HEX2DEC('table for research'!AC$1))*2,2)</f>
        <v>00</v>
      </c>
      <c r="AD506" t="str">
        <f>MID('paste from garc here'!$C$2,1+(('table for research'!$B506-456)*36+HEX2DEC('table for research'!AD$1))*2,2)</f>
        <v>00</v>
      </c>
      <c r="AE506" t="str">
        <f>MID('paste from garc here'!$C$2,1+(('table for research'!$B506-456)*36+HEX2DEC('table for research'!AE$1))*2,2)</f>
        <v>00</v>
      </c>
      <c r="AF506" t="str">
        <f>MID('paste from garc here'!$C$2,1+(('table for research'!$B506-456)*36+HEX2DEC('table for research'!AF$1))*2,2)</f>
        <v>00</v>
      </c>
      <c r="AG506" t="str">
        <f>MID('paste from garc here'!$C$2,1+(('table for research'!$B506-456)*36+HEX2DEC('table for research'!AG$1))*2,2)</f>
        <v>00</v>
      </c>
      <c r="AH506" t="str">
        <f>MID('paste from garc here'!$C$2,1+(('table for research'!$B506-456)*36+HEX2DEC('table for research'!AH$1))*2,2)</f>
        <v>00</v>
      </c>
      <c r="AI506" t="str">
        <f>MID('paste from garc here'!$C$2,1+(('table for research'!$B506-456)*36+HEX2DEC('table for research'!AI$1))*2,2)</f>
        <v>00</v>
      </c>
      <c r="AJ506" t="str">
        <f>MID('paste from garc here'!$C$2,1+(('table for research'!$B506-456)*36+HEX2DEC('table for research'!AJ$1))*2,2)</f>
        <v>00</v>
      </c>
      <c r="AK506" t="str">
        <f>MID('paste from garc here'!$C$2,1+(('table for research'!$B506-456)*36+HEX2DEC('table for research'!AK$1))*2,2)</f>
        <v>00</v>
      </c>
      <c r="AL506" t="str">
        <f>MID('paste from garc here'!$C$2,1+(('table for research'!$B506-456)*36+HEX2DEC('table for research'!AL$1))*2,2)</f>
        <v>00</v>
      </c>
      <c r="AM506" t="str">
        <f>MID('paste from garc here'!$C$2,1+(('table for research'!$B506-456)*36+HEX2DEC('table for research'!AM$1))*2,2)</f>
        <v>00</v>
      </c>
      <c r="AN506" t="str">
        <f>MID('paste from garc here'!$C$2,1+(('table for research'!$B506-456)*36+HEX2DEC('table for research'!AN$1))*2,2)</f>
        <v>00</v>
      </c>
      <c r="AO506" t="str">
        <f>MID('paste from garc here'!$C$2,1+(('table for research'!$B506-456)*36+HEX2DEC('table for research'!AO$1))*2,2)</f>
        <v>00</v>
      </c>
    </row>
    <row r="507" spans="1:41" x14ac:dyDescent="0.4">
      <c r="A507" t="s">
        <v>509</v>
      </c>
      <c r="B507">
        <f>B506+1</f>
        <v>505</v>
      </c>
      <c r="C507" t="str">
        <f>MID('paste from garc here'!$C$2,1+(('table for research'!$B507-456)*36+HEX2DEC('table for research'!C$1))*2,2)</f>
        <v>00</v>
      </c>
      <c r="D507" t="str">
        <f>MID('paste from garc here'!$C$2,1+(('table for research'!$B507-456)*36+HEX2DEC('table for research'!D$1))*2,2)</f>
        <v>00</v>
      </c>
      <c r="E507" t="str">
        <f>MID('paste from garc here'!$C$2,1+(('table for research'!$B507-456)*36+HEX2DEC('table for research'!E$1))*2,2)</f>
        <v>00</v>
      </c>
      <c r="F507" t="str">
        <f>MID('paste from garc here'!$C$2,1+(('table for research'!$B507-456)*36+HEX2DEC('table for research'!F$1))*2,2)</f>
        <v>00</v>
      </c>
      <c r="G507" t="str">
        <f>MID('paste from garc here'!$C$2,1+(('table for research'!$B507-456)*36+HEX2DEC('table for research'!G$1))*2,2)</f>
        <v>00</v>
      </c>
      <c r="H507" t="str">
        <f>MID('paste from garc here'!$C$2,1+(('table for research'!$B507-456)*36+HEX2DEC('table for research'!H$1))*2,2)</f>
        <v>00</v>
      </c>
      <c r="I507" t="str">
        <f>MID('paste from garc here'!$C$2,1+(('table for research'!$B507-456)*36+HEX2DEC('table for research'!I$1))*2,2)</f>
        <v>00</v>
      </c>
      <c r="J507" t="str">
        <f>MID('paste from garc here'!$C$2,1+(('table for research'!$B507-456)*36+HEX2DEC('table for research'!J$1))*2,2)</f>
        <v>00</v>
      </c>
      <c r="K507" t="str">
        <f>DEC2HEX(_xlfn.BITAND(HEX2DEC(MID('paste from garc here'!$C$1,1+(('table for research'!$B507-1)*36+HEX2DEC(8))*2,2)),31),2)</f>
        <v>00</v>
      </c>
      <c r="L507" t="str">
        <f>DEC2HEX(_xlfn.BITAND(HEX2DEC(MID('paste from garc here'!$C$1,1+(('table for research'!$B507-1)*36+HEX2DEC(8))*2,2)),32),2)</f>
        <v>00</v>
      </c>
      <c r="M507" t="str">
        <f>DEC2HEX(_xlfn.BITAND(HEX2DEC(MID('paste from garc here'!$C$1,1+(('table for research'!$B507-1)*36+HEX2DEC(8))*2,2)),64),2)</f>
        <v>00</v>
      </c>
      <c r="N507" t="str">
        <f>DEC2HEX(_xlfn.BITRSHIFT(_xlfn.BITAND(HEX2DEC(MID('paste from garc here'!$C$1,1+(('table for research'!$B507-1)*36+HEX2DEC(9))*2,2)&amp;MID('paste from garc here'!$C$1,1+(('table for research'!$B507-1)*36+HEX2DEC(8))*2,2)),1920),7),2)</f>
        <v>00</v>
      </c>
      <c r="O507" t="str">
        <f>DEC2HEX(_xlfn.BITRSHIFT(HEX2DEC(MID('paste from garc here'!$C$1,1+(('table for research'!$B507-1)*36+HEX2DEC(9))*2,2)&amp;MID('paste from garc here'!$C$1,1+(('table for research'!$B507-1)*36+HEX2DEC(8))*2,2)),11),2)</f>
        <v>00</v>
      </c>
      <c r="P507" t="str">
        <f>MID('paste from garc here'!$C$2,1+(('table for research'!$B507-456)*36+HEX2DEC('table for research'!P$1))*2,2)</f>
        <v>00</v>
      </c>
      <c r="Q507" t="str">
        <f>MID('paste from garc here'!$C$2,1+(('table for research'!$B507-456)*36+HEX2DEC('table for research'!Q$1))*2,2)</f>
        <v>00</v>
      </c>
      <c r="R507" t="str">
        <f>MID('paste from garc here'!$C$2,1+(('table for research'!$B507-456)*36+HEX2DEC('table for research'!R$1))*2,2)</f>
        <v>00</v>
      </c>
      <c r="S507" t="str">
        <f>MID('paste from garc here'!$C$2,1+(('table for research'!$B507-456)*36+HEX2DEC('table for research'!S$1))*2,2)</f>
        <v>02</v>
      </c>
      <c r="T507" t="str">
        <f>MID('paste from garc here'!$C$2,1+(('table for research'!$B507-456)*36+HEX2DEC('table for research'!T$1))*2,2)</f>
        <v>00</v>
      </c>
      <c r="U507" t="str">
        <f>MID('paste from garc here'!$C$2,1+(('table for research'!$B507-456)*36+HEX2DEC('table for research'!U$1))*2,2)</f>
        <v>FF</v>
      </c>
      <c r="V507" t="str">
        <f>MID('paste from garc here'!$C$2,1+(('table for research'!$B507-456)*36+HEX2DEC('table for research'!V$1))*2,2)</f>
        <v>00</v>
      </c>
      <c r="W507" t="str">
        <f>MID('paste from garc here'!$C$2,1+(('table for research'!$B507-456)*36+HEX2DEC('table for research'!W$1))*2,2)</f>
        <v>00</v>
      </c>
      <c r="X507" t="str">
        <f>MID('paste from garc here'!$C$2,1+(('table for research'!$B507-456)*36+HEX2DEC('table for research'!X$1))*2,2)</f>
        <v>00</v>
      </c>
      <c r="Y507" t="str">
        <f>MID('paste from garc here'!$C$2,1+(('table for research'!$B507-456)*36+HEX2DEC('table for research'!Y$1))*2,2)</f>
        <v>00</v>
      </c>
      <c r="Z507" t="str">
        <f>MID('paste from garc here'!$C$2,1+(('table for research'!$B507-456)*36+HEX2DEC('table for research'!Z$1))*2,2)</f>
        <v>00</v>
      </c>
      <c r="AA507" t="str">
        <f>MID('paste from garc here'!$C$2,1+(('table for research'!$B507-456)*36+HEX2DEC('table for research'!AA$1))*2,2)</f>
        <v>00</v>
      </c>
      <c r="AB507" t="str">
        <f>MID('paste from garc here'!$C$2,1+(('table for research'!$B507-456)*36+HEX2DEC('table for research'!AB$1))*2,2)</f>
        <v>00</v>
      </c>
      <c r="AC507" t="str">
        <f>MID('paste from garc here'!$C$2,1+(('table for research'!$B507-456)*36+HEX2DEC('table for research'!AC$1))*2,2)</f>
        <v>00</v>
      </c>
      <c r="AD507" t="str">
        <f>MID('paste from garc here'!$C$2,1+(('table for research'!$B507-456)*36+HEX2DEC('table for research'!AD$1))*2,2)</f>
        <v>00</v>
      </c>
      <c r="AE507" t="str">
        <f>MID('paste from garc here'!$C$2,1+(('table for research'!$B507-456)*36+HEX2DEC('table for research'!AE$1))*2,2)</f>
        <v>00</v>
      </c>
      <c r="AF507" t="str">
        <f>MID('paste from garc here'!$C$2,1+(('table for research'!$B507-456)*36+HEX2DEC('table for research'!AF$1))*2,2)</f>
        <v>00</v>
      </c>
      <c r="AG507" t="str">
        <f>MID('paste from garc here'!$C$2,1+(('table for research'!$B507-456)*36+HEX2DEC('table for research'!AG$1))*2,2)</f>
        <v>00</v>
      </c>
      <c r="AH507" t="str">
        <f>MID('paste from garc here'!$C$2,1+(('table for research'!$B507-456)*36+HEX2DEC('table for research'!AH$1))*2,2)</f>
        <v>00</v>
      </c>
      <c r="AI507" t="str">
        <f>MID('paste from garc here'!$C$2,1+(('table for research'!$B507-456)*36+HEX2DEC('table for research'!AI$1))*2,2)</f>
        <v>00</v>
      </c>
      <c r="AJ507" t="str">
        <f>MID('paste from garc here'!$C$2,1+(('table for research'!$B507-456)*36+HEX2DEC('table for research'!AJ$1))*2,2)</f>
        <v>00</v>
      </c>
      <c r="AK507" t="str">
        <f>MID('paste from garc here'!$C$2,1+(('table for research'!$B507-456)*36+HEX2DEC('table for research'!AK$1))*2,2)</f>
        <v>00</v>
      </c>
      <c r="AL507" t="str">
        <f>MID('paste from garc here'!$C$2,1+(('table for research'!$B507-456)*36+HEX2DEC('table for research'!AL$1))*2,2)</f>
        <v>00</v>
      </c>
      <c r="AM507" t="str">
        <f>MID('paste from garc here'!$C$2,1+(('table for research'!$B507-456)*36+HEX2DEC('table for research'!AM$1))*2,2)</f>
        <v>00</v>
      </c>
      <c r="AN507" t="str">
        <f>MID('paste from garc here'!$C$2,1+(('table for research'!$B507-456)*36+HEX2DEC('table for research'!AN$1))*2,2)</f>
        <v>00</v>
      </c>
      <c r="AO507" t="str">
        <f>MID('paste from garc here'!$C$2,1+(('table for research'!$B507-456)*36+HEX2DEC('table for research'!AO$1))*2,2)</f>
        <v>00</v>
      </c>
    </row>
    <row r="508" spans="1:41" x14ac:dyDescent="0.4">
      <c r="A508" t="s">
        <v>510</v>
      </c>
      <c r="B508">
        <f>B507+1</f>
        <v>506</v>
      </c>
      <c r="C508" t="str">
        <f>MID('paste from garc here'!$C$2,1+(('table for research'!$B508-456)*36+HEX2DEC('table for research'!C$1))*2,2)</f>
        <v>00</v>
      </c>
      <c r="D508" t="str">
        <f>MID('paste from garc here'!$C$2,1+(('table for research'!$B508-456)*36+HEX2DEC('table for research'!D$1))*2,2)</f>
        <v>00</v>
      </c>
      <c r="E508" t="str">
        <f>MID('paste from garc here'!$C$2,1+(('table for research'!$B508-456)*36+HEX2DEC('table for research'!E$1))*2,2)</f>
        <v>00</v>
      </c>
      <c r="F508" t="str">
        <f>MID('paste from garc here'!$C$2,1+(('table for research'!$B508-456)*36+HEX2DEC('table for research'!F$1))*2,2)</f>
        <v>00</v>
      </c>
      <c r="G508" t="str">
        <f>MID('paste from garc here'!$C$2,1+(('table for research'!$B508-456)*36+HEX2DEC('table for research'!G$1))*2,2)</f>
        <v>00</v>
      </c>
      <c r="H508" t="str">
        <f>MID('paste from garc here'!$C$2,1+(('table for research'!$B508-456)*36+HEX2DEC('table for research'!H$1))*2,2)</f>
        <v>00</v>
      </c>
      <c r="I508" t="str">
        <f>MID('paste from garc here'!$C$2,1+(('table for research'!$B508-456)*36+HEX2DEC('table for research'!I$1))*2,2)</f>
        <v>00</v>
      </c>
      <c r="J508" t="str">
        <f>MID('paste from garc here'!$C$2,1+(('table for research'!$B508-456)*36+HEX2DEC('table for research'!J$1))*2,2)</f>
        <v>00</v>
      </c>
      <c r="K508" t="str">
        <f>DEC2HEX(_xlfn.BITAND(HEX2DEC(MID('paste from garc here'!$C$1,1+(('table for research'!$B508-1)*36+HEX2DEC(8))*2,2)),31),2)</f>
        <v>00</v>
      </c>
      <c r="L508" t="str">
        <f>DEC2HEX(_xlfn.BITAND(HEX2DEC(MID('paste from garc here'!$C$1,1+(('table for research'!$B508-1)*36+HEX2DEC(8))*2,2)),32),2)</f>
        <v>00</v>
      </c>
      <c r="M508" t="str">
        <f>DEC2HEX(_xlfn.BITAND(HEX2DEC(MID('paste from garc here'!$C$1,1+(('table for research'!$B508-1)*36+HEX2DEC(8))*2,2)),64),2)</f>
        <v>00</v>
      </c>
      <c r="N508" t="str">
        <f>DEC2HEX(_xlfn.BITRSHIFT(_xlfn.BITAND(HEX2DEC(MID('paste from garc here'!$C$1,1+(('table for research'!$B508-1)*36+HEX2DEC(9))*2,2)&amp;MID('paste from garc here'!$C$1,1+(('table for research'!$B508-1)*36+HEX2DEC(8))*2,2)),1920),7),2)</f>
        <v>00</v>
      </c>
      <c r="O508" t="str">
        <f>DEC2HEX(_xlfn.BITRSHIFT(HEX2DEC(MID('paste from garc here'!$C$1,1+(('table for research'!$B508-1)*36+HEX2DEC(9))*2,2)&amp;MID('paste from garc here'!$C$1,1+(('table for research'!$B508-1)*36+HEX2DEC(8))*2,2)),11),2)</f>
        <v>00</v>
      </c>
      <c r="P508" t="str">
        <f>MID('paste from garc here'!$C$2,1+(('table for research'!$B508-456)*36+HEX2DEC('table for research'!P$1))*2,2)</f>
        <v>00</v>
      </c>
      <c r="Q508" t="str">
        <f>MID('paste from garc here'!$C$2,1+(('table for research'!$B508-456)*36+HEX2DEC('table for research'!Q$1))*2,2)</f>
        <v>00</v>
      </c>
      <c r="R508" t="str">
        <f>MID('paste from garc here'!$C$2,1+(('table for research'!$B508-456)*36+HEX2DEC('table for research'!R$1))*2,2)</f>
        <v>00</v>
      </c>
      <c r="S508" t="str">
        <f>MID('paste from garc here'!$C$2,1+(('table for research'!$B508-456)*36+HEX2DEC('table for research'!S$1))*2,2)</f>
        <v>02</v>
      </c>
      <c r="T508" t="str">
        <f>MID('paste from garc here'!$C$2,1+(('table for research'!$B508-456)*36+HEX2DEC('table for research'!T$1))*2,2)</f>
        <v>00</v>
      </c>
      <c r="U508" t="str">
        <f>MID('paste from garc here'!$C$2,1+(('table for research'!$B508-456)*36+HEX2DEC('table for research'!U$1))*2,2)</f>
        <v>FF</v>
      </c>
      <c r="V508" t="str">
        <f>MID('paste from garc here'!$C$2,1+(('table for research'!$B508-456)*36+HEX2DEC('table for research'!V$1))*2,2)</f>
        <v>00</v>
      </c>
      <c r="W508" t="str">
        <f>MID('paste from garc here'!$C$2,1+(('table for research'!$B508-456)*36+HEX2DEC('table for research'!W$1))*2,2)</f>
        <v>00</v>
      </c>
      <c r="X508" t="str">
        <f>MID('paste from garc here'!$C$2,1+(('table for research'!$B508-456)*36+HEX2DEC('table for research'!X$1))*2,2)</f>
        <v>00</v>
      </c>
      <c r="Y508" t="str">
        <f>MID('paste from garc here'!$C$2,1+(('table for research'!$B508-456)*36+HEX2DEC('table for research'!Y$1))*2,2)</f>
        <v>00</v>
      </c>
      <c r="Z508" t="str">
        <f>MID('paste from garc here'!$C$2,1+(('table for research'!$B508-456)*36+HEX2DEC('table for research'!Z$1))*2,2)</f>
        <v>00</v>
      </c>
      <c r="AA508" t="str">
        <f>MID('paste from garc here'!$C$2,1+(('table for research'!$B508-456)*36+HEX2DEC('table for research'!AA$1))*2,2)</f>
        <v>00</v>
      </c>
      <c r="AB508" t="str">
        <f>MID('paste from garc here'!$C$2,1+(('table for research'!$B508-456)*36+HEX2DEC('table for research'!AB$1))*2,2)</f>
        <v>00</v>
      </c>
      <c r="AC508" t="str">
        <f>MID('paste from garc here'!$C$2,1+(('table for research'!$B508-456)*36+HEX2DEC('table for research'!AC$1))*2,2)</f>
        <v>00</v>
      </c>
      <c r="AD508" t="str">
        <f>MID('paste from garc here'!$C$2,1+(('table for research'!$B508-456)*36+HEX2DEC('table for research'!AD$1))*2,2)</f>
        <v>00</v>
      </c>
      <c r="AE508" t="str">
        <f>MID('paste from garc here'!$C$2,1+(('table for research'!$B508-456)*36+HEX2DEC('table for research'!AE$1))*2,2)</f>
        <v>00</v>
      </c>
      <c r="AF508" t="str">
        <f>MID('paste from garc here'!$C$2,1+(('table for research'!$B508-456)*36+HEX2DEC('table for research'!AF$1))*2,2)</f>
        <v>00</v>
      </c>
      <c r="AG508" t="str">
        <f>MID('paste from garc here'!$C$2,1+(('table for research'!$B508-456)*36+HEX2DEC('table for research'!AG$1))*2,2)</f>
        <v>00</v>
      </c>
      <c r="AH508" t="str">
        <f>MID('paste from garc here'!$C$2,1+(('table for research'!$B508-456)*36+HEX2DEC('table for research'!AH$1))*2,2)</f>
        <v>00</v>
      </c>
      <c r="AI508" t="str">
        <f>MID('paste from garc here'!$C$2,1+(('table for research'!$B508-456)*36+HEX2DEC('table for research'!AI$1))*2,2)</f>
        <v>00</v>
      </c>
      <c r="AJ508" t="str">
        <f>MID('paste from garc here'!$C$2,1+(('table for research'!$B508-456)*36+HEX2DEC('table for research'!AJ$1))*2,2)</f>
        <v>00</v>
      </c>
      <c r="AK508" t="str">
        <f>MID('paste from garc here'!$C$2,1+(('table for research'!$B508-456)*36+HEX2DEC('table for research'!AK$1))*2,2)</f>
        <v>00</v>
      </c>
      <c r="AL508" t="str">
        <f>MID('paste from garc here'!$C$2,1+(('table for research'!$B508-456)*36+HEX2DEC('table for research'!AL$1))*2,2)</f>
        <v>00</v>
      </c>
      <c r="AM508" t="str">
        <f>MID('paste from garc here'!$C$2,1+(('table for research'!$B508-456)*36+HEX2DEC('table for research'!AM$1))*2,2)</f>
        <v>00</v>
      </c>
      <c r="AN508" t="str">
        <f>MID('paste from garc here'!$C$2,1+(('table for research'!$B508-456)*36+HEX2DEC('table for research'!AN$1))*2,2)</f>
        <v>00</v>
      </c>
      <c r="AO508" t="str">
        <f>MID('paste from garc here'!$C$2,1+(('table for research'!$B508-456)*36+HEX2DEC('table for research'!AO$1))*2,2)</f>
        <v>00</v>
      </c>
    </row>
    <row r="509" spans="1:41" x14ac:dyDescent="0.4">
      <c r="A509" t="s">
        <v>511</v>
      </c>
      <c r="B509">
        <f>B508+1</f>
        <v>507</v>
      </c>
      <c r="C509" t="str">
        <f>MID('paste from garc here'!$C$2,1+(('table for research'!$B509-456)*36+HEX2DEC('table for research'!C$1))*2,2)</f>
        <v>00</v>
      </c>
      <c r="D509" t="str">
        <f>MID('paste from garc here'!$C$2,1+(('table for research'!$B509-456)*36+HEX2DEC('table for research'!D$1))*2,2)</f>
        <v>00</v>
      </c>
      <c r="E509" t="str">
        <f>MID('paste from garc here'!$C$2,1+(('table for research'!$B509-456)*36+HEX2DEC('table for research'!E$1))*2,2)</f>
        <v>00</v>
      </c>
      <c r="F509" t="str">
        <f>MID('paste from garc here'!$C$2,1+(('table for research'!$B509-456)*36+HEX2DEC('table for research'!F$1))*2,2)</f>
        <v>00</v>
      </c>
      <c r="G509" t="str">
        <f>MID('paste from garc here'!$C$2,1+(('table for research'!$B509-456)*36+HEX2DEC('table for research'!G$1))*2,2)</f>
        <v>00</v>
      </c>
      <c r="H509" t="str">
        <f>MID('paste from garc here'!$C$2,1+(('table for research'!$B509-456)*36+HEX2DEC('table for research'!H$1))*2,2)</f>
        <v>00</v>
      </c>
      <c r="I509" t="str">
        <f>MID('paste from garc here'!$C$2,1+(('table for research'!$B509-456)*36+HEX2DEC('table for research'!I$1))*2,2)</f>
        <v>00</v>
      </c>
      <c r="J509" t="str">
        <f>MID('paste from garc here'!$C$2,1+(('table for research'!$B509-456)*36+HEX2DEC('table for research'!J$1))*2,2)</f>
        <v>00</v>
      </c>
      <c r="K509" t="str">
        <f>DEC2HEX(_xlfn.BITAND(HEX2DEC(MID('paste from garc here'!$C$1,1+(('table for research'!$B509-1)*36+HEX2DEC(8))*2,2)),31),2)</f>
        <v>00</v>
      </c>
      <c r="L509" t="str">
        <f>DEC2HEX(_xlfn.BITAND(HEX2DEC(MID('paste from garc here'!$C$1,1+(('table for research'!$B509-1)*36+HEX2DEC(8))*2,2)),32),2)</f>
        <v>00</v>
      </c>
      <c r="M509" t="str">
        <f>DEC2HEX(_xlfn.BITAND(HEX2DEC(MID('paste from garc here'!$C$1,1+(('table for research'!$B509-1)*36+HEX2DEC(8))*2,2)),64),2)</f>
        <v>00</v>
      </c>
      <c r="N509" t="str">
        <f>DEC2HEX(_xlfn.BITRSHIFT(_xlfn.BITAND(HEX2DEC(MID('paste from garc here'!$C$1,1+(('table for research'!$B509-1)*36+HEX2DEC(9))*2,2)&amp;MID('paste from garc here'!$C$1,1+(('table for research'!$B509-1)*36+HEX2DEC(8))*2,2)),1920),7),2)</f>
        <v>00</v>
      </c>
      <c r="O509" t="str">
        <f>DEC2HEX(_xlfn.BITRSHIFT(HEX2DEC(MID('paste from garc here'!$C$1,1+(('table for research'!$B509-1)*36+HEX2DEC(9))*2,2)&amp;MID('paste from garc here'!$C$1,1+(('table for research'!$B509-1)*36+HEX2DEC(8))*2,2)),11),2)</f>
        <v>00</v>
      </c>
      <c r="P509" t="str">
        <f>MID('paste from garc here'!$C$2,1+(('table for research'!$B509-456)*36+HEX2DEC('table for research'!P$1))*2,2)</f>
        <v>00</v>
      </c>
      <c r="Q509" t="str">
        <f>MID('paste from garc here'!$C$2,1+(('table for research'!$B509-456)*36+HEX2DEC('table for research'!Q$1))*2,2)</f>
        <v>00</v>
      </c>
      <c r="R509" t="str">
        <f>MID('paste from garc here'!$C$2,1+(('table for research'!$B509-456)*36+HEX2DEC('table for research'!R$1))*2,2)</f>
        <v>00</v>
      </c>
      <c r="S509" t="str">
        <f>MID('paste from garc here'!$C$2,1+(('table for research'!$B509-456)*36+HEX2DEC('table for research'!S$1))*2,2)</f>
        <v>02</v>
      </c>
      <c r="T509" t="str">
        <f>MID('paste from garc here'!$C$2,1+(('table for research'!$B509-456)*36+HEX2DEC('table for research'!T$1))*2,2)</f>
        <v>00</v>
      </c>
      <c r="U509" t="str">
        <f>MID('paste from garc here'!$C$2,1+(('table for research'!$B509-456)*36+HEX2DEC('table for research'!U$1))*2,2)</f>
        <v>FF</v>
      </c>
      <c r="V509" t="str">
        <f>MID('paste from garc here'!$C$2,1+(('table for research'!$B509-456)*36+HEX2DEC('table for research'!V$1))*2,2)</f>
        <v>00</v>
      </c>
      <c r="W509" t="str">
        <f>MID('paste from garc here'!$C$2,1+(('table for research'!$B509-456)*36+HEX2DEC('table for research'!W$1))*2,2)</f>
        <v>00</v>
      </c>
      <c r="X509" t="str">
        <f>MID('paste from garc here'!$C$2,1+(('table for research'!$B509-456)*36+HEX2DEC('table for research'!X$1))*2,2)</f>
        <v>00</v>
      </c>
      <c r="Y509" t="str">
        <f>MID('paste from garc here'!$C$2,1+(('table for research'!$B509-456)*36+HEX2DEC('table for research'!Y$1))*2,2)</f>
        <v>00</v>
      </c>
      <c r="Z509" t="str">
        <f>MID('paste from garc here'!$C$2,1+(('table for research'!$B509-456)*36+HEX2DEC('table for research'!Z$1))*2,2)</f>
        <v>00</v>
      </c>
      <c r="AA509" t="str">
        <f>MID('paste from garc here'!$C$2,1+(('table for research'!$B509-456)*36+HEX2DEC('table for research'!AA$1))*2,2)</f>
        <v>00</v>
      </c>
      <c r="AB509" t="str">
        <f>MID('paste from garc here'!$C$2,1+(('table for research'!$B509-456)*36+HEX2DEC('table for research'!AB$1))*2,2)</f>
        <v>00</v>
      </c>
      <c r="AC509" t="str">
        <f>MID('paste from garc here'!$C$2,1+(('table for research'!$B509-456)*36+HEX2DEC('table for research'!AC$1))*2,2)</f>
        <v>00</v>
      </c>
      <c r="AD509" t="str">
        <f>MID('paste from garc here'!$C$2,1+(('table for research'!$B509-456)*36+HEX2DEC('table for research'!AD$1))*2,2)</f>
        <v>00</v>
      </c>
      <c r="AE509" t="str">
        <f>MID('paste from garc here'!$C$2,1+(('table for research'!$B509-456)*36+HEX2DEC('table for research'!AE$1))*2,2)</f>
        <v>00</v>
      </c>
      <c r="AF509" t="str">
        <f>MID('paste from garc here'!$C$2,1+(('table for research'!$B509-456)*36+HEX2DEC('table for research'!AF$1))*2,2)</f>
        <v>00</v>
      </c>
      <c r="AG509" t="str">
        <f>MID('paste from garc here'!$C$2,1+(('table for research'!$B509-456)*36+HEX2DEC('table for research'!AG$1))*2,2)</f>
        <v>00</v>
      </c>
      <c r="AH509" t="str">
        <f>MID('paste from garc here'!$C$2,1+(('table for research'!$B509-456)*36+HEX2DEC('table for research'!AH$1))*2,2)</f>
        <v>00</v>
      </c>
      <c r="AI509" t="str">
        <f>MID('paste from garc here'!$C$2,1+(('table for research'!$B509-456)*36+HEX2DEC('table for research'!AI$1))*2,2)</f>
        <v>00</v>
      </c>
      <c r="AJ509" t="str">
        <f>MID('paste from garc here'!$C$2,1+(('table for research'!$B509-456)*36+HEX2DEC('table for research'!AJ$1))*2,2)</f>
        <v>00</v>
      </c>
      <c r="AK509" t="str">
        <f>MID('paste from garc here'!$C$2,1+(('table for research'!$B509-456)*36+HEX2DEC('table for research'!AK$1))*2,2)</f>
        <v>00</v>
      </c>
      <c r="AL509" t="str">
        <f>MID('paste from garc here'!$C$2,1+(('table for research'!$B509-456)*36+HEX2DEC('table for research'!AL$1))*2,2)</f>
        <v>00</v>
      </c>
      <c r="AM509" t="str">
        <f>MID('paste from garc here'!$C$2,1+(('table for research'!$B509-456)*36+HEX2DEC('table for research'!AM$1))*2,2)</f>
        <v>00</v>
      </c>
      <c r="AN509" t="str">
        <f>MID('paste from garc here'!$C$2,1+(('table for research'!$B509-456)*36+HEX2DEC('table for research'!AN$1))*2,2)</f>
        <v>00</v>
      </c>
      <c r="AO509" t="str">
        <f>MID('paste from garc here'!$C$2,1+(('table for research'!$B509-456)*36+HEX2DEC('table for research'!AO$1))*2,2)</f>
        <v>00</v>
      </c>
    </row>
    <row r="510" spans="1:41" x14ac:dyDescent="0.4">
      <c r="A510" t="s">
        <v>512</v>
      </c>
      <c r="B510">
        <f>B509+1</f>
        <v>508</v>
      </c>
      <c r="C510" t="str">
        <f>MID('paste from garc here'!$C$2,1+(('table for research'!$B510-456)*36+HEX2DEC('table for research'!C$1))*2,2)</f>
        <v>00</v>
      </c>
      <c r="D510" t="str">
        <f>MID('paste from garc here'!$C$2,1+(('table for research'!$B510-456)*36+HEX2DEC('table for research'!D$1))*2,2)</f>
        <v>00</v>
      </c>
      <c r="E510" t="str">
        <f>MID('paste from garc here'!$C$2,1+(('table for research'!$B510-456)*36+HEX2DEC('table for research'!E$1))*2,2)</f>
        <v>00</v>
      </c>
      <c r="F510" t="str">
        <f>MID('paste from garc here'!$C$2,1+(('table for research'!$B510-456)*36+HEX2DEC('table for research'!F$1))*2,2)</f>
        <v>00</v>
      </c>
      <c r="G510" t="str">
        <f>MID('paste from garc here'!$C$2,1+(('table for research'!$B510-456)*36+HEX2DEC('table for research'!G$1))*2,2)</f>
        <v>00</v>
      </c>
      <c r="H510" t="str">
        <f>MID('paste from garc here'!$C$2,1+(('table for research'!$B510-456)*36+HEX2DEC('table for research'!H$1))*2,2)</f>
        <v>00</v>
      </c>
      <c r="I510" t="str">
        <f>MID('paste from garc here'!$C$2,1+(('table for research'!$B510-456)*36+HEX2DEC('table for research'!I$1))*2,2)</f>
        <v>00</v>
      </c>
      <c r="J510" t="str">
        <f>MID('paste from garc here'!$C$2,1+(('table for research'!$B510-456)*36+HEX2DEC('table for research'!J$1))*2,2)</f>
        <v>00</v>
      </c>
      <c r="K510" t="str">
        <f>DEC2HEX(_xlfn.BITAND(HEX2DEC(MID('paste from garc here'!$C$1,1+(('table for research'!$B510-1)*36+HEX2DEC(8))*2,2)),31),2)</f>
        <v>00</v>
      </c>
      <c r="L510" t="str">
        <f>DEC2HEX(_xlfn.BITAND(HEX2DEC(MID('paste from garc here'!$C$1,1+(('table for research'!$B510-1)*36+HEX2DEC(8))*2,2)),32),2)</f>
        <v>00</v>
      </c>
      <c r="M510" t="str">
        <f>DEC2HEX(_xlfn.BITAND(HEX2DEC(MID('paste from garc here'!$C$1,1+(('table for research'!$B510-1)*36+HEX2DEC(8))*2,2)),64),2)</f>
        <v>00</v>
      </c>
      <c r="N510" t="str">
        <f>DEC2HEX(_xlfn.BITRSHIFT(_xlfn.BITAND(HEX2DEC(MID('paste from garc here'!$C$1,1+(('table for research'!$B510-1)*36+HEX2DEC(9))*2,2)&amp;MID('paste from garc here'!$C$1,1+(('table for research'!$B510-1)*36+HEX2DEC(8))*2,2)),1920),7),2)</f>
        <v>00</v>
      </c>
      <c r="O510" t="str">
        <f>DEC2HEX(_xlfn.BITRSHIFT(HEX2DEC(MID('paste from garc here'!$C$1,1+(('table for research'!$B510-1)*36+HEX2DEC(9))*2,2)&amp;MID('paste from garc here'!$C$1,1+(('table for research'!$B510-1)*36+HEX2DEC(8))*2,2)),11),2)</f>
        <v>00</v>
      </c>
      <c r="P510" t="str">
        <f>MID('paste from garc here'!$C$2,1+(('table for research'!$B510-456)*36+HEX2DEC('table for research'!P$1))*2,2)</f>
        <v>00</v>
      </c>
      <c r="Q510" t="str">
        <f>MID('paste from garc here'!$C$2,1+(('table for research'!$B510-456)*36+HEX2DEC('table for research'!Q$1))*2,2)</f>
        <v>00</v>
      </c>
      <c r="R510" t="str">
        <f>MID('paste from garc here'!$C$2,1+(('table for research'!$B510-456)*36+HEX2DEC('table for research'!R$1))*2,2)</f>
        <v>00</v>
      </c>
      <c r="S510" t="str">
        <f>MID('paste from garc here'!$C$2,1+(('table for research'!$B510-456)*36+HEX2DEC('table for research'!S$1))*2,2)</f>
        <v>02</v>
      </c>
      <c r="T510" t="str">
        <f>MID('paste from garc here'!$C$2,1+(('table for research'!$B510-456)*36+HEX2DEC('table for research'!T$1))*2,2)</f>
        <v>00</v>
      </c>
      <c r="U510" t="str">
        <f>MID('paste from garc here'!$C$2,1+(('table for research'!$B510-456)*36+HEX2DEC('table for research'!U$1))*2,2)</f>
        <v>FF</v>
      </c>
      <c r="V510" t="str">
        <f>MID('paste from garc here'!$C$2,1+(('table for research'!$B510-456)*36+HEX2DEC('table for research'!V$1))*2,2)</f>
        <v>00</v>
      </c>
      <c r="W510" t="str">
        <f>MID('paste from garc here'!$C$2,1+(('table for research'!$B510-456)*36+HEX2DEC('table for research'!W$1))*2,2)</f>
        <v>00</v>
      </c>
      <c r="X510" t="str">
        <f>MID('paste from garc here'!$C$2,1+(('table for research'!$B510-456)*36+HEX2DEC('table for research'!X$1))*2,2)</f>
        <v>00</v>
      </c>
      <c r="Y510" t="str">
        <f>MID('paste from garc here'!$C$2,1+(('table for research'!$B510-456)*36+HEX2DEC('table for research'!Y$1))*2,2)</f>
        <v>00</v>
      </c>
      <c r="Z510" t="str">
        <f>MID('paste from garc here'!$C$2,1+(('table for research'!$B510-456)*36+HEX2DEC('table for research'!Z$1))*2,2)</f>
        <v>00</v>
      </c>
      <c r="AA510" t="str">
        <f>MID('paste from garc here'!$C$2,1+(('table for research'!$B510-456)*36+HEX2DEC('table for research'!AA$1))*2,2)</f>
        <v>00</v>
      </c>
      <c r="AB510" t="str">
        <f>MID('paste from garc here'!$C$2,1+(('table for research'!$B510-456)*36+HEX2DEC('table for research'!AB$1))*2,2)</f>
        <v>00</v>
      </c>
      <c r="AC510" t="str">
        <f>MID('paste from garc here'!$C$2,1+(('table for research'!$B510-456)*36+HEX2DEC('table for research'!AC$1))*2,2)</f>
        <v>00</v>
      </c>
      <c r="AD510" t="str">
        <f>MID('paste from garc here'!$C$2,1+(('table for research'!$B510-456)*36+HEX2DEC('table for research'!AD$1))*2,2)</f>
        <v>00</v>
      </c>
      <c r="AE510" t="str">
        <f>MID('paste from garc here'!$C$2,1+(('table for research'!$B510-456)*36+HEX2DEC('table for research'!AE$1))*2,2)</f>
        <v>00</v>
      </c>
      <c r="AF510" t="str">
        <f>MID('paste from garc here'!$C$2,1+(('table for research'!$B510-456)*36+HEX2DEC('table for research'!AF$1))*2,2)</f>
        <v>00</v>
      </c>
      <c r="AG510" t="str">
        <f>MID('paste from garc here'!$C$2,1+(('table for research'!$B510-456)*36+HEX2DEC('table for research'!AG$1))*2,2)</f>
        <v>00</v>
      </c>
      <c r="AH510" t="str">
        <f>MID('paste from garc here'!$C$2,1+(('table for research'!$B510-456)*36+HEX2DEC('table for research'!AH$1))*2,2)</f>
        <v>00</v>
      </c>
      <c r="AI510" t="str">
        <f>MID('paste from garc here'!$C$2,1+(('table for research'!$B510-456)*36+HEX2DEC('table for research'!AI$1))*2,2)</f>
        <v>00</v>
      </c>
      <c r="AJ510" t="str">
        <f>MID('paste from garc here'!$C$2,1+(('table for research'!$B510-456)*36+HEX2DEC('table for research'!AJ$1))*2,2)</f>
        <v>00</v>
      </c>
      <c r="AK510" t="str">
        <f>MID('paste from garc here'!$C$2,1+(('table for research'!$B510-456)*36+HEX2DEC('table for research'!AK$1))*2,2)</f>
        <v>00</v>
      </c>
      <c r="AL510" t="str">
        <f>MID('paste from garc here'!$C$2,1+(('table for research'!$B510-456)*36+HEX2DEC('table for research'!AL$1))*2,2)</f>
        <v>00</v>
      </c>
      <c r="AM510" t="str">
        <f>MID('paste from garc here'!$C$2,1+(('table for research'!$B510-456)*36+HEX2DEC('table for research'!AM$1))*2,2)</f>
        <v>00</v>
      </c>
      <c r="AN510" t="str">
        <f>MID('paste from garc here'!$C$2,1+(('table for research'!$B510-456)*36+HEX2DEC('table for research'!AN$1))*2,2)</f>
        <v>00</v>
      </c>
      <c r="AO510" t="str">
        <f>MID('paste from garc here'!$C$2,1+(('table for research'!$B510-456)*36+HEX2DEC('table for research'!AO$1))*2,2)</f>
        <v>00</v>
      </c>
    </row>
    <row r="511" spans="1:41" x14ac:dyDescent="0.4">
      <c r="A511" t="s">
        <v>513</v>
      </c>
      <c r="B511">
        <f>B510+1</f>
        <v>509</v>
      </c>
      <c r="C511" t="str">
        <f>MID('paste from garc here'!$C$2,1+(('table for research'!$B511-456)*36+HEX2DEC('table for research'!C$1))*2,2)</f>
        <v>00</v>
      </c>
      <c r="D511" t="str">
        <f>MID('paste from garc here'!$C$2,1+(('table for research'!$B511-456)*36+HEX2DEC('table for research'!D$1))*2,2)</f>
        <v>00</v>
      </c>
      <c r="E511" t="str">
        <f>MID('paste from garc here'!$C$2,1+(('table for research'!$B511-456)*36+HEX2DEC('table for research'!E$1))*2,2)</f>
        <v>00</v>
      </c>
      <c r="F511" t="str">
        <f>MID('paste from garc here'!$C$2,1+(('table for research'!$B511-456)*36+HEX2DEC('table for research'!F$1))*2,2)</f>
        <v>00</v>
      </c>
      <c r="G511" t="str">
        <f>MID('paste from garc here'!$C$2,1+(('table for research'!$B511-456)*36+HEX2DEC('table for research'!G$1))*2,2)</f>
        <v>00</v>
      </c>
      <c r="H511" t="str">
        <f>MID('paste from garc here'!$C$2,1+(('table for research'!$B511-456)*36+HEX2DEC('table for research'!H$1))*2,2)</f>
        <v>00</v>
      </c>
      <c r="I511" t="str">
        <f>MID('paste from garc here'!$C$2,1+(('table for research'!$B511-456)*36+HEX2DEC('table for research'!I$1))*2,2)</f>
        <v>00</v>
      </c>
      <c r="J511" t="str">
        <f>MID('paste from garc here'!$C$2,1+(('table for research'!$B511-456)*36+HEX2DEC('table for research'!J$1))*2,2)</f>
        <v>00</v>
      </c>
      <c r="K511" t="str">
        <f>DEC2HEX(_xlfn.BITAND(HEX2DEC(MID('paste from garc here'!$C$1,1+(('table for research'!$B511-1)*36+HEX2DEC(8))*2,2)),31),2)</f>
        <v>00</v>
      </c>
      <c r="L511" t="str">
        <f>DEC2HEX(_xlfn.BITAND(HEX2DEC(MID('paste from garc here'!$C$1,1+(('table for research'!$B511-1)*36+HEX2DEC(8))*2,2)),32),2)</f>
        <v>00</v>
      </c>
      <c r="M511" t="str">
        <f>DEC2HEX(_xlfn.BITAND(HEX2DEC(MID('paste from garc here'!$C$1,1+(('table for research'!$B511-1)*36+HEX2DEC(8))*2,2)),64),2)</f>
        <v>00</v>
      </c>
      <c r="N511" t="str">
        <f>DEC2HEX(_xlfn.BITRSHIFT(_xlfn.BITAND(HEX2DEC(MID('paste from garc here'!$C$1,1+(('table for research'!$B511-1)*36+HEX2DEC(9))*2,2)&amp;MID('paste from garc here'!$C$1,1+(('table for research'!$B511-1)*36+HEX2DEC(8))*2,2)),1920),7),2)</f>
        <v>00</v>
      </c>
      <c r="O511" t="str">
        <f>DEC2HEX(_xlfn.BITRSHIFT(HEX2DEC(MID('paste from garc here'!$C$1,1+(('table for research'!$B511-1)*36+HEX2DEC(9))*2,2)&amp;MID('paste from garc here'!$C$1,1+(('table for research'!$B511-1)*36+HEX2DEC(8))*2,2)),11),2)</f>
        <v>00</v>
      </c>
      <c r="P511" t="str">
        <f>MID('paste from garc here'!$C$2,1+(('table for research'!$B511-456)*36+HEX2DEC('table for research'!P$1))*2,2)</f>
        <v>00</v>
      </c>
      <c r="Q511" t="str">
        <f>MID('paste from garc here'!$C$2,1+(('table for research'!$B511-456)*36+HEX2DEC('table for research'!Q$1))*2,2)</f>
        <v>00</v>
      </c>
      <c r="R511" t="str">
        <f>MID('paste from garc here'!$C$2,1+(('table for research'!$B511-456)*36+HEX2DEC('table for research'!R$1))*2,2)</f>
        <v>00</v>
      </c>
      <c r="S511" t="str">
        <f>MID('paste from garc here'!$C$2,1+(('table for research'!$B511-456)*36+HEX2DEC('table for research'!S$1))*2,2)</f>
        <v>02</v>
      </c>
      <c r="T511" t="str">
        <f>MID('paste from garc here'!$C$2,1+(('table for research'!$B511-456)*36+HEX2DEC('table for research'!T$1))*2,2)</f>
        <v>00</v>
      </c>
      <c r="U511" t="str">
        <f>MID('paste from garc here'!$C$2,1+(('table for research'!$B511-456)*36+HEX2DEC('table for research'!U$1))*2,2)</f>
        <v>FF</v>
      </c>
      <c r="V511" t="str">
        <f>MID('paste from garc here'!$C$2,1+(('table for research'!$B511-456)*36+HEX2DEC('table for research'!V$1))*2,2)</f>
        <v>00</v>
      </c>
      <c r="W511" t="str">
        <f>MID('paste from garc here'!$C$2,1+(('table for research'!$B511-456)*36+HEX2DEC('table for research'!W$1))*2,2)</f>
        <v>00</v>
      </c>
      <c r="X511" t="str">
        <f>MID('paste from garc here'!$C$2,1+(('table for research'!$B511-456)*36+HEX2DEC('table for research'!X$1))*2,2)</f>
        <v>00</v>
      </c>
      <c r="Y511" t="str">
        <f>MID('paste from garc here'!$C$2,1+(('table for research'!$B511-456)*36+HEX2DEC('table for research'!Y$1))*2,2)</f>
        <v>00</v>
      </c>
      <c r="Z511" t="str">
        <f>MID('paste from garc here'!$C$2,1+(('table for research'!$B511-456)*36+HEX2DEC('table for research'!Z$1))*2,2)</f>
        <v>00</v>
      </c>
      <c r="AA511" t="str">
        <f>MID('paste from garc here'!$C$2,1+(('table for research'!$B511-456)*36+HEX2DEC('table for research'!AA$1))*2,2)</f>
        <v>00</v>
      </c>
      <c r="AB511" t="str">
        <f>MID('paste from garc here'!$C$2,1+(('table for research'!$B511-456)*36+HEX2DEC('table for research'!AB$1))*2,2)</f>
        <v>00</v>
      </c>
      <c r="AC511" t="str">
        <f>MID('paste from garc here'!$C$2,1+(('table for research'!$B511-456)*36+HEX2DEC('table for research'!AC$1))*2,2)</f>
        <v>00</v>
      </c>
      <c r="AD511" t="str">
        <f>MID('paste from garc here'!$C$2,1+(('table for research'!$B511-456)*36+HEX2DEC('table for research'!AD$1))*2,2)</f>
        <v>00</v>
      </c>
      <c r="AE511" t="str">
        <f>MID('paste from garc here'!$C$2,1+(('table for research'!$B511-456)*36+HEX2DEC('table for research'!AE$1))*2,2)</f>
        <v>00</v>
      </c>
      <c r="AF511" t="str">
        <f>MID('paste from garc here'!$C$2,1+(('table for research'!$B511-456)*36+HEX2DEC('table for research'!AF$1))*2,2)</f>
        <v>00</v>
      </c>
      <c r="AG511" t="str">
        <f>MID('paste from garc here'!$C$2,1+(('table for research'!$B511-456)*36+HEX2DEC('table for research'!AG$1))*2,2)</f>
        <v>00</v>
      </c>
      <c r="AH511" t="str">
        <f>MID('paste from garc here'!$C$2,1+(('table for research'!$B511-456)*36+HEX2DEC('table for research'!AH$1))*2,2)</f>
        <v>00</v>
      </c>
      <c r="AI511" t="str">
        <f>MID('paste from garc here'!$C$2,1+(('table for research'!$B511-456)*36+HEX2DEC('table for research'!AI$1))*2,2)</f>
        <v>00</v>
      </c>
      <c r="AJ511" t="str">
        <f>MID('paste from garc here'!$C$2,1+(('table for research'!$B511-456)*36+HEX2DEC('table for research'!AJ$1))*2,2)</f>
        <v>00</v>
      </c>
      <c r="AK511" t="str">
        <f>MID('paste from garc here'!$C$2,1+(('table for research'!$B511-456)*36+HEX2DEC('table for research'!AK$1))*2,2)</f>
        <v>00</v>
      </c>
      <c r="AL511" t="str">
        <f>MID('paste from garc here'!$C$2,1+(('table for research'!$B511-456)*36+HEX2DEC('table for research'!AL$1))*2,2)</f>
        <v>00</v>
      </c>
      <c r="AM511" t="str">
        <f>MID('paste from garc here'!$C$2,1+(('table for research'!$B511-456)*36+HEX2DEC('table for research'!AM$1))*2,2)</f>
        <v>00</v>
      </c>
      <c r="AN511" t="str">
        <f>MID('paste from garc here'!$C$2,1+(('table for research'!$B511-456)*36+HEX2DEC('table for research'!AN$1))*2,2)</f>
        <v>00</v>
      </c>
      <c r="AO511" t="str">
        <f>MID('paste from garc here'!$C$2,1+(('table for research'!$B511-456)*36+HEX2DEC('table for research'!AO$1))*2,2)</f>
        <v>00</v>
      </c>
    </row>
    <row r="512" spans="1:41" x14ac:dyDescent="0.4">
      <c r="A512" t="s">
        <v>514</v>
      </c>
      <c r="B512">
        <f>B511+1</f>
        <v>510</v>
      </c>
      <c r="C512" t="str">
        <f>MID('paste from garc here'!$C$2,1+(('table for research'!$B512-456)*36+HEX2DEC('table for research'!C$1))*2,2)</f>
        <v>00</v>
      </c>
      <c r="D512" t="str">
        <f>MID('paste from garc here'!$C$2,1+(('table for research'!$B512-456)*36+HEX2DEC('table for research'!D$1))*2,2)</f>
        <v>00</v>
      </c>
      <c r="E512" t="str">
        <f>MID('paste from garc here'!$C$2,1+(('table for research'!$B512-456)*36+HEX2DEC('table for research'!E$1))*2,2)</f>
        <v>00</v>
      </c>
      <c r="F512" t="str">
        <f>MID('paste from garc here'!$C$2,1+(('table for research'!$B512-456)*36+HEX2DEC('table for research'!F$1))*2,2)</f>
        <v>00</v>
      </c>
      <c r="G512" t="str">
        <f>MID('paste from garc here'!$C$2,1+(('table for research'!$B512-456)*36+HEX2DEC('table for research'!G$1))*2,2)</f>
        <v>00</v>
      </c>
      <c r="H512" t="str">
        <f>MID('paste from garc here'!$C$2,1+(('table for research'!$B512-456)*36+HEX2DEC('table for research'!H$1))*2,2)</f>
        <v>00</v>
      </c>
      <c r="I512" t="str">
        <f>MID('paste from garc here'!$C$2,1+(('table for research'!$B512-456)*36+HEX2DEC('table for research'!I$1))*2,2)</f>
        <v>00</v>
      </c>
      <c r="J512" t="str">
        <f>MID('paste from garc here'!$C$2,1+(('table for research'!$B512-456)*36+HEX2DEC('table for research'!J$1))*2,2)</f>
        <v>00</v>
      </c>
      <c r="K512" t="str">
        <f>DEC2HEX(_xlfn.BITAND(HEX2DEC(MID('paste from garc here'!$C$1,1+(('table for research'!$B512-1)*36+HEX2DEC(8))*2,2)),31),2)</f>
        <v>00</v>
      </c>
      <c r="L512" t="str">
        <f>DEC2HEX(_xlfn.BITAND(HEX2DEC(MID('paste from garc here'!$C$1,1+(('table for research'!$B512-1)*36+HEX2DEC(8))*2,2)),32),2)</f>
        <v>00</v>
      </c>
      <c r="M512" t="str">
        <f>DEC2HEX(_xlfn.BITAND(HEX2DEC(MID('paste from garc here'!$C$1,1+(('table for research'!$B512-1)*36+HEX2DEC(8))*2,2)),64),2)</f>
        <v>00</v>
      </c>
      <c r="N512" t="str">
        <f>DEC2HEX(_xlfn.BITRSHIFT(_xlfn.BITAND(HEX2DEC(MID('paste from garc here'!$C$1,1+(('table for research'!$B512-1)*36+HEX2DEC(9))*2,2)&amp;MID('paste from garc here'!$C$1,1+(('table for research'!$B512-1)*36+HEX2DEC(8))*2,2)),1920),7),2)</f>
        <v>00</v>
      </c>
      <c r="O512" t="str">
        <f>DEC2HEX(_xlfn.BITRSHIFT(HEX2DEC(MID('paste from garc here'!$C$1,1+(('table for research'!$B512-1)*36+HEX2DEC(9))*2,2)&amp;MID('paste from garc here'!$C$1,1+(('table for research'!$B512-1)*36+HEX2DEC(8))*2,2)),11),2)</f>
        <v>00</v>
      </c>
      <c r="P512" t="str">
        <f>MID('paste from garc here'!$C$2,1+(('table for research'!$B512-456)*36+HEX2DEC('table for research'!P$1))*2,2)</f>
        <v>00</v>
      </c>
      <c r="Q512" t="str">
        <f>MID('paste from garc here'!$C$2,1+(('table for research'!$B512-456)*36+HEX2DEC('table for research'!Q$1))*2,2)</f>
        <v>00</v>
      </c>
      <c r="R512" t="str">
        <f>MID('paste from garc here'!$C$2,1+(('table for research'!$B512-456)*36+HEX2DEC('table for research'!R$1))*2,2)</f>
        <v>00</v>
      </c>
      <c r="S512" t="str">
        <f>MID('paste from garc here'!$C$2,1+(('table for research'!$B512-456)*36+HEX2DEC('table for research'!S$1))*2,2)</f>
        <v>02</v>
      </c>
      <c r="T512" t="str">
        <f>MID('paste from garc here'!$C$2,1+(('table for research'!$B512-456)*36+HEX2DEC('table for research'!T$1))*2,2)</f>
        <v>00</v>
      </c>
      <c r="U512" t="str">
        <f>MID('paste from garc here'!$C$2,1+(('table for research'!$B512-456)*36+HEX2DEC('table for research'!U$1))*2,2)</f>
        <v>FF</v>
      </c>
      <c r="V512" t="str">
        <f>MID('paste from garc here'!$C$2,1+(('table for research'!$B512-456)*36+HEX2DEC('table for research'!V$1))*2,2)</f>
        <v>00</v>
      </c>
      <c r="W512" t="str">
        <f>MID('paste from garc here'!$C$2,1+(('table for research'!$B512-456)*36+HEX2DEC('table for research'!W$1))*2,2)</f>
        <v>00</v>
      </c>
      <c r="X512" t="str">
        <f>MID('paste from garc here'!$C$2,1+(('table for research'!$B512-456)*36+HEX2DEC('table for research'!X$1))*2,2)</f>
        <v>00</v>
      </c>
      <c r="Y512" t="str">
        <f>MID('paste from garc here'!$C$2,1+(('table for research'!$B512-456)*36+HEX2DEC('table for research'!Y$1))*2,2)</f>
        <v>00</v>
      </c>
      <c r="Z512" t="str">
        <f>MID('paste from garc here'!$C$2,1+(('table for research'!$B512-456)*36+HEX2DEC('table for research'!Z$1))*2,2)</f>
        <v>00</v>
      </c>
      <c r="AA512" t="str">
        <f>MID('paste from garc here'!$C$2,1+(('table for research'!$B512-456)*36+HEX2DEC('table for research'!AA$1))*2,2)</f>
        <v>00</v>
      </c>
      <c r="AB512" t="str">
        <f>MID('paste from garc here'!$C$2,1+(('table for research'!$B512-456)*36+HEX2DEC('table for research'!AB$1))*2,2)</f>
        <v>00</v>
      </c>
      <c r="AC512" t="str">
        <f>MID('paste from garc here'!$C$2,1+(('table for research'!$B512-456)*36+HEX2DEC('table for research'!AC$1))*2,2)</f>
        <v>00</v>
      </c>
      <c r="AD512" t="str">
        <f>MID('paste from garc here'!$C$2,1+(('table for research'!$B512-456)*36+HEX2DEC('table for research'!AD$1))*2,2)</f>
        <v>00</v>
      </c>
      <c r="AE512" t="str">
        <f>MID('paste from garc here'!$C$2,1+(('table for research'!$B512-456)*36+HEX2DEC('table for research'!AE$1))*2,2)</f>
        <v>00</v>
      </c>
      <c r="AF512" t="str">
        <f>MID('paste from garc here'!$C$2,1+(('table for research'!$B512-456)*36+HEX2DEC('table for research'!AF$1))*2,2)</f>
        <v>00</v>
      </c>
      <c r="AG512" t="str">
        <f>MID('paste from garc here'!$C$2,1+(('table for research'!$B512-456)*36+HEX2DEC('table for research'!AG$1))*2,2)</f>
        <v>00</v>
      </c>
      <c r="AH512" t="str">
        <f>MID('paste from garc here'!$C$2,1+(('table for research'!$B512-456)*36+HEX2DEC('table for research'!AH$1))*2,2)</f>
        <v>00</v>
      </c>
      <c r="AI512" t="str">
        <f>MID('paste from garc here'!$C$2,1+(('table for research'!$B512-456)*36+HEX2DEC('table for research'!AI$1))*2,2)</f>
        <v>00</v>
      </c>
      <c r="AJ512" t="str">
        <f>MID('paste from garc here'!$C$2,1+(('table for research'!$B512-456)*36+HEX2DEC('table for research'!AJ$1))*2,2)</f>
        <v>00</v>
      </c>
      <c r="AK512" t="str">
        <f>MID('paste from garc here'!$C$2,1+(('table for research'!$B512-456)*36+HEX2DEC('table for research'!AK$1))*2,2)</f>
        <v>00</v>
      </c>
      <c r="AL512" t="str">
        <f>MID('paste from garc here'!$C$2,1+(('table for research'!$B512-456)*36+HEX2DEC('table for research'!AL$1))*2,2)</f>
        <v>00</v>
      </c>
      <c r="AM512" t="str">
        <f>MID('paste from garc here'!$C$2,1+(('table for research'!$B512-456)*36+HEX2DEC('table for research'!AM$1))*2,2)</f>
        <v>00</v>
      </c>
      <c r="AN512" t="str">
        <f>MID('paste from garc here'!$C$2,1+(('table for research'!$B512-456)*36+HEX2DEC('table for research'!AN$1))*2,2)</f>
        <v>00</v>
      </c>
      <c r="AO512" t="str">
        <f>MID('paste from garc here'!$C$2,1+(('table for research'!$B512-456)*36+HEX2DEC('table for research'!AO$1))*2,2)</f>
        <v>00</v>
      </c>
    </row>
    <row r="513" spans="1:41" x14ac:dyDescent="0.4">
      <c r="A513" t="s">
        <v>515</v>
      </c>
      <c r="B513">
        <f>B512+1</f>
        <v>511</v>
      </c>
      <c r="C513" t="str">
        <f>MID('paste from garc here'!$C$2,1+(('table for research'!$B513-456)*36+HEX2DEC('table for research'!C$1))*2,2)</f>
        <v>00</v>
      </c>
      <c r="D513" t="str">
        <f>MID('paste from garc here'!$C$2,1+(('table for research'!$B513-456)*36+HEX2DEC('table for research'!D$1))*2,2)</f>
        <v>00</v>
      </c>
      <c r="E513" t="str">
        <f>MID('paste from garc here'!$C$2,1+(('table for research'!$B513-456)*36+HEX2DEC('table for research'!E$1))*2,2)</f>
        <v>00</v>
      </c>
      <c r="F513" t="str">
        <f>MID('paste from garc here'!$C$2,1+(('table for research'!$B513-456)*36+HEX2DEC('table for research'!F$1))*2,2)</f>
        <v>00</v>
      </c>
      <c r="G513" t="str">
        <f>MID('paste from garc here'!$C$2,1+(('table for research'!$B513-456)*36+HEX2DEC('table for research'!G$1))*2,2)</f>
        <v>00</v>
      </c>
      <c r="H513" t="str">
        <f>MID('paste from garc here'!$C$2,1+(('table for research'!$B513-456)*36+HEX2DEC('table for research'!H$1))*2,2)</f>
        <v>00</v>
      </c>
      <c r="I513" t="str">
        <f>MID('paste from garc here'!$C$2,1+(('table for research'!$B513-456)*36+HEX2DEC('table for research'!I$1))*2,2)</f>
        <v>00</v>
      </c>
      <c r="J513" t="str">
        <f>MID('paste from garc here'!$C$2,1+(('table for research'!$B513-456)*36+HEX2DEC('table for research'!J$1))*2,2)</f>
        <v>00</v>
      </c>
      <c r="K513" t="str">
        <f>DEC2HEX(_xlfn.BITAND(HEX2DEC(MID('paste from garc here'!$C$1,1+(('table for research'!$B513-1)*36+HEX2DEC(8))*2,2)),31),2)</f>
        <v>00</v>
      </c>
      <c r="L513" t="str">
        <f>DEC2HEX(_xlfn.BITAND(HEX2DEC(MID('paste from garc here'!$C$1,1+(('table for research'!$B513-1)*36+HEX2DEC(8))*2,2)),32),2)</f>
        <v>00</v>
      </c>
      <c r="M513" t="str">
        <f>DEC2HEX(_xlfn.BITAND(HEX2DEC(MID('paste from garc here'!$C$1,1+(('table for research'!$B513-1)*36+HEX2DEC(8))*2,2)),64),2)</f>
        <v>00</v>
      </c>
      <c r="N513" t="str">
        <f>DEC2HEX(_xlfn.BITRSHIFT(_xlfn.BITAND(HEX2DEC(MID('paste from garc here'!$C$1,1+(('table for research'!$B513-1)*36+HEX2DEC(9))*2,2)&amp;MID('paste from garc here'!$C$1,1+(('table for research'!$B513-1)*36+HEX2DEC(8))*2,2)),1920),7),2)</f>
        <v>00</v>
      </c>
      <c r="O513" t="str">
        <f>DEC2HEX(_xlfn.BITRSHIFT(HEX2DEC(MID('paste from garc here'!$C$1,1+(('table for research'!$B513-1)*36+HEX2DEC(9))*2,2)&amp;MID('paste from garc here'!$C$1,1+(('table for research'!$B513-1)*36+HEX2DEC(8))*2,2)),11),2)</f>
        <v>00</v>
      </c>
      <c r="P513" t="str">
        <f>MID('paste from garc here'!$C$2,1+(('table for research'!$B513-456)*36+HEX2DEC('table for research'!P$1))*2,2)</f>
        <v>00</v>
      </c>
      <c r="Q513" t="str">
        <f>MID('paste from garc here'!$C$2,1+(('table for research'!$B513-456)*36+HEX2DEC('table for research'!Q$1))*2,2)</f>
        <v>00</v>
      </c>
      <c r="R513" t="str">
        <f>MID('paste from garc here'!$C$2,1+(('table for research'!$B513-456)*36+HEX2DEC('table for research'!R$1))*2,2)</f>
        <v>00</v>
      </c>
      <c r="S513" t="str">
        <f>MID('paste from garc here'!$C$2,1+(('table for research'!$B513-456)*36+HEX2DEC('table for research'!S$1))*2,2)</f>
        <v>02</v>
      </c>
      <c r="T513" t="str">
        <f>MID('paste from garc here'!$C$2,1+(('table for research'!$B513-456)*36+HEX2DEC('table for research'!T$1))*2,2)</f>
        <v>00</v>
      </c>
      <c r="U513" t="str">
        <f>MID('paste from garc here'!$C$2,1+(('table for research'!$B513-456)*36+HEX2DEC('table for research'!U$1))*2,2)</f>
        <v>FF</v>
      </c>
      <c r="V513" t="str">
        <f>MID('paste from garc here'!$C$2,1+(('table for research'!$B513-456)*36+HEX2DEC('table for research'!V$1))*2,2)</f>
        <v>00</v>
      </c>
      <c r="W513" t="str">
        <f>MID('paste from garc here'!$C$2,1+(('table for research'!$B513-456)*36+HEX2DEC('table for research'!W$1))*2,2)</f>
        <v>00</v>
      </c>
      <c r="X513" t="str">
        <f>MID('paste from garc here'!$C$2,1+(('table for research'!$B513-456)*36+HEX2DEC('table for research'!X$1))*2,2)</f>
        <v>00</v>
      </c>
      <c r="Y513" t="str">
        <f>MID('paste from garc here'!$C$2,1+(('table for research'!$B513-456)*36+HEX2DEC('table for research'!Y$1))*2,2)</f>
        <v>00</v>
      </c>
      <c r="Z513" t="str">
        <f>MID('paste from garc here'!$C$2,1+(('table for research'!$B513-456)*36+HEX2DEC('table for research'!Z$1))*2,2)</f>
        <v>00</v>
      </c>
      <c r="AA513" t="str">
        <f>MID('paste from garc here'!$C$2,1+(('table for research'!$B513-456)*36+HEX2DEC('table for research'!AA$1))*2,2)</f>
        <v>00</v>
      </c>
      <c r="AB513" t="str">
        <f>MID('paste from garc here'!$C$2,1+(('table for research'!$B513-456)*36+HEX2DEC('table for research'!AB$1))*2,2)</f>
        <v>00</v>
      </c>
      <c r="AC513" t="str">
        <f>MID('paste from garc here'!$C$2,1+(('table for research'!$B513-456)*36+HEX2DEC('table for research'!AC$1))*2,2)</f>
        <v>00</v>
      </c>
      <c r="AD513" t="str">
        <f>MID('paste from garc here'!$C$2,1+(('table for research'!$B513-456)*36+HEX2DEC('table for research'!AD$1))*2,2)</f>
        <v>00</v>
      </c>
      <c r="AE513" t="str">
        <f>MID('paste from garc here'!$C$2,1+(('table for research'!$B513-456)*36+HEX2DEC('table for research'!AE$1))*2,2)</f>
        <v>00</v>
      </c>
      <c r="AF513" t="str">
        <f>MID('paste from garc here'!$C$2,1+(('table for research'!$B513-456)*36+HEX2DEC('table for research'!AF$1))*2,2)</f>
        <v>00</v>
      </c>
      <c r="AG513" t="str">
        <f>MID('paste from garc here'!$C$2,1+(('table for research'!$B513-456)*36+HEX2DEC('table for research'!AG$1))*2,2)</f>
        <v>00</v>
      </c>
      <c r="AH513" t="str">
        <f>MID('paste from garc here'!$C$2,1+(('table for research'!$B513-456)*36+HEX2DEC('table for research'!AH$1))*2,2)</f>
        <v>00</v>
      </c>
      <c r="AI513" t="str">
        <f>MID('paste from garc here'!$C$2,1+(('table for research'!$B513-456)*36+HEX2DEC('table for research'!AI$1))*2,2)</f>
        <v>00</v>
      </c>
      <c r="AJ513" t="str">
        <f>MID('paste from garc here'!$C$2,1+(('table for research'!$B513-456)*36+HEX2DEC('table for research'!AJ$1))*2,2)</f>
        <v>00</v>
      </c>
      <c r="AK513" t="str">
        <f>MID('paste from garc here'!$C$2,1+(('table for research'!$B513-456)*36+HEX2DEC('table for research'!AK$1))*2,2)</f>
        <v>00</v>
      </c>
      <c r="AL513" t="str">
        <f>MID('paste from garc here'!$C$2,1+(('table for research'!$B513-456)*36+HEX2DEC('table for research'!AL$1))*2,2)</f>
        <v>00</v>
      </c>
      <c r="AM513" t="str">
        <f>MID('paste from garc here'!$C$2,1+(('table for research'!$B513-456)*36+HEX2DEC('table for research'!AM$1))*2,2)</f>
        <v>00</v>
      </c>
      <c r="AN513" t="str">
        <f>MID('paste from garc here'!$C$2,1+(('table for research'!$B513-456)*36+HEX2DEC('table for research'!AN$1))*2,2)</f>
        <v>00</v>
      </c>
      <c r="AO513" t="str">
        <f>MID('paste from garc here'!$C$2,1+(('table for research'!$B513-456)*36+HEX2DEC('table for research'!AO$1))*2,2)</f>
        <v>00</v>
      </c>
    </row>
    <row r="514" spans="1:41" x14ac:dyDescent="0.4">
      <c r="A514" t="s">
        <v>516</v>
      </c>
      <c r="B514">
        <f>B513+1</f>
        <v>512</v>
      </c>
      <c r="C514" t="str">
        <f>MID('paste from garc here'!$C$2,1+(('table for research'!$B514-456)*36+HEX2DEC('table for research'!C$1))*2,2)</f>
        <v>00</v>
      </c>
      <c r="D514" t="str">
        <f>MID('paste from garc here'!$C$2,1+(('table for research'!$B514-456)*36+HEX2DEC('table for research'!D$1))*2,2)</f>
        <v>00</v>
      </c>
      <c r="E514" t="str">
        <f>MID('paste from garc here'!$C$2,1+(('table for research'!$B514-456)*36+HEX2DEC('table for research'!E$1))*2,2)</f>
        <v>00</v>
      </c>
      <c r="F514" t="str">
        <f>MID('paste from garc here'!$C$2,1+(('table for research'!$B514-456)*36+HEX2DEC('table for research'!F$1))*2,2)</f>
        <v>00</v>
      </c>
      <c r="G514" t="str">
        <f>MID('paste from garc here'!$C$2,1+(('table for research'!$B514-456)*36+HEX2DEC('table for research'!G$1))*2,2)</f>
        <v>00</v>
      </c>
      <c r="H514" t="str">
        <f>MID('paste from garc here'!$C$2,1+(('table for research'!$B514-456)*36+HEX2DEC('table for research'!H$1))*2,2)</f>
        <v>00</v>
      </c>
      <c r="I514" t="str">
        <f>MID('paste from garc here'!$C$2,1+(('table for research'!$B514-456)*36+HEX2DEC('table for research'!I$1))*2,2)</f>
        <v>00</v>
      </c>
      <c r="J514" t="str">
        <f>MID('paste from garc here'!$C$2,1+(('table for research'!$B514-456)*36+HEX2DEC('table for research'!J$1))*2,2)</f>
        <v>00</v>
      </c>
      <c r="K514" t="str">
        <f>DEC2HEX(_xlfn.BITAND(HEX2DEC(MID('paste from garc here'!$C$1,1+(('table for research'!$B514-1)*36+HEX2DEC(8))*2,2)),31),2)</f>
        <v>00</v>
      </c>
      <c r="L514" t="str">
        <f>DEC2HEX(_xlfn.BITAND(HEX2DEC(MID('paste from garc here'!$C$1,1+(('table for research'!$B514-1)*36+HEX2DEC(8))*2,2)),32),2)</f>
        <v>00</v>
      </c>
      <c r="M514" t="str">
        <f>DEC2HEX(_xlfn.BITAND(HEX2DEC(MID('paste from garc here'!$C$1,1+(('table for research'!$B514-1)*36+HEX2DEC(8))*2,2)),64),2)</f>
        <v>00</v>
      </c>
      <c r="N514" t="str">
        <f>DEC2HEX(_xlfn.BITRSHIFT(_xlfn.BITAND(HEX2DEC(MID('paste from garc here'!$C$1,1+(('table for research'!$B514-1)*36+HEX2DEC(9))*2,2)&amp;MID('paste from garc here'!$C$1,1+(('table for research'!$B514-1)*36+HEX2DEC(8))*2,2)),1920),7),2)</f>
        <v>00</v>
      </c>
      <c r="O514" t="str">
        <f>DEC2HEX(_xlfn.BITRSHIFT(HEX2DEC(MID('paste from garc here'!$C$1,1+(('table for research'!$B514-1)*36+HEX2DEC(9))*2,2)&amp;MID('paste from garc here'!$C$1,1+(('table for research'!$B514-1)*36+HEX2DEC(8))*2,2)),11),2)</f>
        <v>00</v>
      </c>
      <c r="P514" t="str">
        <f>MID('paste from garc here'!$C$2,1+(('table for research'!$B514-456)*36+HEX2DEC('table for research'!P$1))*2,2)</f>
        <v>00</v>
      </c>
      <c r="Q514" t="str">
        <f>MID('paste from garc here'!$C$2,1+(('table for research'!$B514-456)*36+HEX2DEC('table for research'!Q$1))*2,2)</f>
        <v>00</v>
      </c>
      <c r="R514" t="str">
        <f>MID('paste from garc here'!$C$2,1+(('table for research'!$B514-456)*36+HEX2DEC('table for research'!R$1))*2,2)</f>
        <v>00</v>
      </c>
      <c r="S514" t="str">
        <f>MID('paste from garc here'!$C$2,1+(('table for research'!$B514-456)*36+HEX2DEC('table for research'!S$1))*2,2)</f>
        <v>02</v>
      </c>
      <c r="T514" t="str">
        <f>MID('paste from garc here'!$C$2,1+(('table for research'!$B514-456)*36+HEX2DEC('table for research'!T$1))*2,2)</f>
        <v>00</v>
      </c>
      <c r="U514" t="str">
        <f>MID('paste from garc here'!$C$2,1+(('table for research'!$B514-456)*36+HEX2DEC('table for research'!U$1))*2,2)</f>
        <v>FF</v>
      </c>
      <c r="V514" t="str">
        <f>MID('paste from garc here'!$C$2,1+(('table for research'!$B514-456)*36+HEX2DEC('table for research'!V$1))*2,2)</f>
        <v>00</v>
      </c>
      <c r="W514" t="str">
        <f>MID('paste from garc here'!$C$2,1+(('table for research'!$B514-456)*36+HEX2DEC('table for research'!W$1))*2,2)</f>
        <v>00</v>
      </c>
      <c r="X514" t="str">
        <f>MID('paste from garc here'!$C$2,1+(('table for research'!$B514-456)*36+HEX2DEC('table for research'!X$1))*2,2)</f>
        <v>00</v>
      </c>
      <c r="Y514" t="str">
        <f>MID('paste from garc here'!$C$2,1+(('table for research'!$B514-456)*36+HEX2DEC('table for research'!Y$1))*2,2)</f>
        <v>00</v>
      </c>
      <c r="Z514" t="str">
        <f>MID('paste from garc here'!$C$2,1+(('table for research'!$B514-456)*36+HEX2DEC('table for research'!Z$1))*2,2)</f>
        <v>00</v>
      </c>
      <c r="AA514" t="str">
        <f>MID('paste from garc here'!$C$2,1+(('table for research'!$B514-456)*36+HEX2DEC('table for research'!AA$1))*2,2)</f>
        <v>00</v>
      </c>
      <c r="AB514" t="str">
        <f>MID('paste from garc here'!$C$2,1+(('table for research'!$B514-456)*36+HEX2DEC('table for research'!AB$1))*2,2)</f>
        <v>00</v>
      </c>
      <c r="AC514" t="str">
        <f>MID('paste from garc here'!$C$2,1+(('table for research'!$B514-456)*36+HEX2DEC('table for research'!AC$1))*2,2)</f>
        <v>00</v>
      </c>
      <c r="AD514" t="str">
        <f>MID('paste from garc here'!$C$2,1+(('table for research'!$B514-456)*36+HEX2DEC('table for research'!AD$1))*2,2)</f>
        <v>00</v>
      </c>
      <c r="AE514" t="str">
        <f>MID('paste from garc here'!$C$2,1+(('table for research'!$B514-456)*36+HEX2DEC('table for research'!AE$1))*2,2)</f>
        <v>00</v>
      </c>
      <c r="AF514" t="str">
        <f>MID('paste from garc here'!$C$2,1+(('table for research'!$B514-456)*36+HEX2DEC('table for research'!AF$1))*2,2)</f>
        <v>00</v>
      </c>
      <c r="AG514" t="str">
        <f>MID('paste from garc here'!$C$2,1+(('table for research'!$B514-456)*36+HEX2DEC('table for research'!AG$1))*2,2)</f>
        <v>00</v>
      </c>
      <c r="AH514" t="str">
        <f>MID('paste from garc here'!$C$2,1+(('table for research'!$B514-456)*36+HEX2DEC('table for research'!AH$1))*2,2)</f>
        <v>00</v>
      </c>
      <c r="AI514" t="str">
        <f>MID('paste from garc here'!$C$2,1+(('table for research'!$B514-456)*36+HEX2DEC('table for research'!AI$1))*2,2)</f>
        <v>00</v>
      </c>
      <c r="AJ514" t="str">
        <f>MID('paste from garc here'!$C$2,1+(('table for research'!$B514-456)*36+HEX2DEC('table for research'!AJ$1))*2,2)</f>
        <v>00</v>
      </c>
      <c r="AK514" t="str">
        <f>MID('paste from garc here'!$C$2,1+(('table for research'!$B514-456)*36+HEX2DEC('table for research'!AK$1))*2,2)</f>
        <v>00</v>
      </c>
      <c r="AL514" t="str">
        <f>MID('paste from garc here'!$C$2,1+(('table for research'!$B514-456)*36+HEX2DEC('table for research'!AL$1))*2,2)</f>
        <v>00</v>
      </c>
      <c r="AM514" t="str">
        <f>MID('paste from garc here'!$C$2,1+(('table for research'!$B514-456)*36+HEX2DEC('table for research'!AM$1))*2,2)</f>
        <v>00</v>
      </c>
      <c r="AN514" t="str">
        <f>MID('paste from garc here'!$C$2,1+(('table for research'!$B514-456)*36+HEX2DEC('table for research'!AN$1))*2,2)</f>
        <v>00</v>
      </c>
      <c r="AO514" t="str">
        <f>MID('paste from garc here'!$C$2,1+(('table for research'!$B514-456)*36+HEX2DEC('table for research'!AO$1))*2,2)</f>
        <v>00</v>
      </c>
    </row>
    <row r="515" spans="1:41" x14ac:dyDescent="0.4">
      <c r="A515" t="s">
        <v>517</v>
      </c>
      <c r="B515">
        <f>B514+1</f>
        <v>513</v>
      </c>
      <c r="C515" t="str">
        <f>MID('paste from garc here'!$C$2,1+(('table for research'!$B515-456)*36+HEX2DEC('table for research'!C$1))*2,2)</f>
        <v>00</v>
      </c>
      <c r="D515" t="str">
        <f>MID('paste from garc here'!$C$2,1+(('table for research'!$B515-456)*36+HEX2DEC('table for research'!D$1))*2,2)</f>
        <v>00</v>
      </c>
      <c r="E515" t="str">
        <f>MID('paste from garc here'!$C$2,1+(('table for research'!$B515-456)*36+HEX2DEC('table for research'!E$1))*2,2)</f>
        <v>00</v>
      </c>
      <c r="F515" t="str">
        <f>MID('paste from garc here'!$C$2,1+(('table for research'!$B515-456)*36+HEX2DEC('table for research'!F$1))*2,2)</f>
        <v>00</v>
      </c>
      <c r="G515" t="str">
        <f>MID('paste from garc here'!$C$2,1+(('table for research'!$B515-456)*36+HEX2DEC('table for research'!G$1))*2,2)</f>
        <v>00</v>
      </c>
      <c r="H515" t="str">
        <f>MID('paste from garc here'!$C$2,1+(('table for research'!$B515-456)*36+HEX2DEC('table for research'!H$1))*2,2)</f>
        <v>00</v>
      </c>
      <c r="I515" t="str">
        <f>MID('paste from garc here'!$C$2,1+(('table for research'!$B515-456)*36+HEX2DEC('table for research'!I$1))*2,2)</f>
        <v>00</v>
      </c>
      <c r="J515" t="str">
        <f>MID('paste from garc here'!$C$2,1+(('table for research'!$B515-456)*36+HEX2DEC('table for research'!J$1))*2,2)</f>
        <v>00</v>
      </c>
      <c r="K515" t="str">
        <f>DEC2HEX(_xlfn.BITAND(HEX2DEC(MID('paste from garc here'!$C$1,1+(('table for research'!$B515-1)*36+HEX2DEC(8))*2,2)),31),2)</f>
        <v>00</v>
      </c>
      <c r="L515" t="str">
        <f>DEC2HEX(_xlfn.BITAND(HEX2DEC(MID('paste from garc here'!$C$1,1+(('table for research'!$B515-1)*36+HEX2DEC(8))*2,2)),32),2)</f>
        <v>00</v>
      </c>
      <c r="M515" t="str">
        <f>DEC2HEX(_xlfn.BITAND(HEX2DEC(MID('paste from garc here'!$C$1,1+(('table for research'!$B515-1)*36+HEX2DEC(8))*2,2)),64),2)</f>
        <v>00</v>
      </c>
      <c r="N515" t="str">
        <f>DEC2HEX(_xlfn.BITRSHIFT(_xlfn.BITAND(HEX2DEC(MID('paste from garc here'!$C$1,1+(('table for research'!$B515-1)*36+HEX2DEC(9))*2,2)&amp;MID('paste from garc here'!$C$1,1+(('table for research'!$B515-1)*36+HEX2DEC(8))*2,2)),1920),7),2)</f>
        <v>00</v>
      </c>
      <c r="O515" t="str">
        <f>DEC2HEX(_xlfn.BITRSHIFT(HEX2DEC(MID('paste from garc here'!$C$1,1+(('table for research'!$B515-1)*36+HEX2DEC(9))*2,2)&amp;MID('paste from garc here'!$C$1,1+(('table for research'!$B515-1)*36+HEX2DEC(8))*2,2)),11),2)</f>
        <v>00</v>
      </c>
      <c r="P515" t="str">
        <f>MID('paste from garc here'!$C$2,1+(('table for research'!$B515-456)*36+HEX2DEC('table for research'!P$1))*2,2)</f>
        <v>00</v>
      </c>
      <c r="Q515" t="str">
        <f>MID('paste from garc here'!$C$2,1+(('table for research'!$B515-456)*36+HEX2DEC('table for research'!Q$1))*2,2)</f>
        <v>00</v>
      </c>
      <c r="R515" t="str">
        <f>MID('paste from garc here'!$C$2,1+(('table for research'!$B515-456)*36+HEX2DEC('table for research'!R$1))*2,2)</f>
        <v>00</v>
      </c>
      <c r="S515" t="str">
        <f>MID('paste from garc here'!$C$2,1+(('table for research'!$B515-456)*36+HEX2DEC('table for research'!S$1))*2,2)</f>
        <v>02</v>
      </c>
      <c r="T515" t="str">
        <f>MID('paste from garc here'!$C$2,1+(('table for research'!$B515-456)*36+HEX2DEC('table for research'!T$1))*2,2)</f>
        <v>00</v>
      </c>
      <c r="U515" t="str">
        <f>MID('paste from garc here'!$C$2,1+(('table for research'!$B515-456)*36+HEX2DEC('table for research'!U$1))*2,2)</f>
        <v>FF</v>
      </c>
      <c r="V515" t="str">
        <f>MID('paste from garc here'!$C$2,1+(('table for research'!$B515-456)*36+HEX2DEC('table for research'!V$1))*2,2)</f>
        <v>00</v>
      </c>
      <c r="W515" t="str">
        <f>MID('paste from garc here'!$C$2,1+(('table for research'!$B515-456)*36+HEX2DEC('table for research'!W$1))*2,2)</f>
        <v>00</v>
      </c>
      <c r="X515" t="str">
        <f>MID('paste from garc here'!$C$2,1+(('table for research'!$B515-456)*36+HEX2DEC('table for research'!X$1))*2,2)</f>
        <v>00</v>
      </c>
      <c r="Y515" t="str">
        <f>MID('paste from garc here'!$C$2,1+(('table for research'!$B515-456)*36+HEX2DEC('table for research'!Y$1))*2,2)</f>
        <v>00</v>
      </c>
      <c r="Z515" t="str">
        <f>MID('paste from garc here'!$C$2,1+(('table for research'!$B515-456)*36+HEX2DEC('table for research'!Z$1))*2,2)</f>
        <v>00</v>
      </c>
      <c r="AA515" t="str">
        <f>MID('paste from garc here'!$C$2,1+(('table for research'!$B515-456)*36+HEX2DEC('table for research'!AA$1))*2,2)</f>
        <v>00</v>
      </c>
      <c r="AB515" t="str">
        <f>MID('paste from garc here'!$C$2,1+(('table for research'!$B515-456)*36+HEX2DEC('table for research'!AB$1))*2,2)</f>
        <v>00</v>
      </c>
      <c r="AC515" t="str">
        <f>MID('paste from garc here'!$C$2,1+(('table for research'!$B515-456)*36+HEX2DEC('table for research'!AC$1))*2,2)</f>
        <v>00</v>
      </c>
      <c r="AD515" t="str">
        <f>MID('paste from garc here'!$C$2,1+(('table for research'!$B515-456)*36+HEX2DEC('table for research'!AD$1))*2,2)</f>
        <v>00</v>
      </c>
      <c r="AE515" t="str">
        <f>MID('paste from garc here'!$C$2,1+(('table for research'!$B515-456)*36+HEX2DEC('table for research'!AE$1))*2,2)</f>
        <v>00</v>
      </c>
      <c r="AF515" t="str">
        <f>MID('paste from garc here'!$C$2,1+(('table for research'!$B515-456)*36+HEX2DEC('table for research'!AF$1))*2,2)</f>
        <v>00</v>
      </c>
      <c r="AG515" t="str">
        <f>MID('paste from garc here'!$C$2,1+(('table for research'!$B515-456)*36+HEX2DEC('table for research'!AG$1))*2,2)</f>
        <v>00</v>
      </c>
      <c r="AH515" t="str">
        <f>MID('paste from garc here'!$C$2,1+(('table for research'!$B515-456)*36+HEX2DEC('table for research'!AH$1))*2,2)</f>
        <v>00</v>
      </c>
      <c r="AI515" t="str">
        <f>MID('paste from garc here'!$C$2,1+(('table for research'!$B515-456)*36+HEX2DEC('table for research'!AI$1))*2,2)</f>
        <v>00</v>
      </c>
      <c r="AJ515" t="str">
        <f>MID('paste from garc here'!$C$2,1+(('table for research'!$B515-456)*36+HEX2DEC('table for research'!AJ$1))*2,2)</f>
        <v>00</v>
      </c>
      <c r="AK515" t="str">
        <f>MID('paste from garc here'!$C$2,1+(('table for research'!$B515-456)*36+HEX2DEC('table for research'!AK$1))*2,2)</f>
        <v>00</v>
      </c>
      <c r="AL515" t="str">
        <f>MID('paste from garc here'!$C$2,1+(('table for research'!$B515-456)*36+HEX2DEC('table for research'!AL$1))*2,2)</f>
        <v>00</v>
      </c>
      <c r="AM515" t="str">
        <f>MID('paste from garc here'!$C$2,1+(('table for research'!$B515-456)*36+HEX2DEC('table for research'!AM$1))*2,2)</f>
        <v>00</v>
      </c>
      <c r="AN515" t="str">
        <f>MID('paste from garc here'!$C$2,1+(('table for research'!$B515-456)*36+HEX2DEC('table for research'!AN$1))*2,2)</f>
        <v>00</v>
      </c>
      <c r="AO515" t="str">
        <f>MID('paste from garc here'!$C$2,1+(('table for research'!$B515-456)*36+HEX2DEC('table for research'!AO$1))*2,2)</f>
        <v>00</v>
      </c>
    </row>
    <row r="516" spans="1:41" x14ac:dyDescent="0.4">
      <c r="A516" t="s">
        <v>518</v>
      </c>
      <c r="B516">
        <f>B515+1</f>
        <v>514</v>
      </c>
      <c r="C516" t="str">
        <f>MID('paste from garc here'!$C$2,1+(('table for research'!$B516-456)*36+HEX2DEC('table for research'!C$1))*2,2)</f>
        <v>00</v>
      </c>
      <c r="D516" t="str">
        <f>MID('paste from garc here'!$C$2,1+(('table for research'!$B516-456)*36+HEX2DEC('table for research'!D$1))*2,2)</f>
        <v>00</v>
      </c>
      <c r="E516" t="str">
        <f>MID('paste from garc here'!$C$2,1+(('table for research'!$B516-456)*36+HEX2DEC('table for research'!E$1))*2,2)</f>
        <v>00</v>
      </c>
      <c r="F516" t="str">
        <f>MID('paste from garc here'!$C$2,1+(('table for research'!$B516-456)*36+HEX2DEC('table for research'!F$1))*2,2)</f>
        <v>00</v>
      </c>
      <c r="G516" t="str">
        <f>MID('paste from garc here'!$C$2,1+(('table for research'!$B516-456)*36+HEX2DEC('table for research'!G$1))*2,2)</f>
        <v>00</v>
      </c>
      <c r="H516" t="str">
        <f>MID('paste from garc here'!$C$2,1+(('table for research'!$B516-456)*36+HEX2DEC('table for research'!H$1))*2,2)</f>
        <v>00</v>
      </c>
      <c r="I516" t="str">
        <f>MID('paste from garc here'!$C$2,1+(('table for research'!$B516-456)*36+HEX2DEC('table for research'!I$1))*2,2)</f>
        <v>00</v>
      </c>
      <c r="J516" t="str">
        <f>MID('paste from garc here'!$C$2,1+(('table for research'!$B516-456)*36+HEX2DEC('table for research'!J$1))*2,2)</f>
        <v>00</v>
      </c>
      <c r="K516" t="str">
        <f>DEC2HEX(_xlfn.BITAND(HEX2DEC(MID('paste from garc here'!$C$1,1+(('table for research'!$B516-1)*36+HEX2DEC(8))*2,2)),31),2)</f>
        <v>00</v>
      </c>
      <c r="L516" t="str">
        <f>DEC2HEX(_xlfn.BITAND(HEX2DEC(MID('paste from garc here'!$C$1,1+(('table for research'!$B516-1)*36+HEX2DEC(8))*2,2)),32),2)</f>
        <v>00</v>
      </c>
      <c r="M516" t="str">
        <f>DEC2HEX(_xlfn.BITAND(HEX2DEC(MID('paste from garc here'!$C$1,1+(('table for research'!$B516-1)*36+HEX2DEC(8))*2,2)),64),2)</f>
        <v>00</v>
      </c>
      <c r="N516" t="str">
        <f>DEC2HEX(_xlfn.BITRSHIFT(_xlfn.BITAND(HEX2DEC(MID('paste from garc here'!$C$1,1+(('table for research'!$B516-1)*36+HEX2DEC(9))*2,2)&amp;MID('paste from garc here'!$C$1,1+(('table for research'!$B516-1)*36+HEX2DEC(8))*2,2)),1920),7),2)</f>
        <v>00</v>
      </c>
      <c r="O516" t="str">
        <f>DEC2HEX(_xlfn.BITRSHIFT(HEX2DEC(MID('paste from garc here'!$C$1,1+(('table for research'!$B516-1)*36+HEX2DEC(9))*2,2)&amp;MID('paste from garc here'!$C$1,1+(('table for research'!$B516-1)*36+HEX2DEC(8))*2,2)),11),2)</f>
        <v>00</v>
      </c>
      <c r="P516" t="str">
        <f>MID('paste from garc here'!$C$2,1+(('table for research'!$B516-456)*36+HEX2DEC('table for research'!P$1))*2,2)</f>
        <v>00</v>
      </c>
      <c r="Q516" t="str">
        <f>MID('paste from garc here'!$C$2,1+(('table for research'!$B516-456)*36+HEX2DEC('table for research'!Q$1))*2,2)</f>
        <v>00</v>
      </c>
      <c r="R516" t="str">
        <f>MID('paste from garc here'!$C$2,1+(('table for research'!$B516-456)*36+HEX2DEC('table for research'!R$1))*2,2)</f>
        <v>00</v>
      </c>
      <c r="S516" t="str">
        <f>MID('paste from garc here'!$C$2,1+(('table for research'!$B516-456)*36+HEX2DEC('table for research'!S$1))*2,2)</f>
        <v>02</v>
      </c>
      <c r="T516" t="str">
        <f>MID('paste from garc here'!$C$2,1+(('table for research'!$B516-456)*36+HEX2DEC('table for research'!T$1))*2,2)</f>
        <v>00</v>
      </c>
      <c r="U516" t="str">
        <f>MID('paste from garc here'!$C$2,1+(('table for research'!$B516-456)*36+HEX2DEC('table for research'!U$1))*2,2)</f>
        <v>FF</v>
      </c>
      <c r="V516" t="str">
        <f>MID('paste from garc here'!$C$2,1+(('table for research'!$B516-456)*36+HEX2DEC('table for research'!V$1))*2,2)</f>
        <v>00</v>
      </c>
      <c r="W516" t="str">
        <f>MID('paste from garc here'!$C$2,1+(('table for research'!$B516-456)*36+HEX2DEC('table for research'!W$1))*2,2)</f>
        <v>00</v>
      </c>
      <c r="X516" t="str">
        <f>MID('paste from garc here'!$C$2,1+(('table for research'!$B516-456)*36+HEX2DEC('table for research'!X$1))*2,2)</f>
        <v>00</v>
      </c>
      <c r="Y516" t="str">
        <f>MID('paste from garc here'!$C$2,1+(('table for research'!$B516-456)*36+HEX2DEC('table for research'!Y$1))*2,2)</f>
        <v>00</v>
      </c>
      <c r="Z516" t="str">
        <f>MID('paste from garc here'!$C$2,1+(('table for research'!$B516-456)*36+HEX2DEC('table for research'!Z$1))*2,2)</f>
        <v>00</v>
      </c>
      <c r="AA516" t="str">
        <f>MID('paste from garc here'!$C$2,1+(('table for research'!$B516-456)*36+HEX2DEC('table for research'!AA$1))*2,2)</f>
        <v>00</v>
      </c>
      <c r="AB516" t="str">
        <f>MID('paste from garc here'!$C$2,1+(('table for research'!$B516-456)*36+HEX2DEC('table for research'!AB$1))*2,2)</f>
        <v>00</v>
      </c>
      <c r="AC516" t="str">
        <f>MID('paste from garc here'!$C$2,1+(('table for research'!$B516-456)*36+HEX2DEC('table for research'!AC$1))*2,2)</f>
        <v>00</v>
      </c>
      <c r="AD516" t="str">
        <f>MID('paste from garc here'!$C$2,1+(('table for research'!$B516-456)*36+HEX2DEC('table for research'!AD$1))*2,2)</f>
        <v>00</v>
      </c>
      <c r="AE516" t="str">
        <f>MID('paste from garc here'!$C$2,1+(('table for research'!$B516-456)*36+HEX2DEC('table for research'!AE$1))*2,2)</f>
        <v>00</v>
      </c>
      <c r="AF516" t="str">
        <f>MID('paste from garc here'!$C$2,1+(('table for research'!$B516-456)*36+HEX2DEC('table for research'!AF$1))*2,2)</f>
        <v>00</v>
      </c>
      <c r="AG516" t="str">
        <f>MID('paste from garc here'!$C$2,1+(('table for research'!$B516-456)*36+HEX2DEC('table for research'!AG$1))*2,2)</f>
        <v>00</v>
      </c>
      <c r="AH516" t="str">
        <f>MID('paste from garc here'!$C$2,1+(('table for research'!$B516-456)*36+HEX2DEC('table for research'!AH$1))*2,2)</f>
        <v>00</v>
      </c>
      <c r="AI516" t="str">
        <f>MID('paste from garc here'!$C$2,1+(('table for research'!$B516-456)*36+HEX2DEC('table for research'!AI$1))*2,2)</f>
        <v>00</v>
      </c>
      <c r="AJ516" t="str">
        <f>MID('paste from garc here'!$C$2,1+(('table for research'!$B516-456)*36+HEX2DEC('table for research'!AJ$1))*2,2)</f>
        <v>00</v>
      </c>
      <c r="AK516" t="str">
        <f>MID('paste from garc here'!$C$2,1+(('table for research'!$B516-456)*36+HEX2DEC('table for research'!AK$1))*2,2)</f>
        <v>00</v>
      </c>
      <c r="AL516" t="str">
        <f>MID('paste from garc here'!$C$2,1+(('table for research'!$B516-456)*36+HEX2DEC('table for research'!AL$1))*2,2)</f>
        <v>00</v>
      </c>
      <c r="AM516" t="str">
        <f>MID('paste from garc here'!$C$2,1+(('table for research'!$B516-456)*36+HEX2DEC('table for research'!AM$1))*2,2)</f>
        <v>00</v>
      </c>
      <c r="AN516" t="str">
        <f>MID('paste from garc here'!$C$2,1+(('table for research'!$B516-456)*36+HEX2DEC('table for research'!AN$1))*2,2)</f>
        <v>00</v>
      </c>
      <c r="AO516" t="str">
        <f>MID('paste from garc here'!$C$2,1+(('table for research'!$B516-456)*36+HEX2DEC('table for research'!AO$1))*2,2)</f>
        <v>00</v>
      </c>
    </row>
    <row r="517" spans="1:41" x14ac:dyDescent="0.4">
      <c r="A517" t="s">
        <v>519</v>
      </c>
      <c r="B517">
        <f>B516+1</f>
        <v>515</v>
      </c>
      <c r="C517" t="str">
        <f>MID('paste from garc here'!$C$2,1+(('table for research'!$B517-456)*36+HEX2DEC('table for research'!C$1))*2,2)</f>
        <v>00</v>
      </c>
      <c r="D517" t="str">
        <f>MID('paste from garc here'!$C$2,1+(('table for research'!$B517-456)*36+HEX2DEC('table for research'!D$1))*2,2)</f>
        <v>00</v>
      </c>
      <c r="E517" t="str">
        <f>MID('paste from garc here'!$C$2,1+(('table for research'!$B517-456)*36+HEX2DEC('table for research'!E$1))*2,2)</f>
        <v>00</v>
      </c>
      <c r="F517" t="str">
        <f>MID('paste from garc here'!$C$2,1+(('table for research'!$B517-456)*36+HEX2DEC('table for research'!F$1))*2,2)</f>
        <v>00</v>
      </c>
      <c r="G517" t="str">
        <f>MID('paste from garc here'!$C$2,1+(('table for research'!$B517-456)*36+HEX2DEC('table for research'!G$1))*2,2)</f>
        <v>00</v>
      </c>
      <c r="H517" t="str">
        <f>MID('paste from garc here'!$C$2,1+(('table for research'!$B517-456)*36+HEX2DEC('table for research'!H$1))*2,2)</f>
        <v>00</v>
      </c>
      <c r="I517" t="str">
        <f>MID('paste from garc here'!$C$2,1+(('table for research'!$B517-456)*36+HEX2DEC('table for research'!I$1))*2,2)</f>
        <v>00</v>
      </c>
      <c r="J517" t="str">
        <f>MID('paste from garc here'!$C$2,1+(('table for research'!$B517-456)*36+HEX2DEC('table for research'!J$1))*2,2)</f>
        <v>00</v>
      </c>
      <c r="K517" t="str">
        <f>DEC2HEX(_xlfn.BITAND(HEX2DEC(MID('paste from garc here'!$C$1,1+(('table for research'!$B517-1)*36+HEX2DEC(8))*2,2)),31),2)</f>
        <v>00</v>
      </c>
      <c r="L517" t="str">
        <f>DEC2HEX(_xlfn.BITAND(HEX2DEC(MID('paste from garc here'!$C$1,1+(('table for research'!$B517-1)*36+HEX2DEC(8))*2,2)),32),2)</f>
        <v>00</v>
      </c>
      <c r="M517" t="str">
        <f>DEC2HEX(_xlfn.BITAND(HEX2DEC(MID('paste from garc here'!$C$1,1+(('table for research'!$B517-1)*36+HEX2DEC(8))*2,2)),64),2)</f>
        <v>00</v>
      </c>
      <c r="N517" t="str">
        <f>DEC2HEX(_xlfn.BITRSHIFT(_xlfn.BITAND(HEX2DEC(MID('paste from garc here'!$C$1,1+(('table for research'!$B517-1)*36+HEX2DEC(9))*2,2)&amp;MID('paste from garc here'!$C$1,1+(('table for research'!$B517-1)*36+HEX2DEC(8))*2,2)),1920),7),2)</f>
        <v>00</v>
      </c>
      <c r="O517" t="str">
        <f>DEC2HEX(_xlfn.BITRSHIFT(HEX2DEC(MID('paste from garc here'!$C$1,1+(('table for research'!$B517-1)*36+HEX2DEC(9))*2,2)&amp;MID('paste from garc here'!$C$1,1+(('table for research'!$B517-1)*36+HEX2DEC(8))*2,2)),11),2)</f>
        <v>00</v>
      </c>
      <c r="P517" t="str">
        <f>MID('paste from garc here'!$C$2,1+(('table for research'!$B517-456)*36+HEX2DEC('table for research'!P$1))*2,2)</f>
        <v>00</v>
      </c>
      <c r="Q517" t="str">
        <f>MID('paste from garc here'!$C$2,1+(('table for research'!$B517-456)*36+HEX2DEC('table for research'!Q$1))*2,2)</f>
        <v>00</v>
      </c>
      <c r="R517" t="str">
        <f>MID('paste from garc here'!$C$2,1+(('table for research'!$B517-456)*36+HEX2DEC('table for research'!R$1))*2,2)</f>
        <v>00</v>
      </c>
      <c r="S517" t="str">
        <f>MID('paste from garc here'!$C$2,1+(('table for research'!$B517-456)*36+HEX2DEC('table for research'!S$1))*2,2)</f>
        <v>02</v>
      </c>
      <c r="T517" t="str">
        <f>MID('paste from garc here'!$C$2,1+(('table for research'!$B517-456)*36+HEX2DEC('table for research'!T$1))*2,2)</f>
        <v>00</v>
      </c>
      <c r="U517" t="str">
        <f>MID('paste from garc here'!$C$2,1+(('table for research'!$B517-456)*36+HEX2DEC('table for research'!U$1))*2,2)</f>
        <v>FF</v>
      </c>
      <c r="V517" t="str">
        <f>MID('paste from garc here'!$C$2,1+(('table for research'!$B517-456)*36+HEX2DEC('table for research'!V$1))*2,2)</f>
        <v>00</v>
      </c>
      <c r="W517" t="str">
        <f>MID('paste from garc here'!$C$2,1+(('table for research'!$B517-456)*36+HEX2DEC('table for research'!W$1))*2,2)</f>
        <v>00</v>
      </c>
      <c r="X517" t="str">
        <f>MID('paste from garc here'!$C$2,1+(('table for research'!$B517-456)*36+HEX2DEC('table for research'!X$1))*2,2)</f>
        <v>00</v>
      </c>
      <c r="Y517" t="str">
        <f>MID('paste from garc here'!$C$2,1+(('table for research'!$B517-456)*36+HEX2DEC('table for research'!Y$1))*2,2)</f>
        <v>00</v>
      </c>
      <c r="Z517" t="str">
        <f>MID('paste from garc here'!$C$2,1+(('table for research'!$B517-456)*36+HEX2DEC('table for research'!Z$1))*2,2)</f>
        <v>00</v>
      </c>
      <c r="AA517" t="str">
        <f>MID('paste from garc here'!$C$2,1+(('table for research'!$B517-456)*36+HEX2DEC('table for research'!AA$1))*2,2)</f>
        <v>00</v>
      </c>
      <c r="AB517" t="str">
        <f>MID('paste from garc here'!$C$2,1+(('table for research'!$B517-456)*36+HEX2DEC('table for research'!AB$1))*2,2)</f>
        <v>00</v>
      </c>
      <c r="AC517" t="str">
        <f>MID('paste from garc here'!$C$2,1+(('table for research'!$B517-456)*36+HEX2DEC('table for research'!AC$1))*2,2)</f>
        <v>00</v>
      </c>
      <c r="AD517" t="str">
        <f>MID('paste from garc here'!$C$2,1+(('table for research'!$B517-456)*36+HEX2DEC('table for research'!AD$1))*2,2)</f>
        <v>00</v>
      </c>
      <c r="AE517" t="str">
        <f>MID('paste from garc here'!$C$2,1+(('table for research'!$B517-456)*36+HEX2DEC('table for research'!AE$1))*2,2)</f>
        <v>00</v>
      </c>
      <c r="AF517" t="str">
        <f>MID('paste from garc here'!$C$2,1+(('table for research'!$B517-456)*36+HEX2DEC('table for research'!AF$1))*2,2)</f>
        <v>00</v>
      </c>
      <c r="AG517" t="str">
        <f>MID('paste from garc here'!$C$2,1+(('table for research'!$B517-456)*36+HEX2DEC('table for research'!AG$1))*2,2)</f>
        <v>00</v>
      </c>
      <c r="AH517" t="str">
        <f>MID('paste from garc here'!$C$2,1+(('table for research'!$B517-456)*36+HEX2DEC('table for research'!AH$1))*2,2)</f>
        <v>00</v>
      </c>
      <c r="AI517" t="str">
        <f>MID('paste from garc here'!$C$2,1+(('table for research'!$B517-456)*36+HEX2DEC('table for research'!AI$1))*2,2)</f>
        <v>00</v>
      </c>
      <c r="AJ517" t="str">
        <f>MID('paste from garc here'!$C$2,1+(('table for research'!$B517-456)*36+HEX2DEC('table for research'!AJ$1))*2,2)</f>
        <v>00</v>
      </c>
      <c r="AK517" t="str">
        <f>MID('paste from garc here'!$C$2,1+(('table for research'!$B517-456)*36+HEX2DEC('table for research'!AK$1))*2,2)</f>
        <v>00</v>
      </c>
      <c r="AL517" t="str">
        <f>MID('paste from garc here'!$C$2,1+(('table for research'!$B517-456)*36+HEX2DEC('table for research'!AL$1))*2,2)</f>
        <v>00</v>
      </c>
      <c r="AM517" t="str">
        <f>MID('paste from garc here'!$C$2,1+(('table for research'!$B517-456)*36+HEX2DEC('table for research'!AM$1))*2,2)</f>
        <v>00</v>
      </c>
      <c r="AN517" t="str">
        <f>MID('paste from garc here'!$C$2,1+(('table for research'!$B517-456)*36+HEX2DEC('table for research'!AN$1))*2,2)</f>
        <v>00</v>
      </c>
      <c r="AO517" t="str">
        <f>MID('paste from garc here'!$C$2,1+(('table for research'!$B517-456)*36+HEX2DEC('table for research'!AO$1))*2,2)</f>
        <v>00</v>
      </c>
    </row>
    <row r="518" spans="1:41" x14ac:dyDescent="0.4">
      <c r="A518" t="s">
        <v>520</v>
      </c>
      <c r="B518">
        <f>B517+1</f>
        <v>516</v>
      </c>
      <c r="C518" t="str">
        <f>MID('paste from garc here'!$C$2,1+(('table for research'!$B518-456)*36+HEX2DEC('table for research'!C$1))*2,2)</f>
        <v>00</v>
      </c>
      <c r="D518" t="str">
        <f>MID('paste from garc here'!$C$2,1+(('table for research'!$B518-456)*36+HEX2DEC('table for research'!D$1))*2,2)</f>
        <v>00</v>
      </c>
      <c r="E518" t="str">
        <f>MID('paste from garc here'!$C$2,1+(('table for research'!$B518-456)*36+HEX2DEC('table for research'!E$1))*2,2)</f>
        <v>00</v>
      </c>
      <c r="F518" t="str">
        <f>MID('paste from garc here'!$C$2,1+(('table for research'!$B518-456)*36+HEX2DEC('table for research'!F$1))*2,2)</f>
        <v>00</v>
      </c>
      <c r="G518" t="str">
        <f>MID('paste from garc here'!$C$2,1+(('table for research'!$B518-456)*36+HEX2DEC('table for research'!G$1))*2,2)</f>
        <v>00</v>
      </c>
      <c r="H518" t="str">
        <f>MID('paste from garc here'!$C$2,1+(('table for research'!$B518-456)*36+HEX2DEC('table for research'!H$1))*2,2)</f>
        <v>00</v>
      </c>
      <c r="I518" t="str">
        <f>MID('paste from garc here'!$C$2,1+(('table for research'!$B518-456)*36+HEX2DEC('table for research'!I$1))*2,2)</f>
        <v>00</v>
      </c>
      <c r="J518" t="str">
        <f>MID('paste from garc here'!$C$2,1+(('table for research'!$B518-456)*36+HEX2DEC('table for research'!J$1))*2,2)</f>
        <v>00</v>
      </c>
      <c r="K518" t="str">
        <f>DEC2HEX(_xlfn.BITAND(HEX2DEC(MID('paste from garc here'!$C$1,1+(('table for research'!$B518-1)*36+HEX2DEC(8))*2,2)),31),2)</f>
        <v>00</v>
      </c>
      <c r="L518" t="str">
        <f>DEC2HEX(_xlfn.BITAND(HEX2DEC(MID('paste from garc here'!$C$1,1+(('table for research'!$B518-1)*36+HEX2DEC(8))*2,2)),32),2)</f>
        <v>00</v>
      </c>
      <c r="M518" t="str">
        <f>DEC2HEX(_xlfn.BITAND(HEX2DEC(MID('paste from garc here'!$C$1,1+(('table for research'!$B518-1)*36+HEX2DEC(8))*2,2)),64),2)</f>
        <v>00</v>
      </c>
      <c r="N518" t="str">
        <f>DEC2HEX(_xlfn.BITRSHIFT(_xlfn.BITAND(HEX2DEC(MID('paste from garc here'!$C$1,1+(('table for research'!$B518-1)*36+HEX2DEC(9))*2,2)&amp;MID('paste from garc here'!$C$1,1+(('table for research'!$B518-1)*36+HEX2DEC(8))*2,2)),1920),7),2)</f>
        <v>00</v>
      </c>
      <c r="O518" t="str">
        <f>DEC2HEX(_xlfn.BITRSHIFT(HEX2DEC(MID('paste from garc here'!$C$1,1+(('table for research'!$B518-1)*36+HEX2DEC(9))*2,2)&amp;MID('paste from garc here'!$C$1,1+(('table for research'!$B518-1)*36+HEX2DEC(8))*2,2)),11),2)</f>
        <v>00</v>
      </c>
      <c r="P518" t="str">
        <f>MID('paste from garc here'!$C$2,1+(('table for research'!$B518-456)*36+HEX2DEC('table for research'!P$1))*2,2)</f>
        <v>00</v>
      </c>
      <c r="Q518" t="str">
        <f>MID('paste from garc here'!$C$2,1+(('table for research'!$B518-456)*36+HEX2DEC('table for research'!Q$1))*2,2)</f>
        <v>00</v>
      </c>
      <c r="R518" t="str">
        <f>MID('paste from garc here'!$C$2,1+(('table for research'!$B518-456)*36+HEX2DEC('table for research'!R$1))*2,2)</f>
        <v>00</v>
      </c>
      <c r="S518" t="str">
        <f>MID('paste from garc here'!$C$2,1+(('table for research'!$B518-456)*36+HEX2DEC('table for research'!S$1))*2,2)</f>
        <v>02</v>
      </c>
      <c r="T518" t="str">
        <f>MID('paste from garc here'!$C$2,1+(('table for research'!$B518-456)*36+HEX2DEC('table for research'!T$1))*2,2)</f>
        <v>00</v>
      </c>
      <c r="U518" t="str">
        <f>MID('paste from garc here'!$C$2,1+(('table for research'!$B518-456)*36+HEX2DEC('table for research'!U$1))*2,2)</f>
        <v>FF</v>
      </c>
      <c r="V518" t="str">
        <f>MID('paste from garc here'!$C$2,1+(('table for research'!$B518-456)*36+HEX2DEC('table for research'!V$1))*2,2)</f>
        <v>00</v>
      </c>
      <c r="W518" t="str">
        <f>MID('paste from garc here'!$C$2,1+(('table for research'!$B518-456)*36+HEX2DEC('table for research'!W$1))*2,2)</f>
        <v>00</v>
      </c>
      <c r="X518" t="str">
        <f>MID('paste from garc here'!$C$2,1+(('table for research'!$B518-456)*36+HEX2DEC('table for research'!X$1))*2,2)</f>
        <v>00</v>
      </c>
      <c r="Y518" t="str">
        <f>MID('paste from garc here'!$C$2,1+(('table for research'!$B518-456)*36+HEX2DEC('table for research'!Y$1))*2,2)</f>
        <v>00</v>
      </c>
      <c r="Z518" t="str">
        <f>MID('paste from garc here'!$C$2,1+(('table for research'!$B518-456)*36+HEX2DEC('table for research'!Z$1))*2,2)</f>
        <v>00</v>
      </c>
      <c r="AA518" t="str">
        <f>MID('paste from garc here'!$C$2,1+(('table for research'!$B518-456)*36+HEX2DEC('table for research'!AA$1))*2,2)</f>
        <v>00</v>
      </c>
      <c r="AB518" t="str">
        <f>MID('paste from garc here'!$C$2,1+(('table for research'!$B518-456)*36+HEX2DEC('table for research'!AB$1))*2,2)</f>
        <v>00</v>
      </c>
      <c r="AC518" t="str">
        <f>MID('paste from garc here'!$C$2,1+(('table for research'!$B518-456)*36+HEX2DEC('table for research'!AC$1))*2,2)</f>
        <v>00</v>
      </c>
      <c r="AD518" t="str">
        <f>MID('paste from garc here'!$C$2,1+(('table for research'!$B518-456)*36+HEX2DEC('table for research'!AD$1))*2,2)</f>
        <v>00</v>
      </c>
      <c r="AE518" t="str">
        <f>MID('paste from garc here'!$C$2,1+(('table for research'!$B518-456)*36+HEX2DEC('table for research'!AE$1))*2,2)</f>
        <v>00</v>
      </c>
      <c r="AF518" t="str">
        <f>MID('paste from garc here'!$C$2,1+(('table for research'!$B518-456)*36+HEX2DEC('table for research'!AF$1))*2,2)</f>
        <v>00</v>
      </c>
      <c r="AG518" t="str">
        <f>MID('paste from garc here'!$C$2,1+(('table for research'!$B518-456)*36+HEX2DEC('table for research'!AG$1))*2,2)</f>
        <v>00</v>
      </c>
      <c r="AH518" t="str">
        <f>MID('paste from garc here'!$C$2,1+(('table for research'!$B518-456)*36+HEX2DEC('table for research'!AH$1))*2,2)</f>
        <v>00</v>
      </c>
      <c r="AI518" t="str">
        <f>MID('paste from garc here'!$C$2,1+(('table for research'!$B518-456)*36+HEX2DEC('table for research'!AI$1))*2,2)</f>
        <v>00</v>
      </c>
      <c r="AJ518" t="str">
        <f>MID('paste from garc here'!$C$2,1+(('table for research'!$B518-456)*36+HEX2DEC('table for research'!AJ$1))*2,2)</f>
        <v>00</v>
      </c>
      <c r="AK518" t="str">
        <f>MID('paste from garc here'!$C$2,1+(('table for research'!$B518-456)*36+HEX2DEC('table for research'!AK$1))*2,2)</f>
        <v>00</v>
      </c>
      <c r="AL518" t="str">
        <f>MID('paste from garc here'!$C$2,1+(('table for research'!$B518-456)*36+HEX2DEC('table for research'!AL$1))*2,2)</f>
        <v>00</v>
      </c>
      <c r="AM518" t="str">
        <f>MID('paste from garc here'!$C$2,1+(('table for research'!$B518-456)*36+HEX2DEC('table for research'!AM$1))*2,2)</f>
        <v>00</v>
      </c>
      <c r="AN518" t="str">
        <f>MID('paste from garc here'!$C$2,1+(('table for research'!$B518-456)*36+HEX2DEC('table for research'!AN$1))*2,2)</f>
        <v>00</v>
      </c>
      <c r="AO518" t="str">
        <f>MID('paste from garc here'!$C$2,1+(('table for research'!$B518-456)*36+HEX2DEC('table for research'!AO$1))*2,2)</f>
        <v>00</v>
      </c>
    </row>
    <row r="519" spans="1:41" x14ac:dyDescent="0.4">
      <c r="A519" t="s">
        <v>521</v>
      </c>
      <c r="B519">
        <f>B518+1</f>
        <v>517</v>
      </c>
      <c r="C519" t="str">
        <f>MID('paste from garc here'!$C$2,1+(('table for research'!$B519-456)*36+HEX2DEC('table for research'!C$1))*2,2)</f>
        <v>00</v>
      </c>
      <c r="D519" t="str">
        <f>MID('paste from garc here'!$C$2,1+(('table for research'!$B519-456)*36+HEX2DEC('table for research'!D$1))*2,2)</f>
        <v>00</v>
      </c>
      <c r="E519" t="str">
        <f>MID('paste from garc here'!$C$2,1+(('table for research'!$B519-456)*36+HEX2DEC('table for research'!E$1))*2,2)</f>
        <v>00</v>
      </c>
      <c r="F519" t="str">
        <f>MID('paste from garc here'!$C$2,1+(('table for research'!$B519-456)*36+HEX2DEC('table for research'!F$1))*2,2)</f>
        <v>00</v>
      </c>
      <c r="G519" t="str">
        <f>MID('paste from garc here'!$C$2,1+(('table for research'!$B519-456)*36+HEX2DEC('table for research'!G$1))*2,2)</f>
        <v>00</v>
      </c>
      <c r="H519" t="str">
        <f>MID('paste from garc here'!$C$2,1+(('table for research'!$B519-456)*36+HEX2DEC('table for research'!H$1))*2,2)</f>
        <v>00</v>
      </c>
      <c r="I519" t="str">
        <f>MID('paste from garc here'!$C$2,1+(('table for research'!$B519-456)*36+HEX2DEC('table for research'!I$1))*2,2)</f>
        <v>00</v>
      </c>
      <c r="J519" t="str">
        <f>MID('paste from garc here'!$C$2,1+(('table for research'!$B519-456)*36+HEX2DEC('table for research'!J$1))*2,2)</f>
        <v>00</v>
      </c>
      <c r="K519" t="str">
        <f>DEC2HEX(_xlfn.BITAND(HEX2DEC(MID('paste from garc here'!$C$1,1+(('table for research'!$B519-1)*36+HEX2DEC(8))*2,2)),31),2)</f>
        <v>00</v>
      </c>
      <c r="L519" t="str">
        <f>DEC2HEX(_xlfn.BITAND(HEX2DEC(MID('paste from garc here'!$C$1,1+(('table for research'!$B519-1)*36+HEX2DEC(8))*2,2)),32),2)</f>
        <v>00</v>
      </c>
      <c r="M519" t="str">
        <f>DEC2HEX(_xlfn.BITAND(HEX2DEC(MID('paste from garc here'!$C$1,1+(('table for research'!$B519-1)*36+HEX2DEC(8))*2,2)),64),2)</f>
        <v>00</v>
      </c>
      <c r="N519" t="str">
        <f>DEC2HEX(_xlfn.BITRSHIFT(_xlfn.BITAND(HEX2DEC(MID('paste from garc here'!$C$1,1+(('table for research'!$B519-1)*36+HEX2DEC(9))*2,2)&amp;MID('paste from garc here'!$C$1,1+(('table for research'!$B519-1)*36+HEX2DEC(8))*2,2)),1920),7),2)</f>
        <v>00</v>
      </c>
      <c r="O519" t="str">
        <f>DEC2HEX(_xlfn.BITRSHIFT(HEX2DEC(MID('paste from garc here'!$C$1,1+(('table for research'!$B519-1)*36+HEX2DEC(9))*2,2)&amp;MID('paste from garc here'!$C$1,1+(('table for research'!$B519-1)*36+HEX2DEC(8))*2,2)),11),2)</f>
        <v>00</v>
      </c>
      <c r="P519" t="str">
        <f>MID('paste from garc here'!$C$2,1+(('table for research'!$B519-456)*36+HEX2DEC('table for research'!P$1))*2,2)</f>
        <v>00</v>
      </c>
      <c r="Q519" t="str">
        <f>MID('paste from garc here'!$C$2,1+(('table for research'!$B519-456)*36+HEX2DEC('table for research'!Q$1))*2,2)</f>
        <v>00</v>
      </c>
      <c r="R519" t="str">
        <f>MID('paste from garc here'!$C$2,1+(('table for research'!$B519-456)*36+HEX2DEC('table for research'!R$1))*2,2)</f>
        <v>00</v>
      </c>
      <c r="S519" t="str">
        <f>MID('paste from garc here'!$C$2,1+(('table for research'!$B519-456)*36+HEX2DEC('table for research'!S$1))*2,2)</f>
        <v>02</v>
      </c>
      <c r="T519" t="str">
        <f>MID('paste from garc here'!$C$2,1+(('table for research'!$B519-456)*36+HEX2DEC('table for research'!T$1))*2,2)</f>
        <v>00</v>
      </c>
      <c r="U519" t="str">
        <f>MID('paste from garc here'!$C$2,1+(('table for research'!$B519-456)*36+HEX2DEC('table for research'!U$1))*2,2)</f>
        <v>FF</v>
      </c>
      <c r="V519" t="str">
        <f>MID('paste from garc here'!$C$2,1+(('table for research'!$B519-456)*36+HEX2DEC('table for research'!V$1))*2,2)</f>
        <v>00</v>
      </c>
      <c r="W519" t="str">
        <f>MID('paste from garc here'!$C$2,1+(('table for research'!$B519-456)*36+HEX2DEC('table for research'!W$1))*2,2)</f>
        <v>00</v>
      </c>
      <c r="X519" t="str">
        <f>MID('paste from garc here'!$C$2,1+(('table for research'!$B519-456)*36+HEX2DEC('table for research'!X$1))*2,2)</f>
        <v>00</v>
      </c>
      <c r="Y519" t="str">
        <f>MID('paste from garc here'!$C$2,1+(('table for research'!$B519-456)*36+HEX2DEC('table for research'!Y$1))*2,2)</f>
        <v>00</v>
      </c>
      <c r="Z519" t="str">
        <f>MID('paste from garc here'!$C$2,1+(('table for research'!$B519-456)*36+HEX2DEC('table for research'!Z$1))*2,2)</f>
        <v>00</v>
      </c>
      <c r="AA519" t="str">
        <f>MID('paste from garc here'!$C$2,1+(('table for research'!$B519-456)*36+HEX2DEC('table for research'!AA$1))*2,2)</f>
        <v>00</v>
      </c>
      <c r="AB519" t="str">
        <f>MID('paste from garc here'!$C$2,1+(('table for research'!$B519-456)*36+HEX2DEC('table for research'!AB$1))*2,2)</f>
        <v>00</v>
      </c>
      <c r="AC519" t="str">
        <f>MID('paste from garc here'!$C$2,1+(('table for research'!$B519-456)*36+HEX2DEC('table for research'!AC$1))*2,2)</f>
        <v>00</v>
      </c>
      <c r="AD519" t="str">
        <f>MID('paste from garc here'!$C$2,1+(('table for research'!$B519-456)*36+HEX2DEC('table for research'!AD$1))*2,2)</f>
        <v>00</v>
      </c>
      <c r="AE519" t="str">
        <f>MID('paste from garc here'!$C$2,1+(('table for research'!$B519-456)*36+HEX2DEC('table for research'!AE$1))*2,2)</f>
        <v>00</v>
      </c>
      <c r="AF519" t="str">
        <f>MID('paste from garc here'!$C$2,1+(('table for research'!$B519-456)*36+HEX2DEC('table for research'!AF$1))*2,2)</f>
        <v>00</v>
      </c>
      <c r="AG519" t="str">
        <f>MID('paste from garc here'!$C$2,1+(('table for research'!$B519-456)*36+HEX2DEC('table for research'!AG$1))*2,2)</f>
        <v>00</v>
      </c>
      <c r="AH519" t="str">
        <f>MID('paste from garc here'!$C$2,1+(('table for research'!$B519-456)*36+HEX2DEC('table for research'!AH$1))*2,2)</f>
        <v>00</v>
      </c>
      <c r="AI519" t="str">
        <f>MID('paste from garc here'!$C$2,1+(('table for research'!$B519-456)*36+HEX2DEC('table for research'!AI$1))*2,2)</f>
        <v>00</v>
      </c>
      <c r="AJ519" t="str">
        <f>MID('paste from garc here'!$C$2,1+(('table for research'!$B519-456)*36+HEX2DEC('table for research'!AJ$1))*2,2)</f>
        <v>00</v>
      </c>
      <c r="AK519" t="str">
        <f>MID('paste from garc here'!$C$2,1+(('table for research'!$B519-456)*36+HEX2DEC('table for research'!AK$1))*2,2)</f>
        <v>00</v>
      </c>
      <c r="AL519" t="str">
        <f>MID('paste from garc here'!$C$2,1+(('table for research'!$B519-456)*36+HEX2DEC('table for research'!AL$1))*2,2)</f>
        <v>00</v>
      </c>
      <c r="AM519" t="str">
        <f>MID('paste from garc here'!$C$2,1+(('table for research'!$B519-456)*36+HEX2DEC('table for research'!AM$1))*2,2)</f>
        <v>00</v>
      </c>
      <c r="AN519" t="str">
        <f>MID('paste from garc here'!$C$2,1+(('table for research'!$B519-456)*36+HEX2DEC('table for research'!AN$1))*2,2)</f>
        <v>00</v>
      </c>
      <c r="AO519" t="str">
        <f>MID('paste from garc here'!$C$2,1+(('table for research'!$B519-456)*36+HEX2DEC('table for research'!AO$1))*2,2)</f>
        <v>00</v>
      </c>
    </row>
    <row r="520" spans="1:41" x14ac:dyDescent="0.4">
      <c r="A520" t="s">
        <v>522</v>
      </c>
      <c r="B520">
        <f>B519+1</f>
        <v>518</v>
      </c>
      <c r="C520" t="str">
        <f>MID('paste from garc here'!$C$2,1+(('table for research'!$B520-456)*36+HEX2DEC('table for research'!C$1))*2,2)</f>
        <v>00</v>
      </c>
      <c r="D520" t="str">
        <f>MID('paste from garc here'!$C$2,1+(('table for research'!$B520-456)*36+HEX2DEC('table for research'!D$1))*2,2)</f>
        <v>00</v>
      </c>
      <c r="E520" t="str">
        <f>MID('paste from garc here'!$C$2,1+(('table for research'!$B520-456)*36+HEX2DEC('table for research'!E$1))*2,2)</f>
        <v>00</v>
      </c>
      <c r="F520" t="str">
        <f>MID('paste from garc here'!$C$2,1+(('table for research'!$B520-456)*36+HEX2DEC('table for research'!F$1))*2,2)</f>
        <v>00</v>
      </c>
      <c r="G520" t="str">
        <f>MID('paste from garc here'!$C$2,1+(('table for research'!$B520-456)*36+HEX2DEC('table for research'!G$1))*2,2)</f>
        <v>00</v>
      </c>
      <c r="H520" t="str">
        <f>MID('paste from garc here'!$C$2,1+(('table for research'!$B520-456)*36+HEX2DEC('table for research'!H$1))*2,2)</f>
        <v>00</v>
      </c>
      <c r="I520" t="str">
        <f>MID('paste from garc here'!$C$2,1+(('table for research'!$B520-456)*36+HEX2DEC('table for research'!I$1))*2,2)</f>
        <v>00</v>
      </c>
      <c r="J520" t="str">
        <f>MID('paste from garc here'!$C$2,1+(('table for research'!$B520-456)*36+HEX2DEC('table for research'!J$1))*2,2)</f>
        <v>00</v>
      </c>
      <c r="K520" t="str">
        <f>DEC2HEX(_xlfn.BITAND(HEX2DEC(MID('paste from garc here'!$C$1,1+(('table for research'!$B520-1)*36+HEX2DEC(8))*2,2)),31),2)</f>
        <v>00</v>
      </c>
      <c r="L520" t="str">
        <f>DEC2HEX(_xlfn.BITAND(HEX2DEC(MID('paste from garc here'!$C$1,1+(('table for research'!$B520-1)*36+HEX2DEC(8))*2,2)),32),2)</f>
        <v>00</v>
      </c>
      <c r="M520" t="str">
        <f>DEC2HEX(_xlfn.BITAND(HEX2DEC(MID('paste from garc here'!$C$1,1+(('table for research'!$B520-1)*36+HEX2DEC(8))*2,2)),64),2)</f>
        <v>00</v>
      </c>
      <c r="N520" t="str">
        <f>DEC2HEX(_xlfn.BITRSHIFT(_xlfn.BITAND(HEX2DEC(MID('paste from garc here'!$C$1,1+(('table for research'!$B520-1)*36+HEX2DEC(9))*2,2)&amp;MID('paste from garc here'!$C$1,1+(('table for research'!$B520-1)*36+HEX2DEC(8))*2,2)),1920),7),2)</f>
        <v>00</v>
      </c>
      <c r="O520" t="str">
        <f>DEC2HEX(_xlfn.BITRSHIFT(HEX2DEC(MID('paste from garc here'!$C$1,1+(('table for research'!$B520-1)*36+HEX2DEC(9))*2,2)&amp;MID('paste from garc here'!$C$1,1+(('table for research'!$B520-1)*36+HEX2DEC(8))*2,2)),11),2)</f>
        <v>00</v>
      </c>
      <c r="P520" t="str">
        <f>MID('paste from garc here'!$C$2,1+(('table for research'!$B520-456)*36+HEX2DEC('table for research'!P$1))*2,2)</f>
        <v>00</v>
      </c>
      <c r="Q520" t="str">
        <f>MID('paste from garc here'!$C$2,1+(('table for research'!$B520-456)*36+HEX2DEC('table for research'!Q$1))*2,2)</f>
        <v>00</v>
      </c>
      <c r="R520" t="str">
        <f>MID('paste from garc here'!$C$2,1+(('table for research'!$B520-456)*36+HEX2DEC('table for research'!R$1))*2,2)</f>
        <v>00</v>
      </c>
      <c r="S520" t="str">
        <f>MID('paste from garc here'!$C$2,1+(('table for research'!$B520-456)*36+HEX2DEC('table for research'!S$1))*2,2)</f>
        <v>02</v>
      </c>
      <c r="T520" t="str">
        <f>MID('paste from garc here'!$C$2,1+(('table for research'!$B520-456)*36+HEX2DEC('table for research'!T$1))*2,2)</f>
        <v>00</v>
      </c>
      <c r="U520" t="str">
        <f>MID('paste from garc here'!$C$2,1+(('table for research'!$B520-456)*36+HEX2DEC('table for research'!U$1))*2,2)</f>
        <v>FF</v>
      </c>
      <c r="V520" t="str">
        <f>MID('paste from garc here'!$C$2,1+(('table for research'!$B520-456)*36+HEX2DEC('table for research'!V$1))*2,2)</f>
        <v>00</v>
      </c>
      <c r="W520" t="str">
        <f>MID('paste from garc here'!$C$2,1+(('table for research'!$B520-456)*36+HEX2DEC('table for research'!W$1))*2,2)</f>
        <v>00</v>
      </c>
      <c r="X520" t="str">
        <f>MID('paste from garc here'!$C$2,1+(('table for research'!$B520-456)*36+HEX2DEC('table for research'!X$1))*2,2)</f>
        <v>00</v>
      </c>
      <c r="Y520" t="str">
        <f>MID('paste from garc here'!$C$2,1+(('table for research'!$B520-456)*36+HEX2DEC('table for research'!Y$1))*2,2)</f>
        <v>00</v>
      </c>
      <c r="Z520" t="str">
        <f>MID('paste from garc here'!$C$2,1+(('table for research'!$B520-456)*36+HEX2DEC('table for research'!Z$1))*2,2)</f>
        <v>00</v>
      </c>
      <c r="AA520" t="str">
        <f>MID('paste from garc here'!$C$2,1+(('table for research'!$B520-456)*36+HEX2DEC('table for research'!AA$1))*2,2)</f>
        <v>00</v>
      </c>
      <c r="AB520" t="str">
        <f>MID('paste from garc here'!$C$2,1+(('table for research'!$B520-456)*36+HEX2DEC('table for research'!AB$1))*2,2)</f>
        <v>00</v>
      </c>
      <c r="AC520" t="str">
        <f>MID('paste from garc here'!$C$2,1+(('table for research'!$B520-456)*36+HEX2DEC('table for research'!AC$1))*2,2)</f>
        <v>00</v>
      </c>
      <c r="AD520" t="str">
        <f>MID('paste from garc here'!$C$2,1+(('table for research'!$B520-456)*36+HEX2DEC('table for research'!AD$1))*2,2)</f>
        <v>00</v>
      </c>
      <c r="AE520" t="str">
        <f>MID('paste from garc here'!$C$2,1+(('table for research'!$B520-456)*36+HEX2DEC('table for research'!AE$1))*2,2)</f>
        <v>00</v>
      </c>
      <c r="AF520" t="str">
        <f>MID('paste from garc here'!$C$2,1+(('table for research'!$B520-456)*36+HEX2DEC('table for research'!AF$1))*2,2)</f>
        <v>00</v>
      </c>
      <c r="AG520" t="str">
        <f>MID('paste from garc here'!$C$2,1+(('table for research'!$B520-456)*36+HEX2DEC('table for research'!AG$1))*2,2)</f>
        <v>00</v>
      </c>
      <c r="AH520" t="str">
        <f>MID('paste from garc here'!$C$2,1+(('table for research'!$B520-456)*36+HEX2DEC('table for research'!AH$1))*2,2)</f>
        <v>00</v>
      </c>
      <c r="AI520" t="str">
        <f>MID('paste from garc here'!$C$2,1+(('table for research'!$B520-456)*36+HEX2DEC('table for research'!AI$1))*2,2)</f>
        <v>00</v>
      </c>
      <c r="AJ520" t="str">
        <f>MID('paste from garc here'!$C$2,1+(('table for research'!$B520-456)*36+HEX2DEC('table for research'!AJ$1))*2,2)</f>
        <v>00</v>
      </c>
      <c r="AK520" t="str">
        <f>MID('paste from garc here'!$C$2,1+(('table for research'!$B520-456)*36+HEX2DEC('table for research'!AK$1))*2,2)</f>
        <v>00</v>
      </c>
      <c r="AL520" t="str">
        <f>MID('paste from garc here'!$C$2,1+(('table for research'!$B520-456)*36+HEX2DEC('table for research'!AL$1))*2,2)</f>
        <v>00</v>
      </c>
      <c r="AM520" t="str">
        <f>MID('paste from garc here'!$C$2,1+(('table for research'!$B520-456)*36+HEX2DEC('table for research'!AM$1))*2,2)</f>
        <v>00</v>
      </c>
      <c r="AN520" t="str">
        <f>MID('paste from garc here'!$C$2,1+(('table for research'!$B520-456)*36+HEX2DEC('table for research'!AN$1))*2,2)</f>
        <v>00</v>
      </c>
      <c r="AO520" t="str">
        <f>MID('paste from garc here'!$C$2,1+(('table for research'!$B520-456)*36+HEX2DEC('table for research'!AO$1))*2,2)</f>
        <v>00</v>
      </c>
    </row>
    <row r="521" spans="1:41" x14ac:dyDescent="0.4">
      <c r="A521" t="s">
        <v>523</v>
      </c>
      <c r="B521">
        <f>B520+1</f>
        <v>519</v>
      </c>
      <c r="C521" t="str">
        <f>MID('paste from garc here'!$C$2,1+(('table for research'!$B521-456)*36+HEX2DEC('table for research'!C$1))*2,2)</f>
        <v>00</v>
      </c>
      <c r="D521" t="str">
        <f>MID('paste from garc here'!$C$2,1+(('table for research'!$B521-456)*36+HEX2DEC('table for research'!D$1))*2,2)</f>
        <v>00</v>
      </c>
      <c r="E521" t="str">
        <f>MID('paste from garc here'!$C$2,1+(('table for research'!$B521-456)*36+HEX2DEC('table for research'!E$1))*2,2)</f>
        <v>00</v>
      </c>
      <c r="F521" t="str">
        <f>MID('paste from garc here'!$C$2,1+(('table for research'!$B521-456)*36+HEX2DEC('table for research'!F$1))*2,2)</f>
        <v>00</v>
      </c>
      <c r="G521" t="str">
        <f>MID('paste from garc here'!$C$2,1+(('table for research'!$B521-456)*36+HEX2DEC('table for research'!G$1))*2,2)</f>
        <v>00</v>
      </c>
      <c r="H521" t="str">
        <f>MID('paste from garc here'!$C$2,1+(('table for research'!$B521-456)*36+HEX2DEC('table for research'!H$1))*2,2)</f>
        <v>00</v>
      </c>
      <c r="I521" t="str">
        <f>MID('paste from garc here'!$C$2,1+(('table for research'!$B521-456)*36+HEX2DEC('table for research'!I$1))*2,2)</f>
        <v>00</v>
      </c>
      <c r="J521" t="str">
        <f>MID('paste from garc here'!$C$2,1+(('table for research'!$B521-456)*36+HEX2DEC('table for research'!J$1))*2,2)</f>
        <v>00</v>
      </c>
      <c r="K521" t="str">
        <f>DEC2HEX(_xlfn.BITAND(HEX2DEC(MID('paste from garc here'!$C$1,1+(('table for research'!$B521-1)*36+HEX2DEC(8))*2,2)),31),2)</f>
        <v>00</v>
      </c>
      <c r="L521" t="str">
        <f>DEC2HEX(_xlfn.BITAND(HEX2DEC(MID('paste from garc here'!$C$1,1+(('table for research'!$B521-1)*36+HEX2DEC(8))*2,2)),32),2)</f>
        <v>00</v>
      </c>
      <c r="M521" t="str">
        <f>DEC2HEX(_xlfn.BITAND(HEX2DEC(MID('paste from garc here'!$C$1,1+(('table for research'!$B521-1)*36+HEX2DEC(8))*2,2)),64),2)</f>
        <v>00</v>
      </c>
      <c r="N521" t="str">
        <f>DEC2HEX(_xlfn.BITRSHIFT(_xlfn.BITAND(HEX2DEC(MID('paste from garc here'!$C$1,1+(('table for research'!$B521-1)*36+HEX2DEC(9))*2,2)&amp;MID('paste from garc here'!$C$1,1+(('table for research'!$B521-1)*36+HEX2DEC(8))*2,2)),1920),7),2)</f>
        <v>00</v>
      </c>
      <c r="O521" t="str">
        <f>DEC2HEX(_xlfn.BITRSHIFT(HEX2DEC(MID('paste from garc here'!$C$1,1+(('table for research'!$B521-1)*36+HEX2DEC(9))*2,2)&amp;MID('paste from garc here'!$C$1,1+(('table for research'!$B521-1)*36+HEX2DEC(8))*2,2)),11),2)</f>
        <v>00</v>
      </c>
      <c r="P521" t="str">
        <f>MID('paste from garc here'!$C$2,1+(('table for research'!$B521-456)*36+HEX2DEC('table for research'!P$1))*2,2)</f>
        <v>00</v>
      </c>
      <c r="Q521" t="str">
        <f>MID('paste from garc here'!$C$2,1+(('table for research'!$B521-456)*36+HEX2DEC('table for research'!Q$1))*2,2)</f>
        <v>00</v>
      </c>
      <c r="R521" t="str">
        <f>MID('paste from garc here'!$C$2,1+(('table for research'!$B521-456)*36+HEX2DEC('table for research'!R$1))*2,2)</f>
        <v>00</v>
      </c>
      <c r="S521" t="str">
        <f>MID('paste from garc here'!$C$2,1+(('table for research'!$B521-456)*36+HEX2DEC('table for research'!S$1))*2,2)</f>
        <v>02</v>
      </c>
      <c r="T521" t="str">
        <f>MID('paste from garc here'!$C$2,1+(('table for research'!$B521-456)*36+HEX2DEC('table for research'!T$1))*2,2)</f>
        <v>00</v>
      </c>
      <c r="U521" t="str">
        <f>MID('paste from garc here'!$C$2,1+(('table for research'!$B521-456)*36+HEX2DEC('table for research'!U$1))*2,2)</f>
        <v>FF</v>
      </c>
      <c r="V521" t="str">
        <f>MID('paste from garc here'!$C$2,1+(('table for research'!$B521-456)*36+HEX2DEC('table for research'!V$1))*2,2)</f>
        <v>00</v>
      </c>
      <c r="W521" t="str">
        <f>MID('paste from garc here'!$C$2,1+(('table for research'!$B521-456)*36+HEX2DEC('table for research'!W$1))*2,2)</f>
        <v>00</v>
      </c>
      <c r="X521" t="str">
        <f>MID('paste from garc here'!$C$2,1+(('table for research'!$B521-456)*36+HEX2DEC('table for research'!X$1))*2,2)</f>
        <v>00</v>
      </c>
      <c r="Y521" t="str">
        <f>MID('paste from garc here'!$C$2,1+(('table for research'!$B521-456)*36+HEX2DEC('table for research'!Y$1))*2,2)</f>
        <v>00</v>
      </c>
      <c r="Z521" t="str">
        <f>MID('paste from garc here'!$C$2,1+(('table for research'!$B521-456)*36+HEX2DEC('table for research'!Z$1))*2,2)</f>
        <v>00</v>
      </c>
      <c r="AA521" t="str">
        <f>MID('paste from garc here'!$C$2,1+(('table for research'!$B521-456)*36+HEX2DEC('table for research'!AA$1))*2,2)</f>
        <v>00</v>
      </c>
      <c r="AB521" t="str">
        <f>MID('paste from garc here'!$C$2,1+(('table for research'!$B521-456)*36+HEX2DEC('table for research'!AB$1))*2,2)</f>
        <v>00</v>
      </c>
      <c r="AC521" t="str">
        <f>MID('paste from garc here'!$C$2,1+(('table for research'!$B521-456)*36+HEX2DEC('table for research'!AC$1))*2,2)</f>
        <v>00</v>
      </c>
      <c r="AD521" t="str">
        <f>MID('paste from garc here'!$C$2,1+(('table for research'!$B521-456)*36+HEX2DEC('table for research'!AD$1))*2,2)</f>
        <v>00</v>
      </c>
      <c r="AE521" t="str">
        <f>MID('paste from garc here'!$C$2,1+(('table for research'!$B521-456)*36+HEX2DEC('table for research'!AE$1))*2,2)</f>
        <v>00</v>
      </c>
      <c r="AF521" t="str">
        <f>MID('paste from garc here'!$C$2,1+(('table for research'!$B521-456)*36+HEX2DEC('table for research'!AF$1))*2,2)</f>
        <v>00</v>
      </c>
      <c r="AG521" t="str">
        <f>MID('paste from garc here'!$C$2,1+(('table for research'!$B521-456)*36+HEX2DEC('table for research'!AG$1))*2,2)</f>
        <v>00</v>
      </c>
      <c r="AH521" t="str">
        <f>MID('paste from garc here'!$C$2,1+(('table for research'!$B521-456)*36+HEX2DEC('table for research'!AH$1))*2,2)</f>
        <v>00</v>
      </c>
      <c r="AI521" t="str">
        <f>MID('paste from garc here'!$C$2,1+(('table for research'!$B521-456)*36+HEX2DEC('table for research'!AI$1))*2,2)</f>
        <v>00</v>
      </c>
      <c r="AJ521" t="str">
        <f>MID('paste from garc here'!$C$2,1+(('table for research'!$B521-456)*36+HEX2DEC('table for research'!AJ$1))*2,2)</f>
        <v>00</v>
      </c>
      <c r="AK521" t="str">
        <f>MID('paste from garc here'!$C$2,1+(('table for research'!$B521-456)*36+HEX2DEC('table for research'!AK$1))*2,2)</f>
        <v>00</v>
      </c>
      <c r="AL521" t="str">
        <f>MID('paste from garc here'!$C$2,1+(('table for research'!$B521-456)*36+HEX2DEC('table for research'!AL$1))*2,2)</f>
        <v>00</v>
      </c>
      <c r="AM521" t="str">
        <f>MID('paste from garc here'!$C$2,1+(('table for research'!$B521-456)*36+HEX2DEC('table for research'!AM$1))*2,2)</f>
        <v>00</v>
      </c>
      <c r="AN521" t="str">
        <f>MID('paste from garc here'!$C$2,1+(('table for research'!$B521-456)*36+HEX2DEC('table for research'!AN$1))*2,2)</f>
        <v>00</v>
      </c>
      <c r="AO521" t="str">
        <f>MID('paste from garc here'!$C$2,1+(('table for research'!$B521-456)*36+HEX2DEC('table for research'!AO$1))*2,2)</f>
        <v>00</v>
      </c>
    </row>
    <row r="522" spans="1:41" x14ac:dyDescent="0.4">
      <c r="A522" t="s">
        <v>524</v>
      </c>
      <c r="B522">
        <f>B521+1</f>
        <v>520</v>
      </c>
      <c r="C522" t="str">
        <f>MID('paste from garc here'!$C$2,1+(('table for research'!$B522-456)*36+HEX2DEC('table for research'!C$1))*2,2)</f>
        <v>00</v>
      </c>
      <c r="D522" t="str">
        <f>MID('paste from garc here'!$C$2,1+(('table for research'!$B522-456)*36+HEX2DEC('table for research'!D$1))*2,2)</f>
        <v>00</v>
      </c>
      <c r="E522" t="str">
        <f>MID('paste from garc here'!$C$2,1+(('table for research'!$B522-456)*36+HEX2DEC('table for research'!E$1))*2,2)</f>
        <v>00</v>
      </c>
      <c r="F522" t="str">
        <f>MID('paste from garc here'!$C$2,1+(('table for research'!$B522-456)*36+HEX2DEC('table for research'!F$1))*2,2)</f>
        <v>00</v>
      </c>
      <c r="G522" t="str">
        <f>MID('paste from garc here'!$C$2,1+(('table for research'!$B522-456)*36+HEX2DEC('table for research'!G$1))*2,2)</f>
        <v>00</v>
      </c>
      <c r="H522" t="str">
        <f>MID('paste from garc here'!$C$2,1+(('table for research'!$B522-456)*36+HEX2DEC('table for research'!H$1))*2,2)</f>
        <v>00</v>
      </c>
      <c r="I522" t="str">
        <f>MID('paste from garc here'!$C$2,1+(('table for research'!$B522-456)*36+HEX2DEC('table for research'!I$1))*2,2)</f>
        <v>00</v>
      </c>
      <c r="J522" t="str">
        <f>MID('paste from garc here'!$C$2,1+(('table for research'!$B522-456)*36+HEX2DEC('table for research'!J$1))*2,2)</f>
        <v>00</v>
      </c>
      <c r="K522" t="str">
        <f>DEC2HEX(_xlfn.BITAND(HEX2DEC(MID('paste from garc here'!$C$1,1+(('table for research'!$B522-1)*36+HEX2DEC(8))*2,2)),31),2)</f>
        <v>00</v>
      </c>
      <c r="L522" t="str">
        <f>DEC2HEX(_xlfn.BITAND(HEX2DEC(MID('paste from garc here'!$C$1,1+(('table for research'!$B522-1)*36+HEX2DEC(8))*2,2)),32),2)</f>
        <v>00</v>
      </c>
      <c r="M522" t="str">
        <f>DEC2HEX(_xlfn.BITAND(HEX2DEC(MID('paste from garc here'!$C$1,1+(('table for research'!$B522-1)*36+HEX2DEC(8))*2,2)),64),2)</f>
        <v>00</v>
      </c>
      <c r="N522" t="str">
        <f>DEC2HEX(_xlfn.BITRSHIFT(_xlfn.BITAND(HEX2DEC(MID('paste from garc here'!$C$1,1+(('table for research'!$B522-1)*36+HEX2DEC(9))*2,2)&amp;MID('paste from garc here'!$C$1,1+(('table for research'!$B522-1)*36+HEX2DEC(8))*2,2)),1920),7),2)</f>
        <v>00</v>
      </c>
      <c r="O522" t="str">
        <f>DEC2HEX(_xlfn.BITRSHIFT(HEX2DEC(MID('paste from garc here'!$C$1,1+(('table for research'!$B522-1)*36+HEX2DEC(9))*2,2)&amp;MID('paste from garc here'!$C$1,1+(('table for research'!$B522-1)*36+HEX2DEC(8))*2,2)),11),2)</f>
        <v>00</v>
      </c>
      <c r="P522" t="str">
        <f>MID('paste from garc here'!$C$2,1+(('table for research'!$B522-456)*36+HEX2DEC('table for research'!P$1))*2,2)</f>
        <v>00</v>
      </c>
      <c r="Q522" t="str">
        <f>MID('paste from garc here'!$C$2,1+(('table for research'!$B522-456)*36+HEX2DEC('table for research'!Q$1))*2,2)</f>
        <v>00</v>
      </c>
      <c r="R522" t="str">
        <f>MID('paste from garc here'!$C$2,1+(('table for research'!$B522-456)*36+HEX2DEC('table for research'!R$1))*2,2)</f>
        <v>00</v>
      </c>
      <c r="S522" t="str">
        <f>MID('paste from garc here'!$C$2,1+(('table for research'!$B522-456)*36+HEX2DEC('table for research'!S$1))*2,2)</f>
        <v>02</v>
      </c>
      <c r="T522" t="str">
        <f>MID('paste from garc here'!$C$2,1+(('table for research'!$B522-456)*36+HEX2DEC('table for research'!T$1))*2,2)</f>
        <v>00</v>
      </c>
      <c r="U522" t="str">
        <f>MID('paste from garc here'!$C$2,1+(('table for research'!$B522-456)*36+HEX2DEC('table for research'!U$1))*2,2)</f>
        <v>FF</v>
      </c>
      <c r="V522" t="str">
        <f>MID('paste from garc here'!$C$2,1+(('table for research'!$B522-456)*36+HEX2DEC('table for research'!V$1))*2,2)</f>
        <v>00</v>
      </c>
      <c r="W522" t="str">
        <f>MID('paste from garc here'!$C$2,1+(('table for research'!$B522-456)*36+HEX2DEC('table for research'!W$1))*2,2)</f>
        <v>00</v>
      </c>
      <c r="X522" t="str">
        <f>MID('paste from garc here'!$C$2,1+(('table for research'!$B522-456)*36+HEX2DEC('table for research'!X$1))*2,2)</f>
        <v>00</v>
      </c>
      <c r="Y522" t="str">
        <f>MID('paste from garc here'!$C$2,1+(('table for research'!$B522-456)*36+HEX2DEC('table for research'!Y$1))*2,2)</f>
        <v>00</v>
      </c>
      <c r="Z522" t="str">
        <f>MID('paste from garc here'!$C$2,1+(('table for research'!$B522-456)*36+HEX2DEC('table for research'!Z$1))*2,2)</f>
        <v>00</v>
      </c>
      <c r="AA522" t="str">
        <f>MID('paste from garc here'!$C$2,1+(('table for research'!$B522-456)*36+HEX2DEC('table for research'!AA$1))*2,2)</f>
        <v>00</v>
      </c>
      <c r="AB522" t="str">
        <f>MID('paste from garc here'!$C$2,1+(('table for research'!$B522-456)*36+HEX2DEC('table for research'!AB$1))*2,2)</f>
        <v>00</v>
      </c>
      <c r="AC522" t="str">
        <f>MID('paste from garc here'!$C$2,1+(('table for research'!$B522-456)*36+HEX2DEC('table for research'!AC$1))*2,2)</f>
        <v>00</v>
      </c>
      <c r="AD522" t="str">
        <f>MID('paste from garc here'!$C$2,1+(('table for research'!$B522-456)*36+HEX2DEC('table for research'!AD$1))*2,2)</f>
        <v>00</v>
      </c>
      <c r="AE522" t="str">
        <f>MID('paste from garc here'!$C$2,1+(('table for research'!$B522-456)*36+HEX2DEC('table for research'!AE$1))*2,2)</f>
        <v>00</v>
      </c>
      <c r="AF522" t="str">
        <f>MID('paste from garc here'!$C$2,1+(('table for research'!$B522-456)*36+HEX2DEC('table for research'!AF$1))*2,2)</f>
        <v>00</v>
      </c>
      <c r="AG522" t="str">
        <f>MID('paste from garc here'!$C$2,1+(('table for research'!$B522-456)*36+HEX2DEC('table for research'!AG$1))*2,2)</f>
        <v>00</v>
      </c>
      <c r="AH522" t="str">
        <f>MID('paste from garc here'!$C$2,1+(('table for research'!$B522-456)*36+HEX2DEC('table for research'!AH$1))*2,2)</f>
        <v>00</v>
      </c>
      <c r="AI522" t="str">
        <f>MID('paste from garc here'!$C$2,1+(('table for research'!$B522-456)*36+HEX2DEC('table for research'!AI$1))*2,2)</f>
        <v>00</v>
      </c>
      <c r="AJ522" t="str">
        <f>MID('paste from garc here'!$C$2,1+(('table for research'!$B522-456)*36+HEX2DEC('table for research'!AJ$1))*2,2)</f>
        <v>00</v>
      </c>
      <c r="AK522" t="str">
        <f>MID('paste from garc here'!$C$2,1+(('table for research'!$B522-456)*36+HEX2DEC('table for research'!AK$1))*2,2)</f>
        <v>00</v>
      </c>
      <c r="AL522" t="str">
        <f>MID('paste from garc here'!$C$2,1+(('table for research'!$B522-456)*36+HEX2DEC('table for research'!AL$1))*2,2)</f>
        <v>00</v>
      </c>
      <c r="AM522" t="str">
        <f>MID('paste from garc here'!$C$2,1+(('table for research'!$B522-456)*36+HEX2DEC('table for research'!AM$1))*2,2)</f>
        <v>00</v>
      </c>
      <c r="AN522" t="str">
        <f>MID('paste from garc here'!$C$2,1+(('table for research'!$B522-456)*36+HEX2DEC('table for research'!AN$1))*2,2)</f>
        <v>00</v>
      </c>
      <c r="AO522" t="str">
        <f>MID('paste from garc here'!$C$2,1+(('table for research'!$B522-456)*36+HEX2DEC('table for research'!AO$1))*2,2)</f>
        <v>00</v>
      </c>
    </row>
    <row r="523" spans="1:41" x14ac:dyDescent="0.4">
      <c r="A523" t="s">
        <v>525</v>
      </c>
      <c r="B523">
        <f>B522+1</f>
        <v>521</v>
      </c>
      <c r="C523" t="str">
        <f>MID('paste from garc here'!$C$2,1+(('table for research'!$B523-456)*36+HEX2DEC('table for research'!C$1))*2,2)</f>
        <v>00</v>
      </c>
      <c r="D523" t="str">
        <f>MID('paste from garc here'!$C$2,1+(('table for research'!$B523-456)*36+HEX2DEC('table for research'!D$1))*2,2)</f>
        <v>00</v>
      </c>
      <c r="E523" t="str">
        <f>MID('paste from garc here'!$C$2,1+(('table for research'!$B523-456)*36+HEX2DEC('table for research'!E$1))*2,2)</f>
        <v>00</v>
      </c>
      <c r="F523" t="str">
        <f>MID('paste from garc here'!$C$2,1+(('table for research'!$B523-456)*36+HEX2DEC('table for research'!F$1))*2,2)</f>
        <v>00</v>
      </c>
      <c r="G523" t="str">
        <f>MID('paste from garc here'!$C$2,1+(('table for research'!$B523-456)*36+HEX2DEC('table for research'!G$1))*2,2)</f>
        <v>00</v>
      </c>
      <c r="H523" t="str">
        <f>MID('paste from garc here'!$C$2,1+(('table for research'!$B523-456)*36+HEX2DEC('table for research'!H$1))*2,2)</f>
        <v>00</v>
      </c>
      <c r="I523" t="str">
        <f>MID('paste from garc here'!$C$2,1+(('table for research'!$B523-456)*36+HEX2DEC('table for research'!I$1))*2,2)</f>
        <v>00</v>
      </c>
      <c r="J523" t="str">
        <f>MID('paste from garc here'!$C$2,1+(('table for research'!$B523-456)*36+HEX2DEC('table for research'!J$1))*2,2)</f>
        <v>00</v>
      </c>
      <c r="K523" t="str">
        <f>DEC2HEX(_xlfn.BITAND(HEX2DEC(MID('paste from garc here'!$C$1,1+(('table for research'!$B523-1)*36+HEX2DEC(8))*2,2)),31),2)</f>
        <v>00</v>
      </c>
      <c r="L523" t="str">
        <f>DEC2HEX(_xlfn.BITAND(HEX2DEC(MID('paste from garc here'!$C$1,1+(('table for research'!$B523-1)*36+HEX2DEC(8))*2,2)),32),2)</f>
        <v>00</v>
      </c>
      <c r="M523" t="str">
        <f>DEC2HEX(_xlfn.BITAND(HEX2DEC(MID('paste from garc here'!$C$1,1+(('table for research'!$B523-1)*36+HEX2DEC(8))*2,2)),64),2)</f>
        <v>00</v>
      </c>
      <c r="N523" t="str">
        <f>DEC2HEX(_xlfn.BITRSHIFT(_xlfn.BITAND(HEX2DEC(MID('paste from garc here'!$C$1,1+(('table for research'!$B523-1)*36+HEX2DEC(9))*2,2)&amp;MID('paste from garc here'!$C$1,1+(('table for research'!$B523-1)*36+HEX2DEC(8))*2,2)),1920),7),2)</f>
        <v>00</v>
      </c>
      <c r="O523" t="str">
        <f>DEC2HEX(_xlfn.BITRSHIFT(HEX2DEC(MID('paste from garc here'!$C$1,1+(('table for research'!$B523-1)*36+HEX2DEC(9))*2,2)&amp;MID('paste from garc here'!$C$1,1+(('table for research'!$B523-1)*36+HEX2DEC(8))*2,2)),11),2)</f>
        <v>00</v>
      </c>
      <c r="P523" t="str">
        <f>MID('paste from garc here'!$C$2,1+(('table for research'!$B523-456)*36+HEX2DEC('table for research'!P$1))*2,2)</f>
        <v>00</v>
      </c>
      <c r="Q523" t="str">
        <f>MID('paste from garc here'!$C$2,1+(('table for research'!$B523-456)*36+HEX2DEC('table for research'!Q$1))*2,2)</f>
        <v>00</v>
      </c>
      <c r="R523" t="str">
        <f>MID('paste from garc here'!$C$2,1+(('table for research'!$B523-456)*36+HEX2DEC('table for research'!R$1))*2,2)</f>
        <v>00</v>
      </c>
      <c r="S523" t="str">
        <f>MID('paste from garc here'!$C$2,1+(('table for research'!$B523-456)*36+HEX2DEC('table for research'!S$1))*2,2)</f>
        <v>02</v>
      </c>
      <c r="T523" t="str">
        <f>MID('paste from garc here'!$C$2,1+(('table for research'!$B523-456)*36+HEX2DEC('table for research'!T$1))*2,2)</f>
        <v>00</v>
      </c>
      <c r="U523" t="str">
        <f>MID('paste from garc here'!$C$2,1+(('table for research'!$B523-456)*36+HEX2DEC('table for research'!U$1))*2,2)</f>
        <v>FF</v>
      </c>
      <c r="V523" t="str">
        <f>MID('paste from garc here'!$C$2,1+(('table for research'!$B523-456)*36+HEX2DEC('table for research'!V$1))*2,2)</f>
        <v>00</v>
      </c>
      <c r="W523" t="str">
        <f>MID('paste from garc here'!$C$2,1+(('table for research'!$B523-456)*36+HEX2DEC('table for research'!W$1))*2,2)</f>
        <v>00</v>
      </c>
      <c r="X523" t="str">
        <f>MID('paste from garc here'!$C$2,1+(('table for research'!$B523-456)*36+HEX2DEC('table for research'!X$1))*2,2)</f>
        <v>00</v>
      </c>
      <c r="Y523" t="str">
        <f>MID('paste from garc here'!$C$2,1+(('table for research'!$B523-456)*36+HEX2DEC('table for research'!Y$1))*2,2)</f>
        <v>00</v>
      </c>
      <c r="Z523" t="str">
        <f>MID('paste from garc here'!$C$2,1+(('table for research'!$B523-456)*36+HEX2DEC('table for research'!Z$1))*2,2)</f>
        <v>00</v>
      </c>
      <c r="AA523" t="str">
        <f>MID('paste from garc here'!$C$2,1+(('table for research'!$B523-456)*36+HEX2DEC('table for research'!AA$1))*2,2)</f>
        <v>00</v>
      </c>
      <c r="AB523" t="str">
        <f>MID('paste from garc here'!$C$2,1+(('table for research'!$B523-456)*36+HEX2DEC('table for research'!AB$1))*2,2)</f>
        <v>00</v>
      </c>
      <c r="AC523" t="str">
        <f>MID('paste from garc here'!$C$2,1+(('table for research'!$B523-456)*36+HEX2DEC('table for research'!AC$1))*2,2)</f>
        <v>00</v>
      </c>
      <c r="AD523" t="str">
        <f>MID('paste from garc here'!$C$2,1+(('table for research'!$B523-456)*36+HEX2DEC('table for research'!AD$1))*2,2)</f>
        <v>00</v>
      </c>
      <c r="AE523" t="str">
        <f>MID('paste from garc here'!$C$2,1+(('table for research'!$B523-456)*36+HEX2DEC('table for research'!AE$1))*2,2)</f>
        <v>00</v>
      </c>
      <c r="AF523" t="str">
        <f>MID('paste from garc here'!$C$2,1+(('table for research'!$B523-456)*36+HEX2DEC('table for research'!AF$1))*2,2)</f>
        <v>00</v>
      </c>
      <c r="AG523" t="str">
        <f>MID('paste from garc here'!$C$2,1+(('table for research'!$B523-456)*36+HEX2DEC('table for research'!AG$1))*2,2)</f>
        <v>00</v>
      </c>
      <c r="AH523" t="str">
        <f>MID('paste from garc here'!$C$2,1+(('table for research'!$B523-456)*36+HEX2DEC('table for research'!AH$1))*2,2)</f>
        <v>00</v>
      </c>
      <c r="AI523" t="str">
        <f>MID('paste from garc here'!$C$2,1+(('table for research'!$B523-456)*36+HEX2DEC('table for research'!AI$1))*2,2)</f>
        <v>00</v>
      </c>
      <c r="AJ523" t="str">
        <f>MID('paste from garc here'!$C$2,1+(('table for research'!$B523-456)*36+HEX2DEC('table for research'!AJ$1))*2,2)</f>
        <v>00</v>
      </c>
      <c r="AK523" t="str">
        <f>MID('paste from garc here'!$C$2,1+(('table for research'!$B523-456)*36+HEX2DEC('table for research'!AK$1))*2,2)</f>
        <v>00</v>
      </c>
      <c r="AL523" t="str">
        <f>MID('paste from garc here'!$C$2,1+(('table for research'!$B523-456)*36+HEX2DEC('table for research'!AL$1))*2,2)</f>
        <v>00</v>
      </c>
      <c r="AM523" t="str">
        <f>MID('paste from garc here'!$C$2,1+(('table for research'!$B523-456)*36+HEX2DEC('table for research'!AM$1))*2,2)</f>
        <v>00</v>
      </c>
      <c r="AN523" t="str">
        <f>MID('paste from garc here'!$C$2,1+(('table for research'!$B523-456)*36+HEX2DEC('table for research'!AN$1))*2,2)</f>
        <v>00</v>
      </c>
      <c r="AO523" t="str">
        <f>MID('paste from garc here'!$C$2,1+(('table for research'!$B523-456)*36+HEX2DEC('table for research'!AO$1))*2,2)</f>
        <v>00</v>
      </c>
    </row>
    <row r="524" spans="1:41" x14ac:dyDescent="0.4">
      <c r="A524" t="s">
        <v>526</v>
      </c>
      <c r="B524">
        <f>B523+1</f>
        <v>522</v>
      </c>
      <c r="C524" t="str">
        <f>MID('paste from garc here'!$C$2,1+(('table for research'!$B524-456)*36+HEX2DEC('table for research'!C$1))*2,2)</f>
        <v>00</v>
      </c>
      <c r="D524" t="str">
        <f>MID('paste from garc here'!$C$2,1+(('table for research'!$B524-456)*36+HEX2DEC('table for research'!D$1))*2,2)</f>
        <v>00</v>
      </c>
      <c r="E524" t="str">
        <f>MID('paste from garc here'!$C$2,1+(('table for research'!$B524-456)*36+HEX2DEC('table for research'!E$1))*2,2)</f>
        <v>00</v>
      </c>
      <c r="F524" t="str">
        <f>MID('paste from garc here'!$C$2,1+(('table for research'!$B524-456)*36+HEX2DEC('table for research'!F$1))*2,2)</f>
        <v>00</v>
      </c>
      <c r="G524" t="str">
        <f>MID('paste from garc here'!$C$2,1+(('table for research'!$B524-456)*36+HEX2DEC('table for research'!G$1))*2,2)</f>
        <v>00</v>
      </c>
      <c r="H524" t="str">
        <f>MID('paste from garc here'!$C$2,1+(('table for research'!$B524-456)*36+HEX2DEC('table for research'!H$1))*2,2)</f>
        <v>00</v>
      </c>
      <c r="I524" t="str">
        <f>MID('paste from garc here'!$C$2,1+(('table for research'!$B524-456)*36+HEX2DEC('table for research'!I$1))*2,2)</f>
        <v>00</v>
      </c>
      <c r="J524" t="str">
        <f>MID('paste from garc here'!$C$2,1+(('table for research'!$B524-456)*36+HEX2DEC('table for research'!J$1))*2,2)</f>
        <v>00</v>
      </c>
      <c r="K524" t="str">
        <f>DEC2HEX(_xlfn.BITAND(HEX2DEC(MID('paste from garc here'!$C$1,1+(('table for research'!$B524-1)*36+HEX2DEC(8))*2,2)),31),2)</f>
        <v>00</v>
      </c>
      <c r="L524" t="str">
        <f>DEC2HEX(_xlfn.BITAND(HEX2DEC(MID('paste from garc here'!$C$1,1+(('table for research'!$B524-1)*36+HEX2DEC(8))*2,2)),32),2)</f>
        <v>00</v>
      </c>
      <c r="M524" t="str">
        <f>DEC2HEX(_xlfn.BITAND(HEX2DEC(MID('paste from garc here'!$C$1,1+(('table for research'!$B524-1)*36+HEX2DEC(8))*2,2)),64),2)</f>
        <v>00</v>
      </c>
      <c r="N524" t="str">
        <f>DEC2HEX(_xlfn.BITRSHIFT(_xlfn.BITAND(HEX2DEC(MID('paste from garc here'!$C$1,1+(('table for research'!$B524-1)*36+HEX2DEC(9))*2,2)&amp;MID('paste from garc here'!$C$1,1+(('table for research'!$B524-1)*36+HEX2DEC(8))*2,2)),1920),7),2)</f>
        <v>00</v>
      </c>
      <c r="O524" t="str">
        <f>DEC2HEX(_xlfn.BITRSHIFT(HEX2DEC(MID('paste from garc here'!$C$1,1+(('table for research'!$B524-1)*36+HEX2DEC(9))*2,2)&amp;MID('paste from garc here'!$C$1,1+(('table for research'!$B524-1)*36+HEX2DEC(8))*2,2)),11),2)</f>
        <v>00</v>
      </c>
      <c r="P524" t="str">
        <f>MID('paste from garc here'!$C$2,1+(('table for research'!$B524-456)*36+HEX2DEC('table for research'!P$1))*2,2)</f>
        <v>00</v>
      </c>
      <c r="Q524" t="str">
        <f>MID('paste from garc here'!$C$2,1+(('table for research'!$B524-456)*36+HEX2DEC('table for research'!Q$1))*2,2)</f>
        <v>00</v>
      </c>
      <c r="R524" t="str">
        <f>MID('paste from garc here'!$C$2,1+(('table for research'!$B524-456)*36+HEX2DEC('table for research'!R$1))*2,2)</f>
        <v>00</v>
      </c>
      <c r="S524" t="str">
        <f>MID('paste from garc here'!$C$2,1+(('table for research'!$B524-456)*36+HEX2DEC('table for research'!S$1))*2,2)</f>
        <v>02</v>
      </c>
      <c r="T524" t="str">
        <f>MID('paste from garc here'!$C$2,1+(('table for research'!$B524-456)*36+HEX2DEC('table for research'!T$1))*2,2)</f>
        <v>00</v>
      </c>
      <c r="U524" t="str">
        <f>MID('paste from garc here'!$C$2,1+(('table for research'!$B524-456)*36+HEX2DEC('table for research'!U$1))*2,2)</f>
        <v>FF</v>
      </c>
      <c r="V524" t="str">
        <f>MID('paste from garc here'!$C$2,1+(('table for research'!$B524-456)*36+HEX2DEC('table for research'!V$1))*2,2)</f>
        <v>00</v>
      </c>
      <c r="W524" t="str">
        <f>MID('paste from garc here'!$C$2,1+(('table for research'!$B524-456)*36+HEX2DEC('table for research'!W$1))*2,2)</f>
        <v>00</v>
      </c>
      <c r="X524" t="str">
        <f>MID('paste from garc here'!$C$2,1+(('table for research'!$B524-456)*36+HEX2DEC('table for research'!X$1))*2,2)</f>
        <v>00</v>
      </c>
      <c r="Y524" t="str">
        <f>MID('paste from garc here'!$C$2,1+(('table for research'!$B524-456)*36+HEX2DEC('table for research'!Y$1))*2,2)</f>
        <v>00</v>
      </c>
      <c r="Z524" t="str">
        <f>MID('paste from garc here'!$C$2,1+(('table for research'!$B524-456)*36+HEX2DEC('table for research'!Z$1))*2,2)</f>
        <v>00</v>
      </c>
      <c r="AA524" t="str">
        <f>MID('paste from garc here'!$C$2,1+(('table for research'!$B524-456)*36+HEX2DEC('table for research'!AA$1))*2,2)</f>
        <v>00</v>
      </c>
      <c r="AB524" t="str">
        <f>MID('paste from garc here'!$C$2,1+(('table for research'!$B524-456)*36+HEX2DEC('table for research'!AB$1))*2,2)</f>
        <v>00</v>
      </c>
      <c r="AC524" t="str">
        <f>MID('paste from garc here'!$C$2,1+(('table for research'!$B524-456)*36+HEX2DEC('table for research'!AC$1))*2,2)</f>
        <v>00</v>
      </c>
      <c r="AD524" t="str">
        <f>MID('paste from garc here'!$C$2,1+(('table for research'!$B524-456)*36+HEX2DEC('table for research'!AD$1))*2,2)</f>
        <v>00</v>
      </c>
      <c r="AE524" t="str">
        <f>MID('paste from garc here'!$C$2,1+(('table for research'!$B524-456)*36+HEX2DEC('table for research'!AE$1))*2,2)</f>
        <v>00</v>
      </c>
      <c r="AF524" t="str">
        <f>MID('paste from garc here'!$C$2,1+(('table for research'!$B524-456)*36+HEX2DEC('table for research'!AF$1))*2,2)</f>
        <v>00</v>
      </c>
      <c r="AG524" t="str">
        <f>MID('paste from garc here'!$C$2,1+(('table for research'!$B524-456)*36+HEX2DEC('table for research'!AG$1))*2,2)</f>
        <v>00</v>
      </c>
      <c r="AH524" t="str">
        <f>MID('paste from garc here'!$C$2,1+(('table for research'!$B524-456)*36+HEX2DEC('table for research'!AH$1))*2,2)</f>
        <v>00</v>
      </c>
      <c r="AI524" t="str">
        <f>MID('paste from garc here'!$C$2,1+(('table for research'!$B524-456)*36+HEX2DEC('table for research'!AI$1))*2,2)</f>
        <v>00</v>
      </c>
      <c r="AJ524" t="str">
        <f>MID('paste from garc here'!$C$2,1+(('table for research'!$B524-456)*36+HEX2DEC('table for research'!AJ$1))*2,2)</f>
        <v>00</v>
      </c>
      <c r="AK524" t="str">
        <f>MID('paste from garc here'!$C$2,1+(('table for research'!$B524-456)*36+HEX2DEC('table for research'!AK$1))*2,2)</f>
        <v>00</v>
      </c>
      <c r="AL524" t="str">
        <f>MID('paste from garc here'!$C$2,1+(('table for research'!$B524-456)*36+HEX2DEC('table for research'!AL$1))*2,2)</f>
        <v>00</v>
      </c>
      <c r="AM524" t="str">
        <f>MID('paste from garc here'!$C$2,1+(('table for research'!$B524-456)*36+HEX2DEC('table for research'!AM$1))*2,2)</f>
        <v>00</v>
      </c>
      <c r="AN524" t="str">
        <f>MID('paste from garc here'!$C$2,1+(('table for research'!$B524-456)*36+HEX2DEC('table for research'!AN$1))*2,2)</f>
        <v>00</v>
      </c>
      <c r="AO524" t="str">
        <f>MID('paste from garc here'!$C$2,1+(('table for research'!$B524-456)*36+HEX2DEC('table for research'!AO$1))*2,2)</f>
        <v>00</v>
      </c>
    </row>
    <row r="525" spans="1:41" x14ac:dyDescent="0.4">
      <c r="A525" t="s">
        <v>527</v>
      </c>
      <c r="B525">
        <f>B524+1</f>
        <v>523</v>
      </c>
      <c r="C525" t="str">
        <f>MID('paste from garc here'!$C$2,1+(('table for research'!$B525-456)*36+HEX2DEC('table for research'!C$1))*2,2)</f>
        <v>00</v>
      </c>
      <c r="D525" t="str">
        <f>MID('paste from garc here'!$C$2,1+(('table for research'!$B525-456)*36+HEX2DEC('table for research'!D$1))*2,2)</f>
        <v>00</v>
      </c>
      <c r="E525" t="str">
        <f>MID('paste from garc here'!$C$2,1+(('table for research'!$B525-456)*36+HEX2DEC('table for research'!E$1))*2,2)</f>
        <v>00</v>
      </c>
      <c r="F525" t="str">
        <f>MID('paste from garc here'!$C$2,1+(('table for research'!$B525-456)*36+HEX2DEC('table for research'!F$1))*2,2)</f>
        <v>00</v>
      </c>
      <c r="G525" t="str">
        <f>MID('paste from garc here'!$C$2,1+(('table for research'!$B525-456)*36+HEX2DEC('table for research'!G$1))*2,2)</f>
        <v>00</v>
      </c>
      <c r="H525" t="str">
        <f>MID('paste from garc here'!$C$2,1+(('table for research'!$B525-456)*36+HEX2DEC('table for research'!H$1))*2,2)</f>
        <v>00</v>
      </c>
      <c r="I525" t="str">
        <f>MID('paste from garc here'!$C$2,1+(('table for research'!$B525-456)*36+HEX2DEC('table for research'!I$1))*2,2)</f>
        <v>00</v>
      </c>
      <c r="J525" t="str">
        <f>MID('paste from garc here'!$C$2,1+(('table for research'!$B525-456)*36+HEX2DEC('table for research'!J$1))*2,2)</f>
        <v>00</v>
      </c>
      <c r="K525" t="str">
        <f>DEC2HEX(_xlfn.BITAND(HEX2DEC(MID('paste from garc here'!$C$1,1+(('table for research'!$B525-1)*36+HEX2DEC(8))*2,2)),31),2)</f>
        <v>00</v>
      </c>
      <c r="L525" t="str">
        <f>DEC2HEX(_xlfn.BITAND(HEX2DEC(MID('paste from garc here'!$C$1,1+(('table for research'!$B525-1)*36+HEX2DEC(8))*2,2)),32),2)</f>
        <v>00</v>
      </c>
      <c r="M525" t="str">
        <f>DEC2HEX(_xlfn.BITAND(HEX2DEC(MID('paste from garc here'!$C$1,1+(('table for research'!$B525-1)*36+HEX2DEC(8))*2,2)),64),2)</f>
        <v>00</v>
      </c>
      <c r="N525" t="str">
        <f>DEC2HEX(_xlfn.BITRSHIFT(_xlfn.BITAND(HEX2DEC(MID('paste from garc here'!$C$1,1+(('table for research'!$B525-1)*36+HEX2DEC(9))*2,2)&amp;MID('paste from garc here'!$C$1,1+(('table for research'!$B525-1)*36+HEX2DEC(8))*2,2)),1920),7),2)</f>
        <v>00</v>
      </c>
      <c r="O525" t="str">
        <f>DEC2HEX(_xlfn.BITRSHIFT(HEX2DEC(MID('paste from garc here'!$C$1,1+(('table for research'!$B525-1)*36+HEX2DEC(9))*2,2)&amp;MID('paste from garc here'!$C$1,1+(('table for research'!$B525-1)*36+HEX2DEC(8))*2,2)),11),2)</f>
        <v>00</v>
      </c>
      <c r="P525" t="str">
        <f>MID('paste from garc here'!$C$2,1+(('table for research'!$B525-456)*36+HEX2DEC('table for research'!P$1))*2,2)</f>
        <v>00</v>
      </c>
      <c r="Q525" t="str">
        <f>MID('paste from garc here'!$C$2,1+(('table for research'!$B525-456)*36+HEX2DEC('table for research'!Q$1))*2,2)</f>
        <v>00</v>
      </c>
      <c r="R525" t="str">
        <f>MID('paste from garc here'!$C$2,1+(('table for research'!$B525-456)*36+HEX2DEC('table for research'!R$1))*2,2)</f>
        <v>00</v>
      </c>
      <c r="S525" t="str">
        <f>MID('paste from garc here'!$C$2,1+(('table for research'!$B525-456)*36+HEX2DEC('table for research'!S$1))*2,2)</f>
        <v>02</v>
      </c>
      <c r="T525" t="str">
        <f>MID('paste from garc here'!$C$2,1+(('table for research'!$B525-456)*36+HEX2DEC('table for research'!T$1))*2,2)</f>
        <v>00</v>
      </c>
      <c r="U525" t="str">
        <f>MID('paste from garc here'!$C$2,1+(('table for research'!$B525-456)*36+HEX2DEC('table for research'!U$1))*2,2)</f>
        <v>FF</v>
      </c>
      <c r="V525" t="str">
        <f>MID('paste from garc here'!$C$2,1+(('table for research'!$B525-456)*36+HEX2DEC('table for research'!V$1))*2,2)</f>
        <v>00</v>
      </c>
      <c r="W525" t="str">
        <f>MID('paste from garc here'!$C$2,1+(('table for research'!$B525-456)*36+HEX2DEC('table for research'!W$1))*2,2)</f>
        <v>00</v>
      </c>
      <c r="X525" t="str">
        <f>MID('paste from garc here'!$C$2,1+(('table for research'!$B525-456)*36+HEX2DEC('table for research'!X$1))*2,2)</f>
        <v>00</v>
      </c>
      <c r="Y525" t="str">
        <f>MID('paste from garc here'!$C$2,1+(('table for research'!$B525-456)*36+HEX2DEC('table for research'!Y$1))*2,2)</f>
        <v>00</v>
      </c>
      <c r="Z525" t="str">
        <f>MID('paste from garc here'!$C$2,1+(('table for research'!$B525-456)*36+HEX2DEC('table for research'!Z$1))*2,2)</f>
        <v>00</v>
      </c>
      <c r="AA525" t="str">
        <f>MID('paste from garc here'!$C$2,1+(('table for research'!$B525-456)*36+HEX2DEC('table for research'!AA$1))*2,2)</f>
        <v>00</v>
      </c>
      <c r="AB525" t="str">
        <f>MID('paste from garc here'!$C$2,1+(('table for research'!$B525-456)*36+HEX2DEC('table for research'!AB$1))*2,2)</f>
        <v>00</v>
      </c>
      <c r="AC525" t="str">
        <f>MID('paste from garc here'!$C$2,1+(('table for research'!$B525-456)*36+HEX2DEC('table for research'!AC$1))*2,2)</f>
        <v>00</v>
      </c>
      <c r="AD525" t="str">
        <f>MID('paste from garc here'!$C$2,1+(('table for research'!$B525-456)*36+HEX2DEC('table for research'!AD$1))*2,2)</f>
        <v>00</v>
      </c>
      <c r="AE525" t="str">
        <f>MID('paste from garc here'!$C$2,1+(('table for research'!$B525-456)*36+HEX2DEC('table for research'!AE$1))*2,2)</f>
        <v>00</v>
      </c>
      <c r="AF525" t="str">
        <f>MID('paste from garc here'!$C$2,1+(('table for research'!$B525-456)*36+HEX2DEC('table for research'!AF$1))*2,2)</f>
        <v>00</v>
      </c>
      <c r="AG525" t="str">
        <f>MID('paste from garc here'!$C$2,1+(('table for research'!$B525-456)*36+HEX2DEC('table for research'!AG$1))*2,2)</f>
        <v>00</v>
      </c>
      <c r="AH525" t="str">
        <f>MID('paste from garc here'!$C$2,1+(('table for research'!$B525-456)*36+HEX2DEC('table for research'!AH$1))*2,2)</f>
        <v>00</v>
      </c>
      <c r="AI525" t="str">
        <f>MID('paste from garc here'!$C$2,1+(('table for research'!$B525-456)*36+HEX2DEC('table for research'!AI$1))*2,2)</f>
        <v>00</v>
      </c>
      <c r="AJ525" t="str">
        <f>MID('paste from garc here'!$C$2,1+(('table for research'!$B525-456)*36+HEX2DEC('table for research'!AJ$1))*2,2)</f>
        <v>00</v>
      </c>
      <c r="AK525" t="str">
        <f>MID('paste from garc here'!$C$2,1+(('table for research'!$B525-456)*36+HEX2DEC('table for research'!AK$1))*2,2)</f>
        <v>00</v>
      </c>
      <c r="AL525" t="str">
        <f>MID('paste from garc here'!$C$2,1+(('table for research'!$B525-456)*36+HEX2DEC('table for research'!AL$1))*2,2)</f>
        <v>00</v>
      </c>
      <c r="AM525" t="str">
        <f>MID('paste from garc here'!$C$2,1+(('table for research'!$B525-456)*36+HEX2DEC('table for research'!AM$1))*2,2)</f>
        <v>00</v>
      </c>
      <c r="AN525" t="str">
        <f>MID('paste from garc here'!$C$2,1+(('table for research'!$B525-456)*36+HEX2DEC('table for research'!AN$1))*2,2)</f>
        <v>00</v>
      </c>
      <c r="AO525" t="str">
        <f>MID('paste from garc here'!$C$2,1+(('table for research'!$B525-456)*36+HEX2DEC('table for research'!AO$1))*2,2)</f>
        <v>00</v>
      </c>
    </row>
    <row r="526" spans="1:41" x14ac:dyDescent="0.4">
      <c r="A526" t="s">
        <v>528</v>
      </c>
      <c r="B526">
        <f>B525+1</f>
        <v>524</v>
      </c>
      <c r="C526" t="str">
        <f>MID('paste from garc here'!$C$2,1+(('table for research'!$B526-456)*36+HEX2DEC('table for research'!C$1))*2,2)</f>
        <v>00</v>
      </c>
      <c r="D526" t="str">
        <f>MID('paste from garc here'!$C$2,1+(('table for research'!$B526-456)*36+HEX2DEC('table for research'!D$1))*2,2)</f>
        <v>00</v>
      </c>
      <c r="E526" t="str">
        <f>MID('paste from garc here'!$C$2,1+(('table for research'!$B526-456)*36+HEX2DEC('table for research'!E$1))*2,2)</f>
        <v>00</v>
      </c>
      <c r="F526" t="str">
        <f>MID('paste from garc here'!$C$2,1+(('table for research'!$B526-456)*36+HEX2DEC('table for research'!F$1))*2,2)</f>
        <v>00</v>
      </c>
      <c r="G526" t="str">
        <f>MID('paste from garc here'!$C$2,1+(('table for research'!$B526-456)*36+HEX2DEC('table for research'!G$1))*2,2)</f>
        <v>00</v>
      </c>
      <c r="H526" t="str">
        <f>MID('paste from garc here'!$C$2,1+(('table for research'!$B526-456)*36+HEX2DEC('table for research'!H$1))*2,2)</f>
        <v>00</v>
      </c>
      <c r="I526" t="str">
        <f>MID('paste from garc here'!$C$2,1+(('table for research'!$B526-456)*36+HEX2DEC('table for research'!I$1))*2,2)</f>
        <v>00</v>
      </c>
      <c r="J526" t="str">
        <f>MID('paste from garc here'!$C$2,1+(('table for research'!$B526-456)*36+HEX2DEC('table for research'!J$1))*2,2)</f>
        <v>00</v>
      </c>
      <c r="K526" t="str">
        <f>DEC2HEX(_xlfn.BITAND(HEX2DEC(MID('paste from garc here'!$C$1,1+(('table for research'!$B526-1)*36+HEX2DEC(8))*2,2)),31),2)</f>
        <v>00</v>
      </c>
      <c r="L526" t="str">
        <f>DEC2HEX(_xlfn.BITAND(HEX2DEC(MID('paste from garc here'!$C$1,1+(('table for research'!$B526-1)*36+HEX2DEC(8))*2,2)),32),2)</f>
        <v>00</v>
      </c>
      <c r="M526" t="str">
        <f>DEC2HEX(_xlfn.BITAND(HEX2DEC(MID('paste from garc here'!$C$1,1+(('table for research'!$B526-1)*36+HEX2DEC(8))*2,2)),64),2)</f>
        <v>00</v>
      </c>
      <c r="N526" t="str">
        <f>DEC2HEX(_xlfn.BITRSHIFT(_xlfn.BITAND(HEX2DEC(MID('paste from garc here'!$C$1,1+(('table for research'!$B526-1)*36+HEX2DEC(9))*2,2)&amp;MID('paste from garc here'!$C$1,1+(('table for research'!$B526-1)*36+HEX2DEC(8))*2,2)),1920),7),2)</f>
        <v>00</v>
      </c>
      <c r="O526" t="str">
        <f>DEC2HEX(_xlfn.BITRSHIFT(HEX2DEC(MID('paste from garc here'!$C$1,1+(('table for research'!$B526-1)*36+HEX2DEC(9))*2,2)&amp;MID('paste from garc here'!$C$1,1+(('table for research'!$B526-1)*36+HEX2DEC(8))*2,2)),11),2)</f>
        <v>00</v>
      </c>
      <c r="P526" t="str">
        <f>MID('paste from garc here'!$C$2,1+(('table for research'!$B526-456)*36+HEX2DEC('table for research'!P$1))*2,2)</f>
        <v>00</v>
      </c>
      <c r="Q526" t="str">
        <f>MID('paste from garc here'!$C$2,1+(('table for research'!$B526-456)*36+HEX2DEC('table for research'!Q$1))*2,2)</f>
        <v>00</v>
      </c>
      <c r="R526" t="str">
        <f>MID('paste from garc here'!$C$2,1+(('table for research'!$B526-456)*36+HEX2DEC('table for research'!R$1))*2,2)</f>
        <v>00</v>
      </c>
      <c r="S526" t="str">
        <f>MID('paste from garc here'!$C$2,1+(('table for research'!$B526-456)*36+HEX2DEC('table for research'!S$1))*2,2)</f>
        <v>02</v>
      </c>
      <c r="T526" t="str">
        <f>MID('paste from garc here'!$C$2,1+(('table for research'!$B526-456)*36+HEX2DEC('table for research'!T$1))*2,2)</f>
        <v>00</v>
      </c>
      <c r="U526" t="str">
        <f>MID('paste from garc here'!$C$2,1+(('table for research'!$B526-456)*36+HEX2DEC('table for research'!U$1))*2,2)</f>
        <v>FF</v>
      </c>
      <c r="V526" t="str">
        <f>MID('paste from garc here'!$C$2,1+(('table for research'!$B526-456)*36+HEX2DEC('table for research'!V$1))*2,2)</f>
        <v>00</v>
      </c>
      <c r="W526" t="str">
        <f>MID('paste from garc here'!$C$2,1+(('table for research'!$B526-456)*36+HEX2DEC('table for research'!W$1))*2,2)</f>
        <v>00</v>
      </c>
      <c r="X526" t="str">
        <f>MID('paste from garc here'!$C$2,1+(('table for research'!$B526-456)*36+HEX2DEC('table for research'!X$1))*2,2)</f>
        <v>00</v>
      </c>
      <c r="Y526" t="str">
        <f>MID('paste from garc here'!$C$2,1+(('table for research'!$B526-456)*36+HEX2DEC('table for research'!Y$1))*2,2)</f>
        <v>00</v>
      </c>
      <c r="Z526" t="str">
        <f>MID('paste from garc here'!$C$2,1+(('table for research'!$B526-456)*36+HEX2DEC('table for research'!Z$1))*2,2)</f>
        <v>00</v>
      </c>
      <c r="AA526" t="str">
        <f>MID('paste from garc here'!$C$2,1+(('table for research'!$B526-456)*36+HEX2DEC('table for research'!AA$1))*2,2)</f>
        <v>00</v>
      </c>
      <c r="AB526" t="str">
        <f>MID('paste from garc here'!$C$2,1+(('table for research'!$B526-456)*36+HEX2DEC('table for research'!AB$1))*2,2)</f>
        <v>00</v>
      </c>
      <c r="AC526" t="str">
        <f>MID('paste from garc here'!$C$2,1+(('table for research'!$B526-456)*36+HEX2DEC('table for research'!AC$1))*2,2)</f>
        <v>00</v>
      </c>
      <c r="AD526" t="str">
        <f>MID('paste from garc here'!$C$2,1+(('table for research'!$B526-456)*36+HEX2DEC('table for research'!AD$1))*2,2)</f>
        <v>00</v>
      </c>
      <c r="AE526" t="str">
        <f>MID('paste from garc here'!$C$2,1+(('table for research'!$B526-456)*36+HEX2DEC('table for research'!AE$1))*2,2)</f>
        <v>00</v>
      </c>
      <c r="AF526" t="str">
        <f>MID('paste from garc here'!$C$2,1+(('table for research'!$B526-456)*36+HEX2DEC('table for research'!AF$1))*2,2)</f>
        <v>00</v>
      </c>
      <c r="AG526" t="str">
        <f>MID('paste from garc here'!$C$2,1+(('table for research'!$B526-456)*36+HEX2DEC('table for research'!AG$1))*2,2)</f>
        <v>00</v>
      </c>
      <c r="AH526" t="str">
        <f>MID('paste from garc here'!$C$2,1+(('table for research'!$B526-456)*36+HEX2DEC('table for research'!AH$1))*2,2)</f>
        <v>00</v>
      </c>
      <c r="AI526" t="str">
        <f>MID('paste from garc here'!$C$2,1+(('table for research'!$B526-456)*36+HEX2DEC('table for research'!AI$1))*2,2)</f>
        <v>00</v>
      </c>
      <c r="AJ526" t="str">
        <f>MID('paste from garc here'!$C$2,1+(('table for research'!$B526-456)*36+HEX2DEC('table for research'!AJ$1))*2,2)</f>
        <v>00</v>
      </c>
      <c r="AK526" t="str">
        <f>MID('paste from garc here'!$C$2,1+(('table for research'!$B526-456)*36+HEX2DEC('table for research'!AK$1))*2,2)</f>
        <v>00</v>
      </c>
      <c r="AL526" t="str">
        <f>MID('paste from garc here'!$C$2,1+(('table for research'!$B526-456)*36+HEX2DEC('table for research'!AL$1))*2,2)</f>
        <v>00</v>
      </c>
      <c r="AM526" t="str">
        <f>MID('paste from garc here'!$C$2,1+(('table for research'!$B526-456)*36+HEX2DEC('table for research'!AM$1))*2,2)</f>
        <v>00</v>
      </c>
      <c r="AN526" t="str">
        <f>MID('paste from garc here'!$C$2,1+(('table for research'!$B526-456)*36+HEX2DEC('table for research'!AN$1))*2,2)</f>
        <v>00</v>
      </c>
      <c r="AO526" t="str">
        <f>MID('paste from garc here'!$C$2,1+(('table for research'!$B526-456)*36+HEX2DEC('table for research'!AO$1))*2,2)</f>
        <v>00</v>
      </c>
    </row>
    <row r="527" spans="1:41" x14ac:dyDescent="0.4">
      <c r="A527" t="s">
        <v>529</v>
      </c>
      <c r="B527">
        <f>B526+1</f>
        <v>525</v>
      </c>
      <c r="C527" t="str">
        <f>MID('paste from garc here'!$C$2,1+(('table for research'!$B527-456)*36+HEX2DEC('table for research'!C$1))*2,2)</f>
        <v>00</v>
      </c>
      <c r="D527" t="str">
        <f>MID('paste from garc here'!$C$2,1+(('table for research'!$B527-456)*36+HEX2DEC('table for research'!D$1))*2,2)</f>
        <v>00</v>
      </c>
      <c r="E527" t="str">
        <f>MID('paste from garc here'!$C$2,1+(('table for research'!$B527-456)*36+HEX2DEC('table for research'!E$1))*2,2)</f>
        <v>00</v>
      </c>
      <c r="F527" t="str">
        <f>MID('paste from garc here'!$C$2,1+(('table for research'!$B527-456)*36+HEX2DEC('table for research'!F$1))*2,2)</f>
        <v>00</v>
      </c>
      <c r="G527" t="str">
        <f>MID('paste from garc here'!$C$2,1+(('table for research'!$B527-456)*36+HEX2DEC('table for research'!G$1))*2,2)</f>
        <v>00</v>
      </c>
      <c r="H527" t="str">
        <f>MID('paste from garc here'!$C$2,1+(('table for research'!$B527-456)*36+HEX2DEC('table for research'!H$1))*2,2)</f>
        <v>00</v>
      </c>
      <c r="I527" t="str">
        <f>MID('paste from garc here'!$C$2,1+(('table for research'!$B527-456)*36+HEX2DEC('table for research'!I$1))*2,2)</f>
        <v>00</v>
      </c>
      <c r="J527" t="str">
        <f>MID('paste from garc here'!$C$2,1+(('table for research'!$B527-456)*36+HEX2DEC('table for research'!J$1))*2,2)</f>
        <v>00</v>
      </c>
      <c r="K527" t="str">
        <f>DEC2HEX(_xlfn.BITAND(HEX2DEC(MID('paste from garc here'!$C$1,1+(('table for research'!$B527-1)*36+HEX2DEC(8))*2,2)),31),2)</f>
        <v>00</v>
      </c>
      <c r="L527" t="str">
        <f>DEC2HEX(_xlfn.BITAND(HEX2DEC(MID('paste from garc here'!$C$1,1+(('table for research'!$B527-1)*36+HEX2DEC(8))*2,2)),32),2)</f>
        <v>00</v>
      </c>
      <c r="M527" t="str">
        <f>DEC2HEX(_xlfn.BITAND(HEX2DEC(MID('paste from garc here'!$C$1,1+(('table for research'!$B527-1)*36+HEX2DEC(8))*2,2)),64),2)</f>
        <v>00</v>
      </c>
      <c r="N527" t="str">
        <f>DEC2HEX(_xlfn.BITRSHIFT(_xlfn.BITAND(HEX2DEC(MID('paste from garc here'!$C$1,1+(('table for research'!$B527-1)*36+HEX2DEC(9))*2,2)&amp;MID('paste from garc here'!$C$1,1+(('table for research'!$B527-1)*36+HEX2DEC(8))*2,2)),1920),7),2)</f>
        <v>00</v>
      </c>
      <c r="O527" t="str">
        <f>DEC2HEX(_xlfn.BITRSHIFT(HEX2DEC(MID('paste from garc here'!$C$1,1+(('table for research'!$B527-1)*36+HEX2DEC(9))*2,2)&amp;MID('paste from garc here'!$C$1,1+(('table for research'!$B527-1)*36+HEX2DEC(8))*2,2)),11),2)</f>
        <v>00</v>
      </c>
      <c r="P527" t="str">
        <f>MID('paste from garc here'!$C$2,1+(('table for research'!$B527-456)*36+HEX2DEC('table for research'!P$1))*2,2)</f>
        <v>00</v>
      </c>
      <c r="Q527" t="str">
        <f>MID('paste from garc here'!$C$2,1+(('table for research'!$B527-456)*36+HEX2DEC('table for research'!Q$1))*2,2)</f>
        <v>00</v>
      </c>
      <c r="R527" t="str">
        <f>MID('paste from garc here'!$C$2,1+(('table for research'!$B527-456)*36+HEX2DEC('table for research'!R$1))*2,2)</f>
        <v>00</v>
      </c>
      <c r="S527" t="str">
        <f>MID('paste from garc here'!$C$2,1+(('table for research'!$B527-456)*36+HEX2DEC('table for research'!S$1))*2,2)</f>
        <v>02</v>
      </c>
      <c r="T527" t="str">
        <f>MID('paste from garc here'!$C$2,1+(('table for research'!$B527-456)*36+HEX2DEC('table for research'!T$1))*2,2)</f>
        <v>00</v>
      </c>
      <c r="U527" t="str">
        <f>MID('paste from garc here'!$C$2,1+(('table for research'!$B527-456)*36+HEX2DEC('table for research'!U$1))*2,2)</f>
        <v>FF</v>
      </c>
      <c r="V527" t="str">
        <f>MID('paste from garc here'!$C$2,1+(('table for research'!$B527-456)*36+HEX2DEC('table for research'!V$1))*2,2)</f>
        <v>00</v>
      </c>
      <c r="W527" t="str">
        <f>MID('paste from garc here'!$C$2,1+(('table for research'!$B527-456)*36+HEX2DEC('table for research'!W$1))*2,2)</f>
        <v>00</v>
      </c>
      <c r="X527" t="str">
        <f>MID('paste from garc here'!$C$2,1+(('table for research'!$B527-456)*36+HEX2DEC('table for research'!X$1))*2,2)</f>
        <v>00</v>
      </c>
      <c r="Y527" t="str">
        <f>MID('paste from garc here'!$C$2,1+(('table for research'!$B527-456)*36+HEX2DEC('table for research'!Y$1))*2,2)</f>
        <v>00</v>
      </c>
      <c r="Z527" t="str">
        <f>MID('paste from garc here'!$C$2,1+(('table for research'!$B527-456)*36+HEX2DEC('table for research'!Z$1))*2,2)</f>
        <v>00</v>
      </c>
      <c r="AA527" t="str">
        <f>MID('paste from garc here'!$C$2,1+(('table for research'!$B527-456)*36+HEX2DEC('table for research'!AA$1))*2,2)</f>
        <v>00</v>
      </c>
      <c r="AB527" t="str">
        <f>MID('paste from garc here'!$C$2,1+(('table for research'!$B527-456)*36+HEX2DEC('table for research'!AB$1))*2,2)</f>
        <v>00</v>
      </c>
      <c r="AC527" t="str">
        <f>MID('paste from garc here'!$C$2,1+(('table for research'!$B527-456)*36+HEX2DEC('table for research'!AC$1))*2,2)</f>
        <v>00</v>
      </c>
      <c r="AD527" t="str">
        <f>MID('paste from garc here'!$C$2,1+(('table for research'!$B527-456)*36+HEX2DEC('table for research'!AD$1))*2,2)</f>
        <v>00</v>
      </c>
      <c r="AE527" t="str">
        <f>MID('paste from garc here'!$C$2,1+(('table for research'!$B527-456)*36+HEX2DEC('table for research'!AE$1))*2,2)</f>
        <v>00</v>
      </c>
      <c r="AF527" t="str">
        <f>MID('paste from garc here'!$C$2,1+(('table for research'!$B527-456)*36+HEX2DEC('table for research'!AF$1))*2,2)</f>
        <v>00</v>
      </c>
      <c r="AG527" t="str">
        <f>MID('paste from garc here'!$C$2,1+(('table for research'!$B527-456)*36+HEX2DEC('table for research'!AG$1))*2,2)</f>
        <v>00</v>
      </c>
      <c r="AH527" t="str">
        <f>MID('paste from garc here'!$C$2,1+(('table for research'!$B527-456)*36+HEX2DEC('table for research'!AH$1))*2,2)</f>
        <v>00</v>
      </c>
      <c r="AI527" t="str">
        <f>MID('paste from garc here'!$C$2,1+(('table for research'!$B527-456)*36+HEX2DEC('table for research'!AI$1))*2,2)</f>
        <v>00</v>
      </c>
      <c r="AJ527" t="str">
        <f>MID('paste from garc here'!$C$2,1+(('table for research'!$B527-456)*36+HEX2DEC('table for research'!AJ$1))*2,2)</f>
        <v>00</v>
      </c>
      <c r="AK527" t="str">
        <f>MID('paste from garc here'!$C$2,1+(('table for research'!$B527-456)*36+HEX2DEC('table for research'!AK$1))*2,2)</f>
        <v>00</v>
      </c>
      <c r="AL527" t="str">
        <f>MID('paste from garc here'!$C$2,1+(('table for research'!$B527-456)*36+HEX2DEC('table for research'!AL$1))*2,2)</f>
        <v>00</v>
      </c>
      <c r="AM527" t="str">
        <f>MID('paste from garc here'!$C$2,1+(('table for research'!$B527-456)*36+HEX2DEC('table for research'!AM$1))*2,2)</f>
        <v>00</v>
      </c>
      <c r="AN527" t="str">
        <f>MID('paste from garc here'!$C$2,1+(('table for research'!$B527-456)*36+HEX2DEC('table for research'!AN$1))*2,2)</f>
        <v>00</v>
      </c>
      <c r="AO527" t="str">
        <f>MID('paste from garc here'!$C$2,1+(('table for research'!$B527-456)*36+HEX2DEC('table for research'!AO$1))*2,2)</f>
        <v>00</v>
      </c>
    </row>
    <row r="528" spans="1:41" x14ac:dyDescent="0.4">
      <c r="A528" t="s">
        <v>530</v>
      </c>
      <c r="B528">
        <f>B527+1</f>
        <v>526</v>
      </c>
      <c r="C528" t="str">
        <f>MID('paste from garc here'!$C$2,1+(('table for research'!$B528-456)*36+HEX2DEC('table for research'!C$1))*2,2)</f>
        <v>00</v>
      </c>
      <c r="D528" t="str">
        <f>MID('paste from garc here'!$C$2,1+(('table for research'!$B528-456)*36+HEX2DEC('table for research'!D$1))*2,2)</f>
        <v>00</v>
      </c>
      <c r="E528" t="str">
        <f>MID('paste from garc here'!$C$2,1+(('table for research'!$B528-456)*36+HEX2DEC('table for research'!E$1))*2,2)</f>
        <v>00</v>
      </c>
      <c r="F528" t="str">
        <f>MID('paste from garc here'!$C$2,1+(('table for research'!$B528-456)*36+HEX2DEC('table for research'!F$1))*2,2)</f>
        <v>00</v>
      </c>
      <c r="G528" t="str">
        <f>MID('paste from garc here'!$C$2,1+(('table for research'!$B528-456)*36+HEX2DEC('table for research'!G$1))*2,2)</f>
        <v>00</v>
      </c>
      <c r="H528" t="str">
        <f>MID('paste from garc here'!$C$2,1+(('table for research'!$B528-456)*36+HEX2DEC('table for research'!H$1))*2,2)</f>
        <v>00</v>
      </c>
      <c r="I528" t="str">
        <f>MID('paste from garc here'!$C$2,1+(('table for research'!$B528-456)*36+HEX2DEC('table for research'!I$1))*2,2)</f>
        <v>00</v>
      </c>
      <c r="J528" t="str">
        <f>MID('paste from garc here'!$C$2,1+(('table for research'!$B528-456)*36+HEX2DEC('table for research'!J$1))*2,2)</f>
        <v>00</v>
      </c>
      <c r="K528" t="str">
        <f>DEC2HEX(_xlfn.BITAND(HEX2DEC(MID('paste from garc here'!$C$1,1+(('table for research'!$B528-1)*36+HEX2DEC(8))*2,2)),31),2)</f>
        <v>00</v>
      </c>
      <c r="L528" t="str">
        <f>DEC2HEX(_xlfn.BITAND(HEX2DEC(MID('paste from garc here'!$C$1,1+(('table for research'!$B528-1)*36+HEX2DEC(8))*2,2)),32),2)</f>
        <v>00</v>
      </c>
      <c r="M528" t="str">
        <f>DEC2HEX(_xlfn.BITAND(HEX2DEC(MID('paste from garc here'!$C$1,1+(('table for research'!$B528-1)*36+HEX2DEC(8))*2,2)),64),2)</f>
        <v>00</v>
      </c>
      <c r="N528" t="str">
        <f>DEC2HEX(_xlfn.BITRSHIFT(_xlfn.BITAND(HEX2DEC(MID('paste from garc here'!$C$1,1+(('table for research'!$B528-1)*36+HEX2DEC(9))*2,2)&amp;MID('paste from garc here'!$C$1,1+(('table for research'!$B528-1)*36+HEX2DEC(8))*2,2)),1920),7),2)</f>
        <v>00</v>
      </c>
      <c r="O528" t="str">
        <f>DEC2HEX(_xlfn.BITRSHIFT(HEX2DEC(MID('paste from garc here'!$C$1,1+(('table for research'!$B528-1)*36+HEX2DEC(9))*2,2)&amp;MID('paste from garc here'!$C$1,1+(('table for research'!$B528-1)*36+HEX2DEC(8))*2,2)),11),2)</f>
        <v>00</v>
      </c>
      <c r="P528" t="str">
        <f>MID('paste from garc here'!$C$2,1+(('table for research'!$B528-456)*36+HEX2DEC('table for research'!P$1))*2,2)</f>
        <v>00</v>
      </c>
      <c r="Q528" t="str">
        <f>MID('paste from garc here'!$C$2,1+(('table for research'!$B528-456)*36+HEX2DEC('table for research'!Q$1))*2,2)</f>
        <v>00</v>
      </c>
      <c r="R528" t="str">
        <f>MID('paste from garc here'!$C$2,1+(('table for research'!$B528-456)*36+HEX2DEC('table for research'!R$1))*2,2)</f>
        <v>00</v>
      </c>
      <c r="S528" t="str">
        <f>MID('paste from garc here'!$C$2,1+(('table for research'!$B528-456)*36+HEX2DEC('table for research'!S$1))*2,2)</f>
        <v>02</v>
      </c>
      <c r="T528" t="str">
        <f>MID('paste from garc here'!$C$2,1+(('table for research'!$B528-456)*36+HEX2DEC('table for research'!T$1))*2,2)</f>
        <v>00</v>
      </c>
      <c r="U528" t="str">
        <f>MID('paste from garc here'!$C$2,1+(('table for research'!$B528-456)*36+HEX2DEC('table for research'!U$1))*2,2)</f>
        <v>FF</v>
      </c>
      <c r="V528" t="str">
        <f>MID('paste from garc here'!$C$2,1+(('table for research'!$B528-456)*36+HEX2DEC('table for research'!V$1))*2,2)</f>
        <v>00</v>
      </c>
      <c r="W528" t="str">
        <f>MID('paste from garc here'!$C$2,1+(('table for research'!$B528-456)*36+HEX2DEC('table for research'!W$1))*2,2)</f>
        <v>00</v>
      </c>
      <c r="X528" t="str">
        <f>MID('paste from garc here'!$C$2,1+(('table for research'!$B528-456)*36+HEX2DEC('table for research'!X$1))*2,2)</f>
        <v>00</v>
      </c>
      <c r="Y528" t="str">
        <f>MID('paste from garc here'!$C$2,1+(('table for research'!$B528-456)*36+HEX2DEC('table for research'!Y$1))*2,2)</f>
        <v>00</v>
      </c>
      <c r="Z528" t="str">
        <f>MID('paste from garc here'!$C$2,1+(('table for research'!$B528-456)*36+HEX2DEC('table for research'!Z$1))*2,2)</f>
        <v>00</v>
      </c>
      <c r="AA528" t="str">
        <f>MID('paste from garc here'!$C$2,1+(('table for research'!$B528-456)*36+HEX2DEC('table for research'!AA$1))*2,2)</f>
        <v>00</v>
      </c>
      <c r="AB528" t="str">
        <f>MID('paste from garc here'!$C$2,1+(('table for research'!$B528-456)*36+HEX2DEC('table for research'!AB$1))*2,2)</f>
        <v>00</v>
      </c>
      <c r="AC528" t="str">
        <f>MID('paste from garc here'!$C$2,1+(('table for research'!$B528-456)*36+HEX2DEC('table for research'!AC$1))*2,2)</f>
        <v>00</v>
      </c>
      <c r="AD528" t="str">
        <f>MID('paste from garc here'!$C$2,1+(('table for research'!$B528-456)*36+HEX2DEC('table for research'!AD$1))*2,2)</f>
        <v>00</v>
      </c>
      <c r="AE528" t="str">
        <f>MID('paste from garc here'!$C$2,1+(('table for research'!$B528-456)*36+HEX2DEC('table for research'!AE$1))*2,2)</f>
        <v>00</v>
      </c>
      <c r="AF528" t="str">
        <f>MID('paste from garc here'!$C$2,1+(('table for research'!$B528-456)*36+HEX2DEC('table for research'!AF$1))*2,2)</f>
        <v>00</v>
      </c>
      <c r="AG528" t="str">
        <f>MID('paste from garc here'!$C$2,1+(('table for research'!$B528-456)*36+HEX2DEC('table for research'!AG$1))*2,2)</f>
        <v>00</v>
      </c>
      <c r="AH528" t="str">
        <f>MID('paste from garc here'!$C$2,1+(('table for research'!$B528-456)*36+HEX2DEC('table for research'!AH$1))*2,2)</f>
        <v>00</v>
      </c>
      <c r="AI528" t="str">
        <f>MID('paste from garc here'!$C$2,1+(('table for research'!$B528-456)*36+HEX2DEC('table for research'!AI$1))*2,2)</f>
        <v>00</v>
      </c>
      <c r="AJ528" t="str">
        <f>MID('paste from garc here'!$C$2,1+(('table for research'!$B528-456)*36+HEX2DEC('table for research'!AJ$1))*2,2)</f>
        <v>00</v>
      </c>
      <c r="AK528" t="str">
        <f>MID('paste from garc here'!$C$2,1+(('table for research'!$B528-456)*36+HEX2DEC('table for research'!AK$1))*2,2)</f>
        <v>00</v>
      </c>
      <c r="AL528" t="str">
        <f>MID('paste from garc here'!$C$2,1+(('table for research'!$B528-456)*36+HEX2DEC('table for research'!AL$1))*2,2)</f>
        <v>00</v>
      </c>
      <c r="AM528" t="str">
        <f>MID('paste from garc here'!$C$2,1+(('table for research'!$B528-456)*36+HEX2DEC('table for research'!AM$1))*2,2)</f>
        <v>00</v>
      </c>
      <c r="AN528" t="str">
        <f>MID('paste from garc here'!$C$2,1+(('table for research'!$B528-456)*36+HEX2DEC('table for research'!AN$1))*2,2)</f>
        <v>00</v>
      </c>
      <c r="AO528" t="str">
        <f>MID('paste from garc here'!$C$2,1+(('table for research'!$B528-456)*36+HEX2DEC('table for research'!AO$1))*2,2)</f>
        <v>00</v>
      </c>
    </row>
    <row r="529" spans="1:41" x14ac:dyDescent="0.4">
      <c r="A529" t="s">
        <v>531</v>
      </c>
      <c r="B529">
        <f>B528+1</f>
        <v>527</v>
      </c>
      <c r="C529" t="str">
        <f>MID('paste from garc here'!$C$2,1+(('table for research'!$B529-456)*36+HEX2DEC('table for research'!C$1))*2,2)</f>
        <v>00</v>
      </c>
      <c r="D529" t="str">
        <f>MID('paste from garc here'!$C$2,1+(('table for research'!$B529-456)*36+HEX2DEC('table for research'!D$1))*2,2)</f>
        <v>00</v>
      </c>
      <c r="E529" t="str">
        <f>MID('paste from garc here'!$C$2,1+(('table for research'!$B529-456)*36+HEX2DEC('table for research'!E$1))*2,2)</f>
        <v>00</v>
      </c>
      <c r="F529" t="str">
        <f>MID('paste from garc here'!$C$2,1+(('table for research'!$B529-456)*36+HEX2DEC('table for research'!F$1))*2,2)</f>
        <v>00</v>
      </c>
      <c r="G529" t="str">
        <f>MID('paste from garc here'!$C$2,1+(('table for research'!$B529-456)*36+HEX2DEC('table for research'!G$1))*2,2)</f>
        <v>00</v>
      </c>
      <c r="H529" t="str">
        <f>MID('paste from garc here'!$C$2,1+(('table for research'!$B529-456)*36+HEX2DEC('table for research'!H$1))*2,2)</f>
        <v>00</v>
      </c>
      <c r="I529" t="str">
        <f>MID('paste from garc here'!$C$2,1+(('table for research'!$B529-456)*36+HEX2DEC('table for research'!I$1))*2,2)</f>
        <v>00</v>
      </c>
      <c r="J529" t="str">
        <f>MID('paste from garc here'!$C$2,1+(('table for research'!$B529-456)*36+HEX2DEC('table for research'!J$1))*2,2)</f>
        <v>00</v>
      </c>
      <c r="K529" t="str">
        <f>DEC2HEX(_xlfn.BITAND(HEX2DEC(MID('paste from garc here'!$C$1,1+(('table for research'!$B529-1)*36+HEX2DEC(8))*2,2)),31),2)</f>
        <v>00</v>
      </c>
      <c r="L529" t="str">
        <f>DEC2HEX(_xlfn.BITAND(HEX2DEC(MID('paste from garc here'!$C$1,1+(('table for research'!$B529-1)*36+HEX2DEC(8))*2,2)),32),2)</f>
        <v>00</v>
      </c>
      <c r="M529" t="str">
        <f>DEC2HEX(_xlfn.BITAND(HEX2DEC(MID('paste from garc here'!$C$1,1+(('table for research'!$B529-1)*36+HEX2DEC(8))*2,2)),64),2)</f>
        <v>00</v>
      </c>
      <c r="N529" t="str">
        <f>DEC2HEX(_xlfn.BITRSHIFT(_xlfn.BITAND(HEX2DEC(MID('paste from garc here'!$C$1,1+(('table for research'!$B529-1)*36+HEX2DEC(9))*2,2)&amp;MID('paste from garc here'!$C$1,1+(('table for research'!$B529-1)*36+HEX2DEC(8))*2,2)),1920),7),2)</f>
        <v>00</v>
      </c>
      <c r="O529" t="str">
        <f>DEC2HEX(_xlfn.BITRSHIFT(HEX2DEC(MID('paste from garc here'!$C$1,1+(('table for research'!$B529-1)*36+HEX2DEC(9))*2,2)&amp;MID('paste from garc here'!$C$1,1+(('table for research'!$B529-1)*36+HEX2DEC(8))*2,2)),11),2)</f>
        <v>00</v>
      </c>
      <c r="P529" t="str">
        <f>MID('paste from garc here'!$C$2,1+(('table for research'!$B529-456)*36+HEX2DEC('table for research'!P$1))*2,2)</f>
        <v>00</v>
      </c>
      <c r="Q529" t="str">
        <f>MID('paste from garc here'!$C$2,1+(('table for research'!$B529-456)*36+HEX2DEC('table for research'!Q$1))*2,2)</f>
        <v>00</v>
      </c>
      <c r="R529" t="str">
        <f>MID('paste from garc here'!$C$2,1+(('table for research'!$B529-456)*36+HEX2DEC('table for research'!R$1))*2,2)</f>
        <v>00</v>
      </c>
      <c r="S529" t="str">
        <f>MID('paste from garc here'!$C$2,1+(('table for research'!$B529-456)*36+HEX2DEC('table for research'!S$1))*2,2)</f>
        <v>02</v>
      </c>
      <c r="T529" t="str">
        <f>MID('paste from garc here'!$C$2,1+(('table for research'!$B529-456)*36+HEX2DEC('table for research'!T$1))*2,2)</f>
        <v>00</v>
      </c>
      <c r="U529" t="str">
        <f>MID('paste from garc here'!$C$2,1+(('table for research'!$B529-456)*36+HEX2DEC('table for research'!U$1))*2,2)</f>
        <v>FF</v>
      </c>
      <c r="V529" t="str">
        <f>MID('paste from garc here'!$C$2,1+(('table for research'!$B529-456)*36+HEX2DEC('table for research'!V$1))*2,2)</f>
        <v>00</v>
      </c>
      <c r="W529" t="str">
        <f>MID('paste from garc here'!$C$2,1+(('table for research'!$B529-456)*36+HEX2DEC('table for research'!W$1))*2,2)</f>
        <v>00</v>
      </c>
      <c r="X529" t="str">
        <f>MID('paste from garc here'!$C$2,1+(('table for research'!$B529-456)*36+HEX2DEC('table for research'!X$1))*2,2)</f>
        <v>00</v>
      </c>
      <c r="Y529" t="str">
        <f>MID('paste from garc here'!$C$2,1+(('table for research'!$B529-456)*36+HEX2DEC('table for research'!Y$1))*2,2)</f>
        <v>00</v>
      </c>
      <c r="Z529" t="str">
        <f>MID('paste from garc here'!$C$2,1+(('table for research'!$B529-456)*36+HEX2DEC('table for research'!Z$1))*2,2)</f>
        <v>00</v>
      </c>
      <c r="AA529" t="str">
        <f>MID('paste from garc here'!$C$2,1+(('table for research'!$B529-456)*36+HEX2DEC('table for research'!AA$1))*2,2)</f>
        <v>00</v>
      </c>
      <c r="AB529" t="str">
        <f>MID('paste from garc here'!$C$2,1+(('table for research'!$B529-456)*36+HEX2DEC('table for research'!AB$1))*2,2)</f>
        <v>00</v>
      </c>
      <c r="AC529" t="str">
        <f>MID('paste from garc here'!$C$2,1+(('table for research'!$B529-456)*36+HEX2DEC('table for research'!AC$1))*2,2)</f>
        <v>00</v>
      </c>
      <c r="AD529" t="str">
        <f>MID('paste from garc here'!$C$2,1+(('table for research'!$B529-456)*36+HEX2DEC('table for research'!AD$1))*2,2)</f>
        <v>00</v>
      </c>
      <c r="AE529" t="str">
        <f>MID('paste from garc here'!$C$2,1+(('table for research'!$B529-456)*36+HEX2DEC('table for research'!AE$1))*2,2)</f>
        <v>00</v>
      </c>
      <c r="AF529" t="str">
        <f>MID('paste from garc here'!$C$2,1+(('table for research'!$B529-456)*36+HEX2DEC('table for research'!AF$1))*2,2)</f>
        <v>00</v>
      </c>
      <c r="AG529" t="str">
        <f>MID('paste from garc here'!$C$2,1+(('table for research'!$B529-456)*36+HEX2DEC('table for research'!AG$1))*2,2)</f>
        <v>00</v>
      </c>
      <c r="AH529" t="str">
        <f>MID('paste from garc here'!$C$2,1+(('table for research'!$B529-456)*36+HEX2DEC('table for research'!AH$1))*2,2)</f>
        <v>00</v>
      </c>
      <c r="AI529" t="str">
        <f>MID('paste from garc here'!$C$2,1+(('table for research'!$B529-456)*36+HEX2DEC('table for research'!AI$1))*2,2)</f>
        <v>00</v>
      </c>
      <c r="AJ529" t="str">
        <f>MID('paste from garc here'!$C$2,1+(('table for research'!$B529-456)*36+HEX2DEC('table for research'!AJ$1))*2,2)</f>
        <v>00</v>
      </c>
      <c r="AK529" t="str">
        <f>MID('paste from garc here'!$C$2,1+(('table for research'!$B529-456)*36+HEX2DEC('table for research'!AK$1))*2,2)</f>
        <v>00</v>
      </c>
      <c r="AL529" t="str">
        <f>MID('paste from garc here'!$C$2,1+(('table for research'!$B529-456)*36+HEX2DEC('table for research'!AL$1))*2,2)</f>
        <v>00</v>
      </c>
      <c r="AM529" t="str">
        <f>MID('paste from garc here'!$C$2,1+(('table for research'!$B529-456)*36+HEX2DEC('table for research'!AM$1))*2,2)</f>
        <v>00</v>
      </c>
      <c r="AN529" t="str">
        <f>MID('paste from garc here'!$C$2,1+(('table for research'!$B529-456)*36+HEX2DEC('table for research'!AN$1))*2,2)</f>
        <v>00</v>
      </c>
      <c r="AO529" t="str">
        <f>MID('paste from garc here'!$C$2,1+(('table for research'!$B529-456)*36+HEX2DEC('table for research'!AO$1))*2,2)</f>
        <v>00</v>
      </c>
    </row>
    <row r="530" spans="1:41" x14ac:dyDescent="0.4">
      <c r="A530" t="s">
        <v>532</v>
      </c>
      <c r="B530">
        <f>B529+1</f>
        <v>528</v>
      </c>
      <c r="C530" t="str">
        <f>MID('paste from garc here'!$C$2,1+(('table for research'!$B530-456)*36+HEX2DEC('table for research'!C$1))*2,2)</f>
        <v>00</v>
      </c>
      <c r="D530" t="str">
        <f>MID('paste from garc here'!$C$2,1+(('table for research'!$B530-456)*36+HEX2DEC('table for research'!D$1))*2,2)</f>
        <v>00</v>
      </c>
      <c r="E530" t="str">
        <f>MID('paste from garc here'!$C$2,1+(('table for research'!$B530-456)*36+HEX2DEC('table for research'!E$1))*2,2)</f>
        <v>00</v>
      </c>
      <c r="F530" t="str">
        <f>MID('paste from garc here'!$C$2,1+(('table for research'!$B530-456)*36+HEX2DEC('table for research'!F$1))*2,2)</f>
        <v>00</v>
      </c>
      <c r="G530" t="str">
        <f>MID('paste from garc here'!$C$2,1+(('table for research'!$B530-456)*36+HEX2DEC('table for research'!G$1))*2,2)</f>
        <v>00</v>
      </c>
      <c r="H530" t="str">
        <f>MID('paste from garc here'!$C$2,1+(('table for research'!$B530-456)*36+HEX2DEC('table for research'!H$1))*2,2)</f>
        <v>00</v>
      </c>
      <c r="I530" t="str">
        <f>MID('paste from garc here'!$C$2,1+(('table for research'!$B530-456)*36+HEX2DEC('table for research'!I$1))*2,2)</f>
        <v>00</v>
      </c>
      <c r="J530" t="str">
        <f>MID('paste from garc here'!$C$2,1+(('table for research'!$B530-456)*36+HEX2DEC('table for research'!J$1))*2,2)</f>
        <v>00</v>
      </c>
      <c r="K530" t="str">
        <f>DEC2HEX(_xlfn.BITAND(HEX2DEC(MID('paste from garc here'!$C$1,1+(('table for research'!$B530-1)*36+HEX2DEC(8))*2,2)),31),2)</f>
        <v>00</v>
      </c>
      <c r="L530" t="str">
        <f>DEC2HEX(_xlfn.BITAND(HEX2DEC(MID('paste from garc here'!$C$1,1+(('table for research'!$B530-1)*36+HEX2DEC(8))*2,2)),32),2)</f>
        <v>00</v>
      </c>
      <c r="M530" t="str">
        <f>DEC2HEX(_xlfn.BITAND(HEX2DEC(MID('paste from garc here'!$C$1,1+(('table for research'!$B530-1)*36+HEX2DEC(8))*2,2)),64),2)</f>
        <v>00</v>
      </c>
      <c r="N530" t="str">
        <f>DEC2HEX(_xlfn.BITRSHIFT(_xlfn.BITAND(HEX2DEC(MID('paste from garc here'!$C$1,1+(('table for research'!$B530-1)*36+HEX2DEC(9))*2,2)&amp;MID('paste from garc here'!$C$1,1+(('table for research'!$B530-1)*36+HEX2DEC(8))*2,2)),1920),7),2)</f>
        <v>00</v>
      </c>
      <c r="O530" t="str">
        <f>DEC2HEX(_xlfn.BITRSHIFT(HEX2DEC(MID('paste from garc here'!$C$1,1+(('table for research'!$B530-1)*36+HEX2DEC(9))*2,2)&amp;MID('paste from garc here'!$C$1,1+(('table for research'!$B530-1)*36+HEX2DEC(8))*2,2)),11),2)</f>
        <v>00</v>
      </c>
      <c r="P530" t="str">
        <f>MID('paste from garc here'!$C$2,1+(('table for research'!$B530-456)*36+HEX2DEC('table for research'!P$1))*2,2)</f>
        <v>00</v>
      </c>
      <c r="Q530" t="str">
        <f>MID('paste from garc here'!$C$2,1+(('table for research'!$B530-456)*36+HEX2DEC('table for research'!Q$1))*2,2)</f>
        <v>00</v>
      </c>
      <c r="R530" t="str">
        <f>MID('paste from garc here'!$C$2,1+(('table for research'!$B530-456)*36+HEX2DEC('table for research'!R$1))*2,2)</f>
        <v>00</v>
      </c>
      <c r="S530" t="str">
        <f>MID('paste from garc here'!$C$2,1+(('table for research'!$B530-456)*36+HEX2DEC('table for research'!S$1))*2,2)</f>
        <v>02</v>
      </c>
      <c r="T530" t="str">
        <f>MID('paste from garc here'!$C$2,1+(('table for research'!$B530-456)*36+HEX2DEC('table for research'!T$1))*2,2)</f>
        <v>00</v>
      </c>
      <c r="U530" t="str">
        <f>MID('paste from garc here'!$C$2,1+(('table for research'!$B530-456)*36+HEX2DEC('table for research'!U$1))*2,2)</f>
        <v>FF</v>
      </c>
      <c r="V530" t="str">
        <f>MID('paste from garc here'!$C$2,1+(('table for research'!$B530-456)*36+HEX2DEC('table for research'!V$1))*2,2)</f>
        <v>00</v>
      </c>
      <c r="W530" t="str">
        <f>MID('paste from garc here'!$C$2,1+(('table for research'!$B530-456)*36+HEX2DEC('table for research'!W$1))*2,2)</f>
        <v>00</v>
      </c>
      <c r="X530" t="str">
        <f>MID('paste from garc here'!$C$2,1+(('table for research'!$B530-456)*36+HEX2DEC('table for research'!X$1))*2,2)</f>
        <v>00</v>
      </c>
      <c r="Y530" t="str">
        <f>MID('paste from garc here'!$C$2,1+(('table for research'!$B530-456)*36+HEX2DEC('table for research'!Y$1))*2,2)</f>
        <v>00</v>
      </c>
      <c r="Z530" t="str">
        <f>MID('paste from garc here'!$C$2,1+(('table for research'!$B530-456)*36+HEX2DEC('table for research'!Z$1))*2,2)</f>
        <v>00</v>
      </c>
      <c r="AA530" t="str">
        <f>MID('paste from garc here'!$C$2,1+(('table for research'!$B530-456)*36+HEX2DEC('table for research'!AA$1))*2,2)</f>
        <v>00</v>
      </c>
      <c r="AB530" t="str">
        <f>MID('paste from garc here'!$C$2,1+(('table for research'!$B530-456)*36+HEX2DEC('table for research'!AB$1))*2,2)</f>
        <v>00</v>
      </c>
      <c r="AC530" t="str">
        <f>MID('paste from garc here'!$C$2,1+(('table for research'!$B530-456)*36+HEX2DEC('table for research'!AC$1))*2,2)</f>
        <v>00</v>
      </c>
      <c r="AD530" t="str">
        <f>MID('paste from garc here'!$C$2,1+(('table for research'!$B530-456)*36+HEX2DEC('table for research'!AD$1))*2,2)</f>
        <v>00</v>
      </c>
      <c r="AE530" t="str">
        <f>MID('paste from garc here'!$C$2,1+(('table for research'!$B530-456)*36+HEX2DEC('table for research'!AE$1))*2,2)</f>
        <v>00</v>
      </c>
      <c r="AF530" t="str">
        <f>MID('paste from garc here'!$C$2,1+(('table for research'!$B530-456)*36+HEX2DEC('table for research'!AF$1))*2,2)</f>
        <v>00</v>
      </c>
      <c r="AG530" t="str">
        <f>MID('paste from garc here'!$C$2,1+(('table for research'!$B530-456)*36+HEX2DEC('table for research'!AG$1))*2,2)</f>
        <v>00</v>
      </c>
      <c r="AH530" t="str">
        <f>MID('paste from garc here'!$C$2,1+(('table for research'!$B530-456)*36+HEX2DEC('table for research'!AH$1))*2,2)</f>
        <v>00</v>
      </c>
      <c r="AI530" t="str">
        <f>MID('paste from garc here'!$C$2,1+(('table for research'!$B530-456)*36+HEX2DEC('table for research'!AI$1))*2,2)</f>
        <v>00</v>
      </c>
      <c r="AJ530" t="str">
        <f>MID('paste from garc here'!$C$2,1+(('table for research'!$B530-456)*36+HEX2DEC('table for research'!AJ$1))*2,2)</f>
        <v>00</v>
      </c>
      <c r="AK530" t="str">
        <f>MID('paste from garc here'!$C$2,1+(('table for research'!$B530-456)*36+HEX2DEC('table for research'!AK$1))*2,2)</f>
        <v>00</v>
      </c>
      <c r="AL530" t="str">
        <f>MID('paste from garc here'!$C$2,1+(('table for research'!$B530-456)*36+HEX2DEC('table for research'!AL$1))*2,2)</f>
        <v>00</v>
      </c>
      <c r="AM530" t="str">
        <f>MID('paste from garc here'!$C$2,1+(('table for research'!$B530-456)*36+HEX2DEC('table for research'!AM$1))*2,2)</f>
        <v>00</v>
      </c>
      <c r="AN530" t="str">
        <f>MID('paste from garc here'!$C$2,1+(('table for research'!$B530-456)*36+HEX2DEC('table for research'!AN$1))*2,2)</f>
        <v>00</v>
      </c>
      <c r="AO530" t="str">
        <f>MID('paste from garc here'!$C$2,1+(('table for research'!$B530-456)*36+HEX2DEC('table for research'!AO$1))*2,2)</f>
        <v>00</v>
      </c>
    </row>
    <row r="531" spans="1:41" x14ac:dyDescent="0.4">
      <c r="A531" t="s">
        <v>533</v>
      </c>
      <c r="B531">
        <f>B530+1</f>
        <v>529</v>
      </c>
      <c r="C531" t="str">
        <f>MID('paste from garc here'!$C$2,1+(('table for research'!$B531-456)*36+HEX2DEC('table for research'!C$1))*2,2)</f>
        <v>00</v>
      </c>
      <c r="D531" t="str">
        <f>MID('paste from garc here'!$C$2,1+(('table for research'!$B531-456)*36+HEX2DEC('table for research'!D$1))*2,2)</f>
        <v>00</v>
      </c>
      <c r="E531" t="str">
        <f>MID('paste from garc here'!$C$2,1+(('table for research'!$B531-456)*36+HEX2DEC('table for research'!E$1))*2,2)</f>
        <v>00</v>
      </c>
      <c r="F531" t="str">
        <f>MID('paste from garc here'!$C$2,1+(('table for research'!$B531-456)*36+HEX2DEC('table for research'!F$1))*2,2)</f>
        <v>00</v>
      </c>
      <c r="G531" t="str">
        <f>MID('paste from garc here'!$C$2,1+(('table for research'!$B531-456)*36+HEX2DEC('table for research'!G$1))*2,2)</f>
        <v>00</v>
      </c>
      <c r="H531" t="str">
        <f>MID('paste from garc here'!$C$2,1+(('table for research'!$B531-456)*36+HEX2DEC('table for research'!H$1))*2,2)</f>
        <v>00</v>
      </c>
      <c r="I531" t="str">
        <f>MID('paste from garc here'!$C$2,1+(('table for research'!$B531-456)*36+HEX2DEC('table for research'!I$1))*2,2)</f>
        <v>00</v>
      </c>
      <c r="J531" t="str">
        <f>MID('paste from garc here'!$C$2,1+(('table for research'!$B531-456)*36+HEX2DEC('table for research'!J$1))*2,2)</f>
        <v>00</v>
      </c>
      <c r="K531" t="str">
        <f>DEC2HEX(_xlfn.BITAND(HEX2DEC(MID('paste from garc here'!$C$1,1+(('table for research'!$B531-1)*36+HEX2DEC(8))*2,2)),31),2)</f>
        <v>00</v>
      </c>
      <c r="L531" t="str">
        <f>DEC2HEX(_xlfn.BITAND(HEX2DEC(MID('paste from garc here'!$C$1,1+(('table for research'!$B531-1)*36+HEX2DEC(8))*2,2)),32),2)</f>
        <v>00</v>
      </c>
      <c r="M531" t="str">
        <f>DEC2HEX(_xlfn.BITAND(HEX2DEC(MID('paste from garc here'!$C$1,1+(('table for research'!$B531-1)*36+HEX2DEC(8))*2,2)),64),2)</f>
        <v>00</v>
      </c>
      <c r="N531" t="str">
        <f>DEC2HEX(_xlfn.BITRSHIFT(_xlfn.BITAND(HEX2DEC(MID('paste from garc here'!$C$1,1+(('table for research'!$B531-1)*36+HEX2DEC(9))*2,2)&amp;MID('paste from garc here'!$C$1,1+(('table for research'!$B531-1)*36+HEX2DEC(8))*2,2)),1920),7),2)</f>
        <v>00</v>
      </c>
      <c r="O531" t="str">
        <f>DEC2HEX(_xlfn.BITRSHIFT(HEX2DEC(MID('paste from garc here'!$C$1,1+(('table for research'!$B531-1)*36+HEX2DEC(9))*2,2)&amp;MID('paste from garc here'!$C$1,1+(('table for research'!$B531-1)*36+HEX2DEC(8))*2,2)),11),2)</f>
        <v>00</v>
      </c>
      <c r="P531" t="str">
        <f>MID('paste from garc here'!$C$2,1+(('table for research'!$B531-456)*36+HEX2DEC('table for research'!P$1))*2,2)</f>
        <v>00</v>
      </c>
      <c r="Q531" t="str">
        <f>MID('paste from garc here'!$C$2,1+(('table for research'!$B531-456)*36+HEX2DEC('table for research'!Q$1))*2,2)</f>
        <v>00</v>
      </c>
      <c r="R531" t="str">
        <f>MID('paste from garc here'!$C$2,1+(('table for research'!$B531-456)*36+HEX2DEC('table for research'!R$1))*2,2)</f>
        <v>00</v>
      </c>
      <c r="S531" t="str">
        <f>MID('paste from garc here'!$C$2,1+(('table for research'!$B531-456)*36+HEX2DEC('table for research'!S$1))*2,2)</f>
        <v>02</v>
      </c>
      <c r="T531" t="str">
        <f>MID('paste from garc here'!$C$2,1+(('table for research'!$B531-456)*36+HEX2DEC('table for research'!T$1))*2,2)</f>
        <v>00</v>
      </c>
      <c r="U531" t="str">
        <f>MID('paste from garc here'!$C$2,1+(('table for research'!$B531-456)*36+HEX2DEC('table for research'!U$1))*2,2)</f>
        <v>FF</v>
      </c>
      <c r="V531" t="str">
        <f>MID('paste from garc here'!$C$2,1+(('table for research'!$B531-456)*36+HEX2DEC('table for research'!V$1))*2,2)</f>
        <v>00</v>
      </c>
      <c r="W531" t="str">
        <f>MID('paste from garc here'!$C$2,1+(('table for research'!$B531-456)*36+HEX2DEC('table for research'!W$1))*2,2)</f>
        <v>00</v>
      </c>
      <c r="X531" t="str">
        <f>MID('paste from garc here'!$C$2,1+(('table for research'!$B531-456)*36+HEX2DEC('table for research'!X$1))*2,2)</f>
        <v>00</v>
      </c>
      <c r="Y531" t="str">
        <f>MID('paste from garc here'!$C$2,1+(('table for research'!$B531-456)*36+HEX2DEC('table for research'!Y$1))*2,2)</f>
        <v>00</v>
      </c>
      <c r="Z531" t="str">
        <f>MID('paste from garc here'!$C$2,1+(('table for research'!$B531-456)*36+HEX2DEC('table for research'!Z$1))*2,2)</f>
        <v>00</v>
      </c>
      <c r="AA531" t="str">
        <f>MID('paste from garc here'!$C$2,1+(('table for research'!$B531-456)*36+HEX2DEC('table for research'!AA$1))*2,2)</f>
        <v>00</v>
      </c>
      <c r="AB531" t="str">
        <f>MID('paste from garc here'!$C$2,1+(('table for research'!$B531-456)*36+HEX2DEC('table for research'!AB$1))*2,2)</f>
        <v>00</v>
      </c>
      <c r="AC531" t="str">
        <f>MID('paste from garc here'!$C$2,1+(('table for research'!$B531-456)*36+HEX2DEC('table for research'!AC$1))*2,2)</f>
        <v>00</v>
      </c>
      <c r="AD531" t="str">
        <f>MID('paste from garc here'!$C$2,1+(('table for research'!$B531-456)*36+HEX2DEC('table for research'!AD$1))*2,2)</f>
        <v>00</v>
      </c>
      <c r="AE531" t="str">
        <f>MID('paste from garc here'!$C$2,1+(('table for research'!$B531-456)*36+HEX2DEC('table for research'!AE$1))*2,2)</f>
        <v>00</v>
      </c>
      <c r="AF531" t="str">
        <f>MID('paste from garc here'!$C$2,1+(('table for research'!$B531-456)*36+HEX2DEC('table for research'!AF$1))*2,2)</f>
        <v>00</v>
      </c>
      <c r="AG531" t="str">
        <f>MID('paste from garc here'!$C$2,1+(('table for research'!$B531-456)*36+HEX2DEC('table for research'!AG$1))*2,2)</f>
        <v>00</v>
      </c>
      <c r="AH531" t="str">
        <f>MID('paste from garc here'!$C$2,1+(('table for research'!$B531-456)*36+HEX2DEC('table for research'!AH$1))*2,2)</f>
        <v>00</v>
      </c>
      <c r="AI531" t="str">
        <f>MID('paste from garc here'!$C$2,1+(('table for research'!$B531-456)*36+HEX2DEC('table for research'!AI$1))*2,2)</f>
        <v>00</v>
      </c>
      <c r="AJ531" t="str">
        <f>MID('paste from garc here'!$C$2,1+(('table for research'!$B531-456)*36+HEX2DEC('table for research'!AJ$1))*2,2)</f>
        <v>00</v>
      </c>
      <c r="AK531" t="str">
        <f>MID('paste from garc here'!$C$2,1+(('table for research'!$B531-456)*36+HEX2DEC('table for research'!AK$1))*2,2)</f>
        <v>00</v>
      </c>
      <c r="AL531" t="str">
        <f>MID('paste from garc here'!$C$2,1+(('table for research'!$B531-456)*36+HEX2DEC('table for research'!AL$1))*2,2)</f>
        <v>00</v>
      </c>
      <c r="AM531" t="str">
        <f>MID('paste from garc here'!$C$2,1+(('table for research'!$B531-456)*36+HEX2DEC('table for research'!AM$1))*2,2)</f>
        <v>00</v>
      </c>
      <c r="AN531" t="str">
        <f>MID('paste from garc here'!$C$2,1+(('table for research'!$B531-456)*36+HEX2DEC('table for research'!AN$1))*2,2)</f>
        <v>00</v>
      </c>
      <c r="AO531" t="str">
        <f>MID('paste from garc here'!$C$2,1+(('table for research'!$B531-456)*36+HEX2DEC('table for research'!AO$1))*2,2)</f>
        <v>00</v>
      </c>
    </row>
    <row r="532" spans="1:41" x14ac:dyDescent="0.4">
      <c r="A532" t="s">
        <v>534</v>
      </c>
      <c r="B532">
        <f>B531+1</f>
        <v>530</v>
      </c>
      <c r="C532" t="str">
        <f>MID('paste from garc here'!$C$2,1+(('table for research'!$B532-456)*36+HEX2DEC('table for research'!C$1))*2,2)</f>
        <v>00</v>
      </c>
      <c r="D532" t="str">
        <f>MID('paste from garc here'!$C$2,1+(('table for research'!$B532-456)*36+HEX2DEC('table for research'!D$1))*2,2)</f>
        <v>00</v>
      </c>
      <c r="E532" t="str">
        <f>MID('paste from garc here'!$C$2,1+(('table for research'!$B532-456)*36+HEX2DEC('table for research'!E$1))*2,2)</f>
        <v>00</v>
      </c>
      <c r="F532" t="str">
        <f>MID('paste from garc here'!$C$2,1+(('table for research'!$B532-456)*36+HEX2DEC('table for research'!F$1))*2,2)</f>
        <v>00</v>
      </c>
      <c r="G532" t="str">
        <f>MID('paste from garc here'!$C$2,1+(('table for research'!$B532-456)*36+HEX2DEC('table for research'!G$1))*2,2)</f>
        <v>00</v>
      </c>
      <c r="H532" t="str">
        <f>MID('paste from garc here'!$C$2,1+(('table for research'!$B532-456)*36+HEX2DEC('table for research'!H$1))*2,2)</f>
        <v>00</v>
      </c>
      <c r="I532" t="str">
        <f>MID('paste from garc here'!$C$2,1+(('table for research'!$B532-456)*36+HEX2DEC('table for research'!I$1))*2,2)</f>
        <v>00</v>
      </c>
      <c r="J532" t="str">
        <f>MID('paste from garc here'!$C$2,1+(('table for research'!$B532-456)*36+HEX2DEC('table for research'!J$1))*2,2)</f>
        <v>00</v>
      </c>
      <c r="K532" t="str">
        <f>DEC2HEX(_xlfn.BITAND(HEX2DEC(MID('paste from garc here'!$C$1,1+(('table for research'!$B532-1)*36+HEX2DEC(8))*2,2)),31),2)</f>
        <v>00</v>
      </c>
      <c r="L532" t="str">
        <f>DEC2HEX(_xlfn.BITAND(HEX2DEC(MID('paste from garc here'!$C$1,1+(('table for research'!$B532-1)*36+HEX2DEC(8))*2,2)),32),2)</f>
        <v>00</v>
      </c>
      <c r="M532" t="str">
        <f>DEC2HEX(_xlfn.BITAND(HEX2DEC(MID('paste from garc here'!$C$1,1+(('table for research'!$B532-1)*36+HEX2DEC(8))*2,2)),64),2)</f>
        <v>00</v>
      </c>
      <c r="N532" t="str">
        <f>DEC2HEX(_xlfn.BITRSHIFT(_xlfn.BITAND(HEX2DEC(MID('paste from garc here'!$C$1,1+(('table for research'!$B532-1)*36+HEX2DEC(9))*2,2)&amp;MID('paste from garc here'!$C$1,1+(('table for research'!$B532-1)*36+HEX2DEC(8))*2,2)),1920),7),2)</f>
        <v>00</v>
      </c>
      <c r="O532" t="str">
        <f>DEC2HEX(_xlfn.BITRSHIFT(HEX2DEC(MID('paste from garc here'!$C$1,1+(('table for research'!$B532-1)*36+HEX2DEC(9))*2,2)&amp;MID('paste from garc here'!$C$1,1+(('table for research'!$B532-1)*36+HEX2DEC(8))*2,2)),11),2)</f>
        <v>00</v>
      </c>
      <c r="P532" t="str">
        <f>MID('paste from garc here'!$C$2,1+(('table for research'!$B532-456)*36+HEX2DEC('table for research'!P$1))*2,2)</f>
        <v>00</v>
      </c>
      <c r="Q532" t="str">
        <f>MID('paste from garc here'!$C$2,1+(('table for research'!$B532-456)*36+HEX2DEC('table for research'!Q$1))*2,2)</f>
        <v>00</v>
      </c>
      <c r="R532" t="str">
        <f>MID('paste from garc here'!$C$2,1+(('table for research'!$B532-456)*36+HEX2DEC('table for research'!R$1))*2,2)</f>
        <v>00</v>
      </c>
      <c r="S532" t="str">
        <f>MID('paste from garc here'!$C$2,1+(('table for research'!$B532-456)*36+HEX2DEC('table for research'!S$1))*2,2)</f>
        <v>02</v>
      </c>
      <c r="T532" t="str">
        <f>MID('paste from garc here'!$C$2,1+(('table for research'!$B532-456)*36+HEX2DEC('table for research'!T$1))*2,2)</f>
        <v>00</v>
      </c>
      <c r="U532" t="str">
        <f>MID('paste from garc here'!$C$2,1+(('table for research'!$B532-456)*36+HEX2DEC('table for research'!U$1))*2,2)</f>
        <v>FF</v>
      </c>
      <c r="V532" t="str">
        <f>MID('paste from garc here'!$C$2,1+(('table for research'!$B532-456)*36+HEX2DEC('table for research'!V$1))*2,2)</f>
        <v>00</v>
      </c>
      <c r="W532" t="str">
        <f>MID('paste from garc here'!$C$2,1+(('table for research'!$B532-456)*36+HEX2DEC('table for research'!W$1))*2,2)</f>
        <v>00</v>
      </c>
      <c r="X532" t="str">
        <f>MID('paste from garc here'!$C$2,1+(('table for research'!$B532-456)*36+HEX2DEC('table for research'!X$1))*2,2)</f>
        <v>00</v>
      </c>
      <c r="Y532" t="str">
        <f>MID('paste from garc here'!$C$2,1+(('table for research'!$B532-456)*36+HEX2DEC('table for research'!Y$1))*2,2)</f>
        <v>00</v>
      </c>
      <c r="Z532" t="str">
        <f>MID('paste from garc here'!$C$2,1+(('table for research'!$B532-456)*36+HEX2DEC('table for research'!Z$1))*2,2)</f>
        <v>00</v>
      </c>
      <c r="AA532" t="str">
        <f>MID('paste from garc here'!$C$2,1+(('table for research'!$B532-456)*36+HEX2DEC('table for research'!AA$1))*2,2)</f>
        <v>00</v>
      </c>
      <c r="AB532" t="str">
        <f>MID('paste from garc here'!$C$2,1+(('table for research'!$B532-456)*36+HEX2DEC('table for research'!AB$1))*2,2)</f>
        <v>00</v>
      </c>
      <c r="AC532" t="str">
        <f>MID('paste from garc here'!$C$2,1+(('table for research'!$B532-456)*36+HEX2DEC('table for research'!AC$1))*2,2)</f>
        <v>00</v>
      </c>
      <c r="AD532" t="str">
        <f>MID('paste from garc here'!$C$2,1+(('table for research'!$B532-456)*36+HEX2DEC('table for research'!AD$1))*2,2)</f>
        <v>00</v>
      </c>
      <c r="AE532" t="str">
        <f>MID('paste from garc here'!$C$2,1+(('table for research'!$B532-456)*36+HEX2DEC('table for research'!AE$1))*2,2)</f>
        <v>00</v>
      </c>
      <c r="AF532" t="str">
        <f>MID('paste from garc here'!$C$2,1+(('table for research'!$B532-456)*36+HEX2DEC('table for research'!AF$1))*2,2)</f>
        <v>00</v>
      </c>
      <c r="AG532" t="str">
        <f>MID('paste from garc here'!$C$2,1+(('table for research'!$B532-456)*36+HEX2DEC('table for research'!AG$1))*2,2)</f>
        <v>00</v>
      </c>
      <c r="AH532" t="str">
        <f>MID('paste from garc here'!$C$2,1+(('table for research'!$B532-456)*36+HEX2DEC('table for research'!AH$1))*2,2)</f>
        <v>00</v>
      </c>
      <c r="AI532" t="str">
        <f>MID('paste from garc here'!$C$2,1+(('table for research'!$B532-456)*36+HEX2DEC('table for research'!AI$1))*2,2)</f>
        <v>00</v>
      </c>
      <c r="AJ532" t="str">
        <f>MID('paste from garc here'!$C$2,1+(('table for research'!$B532-456)*36+HEX2DEC('table for research'!AJ$1))*2,2)</f>
        <v>00</v>
      </c>
      <c r="AK532" t="str">
        <f>MID('paste from garc here'!$C$2,1+(('table for research'!$B532-456)*36+HEX2DEC('table for research'!AK$1))*2,2)</f>
        <v>00</v>
      </c>
      <c r="AL532" t="str">
        <f>MID('paste from garc here'!$C$2,1+(('table for research'!$B532-456)*36+HEX2DEC('table for research'!AL$1))*2,2)</f>
        <v>00</v>
      </c>
      <c r="AM532" t="str">
        <f>MID('paste from garc here'!$C$2,1+(('table for research'!$B532-456)*36+HEX2DEC('table for research'!AM$1))*2,2)</f>
        <v>00</v>
      </c>
      <c r="AN532" t="str">
        <f>MID('paste from garc here'!$C$2,1+(('table for research'!$B532-456)*36+HEX2DEC('table for research'!AN$1))*2,2)</f>
        <v>00</v>
      </c>
      <c r="AO532" t="str">
        <f>MID('paste from garc here'!$C$2,1+(('table for research'!$B532-456)*36+HEX2DEC('table for research'!AO$1))*2,2)</f>
        <v>00</v>
      </c>
    </row>
    <row r="533" spans="1:41" x14ac:dyDescent="0.4">
      <c r="A533" t="s">
        <v>535</v>
      </c>
      <c r="B533">
        <f>B532+1</f>
        <v>531</v>
      </c>
      <c r="C533" t="str">
        <f>MID('paste from garc here'!$C$2,1+(('table for research'!$B533-456)*36+HEX2DEC('table for research'!C$1))*2,2)</f>
        <v>00</v>
      </c>
      <c r="D533" t="str">
        <f>MID('paste from garc here'!$C$2,1+(('table for research'!$B533-456)*36+HEX2DEC('table for research'!D$1))*2,2)</f>
        <v>00</v>
      </c>
      <c r="E533" t="str">
        <f>MID('paste from garc here'!$C$2,1+(('table for research'!$B533-456)*36+HEX2DEC('table for research'!E$1))*2,2)</f>
        <v>00</v>
      </c>
      <c r="F533" t="str">
        <f>MID('paste from garc here'!$C$2,1+(('table for research'!$B533-456)*36+HEX2DEC('table for research'!F$1))*2,2)</f>
        <v>00</v>
      </c>
      <c r="G533" t="str">
        <f>MID('paste from garc here'!$C$2,1+(('table for research'!$B533-456)*36+HEX2DEC('table for research'!G$1))*2,2)</f>
        <v>00</v>
      </c>
      <c r="H533" t="str">
        <f>MID('paste from garc here'!$C$2,1+(('table for research'!$B533-456)*36+HEX2DEC('table for research'!H$1))*2,2)</f>
        <v>00</v>
      </c>
      <c r="I533" t="str">
        <f>MID('paste from garc here'!$C$2,1+(('table for research'!$B533-456)*36+HEX2DEC('table for research'!I$1))*2,2)</f>
        <v>00</v>
      </c>
      <c r="J533" t="str">
        <f>MID('paste from garc here'!$C$2,1+(('table for research'!$B533-456)*36+HEX2DEC('table for research'!J$1))*2,2)</f>
        <v>00</v>
      </c>
      <c r="K533" t="str">
        <f>DEC2HEX(_xlfn.BITAND(HEX2DEC(MID('paste from garc here'!$C$1,1+(('table for research'!$B533-1)*36+HEX2DEC(8))*2,2)),31),2)</f>
        <v>00</v>
      </c>
      <c r="L533" t="str">
        <f>DEC2HEX(_xlfn.BITAND(HEX2DEC(MID('paste from garc here'!$C$1,1+(('table for research'!$B533-1)*36+HEX2DEC(8))*2,2)),32),2)</f>
        <v>00</v>
      </c>
      <c r="M533" t="str">
        <f>DEC2HEX(_xlfn.BITAND(HEX2DEC(MID('paste from garc here'!$C$1,1+(('table for research'!$B533-1)*36+HEX2DEC(8))*2,2)),64),2)</f>
        <v>00</v>
      </c>
      <c r="N533" t="str">
        <f>DEC2HEX(_xlfn.BITRSHIFT(_xlfn.BITAND(HEX2DEC(MID('paste from garc here'!$C$1,1+(('table for research'!$B533-1)*36+HEX2DEC(9))*2,2)&amp;MID('paste from garc here'!$C$1,1+(('table for research'!$B533-1)*36+HEX2DEC(8))*2,2)),1920),7),2)</f>
        <v>00</v>
      </c>
      <c r="O533" t="str">
        <f>DEC2HEX(_xlfn.BITRSHIFT(HEX2DEC(MID('paste from garc here'!$C$1,1+(('table for research'!$B533-1)*36+HEX2DEC(9))*2,2)&amp;MID('paste from garc here'!$C$1,1+(('table for research'!$B533-1)*36+HEX2DEC(8))*2,2)),11),2)</f>
        <v>00</v>
      </c>
      <c r="P533" t="str">
        <f>MID('paste from garc here'!$C$2,1+(('table for research'!$B533-456)*36+HEX2DEC('table for research'!P$1))*2,2)</f>
        <v>00</v>
      </c>
      <c r="Q533" t="str">
        <f>MID('paste from garc here'!$C$2,1+(('table for research'!$B533-456)*36+HEX2DEC('table for research'!Q$1))*2,2)</f>
        <v>00</v>
      </c>
      <c r="R533" t="str">
        <f>MID('paste from garc here'!$C$2,1+(('table for research'!$B533-456)*36+HEX2DEC('table for research'!R$1))*2,2)</f>
        <v>00</v>
      </c>
      <c r="S533" t="str">
        <f>MID('paste from garc here'!$C$2,1+(('table for research'!$B533-456)*36+HEX2DEC('table for research'!S$1))*2,2)</f>
        <v>02</v>
      </c>
      <c r="T533" t="str">
        <f>MID('paste from garc here'!$C$2,1+(('table for research'!$B533-456)*36+HEX2DEC('table for research'!T$1))*2,2)</f>
        <v>00</v>
      </c>
      <c r="U533" t="str">
        <f>MID('paste from garc here'!$C$2,1+(('table for research'!$B533-456)*36+HEX2DEC('table for research'!U$1))*2,2)</f>
        <v>FF</v>
      </c>
      <c r="V533" t="str">
        <f>MID('paste from garc here'!$C$2,1+(('table for research'!$B533-456)*36+HEX2DEC('table for research'!V$1))*2,2)</f>
        <v>00</v>
      </c>
      <c r="W533" t="str">
        <f>MID('paste from garc here'!$C$2,1+(('table for research'!$B533-456)*36+HEX2DEC('table for research'!W$1))*2,2)</f>
        <v>00</v>
      </c>
      <c r="X533" t="str">
        <f>MID('paste from garc here'!$C$2,1+(('table for research'!$B533-456)*36+HEX2DEC('table for research'!X$1))*2,2)</f>
        <v>00</v>
      </c>
      <c r="Y533" t="str">
        <f>MID('paste from garc here'!$C$2,1+(('table for research'!$B533-456)*36+HEX2DEC('table for research'!Y$1))*2,2)</f>
        <v>00</v>
      </c>
      <c r="Z533" t="str">
        <f>MID('paste from garc here'!$C$2,1+(('table for research'!$B533-456)*36+HEX2DEC('table for research'!Z$1))*2,2)</f>
        <v>00</v>
      </c>
      <c r="AA533" t="str">
        <f>MID('paste from garc here'!$C$2,1+(('table for research'!$B533-456)*36+HEX2DEC('table for research'!AA$1))*2,2)</f>
        <v>00</v>
      </c>
      <c r="AB533" t="str">
        <f>MID('paste from garc here'!$C$2,1+(('table for research'!$B533-456)*36+HEX2DEC('table for research'!AB$1))*2,2)</f>
        <v>00</v>
      </c>
      <c r="AC533" t="str">
        <f>MID('paste from garc here'!$C$2,1+(('table for research'!$B533-456)*36+HEX2DEC('table for research'!AC$1))*2,2)</f>
        <v>00</v>
      </c>
      <c r="AD533" t="str">
        <f>MID('paste from garc here'!$C$2,1+(('table for research'!$B533-456)*36+HEX2DEC('table for research'!AD$1))*2,2)</f>
        <v>00</v>
      </c>
      <c r="AE533" t="str">
        <f>MID('paste from garc here'!$C$2,1+(('table for research'!$B533-456)*36+HEX2DEC('table for research'!AE$1))*2,2)</f>
        <v>00</v>
      </c>
      <c r="AF533" t="str">
        <f>MID('paste from garc here'!$C$2,1+(('table for research'!$B533-456)*36+HEX2DEC('table for research'!AF$1))*2,2)</f>
        <v>00</v>
      </c>
      <c r="AG533" t="str">
        <f>MID('paste from garc here'!$C$2,1+(('table for research'!$B533-456)*36+HEX2DEC('table for research'!AG$1))*2,2)</f>
        <v>00</v>
      </c>
      <c r="AH533" t="str">
        <f>MID('paste from garc here'!$C$2,1+(('table for research'!$B533-456)*36+HEX2DEC('table for research'!AH$1))*2,2)</f>
        <v>00</v>
      </c>
      <c r="AI533" t="str">
        <f>MID('paste from garc here'!$C$2,1+(('table for research'!$B533-456)*36+HEX2DEC('table for research'!AI$1))*2,2)</f>
        <v>00</v>
      </c>
      <c r="AJ533" t="str">
        <f>MID('paste from garc here'!$C$2,1+(('table for research'!$B533-456)*36+HEX2DEC('table for research'!AJ$1))*2,2)</f>
        <v>00</v>
      </c>
      <c r="AK533" t="str">
        <f>MID('paste from garc here'!$C$2,1+(('table for research'!$B533-456)*36+HEX2DEC('table for research'!AK$1))*2,2)</f>
        <v>00</v>
      </c>
      <c r="AL533" t="str">
        <f>MID('paste from garc here'!$C$2,1+(('table for research'!$B533-456)*36+HEX2DEC('table for research'!AL$1))*2,2)</f>
        <v>00</v>
      </c>
      <c r="AM533" t="str">
        <f>MID('paste from garc here'!$C$2,1+(('table for research'!$B533-456)*36+HEX2DEC('table for research'!AM$1))*2,2)</f>
        <v>00</v>
      </c>
      <c r="AN533" t="str">
        <f>MID('paste from garc here'!$C$2,1+(('table for research'!$B533-456)*36+HEX2DEC('table for research'!AN$1))*2,2)</f>
        <v>00</v>
      </c>
      <c r="AO533" t="str">
        <f>MID('paste from garc here'!$C$2,1+(('table for research'!$B533-456)*36+HEX2DEC('table for research'!AO$1))*2,2)</f>
        <v>00</v>
      </c>
    </row>
    <row r="534" spans="1:41" x14ac:dyDescent="0.4">
      <c r="A534" t="s">
        <v>536</v>
      </c>
      <c r="B534">
        <f>B533+1</f>
        <v>532</v>
      </c>
      <c r="C534" t="str">
        <f>MID('paste from garc here'!$C$2,1+(('table for research'!$B534-456)*36+HEX2DEC('table for research'!C$1))*2,2)</f>
        <v>00</v>
      </c>
      <c r="D534" t="str">
        <f>MID('paste from garc here'!$C$2,1+(('table for research'!$B534-456)*36+HEX2DEC('table for research'!D$1))*2,2)</f>
        <v>00</v>
      </c>
      <c r="E534" t="str">
        <f>MID('paste from garc here'!$C$2,1+(('table for research'!$B534-456)*36+HEX2DEC('table for research'!E$1))*2,2)</f>
        <v>00</v>
      </c>
      <c r="F534" t="str">
        <f>MID('paste from garc here'!$C$2,1+(('table for research'!$B534-456)*36+HEX2DEC('table for research'!F$1))*2,2)</f>
        <v>0A</v>
      </c>
      <c r="G534" t="str">
        <f>MID('paste from garc here'!$C$2,1+(('table for research'!$B534-456)*36+HEX2DEC('table for research'!G$1))*2,2)</f>
        <v>00</v>
      </c>
      <c r="H534" t="str">
        <f>MID('paste from garc here'!$C$2,1+(('table for research'!$B534-456)*36+HEX2DEC('table for research'!H$1))*2,2)</f>
        <v>00</v>
      </c>
      <c r="I534" t="str">
        <f>MID('paste from garc here'!$C$2,1+(('table for research'!$B534-456)*36+HEX2DEC('table for research'!I$1))*2,2)</f>
        <v>0A</v>
      </c>
      <c r="J534" t="str">
        <f>MID('paste from garc here'!$C$2,1+(('table for research'!$B534-456)*36+HEX2DEC('table for research'!J$1))*2,2)</f>
        <v>00</v>
      </c>
      <c r="K534" t="str">
        <f>DEC2HEX(_xlfn.BITAND(HEX2DEC(MID('paste from garc here'!$C$1,1+(('table for research'!$B534-1)*36+HEX2DEC(8))*2,2)),31),2)</f>
        <v>00</v>
      </c>
      <c r="L534" t="str">
        <f>DEC2HEX(_xlfn.BITAND(HEX2DEC(MID('paste from garc here'!$C$1,1+(('table for research'!$B534-1)*36+HEX2DEC(8))*2,2)),32),2)</f>
        <v>00</v>
      </c>
      <c r="M534" t="str">
        <f>DEC2HEX(_xlfn.BITAND(HEX2DEC(MID('paste from garc here'!$C$1,1+(('table for research'!$B534-1)*36+HEX2DEC(8))*2,2)),64),2)</f>
        <v>00</v>
      </c>
      <c r="N534" t="str">
        <f>DEC2HEX(_xlfn.BITRSHIFT(_xlfn.BITAND(HEX2DEC(MID('paste from garc here'!$C$1,1+(('table for research'!$B534-1)*36+HEX2DEC(9))*2,2)&amp;MID('paste from garc here'!$C$1,1+(('table for research'!$B534-1)*36+HEX2DEC(8))*2,2)),1920),7),2)</f>
        <v>00</v>
      </c>
      <c r="O534" t="str">
        <f>DEC2HEX(_xlfn.BITRSHIFT(HEX2DEC(MID('paste from garc here'!$C$1,1+(('table for research'!$B534-1)*36+HEX2DEC(9))*2,2)&amp;MID('paste from garc here'!$C$1,1+(('table for research'!$B534-1)*36+HEX2DEC(8))*2,2)),11),2)</f>
        <v>00</v>
      </c>
      <c r="P534" t="str">
        <f>MID('paste from garc here'!$C$2,1+(('table for research'!$B534-456)*36+HEX2DEC('table for research'!P$1))*2,2)</f>
        <v>06</v>
      </c>
      <c r="Q534" t="str">
        <f>MID('paste from garc here'!$C$2,1+(('table for research'!$B534-456)*36+HEX2DEC('table for research'!Q$1))*2,2)</f>
        <v>00</v>
      </c>
      <c r="R534" t="str">
        <f>MID('paste from garc here'!$C$2,1+(('table for research'!$B534-456)*36+HEX2DEC('table for research'!R$1))*2,2)</f>
        <v>01</v>
      </c>
      <c r="S534" t="str">
        <f>MID('paste from garc here'!$C$2,1+(('table for research'!$B534-456)*36+HEX2DEC('table for research'!S$1))*2,2)</f>
        <v>03</v>
      </c>
      <c r="T534" t="str">
        <f>MID('paste from garc here'!$C$2,1+(('table for research'!$B534-456)*36+HEX2DEC('table for research'!T$1))*2,2)</f>
        <v>00</v>
      </c>
      <c r="U534" t="str">
        <f>MID('paste from garc here'!$C$2,1+(('table for research'!$B534-456)*36+HEX2DEC('table for research'!U$1))*2,2)</f>
        <v>76</v>
      </c>
      <c r="V534" t="str">
        <f>MID('paste from garc here'!$C$2,1+(('table for research'!$B534-456)*36+HEX2DEC('table for research'!V$1))*2,2)</f>
        <v>00</v>
      </c>
      <c r="W534" t="str">
        <f>MID('paste from garc here'!$C$2,1+(('table for research'!$B534-456)*36+HEX2DEC('table for research'!W$1))*2,2)</f>
        <v>08</v>
      </c>
      <c r="X534" t="str">
        <f>MID('paste from garc here'!$C$2,1+(('table for research'!$B534-456)*36+HEX2DEC('table for research'!X$1))*2,2)</f>
        <v>00</v>
      </c>
      <c r="Y534" t="str">
        <f>MID('paste from garc here'!$C$2,1+(('table for research'!$B534-456)*36+HEX2DEC('table for research'!Y$1))*2,2)</f>
        <v>00</v>
      </c>
      <c r="Z534" t="str">
        <f>MID('paste from garc here'!$C$2,1+(('table for research'!$B534-456)*36+HEX2DEC('table for research'!Z$1))*2,2)</f>
        <v>00</v>
      </c>
      <c r="AA534" t="str">
        <f>MID('paste from garc here'!$C$2,1+(('table for research'!$B534-456)*36+HEX2DEC('table for research'!AA$1))*2,2)</f>
        <v>00</v>
      </c>
      <c r="AB534" t="str">
        <f>MID('paste from garc here'!$C$2,1+(('table for research'!$B534-456)*36+HEX2DEC('table for research'!AB$1))*2,2)</f>
        <v>00</v>
      </c>
      <c r="AC534" t="str">
        <f>MID('paste from garc here'!$C$2,1+(('table for research'!$B534-456)*36+HEX2DEC('table for research'!AC$1))*2,2)</f>
        <v>00</v>
      </c>
      <c r="AD534" t="str">
        <f>MID('paste from garc here'!$C$2,1+(('table for research'!$B534-456)*36+HEX2DEC('table for research'!AD$1))*2,2)</f>
        <v>00</v>
      </c>
      <c r="AE534" t="str">
        <f>MID('paste from garc here'!$C$2,1+(('table for research'!$B534-456)*36+HEX2DEC('table for research'!AE$1))*2,2)</f>
        <v>00</v>
      </c>
      <c r="AF534" t="str">
        <f>MID('paste from garc here'!$C$2,1+(('table for research'!$B534-456)*36+HEX2DEC('table for research'!AF$1))*2,2)</f>
        <v>00</v>
      </c>
      <c r="AG534" t="str">
        <f>MID('paste from garc here'!$C$2,1+(('table for research'!$B534-456)*36+HEX2DEC('table for research'!AG$1))*2,2)</f>
        <v>00</v>
      </c>
      <c r="AH534" t="str">
        <f>MID('paste from garc here'!$C$2,1+(('table for research'!$B534-456)*36+HEX2DEC('table for research'!AH$1))*2,2)</f>
        <v>00</v>
      </c>
      <c r="AI534" t="str">
        <f>MID('paste from garc here'!$C$2,1+(('table for research'!$B534-456)*36+HEX2DEC('table for research'!AI$1))*2,2)</f>
        <v>00</v>
      </c>
      <c r="AJ534" t="str">
        <f>MID('paste from garc here'!$C$2,1+(('table for research'!$B534-456)*36+HEX2DEC('table for research'!AJ$1))*2,2)</f>
        <v>00</v>
      </c>
      <c r="AK534" t="str">
        <f>MID('paste from garc here'!$C$2,1+(('table for research'!$B534-456)*36+HEX2DEC('table for research'!AK$1))*2,2)</f>
        <v>00</v>
      </c>
      <c r="AL534" t="str">
        <f>MID('paste from garc here'!$C$2,1+(('table for research'!$B534-456)*36+HEX2DEC('table for research'!AL$1))*2,2)</f>
        <v>00</v>
      </c>
      <c r="AM534" t="str">
        <f>MID('paste from garc here'!$C$2,1+(('table for research'!$B534-456)*36+HEX2DEC('table for research'!AM$1))*2,2)</f>
        <v>00</v>
      </c>
      <c r="AN534" t="str">
        <f>MID('paste from garc here'!$C$2,1+(('table for research'!$B534-456)*36+HEX2DEC('table for research'!AN$1))*2,2)</f>
        <v>00</v>
      </c>
      <c r="AO534" t="str">
        <f>MID('paste from garc here'!$C$2,1+(('table for research'!$B534-456)*36+HEX2DEC('table for research'!AO$1))*2,2)</f>
        <v>00</v>
      </c>
    </row>
    <row r="535" spans="1:41" x14ac:dyDescent="0.4">
      <c r="A535" t="s">
        <v>537</v>
      </c>
      <c r="B535">
        <f>B534+1</f>
        <v>533</v>
      </c>
      <c r="C535" t="str">
        <f>MID('paste from garc here'!$C$2,1+(('table for research'!$B535-456)*36+HEX2DEC('table for research'!C$1))*2,2)</f>
        <v>00</v>
      </c>
      <c r="D535" t="str">
        <f>MID('paste from garc here'!$C$2,1+(('table for research'!$B535-456)*36+HEX2DEC('table for research'!D$1))*2,2)</f>
        <v>00</v>
      </c>
      <c r="E535" t="str">
        <f>MID('paste from garc here'!$C$2,1+(('table for research'!$B535-456)*36+HEX2DEC('table for research'!E$1))*2,2)</f>
        <v>00</v>
      </c>
      <c r="F535" t="str">
        <f>MID('paste from garc here'!$C$2,1+(('table for research'!$B535-456)*36+HEX2DEC('table for research'!F$1))*2,2)</f>
        <v>00</v>
      </c>
      <c r="G535" t="str">
        <f>MID('paste from garc here'!$C$2,1+(('table for research'!$B535-456)*36+HEX2DEC('table for research'!G$1))*2,2)</f>
        <v>00</v>
      </c>
      <c r="H535" t="str">
        <f>MID('paste from garc here'!$C$2,1+(('table for research'!$B535-456)*36+HEX2DEC('table for research'!H$1))*2,2)</f>
        <v>00</v>
      </c>
      <c r="I535" t="str">
        <f>MID('paste from garc here'!$C$2,1+(('table for research'!$B535-456)*36+HEX2DEC('table for research'!I$1))*2,2)</f>
        <v>00</v>
      </c>
      <c r="J535" t="str">
        <f>MID('paste from garc here'!$C$2,1+(('table for research'!$B535-456)*36+HEX2DEC('table for research'!J$1))*2,2)</f>
        <v>00</v>
      </c>
      <c r="K535" t="str">
        <f>DEC2HEX(_xlfn.BITAND(HEX2DEC(MID('paste from garc here'!$C$1,1+(('table for research'!$B535-1)*36+HEX2DEC(8))*2,2)),31),2)</f>
        <v>00</v>
      </c>
      <c r="L535" t="str">
        <f>DEC2HEX(_xlfn.BITAND(HEX2DEC(MID('paste from garc here'!$C$1,1+(('table for research'!$B535-1)*36+HEX2DEC(8))*2,2)),32),2)</f>
        <v>00</v>
      </c>
      <c r="M535" t="str">
        <f>DEC2HEX(_xlfn.BITAND(HEX2DEC(MID('paste from garc here'!$C$1,1+(('table for research'!$B535-1)*36+HEX2DEC(8))*2,2)),64),2)</f>
        <v>00</v>
      </c>
      <c r="N535" t="str">
        <f>DEC2HEX(_xlfn.BITRSHIFT(_xlfn.BITAND(HEX2DEC(MID('paste from garc here'!$C$1,1+(('table for research'!$B535-1)*36+HEX2DEC(9))*2,2)&amp;MID('paste from garc here'!$C$1,1+(('table for research'!$B535-1)*36+HEX2DEC(8))*2,2)),1920),7),2)</f>
        <v>00</v>
      </c>
      <c r="O535" t="str">
        <f>DEC2HEX(_xlfn.BITRSHIFT(HEX2DEC(MID('paste from garc here'!$C$1,1+(('table for research'!$B535-1)*36+HEX2DEC(9))*2,2)&amp;MID('paste from garc here'!$C$1,1+(('table for research'!$B535-1)*36+HEX2DEC(8))*2,2)),11),2)</f>
        <v>00</v>
      </c>
      <c r="P535" t="str">
        <f>MID('paste from garc here'!$C$2,1+(('table for research'!$B535-456)*36+HEX2DEC('table for research'!P$1))*2,2)</f>
        <v>00</v>
      </c>
      <c r="Q535" t="str">
        <f>MID('paste from garc here'!$C$2,1+(('table for research'!$B535-456)*36+HEX2DEC('table for research'!Q$1))*2,2)</f>
        <v>00</v>
      </c>
      <c r="R535" t="str">
        <f>MID('paste from garc here'!$C$2,1+(('table for research'!$B535-456)*36+HEX2DEC('table for research'!R$1))*2,2)</f>
        <v>00</v>
      </c>
      <c r="S535" t="str">
        <f>MID('paste from garc here'!$C$2,1+(('table for research'!$B535-456)*36+HEX2DEC('table for research'!S$1))*2,2)</f>
        <v>08</v>
      </c>
      <c r="T535" t="str">
        <f>MID('paste from garc here'!$C$2,1+(('table for research'!$B535-456)*36+HEX2DEC('table for research'!T$1))*2,2)</f>
        <v>00</v>
      </c>
      <c r="U535" t="str">
        <f>MID('paste from garc here'!$C$2,1+(('table for research'!$B535-456)*36+HEX2DEC('table for research'!U$1))*2,2)</f>
        <v>FF</v>
      </c>
      <c r="V535" t="str">
        <f>MID('paste from garc here'!$C$2,1+(('table for research'!$B535-456)*36+HEX2DEC('table for research'!V$1))*2,2)</f>
        <v>00</v>
      </c>
      <c r="W535" t="str">
        <f>MID('paste from garc here'!$C$2,1+(('table for research'!$B535-456)*36+HEX2DEC('table for research'!W$1))*2,2)</f>
        <v>00</v>
      </c>
      <c r="X535" t="str">
        <f>MID('paste from garc here'!$C$2,1+(('table for research'!$B535-456)*36+HEX2DEC('table for research'!X$1))*2,2)</f>
        <v>00</v>
      </c>
      <c r="Y535" t="str">
        <f>MID('paste from garc here'!$C$2,1+(('table for research'!$B535-456)*36+HEX2DEC('table for research'!Y$1))*2,2)</f>
        <v>00</v>
      </c>
      <c r="Z535" t="str">
        <f>MID('paste from garc here'!$C$2,1+(('table for research'!$B535-456)*36+HEX2DEC('table for research'!Z$1))*2,2)</f>
        <v>00</v>
      </c>
      <c r="AA535" t="str">
        <f>MID('paste from garc here'!$C$2,1+(('table for research'!$B535-456)*36+HEX2DEC('table for research'!AA$1))*2,2)</f>
        <v>00</v>
      </c>
      <c r="AB535" t="str">
        <f>MID('paste from garc here'!$C$2,1+(('table for research'!$B535-456)*36+HEX2DEC('table for research'!AB$1))*2,2)</f>
        <v>00</v>
      </c>
      <c r="AC535" t="str">
        <f>MID('paste from garc here'!$C$2,1+(('table for research'!$B535-456)*36+HEX2DEC('table for research'!AC$1))*2,2)</f>
        <v>00</v>
      </c>
      <c r="AD535" t="str">
        <f>MID('paste from garc here'!$C$2,1+(('table for research'!$B535-456)*36+HEX2DEC('table for research'!AD$1))*2,2)</f>
        <v>00</v>
      </c>
      <c r="AE535" t="str">
        <f>MID('paste from garc here'!$C$2,1+(('table for research'!$B535-456)*36+HEX2DEC('table for research'!AE$1))*2,2)</f>
        <v>00</v>
      </c>
      <c r="AF535" t="str">
        <f>MID('paste from garc here'!$C$2,1+(('table for research'!$B535-456)*36+HEX2DEC('table for research'!AF$1))*2,2)</f>
        <v>00</v>
      </c>
      <c r="AG535" t="str">
        <f>MID('paste from garc here'!$C$2,1+(('table for research'!$B535-456)*36+HEX2DEC('table for research'!AG$1))*2,2)</f>
        <v>00</v>
      </c>
      <c r="AH535" t="str">
        <f>MID('paste from garc here'!$C$2,1+(('table for research'!$B535-456)*36+HEX2DEC('table for research'!AH$1))*2,2)</f>
        <v>00</v>
      </c>
      <c r="AI535" t="str">
        <f>MID('paste from garc here'!$C$2,1+(('table for research'!$B535-456)*36+HEX2DEC('table for research'!AI$1))*2,2)</f>
        <v>00</v>
      </c>
      <c r="AJ535" t="str">
        <f>MID('paste from garc here'!$C$2,1+(('table for research'!$B535-456)*36+HEX2DEC('table for research'!AJ$1))*2,2)</f>
        <v>00</v>
      </c>
      <c r="AK535" t="str">
        <f>MID('paste from garc here'!$C$2,1+(('table for research'!$B535-456)*36+HEX2DEC('table for research'!AK$1))*2,2)</f>
        <v>00</v>
      </c>
      <c r="AL535" t="str">
        <f>MID('paste from garc here'!$C$2,1+(('table for research'!$B535-456)*36+HEX2DEC('table for research'!AL$1))*2,2)</f>
        <v>00</v>
      </c>
      <c r="AM535" t="str">
        <f>MID('paste from garc here'!$C$2,1+(('table for research'!$B535-456)*36+HEX2DEC('table for research'!AM$1))*2,2)</f>
        <v>00</v>
      </c>
      <c r="AN535" t="str">
        <f>MID('paste from garc here'!$C$2,1+(('table for research'!$B535-456)*36+HEX2DEC('table for research'!AN$1))*2,2)</f>
        <v>00</v>
      </c>
      <c r="AO535" t="str">
        <f>MID('paste from garc here'!$C$2,1+(('table for research'!$B535-456)*36+HEX2DEC('table for research'!AO$1))*2,2)</f>
        <v>00</v>
      </c>
    </row>
    <row r="536" spans="1:41" x14ac:dyDescent="0.4">
      <c r="A536" t="s">
        <v>538</v>
      </c>
      <c r="B536">
        <f>B535+1</f>
        <v>534</v>
      </c>
      <c r="C536" t="str">
        <f>MID('paste from garc here'!$C$2,1+(('table for research'!$B536-456)*36+HEX2DEC('table for research'!C$1))*2,2)</f>
        <v>00</v>
      </c>
      <c r="D536" t="str">
        <f>MID('paste from garc here'!$C$2,1+(('table for research'!$B536-456)*36+HEX2DEC('table for research'!D$1))*2,2)</f>
        <v>00</v>
      </c>
      <c r="E536" t="str">
        <f>MID('paste from garc here'!$C$2,1+(('table for research'!$B536-456)*36+HEX2DEC('table for research'!E$1))*2,2)</f>
        <v>00</v>
      </c>
      <c r="F536" t="str">
        <f>MID('paste from garc here'!$C$2,1+(('table for research'!$B536-456)*36+HEX2DEC('table for research'!F$1))*2,2)</f>
        <v>00</v>
      </c>
      <c r="G536" t="str">
        <f>MID('paste from garc here'!$C$2,1+(('table for research'!$B536-456)*36+HEX2DEC('table for research'!G$1))*2,2)</f>
        <v>00</v>
      </c>
      <c r="H536" t="str">
        <f>MID('paste from garc here'!$C$2,1+(('table for research'!$B536-456)*36+HEX2DEC('table for research'!H$1))*2,2)</f>
        <v>00</v>
      </c>
      <c r="I536" t="str">
        <f>MID('paste from garc here'!$C$2,1+(('table for research'!$B536-456)*36+HEX2DEC('table for research'!I$1))*2,2)</f>
        <v>00</v>
      </c>
      <c r="J536" t="str">
        <f>MID('paste from garc here'!$C$2,1+(('table for research'!$B536-456)*36+HEX2DEC('table for research'!J$1))*2,2)</f>
        <v>00</v>
      </c>
      <c r="K536" t="str">
        <f>DEC2HEX(_xlfn.BITAND(HEX2DEC(MID('paste from garc here'!$C$1,1+(('table for research'!$B536-1)*36+HEX2DEC(8))*2,2)),31),2)</f>
        <v>00</v>
      </c>
      <c r="L536" t="str">
        <f>DEC2HEX(_xlfn.BITAND(HEX2DEC(MID('paste from garc here'!$C$1,1+(('table for research'!$B536-1)*36+HEX2DEC(8))*2,2)),32),2)</f>
        <v>00</v>
      </c>
      <c r="M536" t="str">
        <f>DEC2HEX(_xlfn.BITAND(HEX2DEC(MID('paste from garc here'!$C$1,1+(('table for research'!$B536-1)*36+HEX2DEC(8))*2,2)),64),2)</f>
        <v>00</v>
      </c>
      <c r="N536" t="str">
        <f>DEC2HEX(_xlfn.BITRSHIFT(_xlfn.BITAND(HEX2DEC(MID('paste from garc here'!$C$1,1+(('table for research'!$B536-1)*36+HEX2DEC(9))*2,2)&amp;MID('paste from garc here'!$C$1,1+(('table for research'!$B536-1)*36+HEX2DEC(8))*2,2)),1920),7),2)</f>
        <v>00</v>
      </c>
      <c r="O536" t="str">
        <f>DEC2HEX(_xlfn.BITRSHIFT(HEX2DEC(MID('paste from garc here'!$C$1,1+(('table for research'!$B536-1)*36+HEX2DEC(9))*2,2)&amp;MID('paste from garc here'!$C$1,1+(('table for research'!$B536-1)*36+HEX2DEC(8))*2,2)),11),2)</f>
        <v>00</v>
      </c>
      <c r="P536" t="str">
        <f>MID('paste from garc here'!$C$2,1+(('table for research'!$B536-456)*36+HEX2DEC('table for research'!P$1))*2,2)</f>
        <v>00</v>
      </c>
      <c r="Q536" t="str">
        <f>MID('paste from garc here'!$C$2,1+(('table for research'!$B536-456)*36+HEX2DEC('table for research'!Q$1))*2,2)</f>
        <v>00</v>
      </c>
      <c r="R536" t="str">
        <f>MID('paste from garc here'!$C$2,1+(('table for research'!$B536-456)*36+HEX2DEC('table for research'!R$1))*2,2)</f>
        <v>00</v>
      </c>
      <c r="S536" t="str">
        <f>MID('paste from garc here'!$C$2,1+(('table for research'!$B536-456)*36+HEX2DEC('table for research'!S$1))*2,2)</f>
        <v>01</v>
      </c>
      <c r="T536" t="str">
        <f>MID('paste from garc here'!$C$2,1+(('table for research'!$B536-456)*36+HEX2DEC('table for research'!T$1))*2,2)</f>
        <v>00</v>
      </c>
      <c r="U536" t="str">
        <f>MID('paste from garc here'!$C$2,1+(('table for research'!$B536-456)*36+HEX2DEC('table for research'!U$1))*2,2)</f>
        <v>76</v>
      </c>
      <c r="V536" t="str">
        <f>MID('paste from garc here'!$C$2,1+(('table for research'!$B536-456)*36+HEX2DEC('table for research'!V$1))*2,2)</f>
        <v>00</v>
      </c>
      <c r="W536" t="str">
        <f>MID('paste from garc here'!$C$2,1+(('table for research'!$B536-456)*36+HEX2DEC('table for research'!W$1))*2,2)</f>
        <v>00</v>
      </c>
      <c r="X536" t="str">
        <f>MID('paste from garc here'!$C$2,1+(('table for research'!$B536-456)*36+HEX2DEC('table for research'!X$1))*2,2)</f>
        <v>00</v>
      </c>
      <c r="Y536" t="str">
        <f>MID('paste from garc here'!$C$2,1+(('table for research'!$B536-456)*36+HEX2DEC('table for research'!Y$1))*2,2)</f>
        <v>00</v>
      </c>
      <c r="Z536" t="str">
        <f>MID('paste from garc here'!$C$2,1+(('table for research'!$B536-456)*36+HEX2DEC('table for research'!Z$1))*2,2)</f>
        <v>00</v>
      </c>
      <c r="AA536" t="str">
        <f>MID('paste from garc here'!$C$2,1+(('table for research'!$B536-456)*36+HEX2DEC('table for research'!AA$1))*2,2)</f>
        <v>00</v>
      </c>
      <c r="AB536" t="str">
        <f>MID('paste from garc here'!$C$2,1+(('table for research'!$B536-456)*36+HEX2DEC('table for research'!AB$1))*2,2)</f>
        <v>00</v>
      </c>
      <c r="AC536" t="str">
        <f>MID('paste from garc here'!$C$2,1+(('table for research'!$B536-456)*36+HEX2DEC('table for research'!AC$1))*2,2)</f>
        <v>00</v>
      </c>
      <c r="AD536" t="str">
        <f>MID('paste from garc here'!$C$2,1+(('table for research'!$B536-456)*36+HEX2DEC('table for research'!AD$1))*2,2)</f>
        <v>00</v>
      </c>
      <c r="AE536" t="str">
        <f>MID('paste from garc here'!$C$2,1+(('table for research'!$B536-456)*36+HEX2DEC('table for research'!AE$1))*2,2)</f>
        <v>00</v>
      </c>
      <c r="AF536" t="str">
        <f>MID('paste from garc here'!$C$2,1+(('table for research'!$B536-456)*36+HEX2DEC('table for research'!AF$1))*2,2)</f>
        <v>00</v>
      </c>
      <c r="AG536" t="str">
        <f>MID('paste from garc here'!$C$2,1+(('table for research'!$B536-456)*36+HEX2DEC('table for research'!AG$1))*2,2)</f>
        <v>00</v>
      </c>
      <c r="AH536" t="str">
        <f>MID('paste from garc here'!$C$2,1+(('table for research'!$B536-456)*36+HEX2DEC('table for research'!AH$1))*2,2)</f>
        <v>00</v>
      </c>
      <c r="AI536" t="str">
        <f>MID('paste from garc here'!$C$2,1+(('table for research'!$B536-456)*36+HEX2DEC('table for research'!AI$1))*2,2)</f>
        <v>00</v>
      </c>
      <c r="AJ536" t="str">
        <f>MID('paste from garc here'!$C$2,1+(('table for research'!$B536-456)*36+HEX2DEC('table for research'!AJ$1))*2,2)</f>
        <v>00</v>
      </c>
      <c r="AK536" t="str">
        <f>MID('paste from garc here'!$C$2,1+(('table for research'!$B536-456)*36+HEX2DEC('table for research'!AK$1))*2,2)</f>
        <v>00</v>
      </c>
      <c r="AL536" t="str">
        <f>MID('paste from garc here'!$C$2,1+(('table for research'!$B536-456)*36+HEX2DEC('table for research'!AL$1))*2,2)</f>
        <v>00</v>
      </c>
      <c r="AM536" t="str">
        <f>MID('paste from garc here'!$C$2,1+(('table for research'!$B536-456)*36+HEX2DEC('table for research'!AM$1))*2,2)</f>
        <v>00</v>
      </c>
      <c r="AN536" t="str">
        <f>MID('paste from garc here'!$C$2,1+(('table for research'!$B536-456)*36+HEX2DEC('table for research'!AN$1))*2,2)</f>
        <v>00</v>
      </c>
      <c r="AO536" t="str">
        <f>MID('paste from garc here'!$C$2,1+(('table for research'!$B536-456)*36+HEX2DEC('table for research'!AO$1))*2,2)</f>
        <v>00</v>
      </c>
    </row>
    <row r="537" spans="1:41" x14ac:dyDescent="0.4">
      <c r="A537" t="s">
        <v>539</v>
      </c>
      <c r="B537">
        <f>B536+1</f>
        <v>535</v>
      </c>
      <c r="C537" t="str">
        <f>MID('paste from garc here'!$C$2,1+(('table for research'!$B537-456)*36+HEX2DEC('table for research'!C$1))*2,2)</f>
        <v>00</v>
      </c>
      <c r="D537" t="str">
        <f>MID('paste from garc here'!$C$2,1+(('table for research'!$B537-456)*36+HEX2DEC('table for research'!D$1))*2,2)</f>
        <v>00</v>
      </c>
      <c r="E537" t="str">
        <f>MID('paste from garc here'!$C$2,1+(('table for research'!$B537-456)*36+HEX2DEC('table for research'!E$1))*2,2)</f>
        <v>00</v>
      </c>
      <c r="F537" t="str">
        <f>MID('paste from garc here'!$C$2,1+(('table for research'!$B537-456)*36+HEX2DEC('table for research'!F$1))*2,2)</f>
        <v>00</v>
      </c>
      <c r="G537" t="str">
        <f>MID('paste from garc here'!$C$2,1+(('table for research'!$B537-456)*36+HEX2DEC('table for research'!G$1))*2,2)</f>
        <v>00</v>
      </c>
      <c r="H537" t="str">
        <f>MID('paste from garc here'!$C$2,1+(('table for research'!$B537-456)*36+HEX2DEC('table for research'!H$1))*2,2)</f>
        <v>00</v>
      </c>
      <c r="I537" t="str">
        <f>MID('paste from garc here'!$C$2,1+(('table for research'!$B537-456)*36+HEX2DEC('table for research'!I$1))*2,2)</f>
        <v>00</v>
      </c>
      <c r="J537" t="str">
        <f>MID('paste from garc here'!$C$2,1+(('table for research'!$B537-456)*36+HEX2DEC('table for research'!J$1))*2,2)</f>
        <v>00</v>
      </c>
      <c r="K537" t="str">
        <f>DEC2HEX(_xlfn.BITAND(HEX2DEC(MID('paste from garc here'!$C$1,1+(('table for research'!$B537-1)*36+HEX2DEC(8))*2,2)),31),2)</f>
        <v>00</v>
      </c>
      <c r="L537" t="str">
        <f>DEC2HEX(_xlfn.BITAND(HEX2DEC(MID('paste from garc here'!$C$1,1+(('table for research'!$B537-1)*36+HEX2DEC(8))*2,2)),32),2)</f>
        <v>00</v>
      </c>
      <c r="M537" t="str">
        <f>DEC2HEX(_xlfn.BITAND(HEX2DEC(MID('paste from garc here'!$C$1,1+(('table for research'!$B537-1)*36+HEX2DEC(8))*2,2)),64),2)</f>
        <v>00</v>
      </c>
      <c r="N537" t="str">
        <f>DEC2HEX(_xlfn.BITRSHIFT(_xlfn.BITAND(HEX2DEC(MID('paste from garc here'!$C$1,1+(('table for research'!$B537-1)*36+HEX2DEC(9))*2,2)&amp;MID('paste from garc here'!$C$1,1+(('table for research'!$B537-1)*36+HEX2DEC(8))*2,2)),1920),7),2)</f>
        <v>00</v>
      </c>
      <c r="O537" t="str">
        <f>DEC2HEX(_xlfn.BITRSHIFT(HEX2DEC(MID('paste from garc here'!$C$1,1+(('table for research'!$B537-1)*36+HEX2DEC(9))*2,2)&amp;MID('paste from garc here'!$C$1,1+(('table for research'!$B537-1)*36+HEX2DEC(8))*2,2)),11),2)</f>
        <v>00</v>
      </c>
      <c r="P537" t="str">
        <f>MID('paste from garc here'!$C$2,1+(('table for research'!$B537-456)*36+HEX2DEC('table for research'!P$1))*2,2)</f>
        <v>00</v>
      </c>
      <c r="Q537" t="str">
        <f>MID('paste from garc here'!$C$2,1+(('table for research'!$B537-456)*36+HEX2DEC('table for research'!Q$1))*2,2)</f>
        <v>00</v>
      </c>
      <c r="R537" t="str">
        <f>MID('paste from garc here'!$C$2,1+(('table for research'!$B537-456)*36+HEX2DEC('table for research'!R$1))*2,2)</f>
        <v>00</v>
      </c>
      <c r="S537" t="str">
        <f>MID('paste from garc here'!$C$2,1+(('table for research'!$B537-456)*36+HEX2DEC('table for research'!S$1))*2,2)</f>
        <v>01</v>
      </c>
      <c r="T537" t="str">
        <f>MID('paste from garc here'!$C$2,1+(('table for research'!$B537-456)*36+HEX2DEC('table for research'!T$1))*2,2)</f>
        <v>00</v>
      </c>
      <c r="U537" t="str">
        <f>MID('paste from garc here'!$C$2,1+(('table for research'!$B537-456)*36+HEX2DEC('table for research'!U$1))*2,2)</f>
        <v>77</v>
      </c>
      <c r="V537" t="str">
        <f>MID('paste from garc here'!$C$2,1+(('table for research'!$B537-456)*36+HEX2DEC('table for research'!V$1))*2,2)</f>
        <v>00</v>
      </c>
      <c r="W537" t="str">
        <f>MID('paste from garc here'!$C$2,1+(('table for research'!$B537-456)*36+HEX2DEC('table for research'!W$1))*2,2)</f>
        <v>00</v>
      </c>
      <c r="X537" t="str">
        <f>MID('paste from garc here'!$C$2,1+(('table for research'!$B537-456)*36+HEX2DEC('table for research'!X$1))*2,2)</f>
        <v>00</v>
      </c>
      <c r="Y537" t="str">
        <f>MID('paste from garc here'!$C$2,1+(('table for research'!$B537-456)*36+HEX2DEC('table for research'!Y$1))*2,2)</f>
        <v>00</v>
      </c>
      <c r="Z537" t="str">
        <f>MID('paste from garc here'!$C$2,1+(('table for research'!$B537-456)*36+HEX2DEC('table for research'!Z$1))*2,2)</f>
        <v>00</v>
      </c>
      <c r="AA537" t="str">
        <f>MID('paste from garc here'!$C$2,1+(('table for research'!$B537-456)*36+HEX2DEC('table for research'!AA$1))*2,2)</f>
        <v>00</v>
      </c>
      <c r="AB537" t="str">
        <f>MID('paste from garc here'!$C$2,1+(('table for research'!$B537-456)*36+HEX2DEC('table for research'!AB$1))*2,2)</f>
        <v>00</v>
      </c>
      <c r="AC537" t="str">
        <f>MID('paste from garc here'!$C$2,1+(('table for research'!$B537-456)*36+HEX2DEC('table for research'!AC$1))*2,2)</f>
        <v>00</v>
      </c>
      <c r="AD537" t="str">
        <f>MID('paste from garc here'!$C$2,1+(('table for research'!$B537-456)*36+HEX2DEC('table for research'!AD$1))*2,2)</f>
        <v>00</v>
      </c>
      <c r="AE537" t="str">
        <f>MID('paste from garc here'!$C$2,1+(('table for research'!$B537-456)*36+HEX2DEC('table for research'!AE$1))*2,2)</f>
        <v>00</v>
      </c>
      <c r="AF537" t="str">
        <f>MID('paste from garc here'!$C$2,1+(('table for research'!$B537-456)*36+HEX2DEC('table for research'!AF$1))*2,2)</f>
        <v>00</v>
      </c>
      <c r="AG537" t="str">
        <f>MID('paste from garc here'!$C$2,1+(('table for research'!$B537-456)*36+HEX2DEC('table for research'!AG$1))*2,2)</f>
        <v>00</v>
      </c>
      <c r="AH537" t="str">
        <f>MID('paste from garc here'!$C$2,1+(('table for research'!$B537-456)*36+HEX2DEC('table for research'!AH$1))*2,2)</f>
        <v>00</v>
      </c>
      <c r="AI537" t="str">
        <f>MID('paste from garc here'!$C$2,1+(('table for research'!$B537-456)*36+HEX2DEC('table for research'!AI$1))*2,2)</f>
        <v>00</v>
      </c>
      <c r="AJ537" t="str">
        <f>MID('paste from garc here'!$C$2,1+(('table for research'!$B537-456)*36+HEX2DEC('table for research'!AJ$1))*2,2)</f>
        <v>00</v>
      </c>
      <c r="AK537" t="str">
        <f>MID('paste from garc here'!$C$2,1+(('table for research'!$B537-456)*36+HEX2DEC('table for research'!AK$1))*2,2)</f>
        <v>00</v>
      </c>
      <c r="AL537" t="str">
        <f>MID('paste from garc here'!$C$2,1+(('table for research'!$B537-456)*36+HEX2DEC('table for research'!AL$1))*2,2)</f>
        <v>00</v>
      </c>
      <c r="AM537" t="str">
        <f>MID('paste from garc here'!$C$2,1+(('table for research'!$B537-456)*36+HEX2DEC('table for research'!AM$1))*2,2)</f>
        <v>00</v>
      </c>
      <c r="AN537" t="str">
        <f>MID('paste from garc here'!$C$2,1+(('table for research'!$B537-456)*36+HEX2DEC('table for research'!AN$1))*2,2)</f>
        <v>00</v>
      </c>
      <c r="AO537" t="str">
        <f>MID('paste from garc here'!$C$2,1+(('table for research'!$B537-456)*36+HEX2DEC('table for research'!AO$1))*2,2)</f>
        <v>00</v>
      </c>
    </row>
    <row r="538" spans="1:41" x14ac:dyDescent="0.4">
      <c r="A538" t="s">
        <v>540</v>
      </c>
      <c r="B538">
        <f>B537+1</f>
        <v>536</v>
      </c>
      <c r="C538" t="str">
        <f>MID('paste from garc here'!$C$2,1+(('table for research'!$B538-456)*36+HEX2DEC('table for research'!C$1))*2,2)</f>
        <v>00</v>
      </c>
      <c r="D538" t="str">
        <f>MID('paste from garc here'!$C$2,1+(('table for research'!$B538-456)*36+HEX2DEC('table for research'!D$1))*2,2)</f>
        <v>00</v>
      </c>
      <c r="E538" t="str">
        <f>MID('paste from garc here'!$C$2,1+(('table for research'!$B538-456)*36+HEX2DEC('table for research'!E$1))*2,2)</f>
        <v>00</v>
      </c>
      <c r="F538" t="str">
        <f>MID('paste from garc here'!$C$2,1+(('table for research'!$B538-456)*36+HEX2DEC('table for research'!F$1))*2,2)</f>
        <v>00</v>
      </c>
      <c r="G538" t="str">
        <f>MID('paste from garc here'!$C$2,1+(('table for research'!$B538-456)*36+HEX2DEC('table for research'!G$1))*2,2)</f>
        <v>00</v>
      </c>
      <c r="H538" t="str">
        <f>MID('paste from garc here'!$C$2,1+(('table for research'!$B538-456)*36+HEX2DEC('table for research'!H$1))*2,2)</f>
        <v>00</v>
      </c>
      <c r="I538" t="str">
        <f>MID('paste from garc here'!$C$2,1+(('table for research'!$B538-456)*36+HEX2DEC('table for research'!I$1))*2,2)</f>
        <v>1E</v>
      </c>
      <c r="J538" t="str">
        <f>MID('paste from garc here'!$C$2,1+(('table for research'!$B538-456)*36+HEX2DEC('table for research'!J$1))*2,2)</f>
        <v>00</v>
      </c>
      <c r="K538" t="str">
        <f>DEC2HEX(_xlfn.BITAND(HEX2DEC(MID('paste from garc here'!$C$1,1+(('table for research'!$B538-1)*36+HEX2DEC(8))*2,2)),31),2)</f>
        <v>00</v>
      </c>
      <c r="L538" t="str">
        <f>DEC2HEX(_xlfn.BITAND(HEX2DEC(MID('paste from garc here'!$C$1,1+(('table for research'!$B538-1)*36+HEX2DEC(8))*2,2)),32),2)</f>
        <v>00</v>
      </c>
      <c r="M538" t="str">
        <f>DEC2HEX(_xlfn.BITAND(HEX2DEC(MID('paste from garc here'!$C$1,1+(('table for research'!$B538-1)*36+HEX2DEC(8))*2,2)),64),2)</f>
        <v>00</v>
      </c>
      <c r="N538" t="str">
        <f>DEC2HEX(_xlfn.BITRSHIFT(_xlfn.BITAND(HEX2DEC(MID('paste from garc here'!$C$1,1+(('table for research'!$B538-1)*36+HEX2DEC(9))*2,2)&amp;MID('paste from garc here'!$C$1,1+(('table for research'!$B538-1)*36+HEX2DEC(8))*2,2)),1920),7),2)</f>
        <v>00</v>
      </c>
      <c r="O538" t="str">
        <f>DEC2HEX(_xlfn.BITRSHIFT(HEX2DEC(MID('paste from garc here'!$C$1,1+(('table for research'!$B538-1)*36+HEX2DEC(9))*2,2)&amp;MID('paste from garc here'!$C$1,1+(('table for research'!$B538-1)*36+HEX2DEC(8))*2,2)),11),2)</f>
        <v>00</v>
      </c>
      <c r="P538" t="str">
        <f>MID('paste from garc here'!$C$2,1+(('table for research'!$B538-456)*36+HEX2DEC('table for research'!P$1))*2,2)</f>
        <v>06</v>
      </c>
      <c r="Q538" t="str">
        <f>MID('paste from garc here'!$C$2,1+(('table for research'!$B538-456)*36+HEX2DEC('table for research'!Q$1))*2,2)</f>
        <v>00</v>
      </c>
      <c r="R538" t="str">
        <f>MID('paste from garc here'!$C$2,1+(('table for research'!$B538-456)*36+HEX2DEC('table for research'!R$1))*2,2)</f>
        <v>01</v>
      </c>
      <c r="S538" t="str">
        <f>MID('paste from garc here'!$C$2,1+(('table for research'!$B538-456)*36+HEX2DEC('table for research'!S$1))*2,2)</f>
        <v>03</v>
      </c>
      <c r="T538" t="str">
        <f>MID('paste from garc here'!$C$2,1+(('table for research'!$B538-456)*36+HEX2DEC('table for research'!T$1))*2,2)</f>
        <v>00</v>
      </c>
      <c r="U538" t="str">
        <f>MID('paste from garc here'!$C$2,1+(('table for research'!$B538-456)*36+HEX2DEC('table for research'!U$1))*2,2)</f>
        <v>C9</v>
      </c>
      <c r="V538" t="str">
        <f>MID('paste from garc here'!$C$2,1+(('table for research'!$B538-456)*36+HEX2DEC('table for research'!V$1))*2,2)</f>
        <v>00</v>
      </c>
      <c r="W538" t="str">
        <f>MID('paste from garc here'!$C$2,1+(('table for research'!$B538-456)*36+HEX2DEC('table for research'!W$1))*2,2)</f>
        <v>08</v>
      </c>
      <c r="X538" t="str">
        <f>MID('paste from garc here'!$C$2,1+(('table for research'!$B538-456)*36+HEX2DEC('table for research'!X$1))*2,2)</f>
        <v>00</v>
      </c>
      <c r="Y538" t="str">
        <f>MID('paste from garc here'!$C$2,1+(('table for research'!$B538-456)*36+HEX2DEC('table for research'!Y$1))*2,2)</f>
        <v>00</v>
      </c>
      <c r="Z538" t="str">
        <f>MID('paste from garc here'!$C$2,1+(('table for research'!$B538-456)*36+HEX2DEC('table for research'!Z$1))*2,2)</f>
        <v>00</v>
      </c>
      <c r="AA538" t="str">
        <f>MID('paste from garc here'!$C$2,1+(('table for research'!$B538-456)*36+HEX2DEC('table for research'!AA$1))*2,2)</f>
        <v>00</v>
      </c>
      <c r="AB538" t="str">
        <f>MID('paste from garc here'!$C$2,1+(('table for research'!$B538-456)*36+HEX2DEC('table for research'!AB$1))*2,2)</f>
        <v>00</v>
      </c>
      <c r="AC538" t="str">
        <f>MID('paste from garc here'!$C$2,1+(('table for research'!$B538-456)*36+HEX2DEC('table for research'!AC$1))*2,2)</f>
        <v>00</v>
      </c>
      <c r="AD538" t="str">
        <f>MID('paste from garc here'!$C$2,1+(('table for research'!$B538-456)*36+HEX2DEC('table for research'!AD$1))*2,2)</f>
        <v>00</v>
      </c>
      <c r="AE538" t="str">
        <f>MID('paste from garc here'!$C$2,1+(('table for research'!$B538-456)*36+HEX2DEC('table for research'!AE$1))*2,2)</f>
        <v>00</v>
      </c>
      <c r="AF538" t="str">
        <f>MID('paste from garc here'!$C$2,1+(('table for research'!$B538-456)*36+HEX2DEC('table for research'!AF$1))*2,2)</f>
        <v>00</v>
      </c>
      <c r="AG538" t="str">
        <f>MID('paste from garc here'!$C$2,1+(('table for research'!$B538-456)*36+HEX2DEC('table for research'!AG$1))*2,2)</f>
        <v>00</v>
      </c>
      <c r="AH538" t="str">
        <f>MID('paste from garc here'!$C$2,1+(('table for research'!$B538-456)*36+HEX2DEC('table for research'!AH$1))*2,2)</f>
        <v>00</v>
      </c>
      <c r="AI538" t="str">
        <f>MID('paste from garc here'!$C$2,1+(('table for research'!$B538-456)*36+HEX2DEC('table for research'!AI$1))*2,2)</f>
        <v>00</v>
      </c>
      <c r="AJ538" t="str">
        <f>MID('paste from garc here'!$C$2,1+(('table for research'!$B538-456)*36+HEX2DEC('table for research'!AJ$1))*2,2)</f>
        <v>00</v>
      </c>
      <c r="AK538" t="str">
        <f>MID('paste from garc here'!$C$2,1+(('table for research'!$B538-456)*36+HEX2DEC('table for research'!AK$1))*2,2)</f>
        <v>00</v>
      </c>
      <c r="AL538" t="str">
        <f>MID('paste from garc here'!$C$2,1+(('table for research'!$B538-456)*36+HEX2DEC('table for research'!AL$1))*2,2)</f>
        <v>00</v>
      </c>
      <c r="AM538" t="str">
        <f>MID('paste from garc here'!$C$2,1+(('table for research'!$B538-456)*36+HEX2DEC('table for research'!AM$1))*2,2)</f>
        <v>00</v>
      </c>
      <c r="AN538" t="str">
        <f>MID('paste from garc here'!$C$2,1+(('table for research'!$B538-456)*36+HEX2DEC('table for research'!AN$1))*2,2)</f>
        <v>00</v>
      </c>
      <c r="AO538" t="str">
        <f>MID('paste from garc here'!$C$2,1+(('table for research'!$B538-456)*36+HEX2DEC('table for research'!AO$1))*2,2)</f>
        <v>00</v>
      </c>
    </row>
    <row r="539" spans="1:41" x14ac:dyDescent="0.4">
      <c r="A539" t="s">
        <v>541</v>
      </c>
      <c r="B539">
        <f>B538+1</f>
        <v>537</v>
      </c>
      <c r="C539" t="str">
        <f>MID('paste from garc here'!$C$2,1+(('table for research'!$B539-456)*36+HEX2DEC('table for research'!C$1))*2,2)</f>
        <v>F4</v>
      </c>
      <c r="D539" t="str">
        <f>MID('paste from garc here'!$C$2,1+(('table for research'!$B539-456)*36+HEX2DEC('table for research'!D$1))*2,2)</f>
        <v>01</v>
      </c>
      <c r="E539" t="str">
        <f>MID('paste from garc here'!$C$2,1+(('table for research'!$B539-456)*36+HEX2DEC('table for research'!E$1))*2,2)</f>
        <v>00</v>
      </c>
      <c r="F539" t="str">
        <f>MID('paste from garc here'!$C$2,1+(('table for research'!$B539-456)*36+HEX2DEC('table for research'!F$1))*2,2)</f>
        <v>00</v>
      </c>
      <c r="G539" t="str">
        <f>MID('paste from garc here'!$C$2,1+(('table for research'!$B539-456)*36+HEX2DEC('table for research'!G$1))*2,2)</f>
        <v>00</v>
      </c>
      <c r="H539" t="str">
        <f>MID('paste from garc here'!$C$2,1+(('table for research'!$B539-456)*36+HEX2DEC('table for research'!H$1))*2,2)</f>
        <v>00</v>
      </c>
      <c r="I539" t="str">
        <f>MID('paste from garc here'!$C$2,1+(('table for research'!$B539-456)*36+HEX2DEC('table for research'!I$1))*2,2)</f>
        <v>1E</v>
      </c>
      <c r="J539" t="str">
        <f>MID('paste from garc here'!$C$2,1+(('table for research'!$B539-456)*36+HEX2DEC('table for research'!J$1))*2,2)</f>
        <v>00</v>
      </c>
      <c r="K539" t="str">
        <f>DEC2HEX(_xlfn.BITAND(HEX2DEC(MID('paste from garc here'!$C$1,1+(('table for research'!$B539-1)*36+HEX2DEC(8))*2,2)),31),2)</f>
        <v>00</v>
      </c>
      <c r="L539" t="str">
        <f>DEC2HEX(_xlfn.BITAND(HEX2DEC(MID('paste from garc here'!$C$1,1+(('table for research'!$B539-1)*36+HEX2DEC(8))*2,2)),32),2)</f>
        <v>00</v>
      </c>
      <c r="M539" t="str">
        <f>DEC2HEX(_xlfn.BITAND(HEX2DEC(MID('paste from garc here'!$C$1,1+(('table for research'!$B539-1)*36+HEX2DEC(8))*2,2)),64),2)</f>
        <v>00</v>
      </c>
      <c r="N539" t="str">
        <f>DEC2HEX(_xlfn.BITRSHIFT(_xlfn.BITAND(HEX2DEC(MID('paste from garc here'!$C$1,1+(('table for research'!$B539-1)*36+HEX2DEC(9))*2,2)&amp;MID('paste from garc here'!$C$1,1+(('table for research'!$B539-1)*36+HEX2DEC(8))*2,2)),1920),7),2)</f>
        <v>00</v>
      </c>
      <c r="O539" t="str">
        <f>DEC2HEX(_xlfn.BITRSHIFT(HEX2DEC(MID('paste from garc here'!$C$1,1+(('table for research'!$B539-1)*36+HEX2DEC(9))*2,2)&amp;MID('paste from garc here'!$C$1,1+(('table for research'!$B539-1)*36+HEX2DEC(8))*2,2)),11),2)</f>
        <v>00</v>
      </c>
      <c r="P539" t="str">
        <f>MID('paste from garc here'!$C$2,1+(('table for research'!$B539-456)*36+HEX2DEC('table for research'!P$1))*2,2)</f>
        <v>06</v>
      </c>
      <c r="Q539" t="str">
        <f>MID('paste from garc here'!$C$2,1+(('table for research'!$B539-456)*36+HEX2DEC('table for research'!Q$1))*2,2)</f>
        <v>00</v>
      </c>
      <c r="R539" t="str">
        <f>MID('paste from garc here'!$C$2,1+(('table for research'!$B539-456)*36+HEX2DEC('table for research'!R$1))*2,2)</f>
        <v>00</v>
      </c>
      <c r="S539" t="str">
        <f>MID('paste from garc here'!$C$2,1+(('table for research'!$B539-456)*36+HEX2DEC('table for research'!S$1))*2,2)</f>
        <v>02</v>
      </c>
      <c r="T539" t="str">
        <f>MID('paste from garc here'!$C$2,1+(('table for research'!$B539-456)*36+HEX2DEC('table for research'!T$1))*2,2)</f>
        <v>00</v>
      </c>
      <c r="U539" t="str">
        <f>MID('paste from garc here'!$C$2,1+(('table for research'!$B539-456)*36+HEX2DEC('table for research'!U$1))*2,2)</f>
        <v>3C</v>
      </c>
      <c r="V539" t="str">
        <f>MID('paste from garc here'!$C$2,1+(('table for research'!$B539-456)*36+HEX2DEC('table for research'!V$1))*2,2)</f>
        <v>00</v>
      </c>
      <c r="W539" t="str">
        <f>MID('paste from garc here'!$C$2,1+(('table for research'!$B539-456)*36+HEX2DEC('table for research'!W$1))*2,2)</f>
        <v>08</v>
      </c>
      <c r="X539" t="str">
        <f>MID('paste from garc here'!$C$2,1+(('table for research'!$B539-456)*36+HEX2DEC('table for research'!X$1))*2,2)</f>
        <v>00</v>
      </c>
      <c r="Y539" t="str">
        <f>MID('paste from garc here'!$C$2,1+(('table for research'!$B539-456)*36+HEX2DEC('table for research'!Y$1))*2,2)</f>
        <v>00</v>
      </c>
      <c r="Z539" t="str">
        <f>MID('paste from garc here'!$C$2,1+(('table for research'!$B539-456)*36+HEX2DEC('table for research'!Z$1))*2,2)</f>
        <v>00</v>
      </c>
      <c r="AA539" t="str">
        <f>MID('paste from garc here'!$C$2,1+(('table for research'!$B539-456)*36+HEX2DEC('table for research'!AA$1))*2,2)</f>
        <v>00</v>
      </c>
      <c r="AB539" t="str">
        <f>MID('paste from garc here'!$C$2,1+(('table for research'!$B539-456)*36+HEX2DEC('table for research'!AB$1))*2,2)</f>
        <v>00</v>
      </c>
      <c r="AC539" t="str">
        <f>MID('paste from garc here'!$C$2,1+(('table for research'!$B539-456)*36+HEX2DEC('table for research'!AC$1))*2,2)</f>
        <v>00</v>
      </c>
      <c r="AD539" t="str">
        <f>MID('paste from garc here'!$C$2,1+(('table for research'!$B539-456)*36+HEX2DEC('table for research'!AD$1))*2,2)</f>
        <v>00</v>
      </c>
      <c r="AE539" t="str">
        <f>MID('paste from garc here'!$C$2,1+(('table for research'!$B539-456)*36+HEX2DEC('table for research'!AE$1))*2,2)</f>
        <v>00</v>
      </c>
      <c r="AF539" t="str">
        <f>MID('paste from garc here'!$C$2,1+(('table for research'!$B539-456)*36+HEX2DEC('table for research'!AF$1))*2,2)</f>
        <v>00</v>
      </c>
      <c r="AG539" t="str">
        <f>MID('paste from garc here'!$C$2,1+(('table for research'!$B539-456)*36+HEX2DEC('table for research'!AG$1))*2,2)</f>
        <v>00</v>
      </c>
      <c r="AH539" t="str">
        <f>MID('paste from garc here'!$C$2,1+(('table for research'!$B539-456)*36+HEX2DEC('table for research'!AH$1))*2,2)</f>
        <v>00</v>
      </c>
      <c r="AI539" t="str">
        <f>MID('paste from garc here'!$C$2,1+(('table for research'!$B539-456)*36+HEX2DEC('table for research'!AI$1))*2,2)</f>
        <v>00</v>
      </c>
      <c r="AJ539" t="str">
        <f>MID('paste from garc here'!$C$2,1+(('table for research'!$B539-456)*36+HEX2DEC('table for research'!AJ$1))*2,2)</f>
        <v>00</v>
      </c>
      <c r="AK539" t="str">
        <f>MID('paste from garc here'!$C$2,1+(('table for research'!$B539-456)*36+HEX2DEC('table for research'!AK$1))*2,2)</f>
        <v>00</v>
      </c>
      <c r="AL539" t="str">
        <f>MID('paste from garc here'!$C$2,1+(('table for research'!$B539-456)*36+HEX2DEC('table for research'!AL$1))*2,2)</f>
        <v>00</v>
      </c>
      <c r="AM539" t="str">
        <f>MID('paste from garc here'!$C$2,1+(('table for research'!$B539-456)*36+HEX2DEC('table for research'!AM$1))*2,2)</f>
        <v>00</v>
      </c>
      <c r="AN539" t="str">
        <f>MID('paste from garc here'!$C$2,1+(('table for research'!$B539-456)*36+HEX2DEC('table for research'!AN$1))*2,2)</f>
        <v>00</v>
      </c>
      <c r="AO539" t="str">
        <f>MID('paste from garc here'!$C$2,1+(('table for research'!$B539-456)*36+HEX2DEC('table for research'!AO$1))*2,2)</f>
        <v>00</v>
      </c>
    </row>
    <row r="540" spans="1:41" x14ac:dyDescent="0.4">
      <c r="A540" t="s">
        <v>542</v>
      </c>
      <c r="B540">
        <f>B539+1</f>
        <v>538</v>
      </c>
      <c r="C540" t="str">
        <f>MID('paste from garc here'!$C$2,1+(('table for research'!$B540-456)*36+HEX2DEC('table for research'!C$1))*2,2)</f>
        <v>7C</v>
      </c>
      <c r="D540" t="str">
        <f>MID('paste from garc here'!$C$2,1+(('table for research'!$B540-456)*36+HEX2DEC('table for research'!D$1))*2,2)</f>
        <v>01</v>
      </c>
      <c r="E540" t="str">
        <f>MID('paste from garc here'!$C$2,1+(('table for research'!$B540-456)*36+HEX2DEC('table for research'!E$1))*2,2)</f>
        <v>92</v>
      </c>
      <c r="F540" t="str">
        <f>MID('paste from garc here'!$C$2,1+(('table for research'!$B540-456)*36+HEX2DEC('table for research'!F$1))*2,2)</f>
        <v>00</v>
      </c>
      <c r="G540" t="str">
        <f>MID('paste from garc here'!$C$2,1+(('table for research'!$B540-456)*36+HEX2DEC('table for research'!G$1))*2,2)</f>
        <v>00</v>
      </c>
      <c r="H540" t="str">
        <f>MID('paste from garc here'!$C$2,1+(('table for research'!$B540-456)*36+HEX2DEC('table for research'!H$1))*2,2)</f>
        <v>00</v>
      </c>
      <c r="I540" t="str">
        <f>MID('paste from garc here'!$C$2,1+(('table for research'!$B540-456)*36+HEX2DEC('table for research'!I$1))*2,2)</f>
        <v>28</v>
      </c>
      <c r="J540" t="str">
        <f>MID('paste from garc here'!$C$2,1+(('table for research'!$B540-456)*36+HEX2DEC('table for research'!J$1))*2,2)</f>
        <v>00</v>
      </c>
      <c r="K540" t="str">
        <f>DEC2HEX(_xlfn.BITAND(HEX2DEC(MID('paste from garc here'!$C$1,1+(('table for research'!$B540-1)*36+HEX2DEC(8))*2,2)),31),2)</f>
        <v>00</v>
      </c>
      <c r="L540" t="str">
        <f>DEC2HEX(_xlfn.BITAND(HEX2DEC(MID('paste from garc here'!$C$1,1+(('table for research'!$B540-1)*36+HEX2DEC(8))*2,2)),32),2)</f>
        <v>00</v>
      </c>
      <c r="M540" t="str">
        <f>DEC2HEX(_xlfn.BITAND(HEX2DEC(MID('paste from garc here'!$C$1,1+(('table for research'!$B540-1)*36+HEX2DEC(8))*2,2)),64),2)</f>
        <v>00</v>
      </c>
      <c r="N540" t="str">
        <f>DEC2HEX(_xlfn.BITRSHIFT(_xlfn.BITAND(HEX2DEC(MID('paste from garc here'!$C$1,1+(('table for research'!$B540-1)*36+HEX2DEC(9))*2,2)&amp;MID('paste from garc here'!$C$1,1+(('table for research'!$B540-1)*36+HEX2DEC(8))*2,2)),1920),7),2)</f>
        <v>00</v>
      </c>
      <c r="O540" t="str">
        <f>DEC2HEX(_xlfn.BITRSHIFT(HEX2DEC(MID('paste from garc here'!$C$1,1+(('table for research'!$B540-1)*36+HEX2DEC(9))*2,2)&amp;MID('paste from garc here'!$C$1,1+(('table for research'!$B540-1)*36+HEX2DEC(8))*2,2)),11),2)</f>
        <v>00</v>
      </c>
      <c r="P540" t="str">
        <f>MID('paste from garc here'!$C$2,1+(('table for research'!$B540-456)*36+HEX2DEC('table for research'!P$1))*2,2)</f>
        <v>00</v>
      </c>
      <c r="Q540" t="str">
        <f>MID('paste from garc here'!$C$2,1+(('table for research'!$B540-456)*36+HEX2DEC('table for research'!Q$1))*2,2)</f>
        <v>00</v>
      </c>
      <c r="R540" t="str">
        <f>MID('paste from garc here'!$C$2,1+(('table for research'!$B540-456)*36+HEX2DEC('table for research'!R$1))*2,2)</f>
        <v>00</v>
      </c>
      <c r="S540" t="str">
        <f>MID('paste from garc here'!$C$2,1+(('table for research'!$B540-456)*36+HEX2DEC('table for research'!S$1))*2,2)</f>
        <v>01</v>
      </c>
      <c r="T540" t="str">
        <f>MID('paste from garc here'!$C$2,1+(('table for research'!$B540-456)*36+HEX2DEC('table for research'!T$1))*2,2)</f>
        <v>00</v>
      </c>
      <c r="U540" t="str">
        <f>MID('paste from garc here'!$C$2,1+(('table for research'!$B540-456)*36+HEX2DEC('table for research'!U$1))*2,2)</f>
        <v>2D</v>
      </c>
      <c r="V540" t="str">
        <f>MID('paste from garc here'!$C$2,1+(('table for research'!$B540-456)*36+HEX2DEC('table for research'!V$1))*2,2)</f>
        <v>00</v>
      </c>
      <c r="W540" t="str">
        <f>MID('paste from garc here'!$C$2,1+(('table for research'!$B540-456)*36+HEX2DEC('table for research'!W$1))*2,2)</f>
        <v>00</v>
      </c>
      <c r="X540" t="str">
        <f>MID('paste from garc here'!$C$2,1+(('table for research'!$B540-456)*36+HEX2DEC('table for research'!X$1))*2,2)</f>
        <v>00</v>
      </c>
      <c r="Y540" t="str">
        <f>MID('paste from garc here'!$C$2,1+(('table for research'!$B540-456)*36+HEX2DEC('table for research'!Y$1))*2,2)</f>
        <v>00</v>
      </c>
      <c r="Z540" t="str">
        <f>MID('paste from garc here'!$C$2,1+(('table for research'!$B540-456)*36+HEX2DEC('table for research'!Z$1))*2,2)</f>
        <v>00</v>
      </c>
      <c r="AA540" t="str">
        <f>MID('paste from garc here'!$C$2,1+(('table for research'!$B540-456)*36+HEX2DEC('table for research'!AA$1))*2,2)</f>
        <v>00</v>
      </c>
      <c r="AB540" t="str">
        <f>MID('paste from garc here'!$C$2,1+(('table for research'!$B540-456)*36+HEX2DEC('table for research'!AB$1))*2,2)</f>
        <v>00</v>
      </c>
      <c r="AC540" t="str">
        <f>MID('paste from garc here'!$C$2,1+(('table for research'!$B540-456)*36+HEX2DEC('table for research'!AC$1))*2,2)</f>
        <v>00</v>
      </c>
      <c r="AD540" t="str">
        <f>MID('paste from garc here'!$C$2,1+(('table for research'!$B540-456)*36+HEX2DEC('table for research'!AD$1))*2,2)</f>
        <v>00</v>
      </c>
      <c r="AE540" t="str">
        <f>MID('paste from garc here'!$C$2,1+(('table for research'!$B540-456)*36+HEX2DEC('table for research'!AE$1))*2,2)</f>
        <v>00</v>
      </c>
      <c r="AF540" t="str">
        <f>MID('paste from garc here'!$C$2,1+(('table for research'!$B540-456)*36+HEX2DEC('table for research'!AF$1))*2,2)</f>
        <v>00</v>
      </c>
      <c r="AG540" t="str">
        <f>MID('paste from garc here'!$C$2,1+(('table for research'!$B540-456)*36+HEX2DEC('table for research'!AG$1))*2,2)</f>
        <v>00</v>
      </c>
      <c r="AH540" t="str">
        <f>MID('paste from garc here'!$C$2,1+(('table for research'!$B540-456)*36+HEX2DEC('table for research'!AH$1))*2,2)</f>
        <v>00</v>
      </c>
      <c r="AI540" t="str">
        <f>MID('paste from garc here'!$C$2,1+(('table for research'!$B540-456)*36+HEX2DEC('table for research'!AI$1))*2,2)</f>
        <v>00</v>
      </c>
      <c r="AJ540" t="str">
        <f>MID('paste from garc here'!$C$2,1+(('table for research'!$B540-456)*36+HEX2DEC('table for research'!AJ$1))*2,2)</f>
        <v>00</v>
      </c>
      <c r="AK540" t="str">
        <f>MID('paste from garc here'!$C$2,1+(('table for research'!$B540-456)*36+HEX2DEC('table for research'!AK$1))*2,2)</f>
        <v>00</v>
      </c>
      <c r="AL540" t="str">
        <f>MID('paste from garc here'!$C$2,1+(('table for research'!$B540-456)*36+HEX2DEC('table for research'!AL$1))*2,2)</f>
        <v>00</v>
      </c>
      <c r="AM540" t="str">
        <f>MID('paste from garc here'!$C$2,1+(('table for research'!$B540-456)*36+HEX2DEC('table for research'!AM$1))*2,2)</f>
        <v>00</v>
      </c>
      <c r="AN540" t="str">
        <f>MID('paste from garc here'!$C$2,1+(('table for research'!$B540-456)*36+HEX2DEC('table for research'!AN$1))*2,2)</f>
        <v>00</v>
      </c>
      <c r="AO540" t="str">
        <f>MID('paste from garc here'!$C$2,1+(('table for research'!$B540-456)*36+HEX2DEC('table for research'!AO$1))*2,2)</f>
        <v>00</v>
      </c>
    </row>
    <row r="541" spans="1:41" x14ac:dyDescent="0.4">
      <c r="A541" t="s">
        <v>543</v>
      </c>
      <c r="B541">
        <f>B540+1</f>
        <v>539</v>
      </c>
      <c r="C541" t="str">
        <f>MID('paste from garc here'!$C$2,1+(('table for research'!$B541-456)*36+HEX2DEC('table for research'!C$1))*2,2)</f>
        <v>90</v>
      </c>
      <c r="D541" t="str">
        <f>MID('paste from garc here'!$C$2,1+(('table for research'!$B541-456)*36+HEX2DEC('table for research'!D$1))*2,2)</f>
        <v>01</v>
      </c>
      <c r="E541" t="str">
        <f>MID('paste from garc here'!$C$2,1+(('table for research'!$B541-456)*36+HEX2DEC('table for research'!E$1))*2,2)</f>
        <v>93</v>
      </c>
      <c r="F541" t="str">
        <f>MID('paste from garc here'!$C$2,1+(('table for research'!$B541-456)*36+HEX2DEC('table for research'!F$1))*2,2)</f>
        <v>00</v>
      </c>
      <c r="G541" t="str">
        <f>MID('paste from garc here'!$C$2,1+(('table for research'!$B541-456)*36+HEX2DEC('table for research'!G$1))*2,2)</f>
        <v>00</v>
      </c>
      <c r="H541" t="str">
        <f>MID('paste from garc here'!$C$2,1+(('table for research'!$B541-456)*36+HEX2DEC('table for research'!H$1))*2,2)</f>
        <v>00</v>
      </c>
      <c r="I541" t="str">
        <f>MID('paste from garc here'!$C$2,1+(('table for research'!$B541-456)*36+HEX2DEC('table for research'!I$1))*2,2)</f>
        <v>1E</v>
      </c>
      <c r="J541" t="str">
        <f>MID('paste from garc here'!$C$2,1+(('table for research'!$B541-456)*36+HEX2DEC('table for research'!J$1))*2,2)</f>
        <v>00</v>
      </c>
      <c r="K541" t="str">
        <f>DEC2HEX(_xlfn.BITAND(HEX2DEC(MID('paste from garc here'!$C$1,1+(('table for research'!$B541-1)*36+HEX2DEC(8))*2,2)),31),2)</f>
        <v>00</v>
      </c>
      <c r="L541" t="str">
        <f>DEC2HEX(_xlfn.BITAND(HEX2DEC(MID('paste from garc here'!$C$1,1+(('table for research'!$B541-1)*36+HEX2DEC(8))*2,2)),32),2)</f>
        <v>00</v>
      </c>
      <c r="M541" t="str">
        <f>DEC2HEX(_xlfn.BITAND(HEX2DEC(MID('paste from garc here'!$C$1,1+(('table for research'!$B541-1)*36+HEX2DEC(8))*2,2)),64),2)</f>
        <v>00</v>
      </c>
      <c r="N541" t="str">
        <f>DEC2HEX(_xlfn.BITRSHIFT(_xlfn.BITAND(HEX2DEC(MID('paste from garc here'!$C$1,1+(('table for research'!$B541-1)*36+HEX2DEC(9))*2,2)&amp;MID('paste from garc here'!$C$1,1+(('table for research'!$B541-1)*36+HEX2DEC(8))*2,2)),1920),7),2)</f>
        <v>00</v>
      </c>
      <c r="O541" t="str">
        <f>DEC2HEX(_xlfn.BITRSHIFT(HEX2DEC(MID('paste from garc here'!$C$1,1+(('table for research'!$B541-1)*36+HEX2DEC(9))*2,2)&amp;MID('paste from garc here'!$C$1,1+(('table for research'!$B541-1)*36+HEX2DEC(8))*2,2)),11),2)</f>
        <v>00</v>
      </c>
      <c r="P541" t="str">
        <f>MID('paste from garc here'!$C$2,1+(('table for research'!$B541-456)*36+HEX2DEC('table for research'!P$1))*2,2)</f>
        <v>00</v>
      </c>
      <c r="Q541" t="str">
        <f>MID('paste from garc here'!$C$2,1+(('table for research'!$B541-456)*36+HEX2DEC('table for research'!Q$1))*2,2)</f>
        <v>00</v>
      </c>
      <c r="R541" t="str">
        <f>MID('paste from garc here'!$C$2,1+(('table for research'!$B541-456)*36+HEX2DEC('table for research'!R$1))*2,2)</f>
        <v>00</v>
      </c>
      <c r="S541" t="str">
        <f>MID('paste from garc here'!$C$2,1+(('table for research'!$B541-456)*36+HEX2DEC('table for research'!S$1))*2,2)</f>
        <v>01</v>
      </c>
      <c r="T541" t="str">
        <f>MID('paste from garc here'!$C$2,1+(('table for research'!$B541-456)*36+HEX2DEC('table for research'!T$1))*2,2)</f>
        <v>00</v>
      </c>
      <c r="U541" t="str">
        <f>MID('paste from garc here'!$C$2,1+(('table for research'!$B541-456)*36+HEX2DEC('table for research'!U$1))*2,2)</f>
        <v>12</v>
      </c>
      <c r="V541" t="str">
        <f>MID('paste from garc here'!$C$2,1+(('table for research'!$B541-456)*36+HEX2DEC('table for research'!V$1))*2,2)</f>
        <v>00</v>
      </c>
      <c r="W541" t="str">
        <f>MID('paste from garc here'!$C$2,1+(('table for research'!$B541-456)*36+HEX2DEC('table for research'!W$1))*2,2)</f>
        <v>00</v>
      </c>
      <c r="X541" t="str">
        <f>MID('paste from garc here'!$C$2,1+(('table for research'!$B541-456)*36+HEX2DEC('table for research'!X$1))*2,2)</f>
        <v>00</v>
      </c>
      <c r="Y541" t="str">
        <f>MID('paste from garc here'!$C$2,1+(('table for research'!$B541-456)*36+HEX2DEC('table for research'!Y$1))*2,2)</f>
        <v>00</v>
      </c>
      <c r="Z541" t="str">
        <f>MID('paste from garc here'!$C$2,1+(('table for research'!$B541-456)*36+HEX2DEC('table for research'!Z$1))*2,2)</f>
        <v>00</v>
      </c>
      <c r="AA541" t="str">
        <f>MID('paste from garc here'!$C$2,1+(('table for research'!$B541-456)*36+HEX2DEC('table for research'!AA$1))*2,2)</f>
        <v>00</v>
      </c>
      <c r="AB541" t="str">
        <f>MID('paste from garc here'!$C$2,1+(('table for research'!$B541-456)*36+HEX2DEC('table for research'!AB$1))*2,2)</f>
        <v>00</v>
      </c>
      <c r="AC541" t="str">
        <f>MID('paste from garc here'!$C$2,1+(('table for research'!$B541-456)*36+HEX2DEC('table for research'!AC$1))*2,2)</f>
        <v>00</v>
      </c>
      <c r="AD541" t="str">
        <f>MID('paste from garc here'!$C$2,1+(('table for research'!$B541-456)*36+HEX2DEC('table for research'!AD$1))*2,2)</f>
        <v>00</v>
      </c>
      <c r="AE541" t="str">
        <f>MID('paste from garc here'!$C$2,1+(('table for research'!$B541-456)*36+HEX2DEC('table for research'!AE$1))*2,2)</f>
        <v>00</v>
      </c>
      <c r="AF541" t="str">
        <f>MID('paste from garc here'!$C$2,1+(('table for research'!$B541-456)*36+HEX2DEC('table for research'!AF$1))*2,2)</f>
        <v>00</v>
      </c>
      <c r="AG541" t="str">
        <f>MID('paste from garc here'!$C$2,1+(('table for research'!$B541-456)*36+HEX2DEC('table for research'!AG$1))*2,2)</f>
        <v>00</v>
      </c>
      <c r="AH541" t="str">
        <f>MID('paste from garc here'!$C$2,1+(('table for research'!$B541-456)*36+HEX2DEC('table for research'!AH$1))*2,2)</f>
        <v>00</v>
      </c>
      <c r="AI541" t="str">
        <f>MID('paste from garc here'!$C$2,1+(('table for research'!$B541-456)*36+HEX2DEC('table for research'!AI$1))*2,2)</f>
        <v>00</v>
      </c>
      <c r="AJ541" t="str">
        <f>MID('paste from garc here'!$C$2,1+(('table for research'!$B541-456)*36+HEX2DEC('table for research'!AJ$1))*2,2)</f>
        <v>00</v>
      </c>
      <c r="AK541" t="str">
        <f>MID('paste from garc here'!$C$2,1+(('table for research'!$B541-456)*36+HEX2DEC('table for research'!AK$1))*2,2)</f>
        <v>00</v>
      </c>
      <c r="AL541" t="str">
        <f>MID('paste from garc here'!$C$2,1+(('table for research'!$B541-456)*36+HEX2DEC('table for research'!AL$1))*2,2)</f>
        <v>00</v>
      </c>
      <c r="AM541" t="str">
        <f>MID('paste from garc here'!$C$2,1+(('table for research'!$B541-456)*36+HEX2DEC('table for research'!AM$1))*2,2)</f>
        <v>00</v>
      </c>
      <c r="AN541" t="str">
        <f>MID('paste from garc here'!$C$2,1+(('table for research'!$B541-456)*36+HEX2DEC('table for research'!AN$1))*2,2)</f>
        <v>00</v>
      </c>
      <c r="AO541" t="str">
        <f>MID('paste from garc here'!$C$2,1+(('table for research'!$B541-456)*36+HEX2DEC('table for research'!AO$1))*2,2)</f>
        <v>00</v>
      </c>
    </row>
    <row r="542" spans="1:41" x14ac:dyDescent="0.4">
      <c r="A542" t="s">
        <v>544</v>
      </c>
      <c r="B542">
        <f>B541+1</f>
        <v>540</v>
      </c>
      <c r="C542" t="str">
        <f>MID('paste from garc here'!$C$2,1+(('table for research'!$B542-456)*36+HEX2DEC('table for research'!C$1))*2,2)</f>
        <v>C0</v>
      </c>
      <c r="D542" t="str">
        <f>MID('paste from garc here'!$C$2,1+(('table for research'!$B542-456)*36+HEX2DEC('table for research'!D$1))*2,2)</f>
        <v>12</v>
      </c>
      <c r="E542" t="str">
        <f>MID('paste from garc here'!$C$2,1+(('table for research'!$B542-456)*36+HEX2DEC('table for research'!E$1))*2,2)</f>
        <v>94</v>
      </c>
      <c r="F542" t="str">
        <f>MID('paste from garc here'!$C$2,1+(('table for research'!$B542-456)*36+HEX2DEC('table for research'!F$1))*2,2)</f>
        <v>06</v>
      </c>
      <c r="G542" t="str">
        <f>MID('paste from garc here'!$C$2,1+(('table for research'!$B542-456)*36+HEX2DEC('table for research'!G$1))*2,2)</f>
        <v>00</v>
      </c>
      <c r="H542" t="str">
        <f>MID('paste from garc here'!$C$2,1+(('table for research'!$B542-456)*36+HEX2DEC('table for research'!H$1))*2,2)</f>
        <v>00</v>
      </c>
      <c r="I542" t="str">
        <f>MID('paste from garc here'!$C$2,1+(('table for research'!$B542-456)*36+HEX2DEC('table for research'!I$1))*2,2)</f>
        <v>3C</v>
      </c>
      <c r="J542" t="str">
        <f>MID('paste from garc here'!$C$2,1+(('table for research'!$B542-456)*36+HEX2DEC('table for research'!J$1))*2,2)</f>
        <v>00</v>
      </c>
      <c r="K542" t="str">
        <f>DEC2HEX(_xlfn.BITAND(HEX2DEC(MID('paste from garc here'!$C$1,1+(('table for research'!$B542-1)*36+HEX2DEC(8))*2,2)),31),2)</f>
        <v>00</v>
      </c>
      <c r="L542" t="str">
        <f>DEC2HEX(_xlfn.BITAND(HEX2DEC(MID('paste from garc here'!$C$1,1+(('table for research'!$B542-1)*36+HEX2DEC(8))*2,2)),32),2)</f>
        <v>00</v>
      </c>
      <c r="M542" t="str">
        <f>DEC2HEX(_xlfn.BITAND(HEX2DEC(MID('paste from garc here'!$C$1,1+(('table for research'!$B542-1)*36+HEX2DEC(8))*2,2)),64),2)</f>
        <v>00</v>
      </c>
      <c r="N542" t="str">
        <f>DEC2HEX(_xlfn.BITRSHIFT(_xlfn.BITAND(HEX2DEC(MID('paste from garc here'!$C$1,1+(('table for research'!$B542-1)*36+HEX2DEC(9))*2,2)&amp;MID('paste from garc here'!$C$1,1+(('table for research'!$B542-1)*36+HEX2DEC(8))*2,2)),1920),7),2)</f>
        <v>00</v>
      </c>
      <c r="O542" t="str">
        <f>DEC2HEX(_xlfn.BITRSHIFT(HEX2DEC(MID('paste from garc here'!$C$1,1+(('table for research'!$B542-1)*36+HEX2DEC(9))*2,2)&amp;MID('paste from garc here'!$C$1,1+(('table for research'!$B542-1)*36+HEX2DEC(8))*2,2)),11),2)</f>
        <v>00</v>
      </c>
      <c r="P542" t="str">
        <f>MID('paste from garc here'!$C$2,1+(('table for research'!$B542-456)*36+HEX2DEC('table for research'!P$1))*2,2)</f>
        <v>00</v>
      </c>
      <c r="Q542" t="str">
        <f>MID('paste from garc here'!$C$2,1+(('table for research'!$B542-456)*36+HEX2DEC('table for research'!Q$1))*2,2)</f>
        <v>00</v>
      </c>
      <c r="R542" t="str">
        <f>MID('paste from garc here'!$C$2,1+(('table for research'!$B542-456)*36+HEX2DEC('table for research'!R$1))*2,2)</f>
        <v>00</v>
      </c>
      <c r="S542" t="str">
        <f>MID('paste from garc here'!$C$2,1+(('table for research'!$B542-456)*36+HEX2DEC('table for research'!S$1))*2,2)</f>
        <v>01</v>
      </c>
      <c r="T542" t="str">
        <f>MID('paste from garc here'!$C$2,1+(('table for research'!$B542-456)*36+HEX2DEC('table for research'!T$1))*2,2)</f>
        <v>00</v>
      </c>
      <c r="U542" t="str">
        <f>MID('paste from garc here'!$C$2,1+(('table for research'!$B542-456)*36+HEX2DEC('table for research'!U$1))*2,2)</f>
        <v>28</v>
      </c>
      <c r="V542" t="str">
        <f>MID('paste from garc here'!$C$2,1+(('table for research'!$B542-456)*36+HEX2DEC('table for research'!V$1))*2,2)</f>
        <v>00</v>
      </c>
      <c r="W542" t="str">
        <f>MID('paste from garc here'!$C$2,1+(('table for research'!$B542-456)*36+HEX2DEC('table for research'!W$1))*2,2)</f>
        <v>00</v>
      </c>
      <c r="X542" t="str">
        <f>MID('paste from garc here'!$C$2,1+(('table for research'!$B542-456)*36+HEX2DEC('table for research'!X$1))*2,2)</f>
        <v>00</v>
      </c>
      <c r="Y542" t="str">
        <f>MID('paste from garc here'!$C$2,1+(('table for research'!$B542-456)*36+HEX2DEC('table for research'!Y$1))*2,2)</f>
        <v>00</v>
      </c>
      <c r="Z542" t="str">
        <f>MID('paste from garc here'!$C$2,1+(('table for research'!$B542-456)*36+HEX2DEC('table for research'!Z$1))*2,2)</f>
        <v>00</v>
      </c>
      <c r="AA542" t="str">
        <f>MID('paste from garc here'!$C$2,1+(('table for research'!$B542-456)*36+HEX2DEC('table for research'!AA$1))*2,2)</f>
        <v>00</v>
      </c>
      <c r="AB542" t="str">
        <f>MID('paste from garc here'!$C$2,1+(('table for research'!$B542-456)*36+HEX2DEC('table for research'!AB$1))*2,2)</f>
        <v>00</v>
      </c>
      <c r="AC542" t="str">
        <f>MID('paste from garc here'!$C$2,1+(('table for research'!$B542-456)*36+HEX2DEC('table for research'!AC$1))*2,2)</f>
        <v>00</v>
      </c>
      <c r="AD542" t="str">
        <f>MID('paste from garc here'!$C$2,1+(('table for research'!$B542-456)*36+HEX2DEC('table for research'!AD$1))*2,2)</f>
        <v>00</v>
      </c>
      <c r="AE542" t="str">
        <f>MID('paste from garc here'!$C$2,1+(('table for research'!$B542-456)*36+HEX2DEC('table for research'!AE$1))*2,2)</f>
        <v>00</v>
      </c>
      <c r="AF542" t="str">
        <f>MID('paste from garc here'!$C$2,1+(('table for research'!$B542-456)*36+HEX2DEC('table for research'!AF$1))*2,2)</f>
        <v>00</v>
      </c>
      <c r="AG542" t="str">
        <f>MID('paste from garc here'!$C$2,1+(('table for research'!$B542-456)*36+HEX2DEC('table for research'!AG$1))*2,2)</f>
        <v>00</v>
      </c>
      <c r="AH542" t="str">
        <f>MID('paste from garc here'!$C$2,1+(('table for research'!$B542-456)*36+HEX2DEC('table for research'!AH$1))*2,2)</f>
        <v>00</v>
      </c>
      <c r="AI542" t="str">
        <f>MID('paste from garc here'!$C$2,1+(('table for research'!$B542-456)*36+HEX2DEC('table for research'!AI$1))*2,2)</f>
        <v>00</v>
      </c>
      <c r="AJ542" t="str">
        <f>MID('paste from garc here'!$C$2,1+(('table for research'!$B542-456)*36+HEX2DEC('table for research'!AJ$1))*2,2)</f>
        <v>00</v>
      </c>
      <c r="AK542" t="str">
        <f>MID('paste from garc here'!$C$2,1+(('table for research'!$B542-456)*36+HEX2DEC('table for research'!AK$1))*2,2)</f>
        <v>00</v>
      </c>
      <c r="AL542" t="str">
        <f>MID('paste from garc here'!$C$2,1+(('table for research'!$B542-456)*36+HEX2DEC('table for research'!AL$1))*2,2)</f>
        <v>00</v>
      </c>
      <c r="AM542" t="str">
        <f>MID('paste from garc here'!$C$2,1+(('table for research'!$B542-456)*36+HEX2DEC('table for research'!AM$1))*2,2)</f>
        <v>00</v>
      </c>
      <c r="AN542" t="str">
        <f>MID('paste from garc here'!$C$2,1+(('table for research'!$B542-456)*36+HEX2DEC('table for research'!AN$1))*2,2)</f>
        <v>00</v>
      </c>
      <c r="AO542" t="str">
        <f>MID('paste from garc here'!$C$2,1+(('table for research'!$B542-456)*36+HEX2DEC('table for research'!AO$1))*2,2)</f>
        <v>00</v>
      </c>
    </row>
    <row r="543" spans="1:41" x14ac:dyDescent="0.4">
      <c r="A543" t="s">
        <v>545</v>
      </c>
      <c r="B543">
        <f>B542+1</f>
        <v>541</v>
      </c>
      <c r="C543" t="str">
        <f>MID('paste from garc here'!$C$2,1+(('table for research'!$B543-456)*36+HEX2DEC('table for research'!C$1))*2,2)</f>
        <v>32</v>
      </c>
      <c r="D543" t="str">
        <f>MID('paste from garc here'!$C$2,1+(('table for research'!$B543-456)*36+HEX2DEC('table for research'!D$1))*2,2)</f>
        <v>00</v>
      </c>
      <c r="E543" t="str">
        <f>MID('paste from garc here'!$C$2,1+(('table for research'!$B543-456)*36+HEX2DEC('table for research'!E$1))*2,2)</f>
        <v>95</v>
      </c>
      <c r="F543" t="str">
        <f>MID('paste from garc here'!$C$2,1+(('table for research'!$B543-456)*36+HEX2DEC('table for research'!F$1))*2,2)</f>
        <v>00</v>
      </c>
      <c r="G543" t="str">
        <f>MID('paste from garc here'!$C$2,1+(('table for research'!$B543-456)*36+HEX2DEC('table for research'!G$1))*2,2)</f>
        <v>00</v>
      </c>
      <c r="H543" t="str">
        <f>MID('paste from garc here'!$C$2,1+(('table for research'!$B543-456)*36+HEX2DEC('table for research'!H$1))*2,2)</f>
        <v>00</v>
      </c>
      <c r="I543" t="str">
        <f>MID('paste from garc here'!$C$2,1+(('table for research'!$B543-456)*36+HEX2DEC('table for research'!I$1))*2,2)</f>
        <v>0A</v>
      </c>
      <c r="J543" t="str">
        <f>MID('paste from garc here'!$C$2,1+(('table for research'!$B543-456)*36+HEX2DEC('table for research'!J$1))*2,2)</f>
        <v>00</v>
      </c>
      <c r="K543" t="str">
        <f>DEC2HEX(_xlfn.BITAND(HEX2DEC(MID('paste from garc here'!$C$1,1+(('table for research'!$B543-1)*36+HEX2DEC(8))*2,2)),31),2)</f>
        <v>00</v>
      </c>
      <c r="L543" t="str">
        <f>DEC2HEX(_xlfn.BITAND(HEX2DEC(MID('paste from garc here'!$C$1,1+(('table for research'!$B543-1)*36+HEX2DEC(8))*2,2)),32),2)</f>
        <v>00</v>
      </c>
      <c r="M543" t="str">
        <f>DEC2HEX(_xlfn.BITAND(HEX2DEC(MID('paste from garc here'!$C$1,1+(('table for research'!$B543-1)*36+HEX2DEC(8))*2,2)),64),2)</f>
        <v>00</v>
      </c>
      <c r="N543" t="str">
        <f>DEC2HEX(_xlfn.BITRSHIFT(_xlfn.BITAND(HEX2DEC(MID('paste from garc here'!$C$1,1+(('table for research'!$B543-1)*36+HEX2DEC(9))*2,2)&amp;MID('paste from garc here'!$C$1,1+(('table for research'!$B543-1)*36+HEX2DEC(8))*2,2)),1920),7),2)</f>
        <v>00</v>
      </c>
      <c r="O543" t="str">
        <f>DEC2HEX(_xlfn.BITRSHIFT(HEX2DEC(MID('paste from garc here'!$C$1,1+(('table for research'!$B543-1)*36+HEX2DEC(9))*2,2)&amp;MID('paste from garc here'!$C$1,1+(('table for research'!$B543-1)*36+HEX2DEC(8))*2,2)),11),2)</f>
        <v>00</v>
      </c>
      <c r="P543" t="str">
        <f>MID('paste from garc here'!$C$2,1+(('table for research'!$B543-456)*36+HEX2DEC('table for research'!P$1))*2,2)</f>
        <v>00</v>
      </c>
      <c r="Q543" t="str">
        <f>MID('paste from garc here'!$C$2,1+(('table for research'!$B543-456)*36+HEX2DEC('table for research'!Q$1))*2,2)</f>
        <v>00</v>
      </c>
      <c r="R543" t="str">
        <f>MID('paste from garc here'!$C$2,1+(('table for research'!$B543-456)*36+HEX2DEC('table for research'!R$1))*2,2)</f>
        <v>00</v>
      </c>
      <c r="S543" t="str">
        <f>MID('paste from garc here'!$C$2,1+(('table for research'!$B543-456)*36+HEX2DEC('table for research'!S$1))*2,2)</f>
        <v>01</v>
      </c>
      <c r="T543" t="str">
        <f>MID('paste from garc here'!$C$2,1+(('table for research'!$B543-456)*36+HEX2DEC('table for research'!T$1))*2,2)</f>
        <v>00</v>
      </c>
      <c r="U543" t="str">
        <f>MID('paste from garc here'!$C$2,1+(('table for research'!$B543-456)*36+HEX2DEC('table for research'!U$1))*2,2)</f>
        <v>22</v>
      </c>
      <c r="V543" t="str">
        <f>MID('paste from garc here'!$C$2,1+(('table for research'!$B543-456)*36+HEX2DEC('table for research'!V$1))*2,2)</f>
        <v>00</v>
      </c>
      <c r="W543" t="str">
        <f>MID('paste from garc here'!$C$2,1+(('table for research'!$B543-456)*36+HEX2DEC('table for research'!W$1))*2,2)</f>
        <v>00</v>
      </c>
      <c r="X543" t="str">
        <f>MID('paste from garc here'!$C$2,1+(('table for research'!$B543-456)*36+HEX2DEC('table for research'!X$1))*2,2)</f>
        <v>00</v>
      </c>
      <c r="Y543" t="str">
        <f>MID('paste from garc here'!$C$2,1+(('table for research'!$B543-456)*36+HEX2DEC('table for research'!Y$1))*2,2)</f>
        <v>00</v>
      </c>
      <c r="Z543" t="str">
        <f>MID('paste from garc here'!$C$2,1+(('table for research'!$B543-456)*36+HEX2DEC('table for research'!Z$1))*2,2)</f>
        <v>00</v>
      </c>
      <c r="AA543" t="str">
        <f>MID('paste from garc here'!$C$2,1+(('table for research'!$B543-456)*36+HEX2DEC('table for research'!AA$1))*2,2)</f>
        <v>00</v>
      </c>
      <c r="AB543" t="str">
        <f>MID('paste from garc here'!$C$2,1+(('table for research'!$B543-456)*36+HEX2DEC('table for research'!AB$1))*2,2)</f>
        <v>00</v>
      </c>
      <c r="AC543" t="str">
        <f>MID('paste from garc here'!$C$2,1+(('table for research'!$B543-456)*36+HEX2DEC('table for research'!AC$1))*2,2)</f>
        <v>00</v>
      </c>
      <c r="AD543" t="str">
        <f>MID('paste from garc here'!$C$2,1+(('table for research'!$B543-456)*36+HEX2DEC('table for research'!AD$1))*2,2)</f>
        <v>00</v>
      </c>
      <c r="AE543" t="str">
        <f>MID('paste from garc here'!$C$2,1+(('table for research'!$B543-456)*36+HEX2DEC('table for research'!AE$1))*2,2)</f>
        <v>00</v>
      </c>
      <c r="AF543" t="str">
        <f>MID('paste from garc here'!$C$2,1+(('table for research'!$B543-456)*36+HEX2DEC('table for research'!AF$1))*2,2)</f>
        <v>00</v>
      </c>
      <c r="AG543" t="str">
        <f>MID('paste from garc here'!$C$2,1+(('table for research'!$B543-456)*36+HEX2DEC('table for research'!AG$1))*2,2)</f>
        <v>00</v>
      </c>
      <c r="AH543" t="str">
        <f>MID('paste from garc here'!$C$2,1+(('table for research'!$B543-456)*36+HEX2DEC('table for research'!AH$1))*2,2)</f>
        <v>00</v>
      </c>
      <c r="AI543" t="str">
        <f>MID('paste from garc here'!$C$2,1+(('table for research'!$B543-456)*36+HEX2DEC('table for research'!AI$1))*2,2)</f>
        <v>00</v>
      </c>
      <c r="AJ543" t="str">
        <f>MID('paste from garc here'!$C$2,1+(('table for research'!$B543-456)*36+HEX2DEC('table for research'!AJ$1))*2,2)</f>
        <v>00</v>
      </c>
      <c r="AK543" t="str">
        <f>MID('paste from garc here'!$C$2,1+(('table for research'!$B543-456)*36+HEX2DEC('table for research'!AK$1))*2,2)</f>
        <v>00</v>
      </c>
      <c r="AL543" t="str">
        <f>MID('paste from garc here'!$C$2,1+(('table for research'!$B543-456)*36+HEX2DEC('table for research'!AL$1))*2,2)</f>
        <v>00</v>
      </c>
      <c r="AM543" t="str">
        <f>MID('paste from garc here'!$C$2,1+(('table for research'!$B543-456)*36+HEX2DEC('table for research'!AM$1))*2,2)</f>
        <v>00</v>
      </c>
      <c r="AN543" t="str">
        <f>MID('paste from garc here'!$C$2,1+(('table for research'!$B543-456)*36+HEX2DEC('table for research'!AN$1))*2,2)</f>
        <v>00</v>
      </c>
      <c r="AO543" t="str">
        <f>MID('paste from garc here'!$C$2,1+(('table for research'!$B543-456)*36+HEX2DEC('table for research'!AO$1))*2,2)</f>
        <v>00</v>
      </c>
    </row>
    <row r="544" spans="1:41" x14ac:dyDescent="0.4">
      <c r="A544" t="s">
        <v>546</v>
      </c>
      <c r="B544">
        <f>B543+1</f>
        <v>542</v>
      </c>
      <c r="C544" t="str">
        <f>MID('paste from garc here'!$C$2,1+(('table for research'!$B544-456)*36+HEX2DEC('table for research'!C$1))*2,2)</f>
        <v>64</v>
      </c>
      <c r="D544" t="str">
        <f>MID('paste from garc here'!$C$2,1+(('table for research'!$B544-456)*36+HEX2DEC('table for research'!D$1))*2,2)</f>
        <v>00</v>
      </c>
      <c r="E544" t="str">
        <f>MID('paste from garc here'!$C$2,1+(('table for research'!$B544-456)*36+HEX2DEC('table for research'!E$1))*2,2)</f>
        <v>96</v>
      </c>
      <c r="F544" t="str">
        <f>MID('paste from garc here'!$C$2,1+(('table for research'!$B544-456)*36+HEX2DEC('table for research'!F$1))*2,2)</f>
        <v>00</v>
      </c>
      <c r="G544" t="str">
        <f>MID('paste from garc here'!$C$2,1+(('table for research'!$B544-456)*36+HEX2DEC('table for research'!G$1))*2,2)</f>
        <v>00</v>
      </c>
      <c r="H544" t="str">
        <f>MID('paste from garc here'!$C$2,1+(('table for research'!$B544-456)*36+HEX2DEC('table for research'!H$1))*2,2)</f>
        <v>00</v>
      </c>
      <c r="I544" t="str">
        <f>MID('paste from garc here'!$C$2,1+(('table for research'!$B544-456)*36+HEX2DEC('table for research'!I$1))*2,2)</f>
        <v>0A</v>
      </c>
      <c r="J544" t="str">
        <f>MID('paste from garc here'!$C$2,1+(('table for research'!$B544-456)*36+HEX2DEC('table for research'!J$1))*2,2)</f>
        <v>00</v>
      </c>
      <c r="K544" t="str">
        <f>DEC2HEX(_xlfn.BITAND(HEX2DEC(MID('paste from garc here'!$C$1,1+(('table for research'!$B544-1)*36+HEX2DEC(8))*2,2)),31),2)</f>
        <v>00</v>
      </c>
      <c r="L544" t="str">
        <f>DEC2HEX(_xlfn.BITAND(HEX2DEC(MID('paste from garc here'!$C$1,1+(('table for research'!$B544-1)*36+HEX2DEC(8))*2,2)),32),2)</f>
        <v>00</v>
      </c>
      <c r="M544" t="str">
        <f>DEC2HEX(_xlfn.BITAND(HEX2DEC(MID('paste from garc here'!$C$1,1+(('table for research'!$B544-1)*36+HEX2DEC(8))*2,2)),64),2)</f>
        <v>00</v>
      </c>
      <c r="N544" t="str">
        <f>DEC2HEX(_xlfn.BITRSHIFT(_xlfn.BITAND(HEX2DEC(MID('paste from garc here'!$C$1,1+(('table for research'!$B544-1)*36+HEX2DEC(9))*2,2)&amp;MID('paste from garc here'!$C$1,1+(('table for research'!$B544-1)*36+HEX2DEC(8))*2,2)),1920),7),2)</f>
        <v>00</v>
      </c>
      <c r="O544" t="str">
        <f>DEC2HEX(_xlfn.BITRSHIFT(HEX2DEC(MID('paste from garc here'!$C$1,1+(('table for research'!$B544-1)*36+HEX2DEC(9))*2,2)&amp;MID('paste from garc here'!$C$1,1+(('table for research'!$B544-1)*36+HEX2DEC(8))*2,2)),11),2)</f>
        <v>00</v>
      </c>
      <c r="P544" t="str">
        <f>MID('paste from garc here'!$C$2,1+(('table for research'!$B544-456)*36+HEX2DEC('table for research'!P$1))*2,2)</f>
        <v>00</v>
      </c>
      <c r="Q544" t="str">
        <f>MID('paste from garc here'!$C$2,1+(('table for research'!$B544-456)*36+HEX2DEC('table for research'!Q$1))*2,2)</f>
        <v>00</v>
      </c>
      <c r="R544" t="str">
        <f>MID('paste from garc here'!$C$2,1+(('table for research'!$B544-456)*36+HEX2DEC('table for research'!R$1))*2,2)</f>
        <v>00</v>
      </c>
      <c r="S544" t="str">
        <f>MID('paste from garc here'!$C$2,1+(('table for research'!$B544-456)*36+HEX2DEC('table for research'!S$1))*2,2)</f>
        <v>01</v>
      </c>
      <c r="T544" t="str">
        <f>MID('paste from garc here'!$C$2,1+(('table for research'!$B544-456)*36+HEX2DEC('table for research'!T$1))*2,2)</f>
        <v>01</v>
      </c>
      <c r="U544" t="str">
        <f>MID('paste from garc here'!$C$2,1+(('table for research'!$B544-456)*36+HEX2DEC('table for research'!U$1))*2,2)</f>
        <v>27</v>
      </c>
      <c r="V544" t="str">
        <f>MID('paste from garc here'!$C$2,1+(('table for research'!$B544-456)*36+HEX2DEC('table for research'!V$1))*2,2)</f>
        <v>00</v>
      </c>
      <c r="W544" t="str">
        <f>MID('paste from garc here'!$C$2,1+(('table for research'!$B544-456)*36+HEX2DEC('table for research'!W$1))*2,2)</f>
        <v>00</v>
      </c>
      <c r="X544" t="str">
        <f>MID('paste from garc here'!$C$2,1+(('table for research'!$B544-456)*36+HEX2DEC('table for research'!X$1))*2,2)</f>
        <v>00</v>
      </c>
      <c r="Y544" t="str">
        <f>MID('paste from garc here'!$C$2,1+(('table for research'!$B544-456)*36+HEX2DEC('table for research'!Y$1))*2,2)</f>
        <v>00</v>
      </c>
      <c r="Z544" t="str">
        <f>MID('paste from garc here'!$C$2,1+(('table for research'!$B544-456)*36+HEX2DEC('table for research'!Z$1))*2,2)</f>
        <v>00</v>
      </c>
      <c r="AA544" t="str">
        <f>MID('paste from garc here'!$C$2,1+(('table for research'!$B544-456)*36+HEX2DEC('table for research'!AA$1))*2,2)</f>
        <v>00</v>
      </c>
      <c r="AB544" t="str">
        <f>MID('paste from garc here'!$C$2,1+(('table for research'!$B544-456)*36+HEX2DEC('table for research'!AB$1))*2,2)</f>
        <v>00</v>
      </c>
      <c r="AC544" t="str">
        <f>MID('paste from garc here'!$C$2,1+(('table for research'!$B544-456)*36+HEX2DEC('table for research'!AC$1))*2,2)</f>
        <v>00</v>
      </c>
      <c r="AD544" t="str">
        <f>MID('paste from garc here'!$C$2,1+(('table for research'!$B544-456)*36+HEX2DEC('table for research'!AD$1))*2,2)</f>
        <v>00</v>
      </c>
      <c r="AE544" t="str">
        <f>MID('paste from garc here'!$C$2,1+(('table for research'!$B544-456)*36+HEX2DEC('table for research'!AE$1))*2,2)</f>
        <v>00</v>
      </c>
      <c r="AF544" t="str">
        <f>MID('paste from garc here'!$C$2,1+(('table for research'!$B544-456)*36+HEX2DEC('table for research'!AF$1))*2,2)</f>
        <v>00</v>
      </c>
      <c r="AG544" t="str">
        <f>MID('paste from garc here'!$C$2,1+(('table for research'!$B544-456)*36+HEX2DEC('table for research'!AG$1))*2,2)</f>
        <v>00</v>
      </c>
      <c r="AH544" t="str">
        <f>MID('paste from garc here'!$C$2,1+(('table for research'!$B544-456)*36+HEX2DEC('table for research'!AH$1))*2,2)</f>
        <v>00</v>
      </c>
      <c r="AI544" t="str">
        <f>MID('paste from garc here'!$C$2,1+(('table for research'!$B544-456)*36+HEX2DEC('table for research'!AI$1))*2,2)</f>
        <v>00</v>
      </c>
      <c r="AJ544" t="str">
        <f>MID('paste from garc here'!$C$2,1+(('table for research'!$B544-456)*36+HEX2DEC('table for research'!AJ$1))*2,2)</f>
        <v>00</v>
      </c>
      <c r="AK544" t="str">
        <f>MID('paste from garc here'!$C$2,1+(('table for research'!$B544-456)*36+HEX2DEC('table for research'!AK$1))*2,2)</f>
        <v>00</v>
      </c>
      <c r="AL544" t="str">
        <f>MID('paste from garc here'!$C$2,1+(('table for research'!$B544-456)*36+HEX2DEC('table for research'!AL$1))*2,2)</f>
        <v>00</v>
      </c>
      <c r="AM544" t="str">
        <f>MID('paste from garc here'!$C$2,1+(('table for research'!$B544-456)*36+HEX2DEC('table for research'!AM$1))*2,2)</f>
        <v>00</v>
      </c>
      <c r="AN544" t="str">
        <f>MID('paste from garc here'!$C$2,1+(('table for research'!$B544-456)*36+HEX2DEC('table for research'!AN$1))*2,2)</f>
        <v>00</v>
      </c>
      <c r="AO544" t="str">
        <f>MID('paste from garc here'!$C$2,1+(('table for research'!$B544-456)*36+HEX2DEC('table for research'!AO$1))*2,2)</f>
        <v>00</v>
      </c>
    </row>
    <row r="545" spans="1:41" x14ac:dyDescent="0.4">
      <c r="A545" t="s">
        <v>547</v>
      </c>
      <c r="B545">
        <f>B544+1</f>
        <v>543</v>
      </c>
      <c r="C545" t="str">
        <f>MID('paste from garc here'!$C$2,1+(('table for research'!$B545-456)*36+HEX2DEC('table for research'!C$1))*2,2)</f>
        <v>14</v>
      </c>
      <c r="D545" t="str">
        <f>MID('paste from garc here'!$C$2,1+(('table for research'!$B545-456)*36+HEX2DEC('table for research'!D$1))*2,2)</f>
        <v>00</v>
      </c>
      <c r="E545" t="str">
        <f>MID('paste from garc here'!$C$2,1+(('table for research'!$B545-456)*36+HEX2DEC('table for research'!E$1))*2,2)</f>
        <v>97</v>
      </c>
      <c r="F545" t="str">
        <f>MID('paste from garc here'!$C$2,1+(('table for research'!$B545-456)*36+HEX2DEC('table for research'!F$1))*2,2)</f>
        <v>00</v>
      </c>
      <c r="G545" t="str">
        <f>MID('paste from garc here'!$C$2,1+(('table for research'!$B545-456)*36+HEX2DEC('table for research'!G$1))*2,2)</f>
        <v>00</v>
      </c>
      <c r="H545" t="str">
        <f>MID('paste from garc here'!$C$2,1+(('table for research'!$B545-456)*36+HEX2DEC('table for research'!H$1))*2,2)</f>
        <v>00</v>
      </c>
      <c r="I545" t="str">
        <f>MID('paste from garc here'!$C$2,1+(('table for research'!$B545-456)*36+HEX2DEC('table for research'!I$1))*2,2)</f>
        <v>0A</v>
      </c>
      <c r="J545" t="str">
        <f>MID('paste from garc here'!$C$2,1+(('table for research'!$B545-456)*36+HEX2DEC('table for research'!J$1))*2,2)</f>
        <v>00</v>
      </c>
      <c r="K545" t="str">
        <f>DEC2HEX(_xlfn.BITAND(HEX2DEC(MID('paste from garc here'!$C$1,1+(('table for research'!$B545-1)*36+HEX2DEC(8))*2,2)),31),2)</f>
        <v>00</v>
      </c>
      <c r="L545" t="str">
        <f>DEC2HEX(_xlfn.BITAND(HEX2DEC(MID('paste from garc here'!$C$1,1+(('table for research'!$B545-1)*36+HEX2DEC(8))*2,2)),32),2)</f>
        <v>00</v>
      </c>
      <c r="M545" t="str">
        <f>DEC2HEX(_xlfn.BITAND(HEX2DEC(MID('paste from garc here'!$C$1,1+(('table for research'!$B545-1)*36+HEX2DEC(8))*2,2)),64),2)</f>
        <v>00</v>
      </c>
      <c r="N545" t="str">
        <f>DEC2HEX(_xlfn.BITRSHIFT(_xlfn.BITAND(HEX2DEC(MID('paste from garc here'!$C$1,1+(('table for research'!$B545-1)*36+HEX2DEC(9))*2,2)&amp;MID('paste from garc here'!$C$1,1+(('table for research'!$B545-1)*36+HEX2DEC(8))*2,2)),1920),7),2)</f>
        <v>00</v>
      </c>
      <c r="O545" t="str">
        <f>DEC2HEX(_xlfn.BITRSHIFT(HEX2DEC(MID('paste from garc here'!$C$1,1+(('table for research'!$B545-1)*36+HEX2DEC(9))*2,2)&amp;MID('paste from garc here'!$C$1,1+(('table for research'!$B545-1)*36+HEX2DEC(8))*2,2)),11),2)</f>
        <v>00</v>
      </c>
      <c r="P545" t="str">
        <f>MID('paste from garc here'!$C$2,1+(('table for research'!$B545-456)*36+HEX2DEC('table for research'!P$1))*2,2)</f>
        <v>00</v>
      </c>
      <c r="Q545" t="str">
        <f>MID('paste from garc here'!$C$2,1+(('table for research'!$B545-456)*36+HEX2DEC('table for research'!Q$1))*2,2)</f>
        <v>00</v>
      </c>
      <c r="R545" t="str">
        <f>MID('paste from garc here'!$C$2,1+(('table for research'!$B545-456)*36+HEX2DEC('table for research'!R$1))*2,2)</f>
        <v>00</v>
      </c>
      <c r="S545" t="str">
        <f>MID('paste from garc here'!$C$2,1+(('table for research'!$B545-456)*36+HEX2DEC('table for research'!S$1))*2,2)</f>
        <v>01</v>
      </c>
      <c r="T545" t="str">
        <f>MID('paste from garc here'!$C$2,1+(('table for research'!$B545-456)*36+HEX2DEC('table for research'!T$1))*2,2)</f>
        <v>00</v>
      </c>
      <c r="U545" t="str">
        <f>MID('paste from garc here'!$C$2,1+(('table for research'!$B545-456)*36+HEX2DEC('table for research'!U$1))*2,2)</f>
        <v>1D</v>
      </c>
      <c r="V545" t="str">
        <f>MID('paste from garc here'!$C$2,1+(('table for research'!$B545-456)*36+HEX2DEC('table for research'!V$1))*2,2)</f>
        <v>00</v>
      </c>
      <c r="W545" t="str">
        <f>MID('paste from garc here'!$C$2,1+(('table for research'!$B545-456)*36+HEX2DEC('table for research'!W$1))*2,2)</f>
        <v>00</v>
      </c>
      <c r="X545" t="str">
        <f>MID('paste from garc here'!$C$2,1+(('table for research'!$B545-456)*36+HEX2DEC('table for research'!X$1))*2,2)</f>
        <v>00</v>
      </c>
      <c r="Y545" t="str">
        <f>MID('paste from garc here'!$C$2,1+(('table for research'!$B545-456)*36+HEX2DEC('table for research'!Y$1))*2,2)</f>
        <v>00</v>
      </c>
      <c r="Z545" t="str">
        <f>MID('paste from garc here'!$C$2,1+(('table for research'!$B545-456)*36+HEX2DEC('table for research'!Z$1))*2,2)</f>
        <v>00</v>
      </c>
      <c r="AA545" t="str">
        <f>MID('paste from garc here'!$C$2,1+(('table for research'!$B545-456)*36+HEX2DEC('table for research'!AA$1))*2,2)</f>
        <v>00</v>
      </c>
      <c r="AB545" t="str">
        <f>MID('paste from garc here'!$C$2,1+(('table for research'!$B545-456)*36+HEX2DEC('table for research'!AB$1))*2,2)</f>
        <v>00</v>
      </c>
      <c r="AC545" t="str">
        <f>MID('paste from garc here'!$C$2,1+(('table for research'!$B545-456)*36+HEX2DEC('table for research'!AC$1))*2,2)</f>
        <v>00</v>
      </c>
      <c r="AD545" t="str">
        <f>MID('paste from garc here'!$C$2,1+(('table for research'!$B545-456)*36+HEX2DEC('table for research'!AD$1))*2,2)</f>
        <v>00</v>
      </c>
      <c r="AE545" t="str">
        <f>MID('paste from garc here'!$C$2,1+(('table for research'!$B545-456)*36+HEX2DEC('table for research'!AE$1))*2,2)</f>
        <v>00</v>
      </c>
      <c r="AF545" t="str">
        <f>MID('paste from garc here'!$C$2,1+(('table for research'!$B545-456)*36+HEX2DEC('table for research'!AF$1))*2,2)</f>
        <v>00</v>
      </c>
      <c r="AG545" t="str">
        <f>MID('paste from garc here'!$C$2,1+(('table for research'!$B545-456)*36+HEX2DEC('table for research'!AG$1))*2,2)</f>
        <v>00</v>
      </c>
      <c r="AH545" t="str">
        <f>MID('paste from garc here'!$C$2,1+(('table for research'!$B545-456)*36+HEX2DEC('table for research'!AH$1))*2,2)</f>
        <v>00</v>
      </c>
      <c r="AI545" t="str">
        <f>MID('paste from garc here'!$C$2,1+(('table for research'!$B545-456)*36+HEX2DEC('table for research'!AI$1))*2,2)</f>
        <v>00</v>
      </c>
      <c r="AJ545" t="str">
        <f>MID('paste from garc here'!$C$2,1+(('table for research'!$B545-456)*36+HEX2DEC('table for research'!AJ$1))*2,2)</f>
        <v>00</v>
      </c>
      <c r="AK545" t="str">
        <f>MID('paste from garc here'!$C$2,1+(('table for research'!$B545-456)*36+HEX2DEC('table for research'!AK$1))*2,2)</f>
        <v>00</v>
      </c>
      <c r="AL545" t="str">
        <f>MID('paste from garc here'!$C$2,1+(('table for research'!$B545-456)*36+HEX2DEC('table for research'!AL$1))*2,2)</f>
        <v>00</v>
      </c>
      <c r="AM545" t="str">
        <f>MID('paste from garc here'!$C$2,1+(('table for research'!$B545-456)*36+HEX2DEC('table for research'!AM$1))*2,2)</f>
        <v>00</v>
      </c>
      <c r="AN545" t="str">
        <f>MID('paste from garc here'!$C$2,1+(('table for research'!$B545-456)*36+HEX2DEC('table for research'!AN$1))*2,2)</f>
        <v>00</v>
      </c>
      <c r="AO545" t="str">
        <f>MID('paste from garc here'!$C$2,1+(('table for research'!$B545-456)*36+HEX2DEC('table for research'!AO$1))*2,2)</f>
        <v>00</v>
      </c>
    </row>
    <row r="546" spans="1:41" x14ac:dyDescent="0.4">
      <c r="A546" t="s">
        <v>548</v>
      </c>
      <c r="B546">
        <f>B545+1</f>
        <v>544</v>
      </c>
      <c r="C546" t="str">
        <f>MID('paste from garc here'!$C$2,1+(('table for research'!$B546-456)*36+HEX2DEC('table for research'!C$1))*2,2)</f>
        <v>C8</v>
      </c>
      <c r="D546" t="str">
        <f>MID('paste from garc here'!$C$2,1+(('table for research'!$B546-456)*36+HEX2DEC('table for research'!D$1))*2,2)</f>
        <v>00</v>
      </c>
      <c r="E546" t="str">
        <f>MID('paste from garc here'!$C$2,1+(('table for research'!$B546-456)*36+HEX2DEC('table for research'!E$1))*2,2)</f>
        <v>98</v>
      </c>
      <c r="F546" t="str">
        <f>MID('paste from garc here'!$C$2,1+(('table for research'!$B546-456)*36+HEX2DEC('table for research'!F$1))*2,2)</f>
        <v>00</v>
      </c>
      <c r="G546" t="str">
        <f>MID('paste from garc here'!$C$2,1+(('table for research'!$B546-456)*36+HEX2DEC('table for research'!G$1))*2,2)</f>
        <v>00</v>
      </c>
      <c r="H546" t="str">
        <f>MID('paste from garc here'!$C$2,1+(('table for research'!$B546-456)*36+HEX2DEC('table for research'!H$1))*2,2)</f>
        <v>00</v>
      </c>
      <c r="I546" t="str">
        <f>MID('paste from garc here'!$C$2,1+(('table for research'!$B546-456)*36+HEX2DEC('table for research'!I$1))*2,2)</f>
        <v>1E</v>
      </c>
      <c r="J546" t="str">
        <f>MID('paste from garc here'!$C$2,1+(('table for research'!$B546-456)*36+HEX2DEC('table for research'!J$1))*2,2)</f>
        <v>00</v>
      </c>
      <c r="K546" t="str">
        <f>DEC2HEX(_xlfn.BITAND(HEX2DEC(MID('paste from garc here'!$C$1,1+(('table for research'!$B546-1)*36+HEX2DEC(8))*2,2)),31),2)</f>
        <v>00</v>
      </c>
      <c r="L546" t="str">
        <f>DEC2HEX(_xlfn.BITAND(HEX2DEC(MID('paste from garc here'!$C$1,1+(('table for research'!$B546-1)*36+HEX2DEC(8))*2,2)),32),2)</f>
        <v>00</v>
      </c>
      <c r="M546" t="str">
        <f>DEC2HEX(_xlfn.BITAND(HEX2DEC(MID('paste from garc here'!$C$1,1+(('table for research'!$B546-1)*36+HEX2DEC(8))*2,2)),64),2)</f>
        <v>00</v>
      </c>
      <c r="N546" t="str">
        <f>DEC2HEX(_xlfn.BITRSHIFT(_xlfn.BITAND(HEX2DEC(MID('paste from garc here'!$C$1,1+(('table for research'!$B546-1)*36+HEX2DEC(9))*2,2)&amp;MID('paste from garc here'!$C$1,1+(('table for research'!$B546-1)*36+HEX2DEC(8))*2,2)),1920),7),2)</f>
        <v>00</v>
      </c>
      <c r="O546" t="str">
        <f>DEC2HEX(_xlfn.BITRSHIFT(HEX2DEC(MID('paste from garc here'!$C$1,1+(('table for research'!$B546-1)*36+HEX2DEC(9))*2,2)&amp;MID('paste from garc here'!$C$1,1+(('table for research'!$B546-1)*36+HEX2DEC(8))*2,2)),11),2)</f>
        <v>00</v>
      </c>
      <c r="P546" t="str">
        <f>MID('paste from garc here'!$C$2,1+(('table for research'!$B546-456)*36+HEX2DEC('table for research'!P$1))*2,2)</f>
        <v>00</v>
      </c>
      <c r="Q546" t="str">
        <f>MID('paste from garc here'!$C$2,1+(('table for research'!$B546-456)*36+HEX2DEC('table for research'!Q$1))*2,2)</f>
        <v>00</v>
      </c>
      <c r="R546" t="str">
        <f>MID('paste from garc here'!$C$2,1+(('table for research'!$B546-456)*36+HEX2DEC('table for research'!R$1))*2,2)</f>
        <v>00</v>
      </c>
      <c r="S546" t="str">
        <f>MID('paste from garc here'!$C$2,1+(('table for research'!$B546-456)*36+HEX2DEC('table for research'!S$1))*2,2)</f>
        <v>01</v>
      </c>
      <c r="T546" t="str">
        <f>MID('paste from garc here'!$C$2,1+(('table for research'!$B546-456)*36+HEX2DEC('table for research'!T$1))*2,2)</f>
        <v>00</v>
      </c>
      <c r="U546" t="str">
        <f>MID('paste from garc here'!$C$2,1+(('table for research'!$B546-456)*36+HEX2DEC('table for research'!U$1))*2,2)</f>
        <v>29</v>
      </c>
      <c r="V546" t="str">
        <f>MID('paste from garc here'!$C$2,1+(('table for research'!$B546-456)*36+HEX2DEC('table for research'!V$1))*2,2)</f>
        <v>00</v>
      </c>
      <c r="W546" t="str">
        <f>MID('paste from garc here'!$C$2,1+(('table for research'!$B546-456)*36+HEX2DEC('table for research'!W$1))*2,2)</f>
        <v>00</v>
      </c>
      <c r="X546" t="str">
        <f>MID('paste from garc here'!$C$2,1+(('table for research'!$B546-456)*36+HEX2DEC('table for research'!X$1))*2,2)</f>
        <v>00</v>
      </c>
      <c r="Y546" t="str">
        <f>MID('paste from garc here'!$C$2,1+(('table for research'!$B546-456)*36+HEX2DEC('table for research'!Y$1))*2,2)</f>
        <v>00</v>
      </c>
      <c r="Z546" t="str">
        <f>MID('paste from garc here'!$C$2,1+(('table for research'!$B546-456)*36+HEX2DEC('table for research'!Z$1))*2,2)</f>
        <v>00</v>
      </c>
      <c r="AA546" t="str">
        <f>MID('paste from garc here'!$C$2,1+(('table for research'!$B546-456)*36+HEX2DEC('table for research'!AA$1))*2,2)</f>
        <v>00</v>
      </c>
      <c r="AB546" t="str">
        <f>MID('paste from garc here'!$C$2,1+(('table for research'!$B546-456)*36+HEX2DEC('table for research'!AB$1))*2,2)</f>
        <v>00</v>
      </c>
      <c r="AC546" t="str">
        <f>MID('paste from garc here'!$C$2,1+(('table for research'!$B546-456)*36+HEX2DEC('table for research'!AC$1))*2,2)</f>
        <v>00</v>
      </c>
      <c r="AD546" t="str">
        <f>MID('paste from garc here'!$C$2,1+(('table for research'!$B546-456)*36+HEX2DEC('table for research'!AD$1))*2,2)</f>
        <v>00</v>
      </c>
      <c r="AE546" t="str">
        <f>MID('paste from garc here'!$C$2,1+(('table for research'!$B546-456)*36+HEX2DEC('table for research'!AE$1))*2,2)</f>
        <v>00</v>
      </c>
      <c r="AF546" t="str">
        <f>MID('paste from garc here'!$C$2,1+(('table for research'!$B546-456)*36+HEX2DEC('table for research'!AF$1))*2,2)</f>
        <v>00</v>
      </c>
      <c r="AG546" t="str">
        <f>MID('paste from garc here'!$C$2,1+(('table for research'!$B546-456)*36+HEX2DEC('table for research'!AG$1))*2,2)</f>
        <v>00</v>
      </c>
      <c r="AH546" t="str">
        <f>MID('paste from garc here'!$C$2,1+(('table for research'!$B546-456)*36+HEX2DEC('table for research'!AH$1))*2,2)</f>
        <v>00</v>
      </c>
      <c r="AI546" t="str">
        <f>MID('paste from garc here'!$C$2,1+(('table for research'!$B546-456)*36+HEX2DEC('table for research'!AI$1))*2,2)</f>
        <v>00</v>
      </c>
      <c r="AJ546" t="str">
        <f>MID('paste from garc here'!$C$2,1+(('table for research'!$B546-456)*36+HEX2DEC('table for research'!AJ$1))*2,2)</f>
        <v>00</v>
      </c>
      <c r="AK546" t="str">
        <f>MID('paste from garc here'!$C$2,1+(('table for research'!$B546-456)*36+HEX2DEC('table for research'!AK$1))*2,2)</f>
        <v>00</v>
      </c>
      <c r="AL546" t="str">
        <f>MID('paste from garc here'!$C$2,1+(('table for research'!$B546-456)*36+HEX2DEC('table for research'!AL$1))*2,2)</f>
        <v>00</v>
      </c>
      <c r="AM546" t="str">
        <f>MID('paste from garc here'!$C$2,1+(('table for research'!$B546-456)*36+HEX2DEC('table for research'!AM$1))*2,2)</f>
        <v>00</v>
      </c>
      <c r="AN546" t="str">
        <f>MID('paste from garc here'!$C$2,1+(('table for research'!$B546-456)*36+HEX2DEC('table for research'!AN$1))*2,2)</f>
        <v>00</v>
      </c>
      <c r="AO546" t="str">
        <f>MID('paste from garc here'!$C$2,1+(('table for research'!$B546-456)*36+HEX2DEC('table for research'!AO$1))*2,2)</f>
        <v>00</v>
      </c>
    </row>
    <row r="547" spans="1:41" x14ac:dyDescent="0.4">
      <c r="A547" t="s">
        <v>549</v>
      </c>
      <c r="B547">
        <f>B546+1</f>
        <v>545</v>
      </c>
      <c r="C547" t="str">
        <f>MID('paste from garc here'!$C$2,1+(('table for research'!$B547-456)*36+HEX2DEC('table for research'!C$1))*2,2)</f>
        <v>3C</v>
      </c>
      <c r="D547" t="str">
        <f>MID('paste from garc here'!$C$2,1+(('table for research'!$B547-456)*36+HEX2DEC('table for research'!D$1))*2,2)</f>
        <v>00</v>
      </c>
      <c r="E547" t="str">
        <f>MID('paste from garc here'!$C$2,1+(('table for research'!$B547-456)*36+HEX2DEC('table for research'!E$1))*2,2)</f>
        <v>99</v>
      </c>
      <c r="F547" t="str">
        <f>MID('paste from garc here'!$C$2,1+(('table for research'!$B547-456)*36+HEX2DEC('table for research'!F$1))*2,2)</f>
        <v>00</v>
      </c>
      <c r="G547" t="str">
        <f>MID('paste from garc here'!$C$2,1+(('table for research'!$B547-456)*36+HEX2DEC('table for research'!G$1))*2,2)</f>
        <v>00</v>
      </c>
      <c r="H547" t="str">
        <f>MID('paste from garc here'!$C$2,1+(('table for research'!$B547-456)*36+HEX2DEC('table for research'!H$1))*2,2)</f>
        <v>00</v>
      </c>
      <c r="I547" t="str">
        <f>MID('paste from garc here'!$C$2,1+(('table for research'!$B547-456)*36+HEX2DEC('table for research'!I$1))*2,2)</f>
        <v>1E</v>
      </c>
      <c r="J547" t="str">
        <f>MID('paste from garc here'!$C$2,1+(('table for research'!$B547-456)*36+HEX2DEC('table for research'!J$1))*2,2)</f>
        <v>00</v>
      </c>
      <c r="K547" t="str">
        <f>DEC2HEX(_xlfn.BITAND(HEX2DEC(MID('paste from garc here'!$C$1,1+(('table for research'!$B547-1)*36+HEX2DEC(8))*2,2)),31),2)</f>
        <v>00</v>
      </c>
      <c r="L547" t="str">
        <f>DEC2HEX(_xlfn.BITAND(HEX2DEC(MID('paste from garc here'!$C$1,1+(('table for research'!$B547-1)*36+HEX2DEC(8))*2,2)),32),2)</f>
        <v>00</v>
      </c>
      <c r="M547" t="str">
        <f>DEC2HEX(_xlfn.BITAND(HEX2DEC(MID('paste from garc here'!$C$1,1+(('table for research'!$B547-1)*36+HEX2DEC(8))*2,2)),64),2)</f>
        <v>00</v>
      </c>
      <c r="N547" t="str">
        <f>DEC2HEX(_xlfn.BITRSHIFT(_xlfn.BITAND(HEX2DEC(MID('paste from garc here'!$C$1,1+(('table for research'!$B547-1)*36+HEX2DEC(9))*2,2)&amp;MID('paste from garc here'!$C$1,1+(('table for research'!$B547-1)*36+HEX2DEC(8))*2,2)),1920),7),2)</f>
        <v>00</v>
      </c>
      <c r="O547" t="str">
        <f>DEC2HEX(_xlfn.BITRSHIFT(HEX2DEC(MID('paste from garc here'!$C$1,1+(('table for research'!$B547-1)*36+HEX2DEC(9))*2,2)&amp;MID('paste from garc here'!$C$1,1+(('table for research'!$B547-1)*36+HEX2DEC(8))*2,2)),11),2)</f>
        <v>00</v>
      </c>
      <c r="P547" t="str">
        <f>MID('paste from garc here'!$C$2,1+(('table for research'!$B547-456)*36+HEX2DEC('table for research'!P$1))*2,2)</f>
        <v>00</v>
      </c>
      <c r="Q547" t="str">
        <f>MID('paste from garc here'!$C$2,1+(('table for research'!$B547-456)*36+HEX2DEC('table for research'!Q$1))*2,2)</f>
        <v>00</v>
      </c>
      <c r="R547" t="str">
        <f>MID('paste from garc here'!$C$2,1+(('table for research'!$B547-456)*36+HEX2DEC('table for research'!R$1))*2,2)</f>
        <v>00</v>
      </c>
      <c r="S547" t="str">
        <f>MID('paste from garc here'!$C$2,1+(('table for research'!$B547-456)*36+HEX2DEC('table for research'!S$1))*2,2)</f>
        <v>01</v>
      </c>
      <c r="T547" t="str">
        <f>MID('paste from garc here'!$C$2,1+(('table for research'!$B547-456)*36+HEX2DEC('table for research'!T$1))*2,2)</f>
        <v>01</v>
      </c>
      <c r="U547" t="str">
        <f>MID('paste from garc here'!$C$2,1+(('table for research'!$B547-456)*36+HEX2DEC('table for research'!U$1))*2,2)</f>
        <v>15</v>
      </c>
      <c r="V547" t="str">
        <f>MID('paste from garc here'!$C$2,1+(('table for research'!$B547-456)*36+HEX2DEC('table for research'!V$1))*2,2)</f>
        <v>00</v>
      </c>
      <c r="W547" t="str">
        <f>MID('paste from garc here'!$C$2,1+(('table for research'!$B547-456)*36+HEX2DEC('table for research'!W$1))*2,2)</f>
        <v>00</v>
      </c>
      <c r="X547" t="str">
        <f>MID('paste from garc here'!$C$2,1+(('table for research'!$B547-456)*36+HEX2DEC('table for research'!X$1))*2,2)</f>
        <v>00</v>
      </c>
      <c r="Y547" t="str">
        <f>MID('paste from garc here'!$C$2,1+(('table for research'!$B547-456)*36+HEX2DEC('table for research'!Y$1))*2,2)</f>
        <v>00</v>
      </c>
      <c r="Z547" t="str">
        <f>MID('paste from garc here'!$C$2,1+(('table for research'!$B547-456)*36+HEX2DEC('table for research'!Z$1))*2,2)</f>
        <v>00</v>
      </c>
      <c r="AA547" t="str">
        <f>MID('paste from garc here'!$C$2,1+(('table for research'!$B547-456)*36+HEX2DEC('table for research'!AA$1))*2,2)</f>
        <v>00</v>
      </c>
      <c r="AB547" t="str">
        <f>MID('paste from garc here'!$C$2,1+(('table for research'!$B547-456)*36+HEX2DEC('table for research'!AB$1))*2,2)</f>
        <v>00</v>
      </c>
      <c r="AC547" t="str">
        <f>MID('paste from garc here'!$C$2,1+(('table for research'!$B547-456)*36+HEX2DEC('table for research'!AC$1))*2,2)</f>
        <v>00</v>
      </c>
      <c r="AD547" t="str">
        <f>MID('paste from garc here'!$C$2,1+(('table for research'!$B547-456)*36+HEX2DEC('table for research'!AD$1))*2,2)</f>
        <v>00</v>
      </c>
      <c r="AE547" t="str">
        <f>MID('paste from garc here'!$C$2,1+(('table for research'!$B547-456)*36+HEX2DEC('table for research'!AE$1))*2,2)</f>
        <v>00</v>
      </c>
      <c r="AF547" t="str">
        <f>MID('paste from garc here'!$C$2,1+(('table for research'!$B547-456)*36+HEX2DEC('table for research'!AF$1))*2,2)</f>
        <v>00</v>
      </c>
      <c r="AG547" t="str">
        <f>MID('paste from garc here'!$C$2,1+(('table for research'!$B547-456)*36+HEX2DEC('table for research'!AG$1))*2,2)</f>
        <v>00</v>
      </c>
      <c r="AH547" t="str">
        <f>MID('paste from garc here'!$C$2,1+(('table for research'!$B547-456)*36+HEX2DEC('table for research'!AH$1))*2,2)</f>
        <v>00</v>
      </c>
      <c r="AI547" t="str">
        <f>MID('paste from garc here'!$C$2,1+(('table for research'!$B547-456)*36+HEX2DEC('table for research'!AI$1))*2,2)</f>
        <v>00</v>
      </c>
      <c r="AJ547" t="str">
        <f>MID('paste from garc here'!$C$2,1+(('table for research'!$B547-456)*36+HEX2DEC('table for research'!AJ$1))*2,2)</f>
        <v>00</v>
      </c>
      <c r="AK547" t="str">
        <f>MID('paste from garc here'!$C$2,1+(('table for research'!$B547-456)*36+HEX2DEC('table for research'!AK$1))*2,2)</f>
        <v>00</v>
      </c>
      <c r="AL547" t="str">
        <f>MID('paste from garc here'!$C$2,1+(('table for research'!$B547-456)*36+HEX2DEC('table for research'!AL$1))*2,2)</f>
        <v>00</v>
      </c>
      <c r="AM547" t="str">
        <f>MID('paste from garc here'!$C$2,1+(('table for research'!$B547-456)*36+HEX2DEC('table for research'!AM$1))*2,2)</f>
        <v>00</v>
      </c>
      <c r="AN547" t="str">
        <f>MID('paste from garc here'!$C$2,1+(('table for research'!$B547-456)*36+HEX2DEC('table for research'!AN$1))*2,2)</f>
        <v>00</v>
      </c>
      <c r="AO547" t="str">
        <f>MID('paste from garc here'!$C$2,1+(('table for research'!$B547-456)*36+HEX2DEC('table for research'!AO$1))*2,2)</f>
        <v>00</v>
      </c>
    </row>
    <row r="548" spans="1:41" x14ac:dyDescent="0.4">
      <c r="A548" t="s">
        <v>550</v>
      </c>
      <c r="B548">
        <f>B547+1</f>
        <v>546</v>
      </c>
      <c r="C548" t="str">
        <f>MID('paste from garc here'!$C$2,1+(('table for research'!$B548-456)*36+HEX2DEC('table for research'!C$1))*2,2)</f>
        <v>3C</v>
      </c>
      <c r="D548" t="str">
        <f>MID('paste from garc here'!$C$2,1+(('table for research'!$B548-456)*36+HEX2DEC('table for research'!D$1))*2,2)</f>
        <v>00</v>
      </c>
      <c r="E548" t="str">
        <f>MID('paste from garc here'!$C$2,1+(('table for research'!$B548-456)*36+HEX2DEC('table for research'!E$1))*2,2)</f>
        <v>9A</v>
      </c>
      <c r="F548" t="str">
        <f>MID('paste from garc here'!$C$2,1+(('table for research'!$B548-456)*36+HEX2DEC('table for research'!F$1))*2,2)</f>
        <v>00</v>
      </c>
      <c r="G548" t="str">
        <f>MID('paste from garc here'!$C$2,1+(('table for research'!$B548-456)*36+HEX2DEC('table for research'!G$1))*2,2)</f>
        <v>00</v>
      </c>
      <c r="H548" t="str">
        <f>MID('paste from garc here'!$C$2,1+(('table for research'!$B548-456)*36+HEX2DEC('table for research'!H$1))*2,2)</f>
        <v>00</v>
      </c>
      <c r="I548" t="str">
        <f>MID('paste from garc here'!$C$2,1+(('table for research'!$B548-456)*36+HEX2DEC('table for research'!I$1))*2,2)</f>
        <v>1E</v>
      </c>
      <c r="J548" t="str">
        <f>MID('paste from garc here'!$C$2,1+(('table for research'!$B548-456)*36+HEX2DEC('table for research'!J$1))*2,2)</f>
        <v>00</v>
      </c>
      <c r="K548" t="str">
        <f>DEC2HEX(_xlfn.BITAND(HEX2DEC(MID('paste from garc here'!$C$1,1+(('table for research'!$B548-1)*36+HEX2DEC(8))*2,2)),31),2)</f>
        <v>00</v>
      </c>
      <c r="L548" t="str">
        <f>DEC2HEX(_xlfn.BITAND(HEX2DEC(MID('paste from garc here'!$C$1,1+(('table for research'!$B548-1)*36+HEX2DEC(8))*2,2)),32),2)</f>
        <v>00</v>
      </c>
      <c r="M548" t="str">
        <f>DEC2HEX(_xlfn.BITAND(HEX2DEC(MID('paste from garc here'!$C$1,1+(('table for research'!$B548-1)*36+HEX2DEC(8))*2,2)),64),2)</f>
        <v>00</v>
      </c>
      <c r="N548" t="str">
        <f>DEC2HEX(_xlfn.BITRSHIFT(_xlfn.BITAND(HEX2DEC(MID('paste from garc here'!$C$1,1+(('table for research'!$B548-1)*36+HEX2DEC(9))*2,2)&amp;MID('paste from garc here'!$C$1,1+(('table for research'!$B548-1)*36+HEX2DEC(8))*2,2)),1920),7),2)</f>
        <v>00</v>
      </c>
      <c r="O548" t="str">
        <f>DEC2HEX(_xlfn.BITRSHIFT(HEX2DEC(MID('paste from garc here'!$C$1,1+(('table for research'!$B548-1)*36+HEX2DEC(9))*2,2)&amp;MID('paste from garc here'!$C$1,1+(('table for research'!$B548-1)*36+HEX2DEC(8))*2,2)),11),2)</f>
        <v>00</v>
      </c>
      <c r="P548" t="str">
        <f>MID('paste from garc here'!$C$2,1+(('table for research'!$B548-456)*36+HEX2DEC('table for research'!P$1))*2,2)</f>
        <v>00</v>
      </c>
      <c r="Q548" t="str">
        <f>MID('paste from garc here'!$C$2,1+(('table for research'!$B548-456)*36+HEX2DEC('table for research'!Q$1))*2,2)</f>
        <v>00</v>
      </c>
      <c r="R548" t="str">
        <f>MID('paste from garc here'!$C$2,1+(('table for research'!$B548-456)*36+HEX2DEC('table for research'!R$1))*2,2)</f>
        <v>00</v>
      </c>
      <c r="S548" t="str">
        <f>MID('paste from garc here'!$C$2,1+(('table for research'!$B548-456)*36+HEX2DEC('table for research'!S$1))*2,2)</f>
        <v>01</v>
      </c>
      <c r="T548" t="str">
        <f>MID('paste from garc here'!$C$2,1+(('table for research'!$B548-456)*36+HEX2DEC('table for research'!T$1))*2,2)</f>
        <v>01</v>
      </c>
      <c r="U548" t="str">
        <f>MID('paste from garc here'!$C$2,1+(('table for research'!$B548-456)*36+HEX2DEC('table for research'!U$1))*2,2)</f>
        <v>2B</v>
      </c>
      <c r="V548" t="str">
        <f>MID('paste from garc here'!$C$2,1+(('table for research'!$B548-456)*36+HEX2DEC('table for research'!V$1))*2,2)</f>
        <v>00</v>
      </c>
      <c r="W548" t="str">
        <f>MID('paste from garc here'!$C$2,1+(('table for research'!$B548-456)*36+HEX2DEC('table for research'!W$1))*2,2)</f>
        <v>00</v>
      </c>
      <c r="X548" t="str">
        <f>MID('paste from garc here'!$C$2,1+(('table for research'!$B548-456)*36+HEX2DEC('table for research'!X$1))*2,2)</f>
        <v>00</v>
      </c>
      <c r="Y548" t="str">
        <f>MID('paste from garc here'!$C$2,1+(('table for research'!$B548-456)*36+HEX2DEC('table for research'!Y$1))*2,2)</f>
        <v>00</v>
      </c>
      <c r="Z548" t="str">
        <f>MID('paste from garc here'!$C$2,1+(('table for research'!$B548-456)*36+HEX2DEC('table for research'!Z$1))*2,2)</f>
        <v>00</v>
      </c>
      <c r="AA548" t="str">
        <f>MID('paste from garc here'!$C$2,1+(('table for research'!$B548-456)*36+HEX2DEC('table for research'!AA$1))*2,2)</f>
        <v>00</v>
      </c>
      <c r="AB548" t="str">
        <f>MID('paste from garc here'!$C$2,1+(('table for research'!$B548-456)*36+HEX2DEC('table for research'!AB$1))*2,2)</f>
        <v>00</v>
      </c>
      <c r="AC548" t="str">
        <f>MID('paste from garc here'!$C$2,1+(('table for research'!$B548-456)*36+HEX2DEC('table for research'!AC$1))*2,2)</f>
        <v>00</v>
      </c>
      <c r="AD548" t="str">
        <f>MID('paste from garc here'!$C$2,1+(('table for research'!$B548-456)*36+HEX2DEC('table for research'!AD$1))*2,2)</f>
        <v>00</v>
      </c>
      <c r="AE548" t="str">
        <f>MID('paste from garc here'!$C$2,1+(('table for research'!$B548-456)*36+HEX2DEC('table for research'!AE$1))*2,2)</f>
        <v>00</v>
      </c>
      <c r="AF548" t="str">
        <f>MID('paste from garc here'!$C$2,1+(('table for research'!$B548-456)*36+HEX2DEC('table for research'!AF$1))*2,2)</f>
        <v>00</v>
      </c>
      <c r="AG548" t="str">
        <f>MID('paste from garc here'!$C$2,1+(('table for research'!$B548-456)*36+HEX2DEC('table for research'!AG$1))*2,2)</f>
        <v>00</v>
      </c>
      <c r="AH548" t="str">
        <f>MID('paste from garc here'!$C$2,1+(('table for research'!$B548-456)*36+HEX2DEC('table for research'!AH$1))*2,2)</f>
        <v>00</v>
      </c>
      <c r="AI548" t="str">
        <f>MID('paste from garc here'!$C$2,1+(('table for research'!$B548-456)*36+HEX2DEC('table for research'!AI$1))*2,2)</f>
        <v>00</v>
      </c>
      <c r="AJ548" t="str">
        <f>MID('paste from garc here'!$C$2,1+(('table for research'!$B548-456)*36+HEX2DEC('table for research'!AJ$1))*2,2)</f>
        <v>00</v>
      </c>
      <c r="AK548" t="str">
        <f>MID('paste from garc here'!$C$2,1+(('table for research'!$B548-456)*36+HEX2DEC('table for research'!AK$1))*2,2)</f>
        <v>00</v>
      </c>
      <c r="AL548" t="str">
        <f>MID('paste from garc here'!$C$2,1+(('table for research'!$B548-456)*36+HEX2DEC('table for research'!AL$1))*2,2)</f>
        <v>00</v>
      </c>
      <c r="AM548" t="str">
        <f>MID('paste from garc here'!$C$2,1+(('table for research'!$B548-456)*36+HEX2DEC('table for research'!AM$1))*2,2)</f>
        <v>00</v>
      </c>
      <c r="AN548" t="str">
        <f>MID('paste from garc here'!$C$2,1+(('table for research'!$B548-456)*36+HEX2DEC('table for research'!AN$1))*2,2)</f>
        <v>00</v>
      </c>
      <c r="AO548" t="str">
        <f>MID('paste from garc here'!$C$2,1+(('table for research'!$B548-456)*36+HEX2DEC('table for research'!AO$1))*2,2)</f>
        <v>00</v>
      </c>
    </row>
    <row r="549" spans="1:41" x14ac:dyDescent="0.4">
      <c r="A549" t="s">
        <v>551</v>
      </c>
      <c r="B549">
        <f>B548+1</f>
        <v>547</v>
      </c>
      <c r="C549" t="str">
        <f>MID('paste from garc here'!$C$2,1+(('table for research'!$B549-456)*36+HEX2DEC('table for research'!C$1))*2,2)</f>
        <v>64</v>
      </c>
      <c r="D549" t="str">
        <f>MID('paste from garc here'!$C$2,1+(('table for research'!$B549-456)*36+HEX2DEC('table for research'!D$1))*2,2)</f>
        <v>00</v>
      </c>
      <c r="E549" t="str">
        <f>MID('paste from garc here'!$C$2,1+(('table for research'!$B549-456)*36+HEX2DEC('table for research'!E$1))*2,2)</f>
        <v>9B</v>
      </c>
      <c r="F549" t="str">
        <f>MID('paste from garc here'!$C$2,1+(('table for research'!$B549-456)*36+HEX2DEC('table for research'!F$1))*2,2)</f>
        <v>00</v>
      </c>
      <c r="G549" t="str">
        <f>MID('paste from garc here'!$C$2,1+(('table for research'!$B549-456)*36+HEX2DEC('table for research'!G$1))*2,2)</f>
        <v>00</v>
      </c>
      <c r="H549" t="str">
        <f>MID('paste from garc here'!$C$2,1+(('table for research'!$B549-456)*36+HEX2DEC('table for research'!H$1))*2,2)</f>
        <v>00</v>
      </c>
      <c r="I549" t="str">
        <f>MID('paste from garc here'!$C$2,1+(('table for research'!$B549-456)*36+HEX2DEC('table for research'!I$1))*2,2)</f>
        <v>1E</v>
      </c>
      <c r="J549" t="str">
        <f>MID('paste from garc here'!$C$2,1+(('table for research'!$B549-456)*36+HEX2DEC('table for research'!J$1))*2,2)</f>
        <v>00</v>
      </c>
      <c r="K549" t="str">
        <f>DEC2HEX(_xlfn.BITAND(HEX2DEC(MID('paste from garc here'!$C$1,1+(('table for research'!$B549-1)*36+HEX2DEC(8))*2,2)),31),2)</f>
        <v>00</v>
      </c>
      <c r="L549" t="str">
        <f>DEC2HEX(_xlfn.BITAND(HEX2DEC(MID('paste from garc here'!$C$1,1+(('table for research'!$B549-1)*36+HEX2DEC(8))*2,2)),32),2)</f>
        <v>00</v>
      </c>
      <c r="M549" t="str">
        <f>DEC2HEX(_xlfn.BITAND(HEX2DEC(MID('paste from garc here'!$C$1,1+(('table for research'!$B549-1)*36+HEX2DEC(8))*2,2)),64),2)</f>
        <v>00</v>
      </c>
      <c r="N549" t="str">
        <f>DEC2HEX(_xlfn.BITRSHIFT(_xlfn.BITAND(HEX2DEC(MID('paste from garc here'!$C$1,1+(('table for research'!$B549-1)*36+HEX2DEC(9))*2,2)&amp;MID('paste from garc here'!$C$1,1+(('table for research'!$B549-1)*36+HEX2DEC(8))*2,2)),1920),7),2)</f>
        <v>00</v>
      </c>
      <c r="O549" t="str">
        <f>DEC2HEX(_xlfn.BITRSHIFT(HEX2DEC(MID('paste from garc here'!$C$1,1+(('table for research'!$B549-1)*36+HEX2DEC(9))*2,2)&amp;MID('paste from garc here'!$C$1,1+(('table for research'!$B549-1)*36+HEX2DEC(8))*2,2)),11),2)</f>
        <v>00</v>
      </c>
      <c r="P549" t="str">
        <f>MID('paste from garc here'!$C$2,1+(('table for research'!$B549-456)*36+HEX2DEC('table for research'!P$1))*2,2)</f>
        <v>00</v>
      </c>
      <c r="Q549" t="str">
        <f>MID('paste from garc here'!$C$2,1+(('table for research'!$B549-456)*36+HEX2DEC('table for research'!Q$1))*2,2)</f>
        <v>00</v>
      </c>
      <c r="R549" t="str">
        <f>MID('paste from garc here'!$C$2,1+(('table for research'!$B549-456)*36+HEX2DEC('table for research'!R$1))*2,2)</f>
        <v>00</v>
      </c>
      <c r="S549" t="str">
        <f>MID('paste from garc here'!$C$2,1+(('table for research'!$B549-456)*36+HEX2DEC('table for research'!S$1))*2,2)</f>
        <v>01</v>
      </c>
      <c r="T549" t="str">
        <f>MID('paste from garc here'!$C$2,1+(('table for research'!$B549-456)*36+HEX2DEC('table for research'!T$1))*2,2)</f>
        <v>01</v>
      </c>
      <c r="U549" t="str">
        <f>MID('paste from garc here'!$C$2,1+(('table for research'!$B549-456)*36+HEX2DEC('table for research'!U$1))*2,2)</f>
        <v>31</v>
      </c>
      <c r="V549" t="str">
        <f>MID('paste from garc here'!$C$2,1+(('table for research'!$B549-456)*36+HEX2DEC('table for research'!V$1))*2,2)</f>
        <v>00</v>
      </c>
      <c r="W549" t="str">
        <f>MID('paste from garc here'!$C$2,1+(('table for research'!$B549-456)*36+HEX2DEC('table for research'!W$1))*2,2)</f>
        <v>00</v>
      </c>
      <c r="X549" t="str">
        <f>MID('paste from garc here'!$C$2,1+(('table for research'!$B549-456)*36+HEX2DEC('table for research'!X$1))*2,2)</f>
        <v>00</v>
      </c>
      <c r="Y549" t="str">
        <f>MID('paste from garc here'!$C$2,1+(('table for research'!$B549-456)*36+HEX2DEC('table for research'!Y$1))*2,2)</f>
        <v>00</v>
      </c>
      <c r="Z549" t="str">
        <f>MID('paste from garc here'!$C$2,1+(('table for research'!$B549-456)*36+HEX2DEC('table for research'!Z$1))*2,2)</f>
        <v>00</v>
      </c>
      <c r="AA549" t="str">
        <f>MID('paste from garc here'!$C$2,1+(('table for research'!$B549-456)*36+HEX2DEC('table for research'!AA$1))*2,2)</f>
        <v>00</v>
      </c>
      <c r="AB549" t="str">
        <f>MID('paste from garc here'!$C$2,1+(('table for research'!$B549-456)*36+HEX2DEC('table for research'!AB$1))*2,2)</f>
        <v>00</v>
      </c>
      <c r="AC549" t="str">
        <f>MID('paste from garc here'!$C$2,1+(('table for research'!$B549-456)*36+HEX2DEC('table for research'!AC$1))*2,2)</f>
        <v>00</v>
      </c>
      <c r="AD549" t="str">
        <f>MID('paste from garc here'!$C$2,1+(('table for research'!$B549-456)*36+HEX2DEC('table for research'!AD$1))*2,2)</f>
        <v>00</v>
      </c>
      <c r="AE549" t="str">
        <f>MID('paste from garc here'!$C$2,1+(('table for research'!$B549-456)*36+HEX2DEC('table for research'!AE$1))*2,2)</f>
        <v>00</v>
      </c>
      <c r="AF549" t="str">
        <f>MID('paste from garc here'!$C$2,1+(('table for research'!$B549-456)*36+HEX2DEC('table for research'!AF$1))*2,2)</f>
        <v>00</v>
      </c>
      <c r="AG549" t="str">
        <f>MID('paste from garc here'!$C$2,1+(('table for research'!$B549-456)*36+HEX2DEC('table for research'!AG$1))*2,2)</f>
        <v>00</v>
      </c>
      <c r="AH549" t="str">
        <f>MID('paste from garc here'!$C$2,1+(('table for research'!$B549-456)*36+HEX2DEC('table for research'!AH$1))*2,2)</f>
        <v>00</v>
      </c>
      <c r="AI549" t="str">
        <f>MID('paste from garc here'!$C$2,1+(('table for research'!$B549-456)*36+HEX2DEC('table for research'!AI$1))*2,2)</f>
        <v>00</v>
      </c>
      <c r="AJ549" t="str">
        <f>MID('paste from garc here'!$C$2,1+(('table for research'!$B549-456)*36+HEX2DEC('table for research'!AJ$1))*2,2)</f>
        <v>00</v>
      </c>
      <c r="AK549" t="str">
        <f>MID('paste from garc here'!$C$2,1+(('table for research'!$B549-456)*36+HEX2DEC('table for research'!AK$1))*2,2)</f>
        <v>00</v>
      </c>
      <c r="AL549" t="str">
        <f>MID('paste from garc here'!$C$2,1+(('table for research'!$B549-456)*36+HEX2DEC('table for research'!AL$1))*2,2)</f>
        <v>00</v>
      </c>
      <c r="AM549" t="str">
        <f>MID('paste from garc here'!$C$2,1+(('table for research'!$B549-456)*36+HEX2DEC('table for research'!AM$1))*2,2)</f>
        <v>00</v>
      </c>
      <c r="AN549" t="str">
        <f>MID('paste from garc here'!$C$2,1+(('table for research'!$B549-456)*36+HEX2DEC('table for research'!AN$1))*2,2)</f>
        <v>00</v>
      </c>
      <c r="AO549" t="str">
        <f>MID('paste from garc here'!$C$2,1+(('table for research'!$B549-456)*36+HEX2DEC('table for research'!AO$1))*2,2)</f>
        <v>00</v>
      </c>
    </row>
    <row r="550" spans="1:41" x14ac:dyDescent="0.4">
      <c r="A550" t="s">
        <v>552</v>
      </c>
      <c r="B550">
        <f>B549+1</f>
        <v>548</v>
      </c>
      <c r="C550" t="str">
        <f>MID('paste from garc here'!$C$2,1+(('table for research'!$B550-456)*36+HEX2DEC('table for research'!C$1))*2,2)</f>
        <v>14</v>
      </c>
      <c r="D550" t="str">
        <f>MID('paste from garc here'!$C$2,1+(('table for research'!$B550-456)*36+HEX2DEC('table for research'!D$1))*2,2)</f>
        <v>00</v>
      </c>
      <c r="E550" t="str">
        <f>MID('paste from garc here'!$C$2,1+(('table for research'!$B550-456)*36+HEX2DEC('table for research'!E$1))*2,2)</f>
        <v>9C</v>
      </c>
      <c r="F550" t="str">
        <f>MID('paste from garc here'!$C$2,1+(('table for research'!$B550-456)*36+HEX2DEC('table for research'!F$1))*2,2)</f>
        <v>00</v>
      </c>
      <c r="G550" t="str">
        <f>MID('paste from garc here'!$C$2,1+(('table for research'!$B550-456)*36+HEX2DEC('table for research'!G$1))*2,2)</f>
        <v>00</v>
      </c>
      <c r="H550" t="str">
        <f>MID('paste from garc here'!$C$2,1+(('table for research'!$B550-456)*36+HEX2DEC('table for research'!H$1))*2,2)</f>
        <v>00</v>
      </c>
      <c r="I550" t="str">
        <f>MID('paste from garc here'!$C$2,1+(('table for research'!$B550-456)*36+HEX2DEC('table for research'!I$1))*2,2)</f>
        <v>00</v>
      </c>
      <c r="J550" t="str">
        <f>MID('paste from garc here'!$C$2,1+(('table for research'!$B550-456)*36+HEX2DEC('table for research'!J$1))*2,2)</f>
        <v>00</v>
      </c>
      <c r="K550" t="str">
        <f>DEC2HEX(_xlfn.BITAND(HEX2DEC(MID('paste from garc here'!$C$1,1+(('table for research'!$B550-1)*36+HEX2DEC(8))*2,2)),31),2)</f>
        <v>00</v>
      </c>
      <c r="L550" t="str">
        <f>DEC2HEX(_xlfn.BITAND(HEX2DEC(MID('paste from garc here'!$C$1,1+(('table for research'!$B550-1)*36+HEX2DEC(8))*2,2)),32),2)</f>
        <v>00</v>
      </c>
      <c r="M550" t="str">
        <f>DEC2HEX(_xlfn.BITAND(HEX2DEC(MID('paste from garc here'!$C$1,1+(('table for research'!$B550-1)*36+HEX2DEC(8))*2,2)),64),2)</f>
        <v>00</v>
      </c>
      <c r="N550" t="str">
        <f>DEC2HEX(_xlfn.BITRSHIFT(_xlfn.BITAND(HEX2DEC(MID('paste from garc here'!$C$1,1+(('table for research'!$B550-1)*36+HEX2DEC(9))*2,2)&amp;MID('paste from garc here'!$C$1,1+(('table for research'!$B550-1)*36+HEX2DEC(8))*2,2)),1920),7),2)</f>
        <v>00</v>
      </c>
      <c r="O550" t="str">
        <f>DEC2HEX(_xlfn.BITRSHIFT(HEX2DEC(MID('paste from garc here'!$C$1,1+(('table for research'!$B550-1)*36+HEX2DEC(9))*2,2)&amp;MID('paste from garc here'!$C$1,1+(('table for research'!$B550-1)*36+HEX2DEC(8))*2,2)),11),2)</f>
        <v>00</v>
      </c>
      <c r="P550" t="str">
        <f>MID('paste from garc here'!$C$2,1+(('table for research'!$B550-456)*36+HEX2DEC('table for research'!P$1))*2,2)</f>
        <v>00</v>
      </c>
      <c r="Q550" t="str">
        <f>MID('paste from garc here'!$C$2,1+(('table for research'!$B550-456)*36+HEX2DEC('table for research'!Q$1))*2,2)</f>
        <v>00</v>
      </c>
      <c r="R550" t="str">
        <f>MID('paste from garc here'!$C$2,1+(('table for research'!$B550-456)*36+HEX2DEC('table for research'!R$1))*2,2)</f>
        <v>00</v>
      </c>
      <c r="S550" t="str">
        <f>MID('paste from garc here'!$C$2,1+(('table for research'!$B550-456)*36+HEX2DEC('table for research'!S$1))*2,2)</f>
        <v>01</v>
      </c>
      <c r="T550" t="str">
        <f>MID('paste from garc here'!$C$2,1+(('table for research'!$B550-456)*36+HEX2DEC('table for research'!T$1))*2,2)</f>
        <v>01</v>
      </c>
      <c r="U550" t="str">
        <f>MID('paste from garc here'!$C$2,1+(('table for research'!$B550-456)*36+HEX2DEC('table for research'!U$1))*2,2)</f>
        <v>83</v>
      </c>
      <c r="V550" t="str">
        <f>MID('paste from garc here'!$C$2,1+(('table for research'!$B550-456)*36+HEX2DEC('table for research'!V$1))*2,2)</f>
        <v>00</v>
      </c>
      <c r="W550" t="str">
        <f>MID('paste from garc here'!$C$2,1+(('table for research'!$B550-456)*36+HEX2DEC('table for research'!W$1))*2,2)</f>
        <v>00</v>
      </c>
      <c r="X550" t="str">
        <f>MID('paste from garc here'!$C$2,1+(('table for research'!$B550-456)*36+HEX2DEC('table for research'!X$1))*2,2)</f>
        <v>00</v>
      </c>
      <c r="Y550" t="str">
        <f>MID('paste from garc here'!$C$2,1+(('table for research'!$B550-456)*36+HEX2DEC('table for research'!Y$1))*2,2)</f>
        <v>00</v>
      </c>
      <c r="Z550" t="str">
        <f>MID('paste from garc here'!$C$2,1+(('table for research'!$B550-456)*36+HEX2DEC('table for research'!Z$1))*2,2)</f>
        <v>00</v>
      </c>
      <c r="AA550" t="str">
        <f>MID('paste from garc here'!$C$2,1+(('table for research'!$B550-456)*36+HEX2DEC('table for research'!AA$1))*2,2)</f>
        <v>00</v>
      </c>
      <c r="AB550" t="str">
        <f>MID('paste from garc here'!$C$2,1+(('table for research'!$B550-456)*36+HEX2DEC('table for research'!AB$1))*2,2)</f>
        <v>00</v>
      </c>
      <c r="AC550" t="str">
        <f>MID('paste from garc here'!$C$2,1+(('table for research'!$B550-456)*36+HEX2DEC('table for research'!AC$1))*2,2)</f>
        <v>00</v>
      </c>
      <c r="AD550" t="str">
        <f>MID('paste from garc here'!$C$2,1+(('table for research'!$B550-456)*36+HEX2DEC('table for research'!AD$1))*2,2)</f>
        <v>00</v>
      </c>
      <c r="AE550" t="str">
        <f>MID('paste from garc here'!$C$2,1+(('table for research'!$B550-456)*36+HEX2DEC('table for research'!AE$1))*2,2)</f>
        <v>00</v>
      </c>
      <c r="AF550" t="str">
        <f>MID('paste from garc here'!$C$2,1+(('table for research'!$B550-456)*36+HEX2DEC('table for research'!AF$1))*2,2)</f>
        <v>00</v>
      </c>
      <c r="AG550" t="str">
        <f>MID('paste from garc here'!$C$2,1+(('table for research'!$B550-456)*36+HEX2DEC('table for research'!AG$1))*2,2)</f>
        <v>00</v>
      </c>
      <c r="AH550" t="str">
        <f>MID('paste from garc here'!$C$2,1+(('table for research'!$B550-456)*36+HEX2DEC('table for research'!AH$1))*2,2)</f>
        <v>00</v>
      </c>
      <c r="AI550" t="str">
        <f>MID('paste from garc here'!$C$2,1+(('table for research'!$B550-456)*36+HEX2DEC('table for research'!AI$1))*2,2)</f>
        <v>00</v>
      </c>
      <c r="AJ550" t="str">
        <f>MID('paste from garc here'!$C$2,1+(('table for research'!$B550-456)*36+HEX2DEC('table for research'!AJ$1))*2,2)</f>
        <v>00</v>
      </c>
      <c r="AK550" t="str">
        <f>MID('paste from garc here'!$C$2,1+(('table for research'!$B550-456)*36+HEX2DEC('table for research'!AK$1))*2,2)</f>
        <v>00</v>
      </c>
      <c r="AL550" t="str">
        <f>MID('paste from garc here'!$C$2,1+(('table for research'!$B550-456)*36+HEX2DEC('table for research'!AL$1))*2,2)</f>
        <v>00</v>
      </c>
      <c r="AM550" t="str">
        <f>MID('paste from garc here'!$C$2,1+(('table for research'!$B550-456)*36+HEX2DEC('table for research'!AM$1))*2,2)</f>
        <v>00</v>
      </c>
      <c r="AN550" t="str">
        <f>MID('paste from garc here'!$C$2,1+(('table for research'!$B550-456)*36+HEX2DEC('table for research'!AN$1))*2,2)</f>
        <v>00</v>
      </c>
      <c r="AO550" t="str">
        <f>MID('paste from garc here'!$C$2,1+(('table for research'!$B550-456)*36+HEX2DEC('table for research'!AO$1))*2,2)</f>
        <v>00</v>
      </c>
    </row>
    <row r="551" spans="1:41" x14ac:dyDescent="0.4">
      <c r="A551" t="s">
        <v>553</v>
      </c>
      <c r="B551">
        <f>B550+1</f>
        <v>549</v>
      </c>
      <c r="C551" t="str">
        <f>MID('paste from garc here'!$C$2,1+(('table for research'!$B551-456)*36+HEX2DEC('table for research'!C$1))*2,2)</f>
        <v>14</v>
      </c>
      <c r="D551" t="str">
        <f>MID('paste from garc here'!$C$2,1+(('table for research'!$B551-456)*36+HEX2DEC('table for research'!D$1))*2,2)</f>
        <v>00</v>
      </c>
      <c r="E551" t="str">
        <f>MID('paste from garc here'!$C$2,1+(('table for research'!$B551-456)*36+HEX2DEC('table for research'!E$1))*2,2)</f>
        <v>9D</v>
      </c>
      <c r="F551" t="str">
        <f>MID('paste from garc here'!$C$2,1+(('table for research'!$B551-456)*36+HEX2DEC('table for research'!F$1))*2,2)</f>
        <v>00</v>
      </c>
      <c r="G551" t="str">
        <f>MID('paste from garc here'!$C$2,1+(('table for research'!$B551-456)*36+HEX2DEC('table for research'!G$1))*2,2)</f>
        <v>00</v>
      </c>
      <c r="H551" t="str">
        <f>MID('paste from garc here'!$C$2,1+(('table for research'!$B551-456)*36+HEX2DEC('table for research'!H$1))*2,2)</f>
        <v>00</v>
      </c>
      <c r="I551" t="str">
        <f>MID('paste from garc here'!$C$2,1+(('table for research'!$B551-456)*36+HEX2DEC('table for research'!I$1))*2,2)</f>
        <v>00</v>
      </c>
      <c r="J551" t="str">
        <f>MID('paste from garc here'!$C$2,1+(('table for research'!$B551-456)*36+HEX2DEC('table for research'!J$1))*2,2)</f>
        <v>00</v>
      </c>
      <c r="K551" t="str">
        <f>DEC2HEX(_xlfn.BITAND(HEX2DEC(MID('paste from garc here'!$C$1,1+(('table for research'!$B551-1)*36+HEX2DEC(8))*2,2)),31),2)</f>
        <v>00</v>
      </c>
      <c r="L551" t="str">
        <f>DEC2HEX(_xlfn.BITAND(HEX2DEC(MID('paste from garc here'!$C$1,1+(('table for research'!$B551-1)*36+HEX2DEC(8))*2,2)),32),2)</f>
        <v>00</v>
      </c>
      <c r="M551" t="str">
        <f>DEC2HEX(_xlfn.BITAND(HEX2DEC(MID('paste from garc here'!$C$1,1+(('table for research'!$B551-1)*36+HEX2DEC(8))*2,2)),64),2)</f>
        <v>00</v>
      </c>
      <c r="N551" t="str">
        <f>DEC2HEX(_xlfn.BITRSHIFT(_xlfn.BITAND(HEX2DEC(MID('paste from garc here'!$C$1,1+(('table for research'!$B551-1)*36+HEX2DEC(9))*2,2)&amp;MID('paste from garc here'!$C$1,1+(('table for research'!$B551-1)*36+HEX2DEC(8))*2,2)),1920),7),2)</f>
        <v>00</v>
      </c>
      <c r="O551" t="str">
        <f>DEC2HEX(_xlfn.BITRSHIFT(HEX2DEC(MID('paste from garc here'!$C$1,1+(('table for research'!$B551-1)*36+HEX2DEC(9))*2,2)&amp;MID('paste from garc here'!$C$1,1+(('table for research'!$B551-1)*36+HEX2DEC(8))*2,2)),11),2)</f>
        <v>00</v>
      </c>
      <c r="P551" t="str">
        <f>MID('paste from garc here'!$C$2,1+(('table for research'!$B551-456)*36+HEX2DEC('table for research'!P$1))*2,2)</f>
        <v>00</v>
      </c>
      <c r="Q551" t="str">
        <f>MID('paste from garc here'!$C$2,1+(('table for research'!$B551-456)*36+HEX2DEC('table for research'!Q$1))*2,2)</f>
        <v>00</v>
      </c>
      <c r="R551" t="str">
        <f>MID('paste from garc here'!$C$2,1+(('table for research'!$B551-456)*36+HEX2DEC('table for research'!R$1))*2,2)</f>
        <v>00</v>
      </c>
      <c r="S551" t="str">
        <f>MID('paste from garc here'!$C$2,1+(('table for research'!$B551-456)*36+HEX2DEC('table for research'!S$1))*2,2)</f>
        <v>01</v>
      </c>
      <c r="T551" t="str">
        <f>MID('paste from garc here'!$C$2,1+(('table for research'!$B551-456)*36+HEX2DEC('table for research'!T$1))*2,2)</f>
        <v>01</v>
      </c>
      <c r="U551" t="str">
        <f>MID('paste from garc here'!$C$2,1+(('table for research'!$B551-456)*36+HEX2DEC('table for research'!U$1))*2,2)</f>
        <v>84</v>
      </c>
      <c r="V551" t="str">
        <f>MID('paste from garc here'!$C$2,1+(('table for research'!$B551-456)*36+HEX2DEC('table for research'!V$1))*2,2)</f>
        <v>00</v>
      </c>
      <c r="W551" t="str">
        <f>MID('paste from garc here'!$C$2,1+(('table for research'!$B551-456)*36+HEX2DEC('table for research'!W$1))*2,2)</f>
        <v>00</v>
      </c>
      <c r="X551" t="str">
        <f>MID('paste from garc here'!$C$2,1+(('table for research'!$B551-456)*36+HEX2DEC('table for research'!X$1))*2,2)</f>
        <v>00</v>
      </c>
      <c r="Y551" t="str">
        <f>MID('paste from garc here'!$C$2,1+(('table for research'!$B551-456)*36+HEX2DEC('table for research'!Y$1))*2,2)</f>
        <v>00</v>
      </c>
      <c r="Z551" t="str">
        <f>MID('paste from garc here'!$C$2,1+(('table for research'!$B551-456)*36+HEX2DEC('table for research'!Z$1))*2,2)</f>
        <v>00</v>
      </c>
      <c r="AA551" t="str">
        <f>MID('paste from garc here'!$C$2,1+(('table for research'!$B551-456)*36+HEX2DEC('table for research'!AA$1))*2,2)</f>
        <v>00</v>
      </c>
      <c r="AB551" t="str">
        <f>MID('paste from garc here'!$C$2,1+(('table for research'!$B551-456)*36+HEX2DEC('table for research'!AB$1))*2,2)</f>
        <v>00</v>
      </c>
      <c r="AC551" t="str">
        <f>MID('paste from garc here'!$C$2,1+(('table for research'!$B551-456)*36+HEX2DEC('table for research'!AC$1))*2,2)</f>
        <v>00</v>
      </c>
      <c r="AD551" t="str">
        <f>MID('paste from garc here'!$C$2,1+(('table for research'!$B551-456)*36+HEX2DEC('table for research'!AD$1))*2,2)</f>
        <v>00</v>
      </c>
      <c r="AE551" t="str">
        <f>MID('paste from garc here'!$C$2,1+(('table for research'!$B551-456)*36+HEX2DEC('table for research'!AE$1))*2,2)</f>
        <v>00</v>
      </c>
      <c r="AF551" t="str">
        <f>MID('paste from garc here'!$C$2,1+(('table for research'!$B551-456)*36+HEX2DEC('table for research'!AF$1))*2,2)</f>
        <v>00</v>
      </c>
      <c r="AG551" t="str">
        <f>MID('paste from garc here'!$C$2,1+(('table for research'!$B551-456)*36+HEX2DEC('table for research'!AG$1))*2,2)</f>
        <v>00</v>
      </c>
      <c r="AH551" t="str">
        <f>MID('paste from garc here'!$C$2,1+(('table for research'!$B551-456)*36+HEX2DEC('table for research'!AH$1))*2,2)</f>
        <v>00</v>
      </c>
      <c r="AI551" t="str">
        <f>MID('paste from garc here'!$C$2,1+(('table for research'!$B551-456)*36+HEX2DEC('table for research'!AI$1))*2,2)</f>
        <v>00</v>
      </c>
      <c r="AJ551" t="str">
        <f>MID('paste from garc here'!$C$2,1+(('table for research'!$B551-456)*36+HEX2DEC('table for research'!AJ$1))*2,2)</f>
        <v>00</v>
      </c>
      <c r="AK551" t="str">
        <f>MID('paste from garc here'!$C$2,1+(('table for research'!$B551-456)*36+HEX2DEC('table for research'!AK$1))*2,2)</f>
        <v>00</v>
      </c>
      <c r="AL551" t="str">
        <f>MID('paste from garc here'!$C$2,1+(('table for research'!$B551-456)*36+HEX2DEC('table for research'!AL$1))*2,2)</f>
        <v>00</v>
      </c>
      <c r="AM551" t="str">
        <f>MID('paste from garc here'!$C$2,1+(('table for research'!$B551-456)*36+HEX2DEC('table for research'!AM$1))*2,2)</f>
        <v>00</v>
      </c>
      <c r="AN551" t="str">
        <f>MID('paste from garc here'!$C$2,1+(('table for research'!$B551-456)*36+HEX2DEC('table for research'!AN$1))*2,2)</f>
        <v>00</v>
      </c>
      <c r="AO551" t="str">
        <f>MID('paste from garc here'!$C$2,1+(('table for research'!$B551-456)*36+HEX2DEC('table for research'!AO$1))*2,2)</f>
        <v>00</v>
      </c>
    </row>
    <row r="552" spans="1:41" x14ac:dyDescent="0.4">
      <c r="A552" t="s">
        <v>554</v>
      </c>
      <c r="B552">
        <f>B551+1</f>
        <v>550</v>
      </c>
      <c r="C552" t="str">
        <f>MID('paste from garc here'!$C$2,1+(('table for research'!$B552-456)*36+HEX2DEC('table for research'!C$1))*2,2)</f>
        <v>14</v>
      </c>
      <c r="D552" t="str">
        <f>MID('paste from garc here'!$C$2,1+(('table for research'!$B552-456)*36+HEX2DEC('table for research'!D$1))*2,2)</f>
        <v>00</v>
      </c>
      <c r="E552" t="str">
        <f>MID('paste from garc here'!$C$2,1+(('table for research'!$B552-456)*36+HEX2DEC('table for research'!E$1))*2,2)</f>
        <v>9E</v>
      </c>
      <c r="F552" t="str">
        <f>MID('paste from garc here'!$C$2,1+(('table for research'!$B552-456)*36+HEX2DEC('table for research'!F$1))*2,2)</f>
        <v>00</v>
      </c>
      <c r="G552" t="str">
        <f>MID('paste from garc here'!$C$2,1+(('table for research'!$B552-456)*36+HEX2DEC('table for research'!G$1))*2,2)</f>
        <v>00</v>
      </c>
      <c r="H552" t="str">
        <f>MID('paste from garc here'!$C$2,1+(('table for research'!$B552-456)*36+HEX2DEC('table for research'!H$1))*2,2)</f>
        <v>00</v>
      </c>
      <c r="I552" t="str">
        <f>MID('paste from garc here'!$C$2,1+(('table for research'!$B552-456)*36+HEX2DEC('table for research'!I$1))*2,2)</f>
        <v>00</v>
      </c>
      <c r="J552" t="str">
        <f>MID('paste from garc here'!$C$2,1+(('table for research'!$B552-456)*36+HEX2DEC('table for research'!J$1))*2,2)</f>
        <v>00</v>
      </c>
      <c r="K552" t="str">
        <f>DEC2HEX(_xlfn.BITAND(HEX2DEC(MID('paste from garc here'!$C$1,1+(('table for research'!$B552-1)*36+HEX2DEC(8))*2,2)),31),2)</f>
        <v>00</v>
      </c>
      <c r="L552" t="str">
        <f>DEC2HEX(_xlfn.BITAND(HEX2DEC(MID('paste from garc here'!$C$1,1+(('table for research'!$B552-1)*36+HEX2DEC(8))*2,2)),32),2)</f>
        <v>00</v>
      </c>
      <c r="M552" t="str">
        <f>DEC2HEX(_xlfn.BITAND(HEX2DEC(MID('paste from garc here'!$C$1,1+(('table for research'!$B552-1)*36+HEX2DEC(8))*2,2)),64),2)</f>
        <v>00</v>
      </c>
      <c r="N552" t="str">
        <f>DEC2HEX(_xlfn.BITRSHIFT(_xlfn.BITAND(HEX2DEC(MID('paste from garc here'!$C$1,1+(('table for research'!$B552-1)*36+HEX2DEC(9))*2,2)&amp;MID('paste from garc here'!$C$1,1+(('table for research'!$B552-1)*36+HEX2DEC(8))*2,2)),1920),7),2)</f>
        <v>00</v>
      </c>
      <c r="O552" t="str">
        <f>DEC2HEX(_xlfn.BITRSHIFT(HEX2DEC(MID('paste from garc here'!$C$1,1+(('table for research'!$B552-1)*36+HEX2DEC(9))*2,2)&amp;MID('paste from garc here'!$C$1,1+(('table for research'!$B552-1)*36+HEX2DEC(8))*2,2)),11),2)</f>
        <v>00</v>
      </c>
      <c r="P552" t="str">
        <f>MID('paste from garc here'!$C$2,1+(('table for research'!$B552-456)*36+HEX2DEC('table for research'!P$1))*2,2)</f>
        <v>00</v>
      </c>
      <c r="Q552" t="str">
        <f>MID('paste from garc here'!$C$2,1+(('table for research'!$B552-456)*36+HEX2DEC('table for research'!Q$1))*2,2)</f>
        <v>00</v>
      </c>
      <c r="R552" t="str">
        <f>MID('paste from garc here'!$C$2,1+(('table for research'!$B552-456)*36+HEX2DEC('table for research'!R$1))*2,2)</f>
        <v>00</v>
      </c>
      <c r="S552" t="str">
        <f>MID('paste from garc here'!$C$2,1+(('table for research'!$B552-456)*36+HEX2DEC('table for research'!S$1))*2,2)</f>
        <v>01</v>
      </c>
      <c r="T552" t="str">
        <f>MID('paste from garc here'!$C$2,1+(('table for research'!$B552-456)*36+HEX2DEC('table for research'!T$1))*2,2)</f>
        <v>01</v>
      </c>
      <c r="U552" t="str">
        <f>MID('paste from garc here'!$C$2,1+(('table for research'!$B552-456)*36+HEX2DEC('table for research'!U$1))*2,2)</f>
        <v>85</v>
      </c>
      <c r="V552" t="str">
        <f>MID('paste from garc here'!$C$2,1+(('table for research'!$B552-456)*36+HEX2DEC('table for research'!V$1))*2,2)</f>
        <v>00</v>
      </c>
      <c r="W552" t="str">
        <f>MID('paste from garc here'!$C$2,1+(('table for research'!$B552-456)*36+HEX2DEC('table for research'!W$1))*2,2)</f>
        <v>00</v>
      </c>
      <c r="X552" t="str">
        <f>MID('paste from garc here'!$C$2,1+(('table for research'!$B552-456)*36+HEX2DEC('table for research'!X$1))*2,2)</f>
        <v>00</v>
      </c>
      <c r="Y552" t="str">
        <f>MID('paste from garc here'!$C$2,1+(('table for research'!$B552-456)*36+HEX2DEC('table for research'!Y$1))*2,2)</f>
        <v>00</v>
      </c>
      <c r="Z552" t="str">
        <f>MID('paste from garc here'!$C$2,1+(('table for research'!$B552-456)*36+HEX2DEC('table for research'!Z$1))*2,2)</f>
        <v>00</v>
      </c>
      <c r="AA552" t="str">
        <f>MID('paste from garc here'!$C$2,1+(('table for research'!$B552-456)*36+HEX2DEC('table for research'!AA$1))*2,2)</f>
        <v>00</v>
      </c>
      <c r="AB552" t="str">
        <f>MID('paste from garc here'!$C$2,1+(('table for research'!$B552-456)*36+HEX2DEC('table for research'!AB$1))*2,2)</f>
        <v>00</v>
      </c>
      <c r="AC552" t="str">
        <f>MID('paste from garc here'!$C$2,1+(('table for research'!$B552-456)*36+HEX2DEC('table for research'!AC$1))*2,2)</f>
        <v>00</v>
      </c>
      <c r="AD552" t="str">
        <f>MID('paste from garc here'!$C$2,1+(('table for research'!$B552-456)*36+HEX2DEC('table for research'!AD$1))*2,2)</f>
        <v>00</v>
      </c>
      <c r="AE552" t="str">
        <f>MID('paste from garc here'!$C$2,1+(('table for research'!$B552-456)*36+HEX2DEC('table for research'!AE$1))*2,2)</f>
        <v>00</v>
      </c>
      <c r="AF552" t="str">
        <f>MID('paste from garc here'!$C$2,1+(('table for research'!$B552-456)*36+HEX2DEC('table for research'!AF$1))*2,2)</f>
        <v>00</v>
      </c>
      <c r="AG552" t="str">
        <f>MID('paste from garc here'!$C$2,1+(('table for research'!$B552-456)*36+HEX2DEC('table for research'!AG$1))*2,2)</f>
        <v>00</v>
      </c>
      <c r="AH552" t="str">
        <f>MID('paste from garc here'!$C$2,1+(('table for research'!$B552-456)*36+HEX2DEC('table for research'!AH$1))*2,2)</f>
        <v>00</v>
      </c>
      <c r="AI552" t="str">
        <f>MID('paste from garc here'!$C$2,1+(('table for research'!$B552-456)*36+HEX2DEC('table for research'!AI$1))*2,2)</f>
        <v>00</v>
      </c>
      <c r="AJ552" t="str">
        <f>MID('paste from garc here'!$C$2,1+(('table for research'!$B552-456)*36+HEX2DEC('table for research'!AJ$1))*2,2)</f>
        <v>00</v>
      </c>
      <c r="AK552" t="str">
        <f>MID('paste from garc here'!$C$2,1+(('table for research'!$B552-456)*36+HEX2DEC('table for research'!AK$1))*2,2)</f>
        <v>00</v>
      </c>
      <c r="AL552" t="str">
        <f>MID('paste from garc here'!$C$2,1+(('table for research'!$B552-456)*36+HEX2DEC('table for research'!AL$1))*2,2)</f>
        <v>00</v>
      </c>
      <c r="AM552" t="str">
        <f>MID('paste from garc here'!$C$2,1+(('table for research'!$B552-456)*36+HEX2DEC('table for research'!AM$1))*2,2)</f>
        <v>00</v>
      </c>
      <c r="AN552" t="str">
        <f>MID('paste from garc here'!$C$2,1+(('table for research'!$B552-456)*36+HEX2DEC('table for research'!AN$1))*2,2)</f>
        <v>00</v>
      </c>
      <c r="AO552" t="str">
        <f>MID('paste from garc here'!$C$2,1+(('table for research'!$B552-456)*36+HEX2DEC('table for research'!AO$1))*2,2)</f>
        <v>00</v>
      </c>
    </row>
    <row r="553" spans="1:41" x14ac:dyDescent="0.4">
      <c r="A553" t="s">
        <v>555</v>
      </c>
      <c r="B553">
        <f>B552+1</f>
        <v>551</v>
      </c>
      <c r="C553" t="str">
        <f>MID('paste from garc here'!$C$2,1+(('table for research'!$B553-456)*36+HEX2DEC('table for research'!C$1))*2,2)</f>
        <v>14</v>
      </c>
      <c r="D553" t="str">
        <f>MID('paste from garc here'!$C$2,1+(('table for research'!$B553-456)*36+HEX2DEC('table for research'!D$1))*2,2)</f>
        <v>00</v>
      </c>
      <c r="E553" t="str">
        <f>MID('paste from garc here'!$C$2,1+(('table for research'!$B553-456)*36+HEX2DEC('table for research'!E$1))*2,2)</f>
        <v>9F</v>
      </c>
      <c r="F553" t="str">
        <f>MID('paste from garc here'!$C$2,1+(('table for research'!$B553-456)*36+HEX2DEC('table for research'!F$1))*2,2)</f>
        <v>00</v>
      </c>
      <c r="G553" t="str">
        <f>MID('paste from garc here'!$C$2,1+(('table for research'!$B553-456)*36+HEX2DEC('table for research'!G$1))*2,2)</f>
        <v>00</v>
      </c>
      <c r="H553" t="str">
        <f>MID('paste from garc here'!$C$2,1+(('table for research'!$B553-456)*36+HEX2DEC('table for research'!H$1))*2,2)</f>
        <v>00</v>
      </c>
      <c r="I553" t="str">
        <f>MID('paste from garc here'!$C$2,1+(('table for research'!$B553-456)*36+HEX2DEC('table for research'!I$1))*2,2)</f>
        <v>00</v>
      </c>
      <c r="J553" t="str">
        <f>MID('paste from garc here'!$C$2,1+(('table for research'!$B553-456)*36+HEX2DEC('table for research'!J$1))*2,2)</f>
        <v>00</v>
      </c>
      <c r="K553" t="str">
        <f>DEC2HEX(_xlfn.BITAND(HEX2DEC(MID('paste from garc here'!$C$1,1+(('table for research'!$B553-1)*36+HEX2DEC(8))*2,2)),31),2)</f>
        <v>00</v>
      </c>
      <c r="L553" t="str">
        <f>DEC2HEX(_xlfn.BITAND(HEX2DEC(MID('paste from garc here'!$C$1,1+(('table for research'!$B553-1)*36+HEX2DEC(8))*2,2)),32),2)</f>
        <v>00</v>
      </c>
      <c r="M553" t="str">
        <f>DEC2HEX(_xlfn.BITAND(HEX2DEC(MID('paste from garc here'!$C$1,1+(('table for research'!$B553-1)*36+HEX2DEC(8))*2,2)),64),2)</f>
        <v>00</v>
      </c>
      <c r="N553" t="str">
        <f>DEC2HEX(_xlfn.BITRSHIFT(_xlfn.BITAND(HEX2DEC(MID('paste from garc here'!$C$1,1+(('table for research'!$B553-1)*36+HEX2DEC(9))*2,2)&amp;MID('paste from garc here'!$C$1,1+(('table for research'!$B553-1)*36+HEX2DEC(8))*2,2)),1920),7),2)</f>
        <v>00</v>
      </c>
      <c r="O553" t="str">
        <f>DEC2HEX(_xlfn.BITRSHIFT(HEX2DEC(MID('paste from garc here'!$C$1,1+(('table for research'!$B553-1)*36+HEX2DEC(9))*2,2)&amp;MID('paste from garc here'!$C$1,1+(('table for research'!$B553-1)*36+HEX2DEC(8))*2,2)),11),2)</f>
        <v>00</v>
      </c>
      <c r="P553" t="str">
        <f>MID('paste from garc here'!$C$2,1+(('table for research'!$B553-456)*36+HEX2DEC('table for research'!P$1))*2,2)</f>
        <v>00</v>
      </c>
      <c r="Q553" t="str">
        <f>MID('paste from garc here'!$C$2,1+(('table for research'!$B553-456)*36+HEX2DEC('table for research'!Q$1))*2,2)</f>
        <v>00</v>
      </c>
      <c r="R553" t="str">
        <f>MID('paste from garc here'!$C$2,1+(('table for research'!$B553-456)*36+HEX2DEC('table for research'!R$1))*2,2)</f>
        <v>00</v>
      </c>
      <c r="S553" t="str">
        <f>MID('paste from garc here'!$C$2,1+(('table for research'!$B553-456)*36+HEX2DEC('table for research'!S$1))*2,2)</f>
        <v>01</v>
      </c>
      <c r="T553" t="str">
        <f>MID('paste from garc here'!$C$2,1+(('table for research'!$B553-456)*36+HEX2DEC('table for research'!T$1))*2,2)</f>
        <v>01</v>
      </c>
      <c r="U553" t="str">
        <f>MID('paste from garc here'!$C$2,1+(('table for research'!$B553-456)*36+HEX2DEC('table for research'!U$1))*2,2)</f>
        <v>86</v>
      </c>
      <c r="V553" t="str">
        <f>MID('paste from garc here'!$C$2,1+(('table for research'!$B553-456)*36+HEX2DEC('table for research'!V$1))*2,2)</f>
        <v>00</v>
      </c>
      <c r="W553" t="str">
        <f>MID('paste from garc here'!$C$2,1+(('table for research'!$B553-456)*36+HEX2DEC('table for research'!W$1))*2,2)</f>
        <v>00</v>
      </c>
      <c r="X553" t="str">
        <f>MID('paste from garc here'!$C$2,1+(('table for research'!$B553-456)*36+HEX2DEC('table for research'!X$1))*2,2)</f>
        <v>00</v>
      </c>
      <c r="Y553" t="str">
        <f>MID('paste from garc here'!$C$2,1+(('table for research'!$B553-456)*36+HEX2DEC('table for research'!Y$1))*2,2)</f>
        <v>00</v>
      </c>
      <c r="Z553" t="str">
        <f>MID('paste from garc here'!$C$2,1+(('table for research'!$B553-456)*36+HEX2DEC('table for research'!Z$1))*2,2)</f>
        <v>00</v>
      </c>
      <c r="AA553" t="str">
        <f>MID('paste from garc here'!$C$2,1+(('table for research'!$B553-456)*36+HEX2DEC('table for research'!AA$1))*2,2)</f>
        <v>00</v>
      </c>
      <c r="AB553" t="str">
        <f>MID('paste from garc here'!$C$2,1+(('table for research'!$B553-456)*36+HEX2DEC('table for research'!AB$1))*2,2)</f>
        <v>00</v>
      </c>
      <c r="AC553" t="str">
        <f>MID('paste from garc here'!$C$2,1+(('table for research'!$B553-456)*36+HEX2DEC('table for research'!AC$1))*2,2)</f>
        <v>00</v>
      </c>
      <c r="AD553" t="str">
        <f>MID('paste from garc here'!$C$2,1+(('table for research'!$B553-456)*36+HEX2DEC('table for research'!AD$1))*2,2)</f>
        <v>00</v>
      </c>
      <c r="AE553" t="str">
        <f>MID('paste from garc here'!$C$2,1+(('table for research'!$B553-456)*36+HEX2DEC('table for research'!AE$1))*2,2)</f>
        <v>00</v>
      </c>
      <c r="AF553" t="str">
        <f>MID('paste from garc here'!$C$2,1+(('table for research'!$B553-456)*36+HEX2DEC('table for research'!AF$1))*2,2)</f>
        <v>00</v>
      </c>
      <c r="AG553" t="str">
        <f>MID('paste from garc here'!$C$2,1+(('table for research'!$B553-456)*36+HEX2DEC('table for research'!AG$1))*2,2)</f>
        <v>00</v>
      </c>
      <c r="AH553" t="str">
        <f>MID('paste from garc here'!$C$2,1+(('table for research'!$B553-456)*36+HEX2DEC('table for research'!AH$1))*2,2)</f>
        <v>00</v>
      </c>
      <c r="AI553" t="str">
        <f>MID('paste from garc here'!$C$2,1+(('table for research'!$B553-456)*36+HEX2DEC('table for research'!AI$1))*2,2)</f>
        <v>00</v>
      </c>
      <c r="AJ553" t="str">
        <f>MID('paste from garc here'!$C$2,1+(('table for research'!$B553-456)*36+HEX2DEC('table for research'!AJ$1))*2,2)</f>
        <v>00</v>
      </c>
      <c r="AK553" t="str">
        <f>MID('paste from garc here'!$C$2,1+(('table for research'!$B553-456)*36+HEX2DEC('table for research'!AK$1))*2,2)</f>
        <v>00</v>
      </c>
      <c r="AL553" t="str">
        <f>MID('paste from garc here'!$C$2,1+(('table for research'!$B553-456)*36+HEX2DEC('table for research'!AL$1))*2,2)</f>
        <v>00</v>
      </c>
      <c r="AM553" t="str">
        <f>MID('paste from garc here'!$C$2,1+(('table for research'!$B553-456)*36+HEX2DEC('table for research'!AM$1))*2,2)</f>
        <v>00</v>
      </c>
      <c r="AN553" t="str">
        <f>MID('paste from garc here'!$C$2,1+(('table for research'!$B553-456)*36+HEX2DEC('table for research'!AN$1))*2,2)</f>
        <v>00</v>
      </c>
      <c r="AO553" t="str">
        <f>MID('paste from garc here'!$C$2,1+(('table for research'!$B553-456)*36+HEX2DEC('table for research'!AO$1))*2,2)</f>
        <v>00</v>
      </c>
    </row>
    <row r="554" spans="1:41" x14ac:dyDescent="0.4">
      <c r="A554" t="s">
        <v>556</v>
      </c>
      <c r="B554">
        <f>B553+1</f>
        <v>552</v>
      </c>
      <c r="C554" t="str">
        <f>MID('paste from garc here'!$C$2,1+(('table for research'!$B554-456)*36+HEX2DEC('table for research'!C$1))*2,2)</f>
        <v>14</v>
      </c>
      <c r="D554" t="str">
        <f>MID('paste from garc here'!$C$2,1+(('table for research'!$B554-456)*36+HEX2DEC('table for research'!D$1))*2,2)</f>
        <v>00</v>
      </c>
      <c r="E554" t="str">
        <f>MID('paste from garc here'!$C$2,1+(('table for research'!$B554-456)*36+HEX2DEC('table for research'!E$1))*2,2)</f>
        <v>A0</v>
      </c>
      <c r="F554" t="str">
        <f>MID('paste from garc here'!$C$2,1+(('table for research'!$B554-456)*36+HEX2DEC('table for research'!F$1))*2,2)</f>
        <v>00</v>
      </c>
      <c r="G554" t="str">
        <f>MID('paste from garc here'!$C$2,1+(('table for research'!$B554-456)*36+HEX2DEC('table for research'!G$1))*2,2)</f>
        <v>00</v>
      </c>
      <c r="H554" t="str">
        <f>MID('paste from garc here'!$C$2,1+(('table for research'!$B554-456)*36+HEX2DEC('table for research'!H$1))*2,2)</f>
        <v>00</v>
      </c>
      <c r="I554" t="str">
        <f>MID('paste from garc here'!$C$2,1+(('table for research'!$B554-456)*36+HEX2DEC('table for research'!I$1))*2,2)</f>
        <v>00</v>
      </c>
      <c r="J554" t="str">
        <f>MID('paste from garc here'!$C$2,1+(('table for research'!$B554-456)*36+HEX2DEC('table for research'!J$1))*2,2)</f>
        <v>00</v>
      </c>
      <c r="K554" t="str">
        <f>DEC2HEX(_xlfn.BITAND(HEX2DEC(MID('paste from garc here'!$C$1,1+(('table for research'!$B554-1)*36+HEX2DEC(8))*2,2)),31),2)</f>
        <v>00</v>
      </c>
      <c r="L554" t="str">
        <f>DEC2HEX(_xlfn.BITAND(HEX2DEC(MID('paste from garc here'!$C$1,1+(('table for research'!$B554-1)*36+HEX2DEC(8))*2,2)),32),2)</f>
        <v>00</v>
      </c>
      <c r="M554" t="str">
        <f>DEC2HEX(_xlfn.BITAND(HEX2DEC(MID('paste from garc here'!$C$1,1+(('table for research'!$B554-1)*36+HEX2DEC(8))*2,2)),64),2)</f>
        <v>00</v>
      </c>
      <c r="N554" t="str">
        <f>DEC2HEX(_xlfn.BITRSHIFT(_xlfn.BITAND(HEX2DEC(MID('paste from garc here'!$C$1,1+(('table for research'!$B554-1)*36+HEX2DEC(9))*2,2)&amp;MID('paste from garc here'!$C$1,1+(('table for research'!$B554-1)*36+HEX2DEC(8))*2,2)),1920),7),2)</f>
        <v>00</v>
      </c>
      <c r="O554" t="str">
        <f>DEC2HEX(_xlfn.BITRSHIFT(HEX2DEC(MID('paste from garc here'!$C$1,1+(('table for research'!$B554-1)*36+HEX2DEC(9))*2,2)&amp;MID('paste from garc here'!$C$1,1+(('table for research'!$B554-1)*36+HEX2DEC(8))*2,2)),11),2)</f>
        <v>00</v>
      </c>
      <c r="P554" t="str">
        <f>MID('paste from garc here'!$C$2,1+(('table for research'!$B554-456)*36+HEX2DEC('table for research'!P$1))*2,2)</f>
        <v>00</v>
      </c>
      <c r="Q554" t="str">
        <f>MID('paste from garc here'!$C$2,1+(('table for research'!$B554-456)*36+HEX2DEC('table for research'!Q$1))*2,2)</f>
        <v>00</v>
      </c>
      <c r="R554" t="str">
        <f>MID('paste from garc here'!$C$2,1+(('table for research'!$B554-456)*36+HEX2DEC('table for research'!R$1))*2,2)</f>
        <v>00</v>
      </c>
      <c r="S554" t="str">
        <f>MID('paste from garc here'!$C$2,1+(('table for research'!$B554-456)*36+HEX2DEC('table for research'!S$1))*2,2)</f>
        <v>01</v>
      </c>
      <c r="T554" t="str">
        <f>MID('paste from garc here'!$C$2,1+(('table for research'!$B554-456)*36+HEX2DEC('table for research'!T$1))*2,2)</f>
        <v>01</v>
      </c>
      <c r="U554" t="str">
        <f>MID('paste from garc here'!$C$2,1+(('table for research'!$B554-456)*36+HEX2DEC('table for research'!U$1))*2,2)</f>
        <v>87</v>
      </c>
      <c r="V554" t="str">
        <f>MID('paste from garc here'!$C$2,1+(('table for research'!$B554-456)*36+HEX2DEC('table for research'!V$1))*2,2)</f>
        <v>00</v>
      </c>
      <c r="W554" t="str">
        <f>MID('paste from garc here'!$C$2,1+(('table for research'!$B554-456)*36+HEX2DEC('table for research'!W$1))*2,2)</f>
        <v>00</v>
      </c>
      <c r="X554" t="str">
        <f>MID('paste from garc here'!$C$2,1+(('table for research'!$B554-456)*36+HEX2DEC('table for research'!X$1))*2,2)</f>
        <v>00</v>
      </c>
      <c r="Y554" t="str">
        <f>MID('paste from garc here'!$C$2,1+(('table for research'!$B554-456)*36+HEX2DEC('table for research'!Y$1))*2,2)</f>
        <v>00</v>
      </c>
      <c r="Z554" t="str">
        <f>MID('paste from garc here'!$C$2,1+(('table for research'!$B554-456)*36+HEX2DEC('table for research'!Z$1))*2,2)</f>
        <v>00</v>
      </c>
      <c r="AA554" t="str">
        <f>MID('paste from garc here'!$C$2,1+(('table for research'!$B554-456)*36+HEX2DEC('table for research'!AA$1))*2,2)</f>
        <v>00</v>
      </c>
      <c r="AB554" t="str">
        <f>MID('paste from garc here'!$C$2,1+(('table for research'!$B554-456)*36+HEX2DEC('table for research'!AB$1))*2,2)</f>
        <v>00</v>
      </c>
      <c r="AC554" t="str">
        <f>MID('paste from garc here'!$C$2,1+(('table for research'!$B554-456)*36+HEX2DEC('table for research'!AC$1))*2,2)</f>
        <v>00</v>
      </c>
      <c r="AD554" t="str">
        <f>MID('paste from garc here'!$C$2,1+(('table for research'!$B554-456)*36+HEX2DEC('table for research'!AD$1))*2,2)</f>
        <v>00</v>
      </c>
      <c r="AE554" t="str">
        <f>MID('paste from garc here'!$C$2,1+(('table for research'!$B554-456)*36+HEX2DEC('table for research'!AE$1))*2,2)</f>
        <v>00</v>
      </c>
      <c r="AF554" t="str">
        <f>MID('paste from garc here'!$C$2,1+(('table for research'!$B554-456)*36+HEX2DEC('table for research'!AF$1))*2,2)</f>
        <v>00</v>
      </c>
      <c r="AG554" t="str">
        <f>MID('paste from garc here'!$C$2,1+(('table for research'!$B554-456)*36+HEX2DEC('table for research'!AG$1))*2,2)</f>
        <v>00</v>
      </c>
      <c r="AH554" t="str">
        <f>MID('paste from garc here'!$C$2,1+(('table for research'!$B554-456)*36+HEX2DEC('table for research'!AH$1))*2,2)</f>
        <v>00</v>
      </c>
      <c r="AI554" t="str">
        <f>MID('paste from garc here'!$C$2,1+(('table for research'!$B554-456)*36+HEX2DEC('table for research'!AI$1))*2,2)</f>
        <v>00</v>
      </c>
      <c r="AJ554" t="str">
        <f>MID('paste from garc here'!$C$2,1+(('table for research'!$B554-456)*36+HEX2DEC('table for research'!AJ$1))*2,2)</f>
        <v>00</v>
      </c>
      <c r="AK554" t="str">
        <f>MID('paste from garc here'!$C$2,1+(('table for research'!$B554-456)*36+HEX2DEC('table for research'!AK$1))*2,2)</f>
        <v>00</v>
      </c>
      <c r="AL554" t="str">
        <f>MID('paste from garc here'!$C$2,1+(('table for research'!$B554-456)*36+HEX2DEC('table for research'!AL$1))*2,2)</f>
        <v>00</v>
      </c>
      <c r="AM554" t="str">
        <f>MID('paste from garc here'!$C$2,1+(('table for research'!$B554-456)*36+HEX2DEC('table for research'!AM$1))*2,2)</f>
        <v>00</v>
      </c>
      <c r="AN554" t="str">
        <f>MID('paste from garc here'!$C$2,1+(('table for research'!$B554-456)*36+HEX2DEC('table for research'!AN$1))*2,2)</f>
        <v>00</v>
      </c>
      <c r="AO554" t="str">
        <f>MID('paste from garc here'!$C$2,1+(('table for research'!$B554-456)*36+HEX2DEC('table for research'!AO$1))*2,2)</f>
        <v>00</v>
      </c>
    </row>
    <row r="555" spans="1:41" x14ac:dyDescent="0.4">
      <c r="A555" t="s">
        <v>557</v>
      </c>
      <c r="B555">
        <f>B554+1</f>
        <v>553</v>
      </c>
      <c r="C555" t="str">
        <f>MID('paste from garc here'!$C$2,1+(('table for research'!$B555-456)*36+HEX2DEC('table for research'!C$1))*2,2)</f>
        <v>14</v>
      </c>
      <c r="D555" t="str">
        <f>MID('paste from garc here'!$C$2,1+(('table for research'!$B555-456)*36+HEX2DEC('table for research'!D$1))*2,2)</f>
        <v>00</v>
      </c>
      <c r="E555" t="str">
        <f>MID('paste from garc here'!$C$2,1+(('table for research'!$B555-456)*36+HEX2DEC('table for research'!E$1))*2,2)</f>
        <v>A1</v>
      </c>
      <c r="F555" t="str">
        <f>MID('paste from garc here'!$C$2,1+(('table for research'!$B555-456)*36+HEX2DEC('table for research'!F$1))*2,2)</f>
        <v>00</v>
      </c>
      <c r="G555" t="str">
        <f>MID('paste from garc here'!$C$2,1+(('table for research'!$B555-456)*36+HEX2DEC('table for research'!G$1))*2,2)</f>
        <v>00</v>
      </c>
      <c r="H555" t="str">
        <f>MID('paste from garc here'!$C$2,1+(('table for research'!$B555-456)*36+HEX2DEC('table for research'!H$1))*2,2)</f>
        <v>00</v>
      </c>
      <c r="I555" t="str">
        <f>MID('paste from garc here'!$C$2,1+(('table for research'!$B555-456)*36+HEX2DEC('table for research'!I$1))*2,2)</f>
        <v>00</v>
      </c>
      <c r="J555" t="str">
        <f>MID('paste from garc here'!$C$2,1+(('table for research'!$B555-456)*36+HEX2DEC('table for research'!J$1))*2,2)</f>
        <v>00</v>
      </c>
      <c r="K555" t="str">
        <f>DEC2HEX(_xlfn.BITAND(HEX2DEC(MID('paste from garc here'!$C$1,1+(('table for research'!$B555-1)*36+HEX2DEC(8))*2,2)),31),2)</f>
        <v>00</v>
      </c>
      <c r="L555" t="str">
        <f>DEC2HEX(_xlfn.BITAND(HEX2DEC(MID('paste from garc here'!$C$1,1+(('table for research'!$B555-1)*36+HEX2DEC(8))*2,2)),32),2)</f>
        <v>00</v>
      </c>
      <c r="M555" t="str">
        <f>DEC2HEX(_xlfn.BITAND(HEX2DEC(MID('paste from garc here'!$C$1,1+(('table for research'!$B555-1)*36+HEX2DEC(8))*2,2)),64),2)</f>
        <v>00</v>
      </c>
      <c r="N555" t="str">
        <f>DEC2HEX(_xlfn.BITRSHIFT(_xlfn.BITAND(HEX2DEC(MID('paste from garc here'!$C$1,1+(('table for research'!$B555-1)*36+HEX2DEC(9))*2,2)&amp;MID('paste from garc here'!$C$1,1+(('table for research'!$B555-1)*36+HEX2DEC(8))*2,2)),1920),7),2)</f>
        <v>00</v>
      </c>
      <c r="O555" t="str">
        <f>DEC2HEX(_xlfn.BITRSHIFT(HEX2DEC(MID('paste from garc here'!$C$1,1+(('table for research'!$B555-1)*36+HEX2DEC(9))*2,2)&amp;MID('paste from garc here'!$C$1,1+(('table for research'!$B555-1)*36+HEX2DEC(8))*2,2)),11),2)</f>
        <v>00</v>
      </c>
      <c r="P555" t="str">
        <f>MID('paste from garc here'!$C$2,1+(('table for research'!$B555-456)*36+HEX2DEC('table for research'!P$1))*2,2)</f>
        <v>00</v>
      </c>
      <c r="Q555" t="str">
        <f>MID('paste from garc here'!$C$2,1+(('table for research'!$B555-456)*36+HEX2DEC('table for research'!Q$1))*2,2)</f>
        <v>00</v>
      </c>
      <c r="R555" t="str">
        <f>MID('paste from garc here'!$C$2,1+(('table for research'!$B555-456)*36+HEX2DEC('table for research'!R$1))*2,2)</f>
        <v>00</v>
      </c>
      <c r="S555" t="str">
        <f>MID('paste from garc here'!$C$2,1+(('table for research'!$B555-456)*36+HEX2DEC('table for research'!S$1))*2,2)</f>
        <v>01</v>
      </c>
      <c r="T555" t="str">
        <f>MID('paste from garc here'!$C$2,1+(('table for research'!$B555-456)*36+HEX2DEC('table for research'!T$1))*2,2)</f>
        <v>01</v>
      </c>
      <c r="U555" t="str">
        <f>MID('paste from garc here'!$C$2,1+(('table for research'!$B555-456)*36+HEX2DEC('table for research'!U$1))*2,2)</f>
        <v>88</v>
      </c>
      <c r="V555" t="str">
        <f>MID('paste from garc here'!$C$2,1+(('table for research'!$B555-456)*36+HEX2DEC('table for research'!V$1))*2,2)</f>
        <v>00</v>
      </c>
      <c r="W555" t="str">
        <f>MID('paste from garc here'!$C$2,1+(('table for research'!$B555-456)*36+HEX2DEC('table for research'!W$1))*2,2)</f>
        <v>00</v>
      </c>
      <c r="X555" t="str">
        <f>MID('paste from garc here'!$C$2,1+(('table for research'!$B555-456)*36+HEX2DEC('table for research'!X$1))*2,2)</f>
        <v>00</v>
      </c>
      <c r="Y555" t="str">
        <f>MID('paste from garc here'!$C$2,1+(('table for research'!$B555-456)*36+HEX2DEC('table for research'!Y$1))*2,2)</f>
        <v>00</v>
      </c>
      <c r="Z555" t="str">
        <f>MID('paste from garc here'!$C$2,1+(('table for research'!$B555-456)*36+HEX2DEC('table for research'!Z$1))*2,2)</f>
        <v>00</v>
      </c>
      <c r="AA555" t="str">
        <f>MID('paste from garc here'!$C$2,1+(('table for research'!$B555-456)*36+HEX2DEC('table for research'!AA$1))*2,2)</f>
        <v>00</v>
      </c>
      <c r="AB555" t="str">
        <f>MID('paste from garc here'!$C$2,1+(('table for research'!$B555-456)*36+HEX2DEC('table for research'!AB$1))*2,2)</f>
        <v>00</v>
      </c>
      <c r="AC555" t="str">
        <f>MID('paste from garc here'!$C$2,1+(('table for research'!$B555-456)*36+HEX2DEC('table for research'!AC$1))*2,2)</f>
        <v>00</v>
      </c>
      <c r="AD555" t="str">
        <f>MID('paste from garc here'!$C$2,1+(('table for research'!$B555-456)*36+HEX2DEC('table for research'!AD$1))*2,2)</f>
        <v>00</v>
      </c>
      <c r="AE555" t="str">
        <f>MID('paste from garc here'!$C$2,1+(('table for research'!$B555-456)*36+HEX2DEC('table for research'!AE$1))*2,2)</f>
        <v>00</v>
      </c>
      <c r="AF555" t="str">
        <f>MID('paste from garc here'!$C$2,1+(('table for research'!$B555-456)*36+HEX2DEC('table for research'!AF$1))*2,2)</f>
        <v>00</v>
      </c>
      <c r="AG555" t="str">
        <f>MID('paste from garc here'!$C$2,1+(('table for research'!$B555-456)*36+HEX2DEC('table for research'!AG$1))*2,2)</f>
        <v>00</v>
      </c>
      <c r="AH555" t="str">
        <f>MID('paste from garc here'!$C$2,1+(('table for research'!$B555-456)*36+HEX2DEC('table for research'!AH$1))*2,2)</f>
        <v>00</v>
      </c>
      <c r="AI555" t="str">
        <f>MID('paste from garc here'!$C$2,1+(('table for research'!$B555-456)*36+HEX2DEC('table for research'!AI$1))*2,2)</f>
        <v>00</v>
      </c>
      <c r="AJ555" t="str">
        <f>MID('paste from garc here'!$C$2,1+(('table for research'!$B555-456)*36+HEX2DEC('table for research'!AJ$1))*2,2)</f>
        <v>00</v>
      </c>
      <c r="AK555" t="str">
        <f>MID('paste from garc here'!$C$2,1+(('table for research'!$B555-456)*36+HEX2DEC('table for research'!AK$1))*2,2)</f>
        <v>00</v>
      </c>
      <c r="AL555" t="str">
        <f>MID('paste from garc here'!$C$2,1+(('table for research'!$B555-456)*36+HEX2DEC('table for research'!AL$1))*2,2)</f>
        <v>00</v>
      </c>
      <c r="AM555" t="str">
        <f>MID('paste from garc here'!$C$2,1+(('table for research'!$B555-456)*36+HEX2DEC('table for research'!AM$1))*2,2)</f>
        <v>00</v>
      </c>
      <c r="AN555" t="str">
        <f>MID('paste from garc here'!$C$2,1+(('table for research'!$B555-456)*36+HEX2DEC('table for research'!AN$1))*2,2)</f>
        <v>00</v>
      </c>
      <c r="AO555" t="str">
        <f>MID('paste from garc here'!$C$2,1+(('table for research'!$B555-456)*36+HEX2DEC('table for research'!AO$1))*2,2)</f>
        <v>00</v>
      </c>
    </row>
    <row r="556" spans="1:41" x14ac:dyDescent="0.4">
      <c r="A556" t="s">
        <v>558</v>
      </c>
      <c r="B556">
        <f>B555+1</f>
        <v>554</v>
      </c>
      <c r="C556" t="str">
        <f>MID('paste from garc here'!$C$2,1+(('table for research'!$B556-456)*36+HEX2DEC('table for research'!C$1))*2,2)</f>
        <v>14</v>
      </c>
      <c r="D556" t="str">
        <f>MID('paste from garc here'!$C$2,1+(('table for research'!$B556-456)*36+HEX2DEC('table for research'!D$1))*2,2)</f>
        <v>00</v>
      </c>
      <c r="E556" t="str">
        <f>MID('paste from garc here'!$C$2,1+(('table for research'!$B556-456)*36+HEX2DEC('table for research'!E$1))*2,2)</f>
        <v>A2</v>
      </c>
      <c r="F556" t="str">
        <f>MID('paste from garc here'!$C$2,1+(('table for research'!$B556-456)*36+HEX2DEC('table for research'!F$1))*2,2)</f>
        <v>00</v>
      </c>
      <c r="G556" t="str">
        <f>MID('paste from garc here'!$C$2,1+(('table for research'!$B556-456)*36+HEX2DEC('table for research'!G$1))*2,2)</f>
        <v>00</v>
      </c>
      <c r="H556" t="str">
        <f>MID('paste from garc here'!$C$2,1+(('table for research'!$B556-456)*36+HEX2DEC('table for research'!H$1))*2,2)</f>
        <v>00</v>
      </c>
      <c r="I556" t="str">
        <f>MID('paste from garc here'!$C$2,1+(('table for research'!$B556-456)*36+HEX2DEC('table for research'!I$1))*2,2)</f>
        <v>00</v>
      </c>
      <c r="J556" t="str">
        <f>MID('paste from garc here'!$C$2,1+(('table for research'!$B556-456)*36+HEX2DEC('table for research'!J$1))*2,2)</f>
        <v>00</v>
      </c>
      <c r="K556" t="str">
        <f>DEC2HEX(_xlfn.BITAND(HEX2DEC(MID('paste from garc here'!$C$1,1+(('table for research'!$B556-1)*36+HEX2DEC(8))*2,2)),31),2)</f>
        <v>00</v>
      </c>
      <c r="L556" t="str">
        <f>DEC2HEX(_xlfn.BITAND(HEX2DEC(MID('paste from garc here'!$C$1,1+(('table for research'!$B556-1)*36+HEX2DEC(8))*2,2)),32),2)</f>
        <v>00</v>
      </c>
      <c r="M556" t="str">
        <f>DEC2HEX(_xlfn.BITAND(HEX2DEC(MID('paste from garc here'!$C$1,1+(('table for research'!$B556-1)*36+HEX2DEC(8))*2,2)),64),2)</f>
        <v>00</v>
      </c>
      <c r="N556" t="str">
        <f>DEC2HEX(_xlfn.BITRSHIFT(_xlfn.BITAND(HEX2DEC(MID('paste from garc here'!$C$1,1+(('table for research'!$B556-1)*36+HEX2DEC(9))*2,2)&amp;MID('paste from garc here'!$C$1,1+(('table for research'!$B556-1)*36+HEX2DEC(8))*2,2)),1920),7),2)</f>
        <v>00</v>
      </c>
      <c r="O556" t="str">
        <f>DEC2HEX(_xlfn.BITRSHIFT(HEX2DEC(MID('paste from garc here'!$C$1,1+(('table for research'!$B556-1)*36+HEX2DEC(9))*2,2)&amp;MID('paste from garc here'!$C$1,1+(('table for research'!$B556-1)*36+HEX2DEC(8))*2,2)),11),2)</f>
        <v>00</v>
      </c>
      <c r="P556" t="str">
        <f>MID('paste from garc here'!$C$2,1+(('table for research'!$B556-456)*36+HEX2DEC('table for research'!P$1))*2,2)</f>
        <v>00</v>
      </c>
      <c r="Q556" t="str">
        <f>MID('paste from garc here'!$C$2,1+(('table for research'!$B556-456)*36+HEX2DEC('table for research'!Q$1))*2,2)</f>
        <v>00</v>
      </c>
      <c r="R556" t="str">
        <f>MID('paste from garc here'!$C$2,1+(('table for research'!$B556-456)*36+HEX2DEC('table for research'!R$1))*2,2)</f>
        <v>00</v>
      </c>
      <c r="S556" t="str">
        <f>MID('paste from garc here'!$C$2,1+(('table for research'!$B556-456)*36+HEX2DEC('table for research'!S$1))*2,2)</f>
        <v>01</v>
      </c>
      <c r="T556" t="str">
        <f>MID('paste from garc here'!$C$2,1+(('table for research'!$B556-456)*36+HEX2DEC('table for research'!T$1))*2,2)</f>
        <v>01</v>
      </c>
      <c r="U556" t="str">
        <f>MID('paste from garc here'!$C$2,1+(('table for research'!$B556-456)*36+HEX2DEC('table for research'!U$1))*2,2)</f>
        <v>89</v>
      </c>
      <c r="V556" t="str">
        <f>MID('paste from garc here'!$C$2,1+(('table for research'!$B556-456)*36+HEX2DEC('table for research'!V$1))*2,2)</f>
        <v>00</v>
      </c>
      <c r="W556" t="str">
        <f>MID('paste from garc here'!$C$2,1+(('table for research'!$B556-456)*36+HEX2DEC('table for research'!W$1))*2,2)</f>
        <v>00</v>
      </c>
      <c r="X556" t="str">
        <f>MID('paste from garc here'!$C$2,1+(('table for research'!$B556-456)*36+HEX2DEC('table for research'!X$1))*2,2)</f>
        <v>00</v>
      </c>
      <c r="Y556" t="str">
        <f>MID('paste from garc here'!$C$2,1+(('table for research'!$B556-456)*36+HEX2DEC('table for research'!Y$1))*2,2)</f>
        <v>00</v>
      </c>
      <c r="Z556" t="str">
        <f>MID('paste from garc here'!$C$2,1+(('table for research'!$B556-456)*36+HEX2DEC('table for research'!Z$1))*2,2)</f>
        <v>00</v>
      </c>
      <c r="AA556" t="str">
        <f>MID('paste from garc here'!$C$2,1+(('table for research'!$B556-456)*36+HEX2DEC('table for research'!AA$1))*2,2)</f>
        <v>00</v>
      </c>
      <c r="AB556" t="str">
        <f>MID('paste from garc here'!$C$2,1+(('table for research'!$B556-456)*36+HEX2DEC('table for research'!AB$1))*2,2)</f>
        <v>00</v>
      </c>
      <c r="AC556" t="str">
        <f>MID('paste from garc here'!$C$2,1+(('table for research'!$B556-456)*36+HEX2DEC('table for research'!AC$1))*2,2)</f>
        <v>00</v>
      </c>
      <c r="AD556" t="str">
        <f>MID('paste from garc here'!$C$2,1+(('table for research'!$B556-456)*36+HEX2DEC('table for research'!AD$1))*2,2)</f>
        <v>00</v>
      </c>
      <c r="AE556" t="str">
        <f>MID('paste from garc here'!$C$2,1+(('table for research'!$B556-456)*36+HEX2DEC('table for research'!AE$1))*2,2)</f>
        <v>00</v>
      </c>
      <c r="AF556" t="str">
        <f>MID('paste from garc here'!$C$2,1+(('table for research'!$B556-456)*36+HEX2DEC('table for research'!AF$1))*2,2)</f>
        <v>00</v>
      </c>
      <c r="AG556" t="str">
        <f>MID('paste from garc here'!$C$2,1+(('table for research'!$B556-456)*36+HEX2DEC('table for research'!AG$1))*2,2)</f>
        <v>00</v>
      </c>
      <c r="AH556" t="str">
        <f>MID('paste from garc here'!$C$2,1+(('table for research'!$B556-456)*36+HEX2DEC('table for research'!AH$1))*2,2)</f>
        <v>00</v>
      </c>
      <c r="AI556" t="str">
        <f>MID('paste from garc here'!$C$2,1+(('table for research'!$B556-456)*36+HEX2DEC('table for research'!AI$1))*2,2)</f>
        <v>00</v>
      </c>
      <c r="AJ556" t="str">
        <f>MID('paste from garc here'!$C$2,1+(('table for research'!$B556-456)*36+HEX2DEC('table for research'!AJ$1))*2,2)</f>
        <v>00</v>
      </c>
      <c r="AK556" t="str">
        <f>MID('paste from garc here'!$C$2,1+(('table for research'!$B556-456)*36+HEX2DEC('table for research'!AK$1))*2,2)</f>
        <v>00</v>
      </c>
      <c r="AL556" t="str">
        <f>MID('paste from garc here'!$C$2,1+(('table for research'!$B556-456)*36+HEX2DEC('table for research'!AL$1))*2,2)</f>
        <v>00</v>
      </c>
      <c r="AM556" t="str">
        <f>MID('paste from garc here'!$C$2,1+(('table for research'!$B556-456)*36+HEX2DEC('table for research'!AM$1))*2,2)</f>
        <v>00</v>
      </c>
      <c r="AN556" t="str">
        <f>MID('paste from garc here'!$C$2,1+(('table for research'!$B556-456)*36+HEX2DEC('table for research'!AN$1))*2,2)</f>
        <v>00</v>
      </c>
      <c r="AO556" t="str">
        <f>MID('paste from garc here'!$C$2,1+(('table for research'!$B556-456)*36+HEX2DEC('table for research'!AO$1))*2,2)</f>
        <v>00</v>
      </c>
    </row>
    <row r="557" spans="1:41" x14ac:dyDescent="0.4">
      <c r="A557" t="s">
        <v>559</v>
      </c>
      <c r="B557">
        <f>B556+1</f>
        <v>555</v>
      </c>
      <c r="C557" t="str">
        <f>MID('paste from garc here'!$C$2,1+(('table for research'!$B557-456)*36+HEX2DEC('table for research'!C$1))*2,2)</f>
        <v>14</v>
      </c>
      <c r="D557" t="str">
        <f>MID('paste from garc here'!$C$2,1+(('table for research'!$B557-456)*36+HEX2DEC('table for research'!D$1))*2,2)</f>
        <v>00</v>
      </c>
      <c r="E557" t="str">
        <f>MID('paste from garc here'!$C$2,1+(('table for research'!$B557-456)*36+HEX2DEC('table for research'!E$1))*2,2)</f>
        <v>A3</v>
      </c>
      <c r="F557" t="str">
        <f>MID('paste from garc here'!$C$2,1+(('table for research'!$B557-456)*36+HEX2DEC('table for research'!F$1))*2,2)</f>
        <v>00</v>
      </c>
      <c r="G557" t="str">
        <f>MID('paste from garc here'!$C$2,1+(('table for research'!$B557-456)*36+HEX2DEC('table for research'!G$1))*2,2)</f>
        <v>00</v>
      </c>
      <c r="H557" t="str">
        <f>MID('paste from garc here'!$C$2,1+(('table for research'!$B557-456)*36+HEX2DEC('table for research'!H$1))*2,2)</f>
        <v>00</v>
      </c>
      <c r="I557" t="str">
        <f>MID('paste from garc here'!$C$2,1+(('table for research'!$B557-456)*36+HEX2DEC('table for research'!I$1))*2,2)</f>
        <v>00</v>
      </c>
      <c r="J557" t="str">
        <f>MID('paste from garc here'!$C$2,1+(('table for research'!$B557-456)*36+HEX2DEC('table for research'!J$1))*2,2)</f>
        <v>00</v>
      </c>
      <c r="K557" t="str">
        <f>DEC2HEX(_xlfn.BITAND(HEX2DEC(MID('paste from garc here'!$C$1,1+(('table for research'!$B557-1)*36+HEX2DEC(8))*2,2)),31),2)</f>
        <v>00</v>
      </c>
      <c r="L557" t="str">
        <f>DEC2HEX(_xlfn.BITAND(HEX2DEC(MID('paste from garc here'!$C$1,1+(('table for research'!$B557-1)*36+HEX2DEC(8))*2,2)),32),2)</f>
        <v>00</v>
      </c>
      <c r="M557" t="str">
        <f>DEC2HEX(_xlfn.BITAND(HEX2DEC(MID('paste from garc here'!$C$1,1+(('table for research'!$B557-1)*36+HEX2DEC(8))*2,2)),64),2)</f>
        <v>00</v>
      </c>
      <c r="N557" t="str">
        <f>DEC2HEX(_xlfn.BITRSHIFT(_xlfn.BITAND(HEX2DEC(MID('paste from garc here'!$C$1,1+(('table for research'!$B557-1)*36+HEX2DEC(9))*2,2)&amp;MID('paste from garc here'!$C$1,1+(('table for research'!$B557-1)*36+HEX2DEC(8))*2,2)),1920),7),2)</f>
        <v>00</v>
      </c>
      <c r="O557" t="str">
        <f>DEC2HEX(_xlfn.BITRSHIFT(HEX2DEC(MID('paste from garc here'!$C$1,1+(('table for research'!$B557-1)*36+HEX2DEC(9))*2,2)&amp;MID('paste from garc here'!$C$1,1+(('table for research'!$B557-1)*36+HEX2DEC(8))*2,2)),11),2)</f>
        <v>00</v>
      </c>
      <c r="P557" t="str">
        <f>MID('paste from garc here'!$C$2,1+(('table for research'!$B557-456)*36+HEX2DEC('table for research'!P$1))*2,2)</f>
        <v>00</v>
      </c>
      <c r="Q557" t="str">
        <f>MID('paste from garc here'!$C$2,1+(('table for research'!$B557-456)*36+HEX2DEC('table for research'!Q$1))*2,2)</f>
        <v>00</v>
      </c>
      <c r="R557" t="str">
        <f>MID('paste from garc here'!$C$2,1+(('table for research'!$B557-456)*36+HEX2DEC('table for research'!R$1))*2,2)</f>
        <v>00</v>
      </c>
      <c r="S557" t="str">
        <f>MID('paste from garc here'!$C$2,1+(('table for research'!$B557-456)*36+HEX2DEC('table for research'!S$1))*2,2)</f>
        <v>01</v>
      </c>
      <c r="T557" t="str">
        <f>MID('paste from garc here'!$C$2,1+(('table for research'!$B557-456)*36+HEX2DEC('table for research'!T$1))*2,2)</f>
        <v>01</v>
      </c>
      <c r="U557" t="str">
        <f>MID('paste from garc here'!$C$2,1+(('table for research'!$B557-456)*36+HEX2DEC('table for research'!U$1))*2,2)</f>
        <v>8A</v>
      </c>
      <c r="V557" t="str">
        <f>MID('paste from garc here'!$C$2,1+(('table for research'!$B557-456)*36+HEX2DEC('table for research'!V$1))*2,2)</f>
        <v>00</v>
      </c>
      <c r="W557" t="str">
        <f>MID('paste from garc here'!$C$2,1+(('table for research'!$B557-456)*36+HEX2DEC('table for research'!W$1))*2,2)</f>
        <v>00</v>
      </c>
      <c r="X557" t="str">
        <f>MID('paste from garc here'!$C$2,1+(('table for research'!$B557-456)*36+HEX2DEC('table for research'!X$1))*2,2)</f>
        <v>00</v>
      </c>
      <c r="Y557" t="str">
        <f>MID('paste from garc here'!$C$2,1+(('table for research'!$B557-456)*36+HEX2DEC('table for research'!Y$1))*2,2)</f>
        <v>00</v>
      </c>
      <c r="Z557" t="str">
        <f>MID('paste from garc here'!$C$2,1+(('table for research'!$B557-456)*36+HEX2DEC('table for research'!Z$1))*2,2)</f>
        <v>00</v>
      </c>
      <c r="AA557" t="str">
        <f>MID('paste from garc here'!$C$2,1+(('table for research'!$B557-456)*36+HEX2DEC('table for research'!AA$1))*2,2)</f>
        <v>00</v>
      </c>
      <c r="AB557" t="str">
        <f>MID('paste from garc here'!$C$2,1+(('table for research'!$B557-456)*36+HEX2DEC('table for research'!AB$1))*2,2)</f>
        <v>00</v>
      </c>
      <c r="AC557" t="str">
        <f>MID('paste from garc here'!$C$2,1+(('table for research'!$B557-456)*36+HEX2DEC('table for research'!AC$1))*2,2)</f>
        <v>00</v>
      </c>
      <c r="AD557" t="str">
        <f>MID('paste from garc here'!$C$2,1+(('table for research'!$B557-456)*36+HEX2DEC('table for research'!AD$1))*2,2)</f>
        <v>00</v>
      </c>
      <c r="AE557" t="str">
        <f>MID('paste from garc here'!$C$2,1+(('table for research'!$B557-456)*36+HEX2DEC('table for research'!AE$1))*2,2)</f>
        <v>00</v>
      </c>
      <c r="AF557" t="str">
        <f>MID('paste from garc here'!$C$2,1+(('table for research'!$B557-456)*36+HEX2DEC('table for research'!AF$1))*2,2)</f>
        <v>00</v>
      </c>
      <c r="AG557" t="str">
        <f>MID('paste from garc here'!$C$2,1+(('table for research'!$B557-456)*36+HEX2DEC('table for research'!AG$1))*2,2)</f>
        <v>00</v>
      </c>
      <c r="AH557" t="str">
        <f>MID('paste from garc here'!$C$2,1+(('table for research'!$B557-456)*36+HEX2DEC('table for research'!AH$1))*2,2)</f>
        <v>00</v>
      </c>
      <c r="AI557" t="str">
        <f>MID('paste from garc here'!$C$2,1+(('table for research'!$B557-456)*36+HEX2DEC('table for research'!AI$1))*2,2)</f>
        <v>00</v>
      </c>
      <c r="AJ557" t="str">
        <f>MID('paste from garc here'!$C$2,1+(('table for research'!$B557-456)*36+HEX2DEC('table for research'!AJ$1))*2,2)</f>
        <v>00</v>
      </c>
      <c r="AK557" t="str">
        <f>MID('paste from garc here'!$C$2,1+(('table for research'!$B557-456)*36+HEX2DEC('table for research'!AK$1))*2,2)</f>
        <v>00</v>
      </c>
      <c r="AL557" t="str">
        <f>MID('paste from garc here'!$C$2,1+(('table for research'!$B557-456)*36+HEX2DEC('table for research'!AL$1))*2,2)</f>
        <v>00</v>
      </c>
      <c r="AM557" t="str">
        <f>MID('paste from garc here'!$C$2,1+(('table for research'!$B557-456)*36+HEX2DEC('table for research'!AM$1))*2,2)</f>
        <v>00</v>
      </c>
      <c r="AN557" t="str">
        <f>MID('paste from garc here'!$C$2,1+(('table for research'!$B557-456)*36+HEX2DEC('table for research'!AN$1))*2,2)</f>
        <v>00</v>
      </c>
      <c r="AO557" t="str">
        <f>MID('paste from garc here'!$C$2,1+(('table for research'!$B557-456)*36+HEX2DEC('table for research'!AO$1))*2,2)</f>
        <v>00</v>
      </c>
    </row>
    <row r="558" spans="1:41" x14ac:dyDescent="0.4">
      <c r="A558" t="s">
        <v>560</v>
      </c>
      <c r="B558">
        <f>B557+1</f>
        <v>556</v>
      </c>
      <c r="C558" t="str">
        <f>MID('paste from garc here'!$C$2,1+(('table for research'!$B558-456)*36+HEX2DEC('table for research'!C$1))*2,2)</f>
        <v>14</v>
      </c>
      <c r="D558" t="str">
        <f>MID('paste from garc here'!$C$2,1+(('table for research'!$B558-456)*36+HEX2DEC('table for research'!D$1))*2,2)</f>
        <v>00</v>
      </c>
      <c r="E558" t="str">
        <f>MID('paste from garc here'!$C$2,1+(('table for research'!$B558-456)*36+HEX2DEC('table for research'!E$1))*2,2)</f>
        <v>A4</v>
      </c>
      <c r="F558" t="str">
        <f>MID('paste from garc here'!$C$2,1+(('table for research'!$B558-456)*36+HEX2DEC('table for research'!F$1))*2,2)</f>
        <v>00</v>
      </c>
      <c r="G558" t="str">
        <f>MID('paste from garc here'!$C$2,1+(('table for research'!$B558-456)*36+HEX2DEC('table for research'!G$1))*2,2)</f>
        <v>00</v>
      </c>
      <c r="H558" t="str">
        <f>MID('paste from garc here'!$C$2,1+(('table for research'!$B558-456)*36+HEX2DEC('table for research'!H$1))*2,2)</f>
        <v>00</v>
      </c>
      <c r="I558" t="str">
        <f>MID('paste from garc here'!$C$2,1+(('table for research'!$B558-456)*36+HEX2DEC('table for research'!I$1))*2,2)</f>
        <v>00</v>
      </c>
      <c r="J558" t="str">
        <f>MID('paste from garc here'!$C$2,1+(('table for research'!$B558-456)*36+HEX2DEC('table for research'!J$1))*2,2)</f>
        <v>00</v>
      </c>
      <c r="K558" t="str">
        <f>DEC2HEX(_xlfn.BITAND(HEX2DEC(MID('paste from garc here'!$C$1,1+(('table for research'!$B558-1)*36+HEX2DEC(8))*2,2)),31),2)</f>
        <v>00</v>
      </c>
      <c r="L558" t="str">
        <f>DEC2HEX(_xlfn.BITAND(HEX2DEC(MID('paste from garc here'!$C$1,1+(('table for research'!$B558-1)*36+HEX2DEC(8))*2,2)),32),2)</f>
        <v>00</v>
      </c>
      <c r="M558" t="str">
        <f>DEC2HEX(_xlfn.BITAND(HEX2DEC(MID('paste from garc here'!$C$1,1+(('table for research'!$B558-1)*36+HEX2DEC(8))*2,2)),64),2)</f>
        <v>00</v>
      </c>
      <c r="N558" t="str">
        <f>DEC2HEX(_xlfn.BITRSHIFT(_xlfn.BITAND(HEX2DEC(MID('paste from garc here'!$C$1,1+(('table for research'!$B558-1)*36+HEX2DEC(9))*2,2)&amp;MID('paste from garc here'!$C$1,1+(('table for research'!$B558-1)*36+HEX2DEC(8))*2,2)),1920),7),2)</f>
        <v>00</v>
      </c>
      <c r="O558" t="str">
        <f>DEC2HEX(_xlfn.BITRSHIFT(HEX2DEC(MID('paste from garc here'!$C$1,1+(('table for research'!$B558-1)*36+HEX2DEC(9))*2,2)&amp;MID('paste from garc here'!$C$1,1+(('table for research'!$B558-1)*36+HEX2DEC(8))*2,2)),11),2)</f>
        <v>00</v>
      </c>
      <c r="P558" t="str">
        <f>MID('paste from garc here'!$C$2,1+(('table for research'!$B558-456)*36+HEX2DEC('table for research'!P$1))*2,2)</f>
        <v>00</v>
      </c>
      <c r="Q558" t="str">
        <f>MID('paste from garc here'!$C$2,1+(('table for research'!$B558-456)*36+HEX2DEC('table for research'!Q$1))*2,2)</f>
        <v>00</v>
      </c>
      <c r="R558" t="str">
        <f>MID('paste from garc here'!$C$2,1+(('table for research'!$B558-456)*36+HEX2DEC('table for research'!R$1))*2,2)</f>
        <v>00</v>
      </c>
      <c r="S558" t="str">
        <f>MID('paste from garc here'!$C$2,1+(('table for research'!$B558-456)*36+HEX2DEC('table for research'!S$1))*2,2)</f>
        <v>01</v>
      </c>
      <c r="T558" t="str">
        <f>MID('paste from garc here'!$C$2,1+(('table for research'!$B558-456)*36+HEX2DEC('table for research'!T$1))*2,2)</f>
        <v>01</v>
      </c>
      <c r="U558" t="str">
        <f>MID('paste from garc here'!$C$2,1+(('table for research'!$B558-456)*36+HEX2DEC('table for research'!U$1))*2,2)</f>
        <v>8B</v>
      </c>
      <c r="V558" t="str">
        <f>MID('paste from garc here'!$C$2,1+(('table for research'!$B558-456)*36+HEX2DEC('table for research'!V$1))*2,2)</f>
        <v>00</v>
      </c>
      <c r="W558" t="str">
        <f>MID('paste from garc here'!$C$2,1+(('table for research'!$B558-456)*36+HEX2DEC('table for research'!W$1))*2,2)</f>
        <v>00</v>
      </c>
      <c r="X558" t="str">
        <f>MID('paste from garc here'!$C$2,1+(('table for research'!$B558-456)*36+HEX2DEC('table for research'!X$1))*2,2)</f>
        <v>00</v>
      </c>
      <c r="Y558" t="str">
        <f>MID('paste from garc here'!$C$2,1+(('table for research'!$B558-456)*36+HEX2DEC('table for research'!Y$1))*2,2)</f>
        <v>00</v>
      </c>
      <c r="Z558" t="str">
        <f>MID('paste from garc here'!$C$2,1+(('table for research'!$B558-456)*36+HEX2DEC('table for research'!Z$1))*2,2)</f>
        <v>00</v>
      </c>
      <c r="AA558" t="str">
        <f>MID('paste from garc here'!$C$2,1+(('table for research'!$B558-456)*36+HEX2DEC('table for research'!AA$1))*2,2)</f>
        <v>00</v>
      </c>
      <c r="AB558" t="str">
        <f>MID('paste from garc here'!$C$2,1+(('table for research'!$B558-456)*36+HEX2DEC('table for research'!AB$1))*2,2)</f>
        <v>00</v>
      </c>
      <c r="AC558" t="str">
        <f>MID('paste from garc here'!$C$2,1+(('table for research'!$B558-456)*36+HEX2DEC('table for research'!AC$1))*2,2)</f>
        <v>00</v>
      </c>
      <c r="AD558" t="str">
        <f>MID('paste from garc here'!$C$2,1+(('table for research'!$B558-456)*36+HEX2DEC('table for research'!AD$1))*2,2)</f>
        <v>00</v>
      </c>
      <c r="AE558" t="str">
        <f>MID('paste from garc here'!$C$2,1+(('table for research'!$B558-456)*36+HEX2DEC('table for research'!AE$1))*2,2)</f>
        <v>00</v>
      </c>
      <c r="AF558" t="str">
        <f>MID('paste from garc here'!$C$2,1+(('table for research'!$B558-456)*36+HEX2DEC('table for research'!AF$1))*2,2)</f>
        <v>00</v>
      </c>
      <c r="AG558" t="str">
        <f>MID('paste from garc here'!$C$2,1+(('table for research'!$B558-456)*36+HEX2DEC('table for research'!AG$1))*2,2)</f>
        <v>00</v>
      </c>
      <c r="AH558" t="str">
        <f>MID('paste from garc here'!$C$2,1+(('table for research'!$B558-456)*36+HEX2DEC('table for research'!AH$1))*2,2)</f>
        <v>00</v>
      </c>
      <c r="AI558" t="str">
        <f>MID('paste from garc here'!$C$2,1+(('table for research'!$B558-456)*36+HEX2DEC('table for research'!AI$1))*2,2)</f>
        <v>00</v>
      </c>
      <c r="AJ558" t="str">
        <f>MID('paste from garc here'!$C$2,1+(('table for research'!$B558-456)*36+HEX2DEC('table for research'!AJ$1))*2,2)</f>
        <v>00</v>
      </c>
      <c r="AK558" t="str">
        <f>MID('paste from garc here'!$C$2,1+(('table for research'!$B558-456)*36+HEX2DEC('table for research'!AK$1))*2,2)</f>
        <v>00</v>
      </c>
      <c r="AL558" t="str">
        <f>MID('paste from garc here'!$C$2,1+(('table for research'!$B558-456)*36+HEX2DEC('table for research'!AL$1))*2,2)</f>
        <v>00</v>
      </c>
      <c r="AM558" t="str">
        <f>MID('paste from garc here'!$C$2,1+(('table for research'!$B558-456)*36+HEX2DEC('table for research'!AM$1))*2,2)</f>
        <v>00</v>
      </c>
      <c r="AN558" t="str">
        <f>MID('paste from garc here'!$C$2,1+(('table for research'!$B558-456)*36+HEX2DEC('table for research'!AN$1))*2,2)</f>
        <v>00</v>
      </c>
      <c r="AO558" t="str">
        <f>MID('paste from garc here'!$C$2,1+(('table for research'!$B558-456)*36+HEX2DEC('table for research'!AO$1))*2,2)</f>
        <v>00</v>
      </c>
    </row>
    <row r="559" spans="1:41" x14ac:dyDescent="0.4">
      <c r="A559" t="s">
        <v>561</v>
      </c>
      <c r="B559">
        <f>B558+1</f>
        <v>557</v>
      </c>
      <c r="C559" t="str">
        <f>MID('paste from garc here'!$C$2,1+(('table for research'!$B559-456)*36+HEX2DEC('table for research'!C$1))*2,2)</f>
        <v>14</v>
      </c>
      <c r="D559" t="str">
        <f>MID('paste from garc here'!$C$2,1+(('table for research'!$B559-456)*36+HEX2DEC('table for research'!D$1))*2,2)</f>
        <v>00</v>
      </c>
      <c r="E559" t="str">
        <f>MID('paste from garc here'!$C$2,1+(('table for research'!$B559-456)*36+HEX2DEC('table for research'!E$1))*2,2)</f>
        <v>A5</v>
      </c>
      <c r="F559" t="str">
        <f>MID('paste from garc here'!$C$2,1+(('table for research'!$B559-456)*36+HEX2DEC('table for research'!F$1))*2,2)</f>
        <v>00</v>
      </c>
      <c r="G559" t="str">
        <f>MID('paste from garc here'!$C$2,1+(('table for research'!$B559-456)*36+HEX2DEC('table for research'!G$1))*2,2)</f>
        <v>00</v>
      </c>
      <c r="H559" t="str">
        <f>MID('paste from garc here'!$C$2,1+(('table for research'!$B559-456)*36+HEX2DEC('table for research'!H$1))*2,2)</f>
        <v>00</v>
      </c>
      <c r="I559" t="str">
        <f>MID('paste from garc here'!$C$2,1+(('table for research'!$B559-456)*36+HEX2DEC('table for research'!I$1))*2,2)</f>
        <v>00</v>
      </c>
      <c r="J559" t="str">
        <f>MID('paste from garc here'!$C$2,1+(('table for research'!$B559-456)*36+HEX2DEC('table for research'!J$1))*2,2)</f>
        <v>00</v>
      </c>
      <c r="K559" t="str">
        <f>DEC2HEX(_xlfn.BITAND(HEX2DEC(MID('paste from garc here'!$C$1,1+(('table for research'!$B559-1)*36+HEX2DEC(8))*2,2)),31),2)</f>
        <v>00</v>
      </c>
      <c r="L559" t="str">
        <f>DEC2HEX(_xlfn.BITAND(HEX2DEC(MID('paste from garc here'!$C$1,1+(('table for research'!$B559-1)*36+HEX2DEC(8))*2,2)),32),2)</f>
        <v>00</v>
      </c>
      <c r="M559" t="str">
        <f>DEC2HEX(_xlfn.BITAND(HEX2DEC(MID('paste from garc here'!$C$1,1+(('table for research'!$B559-1)*36+HEX2DEC(8))*2,2)),64),2)</f>
        <v>00</v>
      </c>
      <c r="N559" t="str">
        <f>DEC2HEX(_xlfn.BITRSHIFT(_xlfn.BITAND(HEX2DEC(MID('paste from garc here'!$C$1,1+(('table for research'!$B559-1)*36+HEX2DEC(9))*2,2)&amp;MID('paste from garc here'!$C$1,1+(('table for research'!$B559-1)*36+HEX2DEC(8))*2,2)),1920),7),2)</f>
        <v>00</v>
      </c>
      <c r="O559" t="str">
        <f>DEC2HEX(_xlfn.BITRSHIFT(HEX2DEC(MID('paste from garc here'!$C$1,1+(('table for research'!$B559-1)*36+HEX2DEC(9))*2,2)&amp;MID('paste from garc here'!$C$1,1+(('table for research'!$B559-1)*36+HEX2DEC(8))*2,2)),11),2)</f>
        <v>00</v>
      </c>
      <c r="P559" t="str">
        <f>MID('paste from garc here'!$C$2,1+(('table for research'!$B559-456)*36+HEX2DEC('table for research'!P$1))*2,2)</f>
        <v>00</v>
      </c>
      <c r="Q559" t="str">
        <f>MID('paste from garc here'!$C$2,1+(('table for research'!$B559-456)*36+HEX2DEC('table for research'!Q$1))*2,2)</f>
        <v>00</v>
      </c>
      <c r="R559" t="str">
        <f>MID('paste from garc here'!$C$2,1+(('table for research'!$B559-456)*36+HEX2DEC('table for research'!R$1))*2,2)</f>
        <v>00</v>
      </c>
      <c r="S559" t="str">
        <f>MID('paste from garc here'!$C$2,1+(('table for research'!$B559-456)*36+HEX2DEC('table for research'!S$1))*2,2)</f>
        <v>01</v>
      </c>
      <c r="T559" t="str">
        <f>MID('paste from garc here'!$C$2,1+(('table for research'!$B559-456)*36+HEX2DEC('table for research'!T$1))*2,2)</f>
        <v>01</v>
      </c>
      <c r="U559" t="str">
        <f>MID('paste from garc here'!$C$2,1+(('table for research'!$B559-456)*36+HEX2DEC('table for research'!U$1))*2,2)</f>
        <v>8C</v>
      </c>
      <c r="V559" t="str">
        <f>MID('paste from garc here'!$C$2,1+(('table for research'!$B559-456)*36+HEX2DEC('table for research'!V$1))*2,2)</f>
        <v>00</v>
      </c>
      <c r="W559" t="str">
        <f>MID('paste from garc here'!$C$2,1+(('table for research'!$B559-456)*36+HEX2DEC('table for research'!W$1))*2,2)</f>
        <v>00</v>
      </c>
      <c r="X559" t="str">
        <f>MID('paste from garc here'!$C$2,1+(('table for research'!$B559-456)*36+HEX2DEC('table for research'!X$1))*2,2)</f>
        <v>00</v>
      </c>
      <c r="Y559" t="str">
        <f>MID('paste from garc here'!$C$2,1+(('table for research'!$B559-456)*36+HEX2DEC('table for research'!Y$1))*2,2)</f>
        <v>00</v>
      </c>
      <c r="Z559" t="str">
        <f>MID('paste from garc here'!$C$2,1+(('table for research'!$B559-456)*36+HEX2DEC('table for research'!Z$1))*2,2)</f>
        <v>00</v>
      </c>
      <c r="AA559" t="str">
        <f>MID('paste from garc here'!$C$2,1+(('table for research'!$B559-456)*36+HEX2DEC('table for research'!AA$1))*2,2)</f>
        <v>00</v>
      </c>
      <c r="AB559" t="str">
        <f>MID('paste from garc here'!$C$2,1+(('table for research'!$B559-456)*36+HEX2DEC('table for research'!AB$1))*2,2)</f>
        <v>00</v>
      </c>
      <c r="AC559" t="str">
        <f>MID('paste from garc here'!$C$2,1+(('table for research'!$B559-456)*36+HEX2DEC('table for research'!AC$1))*2,2)</f>
        <v>00</v>
      </c>
      <c r="AD559" t="str">
        <f>MID('paste from garc here'!$C$2,1+(('table for research'!$B559-456)*36+HEX2DEC('table for research'!AD$1))*2,2)</f>
        <v>00</v>
      </c>
      <c r="AE559" t="str">
        <f>MID('paste from garc here'!$C$2,1+(('table for research'!$B559-456)*36+HEX2DEC('table for research'!AE$1))*2,2)</f>
        <v>00</v>
      </c>
      <c r="AF559" t="str">
        <f>MID('paste from garc here'!$C$2,1+(('table for research'!$B559-456)*36+HEX2DEC('table for research'!AF$1))*2,2)</f>
        <v>00</v>
      </c>
      <c r="AG559" t="str">
        <f>MID('paste from garc here'!$C$2,1+(('table for research'!$B559-456)*36+HEX2DEC('table for research'!AG$1))*2,2)</f>
        <v>00</v>
      </c>
      <c r="AH559" t="str">
        <f>MID('paste from garc here'!$C$2,1+(('table for research'!$B559-456)*36+HEX2DEC('table for research'!AH$1))*2,2)</f>
        <v>00</v>
      </c>
      <c r="AI559" t="str">
        <f>MID('paste from garc here'!$C$2,1+(('table for research'!$B559-456)*36+HEX2DEC('table for research'!AI$1))*2,2)</f>
        <v>00</v>
      </c>
      <c r="AJ559" t="str">
        <f>MID('paste from garc here'!$C$2,1+(('table for research'!$B559-456)*36+HEX2DEC('table for research'!AJ$1))*2,2)</f>
        <v>00</v>
      </c>
      <c r="AK559" t="str">
        <f>MID('paste from garc here'!$C$2,1+(('table for research'!$B559-456)*36+HEX2DEC('table for research'!AK$1))*2,2)</f>
        <v>00</v>
      </c>
      <c r="AL559" t="str">
        <f>MID('paste from garc here'!$C$2,1+(('table for research'!$B559-456)*36+HEX2DEC('table for research'!AL$1))*2,2)</f>
        <v>00</v>
      </c>
      <c r="AM559" t="str">
        <f>MID('paste from garc here'!$C$2,1+(('table for research'!$B559-456)*36+HEX2DEC('table for research'!AM$1))*2,2)</f>
        <v>00</v>
      </c>
      <c r="AN559" t="str">
        <f>MID('paste from garc here'!$C$2,1+(('table for research'!$B559-456)*36+HEX2DEC('table for research'!AN$1))*2,2)</f>
        <v>00</v>
      </c>
      <c r="AO559" t="str">
        <f>MID('paste from garc here'!$C$2,1+(('table for research'!$B559-456)*36+HEX2DEC('table for research'!AO$1))*2,2)</f>
        <v>00</v>
      </c>
    </row>
    <row r="560" spans="1:41" x14ac:dyDescent="0.4">
      <c r="A560" t="s">
        <v>562</v>
      </c>
      <c r="B560">
        <f>B559+1</f>
        <v>558</v>
      </c>
      <c r="C560" t="str">
        <f>MID('paste from garc here'!$C$2,1+(('table for research'!$B560-456)*36+HEX2DEC('table for research'!C$1))*2,2)</f>
        <v>14</v>
      </c>
      <c r="D560" t="str">
        <f>MID('paste from garc here'!$C$2,1+(('table for research'!$B560-456)*36+HEX2DEC('table for research'!D$1))*2,2)</f>
        <v>00</v>
      </c>
      <c r="E560" t="str">
        <f>MID('paste from garc here'!$C$2,1+(('table for research'!$B560-456)*36+HEX2DEC('table for research'!E$1))*2,2)</f>
        <v>A6</v>
      </c>
      <c r="F560" t="str">
        <f>MID('paste from garc here'!$C$2,1+(('table for research'!$B560-456)*36+HEX2DEC('table for research'!F$1))*2,2)</f>
        <v>00</v>
      </c>
      <c r="G560" t="str">
        <f>MID('paste from garc here'!$C$2,1+(('table for research'!$B560-456)*36+HEX2DEC('table for research'!G$1))*2,2)</f>
        <v>00</v>
      </c>
      <c r="H560" t="str">
        <f>MID('paste from garc here'!$C$2,1+(('table for research'!$B560-456)*36+HEX2DEC('table for research'!H$1))*2,2)</f>
        <v>00</v>
      </c>
      <c r="I560" t="str">
        <f>MID('paste from garc here'!$C$2,1+(('table for research'!$B560-456)*36+HEX2DEC('table for research'!I$1))*2,2)</f>
        <v>00</v>
      </c>
      <c r="J560" t="str">
        <f>MID('paste from garc here'!$C$2,1+(('table for research'!$B560-456)*36+HEX2DEC('table for research'!J$1))*2,2)</f>
        <v>00</v>
      </c>
      <c r="K560" t="str">
        <f>DEC2HEX(_xlfn.BITAND(HEX2DEC(MID('paste from garc here'!$C$1,1+(('table for research'!$B560-1)*36+HEX2DEC(8))*2,2)),31),2)</f>
        <v>00</v>
      </c>
      <c r="L560" t="str">
        <f>DEC2HEX(_xlfn.BITAND(HEX2DEC(MID('paste from garc here'!$C$1,1+(('table for research'!$B560-1)*36+HEX2DEC(8))*2,2)),32),2)</f>
        <v>00</v>
      </c>
      <c r="M560" t="str">
        <f>DEC2HEX(_xlfn.BITAND(HEX2DEC(MID('paste from garc here'!$C$1,1+(('table for research'!$B560-1)*36+HEX2DEC(8))*2,2)),64),2)</f>
        <v>00</v>
      </c>
      <c r="N560" t="str">
        <f>DEC2HEX(_xlfn.BITRSHIFT(_xlfn.BITAND(HEX2DEC(MID('paste from garc here'!$C$1,1+(('table for research'!$B560-1)*36+HEX2DEC(9))*2,2)&amp;MID('paste from garc here'!$C$1,1+(('table for research'!$B560-1)*36+HEX2DEC(8))*2,2)),1920),7),2)</f>
        <v>00</v>
      </c>
      <c r="O560" t="str">
        <f>DEC2HEX(_xlfn.BITRSHIFT(HEX2DEC(MID('paste from garc here'!$C$1,1+(('table for research'!$B560-1)*36+HEX2DEC(9))*2,2)&amp;MID('paste from garc here'!$C$1,1+(('table for research'!$B560-1)*36+HEX2DEC(8))*2,2)),11),2)</f>
        <v>00</v>
      </c>
      <c r="P560" t="str">
        <f>MID('paste from garc here'!$C$2,1+(('table for research'!$B560-456)*36+HEX2DEC('table for research'!P$1))*2,2)</f>
        <v>00</v>
      </c>
      <c r="Q560" t="str">
        <f>MID('paste from garc here'!$C$2,1+(('table for research'!$B560-456)*36+HEX2DEC('table for research'!Q$1))*2,2)</f>
        <v>00</v>
      </c>
      <c r="R560" t="str">
        <f>MID('paste from garc here'!$C$2,1+(('table for research'!$B560-456)*36+HEX2DEC('table for research'!R$1))*2,2)</f>
        <v>00</v>
      </c>
      <c r="S560" t="str">
        <f>MID('paste from garc here'!$C$2,1+(('table for research'!$B560-456)*36+HEX2DEC('table for research'!S$1))*2,2)</f>
        <v>01</v>
      </c>
      <c r="T560" t="str">
        <f>MID('paste from garc here'!$C$2,1+(('table for research'!$B560-456)*36+HEX2DEC('table for research'!T$1))*2,2)</f>
        <v>01</v>
      </c>
      <c r="U560" t="str">
        <f>MID('paste from garc here'!$C$2,1+(('table for research'!$B560-456)*36+HEX2DEC('table for research'!U$1))*2,2)</f>
        <v>8D</v>
      </c>
      <c r="V560" t="str">
        <f>MID('paste from garc here'!$C$2,1+(('table for research'!$B560-456)*36+HEX2DEC('table for research'!V$1))*2,2)</f>
        <v>00</v>
      </c>
      <c r="W560" t="str">
        <f>MID('paste from garc here'!$C$2,1+(('table for research'!$B560-456)*36+HEX2DEC('table for research'!W$1))*2,2)</f>
        <v>00</v>
      </c>
      <c r="X560" t="str">
        <f>MID('paste from garc here'!$C$2,1+(('table for research'!$B560-456)*36+HEX2DEC('table for research'!X$1))*2,2)</f>
        <v>00</v>
      </c>
      <c r="Y560" t="str">
        <f>MID('paste from garc here'!$C$2,1+(('table for research'!$B560-456)*36+HEX2DEC('table for research'!Y$1))*2,2)</f>
        <v>00</v>
      </c>
      <c r="Z560" t="str">
        <f>MID('paste from garc here'!$C$2,1+(('table for research'!$B560-456)*36+HEX2DEC('table for research'!Z$1))*2,2)</f>
        <v>00</v>
      </c>
      <c r="AA560" t="str">
        <f>MID('paste from garc here'!$C$2,1+(('table for research'!$B560-456)*36+HEX2DEC('table for research'!AA$1))*2,2)</f>
        <v>00</v>
      </c>
      <c r="AB560" t="str">
        <f>MID('paste from garc here'!$C$2,1+(('table for research'!$B560-456)*36+HEX2DEC('table for research'!AB$1))*2,2)</f>
        <v>00</v>
      </c>
      <c r="AC560" t="str">
        <f>MID('paste from garc here'!$C$2,1+(('table for research'!$B560-456)*36+HEX2DEC('table for research'!AC$1))*2,2)</f>
        <v>00</v>
      </c>
      <c r="AD560" t="str">
        <f>MID('paste from garc here'!$C$2,1+(('table for research'!$B560-456)*36+HEX2DEC('table for research'!AD$1))*2,2)</f>
        <v>00</v>
      </c>
      <c r="AE560" t="str">
        <f>MID('paste from garc here'!$C$2,1+(('table for research'!$B560-456)*36+HEX2DEC('table for research'!AE$1))*2,2)</f>
        <v>00</v>
      </c>
      <c r="AF560" t="str">
        <f>MID('paste from garc here'!$C$2,1+(('table for research'!$B560-456)*36+HEX2DEC('table for research'!AF$1))*2,2)</f>
        <v>00</v>
      </c>
      <c r="AG560" t="str">
        <f>MID('paste from garc here'!$C$2,1+(('table for research'!$B560-456)*36+HEX2DEC('table for research'!AG$1))*2,2)</f>
        <v>00</v>
      </c>
      <c r="AH560" t="str">
        <f>MID('paste from garc here'!$C$2,1+(('table for research'!$B560-456)*36+HEX2DEC('table for research'!AH$1))*2,2)</f>
        <v>00</v>
      </c>
      <c r="AI560" t="str">
        <f>MID('paste from garc here'!$C$2,1+(('table for research'!$B560-456)*36+HEX2DEC('table for research'!AI$1))*2,2)</f>
        <v>00</v>
      </c>
      <c r="AJ560" t="str">
        <f>MID('paste from garc here'!$C$2,1+(('table for research'!$B560-456)*36+HEX2DEC('table for research'!AJ$1))*2,2)</f>
        <v>00</v>
      </c>
      <c r="AK560" t="str">
        <f>MID('paste from garc here'!$C$2,1+(('table for research'!$B560-456)*36+HEX2DEC('table for research'!AK$1))*2,2)</f>
        <v>00</v>
      </c>
      <c r="AL560" t="str">
        <f>MID('paste from garc here'!$C$2,1+(('table for research'!$B560-456)*36+HEX2DEC('table for research'!AL$1))*2,2)</f>
        <v>00</v>
      </c>
      <c r="AM560" t="str">
        <f>MID('paste from garc here'!$C$2,1+(('table for research'!$B560-456)*36+HEX2DEC('table for research'!AM$1))*2,2)</f>
        <v>00</v>
      </c>
      <c r="AN560" t="str">
        <f>MID('paste from garc here'!$C$2,1+(('table for research'!$B560-456)*36+HEX2DEC('table for research'!AN$1))*2,2)</f>
        <v>00</v>
      </c>
      <c r="AO560" t="str">
        <f>MID('paste from garc here'!$C$2,1+(('table for research'!$B560-456)*36+HEX2DEC('table for research'!AO$1))*2,2)</f>
        <v>00</v>
      </c>
    </row>
    <row r="561" spans="1:41" x14ac:dyDescent="0.4">
      <c r="A561" t="s">
        <v>563</v>
      </c>
      <c r="B561">
        <f>B560+1</f>
        <v>559</v>
      </c>
      <c r="C561" t="str">
        <f>MID('paste from garc here'!$C$2,1+(('table for research'!$B561-456)*36+HEX2DEC('table for research'!C$1))*2,2)</f>
        <v>14</v>
      </c>
      <c r="D561" t="str">
        <f>MID('paste from garc here'!$C$2,1+(('table for research'!$B561-456)*36+HEX2DEC('table for research'!D$1))*2,2)</f>
        <v>00</v>
      </c>
      <c r="E561" t="str">
        <f>MID('paste from garc here'!$C$2,1+(('table for research'!$B561-456)*36+HEX2DEC('table for research'!E$1))*2,2)</f>
        <v>A7</v>
      </c>
      <c r="F561" t="str">
        <f>MID('paste from garc here'!$C$2,1+(('table for research'!$B561-456)*36+HEX2DEC('table for research'!F$1))*2,2)</f>
        <v>00</v>
      </c>
      <c r="G561" t="str">
        <f>MID('paste from garc here'!$C$2,1+(('table for research'!$B561-456)*36+HEX2DEC('table for research'!G$1))*2,2)</f>
        <v>00</v>
      </c>
      <c r="H561" t="str">
        <f>MID('paste from garc here'!$C$2,1+(('table for research'!$B561-456)*36+HEX2DEC('table for research'!H$1))*2,2)</f>
        <v>00</v>
      </c>
      <c r="I561" t="str">
        <f>MID('paste from garc here'!$C$2,1+(('table for research'!$B561-456)*36+HEX2DEC('table for research'!I$1))*2,2)</f>
        <v>00</v>
      </c>
      <c r="J561" t="str">
        <f>MID('paste from garc here'!$C$2,1+(('table for research'!$B561-456)*36+HEX2DEC('table for research'!J$1))*2,2)</f>
        <v>00</v>
      </c>
      <c r="K561" t="str">
        <f>DEC2HEX(_xlfn.BITAND(HEX2DEC(MID('paste from garc here'!$C$1,1+(('table for research'!$B561-1)*36+HEX2DEC(8))*2,2)),31),2)</f>
        <v>00</v>
      </c>
      <c r="L561" t="str">
        <f>DEC2HEX(_xlfn.BITAND(HEX2DEC(MID('paste from garc here'!$C$1,1+(('table for research'!$B561-1)*36+HEX2DEC(8))*2,2)),32),2)</f>
        <v>00</v>
      </c>
      <c r="M561" t="str">
        <f>DEC2HEX(_xlfn.BITAND(HEX2DEC(MID('paste from garc here'!$C$1,1+(('table for research'!$B561-1)*36+HEX2DEC(8))*2,2)),64),2)</f>
        <v>00</v>
      </c>
      <c r="N561" t="str">
        <f>DEC2HEX(_xlfn.BITRSHIFT(_xlfn.BITAND(HEX2DEC(MID('paste from garc here'!$C$1,1+(('table for research'!$B561-1)*36+HEX2DEC(9))*2,2)&amp;MID('paste from garc here'!$C$1,1+(('table for research'!$B561-1)*36+HEX2DEC(8))*2,2)),1920),7),2)</f>
        <v>00</v>
      </c>
      <c r="O561" t="str">
        <f>DEC2HEX(_xlfn.BITRSHIFT(HEX2DEC(MID('paste from garc here'!$C$1,1+(('table for research'!$B561-1)*36+HEX2DEC(9))*2,2)&amp;MID('paste from garc here'!$C$1,1+(('table for research'!$B561-1)*36+HEX2DEC(8))*2,2)),11),2)</f>
        <v>00</v>
      </c>
      <c r="P561" t="str">
        <f>MID('paste from garc here'!$C$2,1+(('table for research'!$B561-456)*36+HEX2DEC('table for research'!P$1))*2,2)</f>
        <v>00</v>
      </c>
      <c r="Q561" t="str">
        <f>MID('paste from garc here'!$C$2,1+(('table for research'!$B561-456)*36+HEX2DEC('table for research'!Q$1))*2,2)</f>
        <v>00</v>
      </c>
      <c r="R561" t="str">
        <f>MID('paste from garc here'!$C$2,1+(('table for research'!$B561-456)*36+HEX2DEC('table for research'!R$1))*2,2)</f>
        <v>00</v>
      </c>
      <c r="S561" t="str">
        <f>MID('paste from garc here'!$C$2,1+(('table for research'!$B561-456)*36+HEX2DEC('table for research'!S$1))*2,2)</f>
        <v>01</v>
      </c>
      <c r="T561" t="str">
        <f>MID('paste from garc here'!$C$2,1+(('table for research'!$B561-456)*36+HEX2DEC('table for research'!T$1))*2,2)</f>
        <v>01</v>
      </c>
      <c r="U561" t="str">
        <f>MID('paste from garc here'!$C$2,1+(('table for research'!$B561-456)*36+HEX2DEC('table for research'!U$1))*2,2)</f>
        <v>8E</v>
      </c>
      <c r="V561" t="str">
        <f>MID('paste from garc here'!$C$2,1+(('table for research'!$B561-456)*36+HEX2DEC('table for research'!V$1))*2,2)</f>
        <v>00</v>
      </c>
      <c r="W561" t="str">
        <f>MID('paste from garc here'!$C$2,1+(('table for research'!$B561-456)*36+HEX2DEC('table for research'!W$1))*2,2)</f>
        <v>00</v>
      </c>
      <c r="X561" t="str">
        <f>MID('paste from garc here'!$C$2,1+(('table for research'!$B561-456)*36+HEX2DEC('table for research'!X$1))*2,2)</f>
        <v>00</v>
      </c>
      <c r="Y561" t="str">
        <f>MID('paste from garc here'!$C$2,1+(('table for research'!$B561-456)*36+HEX2DEC('table for research'!Y$1))*2,2)</f>
        <v>00</v>
      </c>
      <c r="Z561" t="str">
        <f>MID('paste from garc here'!$C$2,1+(('table for research'!$B561-456)*36+HEX2DEC('table for research'!Z$1))*2,2)</f>
        <v>00</v>
      </c>
      <c r="AA561" t="str">
        <f>MID('paste from garc here'!$C$2,1+(('table for research'!$B561-456)*36+HEX2DEC('table for research'!AA$1))*2,2)</f>
        <v>00</v>
      </c>
      <c r="AB561" t="str">
        <f>MID('paste from garc here'!$C$2,1+(('table for research'!$B561-456)*36+HEX2DEC('table for research'!AB$1))*2,2)</f>
        <v>00</v>
      </c>
      <c r="AC561" t="str">
        <f>MID('paste from garc here'!$C$2,1+(('table for research'!$B561-456)*36+HEX2DEC('table for research'!AC$1))*2,2)</f>
        <v>00</v>
      </c>
      <c r="AD561" t="str">
        <f>MID('paste from garc here'!$C$2,1+(('table for research'!$B561-456)*36+HEX2DEC('table for research'!AD$1))*2,2)</f>
        <v>00</v>
      </c>
      <c r="AE561" t="str">
        <f>MID('paste from garc here'!$C$2,1+(('table for research'!$B561-456)*36+HEX2DEC('table for research'!AE$1))*2,2)</f>
        <v>00</v>
      </c>
      <c r="AF561" t="str">
        <f>MID('paste from garc here'!$C$2,1+(('table for research'!$B561-456)*36+HEX2DEC('table for research'!AF$1))*2,2)</f>
        <v>00</v>
      </c>
      <c r="AG561" t="str">
        <f>MID('paste from garc here'!$C$2,1+(('table for research'!$B561-456)*36+HEX2DEC('table for research'!AG$1))*2,2)</f>
        <v>00</v>
      </c>
      <c r="AH561" t="str">
        <f>MID('paste from garc here'!$C$2,1+(('table for research'!$B561-456)*36+HEX2DEC('table for research'!AH$1))*2,2)</f>
        <v>00</v>
      </c>
      <c r="AI561" t="str">
        <f>MID('paste from garc here'!$C$2,1+(('table for research'!$B561-456)*36+HEX2DEC('table for research'!AI$1))*2,2)</f>
        <v>00</v>
      </c>
      <c r="AJ561" t="str">
        <f>MID('paste from garc here'!$C$2,1+(('table for research'!$B561-456)*36+HEX2DEC('table for research'!AJ$1))*2,2)</f>
        <v>00</v>
      </c>
      <c r="AK561" t="str">
        <f>MID('paste from garc here'!$C$2,1+(('table for research'!$B561-456)*36+HEX2DEC('table for research'!AK$1))*2,2)</f>
        <v>00</v>
      </c>
      <c r="AL561" t="str">
        <f>MID('paste from garc here'!$C$2,1+(('table for research'!$B561-456)*36+HEX2DEC('table for research'!AL$1))*2,2)</f>
        <v>00</v>
      </c>
      <c r="AM561" t="str">
        <f>MID('paste from garc here'!$C$2,1+(('table for research'!$B561-456)*36+HEX2DEC('table for research'!AM$1))*2,2)</f>
        <v>00</v>
      </c>
      <c r="AN561" t="str">
        <f>MID('paste from garc here'!$C$2,1+(('table for research'!$B561-456)*36+HEX2DEC('table for research'!AN$1))*2,2)</f>
        <v>00</v>
      </c>
      <c r="AO561" t="str">
        <f>MID('paste from garc here'!$C$2,1+(('table for research'!$B561-456)*36+HEX2DEC('table for research'!AO$1))*2,2)</f>
        <v>00</v>
      </c>
    </row>
    <row r="562" spans="1:41" x14ac:dyDescent="0.4">
      <c r="A562" t="s">
        <v>564</v>
      </c>
      <c r="B562">
        <f>B561+1</f>
        <v>560</v>
      </c>
      <c r="C562" t="str">
        <f>MID('paste from garc here'!$C$2,1+(('table for research'!$B562-456)*36+HEX2DEC('table for research'!C$1))*2,2)</f>
        <v>14</v>
      </c>
      <c r="D562" t="str">
        <f>MID('paste from garc here'!$C$2,1+(('table for research'!$B562-456)*36+HEX2DEC('table for research'!D$1))*2,2)</f>
        <v>00</v>
      </c>
      <c r="E562" t="str">
        <f>MID('paste from garc here'!$C$2,1+(('table for research'!$B562-456)*36+HEX2DEC('table for research'!E$1))*2,2)</f>
        <v>A8</v>
      </c>
      <c r="F562" t="str">
        <f>MID('paste from garc here'!$C$2,1+(('table for research'!$B562-456)*36+HEX2DEC('table for research'!F$1))*2,2)</f>
        <v>00</v>
      </c>
      <c r="G562" t="str">
        <f>MID('paste from garc here'!$C$2,1+(('table for research'!$B562-456)*36+HEX2DEC('table for research'!G$1))*2,2)</f>
        <v>00</v>
      </c>
      <c r="H562" t="str">
        <f>MID('paste from garc here'!$C$2,1+(('table for research'!$B562-456)*36+HEX2DEC('table for research'!H$1))*2,2)</f>
        <v>00</v>
      </c>
      <c r="I562" t="str">
        <f>MID('paste from garc here'!$C$2,1+(('table for research'!$B562-456)*36+HEX2DEC('table for research'!I$1))*2,2)</f>
        <v>00</v>
      </c>
      <c r="J562" t="str">
        <f>MID('paste from garc here'!$C$2,1+(('table for research'!$B562-456)*36+HEX2DEC('table for research'!J$1))*2,2)</f>
        <v>00</v>
      </c>
      <c r="K562" t="str">
        <f>DEC2HEX(_xlfn.BITAND(HEX2DEC(MID('paste from garc here'!$C$1,1+(('table for research'!$B562-1)*36+HEX2DEC(8))*2,2)),31),2)</f>
        <v>00</v>
      </c>
      <c r="L562" t="str">
        <f>DEC2HEX(_xlfn.BITAND(HEX2DEC(MID('paste from garc here'!$C$1,1+(('table for research'!$B562-1)*36+HEX2DEC(8))*2,2)),32),2)</f>
        <v>00</v>
      </c>
      <c r="M562" t="str">
        <f>DEC2HEX(_xlfn.BITAND(HEX2DEC(MID('paste from garc here'!$C$1,1+(('table for research'!$B562-1)*36+HEX2DEC(8))*2,2)),64),2)</f>
        <v>00</v>
      </c>
      <c r="N562" t="str">
        <f>DEC2HEX(_xlfn.BITRSHIFT(_xlfn.BITAND(HEX2DEC(MID('paste from garc here'!$C$1,1+(('table for research'!$B562-1)*36+HEX2DEC(9))*2,2)&amp;MID('paste from garc here'!$C$1,1+(('table for research'!$B562-1)*36+HEX2DEC(8))*2,2)),1920),7),2)</f>
        <v>00</v>
      </c>
      <c r="O562" t="str">
        <f>DEC2HEX(_xlfn.BITRSHIFT(HEX2DEC(MID('paste from garc here'!$C$1,1+(('table for research'!$B562-1)*36+HEX2DEC(9))*2,2)&amp;MID('paste from garc here'!$C$1,1+(('table for research'!$B562-1)*36+HEX2DEC(8))*2,2)),11),2)</f>
        <v>00</v>
      </c>
      <c r="P562" t="str">
        <f>MID('paste from garc here'!$C$2,1+(('table for research'!$B562-456)*36+HEX2DEC('table for research'!P$1))*2,2)</f>
        <v>00</v>
      </c>
      <c r="Q562" t="str">
        <f>MID('paste from garc here'!$C$2,1+(('table for research'!$B562-456)*36+HEX2DEC('table for research'!Q$1))*2,2)</f>
        <v>00</v>
      </c>
      <c r="R562" t="str">
        <f>MID('paste from garc here'!$C$2,1+(('table for research'!$B562-456)*36+HEX2DEC('table for research'!R$1))*2,2)</f>
        <v>00</v>
      </c>
      <c r="S562" t="str">
        <f>MID('paste from garc here'!$C$2,1+(('table for research'!$B562-456)*36+HEX2DEC('table for research'!S$1))*2,2)</f>
        <v>01</v>
      </c>
      <c r="T562" t="str">
        <f>MID('paste from garc here'!$C$2,1+(('table for research'!$B562-456)*36+HEX2DEC('table for research'!T$1))*2,2)</f>
        <v>01</v>
      </c>
      <c r="U562" t="str">
        <f>MID('paste from garc here'!$C$2,1+(('table for research'!$B562-456)*36+HEX2DEC('table for research'!U$1))*2,2)</f>
        <v>8F</v>
      </c>
      <c r="V562" t="str">
        <f>MID('paste from garc here'!$C$2,1+(('table for research'!$B562-456)*36+HEX2DEC('table for research'!V$1))*2,2)</f>
        <v>00</v>
      </c>
      <c r="W562" t="str">
        <f>MID('paste from garc here'!$C$2,1+(('table for research'!$B562-456)*36+HEX2DEC('table for research'!W$1))*2,2)</f>
        <v>00</v>
      </c>
      <c r="X562" t="str">
        <f>MID('paste from garc here'!$C$2,1+(('table for research'!$B562-456)*36+HEX2DEC('table for research'!X$1))*2,2)</f>
        <v>00</v>
      </c>
      <c r="Y562" t="str">
        <f>MID('paste from garc here'!$C$2,1+(('table for research'!$B562-456)*36+HEX2DEC('table for research'!Y$1))*2,2)</f>
        <v>00</v>
      </c>
      <c r="Z562" t="str">
        <f>MID('paste from garc here'!$C$2,1+(('table for research'!$B562-456)*36+HEX2DEC('table for research'!Z$1))*2,2)</f>
        <v>00</v>
      </c>
      <c r="AA562" t="str">
        <f>MID('paste from garc here'!$C$2,1+(('table for research'!$B562-456)*36+HEX2DEC('table for research'!AA$1))*2,2)</f>
        <v>00</v>
      </c>
      <c r="AB562" t="str">
        <f>MID('paste from garc here'!$C$2,1+(('table for research'!$B562-456)*36+HEX2DEC('table for research'!AB$1))*2,2)</f>
        <v>00</v>
      </c>
      <c r="AC562" t="str">
        <f>MID('paste from garc here'!$C$2,1+(('table for research'!$B562-456)*36+HEX2DEC('table for research'!AC$1))*2,2)</f>
        <v>00</v>
      </c>
      <c r="AD562" t="str">
        <f>MID('paste from garc here'!$C$2,1+(('table for research'!$B562-456)*36+HEX2DEC('table for research'!AD$1))*2,2)</f>
        <v>00</v>
      </c>
      <c r="AE562" t="str">
        <f>MID('paste from garc here'!$C$2,1+(('table for research'!$B562-456)*36+HEX2DEC('table for research'!AE$1))*2,2)</f>
        <v>00</v>
      </c>
      <c r="AF562" t="str">
        <f>MID('paste from garc here'!$C$2,1+(('table for research'!$B562-456)*36+HEX2DEC('table for research'!AF$1))*2,2)</f>
        <v>00</v>
      </c>
      <c r="AG562" t="str">
        <f>MID('paste from garc here'!$C$2,1+(('table for research'!$B562-456)*36+HEX2DEC('table for research'!AG$1))*2,2)</f>
        <v>00</v>
      </c>
      <c r="AH562" t="str">
        <f>MID('paste from garc here'!$C$2,1+(('table for research'!$B562-456)*36+HEX2DEC('table for research'!AH$1))*2,2)</f>
        <v>00</v>
      </c>
      <c r="AI562" t="str">
        <f>MID('paste from garc here'!$C$2,1+(('table for research'!$B562-456)*36+HEX2DEC('table for research'!AI$1))*2,2)</f>
        <v>00</v>
      </c>
      <c r="AJ562" t="str">
        <f>MID('paste from garc here'!$C$2,1+(('table for research'!$B562-456)*36+HEX2DEC('table for research'!AJ$1))*2,2)</f>
        <v>00</v>
      </c>
      <c r="AK562" t="str">
        <f>MID('paste from garc here'!$C$2,1+(('table for research'!$B562-456)*36+HEX2DEC('table for research'!AK$1))*2,2)</f>
        <v>00</v>
      </c>
      <c r="AL562" t="str">
        <f>MID('paste from garc here'!$C$2,1+(('table for research'!$B562-456)*36+HEX2DEC('table for research'!AL$1))*2,2)</f>
        <v>00</v>
      </c>
      <c r="AM562" t="str">
        <f>MID('paste from garc here'!$C$2,1+(('table for research'!$B562-456)*36+HEX2DEC('table for research'!AM$1))*2,2)</f>
        <v>00</v>
      </c>
      <c r="AN562" t="str">
        <f>MID('paste from garc here'!$C$2,1+(('table for research'!$B562-456)*36+HEX2DEC('table for research'!AN$1))*2,2)</f>
        <v>00</v>
      </c>
      <c r="AO562" t="str">
        <f>MID('paste from garc here'!$C$2,1+(('table for research'!$B562-456)*36+HEX2DEC('table for research'!AO$1))*2,2)</f>
        <v>00</v>
      </c>
    </row>
    <row r="563" spans="1:41" x14ac:dyDescent="0.4">
      <c r="A563" t="s">
        <v>565</v>
      </c>
      <c r="B563">
        <f>B562+1</f>
        <v>561</v>
      </c>
      <c r="C563" t="str">
        <f>MID('paste from garc here'!$C$2,1+(('table for research'!$B563-456)*36+HEX2DEC('table for research'!C$1))*2,2)</f>
        <v>14</v>
      </c>
      <c r="D563" t="str">
        <f>MID('paste from garc here'!$C$2,1+(('table for research'!$B563-456)*36+HEX2DEC('table for research'!D$1))*2,2)</f>
        <v>00</v>
      </c>
      <c r="E563" t="str">
        <f>MID('paste from garc here'!$C$2,1+(('table for research'!$B563-456)*36+HEX2DEC('table for research'!E$1))*2,2)</f>
        <v>A9</v>
      </c>
      <c r="F563" t="str">
        <f>MID('paste from garc here'!$C$2,1+(('table for research'!$B563-456)*36+HEX2DEC('table for research'!F$1))*2,2)</f>
        <v>00</v>
      </c>
      <c r="G563" t="str">
        <f>MID('paste from garc here'!$C$2,1+(('table for research'!$B563-456)*36+HEX2DEC('table for research'!G$1))*2,2)</f>
        <v>00</v>
      </c>
      <c r="H563" t="str">
        <f>MID('paste from garc here'!$C$2,1+(('table for research'!$B563-456)*36+HEX2DEC('table for research'!H$1))*2,2)</f>
        <v>00</v>
      </c>
      <c r="I563" t="str">
        <f>MID('paste from garc here'!$C$2,1+(('table for research'!$B563-456)*36+HEX2DEC('table for research'!I$1))*2,2)</f>
        <v>00</v>
      </c>
      <c r="J563" t="str">
        <f>MID('paste from garc here'!$C$2,1+(('table for research'!$B563-456)*36+HEX2DEC('table for research'!J$1))*2,2)</f>
        <v>00</v>
      </c>
      <c r="K563" t="str">
        <f>DEC2HEX(_xlfn.BITAND(HEX2DEC(MID('paste from garc here'!$C$1,1+(('table for research'!$B563-1)*36+HEX2DEC(8))*2,2)),31),2)</f>
        <v>00</v>
      </c>
      <c r="L563" t="str">
        <f>DEC2HEX(_xlfn.BITAND(HEX2DEC(MID('paste from garc here'!$C$1,1+(('table for research'!$B563-1)*36+HEX2DEC(8))*2,2)),32),2)</f>
        <v>00</v>
      </c>
      <c r="M563" t="str">
        <f>DEC2HEX(_xlfn.BITAND(HEX2DEC(MID('paste from garc here'!$C$1,1+(('table for research'!$B563-1)*36+HEX2DEC(8))*2,2)),64),2)</f>
        <v>00</v>
      </c>
      <c r="N563" t="str">
        <f>DEC2HEX(_xlfn.BITRSHIFT(_xlfn.BITAND(HEX2DEC(MID('paste from garc here'!$C$1,1+(('table for research'!$B563-1)*36+HEX2DEC(9))*2,2)&amp;MID('paste from garc here'!$C$1,1+(('table for research'!$B563-1)*36+HEX2DEC(8))*2,2)),1920),7),2)</f>
        <v>00</v>
      </c>
      <c r="O563" t="str">
        <f>DEC2HEX(_xlfn.BITRSHIFT(HEX2DEC(MID('paste from garc here'!$C$1,1+(('table for research'!$B563-1)*36+HEX2DEC(9))*2,2)&amp;MID('paste from garc here'!$C$1,1+(('table for research'!$B563-1)*36+HEX2DEC(8))*2,2)),11),2)</f>
        <v>00</v>
      </c>
      <c r="P563" t="str">
        <f>MID('paste from garc here'!$C$2,1+(('table for research'!$B563-456)*36+HEX2DEC('table for research'!P$1))*2,2)</f>
        <v>00</v>
      </c>
      <c r="Q563" t="str">
        <f>MID('paste from garc here'!$C$2,1+(('table for research'!$B563-456)*36+HEX2DEC('table for research'!Q$1))*2,2)</f>
        <v>00</v>
      </c>
      <c r="R563" t="str">
        <f>MID('paste from garc here'!$C$2,1+(('table for research'!$B563-456)*36+HEX2DEC('table for research'!R$1))*2,2)</f>
        <v>00</v>
      </c>
      <c r="S563" t="str">
        <f>MID('paste from garc here'!$C$2,1+(('table for research'!$B563-456)*36+HEX2DEC('table for research'!S$1))*2,2)</f>
        <v>01</v>
      </c>
      <c r="T563" t="str">
        <f>MID('paste from garc here'!$C$2,1+(('table for research'!$B563-456)*36+HEX2DEC('table for research'!T$1))*2,2)</f>
        <v>01</v>
      </c>
      <c r="U563" t="str">
        <f>MID('paste from garc here'!$C$2,1+(('table for research'!$B563-456)*36+HEX2DEC('table for research'!U$1))*2,2)</f>
        <v>90</v>
      </c>
      <c r="V563" t="str">
        <f>MID('paste from garc here'!$C$2,1+(('table for research'!$B563-456)*36+HEX2DEC('table for research'!V$1))*2,2)</f>
        <v>00</v>
      </c>
      <c r="W563" t="str">
        <f>MID('paste from garc here'!$C$2,1+(('table for research'!$B563-456)*36+HEX2DEC('table for research'!W$1))*2,2)</f>
        <v>00</v>
      </c>
      <c r="X563" t="str">
        <f>MID('paste from garc here'!$C$2,1+(('table for research'!$B563-456)*36+HEX2DEC('table for research'!X$1))*2,2)</f>
        <v>00</v>
      </c>
      <c r="Y563" t="str">
        <f>MID('paste from garc here'!$C$2,1+(('table for research'!$B563-456)*36+HEX2DEC('table for research'!Y$1))*2,2)</f>
        <v>00</v>
      </c>
      <c r="Z563" t="str">
        <f>MID('paste from garc here'!$C$2,1+(('table for research'!$B563-456)*36+HEX2DEC('table for research'!Z$1))*2,2)</f>
        <v>00</v>
      </c>
      <c r="AA563" t="str">
        <f>MID('paste from garc here'!$C$2,1+(('table for research'!$B563-456)*36+HEX2DEC('table for research'!AA$1))*2,2)</f>
        <v>00</v>
      </c>
      <c r="AB563" t="str">
        <f>MID('paste from garc here'!$C$2,1+(('table for research'!$B563-456)*36+HEX2DEC('table for research'!AB$1))*2,2)</f>
        <v>00</v>
      </c>
      <c r="AC563" t="str">
        <f>MID('paste from garc here'!$C$2,1+(('table for research'!$B563-456)*36+HEX2DEC('table for research'!AC$1))*2,2)</f>
        <v>00</v>
      </c>
      <c r="AD563" t="str">
        <f>MID('paste from garc here'!$C$2,1+(('table for research'!$B563-456)*36+HEX2DEC('table for research'!AD$1))*2,2)</f>
        <v>00</v>
      </c>
      <c r="AE563" t="str">
        <f>MID('paste from garc here'!$C$2,1+(('table for research'!$B563-456)*36+HEX2DEC('table for research'!AE$1))*2,2)</f>
        <v>00</v>
      </c>
      <c r="AF563" t="str">
        <f>MID('paste from garc here'!$C$2,1+(('table for research'!$B563-456)*36+HEX2DEC('table for research'!AF$1))*2,2)</f>
        <v>00</v>
      </c>
      <c r="AG563" t="str">
        <f>MID('paste from garc here'!$C$2,1+(('table for research'!$B563-456)*36+HEX2DEC('table for research'!AG$1))*2,2)</f>
        <v>00</v>
      </c>
      <c r="AH563" t="str">
        <f>MID('paste from garc here'!$C$2,1+(('table for research'!$B563-456)*36+HEX2DEC('table for research'!AH$1))*2,2)</f>
        <v>00</v>
      </c>
      <c r="AI563" t="str">
        <f>MID('paste from garc here'!$C$2,1+(('table for research'!$B563-456)*36+HEX2DEC('table for research'!AI$1))*2,2)</f>
        <v>00</v>
      </c>
      <c r="AJ563" t="str">
        <f>MID('paste from garc here'!$C$2,1+(('table for research'!$B563-456)*36+HEX2DEC('table for research'!AJ$1))*2,2)</f>
        <v>00</v>
      </c>
      <c r="AK563" t="str">
        <f>MID('paste from garc here'!$C$2,1+(('table for research'!$B563-456)*36+HEX2DEC('table for research'!AK$1))*2,2)</f>
        <v>00</v>
      </c>
      <c r="AL563" t="str">
        <f>MID('paste from garc here'!$C$2,1+(('table for research'!$B563-456)*36+HEX2DEC('table for research'!AL$1))*2,2)</f>
        <v>00</v>
      </c>
      <c r="AM563" t="str">
        <f>MID('paste from garc here'!$C$2,1+(('table for research'!$B563-456)*36+HEX2DEC('table for research'!AM$1))*2,2)</f>
        <v>00</v>
      </c>
      <c r="AN563" t="str">
        <f>MID('paste from garc here'!$C$2,1+(('table for research'!$B563-456)*36+HEX2DEC('table for research'!AN$1))*2,2)</f>
        <v>00</v>
      </c>
      <c r="AO563" t="str">
        <f>MID('paste from garc here'!$C$2,1+(('table for research'!$B563-456)*36+HEX2DEC('table for research'!AO$1))*2,2)</f>
        <v>00</v>
      </c>
    </row>
    <row r="564" spans="1:41" x14ac:dyDescent="0.4">
      <c r="A564" t="s">
        <v>566</v>
      </c>
      <c r="B564">
        <f>B563+1</f>
        <v>562</v>
      </c>
      <c r="C564" t="str">
        <f>MID('paste from garc here'!$C$2,1+(('table for research'!$B564-456)*36+HEX2DEC('table for research'!C$1))*2,2)</f>
        <v>14</v>
      </c>
      <c r="D564" t="str">
        <f>MID('paste from garc here'!$C$2,1+(('table for research'!$B564-456)*36+HEX2DEC('table for research'!D$1))*2,2)</f>
        <v>00</v>
      </c>
      <c r="E564" t="str">
        <f>MID('paste from garc here'!$C$2,1+(('table for research'!$B564-456)*36+HEX2DEC('table for research'!E$1))*2,2)</f>
        <v>AA</v>
      </c>
      <c r="F564" t="str">
        <f>MID('paste from garc here'!$C$2,1+(('table for research'!$B564-456)*36+HEX2DEC('table for research'!F$1))*2,2)</f>
        <v>00</v>
      </c>
      <c r="G564" t="str">
        <f>MID('paste from garc here'!$C$2,1+(('table for research'!$B564-456)*36+HEX2DEC('table for research'!G$1))*2,2)</f>
        <v>00</v>
      </c>
      <c r="H564" t="str">
        <f>MID('paste from garc here'!$C$2,1+(('table for research'!$B564-456)*36+HEX2DEC('table for research'!H$1))*2,2)</f>
        <v>00</v>
      </c>
      <c r="I564" t="str">
        <f>MID('paste from garc here'!$C$2,1+(('table for research'!$B564-456)*36+HEX2DEC('table for research'!I$1))*2,2)</f>
        <v>00</v>
      </c>
      <c r="J564" t="str">
        <f>MID('paste from garc here'!$C$2,1+(('table for research'!$B564-456)*36+HEX2DEC('table for research'!J$1))*2,2)</f>
        <v>00</v>
      </c>
      <c r="K564" t="str">
        <f>DEC2HEX(_xlfn.BITAND(HEX2DEC(MID('paste from garc here'!$C$1,1+(('table for research'!$B564-1)*36+HEX2DEC(8))*2,2)),31),2)</f>
        <v>00</v>
      </c>
      <c r="L564" t="str">
        <f>DEC2HEX(_xlfn.BITAND(HEX2DEC(MID('paste from garc here'!$C$1,1+(('table for research'!$B564-1)*36+HEX2DEC(8))*2,2)),32),2)</f>
        <v>00</v>
      </c>
      <c r="M564" t="str">
        <f>DEC2HEX(_xlfn.BITAND(HEX2DEC(MID('paste from garc here'!$C$1,1+(('table for research'!$B564-1)*36+HEX2DEC(8))*2,2)),64),2)</f>
        <v>00</v>
      </c>
      <c r="N564" t="str">
        <f>DEC2HEX(_xlfn.BITRSHIFT(_xlfn.BITAND(HEX2DEC(MID('paste from garc here'!$C$1,1+(('table for research'!$B564-1)*36+HEX2DEC(9))*2,2)&amp;MID('paste from garc here'!$C$1,1+(('table for research'!$B564-1)*36+HEX2DEC(8))*2,2)),1920),7),2)</f>
        <v>00</v>
      </c>
      <c r="O564" t="str">
        <f>DEC2HEX(_xlfn.BITRSHIFT(HEX2DEC(MID('paste from garc here'!$C$1,1+(('table for research'!$B564-1)*36+HEX2DEC(9))*2,2)&amp;MID('paste from garc here'!$C$1,1+(('table for research'!$B564-1)*36+HEX2DEC(8))*2,2)),11),2)</f>
        <v>00</v>
      </c>
      <c r="P564" t="str">
        <f>MID('paste from garc here'!$C$2,1+(('table for research'!$B564-456)*36+HEX2DEC('table for research'!P$1))*2,2)</f>
        <v>00</v>
      </c>
      <c r="Q564" t="str">
        <f>MID('paste from garc here'!$C$2,1+(('table for research'!$B564-456)*36+HEX2DEC('table for research'!Q$1))*2,2)</f>
        <v>00</v>
      </c>
      <c r="R564" t="str">
        <f>MID('paste from garc here'!$C$2,1+(('table for research'!$B564-456)*36+HEX2DEC('table for research'!R$1))*2,2)</f>
        <v>00</v>
      </c>
      <c r="S564" t="str">
        <f>MID('paste from garc here'!$C$2,1+(('table for research'!$B564-456)*36+HEX2DEC('table for research'!S$1))*2,2)</f>
        <v>01</v>
      </c>
      <c r="T564" t="str">
        <f>MID('paste from garc here'!$C$2,1+(('table for research'!$B564-456)*36+HEX2DEC('table for research'!T$1))*2,2)</f>
        <v>01</v>
      </c>
      <c r="U564" t="str">
        <f>MID('paste from garc here'!$C$2,1+(('table for research'!$B564-456)*36+HEX2DEC('table for research'!U$1))*2,2)</f>
        <v>91</v>
      </c>
      <c r="V564" t="str">
        <f>MID('paste from garc here'!$C$2,1+(('table for research'!$B564-456)*36+HEX2DEC('table for research'!V$1))*2,2)</f>
        <v>00</v>
      </c>
      <c r="W564" t="str">
        <f>MID('paste from garc here'!$C$2,1+(('table for research'!$B564-456)*36+HEX2DEC('table for research'!W$1))*2,2)</f>
        <v>00</v>
      </c>
      <c r="X564" t="str">
        <f>MID('paste from garc here'!$C$2,1+(('table for research'!$B564-456)*36+HEX2DEC('table for research'!X$1))*2,2)</f>
        <v>00</v>
      </c>
      <c r="Y564" t="str">
        <f>MID('paste from garc here'!$C$2,1+(('table for research'!$B564-456)*36+HEX2DEC('table for research'!Y$1))*2,2)</f>
        <v>00</v>
      </c>
      <c r="Z564" t="str">
        <f>MID('paste from garc here'!$C$2,1+(('table for research'!$B564-456)*36+HEX2DEC('table for research'!Z$1))*2,2)</f>
        <v>00</v>
      </c>
      <c r="AA564" t="str">
        <f>MID('paste from garc here'!$C$2,1+(('table for research'!$B564-456)*36+HEX2DEC('table for research'!AA$1))*2,2)</f>
        <v>00</v>
      </c>
      <c r="AB564" t="str">
        <f>MID('paste from garc here'!$C$2,1+(('table for research'!$B564-456)*36+HEX2DEC('table for research'!AB$1))*2,2)</f>
        <v>00</v>
      </c>
      <c r="AC564" t="str">
        <f>MID('paste from garc here'!$C$2,1+(('table for research'!$B564-456)*36+HEX2DEC('table for research'!AC$1))*2,2)</f>
        <v>00</v>
      </c>
      <c r="AD564" t="str">
        <f>MID('paste from garc here'!$C$2,1+(('table for research'!$B564-456)*36+HEX2DEC('table for research'!AD$1))*2,2)</f>
        <v>00</v>
      </c>
      <c r="AE564" t="str">
        <f>MID('paste from garc here'!$C$2,1+(('table for research'!$B564-456)*36+HEX2DEC('table for research'!AE$1))*2,2)</f>
        <v>00</v>
      </c>
      <c r="AF564" t="str">
        <f>MID('paste from garc here'!$C$2,1+(('table for research'!$B564-456)*36+HEX2DEC('table for research'!AF$1))*2,2)</f>
        <v>00</v>
      </c>
      <c r="AG564" t="str">
        <f>MID('paste from garc here'!$C$2,1+(('table for research'!$B564-456)*36+HEX2DEC('table for research'!AG$1))*2,2)</f>
        <v>00</v>
      </c>
      <c r="AH564" t="str">
        <f>MID('paste from garc here'!$C$2,1+(('table for research'!$B564-456)*36+HEX2DEC('table for research'!AH$1))*2,2)</f>
        <v>00</v>
      </c>
      <c r="AI564" t="str">
        <f>MID('paste from garc here'!$C$2,1+(('table for research'!$B564-456)*36+HEX2DEC('table for research'!AI$1))*2,2)</f>
        <v>00</v>
      </c>
      <c r="AJ564" t="str">
        <f>MID('paste from garc here'!$C$2,1+(('table for research'!$B564-456)*36+HEX2DEC('table for research'!AJ$1))*2,2)</f>
        <v>00</v>
      </c>
      <c r="AK564" t="str">
        <f>MID('paste from garc here'!$C$2,1+(('table for research'!$B564-456)*36+HEX2DEC('table for research'!AK$1))*2,2)</f>
        <v>00</v>
      </c>
      <c r="AL564" t="str">
        <f>MID('paste from garc here'!$C$2,1+(('table for research'!$B564-456)*36+HEX2DEC('table for research'!AL$1))*2,2)</f>
        <v>00</v>
      </c>
      <c r="AM564" t="str">
        <f>MID('paste from garc here'!$C$2,1+(('table for research'!$B564-456)*36+HEX2DEC('table for research'!AM$1))*2,2)</f>
        <v>00</v>
      </c>
      <c r="AN564" t="str">
        <f>MID('paste from garc here'!$C$2,1+(('table for research'!$B564-456)*36+HEX2DEC('table for research'!AN$1))*2,2)</f>
        <v>00</v>
      </c>
      <c r="AO564" t="str">
        <f>MID('paste from garc here'!$C$2,1+(('table for research'!$B564-456)*36+HEX2DEC('table for research'!AO$1))*2,2)</f>
        <v>00</v>
      </c>
    </row>
    <row r="565" spans="1:41" x14ac:dyDescent="0.4">
      <c r="A565" t="s">
        <v>567</v>
      </c>
      <c r="B565">
        <f>B564+1</f>
        <v>563</v>
      </c>
      <c r="C565" t="str">
        <f>MID('paste from garc here'!$C$2,1+(('table for research'!$B565-456)*36+HEX2DEC('table for research'!C$1))*2,2)</f>
        <v>14</v>
      </c>
      <c r="D565" t="str">
        <f>MID('paste from garc here'!$C$2,1+(('table for research'!$B565-456)*36+HEX2DEC('table for research'!D$1))*2,2)</f>
        <v>00</v>
      </c>
      <c r="E565" t="str">
        <f>MID('paste from garc here'!$C$2,1+(('table for research'!$B565-456)*36+HEX2DEC('table for research'!E$1))*2,2)</f>
        <v>AB</v>
      </c>
      <c r="F565" t="str">
        <f>MID('paste from garc here'!$C$2,1+(('table for research'!$B565-456)*36+HEX2DEC('table for research'!F$1))*2,2)</f>
        <v>00</v>
      </c>
      <c r="G565" t="str">
        <f>MID('paste from garc here'!$C$2,1+(('table for research'!$B565-456)*36+HEX2DEC('table for research'!G$1))*2,2)</f>
        <v>00</v>
      </c>
      <c r="H565" t="str">
        <f>MID('paste from garc here'!$C$2,1+(('table for research'!$B565-456)*36+HEX2DEC('table for research'!H$1))*2,2)</f>
        <v>00</v>
      </c>
      <c r="I565" t="str">
        <f>MID('paste from garc here'!$C$2,1+(('table for research'!$B565-456)*36+HEX2DEC('table for research'!I$1))*2,2)</f>
        <v>00</v>
      </c>
      <c r="J565" t="str">
        <f>MID('paste from garc here'!$C$2,1+(('table for research'!$B565-456)*36+HEX2DEC('table for research'!J$1))*2,2)</f>
        <v>00</v>
      </c>
      <c r="K565" t="str">
        <f>DEC2HEX(_xlfn.BITAND(HEX2DEC(MID('paste from garc here'!$C$1,1+(('table for research'!$B565-1)*36+HEX2DEC(8))*2,2)),31),2)</f>
        <v>00</v>
      </c>
      <c r="L565" t="str">
        <f>DEC2HEX(_xlfn.BITAND(HEX2DEC(MID('paste from garc here'!$C$1,1+(('table for research'!$B565-1)*36+HEX2DEC(8))*2,2)),32),2)</f>
        <v>00</v>
      </c>
      <c r="M565" t="str">
        <f>DEC2HEX(_xlfn.BITAND(HEX2DEC(MID('paste from garc here'!$C$1,1+(('table for research'!$B565-1)*36+HEX2DEC(8))*2,2)),64),2)</f>
        <v>00</v>
      </c>
      <c r="N565" t="str">
        <f>DEC2HEX(_xlfn.BITRSHIFT(_xlfn.BITAND(HEX2DEC(MID('paste from garc here'!$C$1,1+(('table for research'!$B565-1)*36+HEX2DEC(9))*2,2)&amp;MID('paste from garc here'!$C$1,1+(('table for research'!$B565-1)*36+HEX2DEC(8))*2,2)),1920),7),2)</f>
        <v>00</v>
      </c>
      <c r="O565" t="str">
        <f>DEC2HEX(_xlfn.BITRSHIFT(HEX2DEC(MID('paste from garc here'!$C$1,1+(('table for research'!$B565-1)*36+HEX2DEC(9))*2,2)&amp;MID('paste from garc here'!$C$1,1+(('table for research'!$B565-1)*36+HEX2DEC(8))*2,2)),11),2)</f>
        <v>00</v>
      </c>
      <c r="P565" t="str">
        <f>MID('paste from garc here'!$C$2,1+(('table for research'!$B565-456)*36+HEX2DEC('table for research'!P$1))*2,2)</f>
        <v>00</v>
      </c>
      <c r="Q565" t="str">
        <f>MID('paste from garc here'!$C$2,1+(('table for research'!$B565-456)*36+HEX2DEC('table for research'!Q$1))*2,2)</f>
        <v>00</v>
      </c>
      <c r="R565" t="str">
        <f>MID('paste from garc here'!$C$2,1+(('table for research'!$B565-456)*36+HEX2DEC('table for research'!R$1))*2,2)</f>
        <v>00</v>
      </c>
      <c r="S565" t="str">
        <f>MID('paste from garc here'!$C$2,1+(('table for research'!$B565-456)*36+HEX2DEC('table for research'!S$1))*2,2)</f>
        <v>01</v>
      </c>
      <c r="T565" t="str">
        <f>MID('paste from garc here'!$C$2,1+(('table for research'!$B565-456)*36+HEX2DEC('table for research'!T$1))*2,2)</f>
        <v>01</v>
      </c>
      <c r="U565" t="str">
        <f>MID('paste from garc here'!$C$2,1+(('table for research'!$B565-456)*36+HEX2DEC('table for research'!U$1))*2,2)</f>
        <v>92</v>
      </c>
      <c r="V565" t="str">
        <f>MID('paste from garc here'!$C$2,1+(('table for research'!$B565-456)*36+HEX2DEC('table for research'!V$1))*2,2)</f>
        <v>00</v>
      </c>
      <c r="W565" t="str">
        <f>MID('paste from garc here'!$C$2,1+(('table for research'!$B565-456)*36+HEX2DEC('table for research'!W$1))*2,2)</f>
        <v>00</v>
      </c>
      <c r="X565" t="str">
        <f>MID('paste from garc here'!$C$2,1+(('table for research'!$B565-456)*36+HEX2DEC('table for research'!X$1))*2,2)</f>
        <v>00</v>
      </c>
      <c r="Y565" t="str">
        <f>MID('paste from garc here'!$C$2,1+(('table for research'!$B565-456)*36+HEX2DEC('table for research'!Y$1))*2,2)</f>
        <v>00</v>
      </c>
      <c r="Z565" t="str">
        <f>MID('paste from garc here'!$C$2,1+(('table for research'!$B565-456)*36+HEX2DEC('table for research'!Z$1))*2,2)</f>
        <v>00</v>
      </c>
      <c r="AA565" t="str">
        <f>MID('paste from garc here'!$C$2,1+(('table for research'!$B565-456)*36+HEX2DEC('table for research'!AA$1))*2,2)</f>
        <v>00</v>
      </c>
      <c r="AB565" t="str">
        <f>MID('paste from garc here'!$C$2,1+(('table for research'!$B565-456)*36+HEX2DEC('table for research'!AB$1))*2,2)</f>
        <v>00</v>
      </c>
      <c r="AC565" t="str">
        <f>MID('paste from garc here'!$C$2,1+(('table for research'!$B565-456)*36+HEX2DEC('table for research'!AC$1))*2,2)</f>
        <v>00</v>
      </c>
      <c r="AD565" t="str">
        <f>MID('paste from garc here'!$C$2,1+(('table for research'!$B565-456)*36+HEX2DEC('table for research'!AD$1))*2,2)</f>
        <v>00</v>
      </c>
      <c r="AE565" t="str">
        <f>MID('paste from garc here'!$C$2,1+(('table for research'!$B565-456)*36+HEX2DEC('table for research'!AE$1))*2,2)</f>
        <v>00</v>
      </c>
      <c r="AF565" t="str">
        <f>MID('paste from garc here'!$C$2,1+(('table for research'!$B565-456)*36+HEX2DEC('table for research'!AF$1))*2,2)</f>
        <v>00</v>
      </c>
      <c r="AG565" t="str">
        <f>MID('paste from garc here'!$C$2,1+(('table for research'!$B565-456)*36+HEX2DEC('table for research'!AG$1))*2,2)</f>
        <v>00</v>
      </c>
      <c r="AH565" t="str">
        <f>MID('paste from garc here'!$C$2,1+(('table for research'!$B565-456)*36+HEX2DEC('table for research'!AH$1))*2,2)</f>
        <v>00</v>
      </c>
      <c r="AI565" t="str">
        <f>MID('paste from garc here'!$C$2,1+(('table for research'!$B565-456)*36+HEX2DEC('table for research'!AI$1))*2,2)</f>
        <v>00</v>
      </c>
      <c r="AJ565" t="str">
        <f>MID('paste from garc here'!$C$2,1+(('table for research'!$B565-456)*36+HEX2DEC('table for research'!AJ$1))*2,2)</f>
        <v>00</v>
      </c>
      <c r="AK565" t="str">
        <f>MID('paste from garc here'!$C$2,1+(('table for research'!$B565-456)*36+HEX2DEC('table for research'!AK$1))*2,2)</f>
        <v>00</v>
      </c>
      <c r="AL565" t="str">
        <f>MID('paste from garc here'!$C$2,1+(('table for research'!$B565-456)*36+HEX2DEC('table for research'!AL$1))*2,2)</f>
        <v>00</v>
      </c>
      <c r="AM565" t="str">
        <f>MID('paste from garc here'!$C$2,1+(('table for research'!$B565-456)*36+HEX2DEC('table for research'!AM$1))*2,2)</f>
        <v>00</v>
      </c>
      <c r="AN565" t="str">
        <f>MID('paste from garc here'!$C$2,1+(('table for research'!$B565-456)*36+HEX2DEC('table for research'!AN$1))*2,2)</f>
        <v>00</v>
      </c>
      <c r="AO565" t="str">
        <f>MID('paste from garc here'!$C$2,1+(('table for research'!$B565-456)*36+HEX2DEC('table for research'!AO$1))*2,2)</f>
        <v>00</v>
      </c>
    </row>
    <row r="566" spans="1:41" x14ac:dyDescent="0.4">
      <c r="A566" t="s">
        <v>568</v>
      </c>
      <c r="B566">
        <f>B565+1</f>
        <v>564</v>
      </c>
      <c r="C566" t="str">
        <f>MID('paste from garc here'!$C$2,1+(('table for research'!$B566-456)*36+HEX2DEC('table for research'!C$1))*2,2)</f>
        <v>90</v>
      </c>
      <c r="D566" t="str">
        <f>MID('paste from garc here'!$C$2,1+(('table for research'!$B566-456)*36+HEX2DEC('table for research'!D$1))*2,2)</f>
        <v>01</v>
      </c>
      <c r="E566" t="str">
        <f>MID('paste from garc here'!$C$2,1+(('table for research'!$B566-456)*36+HEX2DEC('table for research'!E$1))*2,2)</f>
        <v>AC</v>
      </c>
      <c r="F566" t="str">
        <f>MID('paste from garc here'!$C$2,1+(('table for research'!$B566-456)*36+HEX2DEC('table for research'!F$1))*2,2)</f>
        <v>00</v>
      </c>
      <c r="G566" t="str">
        <f>MID('paste from garc here'!$C$2,1+(('table for research'!$B566-456)*36+HEX2DEC('table for research'!G$1))*2,2)</f>
        <v>00</v>
      </c>
      <c r="H566" t="str">
        <f>MID('paste from garc here'!$C$2,1+(('table for research'!$B566-456)*36+HEX2DEC('table for research'!H$1))*2,2)</f>
        <v>00</v>
      </c>
      <c r="I566" t="str">
        <f>MID('paste from garc here'!$C$2,1+(('table for research'!$B566-456)*36+HEX2DEC('table for research'!I$1))*2,2)</f>
        <v>00</v>
      </c>
      <c r="J566" t="str">
        <f>MID('paste from garc here'!$C$2,1+(('table for research'!$B566-456)*36+HEX2DEC('table for research'!J$1))*2,2)</f>
        <v>00</v>
      </c>
      <c r="K566" t="str">
        <f>DEC2HEX(_xlfn.BITAND(HEX2DEC(MID('paste from garc here'!$C$1,1+(('table for research'!$B566-1)*36+HEX2DEC(8))*2,2)),31),2)</f>
        <v>00</v>
      </c>
      <c r="L566" t="str">
        <f>DEC2HEX(_xlfn.BITAND(HEX2DEC(MID('paste from garc here'!$C$1,1+(('table for research'!$B566-1)*36+HEX2DEC(8))*2,2)),32),2)</f>
        <v>00</v>
      </c>
      <c r="M566" t="str">
        <f>DEC2HEX(_xlfn.BITAND(HEX2DEC(MID('paste from garc here'!$C$1,1+(('table for research'!$B566-1)*36+HEX2DEC(8))*2,2)),64),2)</f>
        <v>00</v>
      </c>
      <c r="N566" t="str">
        <f>DEC2HEX(_xlfn.BITRSHIFT(_xlfn.BITAND(HEX2DEC(MID('paste from garc here'!$C$1,1+(('table for research'!$B566-1)*36+HEX2DEC(9))*2,2)&amp;MID('paste from garc here'!$C$1,1+(('table for research'!$B566-1)*36+HEX2DEC(8))*2,2)),1920),7),2)</f>
        <v>00</v>
      </c>
      <c r="O566" t="str">
        <f>DEC2HEX(_xlfn.BITRSHIFT(HEX2DEC(MID('paste from garc here'!$C$1,1+(('table for research'!$B566-1)*36+HEX2DEC(9))*2,2)&amp;MID('paste from garc here'!$C$1,1+(('table for research'!$B566-1)*36+HEX2DEC(8))*2,2)),11),2)</f>
        <v>00</v>
      </c>
      <c r="P566" t="str">
        <f>MID('paste from garc here'!$C$2,1+(('table for research'!$B566-456)*36+HEX2DEC('table for research'!P$1))*2,2)</f>
        <v>00</v>
      </c>
      <c r="Q566" t="str">
        <f>MID('paste from garc here'!$C$2,1+(('table for research'!$B566-456)*36+HEX2DEC('table for research'!Q$1))*2,2)</f>
        <v>00</v>
      </c>
      <c r="R566" t="str">
        <f>MID('paste from garc here'!$C$2,1+(('table for research'!$B566-456)*36+HEX2DEC('table for research'!R$1))*2,2)</f>
        <v>00</v>
      </c>
      <c r="S566" t="str">
        <f>MID('paste from garc here'!$C$2,1+(('table for research'!$B566-456)*36+HEX2DEC('table for research'!S$1))*2,2)</f>
        <v>01</v>
      </c>
      <c r="T566" t="str">
        <f>MID('paste from garc here'!$C$2,1+(('table for research'!$B566-456)*36+HEX2DEC('table for research'!T$1))*2,2)</f>
        <v>01</v>
      </c>
      <c r="U566" t="str">
        <f>MID('paste from garc here'!$C$2,1+(('table for research'!$B566-456)*36+HEX2DEC('table for research'!U$1))*2,2)</f>
        <v>82</v>
      </c>
      <c r="V566" t="str">
        <f>MID('paste from garc here'!$C$2,1+(('table for research'!$B566-456)*36+HEX2DEC('table for research'!V$1))*2,2)</f>
        <v>00</v>
      </c>
      <c r="W566" t="str">
        <f>MID('paste from garc here'!$C$2,1+(('table for research'!$B566-456)*36+HEX2DEC('table for research'!W$1))*2,2)</f>
        <v>00</v>
      </c>
      <c r="X566" t="str">
        <f>MID('paste from garc here'!$C$2,1+(('table for research'!$B566-456)*36+HEX2DEC('table for research'!X$1))*2,2)</f>
        <v>00</v>
      </c>
      <c r="Y566" t="str">
        <f>MID('paste from garc here'!$C$2,1+(('table for research'!$B566-456)*36+HEX2DEC('table for research'!Y$1))*2,2)</f>
        <v>00</v>
      </c>
      <c r="Z566" t="str">
        <f>MID('paste from garc here'!$C$2,1+(('table for research'!$B566-456)*36+HEX2DEC('table for research'!Z$1))*2,2)</f>
        <v>00</v>
      </c>
      <c r="AA566" t="str">
        <f>MID('paste from garc here'!$C$2,1+(('table for research'!$B566-456)*36+HEX2DEC('table for research'!AA$1))*2,2)</f>
        <v>00</v>
      </c>
      <c r="AB566" t="str">
        <f>MID('paste from garc here'!$C$2,1+(('table for research'!$B566-456)*36+HEX2DEC('table for research'!AB$1))*2,2)</f>
        <v>00</v>
      </c>
      <c r="AC566" t="str">
        <f>MID('paste from garc here'!$C$2,1+(('table for research'!$B566-456)*36+HEX2DEC('table for research'!AC$1))*2,2)</f>
        <v>00</v>
      </c>
      <c r="AD566" t="str">
        <f>MID('paste from garc here'!$C$2,1+(('table for research'!$B566-456)*36+HEX2DEC('table for research'!AD$1))*2,2)</f>
        <v>00</v>
      </c>
      <c r="AE566" t="str">
        <f>MID('paste from garc here'!$C$2,1+(('table for research'!$B566-456)*36+HEX2DEC('table for research'!AE$1))*2,2)</f>
        <v>00</v>
      </c>
      <c r="AF566" t="str">
        <f>MID('paste from garc here'!$C$2,1+(('table for research'!$B566-456)*36+HEX2DEC('table for research'!AF$1))*2,2)</f>
        <v>00</v>
      </c>
      <c r="AG566" t="str">
        <f>MID('paste from garc here'!$C$2,1+(('table for research'!$B566-456)*36+HEX2DEC('table for research'!AG$1))*2,2)</f>
        <v>00</v>
      </c>
      <c r="AH566" t="str">
        <f>MID('paste from garc here'!$C$2,1+(('table for research'!$B566-456)*36+HEX2DEC('table for research'!AH$1))*2,2)</f>
        <v>00</v>
      </c>
      <c r="AI566" t="str">
        <f>MID('paste from garc here'!$C$2,1+(('table for research'!$B566-456)*36+HEX2DEC('table for research'!AI$1))*2,2)</f>
        <v>00</v>
      </c>
      <c r="AJ566" t="str">
        <f>MID('paste from garc here'!$C$2,1+(('table for research'!$B566-456)*36+HEX2DEC('table for research'!AJ$1))*2,2)</f>
        <v>00</v>
      </c>
      <c r="AK566" t="str">
        <f>MID('paste from garc here'!$C$2,1+(('table for research'!$B566-456)*36+HEX2DEC('table for research'!AK$1))*2,2)</f>
        <v>00</v>
      </c>
      <c r="AL566" t="str">
        <f>MID('paste from garc here'!$C$2,1+(('table for research'!$B566-456)*36+HEX2DEC('table for research'!AL$1))*2,2)</f>
        <v>00</v>
      </c>
      <c r="AM566" t="str">
        <f>MID('paste from garc here'!$C$2,1+(('table for research'!$B566-456)*36+HEX2DEC('table for research'!AM$1))*2,2)</f>
        <v>00</v>
      </c>
      <c r="AN566" t="str">
        <f>MID('paste from garc here'!$C$2,1+(('table for research'!$B566-456)*36+HEX2DEC('table for research'!AN$1))*2,2)</f>
        <v>00</v>
      </c>
      <c r="AO566" t="str">
        <f>MID('paste from garc here'!$C$2,1+(('table for research'!$B566-456)*36+HEX2DEC('table for research'!AO$1))*2,2)</f>
        <v>00</v>
      </c>
    </row>
    <row r="567" spans="1:41" x14ac:dyDescent="0.4">
      <c r="A567" t="s">
        <v>569</v>
      </c>
      <c r="B567">
        <f>B566+1</f>
        <v>565</v>
      </c>
      <c r="C567" t="str">
        <f>MID('paste from garc here'!$C$2,1+(('table for research'!$B567-456)*36+HEX2DEC('table for research'!C$1))*2,2)</f>
        <v>B8</v>
      </c>
      <c r="D567" t="str">
        <f>MID('paste from garc here'!$C$2,1+(('table for research'!$B567-456)*36+HEX2DEC('table for research'!D$1))*2,2)</f>
        <v>0B</v>
      </c>
      <c r="E567" t="str">
        <f>MID('paste from garc here'!$C$2,1+(('table for research'!$B567-456)*36+HEX2DEC('table for research'!E$1))*2,2)</f>
        <v>00</v>
      </c>
      <c r="F567" t="str">
        <f>MID('paste from garc here'!$C$2,1+(('table for research'!$B567-456)*36+HEX2DEC('table for research'!F$1))*2,2)</f>
        <v>00</v>
      </c>
      <c r="G567" t="str">
        <f>MID('paste from garc here'!$C$2,1+(('table for research'!$B567-456)*36+HEX2DEC('table for research'!G$1))*2,2)</f>
        <v>00</v>
      </c>
      <c r="H567" t="str">
        <f>MID('paste from garc here'!$C$2,1+(('table for research'!$B567-456)*36+HEX2DEC('table for research'!H$1))*2,2)</f>
        <v>00</v>
      </c>
      <c r="I567" t="str">
        <f>MID('paste from garc here'!$C$2,1+(('table for research'!$B567-456)*36+HEX2DEC('table for research'!I$1))*2,2)</f>
        <v>14</v>
      </c>
      <c r="J567" t="str">
        <f>MID('paste from garc here'!$C$2,1+(('table for research'!$B567-456)*36+HEX2DEC('table for research'!J$1))*2,2)</f>
        <v>00</v>
      </c>
      <c r="K567" t="str">
        <f>DEC2HEX(_xlfn.BITAND(HEX2DEC(MID('paste from garc here'!$C$1,1+(('table for research'!$B567-1)*36+HEX2DEC(8))*2,2)),31),2)</f>
        <v>00</v>
      </c>
      <c r="L567" t="str">
        <f>DEC2HEX(_xlfn.BITAND(HEX2DEC(MID('paste from garc here'!$C$1,1+(('table for research'!$B567-1)*36+HEX2DEC(8))*2,2)),32),2)</f>
        <v>00</v>
      </c>
      <c r="M567" t="str">
        <f>DEC2HEX(_xlfn.BITAND(HEX2DEC(MID('paste from garc here'!$C$1,1+(('table for research'!$B567-1)*36+HEX2DEC(8))*2,2)),64),2)</f>
        <v>00</v>
      </c>
      <c r="N567" t="str">
        <f>DEC2HEX(_xlfn.BITRSHIFT(_xlfn.BITAND(HEX2DEC(MID('paste from garc here'!$C$1,1+(('table for research'!$B567-1)*36+HEX2DEC(9))*2,2)&amp;MID('paste from garc here'!$C$1,1+(('table for research'!$B567-1)*36+HEX2DEC(8))*2,2)),1920),7),2)</f>
        <v>00</v>
      </c>
      <c r="O567" t="str">
        <f>DEC2HEX(_xlfn.BITRSHIFT(HEX2DEC(MID('paste from garc here'!$C$1,1+(('table for research'!$B567-1)*36+HEX2DEC(9))*2,2)&amp;MID('paste from garc here'!$C$1,1+(('table for research'!$B567-1)*36+HEX2DEC(8))*2,2)),11),2)</f>
        <v>00</v>
      </c>
      <c r="P567" t="str">
        <f>MID('paste from garc here'!$C$2,1+(('table for research'!$B567-456)*36+HEX2DEC('table for research'!P$1))*2,2)</f>
        <v>01</v>
      </c>
      <c r="Q567" t="str">
        <f>MID('paste from garc here'!$C$2,1+(('table for research'!$B567-456)*36+HEX2DEC('table for research'!Q$1))*2,2)</f>
        <v>00</v>
      </c>
      <c r="R567" t="str">
        <f>MID('paste from garc here'!$C$2,1+(('table for research'!$B567-456)*36+HEX2DEC('table for research'!R$1))*2,2)</f>
        <v>01</v>
      </c>
      <c r="S567" t="str">
        <f>MID('paste from garc here'!$C$2,1+(('table for research'!$B567-456)*36+HEX2DEC('table for research'!S$1))*2,2)</f>
        <v>00</v>
      </c>
      <c r="T567" t="str">
        <f>MID('paste from garc here'!$C$2,1+(('table for research'!$B567-456)*36+HEX2DEC('table for research'!T$1))*2,2)</f>
        <v>00</v>
      </c>
      <c r="U567" t="str">
        <f>MID('paste from garc here'!$C$2,1+(('table for research'!$B567-456)*36+HEX2DEC('table for research'!U$1))*2,2)</f>
        <v>01</v>
      </c>
      <c r="V567" t="str">
        <f>MID('paste from garc here'!$C$2,1+(('table for research'!$B567-456)*36+HEX2DEC('table for research'!V$1))*2,2)</f>
        <v>00</v>
      </c>
      <c r="W567" t="str">
        <f>MID('paste from garc here'!$C$2,1+(('table for research'!$B567-456)*36+HEX2DEC('table for research'!W$1))*2,2)</f>
        <v>00</v>
      </c>
      <c r="X567" t="str">
        <f>MID('paste from garc here'!$C$2,1+(('table for research'!$B567-456)*36+HEX2DEC('table for research'!X$1))*2,2)</f>
        <v>00</v>
      </c>
      <c r="Y567" t="str">
        <f>MID('paste from garc here'!$C$2,1+(('table for research'!$B567-456)*36+HEX2DEC('table for research'!Y$1))*2,2)</f>
        <v>00</v>
      </c>
      <c r="Z567" t="str">
        <f>MID('paste from garc here'!$C$2,1+(('table for research'!$B567-456)*36+HEX2DEC('table for research'!Z$1))*2,2)</f>
        <v>00</v>
      </c>
      <c r="AA567" t="str">
        <f>MID('paste from garc here'!$C$2,1+(('table for research'!$B567-456)*36+HEX2DEC('table for research'!AA$1))*2,2)</f>
        <v>08</v>
      </c>
      <c r="AB567" t="str">
        <f>MID('paste from garc here'!$C$2,1+(('table for research'!$B567-456)*36+HEX2DEC('table for research'!AB$1))*2,2)</f>
        <v>1E</v>
      </c>
      <c r="AC567" t="str">
        <f>MID('paste from garc here'!$C$2,1+(('table for research'!$B567-456)*36+HEX2DEC('table for research'!AC$1))*2,2)</f>
        <v>64</v>
      </c>
      <c r="AD567" t="str">
        <f>MID('paste from garc here'!$C$2,1+(('table for research'!$B567-456)*36+HEX2DEC('table for research'!AD$1))*2,2)</f>
        <v>00</v>
      </c>
      <c r="AE567" t="str">
        <f>MID('paste from garc here'!$C$2,1+(('table for research'!$B567-456)*36+HEX2DEC('table for research'!AE$1))*2,2)</f>
        <v>00</v>
      </c>
      <c r="AF567" t="str">
        <f>MID('paste from garc here'!$C$2,1+(('table for research'!$B567-456)*36+HEX2DEC('table for research'!AF$1))*2,2)</f>
        <v>00</v>
      </c>
      <c r="AG567" t="str">
        <f>MID('paste from garc here'!$C$2,1+(('table for research'!$B567-456)*36+HEX2DEC('table for research'!AG$1))*2,2)</f>
        <v>00</v>
      </c>
      <c r="AH567" t="str">
        <f>MID('paste from garc here'!$C$2,1+(('table for research'!$B567-456)*36+HEX2DEC('table for research'!AH$1))*2,2)</f>
        <v>00</v>
      </c>
      <c r="AI567" t="str">
        <f>MID('paste from garc here'!$C$2,1+(('table for research'!$B567-456)*36+HEX2DEC('table for research'!AI$1))*2,2)</f>
        <v>00</v>
      </c>
      <c r="AJ567" t="str">
        <f>MID('paste from garc here'!$C$2,1+(('table for research'!$B567-456)*36+HEX2DEC('table for research'!AJ$1))*2,2)</f>
        <v>00</v>
      </c>
      <c r="AK567" t="str">
        <f>MID('paste from garc here'!$C$2,1+(('table for research'!$B567-456)*36+HEX2DEC('table for research'!AK$1))*2,2)</f>
        <v>03</v>
      </c>
      <c r="AL567" t="str">
        <f>MID('paste from garc here'!$C$2,1+(('table for research'!$B567-456)*36+HEX2DEC('table for research'!AL$1))*2,2)</f>
        <v>02</v>
      </c>
      <c r="AM567" t="str">
        <f>MID('paste from garc here'!$C$2,1+(('table for research'!$B567-456)*36+HEX2DEC('table for research'!AM$1))*2,2)</f>
        <v>01</v>
      </c>
      <c r="AN567" t="str">
        <f>MID('paste from garc here'!$C$2,1+(('table for research'!$B567-456)*36+HEX2DEC('table for research'!AN$1))*2,2)</f>
        <v>00</v>
      </c>
      <c r="AO567" t="str">
        <f>MID('paste from garc here'!$C$2,1+(('table for research'!$B567-456)*36+HEX2DEC('table for research'!AO$1))*2,2)</f>
        <v>00</v>
      </c>
    </row>
    <row r="568" spans="1:41" x14ac:dyDescent="0.4">
      <c r="A568" t="s">
        <v>570</v>
      </c>
      <c r="B568">
        <f>B567+1</f>
        <v>566</v>
      </c>
      <c r="C568" t="str">
        <f>MID('paste from garc here'!$C$2,1+(('table for research'!$B568-456)*36+HEX2DEC('table for research'!C$1))*2,2)</f>
        <v>B8</v>
      </c>
      <c r="D568" t="str">
        <f>MID('paste from garc here'!$C$2,1+(('table for research'!$B568-456)*36+HEX2DEC('table for research'!D$1))*2,2)</f>
        <v>0B</v>
      </c>
      <c r="E568" t="str">
        <f>MID('paste from garc here'!$C$2,1+(('table for research'!$B568-456)*36+HEX2DEC('table for research'!E$1))*2,2)</f>
        <v>00</v>
      </c>
      <c r="F568" t="str">
        <f>MID('paste from garc here'!$C$2,1+(('table for research'!$B568-456)*36+HEX2DEC('table for research'!F$1))*2,2)</f>
        <v>00</v>
      </c>
      <c r="G568" t="str">
        <f>MID('paste from garc here'!$C$2,1+(('table for research'!$B568-456)*36+HEX2DEC('table for research'!G$1))*2,2)</f>
        <v>00</v>
      </c>
      <c r="H568" t="str">
        <f>MID('paste from garc here'!$C$2,1+(('table for research'!$B568-456)*36+HEX2DEC('table for research'!H$1))*2,2)</f>
        <v>00</v>
      </c>
      <c r="I568" t="str">
        <f>MID('paste from garc here'!$C$2,1+(('table for research'!$B568-456)*36+HEX2DEC('table for research'!I$1))*2,2)</f>
        <v>14</v>
      </c>
      <c r="J568" t="str">
        <f>MID('paste from garc here'!$C$2,1+(('table for research'!$B568-456)*36+HEX2DEC('table for research'!J$1))*2,2)</f>
        <v>00</v>
      </c>
      <c r="K568" t="str">
        <f>DEC2HEX(_xlfn.BITAND(HEX2DEC(MID('paste from garc here'!$C$1,1+(('table for research'!$B568-1)*36+HEX2DEC(8))*2,2)),31),2)</f>
        <v>00</v>
      </c>
      <c r="L568" t="str">
        <f>DEC2HEX(_xlfn.BITAND(HEX2DEC(MID('paste from garc here'!$C$1,1+(('table for research'!$B568-1)*36+HEX2DEC(8))*2,2)),32),2)</f>
        <v>00</v>
      </c>
      <c r="M568" t="str">
        <f>DEC2HEX(_xlfn.BITAND(HEX2DEC(MID('paste from garc here'!$C$1,1+(('table for research'!$B568-1)*36+HEX2DEC(8))*2,2)),64),2)</f>
        <v>00</v>
      </c>
      <c r="N568" t="str">
        <f>DEC2HEX(_xlfn.BITRSHIFT(_xlfn.BITAND(HEX2DEC(MID('paste from garc here'!$C$1,1+(('table for research'!$B568-1)*36+HEX2DEC(9))*2,2)&amp;MID('paste from garc here'!$C$1,1+(('table for research'!$B568-1)*36+HEX2DEC(8))*2,2)),1920),7),2)</f>
        <v>00</v>
      </c>
      <c r="O568" t="str">
        <f>DEC2HEX(_xlfn.BITRSHIFT(HEX2DEC(MID('paste from garc here'!$C$1,1+(('table for research'!$B568-1)*36+HEX2DEC(9))*2,2)&amp;MID('paste from garc here'!$C$1,1+(('table for research'!$B568-1)*36+HEX2DEC(8))*2,2)),11),2)</f>
        <v>00</v>
      </c>
      <c r="P568" t="str">
        <f>MID('paste from garc here'!$C$2,1+(('table for research'!$B568-456)*36+HEX2DEC('table for research'!P$1))*2,2)</f>
        <v>01</v>
      </c>
      <c r="Q568" t="str">
        <f>MID('paste from garc here'!$C$2,1+(('table for research'!$B568-456)*36+HEX2DEC('table for research'!Q$1))*2,2)</f>
        <v>00</v>
      </c>
      <c r="R568" t="str">
        <f>MID('paste from garc here'!$C$2,1+(('table for research'!$B568-456)*36+HEX2DEC('table for research'!R$1))*2,2)</f>
        <v>01</v>
      </c>
      <c r="S568" t="str">
        <f>MID('paste from garc here'!$C$2,1+(('table for research'!$B568-456)*36+HEX2DEC('table for research'!S$1))*2,2)</f>
        <v>00</v>
      </c>
      <c r="T568" t="str">
        <f>MID('paste from garc here'!$C$2,1+(('table for research'!$B568-456)*36+HEX2DEC('table for research'!T$1))*2,2)</f>
        <v>00</v>
      </c>
      <c r="U568" t="str">
        <f>MID('paste from garc here'!$C$2,1+(('table for research'!$B568-456)*36+HEX2DEC('table for research'!U$1))*2,2)</f>
        <v>2D</v>
      </c>
      <c r="V568" t="str">
        <f>MID('paste from garc here'!$C$2,1+(('table for research'!$B568-456)*36+HEX2DEC('table for research'!V$1))*2,2)</f>
        <v>00</v>
      </c>
      <c r="W568" t="str">
        <f>MID('paste from garc here'!$C$2,1+(('table for research'!$B568-456)*36+HEX2DEC('table for research'!W$1))*2,2)</f>
        <v>00</v>
      </c>
      <c r="X568" t="str">
        <f>MID('paste from garc here'!$C$2,1+(('table for research'!$B568-456)*36+HEX2DEC('table for research'!X$1))*2,2)</f>
        <v>00</v>
      </c>
      <c r="Y568" t="str">
        <f>MID('paste from garc here'!$C$2,1+(('table for research'!$B568-456)*36+HEX2DEC('table for research'!Y$1))*2,2)</f>
        <v>00</v>
      </c>
      <c r="Z568" t="str">
        <f>MID('paste from garc here'!$C$2,1+(('table for research'!$B568-456)*36+HEX2DEC('table for research'!Z$1))*2,2)</f>
        <v>00</v>
      </c>
      <c r="AA568" t="str">
        <f>MID('paste from garc here'!$C$2,1+(('table for research'!$B568-456)*36+HEX2DEC('table for research'!AA$1))*2,2)</f>
        <v>10</v>
      </c>
      <c r="AB568" t="str">
        <f>MID('paste from garc here'!$C$2,1+(('table for research'!$B568-456)*36+HEX2DEC('table for research'!AB$1))*2,2)</f>
        <v>1E</v>
      </c>
      <c r="AC568" t="str">
        <f>MID('paste from garc here'!$C$2,1+(('table for research'!$B568-456)*36+HEX2DEC('table for research'!AC$1))*2,2)</f>
        <v>00</v>
      </c>
      <c r="AD568" t="str">
        <f>MID('paste from garc here'!$C$2,1+(('table for research'!$B568-456)*36+HEX2DEC('table for research'!AD$1))*2,2)</f>
        <v>64</v>
      </c>
      <c r="AE568" t="str">
        <f>MID('paste from garc here'!$C$2,1+(('table for research'!$B568-456)*36+HEX2DEC('table for research'!AE$1))*2,2)</f>
        <v>00</v>
      </c>
      <c r="AF568" t="str">
        <f>MID('paste from garc here'!$C$2,1+(('table for research'!$B568-456)*36+HEX2DEC('table for research'!AF$1))*2,2)</f>
        <v>00</v>
      </c>
      <c r="AG568" t="str">
        <f>MID('paste from garc here'!$C$2,1+(('table for research'!$B568-456)*36+HEX2DEC('table for research'!AG$1))*2,2)</f>
        <v>00</v>
      </c>
      <c r="AH568" t="str">
        <f>MID('paste from garc here'!$C$2,1+(('table for research'!$B568-456)*36+HEX2DEC('table for research'!AH$1))*2,2)</f>
        <v>00</v>
      </c>
      <c r="AI568" t="str">
        <f>MID('paste from garc here'!$C$2,1+(('table for research'!$B568-456)*36+HEX2DEC('table for research'!AI$1))*2,2)</f>
        <v>00</v>
      </c>
      <c r="AJ568" t="str">
        <f>MID('paste from garc here'!$C$2,1+(('table for research'!$B568-456)*36+HEX2DEC('table for research'!AJ$1))*2,2)</f>
        <v>00</v>
      </c>
      <c r="AK568" t="str">
        <f>MID('paste from garc here'!$C$2,1+(('table for research'!$B568-456)*36+HEX2DEC('table for research'!AK$1))*2,2)</f>
        <v>03</v>
      </c>
      <c r="AL568" t="str">
        <f>MID('paste from garc here'!$C$2,1+(('table for research'!$B568-456)*36+HEX2DEC('table for research'!AL$1))*2,2)</f>
        <v>02</v>
      </c>
      <c r="AM568" t="str">
        <f>MID('paste from garc here'!$C$2,1+(('table for research'!$B568-456)*36+HEX2DEC('table for research'!AM$1))*2,2)</f>
        <v>01</v>
      </c>
      <c r="AN568" t="str">
        <f>MID('paste from garc here'!$C$2,1+(('table for research'!$B568-456)*36+HEX2DEC('table for research'!AN$1))*2,2)</f>
        <v>00</v>
      </c>
      <c r="AO568" t="str">
        <f>MID('paste from garc here'!$C$2,1+(('table for research'!$B568-456)*36+HEX2DEC('table for research'!AO$1))*2,2)</f>
        <v>00</v>
      </c>
    </row>
    <row r="569" spans="1:41" x14ac:dyDescent="0.4">
      <c r="A569" t="s">
        <v>571</v>
      </c>
      <c r="B569">
        <f>B568+1</f>
        <v>567</v>
      </c>
      <c r="C569" t="str">
        <f>MID('paste from garc here'!$C$2,1+(('table for research'!$B569-456)*36+HEX2DEC('table for research'!C$1))*2,2)</f>
        <v>B8</v>
      </c>
      <c r="D569" t="str">
        <f>MID('paste from garc here'!$C$2,1+(('table for research'!$B569-456)*36+HEX2DEC('table for research'!D$1))*2,2)</f>
        <v>0B</v>
      </c>
      <c r="E569" t="str">
        <f>MID('paste from garc here'!$C$2,1+(('table for research'!$B569-456)*36+HEX2DEC('table for research'!E$1))*2,2)</f>
        <v>00</v>
      </c>
      <c r="F569" t="str">
        <f>MID('paste from garc here'!$C$2,1+(('table for research'!$B569-456)*36+HEX2DEC('table for research'!F$1))*2,2)</f>
        <v>00</v>
      </c>
      <c r="G569" t="str">
        <f>MID('paste from garc here'!$C$2,1+(('table for research'!$B569-456)*36+HEX2DEC('table for research'!G$1))*2,2)</f>
        <v>00</v>
      </c>
      <c r="H569" t="str">
        <f>MID('paste from garc here'!$C$2,1+(('table for research'!$B569-456)*36+HEX2DEC('table for research'!H$1))*2,2)</f>
        <v>00</v>
      </c>
      <c r="I569" t="str">
        <f>MID('paste from garc here'!$C$2,1+(('table for research'!$B569-456)*36+HEX2DEC('table for research'!I$1))*2,2)</f>
        <v>14</v>
      </c>
      <c r="J569" t="str">
        <f>MID('paste from garc here'!$C$2,1+(('table for research'!$B569-456)*36+HEX2DEC('table for research'!J$1))*2,2)</f>
        <v>00</v>
      </c>
      <c r="K569" t="str">
        <f>DEC2HEX(_xlfn.BITAND(HEX2DEC(MID('paste from garc here'!$C$1,1+(('table for research'!$B569-1)*36+HEX2DEC(8))*2,2)),31),2)</f>
        <v>00</v>
      </c>
      <c r="L569" t="str">
        <f>DEC2HEX(_xlfn.BITAND(HEX2DEC(MID('paste from garc here'!$C$1,1+(('table for research'!$B569-1)*36+HEX2DEC(8))*2,2)),32),2)</f>
        <v>00</v>
      </c>
      <c r="M569" t="str">
        <f>DEC2HEX(_xlfn.BITAND(HEX2DEC(MID('paste from garc here'!$C$1,1+(('table for research'!$B569-1)*36+HEX2DEC(8))*2,2)),64),2)</f>
        <v>00</v>
      </c>
      <c r="N569" t="str">
        <f>DEC2HEX(_xlfn.BITRSHIFT(_xlfn.BITAND(HEX2DEC(MID('paste from garc here'!$C$1,1+(('table for research'!$B569-1)*36+HEX2DEC(9))*2,2)&amp;MID('paste from garc here'!$C$1,1+(('table for research'!$B569-1)*36+HEX2DEC(8))*2,2)),1920),7),2)</f>
        <v>00</v>
      </c>
      <c r="O569" t="str">
        <f>DEC2HEX(_xlfn.BITRSHIFT(HEX2DEC(MID('paste from garc here'!$C$1,1+(('table for research'!$B569-1)*36+HEX2DEC(9))*2,2)&amp;MID('paste from garc here'!$C$1,1+(('table for research'!$B569-1)*36+HEX2DEC(8))*2,2)),11),2)</f>
        <v>00</v>
      </c>
      <c r="P569" t="str">
        <f>MID('paste from garc here'!$C$2,1+(('table for research'!$B569-456)*36+HEX2DEC('table for research'!P$1))*2,2)</f>
        <v>01</v>
      </c>
      <c r="Q569" t="str">
        <f>MID('paste from garc here'!$C$2,1+(('table for research'!$B569-456)*36+HEX2DEC('table for research'!Q$1))*2,2)</f>
        <v>00</v>
      </c>
      <c r="R569" t="str">
        <f>MID('paste from garc here'!$C$2,1+(('table for research'!$B569-456)*36+HEX2DEC('table for research'!R$1))*2,2)</f>
        <v>01</v>
      </c>
      <c r="S569" t="str">
        <f>MID('paste from garc here'!$C$2,1+(('table for research'!$B569-456)*36+HEX2DEC('table for research'!S$1))*2,2)</f>
        <v>00</v>
      </c>
      <c r="T569" t="str">
        <f>MID('paste from garc here'!$C$2,1+(('table for research'!$B569-456)*36+HEX2DEC('table for research'!T$1))*2,2)</f>
        <v>00</v>
      </c>
      <c r="U569" t="str">
        <f>MID('paste from garc here'!$C$2,1+(('table for research'!$B569-456)*36+HEX2DEC('table for research'!U$1))*2,2)</f>
        <v>2E</v>
      </c>
      <c r="V569" t="str">
        <f>MID('paste from garc here'!$C$2,1+(('table for research'!$B569-456)*36+HEX2DEC('table for research'!V$1))*2,2)</f>
        <v>00</v>
      </c>
      <c r="W569" t="str">
        <f>MID('paste from garc here'!$C$2,1+(('table for research'!$B569-456)*36+HEX2DEC('table for research'!W$1))*2,2)</f>
        <v>00</v>
      </c>
      <c r="X569" t="str">
        <f>MID('paste from garc here'!$C$2,1+(('table for research'!$B569-456)*36+HEX2DEC('table for research'!X$1))*2,2)</f>
        <v>00</v>
      </c>
      <c r="Y569" t="str">
        <f>MID('paste from garc here'!$C$2,1+(('table for research'!$B569-456)*36+HEX2DEC('table for research'!Y$1))*2,2)</f>
        <v>00</v>
      </c>
      <c r="Z569" t="str">
        <f>MID('paste from garc here'!$C$2,1+(('table for research'!$B569-456)*36+HEX2DEC('table for research'!Z$1))*2,2)</f>
        <v>00</v>
      </c>
      <c r="AA569" t="str">
        <f>MID('paste from garc here'!$C$2,1+(('table for research'!$B569-456)*36+HEX2DEC('table for research'!AA$1))*2,2)</f>
        <v>20</v>
      </c>
      <c r="AB569" t="str">
        <f>MID('paste from garc here'!$C$2,1+(('table for research'!$B569-456)*36+HEX2DEC('table for research'!AB$1))*2,2)</f>
        <v>1E</v>
      </c>
      <c r="AC569" t="str">
        <f>MID('paste from garc here'!$C$2,1+(('table for research'!$B569-456)*36+HEX2DEC('table for research'!AC$1))*2,2)</f>
        <v>00</v>
      </c>
      <c r="AD569" t="str">
        <f>MID('paste from garc here'!$C$2,1+(('table for research'!$B569-456)*36+HEX2DEC('table for research'!AD$1))*2,2)</f>
        <v>00</v>
      </c>
      <c r="AE569" t="str">
        <f>MID('paste from garc here'!$C$2,1+(('table for research'!$B569-456)*36+HEX2DEC('table for research'!AE$1))*2,2)</f>
        <v>64</v>
      </c>
      <c r="AF569" t="str">
        <f>MID('paste from garc here'!$C$2,1+(('table for research'!$B569-456)*36+HEX2DEC('table for research'!AF$1))*2,2)</f>
        <v>00</v>
      </c>
      <c r="AG569" t="str">
        <f>MID('paste from garc here'!$C$2,1+(('table for research'!$B569-456)*36+HEX2DEC('table for research'!AG$1))*2,2)</f>
        <v>00</v>
      </c>
      <c r="AH569" t="str">
        <f>MID('paste from garc here'!$C$2,1+(('table for research'!$B569-456)*36+HEX2DEC('table for research'!AH$1))*2,2)</f>
        <v>00</v>
      </c>
      <c r="AI569" t="str">
        <f>MID('paste from garc here'!$C$2,1+(('table for research'!$B569-456)*36+HEX2DEC('table for research'!AI$1))*2,2)</f>
        <v>00</v>
      </c>
      <c r="AJ569" t="str">
        <f>MID('paste from garc here'!$C$2,1+(('table for research'!$B569-456)*36+HEX2DEC('table for research'!AJ$1))*2,2)</f>
        <v>00</v>
      </c>
      <c r="AK569" t="str">
        <f>MID('paste from garc here'!$C$2,1+(('table for research'!$B569-456)*36+HEX2DEC('table for research'!AK$1))*2,2)</f>
        <v>03</v>
      </c>
      <c r="AL569" t="str">
        <f>MID('paste from garc here'!$C$2,1+(('table for research'!$B569-456)*36+HEX2DEC('table for research'!AL$1))*2,2)</f>
        <v>02</v>
      </c>
      <c r="AM569" t="str">
        <f>MID('paste from garc here'!$C$2,1+(('table for research'!$B569-456)*36+HEX2DEC('table for research'!AM$1))*2,2)</f>
        <v>01</v>
      </c>
      <c r="AN569" t="str">
        <f>MID('paste from garc here'!$C$2,1+(('table for research'!$B569-456)*36+HEX2DEC('table for research'!AN$1))*2,2)</f>
        <v>00</v>
      </c>
      <c r="AO569" t="str">
        <f>MID('paste from garc here'!$C$2,1+(('table for research'!$B569-456)*36+HEX2DEC('table for research'!AO$1))*2,2)</f>
        <v>00</v>
      </c>
    </row>
    <row r="570" spans="1:41" x14ac:dyDescent="0.4">
      <c r="A570" t="s">
        <v>572</v>
      </c>
      <c r="B570">
        <f>B569+1</f>
        <v>568</v>
      </c>
      <c r="C570" t="str">
        <f>MID('paste from garc here'!$C$2,1+(('table for research'!$B570-456)*36+HEX2DEC('table for research'!C$1))*2,2)</f>
        <v>B8</v>
      </c>
      <c r="D570" t="str">
        <f>MID('paste from garc here'!$C$2,1+(('table for research'!$B570-456)*36+HEX2DEC('table for research'!D$1))*2,2)</f>
        <v>0B</v>
      </c>
      <c r="E570" t="str">
        <f>MID('paste from garc here'!$C$2,1+(('table for research'!$B570-456)*36+HEX2DEC('table for research'!E$1))*2,2)</f>
        <v>00</v>
      </c>
      <c r="F570" t="str">
        <f>MID('paste from garc here'!$C$2,1+(('table for research'!$B570-456)*36+HEX2DEC('table for research'!F$1))*2,2)</f>
        <v>00</v>
      </c>
      <c r="G570" t="str">
        <f>MID('paste from garc here'!$C$2,1+(('table for research'!$B570-456)*36+HEX2DEC('table for research'!G$1))*2,2)</f>
        <v>00</v>
      </c>
      <c r="H570" t="str">
        <f>MID('paste from garc here'!$C$2,1+(('table for research'!$B570-456)*36+HEX2DEC('table for research'!H$1))*2,2)</f>
        <v>00</v>
      </c>
      <c r="I570" t="str">
        <f>MID('paste from garc here'!$C$2,1+(('table for research'!$B570-456)*36+HEX2DEC('table for research'!I$1))*2,2)</f>
        <v>14</v>
      </c>
      <c r="J570" t="str">
        <f>MID('paste from garc here'!$C$2,1+(('table for research'!$B570-456)*36+HEX2DEC('table for research'!J$1))*2,2)</f>
        <v>00</v>
      </c>
      <c r="K570" t="str">
        <f>DEC2HEX(_xlfn.BITAND(HEX2DEC(MID('paste from garc here'!$C$1,1+(('table for research'!$B570-1)*36+HEX2DEC(8))*2,2)),31),2)</f>
        <v>00</v>
      </c>
      <c r="L570" t="str">
        <f>DEC2HEX(_xlfn.BITAND(HEX2DEC(MID('paste from garc here'!$C$1,1+(('table for research'!$B570-1)*36+HEX2DEC(8))*2,2)),32),2)</f>
        <v>00</v>
      </c>
      <c r="M570" t="str">
        <f>DEC2HEX(_xlfn.BITAND(HEX2DEC(MID('paste from garc here'!$C$1,1+(('table for research'!$B570-1)*36+HEX2DEC(8))*2,2)),64),2)</f>
        <v>00</v>
      </c>
      <c r="N570" t="str">
        <f>DEC2HEX(_xlfn.BITRSHIFT(_xlfn.BITAND(HEX2DEC(MID('paste from garc here'!$C$1,1+(('table for research'!$B570-1)*36+HEX2DEC(9))*2,2)&amp;MID('paste from garc here'!$C$1,1+(('table for research'!$B570-1)*36+HEX2DEC(8))*2,2)),1920),7),2)</f>
        <v>00</v>
      </c>
      <c r="O570" t="str">
        <f>DEC2HEX(_xlfn.BITRSHIFT(HEX2DEC(MID('paste from garc here'!$C$1,1+(('table for research'!$B570-1)*36+HEX2DEC(9))*2,2)&amp;MID('paste from garc here'!$C$1,1+(('table for research'!$B570-1)*36+HEX2DEC(8))*2,2)),11),2)</f>
        <v>00</v>
      </c>
      <c r="P570" t="str">
        <f>MID('paste from garc here'!$C$2,1+(('table for research'!$B570-456)*36+HEX2DEC('table for research'!P$1))*2,2)</f>
        <v>01</v>
      </c>
      <c r="Q570" t="str">
        <f>MID('paste from garc here'!$C$2,1+(('table for research'!$B570-456)*36+HEX2DEC('table for research'!Q$1))*2,2)</f>
        <v>00</v>
      </c>
      <c r="R570" t="str">
        <f>MID('paste from garc here'!$C$2,1+(('table for research'!$B570-456)*36+HEX2DEC('table for research'!R$1))*2,2)</f>
        <v>01</v>
      </c>
      <c r="S570" t="str">
        <f>MID('paste from garc here'!$C$2,1+(('table for research'!$B570-456)*36+HEX2DEC('table for research'!S$1))*2,2)</f>
        <v>00</v>
      </c>
      <c r="T570" t="str">
        <f>MID('paste from garc here'!$C$2,1+(('table for research'!$B570-456)*36+HEX2DEC('table for research'!T$1))*2,2)</f>
        <v>00</v>
      </c>
      <c r="U570" t="str">
        <f>MID('paste from garc here'!$C$2,1+(('table for research'!$B570-456)*36+HEX2DEC('table for research'!U$1))*2,2)</f>
        <v>2F</v>
      </c>
      <c r="V570" t="str">
        <f>MID('paste from garc here'!$C$2,1+(('table for research'!$B570-456)*36+HEX2DEC('table for research'!V$1))*2,2)</f>
        <v>00</v>
      </c>
      <c r="W570" t="str">
        <f>MID('paste from garc here'!$C$2,1+(('table for research'!$B570-456)*36+HEX2DEC('table for research'!W$1))*2,2)</f>
        <v>00</v>
      </c>
      <c r="X570" t="str">
        <f>MID('paste from garc here'!$C$2,1+(('table for research'!$B570-456)*36+HEX2DEC('table for research'!X$1))*2,2)</f>
        <v>00</v>
      </c>
      <c r="Y570" t="str">
        <f>MID('paste from garc here'!$C$2,1+(('table for research'!$B570-456)*36+HEX2DEC('table for research'!Y$1))*2,2)</f>
        <v>00</v>
      </c>
      <c r="Z570" t="str">
        <f>MID('paste from garc here'!$C$2,1+(('table for research'!$B570-456)*36+HEX2DEC('table for research'!Z$1))*2,2)</f>
        <v>00</v>
      </c>
      <c r="AA570" t="str">
        <f>MID('paste from garc here'!$C$2,1+(('table for research'!$B570-456)*36+HEX2DEC('table for research'!AA$1))*2,2)</f>
        <v>80</v>
      </c>
      <c r="AB570" t="str">
        <f>MID('paste from garc here'!$C$2,1+(('table for research'!$B570-456)*36+HEX2DEC('table for research'!AB$1))*2,2)</f>
        <v>1E</v>
      </c>
      <c r="AC570" t="str">
        <f>MID('paste from garc here'!$C$2,1+(('table for research'!$B570-456)*36+HEX2DEC('table for research'!AC$1))*2,2)</f>
        <v>00</v>
      </c>
      <c r="AD570" t="str">
        <f>MID('paste from garc here'!$C$2,1+(('table for research'!$B570-456)*36+HEX2DEC('table for research'!AD$1))*2,2)</f>
        <v>00</v>
      </c>
      <c r="AE570" t="str">
        <f>MID('paste from garc here'!$C$2,1+(('table for research'!$B570-456)*36+HEX2DEC('table for research'!AE$1))*2,2)</f>
        <v>00</v>
      </c>
      <c r="AF570" t="str">
        <f>MID('paste from garc here'!$C$2,1+(('table for research'!$B570-456)*36+HEX2DEC('table for research'!AF$1))*2,2)</f>
        <v>00</v>
      </c>
      <c r="AG570" t="str">
        <f>MID('paste from garc here'!$C$2,1+(('table for research'!$B570-456)*36+HEX2DEC('table for research'!AG$1))*2,2)</f>
        <v>64</v>
      </c>
      <c r="AH570" t="str">
        <f>MID('paste from garc here'!$C$2,1+(('table for research'!$B570-456)*36+HEX2DEC('table for research'!AH$1))*2,2)</f>
        <v>00</v>
      </c>
      <c r="AI570" t="str">
        <f>MID('paste from garc here'!$C$2,1+(('table for research'!$B570-456)*36+HEX2DEC('table for research'!AI$1))*2,2)</f>
        <v>00</v>
      </c>
      <c r="AJ570" t="str">
        <f>MID('paste from garc here'!$C$2,1+(('table for research'!$B570-456)*36+HEX2DEC('table for research'!AJ$1))*2,2)</f>
        <v>00</v>
      </c>
      <c r="AK570" t="str">
        <f>MID('paste from garc here'!$C$2,1+(('table for research'!$B570-456)*36+HEX2DEC('table for research'!AK$1))*2,2)</f>
        <v>03</v>
      </c>
      <c r="AL570" t="str">
        <f>MID('paste from garc here'!$C$2,1+(('table for research'!$B570-456)*36+HEX2DEC('table for research'!AL$1))*2,2)</f>
        <v>02</v>
      </c>
      <c r="AM570" t="str">
        <f>MID('paste from garc here'!$C$2,1+(('table for research'!$B570-456)*36+HEX2DEC('table for research'!AM$1))*2,2)</f>
        <v>01</v>
      </c>
      <c r="AN570" t="str">
        <f>MID('paste from garc here'!$C$2,1+(('table for research'!$B570-456)*36+HEX2DEC('table for research'!AN$1))*2,2)</f>
        <v>00</v>
      </c>
      <c r="AO570" t="str">
        <f>MID('paste from garc here'!$C$2,1+(('table for research'!$B570-456)*36+HEX2DEC('table for research'!AO$1))*2,2)</f>
        <v>00</v>
      </c>
    </row>
    <row r="571" spans="1:41" x14ac:dyDescent="0.4">
      <c r="A571" t="s">
        <v>573</v>
      </c>
      <c r="B571">
        <f>B570+1</f>
        <v>569</v>
      </c>
      <c r="C571" t="str">
        <f>MID('paste from garc here'!$C$2,1+(('table for research'!$B571-456)*36+HEX2DEC('table for research'!C$1))*2,2)</f>
        <v>B8</v>
      </c>
      <c r="D571" t="str">
        <f>MID('paste from garc here'!$C$2,1+(('table for research'!$B571-456)*36+HEX2DEC('table for research'!D$1))*2,2)</f>
        <v>0B</v>
      </c>
      <c r="E571" t="str">
        <f>MID('paste from garc here'!$C$2,1+(('table for research'!$B571-456)*36+HEX2DEC('table for research'!E$1))*2,2)</f>
        <v>00</v>
      </c>
      <c r="F571" t="str">
        <f>MID('paste from garc here'!$C$2,1+(('table for research'!$B571-456)*36+HEX2DEC('table for research'!F$1))*2,2)</f>
        <v>00</v>
      </c>
      <c r="G571" t="str">
        <f>MID('paste from garc here'!$C$2,1+(('table for research'!$B571-456)*36+HEX2DEC('table for research'!G$1))*2,2)</f>
        <v>00</v>
      </c>
      <c r="H571" t="str">
        <f>MID('paste from garc here'!$C$2,1+(('table for research'!$B571-456)*36+HEX2DEC('table for research'!H$1))*2,2)</f>
        <v>00</v>
      </c>
      <c r="I571" t="str">
        <f>MID('paste from garc here'!$C$2,1+(('table for research'!$B571-456)*36+HEX2DEC('table for research'!I$1))*2,2)</f>
        <v>14</v>
      </c>
      <c r="J571" t="str">
        <f>MID('paste from garc here'!$C$2,1+(('table for research'!$B571-456)*36+HEX2DEC('table for research'!J$1))*2,2)</f>
        <v>00</v>
      </c>
      <c r="K571" t="str">
        <f>DEC2HEX(_xlfn.BITAND(HEX2DEC(MID('paste from garc here'!$C$1,1+(('table for research'!$B571-1)*36+HEX2DEC(8))*2,2)),31),2)</f>
        <v>00</v>
      </c>
      <c r="L571" t="str">
        <f>DEC2HEX(_xlfn.BITAND(HEX2DEC(MID('paste from garc here'!$C$1,1+(('table for research'!$B571-1)*36+HEX2DEC(8))*2,2)),32),2)</f>
        <v>00</v>
      </c>
      <c r="M571" t="str">
        <f>DEC2HEX(_xlfn.BITAND(HEX2DEC(MID('paste from garc here'!$C$1,1+(('table for research'!$B571-1)*36+HEX2DEC(8))*2,2)),64),2)</f>
        <v>00</v>
      </c>
      <c r="N571" t="str">
        <f>DEC2HEX(_xlfn.BITRSHIFT(_xlfn.BITAND(HEX2DEC(MID('paste from garc here'!$C$1,1+(('table for research'!$B571-1)*36+HEX2DEC(9))*2,2)&amp;MID('paste from garc here'!$C$1,1+(('table for research'!$B571-1)*36+HEX2DEC(8))*2,2)),1920),7),2)</f>
        <v>00</v>
      </c>
      <c r="O571" t="str">
        <f>DEC2HEX(_xlfn.BITRSHIFT(HEX2DEC(MID('paste from garc here'!$C$1,1+(('table for research'!$B571-1)*36+HEX2DEC(9))*2,2)&amp;MID('paste from garc here'!$C$1,1+(('table for research'!$B571-1)*36+HEX2DEC(8))*2,2)),11),2)</f>
        <v>00</v>
      </c>
      <c r="P571" t="str">
        <f>MID('paste from garc here'!$C$2,1+(('table for research'!$B571-456)*36+HEX2DEC('table for research'!P$1))*2,2)</f>
        <v>01</v>
      </c>
      <c r="Q571" t="str">
        <f>MID('paste from garc here'!$C$2,1+(('table for research'!$B571-456)*36+HEX2DEC('table for research'!Q$1))*2,2)</f>
        <v>00</v>
      </c>
      <c r="R571" t="str">
        <f>MID('paste from garc here'!$C$2,1+(('table for research'!$B571-456)*36+HEX2DEC('table for research'!R$1))*2,2)</f>
        <v>01</v>
      </c>
      <c r="S571" t="str">
        <f>MID('paste from garc here'!$C$2,1+(('table for research'!$B571-456)*36+HEX2DEC('table for research'!S$1))*2,2)</f>
        <v>00</v>
      </c>
      <c r="T571" t="str">
        <f>MID('paste from garc here'!$C$2,1+(('table for research'!$B571-456)*36+HEX2DEC('table for research'!T$1))*2,2)</f>
        <v>00</v>
      </c>
      <c r="U571" t="str">
        <f>MID('paste from garc here'!$C$2,1+(('table for research'!$B571-456)*36+HEX2DEC('table for research'!U$1))*2,2)</f>
        <v>30</v>
      </c>
      <c r="V571" t="str">
        <f>MID('paste from garc here'!$C$2,1+(('table for research'!$B571-456)*36+HEX2DEC('table for research'!V$1))*2,2)</f>
        <v>00</v>
      </c>
      <c r="W571" t="str">
        <f>MID('paste from garc here'!$C$2,1+(('table for research'!$B571-456)*36+HEX2DEC('table for research'!W$1))*2,2)</f>
        <v>00</v>
      </c>
      <c r="X571" t="str">
        <f>MID('paste from garc here'!$C$2,1+(('table for research'!$B571-456)*36+HEX2DEC('table for research'!X$1))*2,2)</f>
        <v>00</v>
      </c>
      <c r="Y571" t="str">
        <f>MID('paste from garc here'!$C$2,1+(('table for research'!$B571-456)*36+HEX2DEC('table for research'!Y$1))*2,2)</f>
        <v>00</v>
      </c>
      <c r="Z571" t="str">
        <f>MID('paste from garc here'!$C$2,1+(('table for research'!$B571-456)*36+HEX2DEC('table for research'!Z$1))*2,2)</f>
        <v>00</v>
      </c>
      <c r="AA571" t="str">
        <f>MID('paste from garc here'!$C$2,1+(('table for research'!$B571-456)*36+HEX2DEC('table for research'!AA$1))*2,2)</f>
        <v>00</v>
      </c>
      <c r="AB571" t="str">
        <f>MID('paste from garc here'!$C$2,1+(('table for research'!$B571-456)*36+HEX2DEC('table for research'!AB$1))*2,2)</f>
        <v>1F</v>
      </c>
      <c r="AC571" t="str">
        <f>MID('paste from garc here'!$C$2,1+(('table for research'!$B571-456)*36+HEX2DEC('table for research'!AC$1))*2,2)</f>
        <v>00</v>
      </c>
      <c r="AD571" t="str">
        <f>MID('paste from garc here'!$C$2,1+(('table for research'!$B571-456)*36+HEX2DEC('table for research'!AD$1))*2,2)</f>
        <v>00</v>
      </c>
      <c r="AE571" t="str">
        <f>MID('paste from garc here'!$C$2,1+(('table for research'!$B571-456)*36+HEX2DEC('table for research'!AE$1))*2,2)</f>
        <v>00</v>
      </c>
      <c r="AF571" t="str">
        <f>MID('paste from garc here'!$C$2,1+(('table for research'!$B571-456)*36+HEX2DEC('table for research'!AF$1))*2,2)</f>
        <v>00</v>
      </c>
      <c r="AG571" t="str">
        <f>MID('paste from garc here'!$C$2,1+(('table for research'!$B571-456)*36+HEX2DEC('table for research'!AG$1))*2,2)</f>
        <v>00</v>
      </c>
      <c r="AH571" t="str">
        <f>MID('paste from garc here'!$C$2,1+(('table for research'!$B571-456)*36+HEX2DEC('table for research'!AH$1))*2,2)</f>
        <v>64</v>
      </c>
      <c r="AI571" t="str">
        <f>MID('paste from garc here'!$C$2,1+(('table for research'!$B571-456)*36+HEX2DEC('table for research'!AI$1))*2,2)</f>
        <v>00</v>
      </c>
      <c r="AJ571" t="str">
        <f>MID('paste from garc here'!$C$2,1+(('table for research'!$B571-456)*36+HEX2DEC('table for research'!AJ$1))*2,2)</f>
        <v>00</v>
      </c>
      <c r="AK571" t="str">
        <f>MID('paste from garc here'!$C$2,1+(('table for research'!$B571-456)*36+HEX2DEC('table for research'!AK$1))*2,2)</f>
        <v>03</v>
      </c>
      <c r="AL571" t="str">
        <f>MID('paste from garc here'!$C$2,1+(('table for research'!$B571-456)*36+HEX2DEC('table for research'!AL$1))*2,2)</f>
        <v>02</v>
      </c>
      <c r="AM571" t="str">
        <f>MID('paste from garc here'!$C$2,1+(('table for research'!$B571-456)*36+HEX2DEC('table for research'!AM$1))*2,2)</f>
        <v>01</v>
      </c>
      <c r="AN571" t="str">
        <f>MID('paste from garc here'!$C$2,1+(('table for research'!$B571-456)*36+HEX2DEC('table for research'!AN$1))*2,2)</f>
        <v>00</v>
      </c>
      <c r="AO571" t="str">
        <f>MID('paste from garc here'!$C$2,1+(('table for research'!$B571-456)*36+HEX2DEC('table for research'!AO$1))*2,2)</f>
        <v>00</v>
      </c>
    </row>
    <row r="572" spans="1:41" x14ac:dyDescent="0.4">
      <c r="A572" t="s">
        <v>574</v>
      </c>
      <c r="B572">
        <f>B571+1</f>
        <v>570</v>
      </c>
      <c r="C572" t="str">
        <f>MID('paste from garc here'!$C$2,1+(('table for research'!$B572-456)*36+HEX2DEC('table for research'!C$1))*2,2)</f>
        <v>B8</v>
      </c>
      <c r="D572" t="str">
        <f>MID('paste from garc here'!$C$2,1+(('table for research'!$B572-456)*36+HEX2DEC('table for research'!D$1))*2,2)</f>
        <v>0B</v>
      </c>
      <c r="E572" t="str">
        <f>MID('paste from garc here'!$C$2,1+(('table for research'!$B572-456)*36+HEX2DEC('table for research'!E$1))*2,2)</f>
        <v>00</v>
      </c>
      <c r="F572" t="str">
        <f>MID('paste from garc here'!$C$2,1+(('table for research'!$B572-456)*36+HEX2DEC('table for research'!F$1))*2,2)</f>
        <v>00</v>
      </c>
      <c r="G572" t="str">
        <f>MID('paste from garc here'!$C$2,1+(('table for research'!$B572-456)*36+HEX2DEC('table for research'!G$1))*2,2)</f>
        <v>00</v>
      </c>
      <c r="H572" t="str">
        <f>MID('paste from garc here'!$C$2,1+(('table for research'!$B572-456)*36+HEX2DEC('table for research'!H$1))*2,2)</f>
        <v>00</v>
      </c>
      <c r="I572" t="str">
        <f>MID('paste from garc here'!$C$2,1+(('table for research'!$B572-456)*36+HEX2DEC('table for research'!I$1))*2,2)</f>
        <v>14</v>
      </c>
      <c r="J572" t="str">
        <f>MID('paste from garc here'!$C$2,1+(('table for research'!$B572-456)*36+HEX2DEC('table for research'!J$1))*2,2)</f>
        <v>00</v>
      </c>
      <c r="K572" t="str">
        <f>DEC2HEX(_xlfn.BITAND(HEX2DEC(MID('paste from garc here'!$C$1,1+(('table for research'!$B572-1)*36+HEX2DEC(8))*2,2)),31),2)</f>
        <v>00</v>
      </c>
      <c r="L572" t="str">
        <f>DEC2HEX(_xlfn.BITAND(HEX2DEC(MID('paste from garc here'!$C$1,1+(('table for research'!$B572-1)*36+HEX2DEC(8))*2,2)),32),2)</f>
        <v>00</v>
      </c>
      <c r="M572" t="str">
        <f>DEC2HEX(_xlfn.BITAND(HEX2DEC(MID('paste from garc here'!$C$1,1+(('table for research'!$B572-1)*36+HEX2DEC(8))*2,2)),64),2)</f>
        <v>00</v>
      </c>
      <c r="N572" t="str">
        <f>DEC2HEX(_xlfn.BITRSHIFT(_xlfn.BITAND(HEX2DEC(MID('paste from garc here'!$C$1,1+(('table for research'!$B572-1)*36+HEX2DEC(9))*2,2)&amp;MID('paste from garc here'!$C$1,1+(('table for research'!$B572-1)*36+HEX2DEC(8))*2,2)),1920),7),2)</f>
        <v>00</v>
      </c>
      <c r="O572" t="str">
        <f>DEC2HEX(_xlfn.BITRSHIFT(HEX2DEC(MID('paste from garc here'!$C$1,1+(('table for research'!$B572-1)*36+HEX2DEC(9))*2,2)&amp;MID('paste from garc here'!$C$1,1+(('table for research'!$B572-1)*36+HEX2DEC(8))*2,2)),11),2)</f>
        <v>00</v>
      </c>
      <c r="P572" t="str">
        <f>MID('paste from garc here'!$C$2,1+(('table for research'!$B572-456)*36+HEX2DEC('table for research'!P$1))*2,2)</f>
        <v>01</v>
      </c>
      <c r="Q572" t="str">
        <f>MID('paste from garc here'!$C$2,1+(('table for research'!$B572-456)*36+HEX2DEC('table for research'!Q$1))*2,2)</f>
        <v>00</v>
      </c>
      <c r="R572" t="str">
        <f>MID('paste from garc here'!$C$2,1+(('table for research'!$B572-456)*36+HEX2DEC('table for research'!R$1))*2,2)</f>
        <v>01</v>
      </c>
      <c r="S572" t="str">
        <f>MID('paste from garc here'!$C$2,1+(('table for research'!$B572-456)*36+HEX2DEC('table for research'!S$1))*2,2)</f>
        <v>00</v>
      </c>
      <c r="T572" t="str">
        <f>MID('paste from garc here'!$C$2,1+(('table for research'!$B572-456)*36+HEX2DEC('table for research'!T$1))*2,2)</f>
        <v>00</v>
      </c>
      <c r="U572" t="str">
        <f>MID('paste from garc here'!$C$2,1+(('table for research'!$B572-456)*36+HEX2DEC('table for research'!U$1))*2,2)</f>
        <v>31</v>
      </c>
      <c r="V572" t="str">
        <f>MID('paste from garc here'!$C$2,1+(('table for research'!$B572-456)*36+HEX2DEC('table for research'!V$1))*2,2)</f>
        <v>00</v>
      </c>
      <c r="W572" t="str">
        <f>MID('paste from garc here'!$C$2,1+(('table for research'!$B572-456)*36+HEX2DEC('table for research'!W$1))*2,2)</f>
        <v>00</v>
      </c>
      <c r="X572" t="str">
        <f>MID('paste from garc here'!$C$2,1+(('table for research'!$B572-456)*36+HEX2DEC('table for research'!X$1))*2,2)</f>
        <v>00</v>
      </c>
      <c r="Y572" t="str">
        <f>MID('paste from garc here'!$C$2,1+(('table for research'!$B572-456)*36+HEX2DEC('table for research'!Y$1))*2,2)</f>
        <v>00</v>
      </c>
      <c r="Z572" t="str">
        <f>MID('paste from garc here'!$C$2,1+(('table for research'!$B572-456)*36+HEX2DEC('table for research'!Z$1))*2,2)</f>
        <v>00</v>
      </c>
      <c r="AA572" t="str">
        <f>MID('paste from garc here'!$C$2,1+(('table for research'!$B572-456)*36+HEX2DEC('table for research'!AA$1))*2,2)</f>
        <v>40</v>
      </c>
      <c r="AB572" t="str">
        <f>MID('paste from garc here'!$C$2,1+(('table for research'!$B572-456)*36+HEX2DEC('table for research'!AB$1))*2,2)</f>
        <v>1E</v>
      </c>
      <c r="AC572" t="str">
        <f>MID('paste from garc here'!$C$2,1+(('table for research'!$B572-456)*36+HEX2DEC('table for research'!AC$1))*2,2)</f>
        <v>00</v>
      </c>
      <c r="AD572" t="str">
        <f>MID('paste from garc here'!$C$2,1+(('table for research'!$B572-456)*36+HEX2DEC('table for research'!AD$1))*2,2)</f>
        <v>00</v>
      </c>
      <c r="AE572" t="str">
        <f>MID('paste from garc here'!$C$2,1+(('table for research'!$B572-456)*36+HEX2DEC('table for research'!AE$1))*2,2)</f>
        <v>00</v>
      </c>
      <c r="AF572" t="str">
        <f>MID('paste from garc here'!$C$2,1+(('table for research'!$B572-456)*36+HEX2DEC('table for research'!AF$1))*2,2)</f>
        <v>64</v>
      </c>
      <c r="AG572" t="str">
        <f>MID('paste from garc here'!$C$2,1+(('table for research'!$B572-456)*36+HEX2DEC('table for research'!AG$1))*2,2)</f>
        <v>00</v>
      </c>
      <c r="AH572" t="str">
        <f>MID('paste from garc here'!$C$2,1+(('table for research'!$B572-456)*36+HEX2DEC('table for research'!AH$1))*2,2)</f>
        <v>00</v>
      </c>
      <c r="AI572" t="str">
        <f>MID('paste from garc here'!$C$2,1+(('table for research'!$B572-456)*36+HEX2DEC('table for research'!AI$1))*2,2)</f>
        <v>00</v>
      </c>
      <c r="AJ572" t="str">
        <f>MID('paste from garc here'!$C$2,1+(('table for research'!$B572-456)*36+HEX2DEC('table for research'!AJ$1))*2,2)</f>
        <v>00</v>
      </c>
      <c r="AK572" t="str">
        <f>MID('paste from garc here'!$C$2,1+(('table for research'!$B572-456)*36+HEX2DEC('table for research'!AK$1))*2,2)</f>
        <v>03</v>
      </c>
      <c r="AL572" t="str">
        <f>MID('paste from garc here'!$C$2,1+(('table for research'!$B572-456)*36+HEX2DEC('table for research'!AL$1))*2,2)</f>
        <v>02</v>
      </c>
      <c r="AM572" t="str">
        <f>MID('paste from garc here'!$C$2,1+(('table for research'!$B572-456)*36+HEX2DEC('table for research'!AM$1))*2,2)</f>
        <v>01</v>
      </c>
      <c r="AN572" t="str">
        <f>MID('paste from garc here'!$C$2,1+(('table for research'!$B572-456)*36+HEX2DEC('table for research'!AN$1))*2,2)</f>
        <v>00</v>
      </c>
      <c r="AO572" t="str">
        <f>MID('paste from garc here'!$C$2,1+(('table for research'!$B572-456)*36+HEX2DEC('table for research'!AO$1))*2,2)</f>
        <v>00</v>
      </c>
    </row>
    <row r="573" spans="1:41" x14ac:dyDescent="0.4">
      <c r="A573" t="s">
        <v>575</v>
      </c>
      <c r="B573">
        <f>B572+1</f>
        <v>571</v>
      </c>
      <c r="C573" t="str">
        <f>MID('paste from garc here'!$C$2,1+(('table for research'!$B573-456)*36+HEX2DEC('table for research'!C$1))*2,2)</f>
        <v>3C</v>
      </c>
      <c r="D573" t="str">
        <f>MID('paste from garc here'!$C$2,1+(('table for research'!$B573-456)*36+HEX2DEC('table for research'!D$1))*2,2)</f>
        <v>00</v>
      </c>
      <c r="E573" t="str">
        <f>MID('paste from garc here'!$C$2,1+(('table for research'!$B573-456)*36+HEX2DEC('table for research'!E$1))*2,2)</f>
        <v>00</v>
      </c>
      <c r="F573" t="str">
        <f>MID('paste from garc here'!$C$2,1+(('table for research'!$B573-456)*36+HEX2DEC('table for research'!F$1))*2,2)</f>
        <v>FF</v>
      </c>
      <c r="G573" t="str">
        <f>MID('paste from garc here'!$C$2,1+(('table for research'!$B573-456)*36+HEX2DEC('table for research'!G$1))*2,2)</f>
        <v>00</v>
      </c>
      <c r="H573" t="str">
        <f>MID('paste from garc here'!$C$2,1+(('table for research'!$B573-456)*36+HEX2DEC('table for research'!H$1))*2,2)</f>
        <v>00</v>
      </c>
      <c r="I573" t="str">
        <f>MID('paste from garc here'!$C$2,1+(('table for research'!$B573-456)*36+HEX2DEC('table for research'!I$1))*2,2)</f>
        <v>14</v>
      </c>
      <c r="J573" t="str">
        <f>MID('paste from garc here'!$C$2,1+(('table for research'!$B573-456)*36+HEX2DEC('table for research'!J$1))*2,2)</f>
        <v>00</v>
      </c>
      <c r="K573" t="str">
        <f>DEC2HEX(_xlfn.BITAND(HEX2DEC(MID('paste from garc here'!$C$1,1+(('table for research'!$B573-1)*36+HEX2DEC(8))*2,2)),31),2)</f>
        <v>00</v>
      </c>
      <c r="L573" t="str">
        <f>DEC2HEX(_xlfn.BITAND(HEX2DEC(MID('paste from garc here'!$C$1,1+(('table for research'!$B573-1)*36+HEX2DEC(8))*2,2)),32),2)</f>
        <v>00</v>
      </c>
      <c r="M573" t="str">
        <f>DEC2HEX(_xlfn.BITAND(HEX2DEC(MID('paste from garc here'!$C$1,1+(('table for research'!$B573-1)*36+HEX2DEC(8))*2,2)),64),2)</f>
        <v>00</v>
      </c>
      <c r="N573" t="str">
        <f>DEC2HEX(_xlfn.BITRSHIFT(_xlfn.BITAND(HEX2DEC(MID('paste from garc here'!$C$1,1+(('table for research'!$B573-1)*36+HEX2DEC(9))*2,2)&amp;MID('paste from garc here'!$C$1,1+(('table for research'!$B573-1)*36+HEX2DEC(8))*2,2)),1920),7),2)</f>
        <v>00</v>
      </c>
      <c r="O573" t="str">
        <f>DEC2HEX(_xlfn.BITRSHIFT(HEX2DEC(MID('paste from garc here'!$C$1,1+(('table for research'!$B573-1)*36+HEX2DEC(9))*2,2)&amp;MID('paste from garc here'!$C$1,1+(('table for research'!$B573-1)*36+HEX2DEC(8))*2,2)),11),2)</f>
        <v>00</v>
      </c>
      <c r="P573" t="str">
        <f>MID('paste from garc here'!$C$2,1+(('table for research'!$B573-456)*36+HEX2DEC('table for research'!P$1))*2,2)</f>
        <v>01</v>
      </c>
      <c r="Q573" t="str">
        <f>MID('paste from garc here'!$C$2,1+(('table for research'!$B573-456)*36+HEX2DEC('table for research'!Q$1))*2,2)</f>
        <v>00</v>
      </c>
      <c r="R573" t="str">
        <f>MID('paste from garc here'!$C$2,1+(('table for research'!$B573-456)*36+HEX2DEC('table for research'!R$1))*2,2)</f>
        <v>01</v>
      </c>
      <c r="S573" t="str">
        <f>MID('paste from garc here'!$C$2,1+(('table for research'!$B573-456)*36+HEX2DEC('table for research'!S$1))*2,2)</f>
        <v>00</v>
      </c>
      <c r="T573" t="str">
        <f>MID('paste from garc here'!$C$2,1+(('table for research'!$B573-456)*36+HEX2DEC('table for research'!T$1))*2,2)</f>
        <v>00</v>
      </c>
      <c r="U573" t="str">
        <f>MID('paste from garc here'!$C$2,1+(('table for research'!$B573-456)*36+HEX2DEC('table for research'!U$1))*2,2)</f>
        <v>00</v>
      </c>
      <c r="V573" t="str">
        <f>MID('paste from garc here'!$C$2,1+(('table for research'!$B573-456)*36+HEX2DEC('table for research'!V$1))*2,2)</f>
        <v>1F</v>
      </c>
      <c r="W573" t="str">
        <f>MID('paste from garc here'!$C$2,1+(('table for research'!$B573-456)*36+HEX2DEC('table for research'!W$1))*2,2)</f>
        <v>00</v>
      </c>
      <c r="X573" t="str">
        <f>MID('paste from garc here'!$C$2,1+(('table for research'!$B573-456)*36+HEX2DEC('table for research'!X$1))*2,2)</f>
        <v>00</v>
      </c>
      <c r="Y573" t="str">
        <f>MID('paste from garc here'!$C$2,1+(('table for research'!$B573-456)*36+HEX2DEC('table for research'!Y$1))*2,2)</f>
        <v>00</v>
      </c>
      <c r="Z573" t="str">
        <f>MID('paste from garc here'!$C$2,1+(('table for research'!$B573-456)*36+HEX2DEC('table for research'!Z$1))*2,2)</f>
        <v>00</v>
      </c>
      <c r="AA573" t="str">
        <f>MID('paste from garc here'!$C$2,1+(('table for research'!$B573-456)*36+HEX2DEC('table for research'!AA$1))*2,2)</f>
        <v>04</v>
      </c>
      <c r="AB573" t="str">
        <f>MID('paste from garc here'!$C$2,1+(('table for research'!$B573-456)*36+HEX2DEC('table for research'!AB$1))*2,2)</f>
        <v>1C</v>
      </c>
      <c r="AC573" t="str">
        <f>MID('paste from garc here'!$C$2,1+(('table for research'!$B573-456)*36+HEX2DEC('table for research'!AC$1))*2,2)</f>
        <v>00</v>
      </c>
      <c r="AD573" t="str">
        <f>MID('paste from garc here'!$C$2,1+(('table for research'!$B573-456)*36+HEX2DEC('table for research'!AD$1))*2,2)</f>
        <v>00</v>
      </c>
      <c r="AE573" t="str">
        <f>MID('paste from garc here'!$C$2,1+(('table for research'!$B573-456)*36+HEX2DEC('table for research'!AE$1))*2,2)</f>
        <v>00</v>
      </c>
      <c r="AF573" t="str">
        <f>MID('paste from garc here'!$C$2,1+(('table for research'!$B573-456)*36+HEX2DEC('table for research'!AF$1))*2,2)</f>
        <v>00</v>
      </c>
      <c r="AG573" t="str">
        <f>MID('paste from garc here'!$C$2,1+(('table for research'!$B573-456)*36+HEX2DEC('table for research'!AG$1))*2,2)</f>
        <v>00</v>
      </c>
      <c r="AH573" t="str">
        <f>MID('paste from garc here'!$C$2,1+(('table for research'!$B573-456)*36+HEX2DEC('table for research'!AH$1))*2,2)</f>
        <v>00</v>
      </c>
      <c r="AI573" t="str">
        <f>MID('paste from garc here'!$C$2,1+(('table for research'!$B573-456)*36+HEX2DEC('table for research'!AI$1))*2,2)</f>
        <v>FF</v>
      </c>
      <c r="AJ573" t="str">
        <f>MID('paste from garc here'!$C$2,1+(('table for research'!$B573-456)*36+HEX2DEC('table for research'!AJ$1))*2,2)</f>
        <v>00</v>
      </c>
      <c r="AK573" t="str">
        <f>MID('paste from garc here'!$C$2,1+(('table for research'!$B573-456)*36+HEX2DEC('table for research'!AK$1))*2,2)</f>
        <v>01</v>
      </c>
      <c r="AL573" t="str">
        <f>MID('paste from garc here'!$C$2,1+(('table for research'!$B573-456)*36+HEX2DEC('table for research'!AL$1))*2,2)</f>
        <v>01</v>
      </c>
      <c r="AM573" t="str">
        <f>MID('paste from garc here'!$C$2,1+(('table for research'!$B573-456)*36+HEX2DEC('table for research'!AM$1))*2,2)</f>
        <v>01</v>
      </c>
      <c r="AN573" t="str">
        <f>MID('paste from garc here'!$C$2,1+(('table for research'!$B573-456)*36+HEX2DEC('table for research'!AN$1))*2,2)</f>
        <v>00</v>
      </c>
      <c r="AO573" t="str">
        <f>MID('paste from garc here'!$C$2,1+(('table for research'!$B573-456)*36+HEX2DEC('table for research'!AO$1))*2,2)</f>
        <v>00</v>
      </c>
    </row>
    <row r="574" spans="1:41" x14ac:dyDescent="0.4">
      <c r="A574" t="s">
        <v>576</v>
      </c>
      <c r="B574">
        <f>B573+1</f>
        <v>572</v>
      </c>
      <c r="C574" t="str">
        <f>MID('paste from garc here'!$C$2,1+(('table for research'!$B574-456)*36+HEX2DEC('table for research'!C$1))*2,2)</f>
        <v>BC</v>
      </c>
      <c r="D574" t="str">
        <f>MID('paste from garc here'!$C$2,1+(('table for research'!$B574-456)*36+HEX2DEC('table for research'!D$1))*2,2)</f>
        <v>02</v>
      </c>
      <c r="E574" t="str">
        <f>MID('paste from garc here'!$C$2,1+(('table for research'!$B574-456)*36+HEX2DEC('table for research'!E$1))*2,2)</f>
        <v>00</v>
      </c>
      <c r="F574" t="str">
        <f>MID('paste from garc here'!$C$2,1+(('table for research'!$B574-456)*36+HEX2DEC('table for research'!F$1))*2,2)</f>
        <v>00</v>
      </c>
      <c r="G574" t="str">
        <f>MID('paste from garc here'!$C$2,1+(('table for research'!$B574-456)*36+HEX2DEC('table for research'!G$1))*2,2)</f>
        <v>00</v>
      </c>
      <c r="H574" t="str">
        <f>MID('paste from garc here'!$C$2,1+(('table for research'!$B574-456)*36+HEX2DEC('table for research'!H$1))*2,2)</f>
        <v>00</v>
      </c>
      <c r="I574" t="str">
        <f>MID('paste from garc here'!$C$2,1+(('table for research'!$B574-456)*36+HEX2DEC('table for research'!I$1))*2,2)</f>
        <v>64</v>
      </c>
      <c r="J574" t="str">
        <f>MID('paste from garc here'!$C$2,1+(('table for research'!$B574-456)*36+HEX2DEC('table for research'!J$1))*2,2)</f>
        <v>00</v>
      </c>
      <c r="K574" t="str">
        <f>DEC2HEX(_xlfn.BITAND(HEX2DEC(MID('paste from garc here'!$C$1,1+(('table for research'!$B574-1)*36+HEX2DEC(8))*2,2)),31),2)</f>
        <v>00</v>
      </c>
      <c r="L574" t="str">
        <f>DEC2HEX(_xlfn.BITAND(HEX2DEC(MID('paste from garc here'!$C$1,1+(('table for research'!$B574-1)*36+HEX2DEC(8))*2,2)),32),2)</f>
        <v>00</v>
      </c>
      <c r="M574" t="str">
        <f>DEC2HEX(_xlfn.BITAND(HEX2DEC(MID('paste from garc here'!$C$1,1+(('table for research'!$B574-1)*36+HEX2DEC(8))*2,2)),64),2)</f>
        <v>00</v>
      </c>
      <c r="N574" t="str">
        <f>DEC2HEX(_xlfn.BITRSHIFT(_xlfn.BITAND(HEX2DEC(MID('paste from garc here'!$C$1,1+(('table for research'!$B574-1)*36+HEX2DEC(9))*2,2)&amp;MID('paste from garc here'!$C$1,1+(('table for research'!$B574-1)*36+HEX2DEC(8))*2,2)),1920),7),2)</f>
        <v>00</v>
      </c>
      <c r="O574" t="str">
        <f>DEC2HEX(_xlfn.BITRSHIFT(HEX2DEC(MID('paste from garc here'!$C$1,1+(('table for research'!$B574-1)*36+HEX2DEC(9))*2,2)&amp;MID('paste from garc here'!$C$1,1+(('table for research'!$B574-1)*36+HEX2DEC(8))*2,2)),11),2)</f>
        <v>00</v>
      </c>
      <c r="P574" t="str">
        <f>MID('paste from garc here'!$C$2,1+(('table for research'!$B574-456)*36+HEX2DEC('table for research'!P$1))*2,2)</f>
        <v>00</v>
      </c>
      <c r="Q574" t="str">
        <f>MID('paste from garc here'!$C$2,1+(('table for research'!$B574-456)*36+HEX2DEC('table for research'!Q$1))*2,2)</f>
        <v>00</v>
      </c>
      <c r="R574" t="str">
        <f>MID('paste from garc here'!$C$2,1+(('table for research'!$B574-456)*36+HEX2DEC('table for research'!R$1))*2,2)</f>
        <v>01</v>
      </c>
      <c r="S574" t="str">
        <f>MID('paste from garc here'!$C$2,1+(('table for research'!$B574-456)*36+HEX2DEC('table for research'!S$1))*2,2)</f>
        <v>02</v>
      </c>
      <c r="T574" t="str">
        <f>MID('paste from garc here'!$C$2,1+(('table for research'!$B574-456)*36+HEX2DEC('table for research'!T$1))*2,2)</f>
        <v>00</v>
      </c>
      <c r="U574" t="str">
        <f>MID('paste from garc here'!$C$2,1+(('table for research'!$B574-456)*36+HEX2DEC('table for research'!U$1))*2,2)</f>
        <v>9D</v>
      </c>
      <c r="V574" t="str">
        <f>MID('paste from garc here'!$C$2,1+(('table for research'!$B574-456)*36+HEX2DEC('table for research'!V$1))*2,2)</f>
        <v>00</v>
      </c>
      <c r="W574" t="str">
        <f>MID('paste from garc here'!$C$2,1+(('table for research'!$B574-456)*36+HEX2DEC('table for research'!W$1))*2,2)</f>
        <v>00</v>
      </c>
      <c r="X574" t="str">
        <f>MID('paste from garc here'!$C$2,1+(('table for research'!$B574-456)*36+HEX2DEC('table for research'!X$1))*2,2)</f>
        <v>00</v>
      </c>
      <c r="Y574" t="str">
        <f>MID('paste from garc here'!$C$2,1+(('table for research'!$B574-456)*36+HEX2DEC('table for research'!Y$1))*2,2)</f>
        <v>00</v>
      </c>
      <c r="Z574" t="str">
        <f>MID('paste from garc here'!$C$2,1+(('table for research'!$B574-456)*36+HEX2DEC('table for research'!Z$1))*2,2)</f>
        <v>00</v>
      </c>
      <c r="AA574" t="str">
        <f>MID('paste from garc here'!$C$2,1+(('table for research'!$B574-456)*36+HEX2DEC('table for research'!AA$1))*2,2)</f>
        <v>00</v>
      </c>
      <c r="AB574" t="str">
        <f>MID('paste from garc here'!$C$2,1+(('table for research'!$B574-456)*36+HEX2DEC('table for research'!AB$1))*2,2)</f>
        <v>00</v>
      </c>
      <c r="AC574" t="str">
        <f>MID('paste from garc here'!$C$2,1+(('table for research'!$B574-456)*36+HEX2DEC('table for research'!AC$1))*2,2)</f>
        <v>00</v>
      </c>
      <c r="AD574" t="str">
        <f>MID('paste from garc here'!$C$2,1+(('table for research'!$B574-456)*36+HEX2DEC('table for research'!AD$1))*2,2)</f>
        <v>00</v>
      </c>
      <c r="AE574" t="str">
        <f>MID('paste from garc here'!$C$2,1+(('table for research'!$B574-456)*36+HEX2DEC('table for research'!AE$1))*2,2)</f>
        <v>00</v>
      </c>
      <c r="AF574" t="str">
        <f>MID('paste from garc here'!$C$2,1+(('table for research'!$B574-456)*36+HEX2DEC('table for research'!AF$1))*2,2)</f>
        <v>00</v>
      </c>
      <c r="AG574" t="str">
        <f>MID('paste from garc here'!$C$2,1+(('table for research'!$B574-456)*36+HEX2DEC('table for research'!AG$1))*2,2)</f>
        <v>00</v>
      </c>
      <c r="AH574" t="str">
        <f>MID('paste from garc here'!$C$2,1+(('table for research'!$B574-456)*36+HEX2DEC('table for research'!AH$1))*2,2)</f>
        <v>00</v>
      </c>
      <c r="AI574" t="str">
        <f>MID('paste from garc here'!$C$2,1+(('table for research'!$B574-456)*36+HEX2DEC('table for research'!AI$1))*2,2)</f>
        <v>00</v>
      </c>
      <c r="AJ574" t="str">
        <f>MID('paste from garc here'!$C$2,1+(('table for research'!$B574-456)*36+HEX2DEC('table for research'!AJ$1))*2,2)</f>
        <v>00</v>
      </c>
      <c r="AK574" t="str">
        <f>MID('paste from garc here'!$C$2,1+(('table for research'!$B574-456)*36+HEX2DEC('table for research'!AK$1))*2,2)</f>
        <v>00</v>
      </c>
      <c r="AL574" t="str">
        <f>MID('paste from garc here'!$C$2,1+(('table for research'!$B574-456)*36+HEX2DEC('table for research'!AL$1))*2,2)</f>
        <v>00</v>
      </c>
      <c r="AM574" t="str">
        <f>MID('paste from garc here'!$C$2,1+(('table for research'!$B574-456)*36+HEX2DEC('table for research'!AM$1))*2,2)</f>
        <v>00</v>
      </c>
      <c r="AN574" t="str">
        <f>MID('paste from garc here'!$C$2,1+(('table for research'!$B574-456)*36+HEX2DEC('table for research'!AN$1))*2,2)</f>
        <v>00</v>
      </c>
      <c r="AO574" t="str">
        <f>MID('paste from garc here'!$C$2,1+(('table for research'!$B574-456)*36+HEX2DEC('table for research'!AO$1))*2,2)</f>
        <v>00</v>
      </c>
    </row>
    <row r="575" spans="1:41" x14ac:dyDescent="0.4">
      <c r="A575" t="s">
        <v>577</v>
      </c>
      <c r="B575">
        <f>B574+1</f>
        <v>573</v>
      </c>
      <c r="C575" t="str">
        <f>MID('paste from garc here'!$C$2,1+(('table for research'!$B575-456)*36+HEX2DEC('table for research'!C$1))*2,2)</f>
        <v>BC</v>
      </c>
      <c r="D575" t="str">
        <f>MID('paste from garc here'!$C$2,1+(('table for research'!$B575-456)*36+HEX2DEC('table for research'!D$1))*2,2)</f>
        <v>02</v>
      </c>
      <c r="E575" t="str">
        <f>MID('paste from garc here'!$C$2,1+(('table for research'!$B575-456)*36+HEX2DEC('table for research'!E$1))*2,2)</f>
        <v>00</v>
      </c>
      <c r="F575" t="str">
        <f>MID('paste from garc here'!$C$2,1+(('table for research'!$B575-456)*36+HEX2DEC('table for research'!F$1))*2,2)</f>
        <v>00</v>
      </c>
      <c r="G575" t="str">
        <f>MID('paste from garc here'!$C$2,1+(('table for research'!$B575-456)*36+HEX2DEC('table for research'!G$1))*2,2)</f>
        <v>00</v>
      </c>
      <c r="H575" t="str">
        <f>MID('paste from garc here'!$C$2,1+(('table for research'!$B575-456)*36+HEX2DEC('table for research'!H$1))*2,2)</f>
        <v>00</v>
      </c>
      <c r="I575" t="str">
        <f>MID('paste from garc here'!$C$2,1+(('table for research'!$B575-456)*36+HEX2DEC('table for research'!I$1))*2,2)</f>
        <v>64</v>
      </c>
      <c r="J575" t="str">
        <f>MID('paste from garc here'!$C$2,1+(('table for research'!$B575-456)*36+HEX2DEC('table for research'!J$1))*2,2)</f>
        <v>00</v>
      </c>
      <c r="K575" t="str">
        <f>DEC2HEX(_xlfn.BITAND(HEX2DEC(MID('paste from garc here'!$C$1,1+(('table for research'!$B575-1)*36+HEX2DEC(8))*2,2)),31),2)</f>
        <v>00</v>
      </c>
      <c r="L575" t="str">
        <f>DEC2HEX(_xlfn.BITAND(HEX2DEC(MID('paste from garc here'!$C$1,1+(('table for research'!$B575-1)*36+HEX2DEC(8))*2,2)),32),2)</f>
        <v>00</v>
      </c>
      <c r="M575" t="str">
        <f>DEC2HEX(_xlfn.BITAND(HEX2DEC(MID('paste from garc here'!$C$1,1+(('table for research'!$B575-1)*36+HEX2DEC(8))*2,2)),64),2)</f>
        <v>00</v>
      </c>
      <c r="N575" t="str">
        <f>DEC2HEX(_xlfn.BITRSHIFT(_xlfn.BITAND(HEX2DEC(MID('paste from garc here'!$C$1,1+(('table for research'!$B575-1)*36+HEX2DEC(9))*2,2)&amp;MID('paste from garc here'!$C$1,1+(('table for research'!$B575-1)*36+HEX2DEC(8))*2,2)),1920),7),2)</f>
        <v>00</v>
      </c>
      <c r="O575" t="str">
        <f>DEC2HEX(_xlfn.BITRSHIFT(HEX2DEC(MID('paste from garc here'!$C$1,1+(('table for research'!$B575-1)*36+HEX2DEC(9))*2,2)&amp;MID('paste from garc here'!$C$1,1+(('table for research'!$B575-1)*36+HEX2DEC(8))*2,2)),11),2)</f>
        <v>00</v>
      </c>
      <c r="P575" t="str">
        <f>MID('paste from garc here'!$C$2,1+(('table for research'!$B575-456)*36+HEX2DEC('table for research'!P$1))*2,2)</f>
        <v>00</v>
      </c>
      <c r="Q575" t="str">
        <f>MID('paste from garc here'!$C$2,1+(('table for research'!$B575-456)*36+HEX2DEC('table for research'!Q$1))*2,2)</f>
        <v>00</v>
      </c>
      <c r="R575" t="str">
        <f>MID('paste from garc here'!$C$2,1+(('table for research'!$B575-456)*36+HEX2DEC('table for research'!R$1))*2,2)</f>
        <v>01</v>
      </c>
      <c r="S575" t="str">
        <f>MID('paste from garc here'!$C$2,1+(('table for research'!$B575-456)*36+HEX2DEC('table for research'!S$1))*2,2)</f>
        <v>02</v>
      </c>
      <c r="T575" t="str">
        <f>MID('paste from garc here'!$C$2,1+(('table for research'!$B575-456)*36+HEX2DEC('table for research'!T$1))*2,2)</f>
        <v>00</v>
      </c>
      <c r="U575" t="str">
        <f>MID('paste from garc here'!$C$2,1+(('table for research'!$B575-456)*36+HEX2DEC('table for research'!U$1))*2,2)</f>
        <v>9E</v>
      </c>
      <c r="V575" t="str">
        <f>MID('paste from garc here'!$C$2,1+(('table for research'!$B575-456)*36+HEX2DEC('table for research'!V$1))*2,2)</f>
        <v>00</v>
      </c>
      <c r="W575" t="str">
        <f>MID('paste from garc here'!$C$2,1+(('table for research'!$B575-456)*36+HEX2DEC('table for research'!W$1))*2,2)</f>
        <v>00</v>
      </c>
      <c r="X575" t="str">
        <f>MID('paste from garc here'!$C$2,1+(('table for research'!$B575-456)*36+HEX2DEC('table for research'!X$1))*2,2)</f>
        <v>00</v>
      </c>
      <c r="Y575" t="str">
        <f>MID('paste from garc here'!$C$2,1+(('table for research'!$B575-456)*36+HEX2DEC('table for research'!Y$1))*2,2)</f>
        <v>00</v>
      </c>
      <c r="Z575" t="str">
        <f>MID('paste from garc here'!$C$2,1+(('table for research'!$B575-456)*36+HEX2DEC('table for research'!Z$1))*2,2)</f>
        <v>00</v>
      </c>
      <c r="AA575" t="str">
        <f>MID('paste from garc here'!$C$2,1+(('table for research'!$B575-456)*36+HEX2DEC('table for research'!AA$1))*2,2)</f>
        <v>00</v>
      </c>
      <c r="AB575" t="str">
        <f>MID('paste from garc here'!$C$2,1+(('table for research'!$B575-456)*36+HEX2DEC('table for research'!AB$1))*2,2)</f>
        <v>00</v>
      </c>
      <c r="AC575" t="str">
        <f>MID('paste from garc here'!$C$2,1+(('table for research'!$B575-456)*36+HEX2DEC('table for research'!AC$1))*2,2)</f>
        <v>00</v>
      </c>
      <c r="AD575" t="str">
        <f>MID('paste from garc here'!$C$2,1+(('table for research'!$B575-456)*36+HEX2DEC('table for research'!AD$1))*2,2)</f>
        <v>00</v>
      </c>
      <c r="AE575" t="str">
        <f>MID('paste from garc here'!$C$2,1+(('table for research'!$B575-456)*36+HEX2DEC('table for research'!AE$1))*2,2)</f>
        <v>00</v>
      </c>
      <c r="AF575" t="str">
        <f>MID('paste from garc here'!$C$2,1+(('table for research'!$B575-456)*36+HEX2DEC('table for research'!AF$1))*2,2)</f>
        <v>00</v>
      </c>
      <c r="AG575" t="str">
        <f>MID('paste from garc here'!$C$2,1+(('table for research'!$B575-456)*36+HEX2DEC('table for research'!AG$1))*2,2)</f>
        <v>00</v>
      </c>
      <c r="AH575" t="str">
        <f>MID('paste from garc here'!$C$2,1+(('table for research'!$B575-456)*36+HEX2DEC('table for research'!AH$1))*2,2)</f>
        <v>00</v>
      </c>
      <c r="AI575" t="str">
        <f>MID('paste from garc here'!$C$2,1+(('table for research'!$B575-456)*36+HEX2DEC('table for research'!AI$1))*2,2)</f>
        <v>00</v>
      </c>
      <c r="AJ575" t="str">
        <f>MID('paste from garc here'!$C$2,1+(('table for research'!$B575-456)*36+HEX2DEC('table for research'!AJ$1))*2,2)</f>
        <v>00</v>
      </c>
      <c r="AK575" t="str">
        <f>MID('paste from garc here'!$C$2,1+(('table for research'!$B575-456)*36+HEX2DEC('table for research'!AK$1))*2,2)</f>
        <v>00</v>
      </c>
      <c r="AL575" t="str">
        <f>MID('paste from garc here'!$C$2,1+(('table for research'!$B575-456)*36+HEX2DEC('table for research'!AL$1))*2,2)</f>
        <v>00</v>
      </c>
      <c r="AM575" t="str">
        <f>MID('paste from garc here'!$C$2,1+(('table for research'!$B575-456)*36+HEX2DEC('table for research'!AM$1))*2,2)</f>
        <v>00</v>
      </c>
      <c r="AN575" t="str">
        <f>MID('paste from garc here'!$C$2,1+(('table for research'!$B575-456)*36+HEX2DEC('table for research'!AN$1))*2,2)</f>
        <v>00</v>
      </c>
      <c r="AO575" t="str">
        <f>MID('paste from garc here'!$C$2,1+(('table for research'!$B575-456)*36+HEX2DEC('table for research'!AO$1))*2,2)</f>
        <v>00</v>
      </c>
    </row>
    <row r="576" spans="1:41" x14ac:dyDescent="0.4">
      <c r="A576" t="s">
        <v>578</v>
      </c>
      <c r="B576">
        <f>B575+1</f>
        <v>574</v>
      </c>
      <c r="C576" t="str">
        <f>MID('paste from garc here'!$C$2,1+(('table for research'!$B576-456)*36+HEX2DEC('table for research'!C$1))*2,2)</f>
        <v>00</v>
      </c>
      <c r="D576" t="str">
        <f>MID('paste from garc here'!$C$2,1+(('table for research'!$B576-456)*36+HEX2DEC('table for research'!D$1))*2,2)</f>
        <v>00</v>
      </c>
      <c r="E576" t="str">
        <f>MID('paste from garc here'!$C$2,1+(('table for research'!$B576-456)*36+HEX2DEC('table for research'!E$1))*2,2)</f>
        <v>00</v>
      </c>
      <c r="F576" t="str">
        <f>MID('paste from garc here'!$C$2,1+(('table for research'!$B576-456)*36+HEX2DEC('table for research'!F$1))*2,2)</f>
        <v>00</v>
      </c>
      <c r="G576" t="str">
        <f>MID('paste from garc here'!$C$2,1+(('table for research'!$B576-456)*36+HEX2DEC('table for research'!G$1))*2,2)</f>
        <v>00</v>
      </c>
      <c r="H576" t="str">
        <f>MID('paste from garc here'!$C$2,1+(('table for research'!$B576-456)*36+HEX2DEC('table for research'!H$1))*2,2)</f>
        <v>00</v>
      </c>
      <c r="I576" t="str">
        <f>MID('paste from garc here'!$C$2,1+(('table for research'!$B576-456)*36+HEX2DEC('table for research'!I$1))*2,2)</f>
        <v>00</v>
      </c>
      <c r="J576" t="str">
        <f>MID('paste from garc here'!$C$2,1+(('table for research'!$B576-456)*36+HEX2DEC('table for research'!J$1))*2,2)</f>
        <v>00</v>
      </c>
      <c r="K576" t="str">
        <f>DEC2HEX(_xlfn.BITAND(HEX2DEC(MID('paste from garc here'!$C$1,1+(('table for research'!$B576-1)*36+HEX2DEC(8))*2,2)),31),2)</f>
        <v>00</v>
      </c>
      <c r="L576" t="str">
        <f>DEC2HEX(_xlfn.BITAND(HEX2DEC(MID('paste from garc here'!$C$1,1+(('table for research'!$B576-1)*36+HEX2DEC(8))*2,2)),32),2)</f>
        <v>00</v>
      </c>
      <c r="M576" t="str">
        <f>DEC2HEX(_xlfn.BITAND(HEX2DEC(MID('paste from garc here'!$C$1,1+(('table for research'!$B576-1)*36+HEX2DEC(8))*2,2)),64),2)</f>
        <v>00</v>
      </c>
      <c r="N576" t="str">
        <f>DEC2HEX(_xlfn.BITRSHIFT(_xlfn.BITAND(HEX2DEC(MID('paste from garc here'!$C$1,1+(('table for research'!$B576-1)*36+HEX2DEC(9))*2,2)&amp;MID('paste from garc here'!$C$1,1+(('table for research'!$B576-1)*36+HEX2DEC(8))*2,2)),1920),7),2)</f>
        <v>00</v>
      </c>
      <c r="O576" t="str">
        <f>DEC2HEX(_xlfn.BITRSHIFT(HEX2DEC(MID('paste from garc here'!$C$1,1+(('table for research'!$B576-1)*36+HEX2DEC(9))*2,2)&amp;MID('paste from garc here'!$C$1,1+(('table for research'!$B576-1)*36+HEX2DEC(8))*2,2)),11),2)</f>
        <v>00</v>
      </c>
      <c r="P576" t="str">
        <f>MID('paste from garc here'!$C$2,1+(('table for research'!$B576-456)*36+HEX2DEC('table for research'!P$1))*2,2)</f>
        <v>00</v>
      </c>
      <c r="Q576" t="str">
        <f>MID('paste from garc here'!$C$2,1+(('table for research'!$B576-456)*36+HEX2DEC('table for research'!Q$1))*2,2)</f>
        <v>00</v>
      </c>
      <c r="R576" t="str">
        <f>MID('paste from garc here'!$C$2,1+(('table for research'!$B576-456)*36+HEX2DEC('table for research'!R$1))*2,2)</f>
        <v>00</v>
      </c>
      <c r="S576" t="str">
        <f>MID('paste from garc here'!$C$2,1+(('table for research'!$B576-456)*36+HEX2DEC('table for research'!S$1))*2,2)</f>
        <v>08</v>
      </c>
      <c r="T576" t="str">
        <f>MID('paste from garc here'!$C$2,1+(('table for research'!$B576-456)*36+HEX2DEC('table for research'!T$1))*2,2)</f>
        <v>00</v>
      </c>
      <c r="U576" t="str">
        <f>MID('paste from garc here'!$C$2,1+(('table for research'!$B576-456)*36+HEX2DEC('table for research'!U$1))*2,2)</f>
        <v>FF</v>
      </c>
      <c r="V576" t="str">
        <f>MID('paste from garc here'!$C$2,1+(('table for research'!$B576-456)*36+HEX2DEC('table for research'!V$1))*2,2)</f>
        <v>00</v>
      </c>
      <c r="W576" t="str">
        <f>MID('paste from garc here'!$C$2,1+(('table for research'!$B576-456)*36+HEX2DEC('table for research'!W$1))*2,2)</f>
        <v>00</v>
      </c>
      <c r="X576" t="str">
        <f>MID('paste from garc here'!$C$2,1+(('table for research'!$B576-456)*36+HEX2DEC('table for research'!X$1))*2,2)</f>
        <v>00</v>
      </c>
      <c r="Y576" t="str">
        <f>MID('paste from garc here'!$C$2,1+(('table for research'!$B576-456)*36+HEX2DEC('table for research'!Y$1))*2,2)</f>
        <v>00</v>
      </c>
      <c r="Z576" t="str">
        <f>MID('paste from garc here'!$C$2,1+(('table for research'!$B576-456)*36+HEX2DEC('table for research'!Z$1))*2,2)</f>
        <v>00</v>
      </c>
      <c r="AA576" t="str">
        <f>MID('paste from garc here'!$C$2,1+(('table for research'!$B576-456)*36+HEX2DEC('table for research'!AA$1))*2,2)</f>
        <v>00</v>
      </c>
      <c r="AB576" t="str">
        <f>MID('paste from garc here'!$C$2,1+(('table for research'!$B576-456)*36+HEX2DEC('table for research'!AB$1))*2,2)</f>
        <v>00</v>
      </c>
      <c r="AC576" t="str">
        <f>MID('paste from garc here'!$C$2,1+(('table for research'!$B576-456)*36+HEX2DEC('table for research'!AC$1))*2,2)</f>
        <v>00</v>
      </c>
      <c r="AD576" t="str">
        <f>MID('paste from garc here'!$C$2,1+(('table for research'!$B576-456)*36+HEX2DEC('table for research'!AD$1))*2,2)</f>
        <v>00</v>
      </c>
      <c r="AE576" t="str">
        <f>MID('paste from garc here'!$C$2,1+(('table for research'!$B576-456)*36+HEX2DEC('table for research'!AE$1))*2,2)</f>
        <v>00</v>
      </c>
      <c r="AF576" t="str">
        <f>MID('paste from garc here'!$C$2,1+(('table for research'!$B576-456)*36+HEX2DEC('table for research'!AF$1))*2,2)</f>
        <v>00</v>
      </c>
      <c r="AG576" t="str">
        <f>MID('paste from garc here'!$C$2,1+(('table for research'!$B576-456)*36+HEX2DEC('table for research'!AG$1))*2,2)</f>
        <v>00</v>
      </c>
      <c r="AH576" t="str">
        <f>MID('paste from garc here'!$C$2,1+(('table for research'!$B576-456)*36+HEX2DEC('table for research'!AH$1))*2,2)</f>
        <v>00</v>
      </c>
      <c r="AI576" t="str">
        <f>MID('paste from garc here'!$C$2,1+(('table for research'!$B576-456)*36+HEX2DEC('table for research'!AI$1))*2,2)</f>
        <v>00</v>
      </c>
      <c r="AJ576" t="str">
        <f>MID('paste from garc here'!$C$2,1+(('table for research'!$B576-456)*36+HEX2DEC('table for research'!AJ$1))*2,2)</f>
        <v>00</v>
      </c>
      <c r="AK576" t="str">
        <f>MID('paste from garc here'!$C$2,1+(('table for research'!$B576-456)*36+HEX2DEC('table for research'!AK$1))*2,2)</f>
        <v>00</v>
      </c>
      <c r="AL576" t="str">
        <f>MID('paste from garc here'!$C$2,1+(('table for research'!$B576-456)*36+HEX2DEC('table for research'!AL$1))*2,2)</f>
        <v>00</v>
      </c>
      <c r="AM576" t="str">
        <f>MID('paste from garc here'!$C$2,1+(('table for research'!$B576-456)*36+HEX2DEC('table for research'!AM$1))*2,2)</f>
        <v>00</v>
      </c>
      <c r="AN576" t="str">
        <f>MID('paste from garc here'!$C$2,1+(('table for research'!$B576-456)*36+HEX2DEC('table for research'!AN$1))*2,2)</f>
        <v>00</v>
      </c>
      <c r="AO576" t="str">
        <f>MID('paste from garc here'!$C$2,1+(('table for research'!$B576-456)*36+HEX2DEC('table for research'!AO$1))*2,2)</f>
        <v>00</v>
      </c>
    </row>
    <row r="577" spans="1:41" x14ac:dyDescent="0.4">
      <c r="A577" t="s">
        <v>579</v>
      </c>
      <c r="B577">
        <f>B576+1</f>
        <v>575</v>
      </c>
      <c r="C577" t="str">
        <f>MID('paste from garc here'!$C$2,1+(('table for research'!$B577-456)*36+HEX2DEC('table for research'!C$1))*2,2)</f>
        <v>14</v>
      </c>
      <c r="D577" t="str">
        <f>MID('paste from garc here'!$C$2,1+(('table for research'!$B577-456)*36+HEX2DEC('table for research'!D$1))*2,2)</f>
        <v>00</v>
      </c>
      <c r="E577" t="str">
        <f>MID('paste from garc here'!$C$2,1+(('table for research'!$B577-456)*36+HEX2DEC('table for research'!E$1))*2,2)</f>
        <v>00</v>
      </c>
      <c r="F577" t="str">
        <f>MID('paste from garc here'!$C$2,1+(('table for research'!$B577-456)*36+HEX2DEC('table for research'!F$1))*2,2)</f>
        <v>00</v>
      </c>
      <c r="G577" t="str">
        <f>MID('paste from garc here'!$C$2,1+(('table for research'!$B577-456)*36+HEX2DEC('table for research'!G$1))*2,2)</f>
        <v>00</v>
      </c>
      <c r="H577" t="str">
        <f>MID('paste from garc here'!$C$2,1+(('table for research'!$B577-456)*36+HEX2DEC('table for research'!H$1))*2,2)</f>
        <v>00</v>
      </c>
      <c r="I577" t="str">
        <f>MID('paste from garc here'!$C$2,1+(('table for research'!$B577-456)*36+HEX2DEC('table for research'!I$1))*2,2)</f>
        <v>1E</v>
      </c>
      <c r="J577" t="str">
        <f>MID('paste from garc here'!$C$2,1+(('table for research'!$B577-456)*36+HEX2DEC('table for research'!J$1))*2,2)</f>
        <v>00</v>
      </c>
      <c r="K577" t="str">
        <f>DEC2HEX(_xlfn.BITAND(HEX2DEC(MID('paste from garc here'!$C$1,1+(('table for research'!$B577-1)*36+HEX2DEC(8))*2,2)),31),2)</f>
        <v>00</v>
      </c>
      <c r="L577" t="str">
        <f>DEC2HEX(_xlfn.BITAND(HEX2DEC(MID('paste from garc here'!$C$1,1+(('table for research'!$B577-1)*36+HEX2DEC(8))*2,2)),32),2)</f>
        <v>00</v>
      </c>
      <c r="M577" t="str">
        <f>DEC2HEX(_xlfn.BITAND(HEX2DEC(MID('paste from garc here'!$C$1,1+(('table for research'!$B577-1)*36+HEX2DEC(8))*2,2)),64),2)</f>
        <v>00</v>
      </c>
      <c r="N577" t="str">
        <f>DEC2HEX(_xlfn.BITRSHIFT(_xlfn.BITAND(HEX2DEC(MID('paste from garc here'!$C$1,1+(('table for research'!$B577-1)*36+HEX2DEC(9))*2,2)&amp;MID('paste from garc here'!$C$1,1+(('table for research'!$B577-1)*36+HEX2DEC(8))*2,2)),1920),7),2)</f>
        <v>00</v>
      </c>
      <c r="O577" t="str">
        <f>DEC2HEX(_xlfn.BITRSHIFT(HEX2DEC(MID('paste from garc here'!$C$1,1+(('table for research'!$B577-1)*36+HEX2DEC(9))*2,2)&amp;MID('paste from garc here'!$C$1,1+(('table for research'!$B577-1)*36+HEX2DEC(8))*2,2)),11),2)</f>
        <v>00</v>
      </c>
      <c r="P577" t="str">
        <f>MID('paste from garc here'!$C$2,1+(('table for research'!$B577-456)*36+HEX2DEC('table for research'!P$1))*2,2)</f>
        <v>00</v>
      </c>
      <c r="Q577" t="str">
        <f>MID('paste from garc here'!$C$2,1+(('table for research'!$B577-456)*36+HEX2DEC('table for research'!Q$1))*2,2)</f>
        <v>00</v>
      </c>
      <c r="R577" t="str">
        <f>MID('paste from garc here'!$C$2,1+(('table for research'!$B577-456)*36+HEX2DEC('table for research'!R$1))*2,2)</f>
        <v>01</v>
      </c>
      <c r="S577" t="str">
        <f>MID('paste from garc here'!$C$2,1+(('table for research'!$B577-456)*36+HEX2DEC('table for research'!S$1))*2,2)</f>
        <v>02</v>
      </c>
      <c r="T577" t="str">
        <f>MID('paste from garc here'!$C$2,1+(('table for research'!$B577-456)*36+HEX2DEC('table for research'!T$1))*2,2)</f>
        <v>00</v>
      </c>
      <c r="U577" t="str">
        <f>MID('paste from garc here'!$C$2,1+(('table for research'!$B577-456)*36+HEX2DEC('table for research'!U$1))*2,2)</f>
        <v>FF</v>
      </c>
      <c r="V577" t="str">
        <f>MID('paste from garc here'!$C$2,1+(('table for research'!$B577-456)*36+HEX2DEC('table for research'!V$1))*2,2)</f>
        <v>00</v>
      </c>
      <c r="W577" t="str">
        <f>MID('paste from garc here'!$C$2,1+(('table for research'!$B577-456)*36+HEX2DEC('table for research'!W$1))*2,2)</f>
        <v>00</v>
      </c>
      <c r="X577" t="str">
        <f>MID('paste from garc here'!$C$2,1+(('table for research'!$B577-456)*36+HEX2DEC('table for research'!X$1))*2,2)</f>
        <v>00</v>
      </c>
      <c r="Y577" t="str">
        <f>MID('paste from garc here'!$C$2,1+(('table for research'!$B577-456)*36+HEX2DEC('table for research'!Y$1))*2,2)</f>
        <v>00</v>
      </c>
      <c r="Z577" t="str">
        <f>MID('paste from garc here'!$C$2,1+(('table for research'!$B577-456)*36+HEX2DEC('table for research'!Z$1))*2,2)</f>
        <v>00</v>
      </c>
      <c r="AA577" t="str">
        <f>MID('paste from garc here'!$C$2,1+(('table for research'!$B577-456)*36+HEX2DEC('table for research'!AA$1))*2,2)</f>
        <v>00</v>
      </c>
      <c r="AB577" t="str">
        <f>MID('paste from garc here'!$C$2,1+(('table for research'!$B577-456)*36+HEX2DEC('table for research'!AB$1))*2,2)</f>
        <v>00</v>
      </c>
      <c r="AC577" t="str">
        <f>MID('paste from garc here'!$C$2,1+(('table for research'!$B577-456)*36+HEX2DEC('table for research'!AC$1))*2,2)</f>
        <v>00</v>
      </c>
      <c r="AD577" t="str">
        <f>MID('paste from garc here'!$C$2,1+(('table for research'!$B577-456)*36+HEX2DEC('table for research'!AD$1))*2,2)</f>
        <v>00</v>
      </c>
      <c r="AE577" t="str">
        <f>MID('paste from garc here'!$C$2,1+(('table for research'!$B577-456)*36+HEX2DEC('table for research'!AE$1))*2,2)</f>
        <v>00</v>
      </c>
      <c r="AF577" t="str">
        <f>MID('paste from garc here'!$C$2,1+(('table for research'!$B577-456)*36+HEX2DEC('table for research'!AF$1))*2,2)</f>
        <v>00</v>
      </c>
      <c r="AG577" t="str">
        <f>MID('paste from garc here'!$C$2,1+(('table for research'!$B577-456)*36+HEX2DEC('table for research'!AG$1))*2,2)</f>
        <v>00</v>
      </c>
      <c r="AH577" t="str">
        <f>MID('paste from garc here'!$C$2,1+(('table for research'!$B577-456)*36+HEX2DEC('table for research'!AH$1))*2,2)</f>
        <v>00</v>
      </c>
      <c r="AI577" t="str">
        <f>MID('paste from garc here'!$C$2,1+(('table for research'!$B577-456)*36+HEX2DEC('table for research'!AI$1))*2,2)</f>
        <v>00</v>
      </c>
      <c r="AJ577" t="str">
        <f>MID('paste from garc here'!$C$2,1+(('table for research'!$B577-456)*36+HEX2DEC('table for research'!AJ$1))*2,2)</f>
        <v>00</v>
      </c>
      <c r="AK577" t="str">
        <f>MID('paste from garc here'!$C$2,1+(('table for research'!$B577-456)*36+HEX2DEC('table for research'!AK$1))*2,2)</f>
        <v>00</v>
      </c>
      <c r="AL577" t="str">
        <f>MID('paste from garc here'!$C$2,1+(('table for research'!$B577-456)*36+HEX2DEC('table for research'!AL$1))*2,2)</f>
        <v>00</v>
      </c>
      <c r="AM577" t="str">
        <f>MID('paste from garc here'!$C$2,1+(('table for research'!$B577-456)*36+HEX2DEC('table for research'!AM$1))*2,2)</f>
        <v>00</v>
      </c>
      <c r="AN577" t="str">
        <f>MID('paste from garc here'!$C$2,1+(('table for research'!$B577-456)*36+HEX2DEC('table for research'!AN$1))*2,2)</f>
        <v>00</v>
      </c>
      <c r="AO577" t="str">
        <f>MID('paste from garc here'!$C$2,1+(('table for research'!$B577-456)*36+HEX2DEC('table for research'!AO$1))*2,2)</f>
        <v>00</v>
      </c>
    </row>
    <row r="578" spans="1:41" x14ac:dyDescent="0.4">
      <c r="A578" t="s">
        <v>580</v>
      </c>
      <c r="B578">
        <f>B577+1</f>
        <v>576</v>
      </c>
      <c r="C578" t="str">
        <f>MID('paste from garc here'!$C$2,1+(('table for research'!$B578-456)*36+HEX2DEC('table for research'!C$1))*2,2)</f>
        <v>00</v>
      </c>
      <c r="D578" t="str">
        <f>MID('paste from garc here'!$C$2,1+(('table for research'!$B578-456)*36+HEX2DEC('table for research'!D$1))*2,2)</f>
        <v>00</v>
      </c>
      <c r="E578" t="str">
        <f>MID('paste from garc here'!$C$2,1+(('table for research'!$B578-456)*36+HEX2DEC('table for research'!E$1))*2,2)</f>
        <v>00</v>
      </c>
      <c r="F578" t="str">
        <f>MID('paste from garc here'!$C$2,1+(('table for research'!$B578-456)*36+HEX2DEC('table for research'!F$1))*2,2)</f>
        <v>00</v>
      </c>
      <c r="G578" t="str">
        <f>MID('paste from garc here'!$C$2,1+(('table for research'!$B578-456)*36+HEX2DEC('table for research'!G$1))*2,2)</f>
        <v>00</v>
      </c>
      <c r="H578" t="str">
        <f>MID('paste from garc here'!$C$2,1+(('table for research'!$B578-456)*36+HEX2DEC('table for research'!H$1))*2,2)</f>
        <v>00</v>
      </c>
      <c r="I578" t="str">
        <f>MID('paste from garc here'!$C$2,1+(('table for research'!$B578-456)*36+HEX2DEC('table for research'!I$1))*2,2)</f>
        <v>00</v>
      </c>
      <c r="J578" t="str">
        <f>MID('paste from garc here'!$C$2,1+(('table for research'!$B578-456)*36+HEX2DEC('table for research'!J$1))*2,2)</f>
        <v>00</v>
      </c>
      <c r="K578" t="str">
        <f>DEC2HEX(_xlfn.BITAND(HEX2DEC(MID('paste from garc here'!$C$1,1+(('table for research'!$B578-1)*36+HEX2DEC(8))*2,2)),31),2)</f>
        <v>00</v>
      </c>
      <c r="L578" t="str">
        <f>DEC2HEX(_xlfn.BITAND(HEX2DEC(MID('paste from garc here'!$C$1,1+(('table for research'!$B578-1)*36+HEX2DEC(8))*2,2)),32),2)</f>
        <v>00</v>
      </c>
      <c r="M578" t="str">
        <f>DEC2HEX(_xlfn.BITAND(HEX2DEC(MID('paste from garc here'!$C$1,1+(('table for research'!$B578-1)*36+HEX2DEC(8))*2,2)),64),2)</f>
        <v>00</v>
      </c>
      <c r="N578" t="str">
        <f>DEC2HEX(_xlfn.BITRSHIFT(_xlfn.BITAND(HEX2DEC(MID('paste from garc here'!$C$1,1+(('table for research'!$B578-1)*36+HEX2DEC(9))*2,2)&amp;MID('paste from garc here'!$C$1,1+(('table for research'!$B578-1)*36+HEX2DEC(8))*2,2)),1920),7),2)</f>
        <v>00</v>
      </c>
      <c r="O578" t="str">
        <f>DEC2HEX(_xlfn.BITRSHIFT(HEX2DEC(MID('paste from garc here'!$C$1,1+(('table for research'!$B578-1)*36+HEX2DEC(9))*2,2)&amp;MID('paste from garc here'!$C$1,1+(('table for research'!$B578-1)*36+HEX2DEC(8))*2,2)),11),2)</f>
        <v>00</v>
      </c>
      <c r="P578" t="str">
        <f>MID('paste from garc here'!$C$2,1+(('table for research'!$B578-456)*36+HEX2DEC('table for research'!P$1))*2,2)</f>
        <v>00</v>
      </c>
      <c r="Q578" t="str">
        <f>MID('paste from garc here'!$C$2,1+(('table for research'!$B578-456)*36+HEX2DEC('table for research'!Q$1))*2,2)</f>
        <v>01</v>
      </c>
      <c r="R578" t="str">
        <f>MID('paste from garc here'!$C$2,1+(('table for research'!$B578-456)*36+HEX2DEC('table for research'!R$1))*2,2)</f>
        <v>02</v>
      </c>
      <c r="S578" t="str">
        <f>MID('paste from garc here'!$C$2,1+(('table for research'!$B578-456)*36+HEX2DEC('table for research'!S$1))*2,2)</f>
        <v>04</v>
      </c>
      <c r="T578" t="str">
        <f>MID('paste from garc here'!$C$2,1+(('table for research'!$B578-456)*36+HEX2DEC('table for research'!T$1))*2,2)</f>
        <v>00</v>
      </c>
      <c r="U578" t="str">
        <f>MID('paste from garc here'!$C$2,1+(('table for research'!$B578-456)*36+HEX2DEC('table for research'!U$1))*2,2)</f>
        <v>18</v>
      </c>
      <c r="V578" t="str">
        <f>MID('paste from garc here'!$C$2,1+(('table for research'!$B578-456)*36+HEX2DEC('table for research'!V$1))*2,2)</f>
        <v>18</v>
      </c>
      <c r="W578" t="str">
        <f>MID('paste from garc here'!$C$2,1+(('table for research'!$B578-456)*36+HEX2DEC('table for research'!W$1))*2,2)</f>
        <v>00</v>
      </c>
      <c r="X578" t="str">
        <f>MID('paste from garc here'!$C$2,1+(('table for research'!$B578-456)*36+HEX2DEC('table for research'!X$1))*2,2)</f>
        <v>00</v>
      </c>
      <c r="Y578" t="str">
        <f>MID('paste from garc here'!$C$2,1+(('table for research'!$B578-456)*36+HEX2DEC('table for research'!Y$1))*2,2)</f>
        <v>00</v>
      </c>
      <c r="Z578" t="str">
        <f>MID('paste from garc here'!$C$2,1+(('table for research'!$B578-456)*36+HEX2DEC('table for research'!Z$1))*2,2)</f>
        <v>00</v>
      </c>
      <c r="AA578" t="str">
        <f>MID('paste from garc here'!$C$2,1+(('table for research'!$B578-456)*36+HEX2DEC('table for research'!AA$1))*2,2)</f>
        <v>00</v>
      </c>
      <c r="AB578" t="str">
        <f>MID('paste from garc here'!$C$2,1+(('table for research'!$B578-456)*36+HEX2DEC('table for research'!AB$1))*2,2)</f>
        <v>00</v>
      </c>
      <c r="AC578" t="str">
        <f>MID('paste from garc here'!$C$2,1+(('table for research'!$B578-456)*36+HEX2DEC('table for research'!AC$1))*2,2)</f>
        <v>00</v>
      </c>
      <c r="AD578" t="str">
        <f>MID('paste from garc here'!$C$2,1+(('table for research'!$B578-456)*36+HEX2DEC('table for research'!AD$1))*2,2)</f>
        <v>00</v>
      </c>
      <c r="AE578" t="str">
        <f>MID('paste from garc here'!$C$2,1+(('table for research'!$B578-456)*36+HEX2DEC('table for research'!AE$1))*2,2)</f>
        <v>00</v>
      </c>
      <c r="AF578" t="str">
        <f>MID('paste from garc here'!$C$2,1+(('table for research'!$B578-456)*36+HEX2DEC('table for research'!AF$1))*2,2)</f>
        <v>00</v>
      </c>
      <c r="AG578" t="str">
        <f>MID('paste from garc here'!$C$2,1+(('table for research'!$B578-456)*36+HEX2DEC('table for research'!AG$1))*2,2)</f>
        <v>00</v>
      </c>
      <c r="AH578" t="str">
        <f>MID('paste from garc here'!$C$2,1+(('table for research'!$B578-456)*36+HEX2DEC('table for research'!AH$1))*2,2)</f>
        <v>00</v>
      </c>
      <c r="AI578" t="str">
        <f>MID('paste from garc here'!$C$2,1+(('table for research'!$B578-456)*36+HEX2DEC('table for research'!AI$1))*2,2)</f>
        <v>00</v>
      </c>
      <c r="AJ578" t="str">
        <f>MID('paste from garc here'!$C$2,1+(('table for research'!$B578-456)*36+HEX2DEC('table for research'!AJ$1))*2,2)</f>
        <v>00</v>
      </c>
      <c r="AK578" t="str">
        <f>MID('paste from garc here'!$C$2,1+(('table for research'!$B578-456)*36+HEX2DEC('table for research'!AK$1))*2,2)</f>
        <v>00</v>
      </c>
      <c r="AL578" t="str">
        <f>MID('paste from garc here'!$C$2,1+(('table for research'!$B578-456)*36+HEX2DEC('table for research'!AL$1))*2,2)</f>
        <v>00</v>
      </c>
      <c r="AM578" t="str">
        <f>MID('paste from garc here'!$C$2,1+(('table for research'!$B578-456)*36+HEX2DEC('table for research'!AM$1))*2,2)</f>
        <v>00</v>
      </c>
      <c r="AN578" t="str">
        <f>MID('paste from garc here'!$C$2,1+(('table for research'!$B578-456)*36+HEX2DEC('table for research'!AN$1))*2,2)</f>
        <v>00</v>
      </c>
      <c r="AO578" t="str">
        <f>MID('paste from garc here'!$C$2,1+(('table for research'!$B578-456)*36+HEX2DEC('table for research'!AO$1))*2,2)</f>
        <v>00</v>
      </c>
    </row>
    <row r="579" spans="1:41" x14ac:dyDescent="0.4">
      <c r="A579" t="s">
        <v>581</v>
      </c>
      <c r="B579">
        <f>B578+1</f>
        <v>577</v>
      </c>
      <c r="C579" t="str">
        <f>MID('paste from garc here'!$C$2,1+(('table for research'!$B579-456)*36+HEX2DEC('table for research'!C$1))*2,2)</f>
        <v>0A</v>
      </c>
      <c r="D579" t="str">
        <f>MID('paste from garc here'!$C$2,1+(('table for research'!$B579-456)*36+HEX2DEC('table for research'!D$1))*2,2)</f>
        <v>00</v>
      </c>
      <c r="E579" t="str">
        <f>MID('paste from garc here'!$C$2,1+(('table for research'!$B579-456)*36+HEX2DEC('table for research'!E$1))*2,2)</f>
        <v>00</v>
      </c>
      <c r="F579" t="str">
        <f>MID('paste from garc here'!$C$2,1+(('table for research'!$B579-456)*36+HEX2DEC('table for research'!F$1))*2,2)</f>
        <v>00</v>
      </c>
      <c r="G579" t="str">
        <f>MID('paste from garc here'!$C$2,1+(('table for research'!$B579-456)*36+HEX2DEC('table for research'!G$1))*2,2)</f>
        <v>00</v>
      </c>
      <c r="H579" t="str">
        <f>MID('paste from garc here'!$C$2,1+(('table for research'!$B579-456)*36+HEX2DEC('table for research'!H$1))*2,2)</f>
        <v>00</v>
      </c>
      <c r="I579" t="str">
        <f>MID('paste from garc here'!$C$2,1+(('table for research'!$B579-456)*36+HEX2DEC('table for research'!I$1))*2,2)</f>
        <v>1E</v>
      </c>
      <c r="J579" t="str">
        <f>MID('paste from garc here'!$C$2,1+(('table for research'!$B579-456)*36+HEX2DEC('table for research'!J$1))*2,2)</f>
        <v>00</v>
      </c>
      <c r="K579" t="str">
        <f>DEC2HEX(_xlfn.BITAND(HEX2DEC(MID('paste from garc here'!$C$1,1+(('table for research'!$B579-1)*36+HEX2DEC(8))*2,2)),31),2)</f>
        <v>00</v>
      </c>
      <c r="L579" t="str">
        <f>DEC2HEX(_xlfn.BITAND(HEX2DEC(MID('paste from garc here'!$C$1,1+(('table for research'!$B579-1)*36+HEX2DEC(8))*2,2)),32),2)</f>
        <v>00</v>
      </c>
      <c r="M579" t="str">
        <f>DEC2HEX(_xlfn.BITAND(HEX2DEC(MID('paste from garc here'!$C$1,1+(('table for research'!$B579-1)*36+HEX2DEC(8))*2,2)),64),2)</f>
        <v>00</v>
      </c>
      <c r="N579" t="str">
        <f>DEC2HEX(_xlfn.BITRSHIFT(_xlfn.BITAND(HEX2DEC(MID('paste from garc here'!$C$1,1+(('table for research'!$B579-1)*36+HEX2DEC(9))*2,2)&amp;MID('paste from garc here'!$C$1,1+(('table for research'!$B579-1)*36+HEX2DEC(8))*2,2)),1920),7),2)</f>
        <v>00</v>
      </c>
      <c r="O579" t="str">
        <f>DEC2HEX(_xlfn.BITRSHIFT(HEX2DEC(MID('paste from garc here'!$C$1,1+(('table for research'!$B579-1)*36+HEX2DEC(9))*2,2)&amp;MID('paste from garc here'!$C$1,1+(('table for research'!$B579-1)*36+HEX2DEC(8))*2,2)),11),2)</f>
        <v>00</v>
      </c>
      <c r="P579" t="str">
        <f>MID('paste from garc here'!$C$2,1+(('table for research'!$B579-456)*36+HEX2DEC('table for research'!P$1))*2,2)</f>
        <v>00</v>
      </c>
      <c r="Q579" t="str">
        <f>MID('paste from garc here'!$C$2,1+(('table for research'!$B579-456)*36+HEX2DEC('table for research'!Q$1))*2,2)</f>
        <v>03</v>
      </c>
      <c r="R579" t="str">
        <f>MID('paste from garc here'!$C$2,1+(('table for research'!$B579-456)*36+HEX2DEC('table for research'!R$1))*2,2)</f>
        <v>01</v>
      </c>
      <c r="S579" t="str">
        <f>MID('paste from garc here'!$C$2,1+(('table for research'!$B579-456)*36+HEX2DEC('table for research'!S$1))*2,2)</f>
        <v>03</v>
      </c>
      <c r="T579" t="str">
        <f>MID('paste from garc here'!$C$2,1+(('table for research'!$B579-456)*36+HEX2DEC('table for research'!T$1))*2,2)</f>
        <v>00</v>
      </c>
      <c r="U579" t="str">
        <f>MID('paste from garc here'!$C$2,1+(('table for research'!$B579-456)*36+HEX2DEC('table for research'!U$1))*2,2)</f>
        <v>0A</v>
      </c>
      <c r="V579" t="str">
        <f>MID('paste from garc here'!$C$2,1+(('table for research'!$B579-456)*36+HEX2DEC('table for research'!V$1))*2,2)</f>
        <v>00</v>
      </c>
      <c r="W579" t="str">
        <f>MID('paste from garc here'!$C$2,1+(('table for research'!$B579-456)*36+HEX2DEC('table for research'!W$1))*2,2)</f>
        <v>00</v>
      </c>
      <c r="X579" t="str">
        <f>MID('paste from garc here'!$C$2,1+(('table for research'!$B579-456)*36+HEX2DEC('table for research'!X$1))*2,2)</f>
        <v>00</v>
      </c>
      <c r="Y579" t="str">
        <f>MID('paste from garc here'!$C$2,1+(('table for research'!$B579-456)*36+HEX2DEC('table for research'!Y$1))*2,2)</f>
        <v>00</v>
      </c>
      <c r="Z579" t="str">
        <f>MID('paste from garc here'!$C$2,1+(('table for research'!$B579-456)*36+HEX2DEC('table for research'!Z$1))*2,2)</f>
        <v>00</v>
      </c>
      <c r="AA579" t="str">
        <f>MID('paste from garc here'!$C$2,1+(('table for research'!$B579-456)*36+HEX2DEC('table for research'!AA$1))*2,2)</f>
        <v>00</v>
      </c>
      <c r="AB579" t="str">
        <f>MID('paste from garc here'!$C$2,1+(('table for research'!$B579-456)*36+HEX2DEC('table for research'!AB$1))*2,2)</f>
        <v>00</v>
      </c>
      <c r="AC579" t="str">
        <f>MID('paste from garc here'!$C$2,1+(('table for research'!$B579-456)*36+HEX2DEC('table for research'!AC$1))*2,2)</f>
        <v>00</v>
      </c>
      <c r="AD579" t="str">
        <f>MID('paste from garc here'!$C$2,1+(('table for research'!$B579-456)*36+HEX2DEC('table for research'!AD$1))*2,2)</f>
        <v>00</v>
      </c>
      <c r="AE579" t="str">
        <f>MID('paste from garc here'!$C$2,1+(('table for research'!$B579-456)*36+HEX2DEC('table for research'!AE$1))*2,2)</f>
        <v>00</v>
      </c>
      <c r="AF579" t="str">
        <f>MID('paste from garc here'!$C$2,1+(('table for research'!$B579-456)*36+HEX2DEC('table for research'!AF$1))*2,2)</f>
        <v>00</v>
      </c>
      <c r="AG579" t="str">
        <f>MID('paste from garc here'!$C$2,1+(('table for research'!$B579-456)*36+HEX2DEC('table for research'!AG$1))*2,2)</f>
        <v>00</v>
      </c>
      <c r="AH579" t="str">
        <f>MID('paste from garc here'!$C$2,1+(('table for research'!$B579-456)*36+HEX2DEC('table for research'!AH$1))*2,2)</f>
        <v>00</v>
      </c>
      <c r="AI579" t="str">
        <f>MID('paste from garc here'!$C$2,1+(('table for research'!$B579-456)*36+HEX2DEC('table for research'!AI$1))*2,2)</f>
        <v>00</v>
      </c>
      <c r="AJ579" t="str">
        <f>MID('paste from garc here'!$C$2,1+(('table for research'!$B579-456)*36+HEX2DEC('table for research'!AJ$1))*2,2)</f>
        <v>00</v>
      </c>
      <c r="AK579" t="str">
        <f>MID('paste from garc here'!$C$2,1+(('table for research'!$B579-456)*36+HEX2DEC('table for research'!AK$1))*2,2)</f>
        <v>00</v>
      </c>
      <c r="AL579" t="str">
        <f>MID('paste from garc here'!$C$2,1+(('table for research'!$B579-456)*36+HEX2DEC('table for research'!AL$1))*2,2)</f>
        <v>00</v>
      </c>
      <c r="AM579" t="str">
        <f>MID('paste from garc here'!$C$2,1+(('table for research'!$B579-456)*36+HEX2DEC('table for research'!AM$1))*2,2)</f>
        <v>00</v>
      </c>
      <c r="AN579" t="str">
        <f>MID('paste from garc here'!$C$2,1+(('table for research'!$B579-456)*36+HEX2DEC('table for research'!AN$1))*2,2)</f>
        <v>00</v>
      </c>
      <c r="AO579" t="str">
        <f>MID('paste from garc here'!$C$2,1+(('table for research'!$B579-456)*36+HEX2DEC('table for research'!AO$1))*2,2)</f>
        <v>00</v>
      </c>
    </row>
    <row r="580" spans="1:41" x14ac:dyDescent="0.4">
      <c r="A580" t="s">
        <v>582</v>
      </c>
      <c r="B580">
        <f>B579+1</f>
        <v>578</v>
      </c>
      <c r="C580" t="str">
        <f>MID('paste from garc here'!$C$2,1+(('table for research'!$B580-456)*36+HEX2DEC('table for research'!C$1))*2,2)</f>
        <v>00</v>
      </c>
      <c r="D580" t="str">
        <f>MID('paste from garc here'!$C$2,1+(('table for research'!$B580-456)*36+HEX2DEC('table for research'!D$1))*2,2)</f>
        <v>00</v>
      </c>
      <c r="E580" t="str">
        <f>MID('paste from garc here'!$C$2,1+(('table for research'!$B580-456)*36+HEX2DEC('table for research'!E$1))*2,2)</f>
        <v>00</v>
      </c>
      <c r="F580" t="str">
        <f>MID('paste from garc here'!$C$2,1+(('table for research'!$B580-456)*36+HEX2DEC('table for research'!F$1))*2,2)</f>
        <v>00</v>
      </c>
      <c r="G580" t="str">
        <f>MID('paste from garc here'!$C$2,1+(('table for research'!$B580-456)*36+HEX2DEC('table for research'!G$1))*2,2)</f>
        <v>00</v>
      </c>
      <c r="H580" t="str">
        <f>MID('paste from garc here'!$C$2,1+(('table for research'!$B580-456)*36+HEX2DEC('table for research'!H$1))*2,2)</f>
        <v>00</v>
      </c>
      <c r="I580" t="str">
        <f>MID('paste from garc here'!$C$2,1+(('table for research'!$B580-456)*36+HEX2DEC('table for research'!I$1))*2,2)</f>
        <v>00</v>
      </c>
      <c r="J580" t="str">
        <f>MID('paste from garc here'!$C$2,1+(('table for research'!$B580-456)*36+HEX2DEC('table for research'!J$1))*2,2)</f>
        <v>00</v>
      </c>
      <c r="K580" t="str">
        <f>DEC2HEX(_xlfn.BITAND(HEX2DEC(MID('paste from garc here'!$C$1,1+(('table for research'!$B580-1)*36+HEX2DEC(8))*2,2)),31),2)</f>
        <v>00</v>
      </c>
      <c r="L580" t="str">
        <f>DEC2HEX(_xlfn.BITAND(HEX2DEC(MID('paste from garc here'!$C$1,1+(('table for research'!$B580-1)*36+HEX2DEC(8))*2,2)),32),2)</f>
        <v>00</v>
      </c>
      <c r="M580" t="str">
        <f>DEC2HEX(_xlfn.BITAND(HEX2DEC(MID('paste from garc here'!$C$1,1+(('table for research'!$B580-1)*36+HEX2DEC(8))*2,2)),64),2)</f>
        <v>00</v>
      </c>
      <c r="N580" t="str">
        <f>DEC2HEX(_xlfn.BITRSHIFT(_xlfn.BITAND(HEX2DEC(MID('paste from garc here'!$C$1,1+(('table for research'!$B580-1)*36+HEX2DEC(9))*2,2)&amp;MID('paste from garc here'!$C$1,1+(('table for research'!$B580-1)*36+HEX2DEC(8))*2,2)),1920),7),2)</f>
        <v>00</v>
      </c>
      <c r="O580" t="str">
        <f>DEC2HEX(_xlfn.BITRSHIFT(HEX2DEC(MID('paste from garc here'!$C$1,1+(('table for research'!$B580-1)*36+HEX2DEC(9))*2,2)&amp;MID('paste from garc here'!$C$1,1+(('table for research'!$B580-1)*36+HEX2DEC(8))*2,2)),11),2)</f>
        <v>00</v>
      </c>
      <c r="P580" t="str">
        <f>MID('paste from garc here'!$C$2,1+(('table for research'!$B580-456)*36+HEX2DEC('table for research'!P$1))*2,2)</f>
        <v>00</v>
      </c>
      <c r="Q580" t="str">
        <f>MID('paste from garc here'!$C$2,1+(('table for research'!$B580-456)*36+HEX2DEC('table for research'!Q$1))*2,2)</f>
        <v>00</v>
      </c>
      <c r="R580" t="str">
        <f>MID('paste from garc here'!$C$2,1+(('table for research'!$B580-456)*36+HEX2DEC('table for research'!R$1))*2,2)</f>
        <v>00</v>
      </c>
      <c r="S580" t="str">
        <f>MID('paste from garc here'!$C$2,1+(('table for research'!$B580-456)*36+HEX2DEC('table for research'!S$1))*2,2)</f>
        <v>08</v>
      </c>
      <c r="T580" t="str">
        <f>MID('paste from garc here'!$C$2,1+(('table for research'!$B580-456)*36+HEX2DEC('table for research'!T$1))*2,2)</f>
        <v>00</v>
      </c>
      <c r="U580" t="str">
        <f>MID('paste from garc here'!$C$2,1+(('table for research'!$B580-456)*36+HEX2DEC('table for research'!U$1))*2,2)</f>
        <v>FF</v>
      </c>
      <c r="V580" t="str">
        <f>MID('paste from garc here'!$C$2,1+(('table for research'!$B580-456)*36+HEX2DEC('table for research'!V$1))*2,2)</f>
        <v>00</v>
      </c>
      <c r="W580" t="str">
        <f>MID('paste from garc here'!$C$2,1+(('table for research'!$B580-456)*36+HEX2DEC('table for research'!W$1))*2,2)</f>
        <v>00</v>
      </c>
      <c r="X580" t="str">
        <f>MID('paste from garc here'!$C$2,1+(('table for research'!$B580-456)*36+HEX2DEC('table for research'!X$1))*2,2)</f>
        <v>00</v>
      </c>
      <c r="Y580" t="str">
        <f>MID('paste from garc here'!$C$2,1+(('table for research'!$B580-456)*36+HEX2DEC('table for research'!Y$1))*2,2)</f>
        <v>00</v>
      </c>
      <c r="Z580" t="str">
        <f>MID('paste from garc here'!$C$2,1+(('table for research'!$B580-456)*36+HEX2DEC('table for research'!Z$1))*2,2)</f>
        <v>00</v>
      </c>
      <c r="AA580" t="str">
        <f>MID('paste from garc here'!$C$2,1+(('table for research'!$B580-456)*36+HEX2DEC('table for research'!AA$1))*2,2)</f>
        <v>00</v>
      </c>
      <c r="AB580" t="str">
        <f>MID('paste from garc here'!$C$2,1+(('table for research'!$B580-456)*36+HEX2DEC('table for research'!AB$1))*2,2)</f>
        <v>00</v>
      </c>
      <c r="AC580" t="str">
        <f>MID('paste from garc here'!$C$2,1+(('table for research'!$B580-456)*36+HEX2DEC('table for research'!AC$1))*2,2)</f>
        <v>00</v>
      </c>
      <c r="AD580" t="str">
        <f>MID('paste from garc here'!$C$2,1+(('table for research'!$B580-456)*36+HEX2DEC('table for research'!AD$1))*2,2)</f>
        <v>00</v>
      </c>
      <c r="AE580" t="str">
        <f>MID('paste from garc here'!$C$2,1+(('table for research'!$B580-456)*36+HEX2DEC('table for research'!AE$1))*2,2)</f>
        <v>00</v>
      </c>
      <c r="AF580" t="str">
        <f>MID('paste from garc here'!$C$2,1+(('table for research'!$B580-456)*36+HEX2DEC('table for research'!AF$1))*2,2)</f>
        <v>00</v>
      </c>
      <c r="AG580" t="str">
        <f>MID('paste from garc here'!$C$2,1+(('table for research'!$B580-456)*36+HEX2DEC('table for research'!AG$1))*2,2)</f>
        <v>00</v>
      </c>
      <c r="AH580" t="str">
        <f>MID('paste from garc here'!$C$2,1+(('table for research'!$B580-456)*36+HEX2DEC('table for research'!AH$1))*2,2)</f>
        <v>00</v>
      </c>
      <c r="AI580" t="str">
        <f>MID('paste from garc here'!$C$2,1+(('table for research'!$B580-456)*36+HEX2DEC('table for research'!AI$1))*2,2)</f>
        <v>00</v>
      </c>
      <c r="AJ580" t="str">
        <f>MID('paste from garc here'!$C$2,1+(('table for research'!$B580-456)*36+HEX2DEC('table for research'!AJ$1))*2,2)</f>
        <v>00</v>
      </c>
      <c r="AK580" t="str">
        <f>MID('paste from garc here'!$C$2,1+(('table for research'!$B580-456)*36+HEX2DEC('table for research'!AK$1))*2,2)</f>
        <v>00</v>
      </c>
      <c r="AL580" t="str">
        <f>MID('paste from garc here'!$C$2,1+(('table for research'!$B580-456)*36+HEX2DEC('table for research'!AL$1))*2,2)</f>
        <v>00</v>
      </c>
      <c r="AM580" t="str">
        <f>MID('paste from garc here'!$C$2,1+(('table for research'!$B580-456)*36+HEX2DEC('table for research'!AM$1))*2,2)</f>
        <v>00</v>
      </c>
      <c r="AN580" t="str">
        <f>MID('paste from garc here'!$C$2,1+(('table for research'!$B580-456)*36+HEX2DEC('table for research'!AN$1))*2,2)</f>
        <v>00</v>
      </c>
      <c r="AO580" t="str">
        <f>MID('paste from garc here'!$C$2,1+(('table for research'!$B580-456)*36+HEX2DEC('table for research'!AO$1))*2,2)</f>
        <v>00</v>
      </c>
    </row>
    <row r="581" spans="1:41" x14ac:dyDescent="0.4">
      <c r="A581" t="s">
        <v>583</v>
      </c>
      <c r="B581">
        <f>B580+1</f>
        <v>579</v>
      </c>
      <c r="C581" t="str">
        <f>MID('paste from garc here'!$C$2,1+(('table for research'!$B581-456)*36+HEX2DEC('table for research'!C$1))*2,2)</f>
        <v>00</v>
      </c>
      <c r="D581" t="str">
        <f>MID('paste from garc here'!$C$2,1+(('table for research'!$B581-456)*36+HEX2DEC('table for research'!D$1))*2,2)</f>
        <v>00</v>
      </c>
      <c r="E581" t="str">
        <f>MID('paste from garc here'!$C$2,1+(('table for research'!$B581-456)*36+HEX2DEC('table for research'!E$1))*2,2)</f>
        <v>00</v>
      </c>
      <c r="F581" t="str">
        <f>MID('paste from garc here'!$C$2,1+(('table for research'!$B581-456)*36+HEX2DEC('table for research'!F$1))*2,2)</f>
        <v>00</v>
      </c>
      <c r="G581" t="str">
        <f>MID('paste from garc here'!$C$2,1+(('table for research'!$B581-456)*36+HEX2DEC('table for research'!G$1))*2,2)</f>
        <v>00</v>
      </c>
      <c r="H581" t="str">
        <f>MID('paste from garc here'!$C$2,1+(('table for research'!$B581-456)*36+HEX2DEC('table for research'!H$1))*2,2)</f>
        <v>00</v>
      </c>
      <c r="I581" t="str">
        <f>MID('paste from garc here'!$C$2,1+(('table for research'!$B581-456)*36+HEX2DEC('table for research'!I$1))*2,2)</f>
        <v>00</v>
      </c>
      <c r="J581" t="str">
        <f>MID('paste from garc here'!$C$2,1+(('table for research'!$B581-456)*36+HEX2DEC('table for research'!J$1))*2,2)</f>
        <v>00</v>
      </c>
      <c r="K581" t="str">
        <f>DEC2HEX(_xlfn.BITAND(HEX2DEC(MID('paste from garc here'!$C$1,1+(('table for research'!$B581-1)*36+HEX2DEC(8))*2,2)),31),2)</f>
        <v>00</v>
      </c>
      <c r="L581" t="str">
        <f>DEC2HEX(_xlfn.BITAND(HEX2DEC(MID('paste from garc here'!$C$1,1+(('table for research'!$B581-1)*36+HEX2DEC(8))*2,2)),32),2)</f>
        <v>00</v>
      </c>
      <c r="M581" t="str">
        <f>DEC2HEX(_xlfn.BITAND(HEX2DEC(MID('paste from garc here'!$C$1,1+(('table for research'!$B581-1)*36+HEX2DEC(8))*2,2)),64),2)</f>
        <v>00</v>
      </c>
      <c r="N581" t="str">
        <f>DEC2HEX(_xlfn.BITRSHIFT(_xlfn.BITAND(HEX2DEC(MID('paste from garc here'!$C$1,1+(('table for research'!$B581-1)*36+HEX2DEC(9))*2,2)&amp;MID('paste from garc here'!$C$1,1+(('table for research'!$B581-1)*36+HEX2DEC(8))*2,2)),1920),7),2)</f>
        <v>00</v>
      </c>
      <c r="O581" t="str">
        <f>DEC2HEX(_xlfn.BITRSHIFT(HEX2DEC(MID('paste from garc here'!$C$1,1+(('table for research'!$B581-1)*36+HEX2DEC(9))*2,2)&amp;MID('paste from garc here'!$C$1,1+(('table for research'!$B581-1)*36+HEX2DEC(8))*2,2)),11),2)</f>
        <v>00</v>
      </c>
      <c r="P581" t="str">
        <f>MID('paste from garc here'!$C$2,1+(('table for research'!$B581-456)*36+HEX2DEC('table for research'!P$1))*2,2)</f>
        <v>00</v>
      </c>
      <c r="Q581" t="str">
        <f>MID('paste from garc here'!$C$2,1+(('table for research'!$B581-456)*36+HEX2DEC('table for research'!Q$1))*2,2)</f>
        <v>00</v>
      </c>
      <c r="R581" t="str">
        <f>MID('paste from garc here'!$C$2,1+(('table for research'!$B581-456)*36+HEX2DEC('table for research'!R$1))*2,2)</f>
        <v>00</v>
      </c>
      <c r="S581" t="str">
        <f>MID('paste from garc here'!$C$2,1+(('table for research'!$B581-456)*36+HEX2DEC('table for research'!S$1))*2,2)</f>
        <v>08</v>
      </c>
      <c r="T581" t="str">
        <f>MID('paste from garc here'!$C$2,1+(('table for research'!$B581-456)*36+HEX2DEC('table for research'!T$1))*2,2)</f>
        <v>00</v>
      </c>
      <c r="U581" t="str">
        <f>MID('paste from garc here'!$C$2,1+(('table for research'!$B581-456)*36+HEX2DEC('table for research'!U$1))*2,2)</f>
        <v>FF</v>
      </c>
      <c r="V581" t="str">
        <f>MID('paste from garc here'!$C$2,1+(('table for research'!$B581-456)*36+HEX2DEC('table for research'!V$1))*2,2)</f>
        <v>00</v>
      </c>
      <c r="W581" t="str">
        <f>MID('paste from garc here'!$C$2,1+(('table for research'!$B581-456)*36+HEX2DEC('table for research'!W$1))*2,2)</f>
        <v>00</v>
      </c>
      <c r="X581" t="str">
        <f>MID('paste from garc here'!$C$2,1+(('table for research'!$B581-456)*36+HEX2DEC('table for research'!X$1))*2,2)</f>
        <v>00</v>
      </c>
      <c r="Y581" t="str">
        <f>MID('paste from garc here'!$C$2,1+(('table for research'!$B581-456)*36+HEX2DEC('table for research'!Y$1))*2,2)</f>
        <v>00</v>
      </c>
      <c r="Z581" t="str">
        <f>MID('paste from garc here'!$C$2,1+(('table for research'!$B581-456)*36+HEX2DEC('table for research'!Z$1))*2,2)</f>
        <v>00</v>
      </c>
      <c r="AA581" t="str">
        <f>MID('paste from garc here'!$C$2,1+(('table for research'!$B581-456)*36+HEX2DEC('table for research'!AA$1))*2,2)</f>
        <v>00</v>
      </c>
      <c r="AB581" t="str">
        <f>MID('paste from garc here'!$C$2,1+(('table for research'!$B581-456)*36+HEX2DEC('table for research'!AB$1))*2,2)</f>
        <v>00</v>
      </c>
      <c r="AC581" t="str">
        <f>MID('paste from garc here'!$C$2,1+(('table for research'!$B581-456)*36+HEX2DEC('table for research'!AC$1))*2,2)</f>
        <v>00</v>
      </c>
      <c r="AD581" t="str">
        <f>MID('paste from garc here'!$C$2,1+(('table for research'!$B581-456)*36+HEX2DEC('table for research'!AD$1))*2,2)</f>
        <v>00</v>
      </c>
      <c r="AE581" t="str">
        <f>MID('paste from garc here'!$C$2,1+(('table for research'!$B581-456)*36+HEX2DEC('table for research'!AE$1))*2,2)</f>
        <v>00</v>
      </c>
      <c r="AF581" t="str">
        <f>MID('paste from garc here'!$C$2,1+(('table for research'!$B581-456)*36+HEX2DEC('table for research'!AF$1))*2,2)</f>
        <v>00</v>
      </c>
      <c r="AG581" t="str">
        <f>MID('paste from garc here'!$C$2,1+(('table for research'!$B581-456)*36+HEX2DEC('table for research'!AG$1))*2,2)</f>
        <v>00</v>
      </c>
      <c r="AH581" t="str">
        <f>MID('paste from garc here'!$C$2,1+(('table for research'!$B581-456)*36+HEX2DEC('table for research'!AH$1))*2,2)</f>
        <v>00</v>
      </c>
      <c r="AI581" t="str">
        <f>MID('paste from garc here'!$C$2,1+(('table for research'!$B581-456)*36+HEX2DEC('table for research'!AI$1))*2,2)</f>
        <v>00</v>
      </c>
      <c r="AJ581" t="str">
        <f>MID('paste from garc here'!$C$2,1+(('table for research'!$B581-456)*36+HEX2DEC('table for research'!AJ$1))*2,2)</f>
        <v>00</v>
      </c>
      <c r="AK581" t="str">
        <f>MID('paste from garc here'!$C$2,1+(('table for research'!$B581-456)*36+HEX2DEC('table for research'!AK$1))*2,2)</f>
        <v>00</v>
      </c>
      <c r="AL581" t="str">
        <f>MID('paste from garc here'!$C$2,1+(('table for research'!$B581-456)*36+HEX2DEC('table for research'!AL$1))*2,2)</f>
        <v>00</v>
      </c>
      <c r="AM581" t="str">
        <f>MID('paste from garc here'!$C$2,1+(('table for research'!$B581-456)*36+HEX2DEC('table for research'!AM$1))*2,2)</f>
        <v>00</v>
      </c>
      <c r="AN581" t="str">
        <f>MID('paste from garc here'!$C$2,1+(('table for research'!$B581-456)*36+HEX2DEC('table for research'!AN$1))*2,2)</f>
        <v>00</v>
      </c>
      <c r="AO581" t="str">
        <f>MID('paste from garc here'!$C$2,1+(('table for research'!$B581-456)*36+HEX2DEC('table for research'!AO$1))*2,2)</f>
        <v>00</v>
      </c>
    </row>
    <row r="582" spans="1:41" x14ac:dyDescent="0.4">
      <c r="A582" t="s">
        <v>584</v>
      </c>
      <c r="B582">
        <f>B581+1</f>
        <v>580</v>
      </c>
      <c r="C582" t="str">
        <f>MID('paste from garc here'!$C$2,1+(('table for research'!$B582-456)*36+HEX2DEC('table for research'!C$1))*2,2)</f>
        <v>B8</v>
      </c>
      <c r="D582" t="str">
        <f>MID('paste from garc here'!$C$2,1+(('table for research'!$B582-456)*36+HEX2DEC('table for research'!D$1))*2,2)</f>
        <v>0B</v>
      </c>
      <c r="E582" t="str">
        <f>MID('paste from garc here'!$C$2,1+(('table for research'!$B582-456)*36+HEX2DEC('table for research'!E$1))*2,2)</f>
        <v>00</v>
      </c>
      <c r="F582" t="str">
        <f>MID('paste from garc here'!$C$2,1+(('table for research'!$B582-456)*36+HEX2DEC('table for research'!F$1))*2,2)</f>
        <v>00</v>
      </c>
      <c r="G582" t="str">
        <f>MID('paste from garc here'!$C$2,1+(('table for research'!$B582-456)*36+HEX2DEC('table for research'!G$1))*2,2)</f>
        <v>00</v>
      </c>
      <c r="H582" t="str">
        <f>MID('paste from garc here'!$C$2,1+(('table for research'!$B582-456)*36+HEX2DEC('table for research'!H$1))*2,2)</f>
        <v>00</v>
      </c>
      <c r="I582" t="str">
        <f>MID('paste from garc here'!$C$2,1+(('table for research'!$B582-456)*36+HEX2DEC('table for research'!I$1))*2,2)</f>
        <v>1E</v>
      </c>
      <c r="J582" t="str">
        <f>MID('paste from garc here'!$C$2,1+(('table for research'!$B582-456)*36+HEX2DEC('table for research'!J$1))*2,2)</f>
        <v>00</v>
      </c>
      <c r="K582" t="str">
        <f>DEC2HEX(_xlfn.BITAND(HEX2DEC(MID('paste from garc here'!$C$1,1+(('table for research'!$B582-1)*36+HEX2DEC(8))*2,2)),31),2)</f>
        <v>00</v>
      </c>
      <c r="L582" t="str">
        <f>DEC2HEX(_xlfn.BITAND(HEX2DEC(MID('paste from garc here'!$C$1,1+(('table for research'!$B582-1)*36+HEX2DEC(8))*2,2)),32),2)</f>
        <v>00</v>
      </c>
      <c r="M582" t="str">
        <f>DEC2HEX(_xlfn.BITAND(HEX2DEC(MID('paste from garc here'!$C$1,1+(('table for research'!$B582-1)*36+HEX2DEC(8))*2,2)),64),2)</f>
        <v>00</v>
      </c>
      <c r="N582" t="str">
        <f>DEC2HEX(_xlfn.BITRSHIFT(_xlfn.BITAND(HEX2DEC(MID('paste from garc here'!$C$1,1+(('table for research'!$B582-1)*36+HEX2DEC(9))*2,2)&amp;MID('paste from garc here'!$C$1,1+(('table for research'!$B582-1)*36+HEX2DEC(8))*2,2)),1920),7),2)</f>
        <v>00</v>
      </c>
      <c r="O582" t="str">
        <f>DEC2HEX(_xlfn.BITRSHIFT(HEX2DEC(MID('paste from garc here'!$C$1,1+(('table for research'!$B582-1)*36+HEX2DEC(9))*2,2)&amp;MID('paste from garc here'!$C$1,1+(('table for research'!$B582-1)*36+HEX2DEC(8))*2,2)),11),2)</f>
        <v>00</v>
      </c>
      <c r="P582" t="str">
        <f>MID('paste from garc here'!$C$2,1+(('table for research'!$B582-456)*36+HEX2DEC('table for research'!P$1))*2,2)</f>
        <v>00</v>
      </c>
      <c r="Q582" t="str">
        <f>MID('paste from garc here'!$C$2,1+(('table for research'!$B582-456)*36+HEX2DEC('table for research'!Q$1))*2,2)</f>
        <v>00</v>
      </c>
      <c r="R582" t="str">
        <f>MID('paste from garc here'!$C$2,1+(('table for research'!$B582-456)*36+HEX2DEC('table for research'!R$1))*2,2)</f>
        <v>01</v>
      </c>
      <c r="S582" t="str">
        <f>MID('paste from garc here'!$C$2,1+(('table for research'!$B582-456)*36+HEX2DEC('table for research'!S$1))*2,2)</f>
        <v>02</v>
      </c>
      <c r="T582" t="str">
        <f>MID('paste from garc here'!$C$2,1+(('table for research'!$B582-456)*36+HEX2DEC('table for research'!T$1))*2,2)</f>
        <v>00</v>
      </c>
      <c r="U582" t="str">
        <f>MID('paste from garc here'!$C$2,1+(('table for research'!$B582-456)*36+HEX2DEC('table for research'!U$1))*2,2)</f>
        <v>17</v>
      </c>
      <c r="V582" t="str">
        <f>MID('paste from garc here'!$C$2,1+(('table for research'!$B582-456)*36+HEX2DEC('table for research'!V$1))*2,2)</f>
        <v>00</v>
      </c>
      <c r="W582" t="str">
        <f>MID('paste from garc here'!$C$2,1+(('table for research'!$B582-456)*36+HEX2DEC('table for research'!W$1))*2,2)</f>
        <v>00</v>
      </c>
      <c r="X582" t="str">
        <f>MID('paste from garc here'!$C$2,1+(('table for research'!$B582-456)*36+HEX2DEC('table for research'!X$1))*2,2)</f>
        <v>00</v>
      </c>
      <c r="Y582" t="str">
        <f>MID('paste from garc here'!$C$2,1+(('table for research'!$B582-456)*36+HEX2DEC('table for research'!Y$1))*2,2)</f>
        <v>00</v>
      </c>
      <c r="Z582" t="str">
        <f>MID('paste from garc here'!$C$2,1+(('table for research'!$B582-456)*36+HEX2DEC('table for research'!Z$1))*2,2)</f>
        <v>00</v>
      </c>
      <c r="AA582" t="str">
        <f>MID('paste from garc here'!$C$2,1+(('table for research'!$B582-456)*36+HEX2DEC('table for research'!AA$1))*2,2)</f>
        <v>00</v>
      </c>
      <c r="AB582" t="str">
        <f>MID('paste from garc here'!$C$2,1+(('table for research'!$B582-456)*36+HEX2DEC('table for research'!AB$1))*2,2)</f>
        <v>00</v>
      </c>
      <c r="AC582" t="str">
        <f>MID('paste from garc here'!$C$2,1+(('table for research'!$B582-456)*36+HEX2DEC('table for research'!AC$1))*2,2)</f>
        <v>00</v>
      </c>
      <c r="AD582" t="str">
        <f>MID('paste from garc here'!$C$2,1+(('table for research'!$B582-456)*36+HEX2DEC('table for research'!AD$1))*2,2)</f>
        <v>00</v>
      </c>
      <c r="AE582" t="str">
        <f>MID('paste from garc here'!$C$2,1+(('table for research'!$B582-456)*36+HEX2DEC('table for research'!AE$1))*2,2)</f>
        <v>00</v>
      </c>
      <c r="AF582" t="str">
        <f>MID('paste from garc here'!$C$2,1+(('table for research'!$B582-456)*36+HEX2DEC('table for research'!AF$1))*2,2)</f>
        <v>00</v>
      </c>
      <c r="AG582" t="str">
        <f>MID('paste from garc here'!$C$2,1+(('table for research'!$B582-456)*36+HEX2DEC('table for research'!AG$1))*2,2)</f>
        <v>00</v>
      </c>
      <c r="AH582" t="str">
        <f>MID('paste from garc here'!$C$2,1+(('table for research'!$B582-456)*36+HEX2DEC('table for research'!AH$1))*2,2)</f>
        <v>00</v>
      </c>
      <c r="AI582" t="str">
        <f>MID('paste from garc here'!$C$2,1+(('table for research'!$B582-456)*36+HEX2DEC('table for research'!AI$1))*2,2)</f>
        <v>00</v>
      </c>
      <c r="AJ582" t="str">
        <f>MID('paste from garc here'!$C$2,1+(('table for research'!$B582-456)*36+HEX2DEC('table for research'!AJ$1))*2,2)</f>
        <v>00</v>
      </c>
      <c r="AK582" t="str">
        <f>MID('paste from garc here'!$C$2,1+(('table for research'!$B582-456)*36+HEX2DEC('table for research'!AK$1))*2,2)</f>
        <v>00</v>
      </c>
      <c r="AL582" t="str">
        <f>MID('paste from garc here'!$C$2,1+(('table for research'!$B582-456)*36+HEX2DEC('table for research'!AL$1))*2,2)</f>
        <v>00</v>
      </c>
      <c r="AM582" t="str">
        <f>MID('paste from garc here'!$C$2,1+(('table for research'!$B582-456)*36+HEX2DEC('table for research'!AM$1))*2,2)</f>
        <v>00</v>
      </c>
      <c r="AN582" t="str">
        <f>MID('paste from garc here'!$C$2,1+(('table for research'!$B582-456)*36+HEX2DEC('table for research'!AN$1))*2,2)</f>
        <v>00</v>
      </c>
      <c r="AO582" t="str">
        <f>MID('paste from garc here'!$C$2,1+(('table for research'!$B582-456)*36+HEX2DEC('table for research'!AO$1))*2,2)</f>
        <v>00</v>
      </c>
    </row>
    <row r="583" spans="1:41" x14ac:dyDescent="0.4">
      <c r="A583" t="s">
        <v>585</v>
      </c>
      <c r="B583">
        <f>B582+1</f>
        <v>581</v>
      </c>
      <c r="C583" t="str">
        <f>MID('paste from garc here'!$C$2,1+(('table for research'!$B583-456)*36+HEX2DEC('table for research'!C$1))*2,2)</f>
        <v>00</v>
      </c>
      <c r="D583" t="str">
        <f>MID('paste from garc here'!$C$2,1+(('table for research'!$B583-456)*36+HEX2DEC('table for research'!D$1))*2,2)</f>
        <v>7D</v>
      </c>
      <c r="E583" t="str">
        <f>MID('paste from garc here'!$C$2,1+(('table for research'!$B583-456)*36+HEX2DEC('table for research'!E$1))*2,2)</f>
        <v>00</v>
      </c>
      <c r="F583" t="str">
        <f>MID('paste from garc here'!$C$2,1+(('table for research'!$B583-456)*36+HEX2DEC('table for research'!F$1))*2,2)</f>
        <v>00</v>
      </c>
      <c r="G583" t="str">
        <f>MID('paste from garc here'!$C$2,1+(('table for research'!$B583-456)*36+HEX2DEC('table for research'!G$1))*2,2)</f>
        <v>00</v>
      </c>
      <c r="H583" t="str">
        <f>MID('paste from garc here'!$C$2,1+(('table for research'!$B583-456)*36+HEX2DEC('table for research'!H$1))*2,2)</f>
        <v>00</v>
      </c>
      <c r="I583" t="str">
        <f>MID('paste from garc here'!$C$2,1+(('table for research'!$B583-456)*36+HEX2DEC('table for research'!I$1))*2,2)</f>
        <v>1E</v>
      </c>
      <c r="J583" t="str">
        <f>MID('paste from garc here'!$C$2,1+(('table for research'!$B583-456)*36+HEX2DEC('table for research'!J$1))*2,2)</f>
        <v>00</v>
      </c>
      <c r="K583" t="str">
        <f>DEC2HEX(_xlfn.BITAND(HEX2DEC(MID('paste from garc here'!$C$1,1+(('table for research'!$B583-1)*36+HEX2DEC(8))*2,2)),31),2)</f>
        <v>00</v>
      </c>
      <c r="L583" t="str">
        <f>DEC2HEX(_xlfn.BITAND(HEX2DEC(MID('paste from garc here'!$C$1,1+(('table for research'!$B583-1)*36+HEX2DEC(8))*2,2)),32),2)</f>
        <v>00</v>
      </c>
      <c r="M583" t="str">
        <f>DEC2HEX(_xlfn.BITAND(HEX2DEC(MID('paste from garc here'!$C$1,1+(('table for research'!$B583-1)*36+HEX2DEC(8))*2,2)),64),2)</f>
        <v>00</v>
      </c>
      <c r="N583" t="str">
        <f>DEC2HEX(_xlfn.BITRSHIFT(_xlfn.BITAND(HEX2DEC(MID('paste from garc here'!$C$1,1+(('table for research'!$B583-1)*36+HEX2DEC(9))*2,2)&amp;MID('paste from garc here'!$C$1,1+(('table for research'!$B583-1)*36+HEX2DEC(8))*2,2)),1920),7),2)</f>
        <v>00</v>
      </c>
      <c r="O583" t="str">
        <f>DEC2HEX(_xlfn.BITRSHIFT(HEX2DEC(MID('paste from garc here'!$C$1,1+(('table for research'!$B583-1)*36+HEX2DEC(9))*2,2)&amp;MID('paste from garc here'!$C$1,1+(('table for research'!$B583-1)*36+HEX2DEC(8))*2,2)),11),2)</f>
        <v>00</v>
      </c>
      <c r="P583" t="str">
        <f>MID('paste from garc here'!$C$2,1+(('table for research'!$B583-456)*36+HEX2DEC('table for research'!P$1))*2,2)</f>
        <v>00</v>
      </c>
      <c r="Q583" t="str">
        <f>MID('paste from garc here'!$C$2,1+(('table for research'!$B583-456)*36+HEX2DEC('table for research'!Q$1))*2,2)</f>
        <v>00</v>
      </c>
      <c r="R583" t="str">
        <f>MID('paste from garc here'!$C$2,1+(('table for research'!$B583-456)*36+HEX2DEC('table for research'!R$1))*2,2)</f>
        <v>01</v>
      </c>
      <c r="S583" t="str">
        <f>MID('paste from garc here'!$C$2,1+(('table for research'!$B583-456)*36+HEX2DEC('table for research'!S$1))*2,2)</f>
        <v>02</v>
      </c>
      <c r="T583" t="str">
        <f>MID('paste from garc here'!$C$2,1+(('table for research'!$B583-456)*36+HEX2DEC('table for research'!T$1))*2,2)</f>
        <v>00</v>
      </c>
      <c r="U583" t="str">
        <f>MID('paste from garc here'!$C$2,1+(('table for research'!$B583-456)*36+HEX2DEC('table for research'!U$1))*2,2)</f>
        <v>16</v>
      </c>
      <c r="V583" t="str">
        <f>MID('paste from garc here'!$C$2,1+(('table for research'!$B583-456)*36+HEX2DEC('table for research'!V$1))*2,2)</f>
        <v>00</v>
      </c>
      <c r="W583" t="str">
        <f>MID('paste from garc here'!$C$2,1+(('table for research'!$B583-456)*36+HEX2DEC('table for research'!W$1))*2,2)</f>
        <v>00</v>
      </c>
      <c r="X583" t="str">
        <f>MID('paste from garc here'!$C$2,1+(('table for research'!$B583-456)*36+HEX2DEC('table for research'!X$1))*2,2)</f>
        <v>00</v>
      </c>
      <c r="Y583" t="str">
        <f>MID('paste from garc here'!$C$2,1+(('table for research'!$B583-456)*36+HEX2DEC('table for research'!Y$1))*2,2)</f>
        <v>00</v>
      </c>
      <c r="Z583" t="str">
        <f>MID('paste from garc here'!$C$2,1+(('table for research'!$B583-456)*36+HEX2DEC('table for research'!Z$1))*2,2)</f>
        <v>00</v>
      </c>
      <c r="AA583" t="str">
        <f>MID('paste from garc here'!$C$2,1+(('table for research'!$B583-456)*36+HEX2DEC('table for research'!AA$1))*2,2)</f>
        <v>00</v>
      </c>
      <c r="AB583" t="str">
        <f>MID('paste from garc here'!$C$2,1+(('table for research'!$B583-456)*36+HEX2DEC('table for research'!AB$1))*2,2)</f>
        <v>00</v>
      </c>
      <c r="AC583" t="str">
        <f>MID('paste from garc here'!$C$2,1+(('table for research'!$B583-456)*36+HEX2DEC('table for research'!AC$1))*2,2)</f>
        <v>00</v>
      </c>
      <c r="AD583" t="str">
        <f>MID('paste from garc here'!$C$2,1+(('table for research'!$B583-456)*36+HEX2DEC('table for research'!AD$1))*2,2)</f>
        <v>00</v>
      </c>
      <c r="AE583" t="str">
        <f>MID('paste from garc here'!$C$2,1+(('table for research'!$B583-456)*36+HEX2DEC('table for research'!AE$1))*2,2)</f>
        <v>00</v>
      </c>
      <c r="AF583" t="str">
        <f>MID('paste from garc here'!$C$2,1+(('table for research'!$B583-456)*36+HEX2DEC('table for research'!AF$1))*2,2)</f>
        <v>00</v>
      </c>
      <c r="AG583" t="str">
        <f>MID('paste from garc here'!$C$2,1+(('table for research'!$B583-456)*36+HEX2DEC('table for research'!AG$1))*2,2)</f>
        <v>00</v>
      </c>
      <c r="AH583" t="str">
        <f>MID('paste from garc here'!$C$2,1+(('table for research'!$B583-456)*36+HEX2DEC('table for research'!AH$1))*2,2)</f>
        <v>00</v>
      </c>
      <c r="AI583" t="str">
        <f>MID('paste from garc here'!$C$2,1+(('table for research'!$B583-456)*36+HEX2DEC('table for research'!AI$1))*2,2)</f>
        <v>00</v>
      </c>
      <c r="AJ583" t="str">
        <f>MID('paste from garc here'!$C$2,1+(('table for research'!$B583-456)*36+HEX2DEC('table for research'!AJ$1))*2,2)</f>
        <v>00</v>
      </c>
      <c r="AK583" t="str">
        <f>MID('paste from garc here'!$C$2,1+(('table for research'!$B583-456)*36+HEX2DEC('table for research'!AK$1))*2,2)</f>
        <v>00</v>
      </c>
      <c r="AL583" t="str">
        <f>MID('paste from garc here'!$C$2,1+(('table for research'!$B583-456)*36+HEX2DEC('table for research'!AL$1))*2,2)</f>
        <v>00</v>
      </c>
      <c r="AM583" t="str">
        <f>MID('paste from garc here'!$C$2,1+(('table for research'!$B583-456)*36+HEX2DEC('table for research'!AM$1))*2,2)</f>
        <v>00</v>
      </c>
      <c r="AN583" t="str">
        <f>MID('paste from garc here'!$C$2,1+(('table for research'!$B583-456)*36+HEX2DEC('table for research'!AN$1))*2,2)</f>
        <v>00</v>
      </c>
      <c r="AO583" t="str">
        <f>MID('paste from garc here'!$C$2,1+(('table for research'!$B583-456)*36+HEX2DEC('table for research'!AO$1))*2,2)</f>
        <v>00</v>
      </c>
    </row>
    <row r="584" spans="1:41" x14ac:dyDescent="0.4">
      <c r="A584" t="s">
        <v>586</v>
      </c>
      <c r="B584">
        <f>B583+1</f>
        <v>582</v>
      </c>
      <c r="C584" t="str">
        <f>MID('paste from garc here'!$C$2,1+(('table for research'!$B584-456)*36+HEX2DEC('table for research'!C$1))*2,2)</f>
        <v>C0</v>
      </c>
      <c r="D584" t="str">
        <f>MID('paste from garc here'!$C$2,1+(('table for research'!$B584-456)*36+HEX2DEC('table for research'!D$1))*2,2)</f>
        <v>5D</v>
      </c>
      <c r="E584" t="str">
        <f>MID('paste from garc here'!$C$2,1+(('table for research'!$B584-456)*36+HEX2DEC('table for research'!E$1))*2,2)</f>
        <v>00</v>
      </c>
      <c r="F584" t="str">
        <f>MID('paste from garc here'!$C$2,1+(('table for research'!$B584-456)*36+HEX2DEC('table for research'!F$1))*2,2)</f>
        <v>00</v>
      </c>
      <c r="G584" t="str">
        <f>MID('paste from garc here'!$C$2,1+(('table for research'!$B584-456)*36+HEX2DEC('table for research'!G$1))*2,2)</f>
        <v>00</v>
      </c>
      <c r="H584" t="str">
        <f>MID('paste from garc here'!$C$2,1+(('table for research'!$B584-456)*36+HEX2DEC('table for research'!H$1))*2,2)</f>
        <v>00</v>
      </c>
      <c r="I584" t="str">
        <f>MID('paste from garc here'!$C$2,1+(('table for research'!$B584-456)*36+HEX2DEC('table for research'!I$1))*2,2)</f>
        <v>1E</v>
      </c>
      <c r="J584" t="str">
        <f>MID('paste from garc here'!$C$2,1+(('table for research'!$B584-456)*36+HEX2DEC('table for research'!J$1))*2,2)</f>
        <v>00</v>
      </c>
      <c r="K584" t="str">
        <f>DEC2HEX(_xlfn.BITAND(HEX2DEC(MID('paste from garc here'!$C$1,1+(('table for research'!$B584-1)*36+HEX2DEC(8))*2,2)),31),2)</f>
        <v>00</v>
      </c>
      <c r="L584" t="str">
        <f>DEC2HEX(_xlfn.BITAND(HEX2DEC(MID('paste from garc here'!$C$1,1+(('table for research'!$B584-1)*36+HEX2DEC(8))*2,2)),32),2)</f>
        <v>00</v>
      </c>
      <c r="M584" t="str">
        <f>DEC2HEX(_xlfn.BITAND(HEX2DEC(MID('paste from garc here'!$C$1,1+(('table for research'!$B584-1)*36+HEX2DEC(8))*2,2)),64),2)</f>
        <v>00</v>
      </c>
      <c r="N584" t="str">
        <f>DEC2HEX(_xlfn.BITRSHIFT(_xlfn.BITAND(HEX2DEC(MID('paste from garc here'!$C$1,1+(('table for research'!$B584-1)*36+HEX2DEC(9))*2,2)&amp;MID('paste from garc here'!$C$1,1+(('table for research'!$B584-1)*36+HEX2DEC(8))*2,2)),1920),7),2)</f>
        <v>00</v>
      </c>
      <c r="O584" t="str">
        <f>DEC2HEX(_xlfn.BITRSHIFT(HEX2DEC(MID('paste from garc here'!$C$1,1+(('table for research'!$B584-1)*36+HEX2DEC(9))*2,2)&amp;MID('paste from garc here'!$C$1,1+(('table for research'!$B584-1)*36+HEX2DEC(8))*2,2)),11),2)</f>
        <v>00</v>
      </c>
      <c r="P584" t="str">
        <f>MID('paste from garc here'!$C$2,1+(('table for research'!$B584-456)*36+HEX2DEC('table for research'!P$1))*2,2)</f>
        <v>00</v>
      </c>
      <c r="Q584" t="str">
        <f>MID('paste from garc here'!$C$2,1+(('table for research'!$B584-456)*36+HEX2DEC('table for research'!Q$1))*2,2)</f>
        <v>00</v>
      </c>
      <c r="R584" t="str">
        <f>MID('paste from garc here'!$C$2,1+(('table for research'!$B584-456)*36+HEX2DEC('table for research'!R$1))*2,2)</f>
        <v>01</v>
      </c>
      <c r="S584" t="str">
        <f>MID('paste from garc here'!$C$2,1+(('table for research'!$B584-456)*36+HEX2DEC('table for research'!S$1))*2,2)</f>
        <v>02</v>
      </c>
      <c r="T584" t="str">
        <f>MID('paste from garc here'!$C$2,1+(('table for research'!$B584-456)*36+HEX2DEC('table for research'!T$1))*2,2)</f>
        <v>00</v>
      </c>
      <c r="U584" t="str">
        <f>MID('paste from garc here'!$C$2,1+(('table for research'!$B584-456)*36+HEX2DEC('table for research'!U$1))*2,2)</f>
        <v>14</v>
      </c>
      <c r="V584" t="str">
        <f>MID('paste from garc here'!$C$2,1+(('table for research'!$B584-456)*36+HEX2DEC('table for research'!V$1))*2,2)</f>
        <v>00</v>
      </c>
      <c r="W584" t="str">
        <f>MID('paste from garc here'!$C$2,1+(('table for research'!$B584-456)*36+HEX2DEC('table for research'!W$1))*2,2)</f>
        <v>00</v>
      </c>
      <c r="X584" t="str">
        <f>MID('paste from garc here'!$C$2,1+(('table for research'!$B584-456)*36+HEX2DEC('table for research'!X$1))*2,2)</f>
        <v>00</v>
      </c>
      <c r="Y584" t="str">
        <f>MID('paste from garc here'!$C$2,1+(('table for research'!$B584-456)*36+HEX2DEC('table for research'!Y$1))*2,2)</f>
        <v>00</v>
      </c>
      <c r="Z584" t="str">
        <f>MID('paste from garc here'!$C$2,1+(('table for research'!$B584-456)*36+HEX2DEC('table for research'!Z$1))*2,2)</f>
        <v>00</v>
      </c>
      <c r="AA584" t="str">
        <f>MID('paste from garc here'!$C$2,1+(('table for research'!$B584-456)*36+HEX2DEC('table for research'!AA$1))*2,2)</f>
        <v>00</v>
      </c>
      <c r="AB584" t="str">
        <f>MID('paste from garc here'!$C$2,1+(('table for research'!$B584-456)*36+HEX2DEC('table for research'!AB$1))*2,2)</f>
        <v>00</v>
      </c>
      <c r="AC584" t="str">
        <f>MID('paste from garc here'!$C$2,1+(('table for research'!$B584-456)*36+HEX2DEC('table for research'!AC$1))*2,2)</f>
        <v>00</v>
      </c>
      <c r="AD584" t="str">
        <f>MID('paste from garc here'!$C$2,1+(('table for research'!$B584-456)*36+HEX2DEC('table for research'!AD$1))*2,2)</f>
        <v>00</v>
      </c>
      <c r="AE584" t="str">
        <f>MID('paste from garc here'!$C$2,1+(('table for research'!$B584-456)*36+HEX2DEC('table for research'!AE$1))*2,2)</f>
        <v>00</v>
      </c>
      <c r="AF584" t="str">
        <f>MID('paste from garc here'!$C$2,1+(('table for research'!$B584-456)*36+HEX2DEC('table for research'!AF$1))*2,2)</f>
        <v>00</v>
      </c>
      <c r="AG584" t="str">
        <f>MID('paste from garc here'!$C$2,1+(('table for research'!$B584-456)*36+HEX2DEC('table for research'!AG$1))*2,2)</f>
        <v>00</v>
      </c>
      <c r="AH584" t="str">
        <f>MID('paste from garc here'!$C$2,1+(('table for research'!$B584-456)*36+HEX2DEC('table for research'!AH$1))*2,2)</f>
        <v>00</v>
      </c>
      <c r="AI584" t="str">
        <f>MID('paste from garc here'!$C$2,1+(('table for research'!$B584-456)*36+HEX2DEC('table for research'!AI$1))*2,2)</f>
        <v>00</v>
      </c>
      <c r="AJ584" t="str">
        <f>MID('paste from garc here'!$C$2,1+(('table for research'!$B584-456)*36+HEX2DEC('table for research'!AJ$1))*2,2)</f>
        <v>00</v>
      </c>
      <c r="AK584" t="str">
        <f>MID('paste from garc here'!$C$2,1+(('table for research'!$B584-456)*36+HEX2DEC('table for research'!AK$1))*2,2)</f>
        <v>00</v>
      </c>
      <c r="AL584" t="str">
        <f>MID('paste from garc here'!$C$2,1+(('table for research'!$B584-456)*36+HEX2DEC('table for research'!AL$1))*2,2)</f>
        <v>00</v>
      </c>
      <c r="AM584" t="str">
        <f>MID('paste from garc here'!$C$2,1+(('table for research'!$B584-456)*36+HEX2DEC('table for research'!AM$1))*2,2)</f>
        <v>00</v>
      </c>
      <c r="AN584" t="str">
        <f>MID('paste from garc here'!$C$2,1+(('table for research'!$B584-456)*36+HEX2DEC('table for research'!AN$1))*2,2)</f>
        <v>00</v>
      </c>
      <c r="AO584" t="str">
        <f>MID('paste from garc here'!$C$2,1+(('table for research'!$B584-456)*36+HEX2DEC('table for research'!AO$1))*2,2)</f>
        <v>00</v>
      </c>
    </row>
    <row r="585" spans="1:41" x14ac:dyDescent="0.4">
      <c r="A585" t="s">
        <v>587</v>
      </c>
      <c r="B585">
        <f>B584+1</f>
        <v>583</v>
      </c>
      <c r="C585" t="str">
        <f>MID('paste from garc here'!$C$2,1+(('table for research'!$B585-456)*36+HEX2DEC('table for research'!C$1))*2,2)</f>
        <v>50</v>
      </c>
      <c r="D585" t="str">
        <f>MID('paste from garc here'!$C$2,1+(('table for research'!$B585-456)*36+HEX2DEC('table for research'!D$1))*2,2)</f>
        <v>C3</v>
      </c>
      <c r="E585" t="str">
        <f>MID('paste from garc here'!$C$2,1+(('table for research'!$B585-456)*36+HEX2DEC('table for research'!E$1))*2,2)</f>
        <v>00</v>
      </c>
      <c r="F585" t="str">
        <f>MID('paste from garc here'!$C$2,1+(('table for research'!$B585-456)*36+HEX2DEC('table for research'!F$1))*2,2)</f>
        <v>00</v>
      </c>
      <c r="G585" t="str">
        <f>MID('paste from garc here'!$C$2,1+(('table for research'!$B585-456)*36+HEX2DEC('table for research'!G$1))*2,2)</f>
        <v>00</v>
      </c>
      <c r="H585" t="str">
        <f>MID('paste from garc here'!$C$2,1+(('table for research'!$B585-456)*36+HEX2DEC('table for research'!H$1))*2,2)</f>
        <v>00</v>
      </c>
      <c r="I585" t="str">
        <f>MID('paste from garc here'!$C$2,1+(('table for research'!$B585-456)*36+HEX2DEC('table for research'!I$1))*2,2)</f>
        <v>1E</v>
      </c>
      <c r="J585" t="str">
        <f>MID('paste from garc here'!$C$2,1+(('table for research'!$B585-456)*36+HEX2DEC('table for research'!J$1))*2,2)</f>
        <v>00</v>
      </c>
      <c r="K585" t="str">
        <f>DEC2HEX(_xlfn.BITAND(HEX2DEC(MID('paste from garc here'!$C$1,1+(('table for research'!$B585-1)*36+HEX2DEC(8))*2,2)),31),2)</f>
        <v>00</v>
      </c>
      <c r="L585" t="str">
        <f>DEC2HEX(_xlfn.BITAND(HEX2DEC(MID('paste from garc here'!$C$1,1+(('table for research'!$B585-1)*36+HEX2DEC(8))*2,2)),32),2)</f>
        <v>00</v>
      </c>
      <c r="M585" t="str">
        <f>DEC2HEX(_xlfn.BITAND(HEX2DEC(MID('paste from garc here'!$C$1,1+(('table for research'!$B585-1)*36+HEX2DEC(8))*2,2)),64),2)</f>
        <v>00</v>
      </c>
      <c r="N585" t="str">
        <f>DEC2HEX(_xlfn.BITRSHIFT(_xlfn.BITAND(HEX2DEC(MID('paste from garc here'!$C$1,1+(('table for research'!$B585-1)*36+HEX2DEC(9))*2,2)&amp;MID('paste from garc here'!$C$1,1+(('table for research'!$B585-1)*36+HEX2DEC(8))*2,2)),1920),7),2)</f>
        <v>00</v>
      </c>
      <c r="O585" t="str">
        <f>DEC2HEX(_xlfn.BITRSHIFT(HEX2DEC(MID('paste from garc here'!$C$1,1+(('table for research'!$B585-1)*36+HEX2DEC(9))*2,2)&amp;MID('paste from garc here'!$C$1,1+(('table for research'!$B585-1)*36+HEX2DEC(8))*2,2)),11),2)</f>
        <v>00</v>
      </c>
      <c r="P585" t="str">
        <f>MID('paste from garc here'!$C$2,1+(('table for research'!$B585-456)*36+HEX2DEC('table for research'!P$1))*2,2)</f>
        <v>00</v>
      </c>
      <c r="Q585" t="str">
        <f>MID('paste from garc here'!$C$2,1+(('table for research'!$B585-456)*36+HEX2DEC('table for research'!Q$1))*2,2)</f>
        <v>00</v>
      </c>
      <c r="R585" t="str">
        <f>MID('paste from garc here'!$C$2,1+(('table for research'!$B585-456)*36+HEX2DEC('table for research'!R$1))*2,2)</f>
        <v>01</v>
      </c>
      <c r="S585" t="str">
        <f>MID('paste from garc here'!$C$2,1+(('table for research'!$B585-456)*36+HEX2DEC('table for research'!S$1))*2,2)</f>
        <v>02</v>
      </c>
      <c r="T585" t="str">
        <f>MID('paste from garc here'!$C$2,1+(('table for research'!$B585-456)*36+HEX2DEC('table for research'!T$1))*2,2)</f>
        <v>00</v>
      </c>
      <c r="U585" t="str">
        <f>MID('paste from garc here'!$C$2,1+(('table for research'!$B585-456)*36+HEX2DEC('table for research'!U$1))*2,2)</f>
        <v>15</v>
      </c>
      <c r="V585" t="str">
        <f>MID('paste from garc here'!$C$2,1+(('table for research'!$B585-456)*36+HEX2DEC('table for research'!V$1))*2,2)</f>
        <v>00</v>
      </c>
      <c r="W585" t="str">
        <f>MID('paste from garc here'!$C$2,1+(('table for research'!$B585-456)*36+HEX2DEC('table for research'!W$1))*2,2)</f>
        <v>00</v>
      </c>
      <c r="X585" t="str">
        <f>MID('paste from garc here'!$C$2,1+(('table for research'!$B585-456)*36+HEX2DEC('table for research'!X$1))*2,2)</f>
        <v>00</v>
      </c>
      <c r="Y585" t="str">
        <f>MID('paste from garc here'!$C$2,1+(('table for research'!$B585-456)*36+HEX2DEC('table for research'!Y$1))*2,2)</f>
        <v>00</v>
      </c>
      <c r="Z585" t="str">
        <f>MID('paste from garc here'!$C$2,1+(('table for research'!$B585-456)*36+HEX2DEC('table for research'!Z$1))*2,2)</f>
        <v>00</v>
      </c>
      <c r="AA585" t="str">
        <f>MID('paste from garc here'!$C$2,1+(('table for research'!$B585-456)*36+HEX2DEC('table for research'!AA$1))*2,2)</f>
        <v>00</v>
      </c>
      <c r="AB585" t="str">
        <f>MID('paste from garc here'!$C$2,1+(('table for research'!$B585-456)*36+HEX2DEC('table for research'!AB$1))*2,2)</f>
        <v>00</v>
      </c>
      <c r="AC585" t="str">
        <f>MID('paste from garc here'!$C$2,1+(('table for research'!$B585-456)*36+HEX2DEC('table for research'!AC$1))*2,2)</f>
        <v>00</v>
      </c>
      <c r="AD585" t="str">
        <f>MID('paste from garc here'!$C$2,1+(('table for research'!$B585-456)*36+HEX2DEC('table for research'!AD$1))*2,2)</f>
        <v>00</v>
      </c>
      <c r="AE585" t="str">
        <f>MID('paste from garc here'!$C$2,1+(('table for research'!$B585-456)*36+HEX2DEC('table for research'!AE$1))*2,2)</f>
        <v>00</v>
      </c>
      <c r="AF585" t="str">
        <f>MID('paste from garc here'!$C$2,1+(('table for research'!$B585-456)*36+HEX2DEC('table for research'!AF$1))*2,2)</f>
        <v>00</v>
      </c>
      <c r="AG585" t="str">
        <f>MID('paste from garc here'!$C$2,1+(('table for research'!$B585-456)*36+HEX2DEC('table for research'!AG$1))*2,2)</f>
        <v>00</v>
      </c>
      <c r="AH585" t="str">
        <f>MID('paste from garc here'!$C$2,1+(('table for research'!$B585-456)*36+HEX2DEC('table for research'!AH$1))*2,2)</f>
        <v>00</v>
      </c>
      <c r="AI585" t="str">
        <f>MID('paste from garc here'!$C$2,1+(('table for research'!$B585-456)*36+HEX2DEC('table for research'!AI$1))*2,2)</f>
        <v>00</v>
      </c>
      <c r="AJ585" t="str">
        <f>MID('paste from garc here'!$C$2,1+(('table for research'!$B585-456)*36+HEX2DEC('table for research'!AJ$1))*2,2)</f>
        <v>00</v>
      </c>
      <c r="AK585" t="str">
        <f>MID('paste from garc here'!$C$2,1+(('table for research'!$B585-456)*36+HEX2DEC('table for research'!AK$1))*2,2)</f>
        <v>00</v>
      </c>
      <c r="AL585" t="str">
        <f>MID('paste from garc here'!$C$2,1+(('table for research'!$B585-456)*36+HEX2DEC('table for research'!AL$1))*2,2)</f>
        <v>00</v>
      </c>
      <c r="AM585" t="str">
        <f>MID('paste from garc here'!$C$2,1+(('table for research'!$B585-456)*36+HEX2DEC('table for research'!AM$1))*2,2)</f>
        <v>00</v>
      </c>
      <c r="AN585" t="str">
        <f>MID('paste from garc here'!$C$2,1+(('table for research'!$B585-456)*36+HEX2DEC('table for research'!AN$1))*2,2)</f>
        <v>00</v>
      </c>
      <c r="AO585" t="str">
        <f>MID('paste from garc here'!$C$2,1+(('table for research'!$B585-456)*36+HEX2DEC('table for research'!AO$1))*2,2)</f>
        <v>00</v>
      </c>
    </row>
    <row r="586" spans="1:41" x14ac:dyDescent="0.4">
      <c r="A586" t="s">
        <v>588</v>
      </c>
      <c r="B586">
        <f>B585+1</f>
        <v>584</v>
      </c>
      <c r="C586" t="str">
        <f>MID('paste from garc here'!$C$2,1+(('table for research'!$B586-456)*36+HEX2DEC('table for research'!C$1))*2,2)</f>
        <v>00</v>
      </c>
      <c r="D586" t="str">
        <f>MID('paste from garc here'!$C$2,1+(('table for research'!$B586-456)*36+HEX2DEC('table for research'!D$1))*2,2)</f>
        <v>00</v>
      </c>
      <c r="E586" t="str">
        <f>MID('paste from garc here'!$C$2,1+(('table for research'!$B586-456)*36+HEX2DEC('table for research'!E$1))*2,2)</f>
        <v>00</v>
      </c>
      <c r="F586" t="str">
        <f>MID('paste from garc here'!$C$2,1+(('table for research'!$B586-456)*36+HEX2DEC('table for research'!F$1))*2,2)</f>
        <v>00</v>
      </c>
      <c r="G586" t="str">
        <f>MID('paste from garc here'!$C$2,1+(('table for research'!$B586-456)*36+HEX2DEC('table for research'!G$1))*2,2)</f>
        <v>00</v>
      </c>
      <c r="H586" t="str">
        <f>MID('paste from garc here'!$C$2,1+(('table for research'!$B586-456)*36+HEX2DEC('table for research'!H$1))*2,2)</f>
        <v>00</v>
      </c>
      <c r="I586" t="str">
        <f>MID('paste from garc here'!$C$2,1+(('table for research'!$B586-456)*36+HEX2DEC('table for research'!I$1))*2,2)</f>
        <v>1E</v>
      </c>
      <c r="J586" t="str">
        <f>MID('paste from garc here'!$C$2,1+(('table for research'!$B586-456)*36+HEX2DEC('table for research'!J$1))*2,2)</f>
        <v>00</v>
      </c>
      <c r="K586" t="str">
        <f>DEC2HEX(_xlfn.BITAND(HEX2DEC(MID('paste from garc here'!$C$1,1+(('table for research'!$B586-1)*36+HEX2DEC(8))*2,2)),31),2)</f>
        <v>00</v>
      </c>
      <c r="L586" t="str">
        <f>DEC2HEX(_xlfn.BITAND(HEX2DEC(MID('paste from garc here'!$C$1,1+(('table for research'!$B586-1)*36+HEX2DEC(8))*2,2)),32),2)</f>
        <v>00</v>
      </c>
      <c r="M586" t="str">
        <f>DEC2HEX(_xlfn.BITAND(HEX2DEC(MID('paste from garc here'!$C$1,1+(('table for research'!$B586-1)*36+HEX2DEC(8))*2,2)),64),2)</f>
        <v>00</v>
      </c>
      <c r="N586" t="str">
        <f>DEC2HEX(_xlfn.BITRSHIFT(_xlfn.BITAND(HEX2DEC(MID('paste from garc here'!$C$1,1+(('table for research'!$B586-1)*36+HEX2DEC(9))*2,2)&amp;MID('paste from garc here'!$C$1,1+(('table for research'!$B586-1)*36+HEX2DEC(8))*2,2)),1920),7),2)</f>
        <v>00</v>
      </c>
      <c r="O586" t="str">
        <f>DEC2HEX(_xlfn.BITRSHIFT(HEX2DEC(MID('paste from garc here'!$C$1,1+(('table for research'!$B586-1)*36+HEX2DEC(9))*2,2)&amp;MID('paste from garc here'!$C$1,1+(('table for research'!$B586-1)*36+HEX2DEC(8))*2,2)),11),2)</f>
        <v>00</v>
      </c>
      <c r="P586" t="str">
        <f>MID('paste from garc here'!$C$2,1+(('table for research'!$B586-456)*36+HEX2DEC('table for research'!P$1))*2,2)</f>
        <v>00</v>
      </c>
      <c r="Q586" t="str">
        <f>MID('paste from garc here'!$C$2,1+(('table for research'!$B586-456)*36+HEX2DEC('table for research'!Q$1))*2,2)</f>
        <v>00</v>
      </c>
      <c r="R586" t="str">
        <f>MID('paste from garc here'!$C$2,1+(('table for research'!$B586-456)*36+HEX2DEC('table for research'!R$1))*2,2)</f>
        <v>01</v>
      </c>
      <c r="S586" t="str">
        <f>MID('paste from garc here'!$C$2,1+(('table for research'!$B586-456)*36+HEX2DEC('table for research'!S$1))*2,2)</f>
        <v>02</v>
      </c>
      <c r="T586" t="str">
        <f>MID('paste from garc here'!$C$2,1+(('table for research'!$B586-456)*36+HEX2DEC('table for research'!T$1))*2,2)</f>
        <v>00</v>
      </c>
      <c r="U586" t="str">
        <f>MID('paste from garc here'!$C$2,1+(('table for research'!$B586-456)*36+HEX2DEC('table for research'!U$1))*2,2)</f>
        <v>32</v>
      </c>
      <c r="V586" t="str">
        <f>MID('paste from garc here'!$C$2,1+(('table for research'!$B586-456)*36+HEX2DEC('table for research'!V$1))*2,2)</f>
        <v>00</v>
      </c>
      <c r="W586" t="str">
        <f>MID('paste from garc here'!$C$2,1+(('table for research'!$B586-456)*36+HEX2DEC('table for research'!W$1))*2,2)</f>
        <v>00</v>
      </c>
      <c r="X586" t="str">
        <f>MID('paste from garc here'!$C$2,1+(('table for research'!$B586-456)*36+HEX2DEC('table for research'!X$1))*2,2)</f>
        <v>00</v>
      </c>
      <c r="Y586" t="str">
        <f>MID('paste from garc here'!$C$2,1+(('table for research'!$B586-456)*36+HEX2DEC('table for research'!Y$1))*2,2)</f>
        <v>00</v>
      </c>
      <c r="Z586" t="str">
        <f>MID('paste from garc here'!$C$2,1+(('table for research'!$B586-456)*36+HEX2DEC('table for research'!Z$1))*2,2)</f>
        <v>00</v>
      </c>
      <c r="AA586" t="str">
        <f>MID('paste from garc here'!$C$2,1+(('table for research'!$B586-456)*36+HEX2DEC('table for research'!AA$1))*2,2)</f>
        <v>00</v>
      </c>
      <c r="AB586" t="str">
        <f>MID('paste from garc here'!$C$2,1+(('table for research'!$B586-456)*36+HEX2DEC('table for research'!AB$1))*2,2)</f>
        <v>00</v>
      </c>
      <c r="AC586" t="str">
        <f>MID('paste from garc here'!$C$2,1+(('table for research'!$B586-456)*36+HEX2DEC('table for research'!AC$1))*2,2)</f>
        <v>00</v>
      </c>
      <c r="AD586" t="str">
        <f>MID('paste from garc here'!$C$2,1+(('table for research'!$B586-456)*36+HEX2DEC('table for research'!AD$1))*2,2)</f>
        <v>00</v>
      </c>
      <c r="AE586" t="str">
        <f>MID('paste from garc here'!$C$2,1+(('table for research'!$B586-456)*36+HEX2DEC('table for research'!AE$1))*2,2)</f>
        <v>00</v>
      </c>
      <c r="AF586" t="str">
        <f>MID('paste from garc here'!$C$2,1+(('table for research'!$B586-456)*36+HEX2DEC('table for research'!AF$1))*2,2)</f>
        <v>00</v>
      </c>
      <c r="AG586" t="str">
        <f>MID('paste from garc here'!$C$2,1+(('table for research'!$B586-456)*36+HEX2DEC('table for research'!AG$1))*2,2)</f>
        <v>00</v>
      </c>
      <c r="AH586" t="str">
        <f>MID('paste from garc here'!$C$2,1+(('table for research'!$B586-456)*36+HEX2DEC('table for research'!AH$1))*2,2)</f>
        <v>00</v>
      </c>
      <c r="AI586" t="str">
        <f>MID('paste from garc here'!$C$2,1+(('table for research'!$B586-456)*36+HEX2DEC('table for research'!AI$1))*2,2)</f>
        <v>00</v>
      </c>
      <c r="AJ586" t="str">
        <f>MID('paste from garc here'!$C$2,1+(('table for research'!$B586-456)*36+HEX2DEC('table for research'!AJ$1))*2,2)</f>
        <v>00</v>
      </c>
      <c r="AK586" t="str">
        <f>MID('paste from garc here'!$C$2,1+(('table for research'!$B586-456)*36+HEX2DEC('table for research'!AK$1))*2,2)</f>
        <v>00</v>
      </c>
      <c r="AL586" t="str">
        <f>MID('paste from garc here'!$C$2,1+(('table for research'!$B586-456)*36+HEX2DEC('table for research'!AL$1))*2,2)</f>
        <v>00</v>
      </c>
      <c r="AM586" t="str">
        <f>MID('paste from garc here'!$C$2,1+(('table for research'!$B586-456)*36+HEX2DEC('table for research'!AM$1))*2,2)</f>
        <v>00</v>
      </c>
      <c r="AN586" t="str">
        <f>MID('paste from garc here'!$C$2,1+(('table for research'!$B586-456)*36+HEX2DEC('table for research'!AN$1))*2,2)</f>
        <v>00</v>
      </c>
      <c r="AO586" t="str">
        <f>MID('paste from garc here'!$C$2,1+(('table for research'!$B586-456)*36+HEX2DEC('table for research'!AO$1))*2,2)</f>
        <v>00</v>
      </c>
    </row>
    <row r="587" spans="1:41" x14ac:dyDescent="0.4">
      <c r="A587" t="s">
        <v>589</v>
      </c>
      <c r="B587">
        <f>B586+1</f>
        <v>585</v>
      </c>
      <c r="C587" t="str">
        <f>MID('paste from garc here'!$C$2,1+(('table for research'!$B587-456)*36+HEX2DEC('table for research'!C$1))*2,2)</f>
        <v>00</v>
      </c>
      <c r="D587" t="str">
        <f>MID('paste from garc here'!$C$2,1+(('table for research'!$B587-456)*36+HEX2DEC('table for research'!D$1))*2,2)</f>
        <v>00</v>
      </c>
      <c r="E587" t="str">
        <f>MID('paste from garc here'!$C$2,1+(('table for research'!$B587-456)*36+HEX2DEC('table for research'!E$1))*2,2)</f>
        <v>00</v>
      </c>
      <c r="F587" t="str">
        <f>MID('paste from garc here'!$C$2,1+(('table for research'!$B587-456)*36+HEX2DEC('table for research'!F$1))*2,2)</f>
        <v>00</v>
      </c>
      <c r="G587" t="str">
        <f>MID('paste from garc here'!$C$2,1+(('table for research'!$B587-456)*36+HEX2DEC('table for research'!G$1))*2,2)</f>
        <v>00</v>
      </c>
      <c r="H587" t="str">
        <f>MID('paste from garc here'!$C$2,1+(('table for research'!$B587-456)*36+HEX2DEC('table for research'!H$1))*2,2)</f>
        <v>00</v>
      </c>
      <c r="I587" t="str">
        <f>MID('paste from garc here'!$C$2,1+(('table for research'!$B587-456)*36+HEX2DEC('table for research'!I$1))*2,2)</f>
        <v>1E</v>
      </c>
      <c r="J587" t="str">
        <f>MID('paste from garc here'!$C$2,1+(('table for research'!$B587-456)*36+HEX2DEC('table for research'!J$1))*2,2)</f>
        <v>00</v>
      </c>
      <c r="K587" t="str">
        <f>DEC2HEX(_xlfn.BITAND(HEX2DEC(MID('paste from garc here'!$C$1,1+(('table for research'!$B587-1)*36+HEX2DEC(8))*2,2)),31),2)</f>
        <v>00</v>
      </c>
      <c r="L587" t="str">
        <f>DEC2HEX(_xlfn.BITAND(HEX2DEC(MID('paste from garc here'!$C$1,1+(('table for research'!$B587-1)*36+HEX2DEC(8))*2,2)),32),2)</f>
        <v>00</v>
      </c>
      <c r="M587" t="str">
        <f>DEC2HEX(_xlfn.BITAND(HEX2DEC(MID('paste from garc here'!$C$1,1+(('table for research'!$B587-1)*36+HEX2DEC(8))*2,2)),64),2)</f>
        <v>00</v>
      </c>
      <c r="N587" t="str">
        <f>DEC2HEX(_xlfn.BITRSHIFT(_xlfn.BITAND(HEX2DEC(MID('paste from garc here'!$C$1,1+(('table for research'!$B587-1)*36+HEX2DEC(9))*2,2)&amp;MID('paste from garc here'!$C$1,1+(('table for research'!$B587-1)*36+HEX2DEC(8))*2,2)),1920),7),2)</f>
        <v>00</v>
      </c>
      <c r="O587" t="str">
        <f>DEC2HEX(_xlfn.BITRSHIFT(HEX2DEC(MID('paste from garc here'!$C$1,1+(('table for research'!$B587-1)*36+HEX2DEC(9))*2,2)&amp;MID('paste from garc here'!$C$1,1+(('table for research'!$B587-1)*36+HEX2DEC(8))*2,2)),11),2)</f>
        <v>00</v>
      </c>
      <c r="P587" t="str">
        <f>MID('paste from garc here'!$C$2,1+(('table for research'!$B587-456)*36+HEX2DEC('table for research'!P$1))*2,2)</f>
        <v>00</v>
      </c>
      <c r="Q587" t="str">
        <f>MID('paste from garc here'!$C$2,1+(('table for research'!$B587-456)*36+HEX2DEC('table for research'!Q$1))*2,2)</f>
        <v>00</v>
      </c>
      <c r="R587" t="str">
        <f>MID('paste from garc here'!$C$2,1+(('table for research'!$B587-456)*36+HEX2DEC('table for research'!R$1))*2,2)</f>
        <v>01</v>
      </c>
      <c r="S587" t="str">
        <f>MID('paste from garc here'!$C$2,1+(('table for research'!$B587-456)*36+HEX2DEC('table for research'!S$1))*2,2)</f>
        <v>02</v>
      </c>
      <c r="T587" t="str">
        <f>MID('paste from garc here'!$C$2,1+(('table for research'!$B587-456)*36+HEX2DEC('table for research'!T$1))*2,2)</f>
        <v>00</v>
      </c>
      <c r="U587" t="str">
        <f>MID('paste from garc here'!$C$2,1+(('table for research'!$B587-456)*36+HEX2DEC('table for research'!U$1))*2,2)</f>
        <v>33</v>
      </c>
      <c r="V587" t="str">
        <f>MID('paste from garc here'!$C$2,1+(('table for research'!$B587-456)*36+HEX2DEC('table for research'!V$1))*2,2)</f>
        <v>00</v>
      </c>
      <c r="W587" t="str">
        <f>MID('paste from garc here'!$C$2,1+(('table for research'!$B587-456)*36+HEX2DEC('table for research'!W$1))*2,2)</f>
        <v>00</v>
      </c>
      <c r="X587" t="str">
        <f>MID('paste from garc here'!$C$2,1+(('table for research'!$B587-456)*36+HEX2DEC('table for research'!X$1))*2,2)</f>
        <v>00</v>
      </c>
      <c r="Y587" t="str">
        <f>MID('paste from garc here'!$C$2,1+(('table for research'!$B587-456)*36+HEX2DEC('table for research'!Y$1))*2,2)</f>
        <v>00</v>
      </c>
      <c r="Z587" t="str">
        <f>MID('paste from garc here'!$C$2,1+(('table for research'!$B587-456)*36+HEX2DEC('table for research'!Z$1))*2,2)</f>
        <v>00</v>
      </c>
      <c r="AA587" t="str">
        <f>MID('paste from garc here'!$C$2,1+(('table for research'!$B587-456)*36+HEX2DEC('table for research'!AA$1))*2,2)</f>
        <v>00</v>
      </c>
      <c r="AB587" t="str">
        <f>MID('paste from garc here'!$C$2,1+(('table for research'!$B587-456)*36+HEX2DEC('table for research'!AB$1))*2,2)</f>
        <v>00</v>
      </c>
      <c r="AC587" t="str">
        <f>MID('paste from garc here'!$C$2,1+(('table for research'!$B587-456)*36+HEX2DEC('table for research'!AC$1))*2,2)</f>
        <v>00</v>
      </c>
      <c r="AD587" t="str">
        <f>MID('paste from garc here'!$C$2,1+(('table for research'!$B587-456)*36+HEX2DEC('table for research'!AD$1))*2,2)</f>
        <v>00</v>
      </c>
      <c r="AE587" t="str">
        <f>MID('paste from garc here'!$C$2,1+(('table for research'!$B587-456)*36+HEX2DEC('table for research'!AE$1))*2,2)</f>
        <v>00</v>
      </c>
      <c r="AF587" t="str">
        <f>MID('paste from garc here'!$C$2,1+(('table for research'!$B587-456)*36+HEX2DEC('table for research'!AF$1))*2,2)</f>
        <v>00</v>
      </c>
      <c r="AG587" t="str">
        <f>MID('paste from garc here'!$C$2,1+(('table for research'!$B587-456)*36+HEX2DEC('table for research'!AG$1))*2,2)</f>
        <v>00</v>
      </c>
      <c r="AH587" t="str">
        <f>MID('paste from garc here'!$C$2,1+(('table for research'!$B587-456)*36+HEX2DEC('table for research'!AH$1))*2,2)</f>
        <v>00</v>
      </c>
      <c r="AI587" t="str">
        <f>MID('paste from garc here'!$C$2,1+(('table for research'!$B587-456)*36+HEX2DEC('table for research'!AI$1))*2,2)</f>
        <v>00</v>
      </c>
      <c r="AJ587" t="str">
        <f>MID('paste from garc here'!$C$2,1+(('table for research'!$B587-456)*36+HEX2DEC('table for research'!AJ$1))*2,2)</f>
        <v>00</v>
      </c>
      <c r="AK587" t="str">
        <f>MID('paste from garc here'!$C$2,1+(('table for research'!$B587-456)*36+HEX2DEC('table for research'!AK$1))*2,2)</f>
        <v>00</v>
      </c>
      <c r="AL587" t="str">
        <f>MID('paste from garc here'!$C$2,1+(('table for research'!$B587-456)*36+HEX2DEC('table for research'!AL$1))*2,2)</f>
        <v>00</v>
      </c>
      <c r="AM587" t="str">
        <f>MID('paste from garc here'!$C$2,1+(('table for research'!$B587-456)*36+HEX2DEC('table for research'!AM$1))*2,2)</f>
        <v>00</v>
      </c>
      <c r="AN587" t="str">
        <f>MID('paste from garc here'!$C$2,1+(('table for research'!$B587-456)*36+HEX2DEC('table for research'!AN$1))*2,2)</f>
        <v>00</v>
      </c>
      <c r="AO587" t="str">
        <f>MID('paste from garc here'!$C$2,1+(('table for research'!$B587-456)*36+HEX2DEC('table for research'!AO$1))*2,2)</f>
        <v>00</v>
      </c>
    </row>
    <row r="588" spans="1:41" x14ac:dyDescent="0.4">
      <c r="A588" t="s">
        <v>590</v>
      </c>
      <c r="B588">
        <f>B587+1</f>
        <v>586</v>
      </c>
      <c r="C588" t="str">
        <f>MID('paste from garc here'!$C$2,1+(('table for research'!$B588-456)*36+HEX2DEC('table for research'!C$1))*2,2)</f>
        <v>70</v>
      </c>
      <c r="D588" t="str">
        <f>MID('paste from garc here'!$C$2,1+(('table for research'!$B588-456)*36+HEX2DEC('table for research'!D$1))*2,2)</f>
        <v>17</v>
      </c>
      <c r="E588" t="str">
        <f>MID('paste from garc here'!$C$2,1+(('table for research'!$B588-456)*36+HEX2DEC('table for research'!E$1))*2,2)</f>
        <v>00</v>
      </c>
      <c r="F588" t="str">
        <f>MID('paste from garc here'!$C$2,1+(('table for research'!$B588-456)*36+HEX2DEC('table for research'!F$1))*2,2)</f>
        <v>00</v>
      </c>
      <c r="G588" t="str">
        <f>MID('paste from garc here'!$C$2,1+(('table for research'!$B588-456)*36+HEX2DEC('table for research'!G$1))*2,2)</f>
        <v>00</v>
      </c>
      <c r="H588" t="str">
        <f>MID('paste from garc here'!$C$2,1+(('table for research'!$B588-456)*36+HEX2DEC('table for research'!H$1))*2,2)</f>
        <v>00</v>
      </c>
      <c r="I588" t="str">
        <f>MID('paste from garc here'!$C$2,1+(('table for research'!$B588-456)*36+HEX2DEC('table for research'!I$1))*2,2)</f>
        <v>1E</v>
      </c>
      <c r="J588" t="str">
        <f>MID('paste from garc here'!$C$2,1+(('table for research'!$B588-456)*36+HEX2DEC('table for research'!J$1))*2,2)</f>
        <v>00</v>
      </c>
      <c r="K588" t="str">
        <f>DEC2HEX(_xlfn.BITAND(HEX2DEC(MID('paste from garc here'!$C$1,1+(('table for research'!$B588-1)*36+HEX2DEC(8))*2,2)),31),2)</f>
        <v>00</v>
      </c>
      <c r="L588" t="str">
        <f>DEC2HEX(_xlfn.BITAND(HEX2DEC(MID('paste from garc here'!$C$1,1+(('table for research'!$B588-1)*36+HEX2DEC(8))*2,2)),32),2)</f>
        <v>00</v>
      </c>
      <c r="M588" t="str">
        <f>DEC2HEX(_xlfn.BITAND(HEX2DEC(MID('paste from garc here'!$C$1,1+(('table for research'!$B588-1)*36+HEX2DEC(8))*2,2)),64),2)</f>
        <v>00</v>
      </c>
      <c r="N588" t="str">
        <f>DEC2HEX(_xlfn.BITRSHIFT(_xlfn.BITAND(HEX2DEC(MID('paste from garc here'!$C$1,1+(('table for research'!$B588-1)*36+HEX2DEC(9))*2,2)&amp;MID('paste from garc here'!$C$1,1+(('table for research'!$B588-1)*36+HEX2DEC(8))*2,2)),1920),7),2)</f>
        <v>00</v>
      </c>
      <c r="O588" t="str">
        <f>DEC2HEX(_xlfn.BITRSHIFT(HEX2DEC(MID('paste from garc here'!$C$1,1+(('table for research'!$B588-1)*36+HEX2DEC(9))*2,2)&amp;MID('paste from garc here'!$C$1,1+(('table for research'!$B588-1)*36+HEX2DEC(8))*2,2)),11),2)</f>
        <v>00</v>
      </c>
      <c r="P588" t="str">
        <f>MID('paste from garc here'!$C$2,1+(('table for research'!$B588-456)*36+HEX2DEC('table for research'!P$1))*2,2)</f>
        <v>00</v>
      </c>
      <c r="Q588" t="str">
        <f>MID('paste from garc here'!$C$2,1+(('table for research'!$B588-456)*36+HEX2DEC('table for research'!Q$1))*2,2)</f>
        <v>00</v>
      </c>
      <c r="R588" t="str">
        <f>MID('paste from garc here'!$C$2,1+(('table for research'!$B588-456)*36+HEX2DEC('table for research'!R$1))*2,2)</f>
        <v>01</v>
      </c>
      <c r="S588" t="str">
        <f>MID('paste from garc here'!$C$2,1+(('table for research'!$B588-456)*36+HEX2DEC('table for research'!S$1))*2,2)</f>
        <v>02</v>
      </c>
      <c r="T588" t="str">
        <f>MID('paste from garc here'!$C$2,1+(('table for research'!$B588-456)*36+HEX2DEC('table for research'!T$1))*2,2)</f>
        <v>00</v>
      </c>
      <c r="U588" t="str">
        <f>MID('paste from garc here'!$C$2,1+(('table for research'!$B588-456)*36+HEX2DEC('table for research'!U$1))*2,2)</f>
        <v>34</v>
      </c>
      <c r="V588" t="str">
        <f>MID('paste from garc here'!$C$2,1+(('table for research'!$B588-456)*36+HEX2DEC('table for research'!V$1))*2,2)</f>
        <v>00</v>
      </c>
      <c r="W588" t="str">
        <f>MID('paste from garc here'!$C$2,1+(('table for research'!$B588-456)*36+HEX2DEC('table for research'!W$1))*2,2)</f>
        <v>00</v>
      </c>
      <c r="X588" t="str">
        <f>MID('paste from garc here'!$C$2,1+(('table for research'!$B588-456)*36+HEX2DEC('table for research'!X$1))*2,2)</f>
        <v>00</v>
      </c>
      <c r="Y588" t="str">
        <f>MID('paste from garc here'!$C$2,1+(('table for research'!$B588-456)*36+HEX2DEC('table for research'!Y$1))*2,2)</f>
        <v>00</v>
      </c>
      <c r="Z588" t="str">
        <f>MID('paste from garc here'!$C$2,1+(('table for research'!$B588-456)*36+HEX2DEC('table for research'!Z$1))*2,2)</f>
        <v>00</v>
      </c>
      <c r="AA588" t="str">
        <f>MID('paste from garc here'!$C$2,1+(('table for research'!$B588-456)*36+HEX2DEC('table for research'!AA$1))*2,2)</f>
        <v>00</v>
      </c>
      <c r="AB588" t="str">
        <f>MID('paste from garc here'!$C$2,1+(('table for research'!$B588-456)*36+HEX2DEC('table for research'!AB$1))*2,2)</f>
        <v>00</v>
      </c>
      <c r="AC588" t="str">
        <f>MID('paste from garc here'!$C$2,1+(('table for research'!$B588-456)*36+HEX2DEC('table for research'!AC$1))*2,2)</f>
        <v>00</v>
      </c>
      <c r="AD588" t="str">
        <f>MID('paste from garc here'!$C$2,1+(('table for research'!$B588-456)*36+HEX2DEC('table for research'!AD$1))*2,2)</f>
        <v>00</v>
      </c>
      <c r="AE588" t="str">
        <f>MID('paste from garc here'!$C$2,1+(('table for research'!$B588-456)*36+HEX2DEC('table for research'!AE$1))*2,2)</f>
        <v>00</v>
      </c>
      <c r="AF588" t="str">
        <f>MID('paste from garc here'!$C$2,1+(('table for research'!$B588-456)*36+HEX2DEC('table for research'!AF$1))*2,2)</f>
        <v>00</v>
      </c>
      <c r="AG588" t="str">
        <f>MID('paste from garc here'!$C$2,1+(('table for research'!$B588-456)*36+HEX2DEC('table for research'!AG$1))*2,2)</f>
        <v>00</v>
      </c>
      <c r="AH588" t="str">
        <f>MID('paste from garc here'!$C$2,1+(('table for research'!$B588-456)*36+HEX2DEC('table for research'!AH$1))*2,2)</f>
        <v>00</v>
      </c>
      <c r="AI588" t="str">
        <f>MID('paste from garc here'!$C$2,1+(('table for research'!$B588-456)*36+HEX2DEC('table for research'!AI$1))*2,2)</f>
        <v>00</v>
      </c>
      <c r="AJ588" t="str">
        <f>MID('paste from garc here'!$C$2,1+(('table for research'!$B588-456)*36+HEX2DEC('table for research'!AJ$1))*2,2)</f>
        <v>00</v>
      </c>
      <c r="AK588" t="str">
        <f>MID('paste from garc here'!$C$2,1+(('table for research'!$B588-456)*36+HEX2DEC('table for research'!AK$1))*2,2)</f>
        <v>00</v>
      </c>
      <c r="AL588" t="str">
        <f>MID('paste from garc here'!$C$2,1+(('table for research'!$B588-456)*36+HEX2DEC('table for research'!AL$1))*2,2)</f>
        <v>00</v>
      </c>
      <c r="AM588" t="str">
        <f>MID('paste from garc here'!$C$2,1+(('table for research'!$B588-456)*36+HEX2DEC('table for research'!AM$1))*2,2)</f>
        <v>00</v>
      </c>
      <c r="AN588" t="str">
        <f>MID('paste from garc here'!$C$2,1+(('table for research'!$B588-456)*36+HEX2DEC('table for research'!AN$1))*2,2)</f>
        <v>00</v>
      </c>
      <c r="AO588" t="str">
        <f>MID('paste from garc here'!$C$2,1+(('table for research'!$B588-456)*36+HEX2DEC('table for research'!AO$1))*2,2)</f>
        <v>00</v>
      </c>
    </row>
    <row r="589" spans="1:41" x14ac:dyDescent="0.4">
      <c r="A589" t="s">
        <v>591</v>
      </c>
      <c r="B589">
        <f>B588+1</f>
        <v>587</v>
      </c>
      <c r="C589" t="str">
        <f>MID('paste from garc here'!$C$2,1+(('table for research'!$B589-456)*36+HEX2DEC('table for research'!C$1))*2,2)</f>
        <v>00</v>
      </c>
      <c r="D589" t="str">
        <f>MID('paste from garc here'!$C$2,1+(('table for research'!$B589-456)*36+HEX2DEC('table for research'!D$1))*2,2)</f>
        <v>00</v>
      </c>
      <c r="E589" t="str">
        <f>MID('paste from garc here'!$C$2,1+(('table for research'!$B589-456)*36+HEX2DEC('table for research'!E$1))*2,2)</f>
        <v>00</v>
      </c>
      <c r="F589" t="str">
        <f>MID('paste from garc here'!$C$2,1+(('table for research'!$B589-456)*36+HEX2DEC('table for research'!F$1))*2,2)</f>
        <v>00</v>
      </c>
      <c r="G589" t="str">
        <f>MID('paste from garc here'!$C$2,1+(('table for research'!$B589-456)*36+HEX2DEC('table for research'!G$1))*2,2)</f>
        <v>00</v>
      </c>
      <c r="H589" t="str">
        <f>MID('paste from garc here'!$C$2,1+(('table for research'!$B589-456)*36+HEX2DEC('table for research'!H$1))*2,2)</f>
        <v>00</v>
      </c>
      <c r="I589" t="str">
        <f>MID('paste from garc here'!$C$2,1+(('table for research'!$B589-456)*36+HEX2DEC('table for research'!I$1))*2,2)</f>
        <v>1E</v>
      </c>
      <c r="J589" t="str">
        <f>MID('paste from garc here'!$C$2,1+(('table for research'!$B589-456)*36+HEX2DEC('table for research'!J$1))*2,2)</f>
        <v>00</v>
      </c>
      <c r="K589" t="str">
        <f>DEC2HEX(_xlfn.BITAND(HEX2DEC(MID('paste from garc here'!$C$1,1+(('table for research'!$B589-1)*36+HEX2DEC(8))*2,2)),31),2)</f>
        <v>00</v>
      </c>
      <c r="L589" t="str">
        <f>DEC2HEX(_xlfn.BITAND(HEX2DEC(MID('paste from garc here'!$C$1,1+(('table for research'!$B589-1)*36+HEX2DEC(8))*2,2)),32),2)</f>
        <v>00</v>
      </c>
      <c r="M589" t="str">
        <f>DEC2HEX(_xlfn.BITAND(HEX2DEC(MID('paste from garc here'!$C$1,1+(('table for research'!$B589-1)*36+HEX2DEC(8))*2,2)),64),2)</f>
        <v>00</v>
      </c>
      <c r="N589" t="str">
        <f>DEC2HEX(_xlfn.BITRSHIFT(_xlfn.BITAND(HEX2DEC(MID('paste from garc here'!$C$1,1+(('table for research'!$B589-1)*36+HEX2DEC(9))*2,2)&amp;MID('paste from garc here'!$C$1,1+(('table for research'!$B589-1)*36+HEX2DEC(8))*2,2)),1920),7),2)</f>
        <v>00</v>
      </c>
      <c r="O589" t="str">
        <f>DEC2HEX(_xlfn.BITRSHIFT(HEX2DEC(MID('paste from garc here'!$C$1,1+(('table for research'!$B589-1)*36+HEX2DEC(9))*2,2)&amp;MID('paste from garc here'!$C$1,1+(('table for research'!$B589-1)*36+HEX2DEC(8))*2,2)),11),2)</f>
        <v>00</v>
      </c>
      <c r="P589" t="str">
        <f>MID('paste from garc here'!$C$2,1+(('table for research'!$B589-456)*36+HEX2DEC('table for research'!P$1))*2,2)</f>
        <v>00</v>
      </c>
      <c r="Q589" t="str">
        <f>MID('paste from garc here'!$C$2,1+(('table for research'!$B589-456)*36+HEX2DEC('table for research'!Q$1))*2,2)</f>
        <v>00</v>
      </c>
      <c r="R589" t="str">
        <f>MID('paste from garc here'!$C$2,1+(('table for research'!$B589-456)*36+HEX2DEC('table for research'!R$1))*2,2)</f>
        <v>01</v>
      </c>
      <c r="S589" t="str">
        <f>MID('paste from garc here'!$C$2,1+(('table for research'!$B589-456)*36+HEX2DEC('table for research'!S$1))*2,2)</f>
        <v>02</v>
      </c>
      <c r="T589" t="str">
        <f>MID('paste from garc here'!$C$2,1+(('table for research'!$B589-456)*36+HEX2DEC('table for research'!T$1))*2,2)</f>
        <v>00</v>
      </c>
      <c r="U589" t="str">
        <f>MID('paste from garc here'!$C$2,1+(('table for research'!$B589-456)*36+HEX2DEC('table for research'!U$1))*2,2)</f>
        <v>35</v>
      </c>
      <c r="V589" t="str">
        <f>MID('paste from garc here'!$C$2,1+(('table for research'!$B589-456)*36+HEX2DEC('table for research'!V$1))*2,2)</f>
        <v>00</v>
      </c>
      <c r="W589" t="str">
        <f>MID('paste from garc here'!$C$2,1+(('table for research'!$B589-456)*36+HEX2DEC('table for research'!W$1))*2,2)</f>
        <v>00</v>
      </c>
      <c r="X589" t="str">
        <f>MID('paste from garc here'!$C$2,1+(('table for research'!$B589-456)*36+HEX2DEC('table for research'!X$1))*2,2)</f>
        <v>00</v>
      </c>
      <c r="Y589" t="str">
        <f>MID('paste from garc here'!$C$2,1+(('table for research'!$B589-456)*36+HEX2DEC('table for research'!Y$1))*2,2)</f>
        <v>00</v>
      </c>
      <c r="Z589" t="str">
        <f>MID('paste from garc here'!$C$2,1+(('table for research'!$B589-456)*36+HEX2DEC('table for research'!Z$1))*2,2)</f>
        <v>00</v>
      </c>
      <c r="AA589" t="str">
        <f>MID('paste from garc here'!$C$2,1+(('table for research'!$B589-456)*36+HEX2DEC('table for research'!AA$1))*2,2)</f>
        <v>00</v>
      </c>
      <c r="AB589" t="str">
        <f>MID('paste from garc here'!$C$2,1+(('table for research'!$B589-456)*36+HEX2DEC('table for research'!AB$1))*2,2)</f>
        <v>00</v>
      </c>
      <c r="AC589" t="str">
        <f>MID('paste from garc here'!$C$2,1+(('table for research'!$B589-456)*36+HEX2DEC('table for research'!AC$1))*2,2)</f>
        <v>00</v>
      </c>
      <c r="AD589" t="str">
        <f>MID('paste from garc here'!$C$2,1+(('table for research'!$B589-456)*36+HEX2DEC('table for research'!AD$1))*2,2)</f>
        <v>00</v>
      </c>
      <c r="AE589" t="str">
        <f>MID('paste from garc here'!$C$2,1+(('table for research'!$B589-456)*36+HEX2DEC('table for research'!AE$1))*2,2)</f>
        <v>00</v>
      </c>
      <c r="AF589" t="str">
        <f>MID('paste from garc here'!$C$2,1+(('table for research'!$B589-456)*36+HEX2DEC('table for research'!AF$1))*2,2)</f>
        <v>00</v>
      </c>
      <c r="AG589" t="str">
        <f>MID('paste from garc here'!$C$2,1+(('table for research'!$B589-456)*36+HEX2DEC('table for research'!AG$1))*2,2)</f>
        <v>00</v>
      </c>
      <c r="AH589" t="str">
        <f>MID('paste from garc here'!$C$2,1+(('table for research'!$B589-456)*36+HEX2DEC('table for research'!AH$1))*2,2)</f>
        <v>00</v>
      </c>
      <c r="AI589" t="str">
        <f>MID('paste from garc here'!$C$2,1+(('table for research'!$B589-456)*36+HEX2DEC('table for research'!AI$1))*2,2)</f>
        <v>00</v>
      </c>
      <c r="AJ589" t="str">
        <f>MID('paste from garc here'!$C$2,1+(('table for research'!$B589-456)*36+HEX2DEC('table for research'!AJ$1))*2,2)</f>
        <v>00</v>
      </c>
      <c r="AK589" t="str">
        <f>MID('paste from garc here'!$C$2,1+(('table for research'!$B589-456)*36+HEX2DEC('table for research'!AK$1))*2,2)</f>
        <v>00</v>
      </c>
      <c r="AL589" t="str">
        <f>MID('paste from garc here'!$C$2,1+(('table for research'!$B589-456)*36+HEX2DEC('table for research'!AL$1))*2,2)</f>
        <v>00</v>
      </c>
      <c r="AM589" t="str">
        <f>MID('paste from garc here'!$C$2,1+(('table for research'!$B589-456)*36+HEX2DEC('table for research'!AM$1))*2,2)</f>
        <v>00</v>
      </c>
      <c r="AN589" t="str">
        <f>MID('paste from garc here'!$C$2,1+(('table for research'!$B589-456)*36+HEX2DEC('table for research'!AN$1))*2,2)</f>
        <v>00</v>
      </c>
      <c r="AO589" t="str">
        <f>MID('paste from garc here'!$C$2,1+(('table for research'!$B589-456)*36+HEX2DEC('table for research'!AO$1))*2,2)</f>
        <v>00</v>
      </c>
    </row>
    <row r="590" spans="1:41" x14ac:dyDescent="0.4">
      <c r="A590" t="s">
        <v>592</v>
      </c>
      <c r="B590">
        <f>B589+1</f>
        <v>588</v>
      </c>
      <c r="C590" t="str">
        <f>MID('paste from garc here'!$C$2,1+(('table for research'!$B590-456)*36+HEX2DEC('table for research'!C$1))*2,2)</f>
        <v>00</v>
      </c>
      <c r="D590" t="str">
        <f>MID('paste from garc here'!$C$2,1+(('table for research'!$B590-456)*36+HEX2DEC('table for research'!D$1))*2,2)</f>
        <v>00</v>
      </c>
      <c r="E590" t="str">
        <f>MID('paste from garc here'!$C$2,1+(('table for research'!$B590-456)*36+HEX2DEC('table for research'!E$1))*2,2)</f>
        <v>00</v>
      </c>
      <c r="F590" t="str">
        <f>MID('paste from garc here'!$C$2,1+(('table for research'!$B590-456)*36+HEX2DEC('table for research'!F$1))*2,2)</f>
        <v>00</v>
      </c>
      <c r="G590" t="str">
        <f>MID('paste from garc here'!$C$2,1+(('table for research'!$B590-456)*36+HEX2DEC('table for research'!G$1))*2,2)</f>
        <v>00</v>
      </c>
      <c r="H590" t="str">
        <f>MID('paste from garc here'!$C$2,1+(('table for research'!$B590-456)*36+HEX2DEC('table for research'!H$1))*2,2)</f>
        <v>00</v>
      </c>
      <c r="I590" t="str">
        <f>MID('paste from garc here'!$C$2,1+(('table for research'!$B590-456)*36+HEX2DEC('table for research'!I$1))*2,2)</f>
        <v>1E</v>
      </c>
      <c r="J590" t="str">
        <f>MID('paste from garc here'!$C$2,1+(('table for research'!$B590-456)*36+HEX2DEC('table for research'!J$1))*2,2)</f>
        <v>00</v>
      </c>
      <c r="K590" t="str">
        <f>DEC2HEX(_xlfn.BITAND(HEX2DEC(MID('paste from garc here'!$C$1,1+(('table for research'!$B590-1)*36+HEX2DEC(8))*2,2)),31),2)</f>
        <v>00</v>
      </c>
      <c r="L590" t="str">
        <f>DEC2HEX(_xlfn.BITAND(HEX2DEC(MID('paste from garc here'!$C$1,1+(('table for research'!$B590-1)*36+HEX2DEC(8))*2,2)),32),2)</f>
        <v>00</v>
      </c>
      <c r="M590" t="str">
        <f>DEC2HEX(_xlfn.BITAND(HEX2DEC(MID('paste from garc here'!$C$1,1+(('table for research'!$B590-1)*36+HEX2DEC(8))*2,2)),64),2)</f>
        <v>00</v>
      </c>
      <c r="N590" t="str">
        <f>DEC2HEX(_xlfn.BITRSHIFT(_xlfn.BITAND(HEX2DEC(MID('paste from garc here'!$C$1,1+(('table for research'!$B590-1)*36+HEX2DEC(9))*2,2)&amp;MID('paste from garc here'!$C$1,1+(('table for research'!$B590-1)*36+HEX2DEC(8))*2,2)),1920),7),2)</f>
        <v>00</v>
      </c>
      <c r="O590" t="str">
        <f>DEC2HEX(_xlfn.BITRSHIFT(HEX2DEC(MID('paste from garc here'!$C$1,1+(('table for research'!$B590-1)*36+HEX2DEC(9))*2,2)&amp;MID('paste from garc here'!$C$1,1+(('table for research'!$B590-1)*36+HEX2DEC(8))*2,2)),11),2)</f>
        <v>00</v>
      </c>
      <c r="P590" t="str">
        <f>MID('paste from garc here'!$C$2,1+(('table for research'!$B590-456)*36+HEX2DEC('table for research'!P$1))*2,2)</f>
        <v>00</v>
      </c>
      <c r="Q590" t="str">
        <f>MID('paste from garc here'!$C$2,1+(('table for research'!$B590-456)*36+HEX2DEC('table for research'!Q$1))*2,2)</f>
        <v>00</v>
      </c>
      <c r="R590" t="str">
        <f>MID('paste from garc here'!$C$2,1+(('table for research'!$B590-456)*36+HEX2DEC('table for research'!R$1))*2,2)</f>
        <v>01</v>
      </c>
      <c r="S590" t="str">
        <f>MID('paste from garc here'!$C$2,1+(('table for research'!$B590-456)*36+HEX2DEC('table for research'!S$1))*2,2)</f>
        <v>02</v>
      </c>
      <c r="T590" t="str">
        <f>MID('paste from garc here'!$C$2,1+(('table for research'!$B590-456)*36+HEX2DEC('table for research'!T$1))*2,2)</f>
        <v>00</v>
      </c>
      <c r="U590" t="str">
        <f>MID('paste from garc here'!$C$2,1+(('table for research'!$B590-456)*36+HEX2DEC('table for research'!U$1))*2,2)</f>
        <v>36</v>
      </c>
      <c r="V590" t="str">
        <f>MID('paste from garc here'!$C$2,1+(('table for research'!$B590-456)*36+HEX2DEC('table for research'!V$1))*2,2)</f>
        <v>00</v>
      </c>
      <c r="W590" t="str">
        <f>MID('paste from garc here'!$C$2,1+(('table for research'!$B590-456)*36+HEX2DEC('table for research'!W$1))*2,2)</f>
        <v>00</v>
      </c>
      <c r="X590" t="str">
        <f>MID('paste from garc here'!$C$2,1+(('table for research'!$B590-456)*36+HEX2DEC('table for research'!X$1))*2,2)</f>
        <v>00</v>
      </c>
      <c r="Y590" t="str">
        <f>MID('paste from garc here'!$C$2,1+(('table for research'!$B590-456)*36+HEX2DEC('table for research'!Y$1))*2,2)</f>
        <v>00</v>
      </c>
      <c r="Z590" t="str">
        <f>MID('paste from garc here'!$C$2,1+(('table for research'!$B590-456)*36+HEX2DEC('table for research'!Z$1))*2,2)</f>
        <v>00</v>
      </c>
      <c r="AA590" t="str">
        <f>MID('paste from garc here'!$C$2,1+(('table for research'!$B590-456)*36+HEX2DEC('table for research'!AA$1))*2,2)</f>
        <v>00</v>
      </c>
      <c r="AB590" t="str">
        <f>MID('paste from garc here'!$C$2,1+(('table for research'!$B590-456)*36+HEX2DEC('table for research'!AB$1))*2,2)</f>
        <v>00</v>
      </c>
      <c r="AC590" t="str">
        <f>MID('paste from garc here'!$C$2,1+(('table for research'!$B590-456)*36+HEX2DEC('table for research'!AC$1))*2,2)</f>
        <v>00</v>
      </c>
      <c r="AD590" t="str">
        <f>MID('paste from garc here'!$C$2,1+(('table for research'!$B590-456)*36+HEX2DEC('table for research'!AD$1))*2,2)</f>
        <v>00</v>
      </c>
      <c r="AE590" t="str">
        <f>MID('paste from garc here'!$C$2,1+(('table for research'!$B590-456)*36+HEX2DEC('table for research'!AE$1))*2,2)</f>
        <v>00</v>
      </c>
      <c r="AF590" t="str">
        <f>MID('paste from garc here'!$C$2,1+(('table for research'!$B590-456)*36+HEX2DEC('table for research'!AF$1))*2,2)</f>
        <v>00</v>
      </c>
      <c r="AG590" t="str">
        <f>MID('paste from garc here'!$C$2,1+(('table for research'!$B590-456)*36+HEX2DEC('table for research'!AG$1))*2,2)</f>
        <v>00</v>
      </c>
      <c r="AH590" t="str">
        <f>MID('paste from garc here'!$C$2,1+(('table for research'!$B590-456)*36+HEX2DEC('table for research'!AH$1))*2,2)</f>
        <v>00</v>
      </c>
      <c r="AI590" t="str">
        <f>MID('paste from garc here'!$C$2,1+(('table for research'!$B590-456)*36+HEX2DEC('table for research'!AI$1))*2,2)</f>
        <v>00</v>
      </c>
      <c r="AJ590" t="str">
        <f>MID('paste from garc here'!$C$2,1+(('table for research'!$B590-456)*36+HEX2DEC('table for research'!AJ$1))*2,2)</f>
        <v>00</v>
      </c>
      <c r="AK590" t="str">
        <f>MID('paste from garc here'!$C$2,1+(('table for research'!$B590-456)*36+HEX2DEC('table for research'!AK$1))*2,2)</f>
        <v>00</v>
      </c>
      <c r="AL590" t="str">
        <f>MID('paste from garc here'!$C$2,1+(('table for research'!$B590-456)*36+HEX2DEC('table for research'!AL$1))*2,2)</f>
        <v>00</v>
      </c>
      <c r="AM590" t="str">
        <f>MID('paste from garc here'!$C$2,1+(('table for research'!$B590-456)*36+HEX2DEC('table for research'!AM$1))*2,2)</f>
        <v>00</v>
      </c>
      <c r="AN590" t="str">
        <f>MID('paste from garc here'!$C$2,1+(('table for research'!$B590-456)*36+HEX2DEC('table for research'!AN$1))*2,2)</f>
        <v>00</v>
      </c>
      <c r="AO590" t="str">
        <f>MID('paste from garc here'!$C$2,1+(('table for research'!$B590-456)*36+HEX2DEC('table for research'!AO$1))*2,2)</f>
        <v>00</v>
      </c>
    </row>
    <row r="591" spans="1:41" x14ac:dyDescent="0.4">
      <c r="A591" t="s">
        <v>593</v>
      </c>
      <c r="B591">
        <f>B590+1</f>
        <v>589</v>
      </c>
      <c r="C591" t="str">
        <f>MID('paste from garc here'!$C$2,1+(('table for research'!$B591-456)*36+HEX2DEC('table for research'!C$1))*2,2)</f>
        <v>00</v>
      </c>
      <c r="D591" t="str">
        <f>MID('paste from garc here'!$C$2,1+(('table for research'!$B591-456)*36+HEX2DEC('table for research'!D$1))*2,2)</f>
        <v>00</v>
      </c>
      <c r="E591" t="str">
        <f>MID('paste from garc here'!$C$2,1+(('table for research'!$B591-456)*36+HEX2DEC('table for research'!E$1))*2,2)</f>
        <v>00</v>
      </c>
      <c r="F591" t="str">
        <f>MID('paste from garc here'!$C$2,1+(('table for research'!$B591-456)*36+HEX2DEC('table for research'!F$1))*2,2)</f>
        <v>00</v>
      </c>
      <c r="G591" t="str">
        <f>MID('paste from garc here'!$C$2,1+(('table for research'!$B591-456)*36+HEX2DEC('table for research'!G$1))*2,2)</f>
        <v>00</v>
      </c>
      <c r="H591" t="str">
        <f>MID('paste from garc here'!$C$2,1+(('table for research'!$B591-456)*36+HEX2DEC('table for research'!H$1))*2,2)</f>
        <v>00</v>
      </c>
      <c r="I591" t="str">
        <f>MID('paste from garc here'!$C$2,1+(('table for research'!$B591-456)*36+HEX2DEC('table for research'!I$1))*2,2)</f>
        <v>1E</v>
      </c>
      <c r="J591" t="str">
        <f>MID('paste from garc here'!$C$2,1+(('table for research'!$B591-456)*36+HEX2DEC('table for research'!J$1))*2,2)</f>
        <v>00</v>
      </c>
      <c r="K591" t="str">
        <f>DEC2HEX(_xlfn.BITAND(HEX2DEC(MID('paste from garc here'!$C$1,1+(('table for research'!$B591-1)*36+HEX2DEC(8))*2,2)),31),2)</f>
        <v>00</v>
      </c>
      <c r="L591" t="str">
        <f>DEC2HEX(_xlfn.BITAND(HEX2DEC(MID('paste from garc here'!$C$1,1+(('table for research'!$B591-1)*36+HEX2DEC(8))*2,2)),32),2)</f>
        <v>00</v>
      </c>
      <c r="M591" t="str">
        <f>DEC2HEX(_xlfn.BITAND(HEX2DEC(MID('paste from garc here'!$C$1,1+(('table for research'!$B591-1)*36+HEX2DEC(8))*2,2)),64),2)</f>
        <v>00</v>
      </c>
      <c r="N591" t="str">
        <f>DEC2HEX(_xlfn.BITRSHIFT(_xlfn.BITAND(HEX2DEC(MID('paste from garc here'!$C$1,1+(('table for research'!$B591-1)*36+HEX2DEC(9))*2,2)&amp;MID('paste from garc here'!$C$1,1+(('table for research'!$B591-1)*36+HEX2DEC(8))*2,2)),1920),7),2)</f>
        <v>00</v>
      </c>
      <c r="O591" t="str">
        <f>DEC2HEX(_xlfn.BITRSHIFT(HEX2DEC(MID('paste from garc here'!$C$1,1+(('table for research'!$B591-1)*36+HEX2DEC(9))*2,2)&amp;MID('paste from garc here'!$C$1,1+(('table for research'!$B591-1)*36+HEX2DEC(8))*2,2)),11),2)</f>
        <v>00</v>
      </c>
      <c r="P591" t="str">
        <f>MID('paste from garc here'!$C$2,1+(('table for research'!$B591-456)*36+HEX2DEC('table for research'!P$1))*2,2)</f>
        <v>00</v>
      </c>
      <c r="Q591" t="str">
        <f>MID('paste from garc here'!$C$2,1+(('table for research'!$B591-456)*36+HEX2DEC('table for research'!Q$1))*2,2)</f>
        <v>00</v>
      </c>
      <c r="R591" t="str">
        <f>MID('paste from garc here'!$C$2,1+(('table for research'!$B591-456)*36+HEX2DEC('table for research'!R$1))*2,2)</f>
        <v>01</v>
      </c>
      <c r="S591" t="str">
        <f>MID('paste from garc here'!$C$2,1+(('table for research'!$B591-456)*36+HEX2DEC('table for research'!S$1))*2,2)</f>
        <v>02</v>
      </c>
      <c r="T591" t="str">
        <f>MID('paste from garc here'!$C$2,1+(('table for research'!$B591-456)*36+HEX2DEC('table for research'!T$1))*2,2)</f>
        <v>00</v>
      </c>
      <c r="U591" t="str">
        <f>MID('paste from garc here'!$C$2,1+(('table for research'!$B591-456)*36+HEX2DEC('table for research'!U$1))*2,2)</f>
        <v>37</v>
      </c>
      <c r="V591" t="str">
        <f>MID('paste from garc here'!$C$2,1+(('table for research'!$B591-456)*36+HEX2DEC('table for research'!V$1))*2,2)</f>
        <v>00</v>
      </c>
      <c r="W591" t="str">
        <f>MID('paste from garc here'!$C$2,1+(('table for research'!$B591-456)*36+HEX2DEC('table for research'!W$1))*2,2)</f>
        <v>00</v>
      </c>
      <c r="X591" t="str">
        <f>MID('paste from garc here'!$C$2,1+(('table for research'!$B591-456)*36+HEX2DEC('table for research'!X$1))*2,2)</f>
        <v>00</v>
      </c>
      <c r="Y591" t="str">
        <f>MID('paste from garc here'!$C$2,1+(('table for research'!$B591-456)*36+HEX2DEC('table for research'!Y$1))*2,2)</f>
        <v>00</v>
      </c>
      <c r="Z591" t="str">
        <f>MID('paste from garc here'!$C$2,1+(('table for research'!$B591-456)*36+HEX2DEC('table for research'!Z$1))*2,2)</f>
        <v>00</v>
      </c>
      <c r="AA591" t="str">
        <f>MID('paste from garc here'!$C$2,1+(('table for research'!$B591-456)*36+HEX2DEC('table for research'!AA$1))*2,2)</f>
        <v>00</v>
      </c>
      <c r="AB591" t="str">
        <f>MID('paste from garc here'!$C$2,1+(('table for research'!$B591-456)*36+HEX2DEC('table for research'!AB$1))*2,2)</f>
        <v>00</v>
      </c>
      <c r="AC591" t="str">
        <f>MID('paste from garc here'!$C$2,1+(('table for research'!$B591-456)*36+HEX2DEC('table for research'!AC$1))*2,2)</f>
        <v>00</v>
      </c>
      <c r="AD591" t="str">
        <f>MID('paste from garc here'!$C$2,1+(('table for research'!$B591-456)*36+HEX2DEC('table for research'!AD$1))*2,2)</f>
        <v>00</v>
      </c>
      <c r="AE591" t="str">
        <f>MID('paste from garc here'!$C$2,1+(('table for research'!$B591-456)*36+HEX2DEC('table for research'!AE$1))*2,2)</f>
        <v>00</v>
      </c>
      <c r="AF591" t="str">
        <f>MID('paste from garc here'!$C$2,1+(('table for research'!$B591-456)*36+HEX2DEC('table for research'!AF$1))*2,2)</f>
        <v>00</v>
      </c>
      <c r="AG591" t="str">
        <f>MID('paste from garc here'!$C$2,1+(('table for research'!$B591-456)*36+HEX2DEC('table for research'!AG$1))*2,2)</f>
        <v>00</v>
      </c>
      <c r="AH591" t="str">
        <f>MID('paste from garc here'!$C$2,1+(('table for research'!$B591-456)*36+HEX2DEC('table for research'!AH$1))*2,2)</f>
        <v>00</v>
      </c>
      <c r="AI591" t="str">
        <f>MID('paste from garc here'!$C$2,1+(('table for research'!$B591-456)*36+HEX2DEC('table for research'!AI$1))*2,2)</f>
        <v>00</v>
      </c>
      <c r="AJ591" t="str">
        <f>MID('paste from garc here'!$C$2,1+(('table for research'!$B591-456)*36+HEX2DEC('table for research'!AJ$1))*2,2)</f>
        <v>00</v>
      </c>
      <c r="AK591" t="str">
        <f>MID('paste from garc here'!$C$2,1+(('table for research'!$B591-456)*36+HEX2DEC('table for research'!AK$1))*2,2)</f>
        <v>00</v>
      </c>
      <c r="AL591" t="str">
        <f>MID('paste from garc here'!$C$2,1+(('table for research'!$B591-456)*36+HEX2DEC('table for research'!AL$1))*2,2)</f>
        <v>00</v>
      </c>
      <c r="AM591" t="str">
        <f>MID('paste from garc here'!$C$2,1+(('table for research'!$B591-456)*36+HEX2DEC('table for research'!AM$1))*2,2)</f>
        <v>00</v>
      </c>
      <c r="AN591" t="str">
        <f>MID('paste from garc here'!$C$2,1+(('table for research'!$B591-456)*36+HEX2DEC('table for research'!AN$1))*2,2)</f>
        <v>00</v>
      </c>
      <c r="AO591" t="str">
        <f>MID('paste from garc here'!$C$2,1+(('table for research'!$B591-456)*36+HEX2DEC('table for research'!AO$1))*2,2)</f>
        <v>00</v>
      </c>
    </row>
    <row r="592" spans="1:41" x14ac:dyDescent="0.4">
      <c r="A592" t="s">
        <v>594</v>
      </c>
      <c r="B592">
        <f>B591+1</f>
        <v>590</v>
      </c>
      <c r="C592" t="str">
        <f>MID('paste from garc here'!$C$2,1+(('table for research'!$B592-456)*36+HEX2DEC('table for research'!C$1))*2,2)</f>
        <v>00</v>
      </c>
      <c r="D592" t="str">
        <f>MID('paste from garc here'!$C$2,1+(('table for research'!$B592-456)*36+HEX2DEC('table for research'!D$1))*2,2)</f>
        <v>00</v>
      </c>
      <c r="E592" t="str">
        <f>MID('paste from garc here'!$C$2,1+(('table for research'!$B592-456)*36+HEX2DEC('table for research'!E$1))*2,2)</f>
        <v>00</v>
      </c>
      <c r="F592" t="str">
        <f>MID('paste from garc here'!$C$2,1+(('table for research'!$B592-456)*36+HEX2DEC('table for research'!F$1))*2,2)</f>
        <v>00</v>
      </c>
      <c r="G592" t="str">
        <f>MID('paste from garc here'!$C$2,1+(('table for research'!$B592-456)*36+HEX2DEC('table for research'!G$1))*2,2)</f>
        <v>00</v>
      </c>
      <c r="H592" t="str">
        <f>MID('paste from garc here'!$C$2,1+(('table for research'!$B592-456)*36+HEX2DEC('table for research'!H$1))*2,2)</f>
        <v>00</v>
      </c>
      <c r="I592" t="str">
        <f>MID('paste from garc here'!$C$2,1+(('table for research'!$B592-456)*36+HEX2DEC('table for research'!I$1))*2,2)</f>
        <v>1E</v>
      </c>
      <c r="J592" t="str">
        <f>MID('paste from garc here'!$C$2,1+(('table for research'!$B592-456)*36+HEX2DEC('table for research'!J$1))*2,2)</f>
        <v>00</v>
      </c>
      <c r="K592" t="str">
        <f>DEC2HEX(_xlfn.BITAND(HEX2DEC(MID('paste from garc here'!$C$1,1+(('table for research'!$B592-1)*36+HEX2DEC(8))*2,2)),31),2)</f>
        <v>00</v>
      </c>
      <c r="L592" t="str">
        <f>DEC2HEX(_xlfn.BITAND(HEX2DEC(MID('paste from garc here'!$C$1,1+(('table for research'!$B592-1)*36+HEX2DEC(8))*2,2)),32),2)</f>
        <v>00</v>
      </c>
      <c r="M592" t="str">
        <f>DEC2HEX(_xlfn.BITAND(HEX2DEC(MID('paste from garc here'!$C$1,1+(('table for research'!$B592-1)*36+HEX2DEC(8))*2,2)),64),2)</f>
        <v>00</v>
      </c>
      <c r="N592" t="str">
        <f>DEC2HEX(_xlfn.BITRSHIFT(_xlfn.BITAND(HEX2DEC(MID('paste from garc here'!$C$1,1+(('table for research'!$B592-1)*36+HEX2DEC(9))*2,2)&amp;MID('paste from garc here'!$C$1,1+(('table for research'!$B592-1)*36+HEX2DEC(8))*2,2)),1920),7),2)</f>
        <v>00</v>
      </c>
      <c r="O592" t="str">
        <f>DEC2HEX(_xlfn.BITRSHIFT(HEX2DEC(MID('paste from garc here'!$C$1,1+(('table for research'!$B592-1)*36+HEX2DEC(9))*2,2)&amp;MID('paste from garc here'!$C$1,1+(('table for research'!$B592-1)*36+HEX2DEC(8))*2,2)),11),2)</f>
        <v>00</v>
      </c>
      <c r="P592" t="str">
        <f>MID('paste from garc here'!$C$2,1+(('table for research'!$B592-456)*36+HEX2DEC('table for research'!P$1))*2,2)</f>
        <v>00</v>
      </c>
      <c r="Q592" t="str">
        <f>MID('paste from garc here'!$C$2,1+(('table for research'!$B592-456)*36+HEX2DEC('table for research'!Q$1))*2,2)</f>
        <v>00</v>
      </c>
      <c r="R592" t="str">
        <f>MID('paste from garc here'!$C$2,1+(('table for research'!$B592-456)*36+HEX2DEC('table for research'!R$1))*2,2)</f>
        <v>01</v>
      </c>
      <c r="S592" t="str">
        <f>MID('paste from garc here'!$C$2,1+(('table for research'!$B592-456)*36+HEX2DEC('table for research'!S$1))*2,2)</f>
        <v>02</v>
      </c>
      <c r="T592" t="str">
        <f>MID('paste from garc here'!$C$2,1+(('table for research'!$B592-456)*36+HEX2DEC('table for research'!T$1))*2,2)</f>
        <v>00</v>
      </c>
      <c r="U592" t="str">
        <f>MID('paste from garc here'!$C$2,1+(('table for research'!$B592-456)*36+HEX2DEC('table for research'!U$1))*2,2)</f>
        <v>38</v>
      </c>
      <c r="V592" t="str">
        <f>MID('paste from garc here'!$C$2,1+(('table for research'!$B592-456)*36+HEX2DEC('table for research'!V$1))*2,2)</f>
        <v>00</v>
      </c>
      <c r="W592" t="str">
        <f>MID('paste from garc here'!$C$2,1+(('table for research'!$B592-456)*36+HEX2DEC('table for research'!W$1))*2,2)</f>
        <v>00</v>
      </c>
      <c r="X592" t="str">
        <f>MID('paste from garc here'!$C$2,1+(('table for research'!$B592-456)*36+HEX2DEC('table for research'!X$1))*2,2)</f>
        <v>00</v>
      </c>
      <c r="Y592" t="str">
        <f>MID('paste from garc here'!$C$2,1+(('table for research'!$B592-456)*36+HEX2DEC('table for research'!Y$1))*2,2)</f>
        <v>00</v>
      </c>
      <c r="Z592" t="str">
        <f>MID('paste from garc here'!$C$2,1+(('table for research'!$B592-456)*36+HEX2DEC('table for research'!Z$1))*2,2)</f>
        <v>00</v>
      </c>
      <c r="AA592" t="str">
        <f>MID('paste from garc here'!$C$2,1+(('table for research'!$B592-456)*36+HEX2DEC('table for research'!AA$1))*2,2)</f>
        <v>00</v>
      </c>
      <c r="AB592" t="str">
        <f>MID('paste from garc here'!$C$2,1+(('table for research'!$B592-456)*36+HEX2DEC('table for research'!AB$1))*2,2)</f>
        <v>00</v>
      </c>
      <c r="AC592" t="str">
        <f>MID('paste from garc here'!$C$2,1+(('table for research'!$B592-456)*36+HEX2DEC('table for research'!AC$1))*2,2)</f>
        <v>00</v>
      </c>
      <c r="AD592" t="str">
        <f>MID('paste from garc here'!$C$2,1+(('table for research'!$B592-456)*36+HEX2DEC('table for research'!AD$1))*2,2)</f>
        <v>00</v>
      </c>
      <c r="AE592" t="str">
        <f>MID('paste from garc here'!$C$2,1+(('table for research'!$B592-456)*36+HEX2DEC('table for research'!AE$1))*2,2)</f>
        <v>00</v>
      </c>
      <c r="AF592" t="str">
        <f>MID('paste from garc here'!$C$2,1+(('table for research'!$B592-456)*36+HEX2DEC('table for research'!AF$1))*2,2)</f>
        <v>00</v>
      </c>
      <c r="AG592" t="str">
        <f>MID('paste from garc here'!$C$2,1+(('table for research'!$B592-456)*36+HEX2DEC('table for research'!AG$1))*2,2)</f>
        <v>00</v>
      </c>
      <c r="AH592" t="str">
        <f>MID('paste from garc here'!$C$2,1+(('table for research'!$B592-456)*36+HEX2DEC('table for research'!AH$1))*2,2)</f>
        <v>00</v>
      </c>
      <c r="AI592" t="str">
        <f>MID('paste from garc here'!$C$2,1+(('table for research'!$B592-456)*36+HEX2DEC('table for research'!AI$1))*2,2)</f>
        <v>00</v>
      </c>
      <c r="AJ592" t="str">
        <f>MID('paste from garc here'!$C$2,1+(('table for research'!$B592-456)*36+HEX2DEC('table for research'!AJ$1))*2,2)</f>
        <v>00</v>
      </c>
      <c r="AK592" t="str">
        <f>MID('paste from garc here'!$C$2,1+(('table for research'!$B592-456)*36+HEX2DEC('table for research'!AK$1))*2,2)</f>
        <v>00</v>
      </c>
      <c r="AL592" t="str">
        <f>MID('paste from garc here'!$C$2,1+(('table for research'!$B592-456)*36+HEX2DEC('table for research'!AL$1))*2,2)</f>
        <v>00</v>
      </c>
      <c r="AM592" t="str">
        <f>MID('paste from garc here'!$C$2,1+(('table for research'!$B592-456)*36+HEX2DEC('table for research'!AM$1))*2,2)</f>
        <v>00</v>
      </c>
      <c r="AN592" t="str">
        <f>MID('paste from garc here'!$C$2,1+(('table for research'!$B592-456)*36+HEX2DEC('table for research'!AN$1))*2,2)</f>
        <v>00</v>
      </c>
      <c r="AO592" t="str">
        <f>MID('paste from garc here'!$C$2,1+(('table for research'!$B592-456)*36+HEX2DEC('table for research'!AO$1))*2,2)</f>
        <v>00</v>
      </c>
    </row>
    <row r="593" spans="1:41" x14ac:dyDescent="0.4">
      <c r="A593" t="s">
        <v>595</v>
      </c>
      <c r="B593">
        <f>B592+1</f>
        <v>591</v>
      </c>
      <c r="C593" t="str">
        <f>MID('paste from garc here'!$C$2,1+(('table for research'!$B593-456)*36+HEX2DEC('table for research'!C$1))*2,2)</f>
        <v>23</v>
      </c>
      <c r="D593" t="str">
        <f>MID('paste from garc here'!$C$2,1+(('table for research'!$B593-456)*36+HEX2DEC('table for research'!D$1))*2,2)</f>
        <v>00</v>
      </c>
      <c r="E593" t="str">
        <f>MID('paste from garc here'!$C$2,1+(('table for research'!$B593-456)*36+HEX2DEC('table for research'!E$1))*2,2)</f>
        <v>00</v>
      </c>
      <c r="F593" t="str">
        <f>MID('paste from garc here'!$C$2,1+(('table for research'!$B593-456)*36+HEX2DEC('table for research'!F$1))*2,2)</f>
        <v>00</v>
      </c>
      <c r="G593" t="str">
        <f>MID('paste from garc here'!$C$2,1+(('table for research'!$B593-456)*36+HEX2DEC('table for research'!G$1))*2,2)</f>
        <v>00</v>
      </c>
      <c r="H593" t="str">
        <f>MID('paste from garc here'!$C$2,1+(('table for research'!$B593-456)*36+HEX2DEC('table for research'!H$1))*2,2)</f>
        <v>00</v>
      </c>
      <c r="I593" t="str">
        <f>MID('paste from garc here'!$C$2,1+(('table for research'!$B593-456)*36+HEX2DEC('table for research'!I$1))*2,2)</f>
        <v>1E</v>
      </c>
      <c r="J593" t="str">
        <f>MID('paste from garc here'!$C$2,1+(('table for research'!$B593-456)*36+HEX2DEC('table for research'!J$1))*2,2)</f>
        <v>00</v>
      </c>
      <c r="K593" t="str">
        <f>DEC2HEX(_xlfn.BITAND(HEX2DEC(MID('paste from garc here'!$C$1,1+(('table for research'!$B593-1)*36+HEX2DEC(8))*2,2)),31),2)</f>
        <v>00</v>
      </c>
      <c r="L593" t="str">
        <f>DEC2HEX(_xlfn.BITAND(HEX2DEC(MID('paste from garc here'!$C$1,1+(('table for research'!$B593-1)*36+HEX2DEC(8))*2,2)),32),2)</f>
        <v>00</v>
      </c>
      <c r="M593" t="str">
        <f>DEC2HEX(_xlfn.BITAND(HEX2DEC(MID('paste from garc here'!$C$1,1+(('table for research'!$B593-1)*36+HEX2DEC(8))*2,2)),64),2)</f>
        <v>00</v>
      </c>
      <c r="N593" t="str">
        <f>DEC2HEX(_xlfn.BITRSHIFT(_xlfn.BITAND(HEX2DEC(MID('paste from garc here'!$C$1,1+(('table for research'!$B593-1)*36+HEX2DEC(9))*2,2)&amp;MID('paste from garc here'!$C$1,1+(('table for research'!$B593-1)*36+HEX2DEC(8))*2,2)),1920),7),2)</f>
        <v>00</v>
      </c>
      <c r="O593" t="str">
        <f>DEC2HEX(_xlfn.BITRSHIFT(HEX2DEC(MID('paste from garc here'!$C$1,1+(('table for research'!$B593-1)*36+HEX2DEC(9))*2,2)&amp;MID('paste from garc here'!$C$1,1+(('table for research'!$B593-1)*36+HEX2DEC(8))*2,2)),11),2)</f>
        <v>00</v>
      </c>
      <c r="P593" t="str">
        <f>MID('paste from garc here'!$C$2,1+(('table for research'!$B593-456)*36+HEX2DEC('table for research'!P$1))*2,2)</f>
        <v>01</v>
      </c>
      <c r="Q593" t="str">
        <f>MID('paste from garc here'!$C$2,1+(('table for research'!$B593-456)*36+HEX2DEC('table for research'!Q$1))*2,2)</f>
        <v>02</v>
      </c>
      <c r="R593" t="str">
        <f>MID('paste from garc here'!$C$2,1+(('table for research'!$B593-456)*36+HEX2DEC('table for research'!R$1))*2,2)</f>
        <v>01</v>
      </c>
      <c r="S593" t="str">
        <f>MID('paste from garc here'!$C$2,1+(('table for research'!$B593-456)*36+HEX2DEC('table for research'!S$1))*2,2)</f>
        <v>00</v>
      </c>
      <c r="T593" t="str">
        <f>MID('paste from garc here'!$C$2,1+(('table for research'!$B593-456)*36+HEX2DEC('table for research'!T$1))*2,2)</f>
        <v>00</v>
      </c>
      <c r="U593" t="str">
        <f>MID('paste from garc here'!$C$2,1+(('table for research'!$B593-456)*36+HEX2DEC('table for research'!U$1))*2,2)</f>
        <v>1E</v>
      </c>
      <c r="V593" t="str">
        <f>MID('paste from garc here'!$C$2,1+(('table for research'!$B593-456)*36+HEX2DEC('table for research'!V$1))*2,2)</f>
        <v>3F</v>
      </c>
      <c r="W593" t="str">
        <f>MID('paste from garc here'!$C$2,1+(('table for research'!$B593-456)*36+HEX2DEC('table for research'!W$1))*2,2)</f>
        <v>00</v>
      </c>
      <c r="X593" t="str">
        <f>MID('paste from garc here'!$C$2,1+(('table for research'!$B593-456)*36+HEX2DEC('table for research'!X$1))*2,2)</f>
        <v>00</v>
      </c>
      <c r="Y593" t="str">
        <f>MID('paste from garc here'!$C$2,1+(('table for research'!$B593-456)*36+HEX2DEC('table for research'!Y$1))*2,2)</f>
        <v>00</v>
      </c>
      <c r="Z593" t="str">
        <f>MID('paste from garc here'!$C$2,1+(('table for research'!$B593-456)*36+HEX2DEC('table for research'!Z$1))*2,2)</f>
        <v>00</v>
      </c>
      <c r="AA593" t="str">
        <f>MID('paste from garc here'!$C$2,1+(('table for research'!$B593-456)*36+HEX2DEC('table for research'!AA$1))*2,2)</f>
        <v>00</v>
      </c>
      <c r="AB593" t="str">
        <f>MID('paste from garc here'!$C$2,1+(('table for research'!$B593-456)*36+HEX2DEC('table for research'!AB$1))*2,2)</f>
        <v>00</v>
      </c>
      <c r="AC593" t="str">
        <f>MID('paste from garc here'!$C$2,1+(('table for research'!$B593-456)*36+HEX2DEC('table for research'!AC$1))*2,2)</f>
        <v>00</v>
      </c>
      <c r="AD593" t="str">
        <f>MID('paste from garc here'!$C$2,1+(('table for research'!$B593-456)*36+HEX2DEC('table for research'!AD$1))*2,2)</f>
        <v>00</v>
      </c>
      <c r="AE593" t="str">
        <f>MID('paste from garc here'!$C$2,1+(('table for research'!$B593-456)*36+HEX2DEC('table for research'!AE$1))*2,2)</f>
        <v>00</v>
      </c>
      <c r="AF593" t="str">
        <f>MID('paste from garc here'!$C$2,1+(('table for research'!$B593-456)*36+HEX2DEC('table for research'!AF$1))*2,2)</f>
        <v>00</v>
      </c>
      <c r="AG593" t="str">
        <f>MID('paste from garc here'!$C$2,1+(('table for research'!$B593-456)*36+HEX2DEC('table for research'!AG$1))*2,2)</f>
        <v>00</v>
      </c>
      <c r="AH593" t="str">
        <f>MID('paste from garc here'!$C$2,1+(('table for research'!$B593-456)*36+HEX2DEC('table for research'!AH$1))*2,2)</f>
        <v>00</v>
      </c>
      <c r="AI593" t="str">
        <f>MID('paste from garc here'!$C$2,1+(('table for research'!$B593-456)*36+HEX2DEC('table for research'!AI$1))*2,2)</f>
        <v>00</v>
      </c>
      <c r="AJ593" t="str">
        <f>MID('paste from garc here'!$C$2,1+(('table for research'!$B593-456)*36+HEX2DEC('table for research'!AJ$1))*2,2)</f>
        <v>00</v>
      </c>
      <c r="AK593" t="str">
        <f>MID('paste from garc here'!$C$2,1+(('table for research'!$B593-456)*36+HEX2DEC('table for research'!AK$1))*2,2)</f>
        <v>00</v>
      </c>
      <c r="AL593" t="str">
        <f>MID('paste from garc here'!$C$2,1+(('table for research'!$B593-456)*36+HEX2DEC('table for research'!AL$1))*2,2)</f>
        <v>00</v>
      </c>
      <c r="AM593" t="str">
        <f>MID('paste from garc here'!$C$2,1+(('table for research'!$B593-456)*36+HEX2DEC('table for research'!AM$1))*2,2)</f>
        <v>00</v>
      </c>
      <c r="AN593" t="str">
        <f>MID('paste from garc here'!$C$2,1+(('table for research'!$B593-456)*36+HEX2DEC('table for research'!AN$1))*2,2)</f>
        <v>00</v>
      </c>
      <c r="AO593" t="str">
        <f>MID('paste from garc here'!$C$2,1+(('table for research'!$B593-456)*36+HEX2DEC('table for research'!AO$1))*2,2)</f>
        <v>00</v>
      </c>
    </row>
    <row r="594" spans="1:41" x14ac:dyDescent="0.4">
      <c r="A594" t="s">
        <v>596</v>
      </c>
      <c r="B594">
        <f>B593+1</f>
        <v>592</v>
      </c>
      <c r="C594" t="str">
        <f>MID('paste from garc here'!$C$2,1+(('table for research'!$B594-456)*36+HEX2DEC('table for research'!C$1))*2,2)</f>
        <v>00</v>
      </c>
      <c r="D594" t="str">
        <f>MID('paste from garc here'!$C$2,1+(('table for research'!$B594-456)*36+HEX2DEC('table for research'!D$1))*2,2)</f>
        <v>00</v>
      </c>
      <c r="E594" t="str">
        <f>MID('paste from garc here'!$C$2,1+(('table for research'!$B594-456)*36+HEX2DEC('table for research'!E$1))*2,2)</f>
        <v>00</v>
      </c>
      <c r="F594" t="str">
        <f>MID('paste from garc here'!$C$2,1+(('table for research'!$B594-456)*36+HEX2DEC('table for research'!F$1))*2,2)</f>
        <v>00</v>
      </c>
      <c r="G594" t="str">
        <f>MID('paste from garc here'!$C$2,1+(('table for research'!$B594-456)*36+HEX2DEC('table for research'!G$1))*2,2)</f>
        <v>00</v>
      </c>
      <c r="H594" t="str">
        <f>MID('paste from garc here'!$C$2,1+(('table for research'!$B594-456)*36+HEX2DEC('table for research'!H$1))*2,2)</f>
        <v>00</v>
      </c>
      <c r="I594" t="str">
        <f>MID('paste from garc here'!$C$2,1+(('table for research'!$B594-456)*36+HEX2DEC('table for research'!I$1))*2,2)</f>
        <v>00</v>
      </c>
      <c r="J594" t="str">
        <f>MID('paste from garc here'!$C$2,1+(('table for research'!$B594-456)*36+HEX2DEC('table for research'!J$1))*2,2)</f>
        <v>00</v>
      </c>
      <c r="K594" t="str">
        <f>DEC2HEX(_xlfn.BITAND(HEX2DEC(MID('paste from garc here'!$C$1,1+(('table for research'!$B594-1)*36+HEX2DEC(8))*2,2)),31),2)</f>
        <v>00</v>
      </c>
      <c r="L594" t="str">
        <f>DEC2HEX(_xlfn.BITAND(HEX2DEC(MID('paste from garc here'!$C$1,1+(('table for research'!$B594-1)*36+HEX2DEC(8))*2,2)),32),2)</f>
        <v>00</v>
      </c>
      <c r="M594" t="str">
        <f>DEC2HEX(_xlfn.BITAND(HEX2DEC(MID('paste from garc here'!$C$1,1+(('table for research'!$B594-1)*36+HEX2DEC(8))*2,2)),64),2)</f>
        <v>00</v>
      </c>
      <c r="N594" t="str">
        <f>DEC2HEX(_xlfn.BITRSHIFT(_xlfn.BITAND(HEX2DEC(MID('paste from garc here'!$C$1,1+(('table for research'!$B594-1)*36+HEX2DEC(9))*2,2)&amp;MID('paste from garc here'!$C$1,1+(('table for research'!$B594-1)*36+HEX2DEC(8))*2,2)),1920),7),2)</f>
        <v>00</v>
      </c>
      <c r="O594" t="str">
        <f>DEC2HEX(_xlfn.BITRSHIFT(HEX2DEC(MID('paste from garc here'!$C$1,1+(('table for research'!$B594-1)*36+HEX2DEC(9))*2,2)&amp;MID('paste from garc here'!$C$1,1+(('table for research'!$B594-1)*36+HEX2DEC(8))*2,2)),11),2)</f>
        <v>00</v>
      </c>
      <c r="P594" t="str">
        <f>MID('paste from garc here'!$C$2,1+(('table for research'!$B594-456)*36+HEX2DEC('table for research'!P$1))*2,2)</f>
        <v>00</v>
      </c>
      <c r="Q594" t="str">
        <f>MID('paste from garc here'!$C$2,1+(('table for research'!$B594-456)*36+HEX2DEC('table for research'!Q$1))*2,2)</f>
        <v>00</v>
      </c>
      <c r="R594" t="str">
        <f>MID('paste from garc here'!$C$2,1+(('table for research'!$B594-456)*36+HEX2DEC('table for research'!R$1))*2,2)</f>
        <v>01</v>
      </c>
      <c r="S594" t="str">
        <f>MID('paste from garc here'!$C$2,1+(('table for research'!$B594-456)*36+HEX2DEC('table for research'!S$1))*2,2)</f>
        <v>03</v>
      </c>
      <c r="T594" t="str">
        <f>MID('paste from garc here'!$C$2,1+(('table for research'!$B594-456)*36+HEX2DEC('table for research'!T$1))*2,2)</f>
        <v>00</v>
      </c>
      <c r="U594" t="str">
        <f>MID('paste from garc here'!$C$2,1+(('table for research'!$B594-456)*36+HEX2DEC('table for research'!U$1))*2,2)</f>
        <v>FF</v>
      </c>
      <c r="V594" t="str">
        <f>MID('paste from garc here'!$C$2,1+(('table for research'!$B594-456)*36+HEX2DEC('table for research'!V$1))*2,2)</f>
        <v>00</v>
      </c>
      <c r="W594" t="str">
        <f>MID('paste from garc here'!$C$2,1+(('table for research'!$B594-456)*36+HEX2DEC('table for research'!W$1))*2,2)</f>
        <v>00</v>
      </c>
      <c r="X594" t="str">
        <f>MID('paste from garc here'!$C$2,1+(('table for research'!$B594-456)*36+HEX2DEC('table for research'!X$1))*2,2)</f>
        <v>00</v>
      </c>
      <c r="Y594" t="str">
        <f>MID('paste from garc here'!$C$2,1+(('table for research'!$B594-456)*36+HEX2DEC('table for research'!Y$1))*2,2)</f>
        <v>00</v>
      </c>
      <c r="Z594" t="str">
        <f>MID('paste from garc here'!$C$2,1+(('table for research'!$B594-456)*36+HEX2DEC('table for research'!Z$1))*2,2)</f>
        <v>20</v>
      </c>
      <c r="AA594" t="str">
        <f>MID('paste from garc here'!$C$2,1+(('table for research'!$B594-456)*36+HEX2DEC('table for research'!AA$1))*2,2)</f>
        <v>00</v>
      </c>
      <c r="AB594" t="str">
        <f>MID('paste from garc here'!$C$2,1+(('table for research'!$B594-456)*36+HEX2DEC('table for research'!AB$1))*2,2)</f>
        <v>00</v>
      </c>
      <c r="AC594" t="str">
        <f>MID('paste from garc here'!$C$2,1+(('table for research'!$B594-456)*36+HEX2DEC('table for research'!AC$1))*2,2)</f>
        <v>00</v>
      </c>
      <c r="AD594" t="str">
        <f>MID('paste from garc here'!$C$2,1+(('table for research'!$B594-456)*36+HEX2DEC('table for research'!AD$1))*2,2)</f>
        <v>00</v>
      </c>
      <c r="AE594" t="str">
        <f>MID('paste from garc here'!$C$2,1+(('table for research'!$B594-456)*36+HEX2DEC('table for research'!AE$1))*2,2)</f>
        <v>00</v>
      </c>
      <c r="AF594" t="str">
        <f>MID('paste from garc here'!$C$2,1+(('table for research'!$B594-456)*36+HEX2DEC('table for research'!AF$1))*2,2)</f>
        <v>00</v>
      </c>
      <c r="AG594" t="str">
        <f>MID('paste from garc here'!$C$2,1+(('table for research'!$B594-456)*36+HEX2DEC('table for research'!AG$1))*2,2)</f>
        <v>00</v>
      </c>
      <c r="AH594" t="str">
        <f>MID('paste from garc here'!$C$2,1+(('table for research'!$B594-456)*36+HEX2DEC('table for research'!AH$1))*2,2)</f>
        <v>00</v>
      </c>
      <c r="AI594" t="str">
        <f>MID('paste from garc here'!$C$2,1+(('table for research'!$B594-456)*36+HEX2DEC('table for research'!AI$1))*2,2)</f>
        <v>00</v>
      </c>
      <c r="AJ594" t="str">
        <f>MID('paste from garc here'!$C$2,1+(('table for research'!$B594-456)*36+HEX2DEC('table for research'!AJ$1))*2,2)</f>
        <v>00</v>
      </c>
      <c r="AK594" t="str">
        <f>MID('paste from garc here'!$C$2,1+(('table for research'!$B594-456)*36+HEX2DEC('table for research'!AK$1))*2,2)</f>
        <v>00</v>
      </c>
      <c r="AL594" t="str">
        <f>MID('paste from garc here'!$C$2,1+(('table for research'!$B594-456)*36+HEX2DEC('table for research'!AL$1))*2,2)</f>
        <v>00</v>
      </c>
      <c r="AM594" t="str">
        <f>MID('paste from garc here'!$C$2,1+(('table for research'!$B594-456)*36+HEX2DEC('table for research'!AM$1))*2,2)</f>
        <v>00</v>
      </c>
      <c r="AN594" t="str">
        <f>MID('paste from garc here'!$C$2,1+(('table for research'!$B594-456)*36+HEX2DEC('table for research'!AN$1))*2,2)</f>
        <v>00</v>
      </c>
      <c r="AO594" t="str">
        <f>MID('paste from garc here'!$C$2,1+(('table for research'!$B594-456)*36+HEX2DEC('table for research'!AO$1))*2,2)</f>
        <v>00</v>
      </c>
    </row>
    <row r="595" spans="1:41" x14ac:dyDescent="0.4">
      <c r="A595" t="s">
        <v>597</v>
      </c>
      <c r="B595">
        <f>B594+1</f>
        <v>593</v>
      </c>
      <c r="C595" t="str">
        <f>MID('paste from garc here'!$C$2,1+(('table for research'!$B595-456)*36+HEX2DEC('table for research'!C$1))*2,2)</f>
        <v>00</v>
      </c>
      <c r="D595" t="str">
        <f>MID('paste from garc here'!$C$2,1+(('table for research'!$B595-456)*36+HEX2DEC('table for research'!D$1))*2,2)</f>
        <v>00</v>
      </c>
      <c r="E595" t="str">
        <f>MID('paste from garc here'!$C$2,1+(('table for research'!$B595-456)*36+HEX2DEC('table for research'!E$1))*2,2)</f>
        <v>00</v>
      </c>
      <c r="F595" t="str">
        <f>MID('paste from garc here'!$C$2,1+(('table for research'!$B595-456)*36+HEX2DEC('table for research'!F$1))*2,2)</f>
        <v>00</v>
      </c>
      <c r="G595" t="str">
        <f>MID('paste from garc here'!$C$2,1+(('table for research'!$B595-456)*36+HEX2DEC('table for research'!G$1))*2,2)</f>
        <v>00</v>
      </c>
      <c r="H595" t="str">
        <f>MID('paste from garc here'!$C$2,1+(('table for research'!$B595-456)*36+HEX2DEC('table for research'!H$1))*2,2)</f>
        <v>00</v>
      </c>
      <c r="I595" t="str">
        <f>MID('paste from garc here'!$C$2,1+(('table for research'!$B595-456)*36+HEX2DEC('table for research'!I$1))*2,2)</f>
        <v>00</v>
      </c>
      <c r="J595" t="str">
        <f>MID('paste from garc here'!$C$2,1+(('table for research'!$B595-456)*36+HEX2DEC('table for research'!J$1))*2,2)</f>
        <v>00</v>
      </c>
      <c r="K595" t="str">
        <f>DEC2HEX(_xlfn.BITAND(HEX2DEC(MID('paste from garc here'!$C$1,1+(('table for research'!$B595-1)*36+HEX2DEC(8))*2,2)),31),2)</f>
        <v>00</v>
      </c>
      <c r="L595" t="str">
        <f>DEC2HEX(_xlfn.BITAND(HEX2DEC(MID('paste from garc here'!$C$1,1+(('table for research'!$B595-1)*36+HEX2DEC(8))*2,2)),32),2)</f>
        <v>00</v>
      </c>
      <c r="M595" t="str">
        <f>DEC2HEX(_xlfn.BITAND(HEX2DEC(MID('paste from garc here'!$C$1,1+(('table for research'!$B595-1)*36+HEX2DEC(8))*2,2)),64),2)</f>
        <v>00</v>
      </c>
      <c r="N595" t="str">
        <f>DEC2HEX(_xlfn.BITRSHIFT(_xlfn.BITAND(HEX2DEC(MID('paste from garc here'!$C$1,1+(('table for research'!$B595-1)*36+HEX2DEC(9))*2,2)&amp;MID('paste from garc here'!$C$1,1+(('table for research'!$B595-1)*36+HEX2DEC(8))*2,2)),1920),7),2)</f>
        <v>00</v>
      </c>
      <c r="O595" t="str">
        <f>DEC2HEX(_xlfn.BITRSHIFT(HEX2DEC(MID('paste from garc here'!$C$1,1+(('table for research'!$B595-1)*36+HEX2DEC(9))*2,2)&amp;MID('paste from garc here'!$C$1,1+(('table for research'!$B595-1)*36+HEX2DEC(8))*2,2)),11),2)</f>
        <v>00</v>
      </c>
      <c r="P595" t="str">
        <f>MID('paste from garc here'!$C$2,1+(('table for research'!$B595-456)*36+HEX2DEC('table for research'!P$1))*2,2)</f>
        <v>00</v>
      </c>
      <c r="Q595" t="str">
        <f>MID('paste from garc here'!$C$2,1+(('table for research'!$B595-456)*36+HEX2DEC('table for research'!Q$1))*2,2)</f>
        <v>00</v>
      </c>
      <c r="R595" t="str">
        <f>MID('paste from garc here'!$C$2,1+(('table for research'!$B595-456)*36+HEX2DEC('table for research'!R$1))*2,2)</f>
        <v>01</v>
      </c>
      <c r="S595" t="str">
        <f>MID('paste from garc here'!$C$2,1+(('table for research'!$B595-456)*36+HEX2DEC('table for research'!S$1))*2,2)</f>
        <v>03</v>
      </c>
      <c r="T595" t="str">
        <f>MID('paste from garc here'!$C$2,1+(('table for research'!$B595-456)*36+HEX2DEC('table for research'!T$1))*2,2)</f>
        <v>00</v>
      </c>
      <c r="U595" t="str">
        <f>MID('paste from garc here'!$C$2,1+(('table for research'!$B595-456)*36+HEX2DEC('table for research'!U$1))*2,2)</f>
        <v>FF</v>
      </c>
      <c r="V595" t="str">
        <f>MID('paste from garc here'!$C$2,1+(('table for research'!$B595-456)*36+HEX2DEC('table for research'!V$1))*2,2)</f>
        <v>00</v>
      </c>
      <c r="W595" t="str">
        <f>MID('paste from garc here'!$C$2,1+(('table for research'!$B595-456)*36+HEX2DEC('table for research'!W$1))*2,2)</f>
        <v>00</v>
      </c>
      <c r="X595" t="str">
        <f>MID('paste from garc here'!$C$2,1+(('table for research'!$B595-456)*36+HEX2DEC('table for research'!X$1))*2,2)</f>
        <v>00</v>
      </c>
      <c r="Y595" t="str">
        <f>MID('paste from garc here'!$C$2,1+(('table for research'!$B595-456)*36+HEX2DEC('table for research'!Y$1))*2,2)</f>
        <v>20</v>
      </c>
      <c r="Z595" t="str">
        <f>MID('paste from garc here'!$C$2,1+(('table for research'!$B595-456)*36+HEX2DEC('table for research'!Z$1))*2,2)</f>
        <v>00</v>
      </c>
      <c r="AA595" t="str">
        <f>MID('paste from garc here'!$C$2,1+(('table for research'!$B595-456)*36+HEX2DEC('table for research'!AA$1))*2,2)</f>
        <v>00</v>
      </c>
      <c r="AB595" t="str">
        <f>MID('paste from garc here'!$C$2,1+(('table for research'!$B595-456)*36+HEX2DEC('table for research'!AB$1))*2,2)</f>
        <v>00</v>
      </c>
      <c r="AC595" t="str">
        <f>MID('paste from garc here'!$C$2,1+(('table for research'!$B595-456)*36+HEX2DEC('table for research'!AC$1))*2,2)</f>
        <v>00</v>
      </c>
      <c r="AD595" t="str">
        <f>MID('paste from garc here'!$C$2,1+(('table for research'!$B595-456)*36+HEX2DEC('table for research'!AD$1))*2,2)</f>
        <v>00</v>
      </c>
      <c r="AE595" t="str">
        <f>MID('paste from garc here'!$C$2,1+(('table for research'!$B595-456)*36+HEX2DEC('table for research'!AE$1))*2,2)</f>
        <v>00</v>
      </c>
      <c r="AF595" t="str">
        <f>MID('paste from garc here'!$C$2,1+(('table for research'!$B595-456)*36+HEX2DEC('table for research'!AF$1))*2,2)</f>
        <v>00</v>
      </c>
      <c r="AG595" t="str">
        <f>MID('paste from garc here'!$C$2,1+(('table for research'!$B595-456)*36+HEX2DEC('table for research'!AG$1))*2,2)</f>
        <v>00</v>
      </c>
      <c r="AH595" t="str">
        <f>MID('paste from garc here'!$C$2,1+(('table for research'!$B595-456)*36+HEX2DEC('table for research'!AH$1))*2,2)</f>
        <v>00</v>
      </c>
      <c r="AI595" t="str">
        <f>MID('paste from garc here'!$C$2,1+(('table for research'!$B595-456)*36+HEX2DEC('table for research'!AI$1))*2,2)</f>
        <v>00</v>
      </c>
      <c r="AJ595" t="str">
        <f>MID('paste from garc here'!$C$2,1+(('table for research'!$B595-456)*36+HEX2DEC('table for research'!AJ$1))*2,2)</f>
        <v>00</v>
      </c>
      <c r="AK595" t="str">
        <f>MID('paste from garc here'!$C$2,1+(('table for research'!$B595-456)*36+HEX2DEC('table for research'!AK$1))*2,2)</f>
        <v>00</v>
      </c>
      <c r="AL595" t="str">
        <f>MID('paste from garc here'!$C$2,1+(('table for research'!$B595-456)*36+HEX2DEC('table for research'!AL$1))*2,2)</f>
        <v>00</v>
      </c>
      <c r="AM595" t="str">
        <f>MID('paste from garc here'!$C$2,1+(('table for research'!$B595-456)*36+HEX2DEC('table for research'!AM$1))*2,2)</f>
        <v>00</v>
      </c>
      <c r="AN595" t="str">
        <f>MID('paste from garc here'!$C$2,1+(('table for research'!$B595-456)*36+HEX2DEC('table for research'!AN$1))*2,2)</f>
        <v>00</v>
      </c>
      <c r="AO595" t="str">
        <f>MID('paste from garc here'!$C$2,1+(('table for research'!$B595-456)*36+HEX2DEC('table for research'!AO$1))*2,2)</f>
        <v>00</v>
      </c>
    </row>
    <row r="596" spans="1:41" x14ac:dyDescent="0.4">
      <c r="A596" t="s">
        <v>598</v>
      </c>
      <c r="B596">
        <f>B595+1</f>
        <v>594</v>
      </c>
      <c r="C596" t="str">
        <f>MID('paste from garc here'!$C$2,1+(('table for research'!$B596-456)*36+HEX2DEC('table for research'!C$1))*2,2)</f>
        <v>00</v>
      </c>
      <c r="D596" t="str">
        <f>MID('paste from garc here'!$C$2,1+(('table for research'!$B596-456)*36+HEX2DEC('table for research'!D$1))*2,2)</f>
        <v>00</v>
      </c>
      <c r="E596" t="str">
        <f>MID('paste from garc here'!$C$2,1+(('table for research'!$B596-456)*36+HEX2DEC('table for research'!E$1))*2,2)</f>
        <v>00</v>
      </c>
      <c r="F596" t="str">
        <f>MID('paste from garc here'!$C$2,1+(('table for research'!$B596-456)*36+HEX2DEC('table for research'!F$1))*2,2)</f>
        <v>00</v>
      </c>
      <c r="G596" t="str">
        <f>MID('paste from garc here'!$C$2,1+(('table for research'!$B596-456)*36+HEX2DEC('table for research'!G$1))*2,2)</f>
        <v>00</v>
      </c>
      <c r="H596" t="str">
        <f>MID('paste from garc here'!$C$2,1+(('table for research'!$B596-456)*36+HEX2DEC('table for research'!H$1))*2,2)</f>
        <v>00</v>
      </c>
      <c r="I596" t="str">
        <f>MID('paste from garc here'!$C$2,1+(('table for research'!$B596-456)*36+HEX2DEC('table for research'!I$1))*2,2)</f>
        <v>00</v>
      </c>
      <c r="J596" t="str">
        <f>MID('paste from garc here'!$C$2,1+(('table for research'!$B596-456)*36+HEX2DEC('table for research'!J$1))*2,2)</f>
        <v>00</v>
      </c>
      <c r="K596" t="str">
        <f>DEC2HEX(_xlfn.BITAND(HEX2DEC(MID('paste from garc here'!$C$1,1+(('table for research'!$B596-1)*36+HEX2DEC(8))*2,2)),31),2)</f>
        <v>00</v>
      </c>
      <c r="L596" t="str">
        <f>DEC2HEX(_xlfn.BITAND(HEX2DEC(MID('paste from garc here'!$C$1,1+(('table for research'!$B596-1)*36+HEX2DEC(8))*2,2)),32),2)</f>
        <v>00</v>
      </c>
      <c r="M596" t="str">
        <f>DEC2HEX(_xlfn.BITAND(HEX2DEC(MID('paste from garc here'!$C$1,1+(('table for research'!$B596-1)*36+HEX2DEC(8))*2,2)),64),2)</f>
        <v>00</v>
      </c>
      <c r="N596" t="str">
        <f>DEC2HEX(_xlfn.BITRSHIFT(_xlfn.BITAND(HEX2DEC(MID('paste from garc here'!$C$1,1+(('table for research'!$B596-1)*36+HEX2DEC(9))*2,2)&amp;MID('paste from garc here'!$C$1,1+(('table for research'!$B596-1)*36+HEX2DEC(8))*2,2)),1920),7),2)</f>
        <v>00</v>
      </c>
      <c r="O596" t="str">
        <f>DEC2HEX(_xlfn.BITRSHIFT(HEX2DEC(MID('paste from garc here'!$C$1,1+(('table for research'!$B596-1)*36+HEX2DEC(9))*2,2)&amp;MID('paste from garc here'!$C$1,1+(('table for research'!$B596-1)*36+HEX2DEC(8))*2,2)),11),2)</f>
        <v>00</v>
      </c>
      <c r="P596" t="str">
        <f>MID('paste from garc here'!$C$2,1+(('table for research'!$B596-456)*36+HEX2DEC('table for research'!P$1))*2,2)</f>
        <v>00</v>
      </c>
      <c r="Q596" t="str">
        <f>MID('paste from garc here'!$C$2,1+(('table for research'!$B596-456)*36+HEX2DEC('table for research'!Q$1))*2,2)</f>
        <v>00</v>
      </c>
      <c r="R596" t="str">
        <f>MID('paste from garc here'!$C$2,1+(('table for research'!$B596-456)*36+HEX2DEC('table for research'!R$1))*2,2)</f>
        <v>01</v>
      </c>
      <c r="S596" t="str">
        <f>MID('paste from garc here'!$C$2,1+(('table for research'!$B596-456)*36+HEX2DEC('table for research'!S$1))*2,2)</f>
        <v>03</v>
      </c>
      <c r="T596" t="str">
        <f>MID('paste from garc here'!$C$2,1+(('table for research'!$B596-456)*36+HEX2DEC('table for research'!T$1))*2,2)</f>
        <v>00</v>
      </c>
      <c r="U596" t="str">
        <f>MID('paste from garc here'!$C$2,1+(('table for research'!$B596-456)*36+HEX2DEC('table for research'!U$1))*2,2)</f>
        <v>FF</v>
      </c>
      <c r="V596" t="str">
        <f>MID('paste from garc here'!$C$2,1+(('table for research'!$B596-456)*36+HEX2DEC('table for research'!V$1))*2,2)</f>
        <v>00</v>
      </c>
      <c r="W596" t="str">
        <f>MID('paste from garc here'!$C$2,1+(('table for research'!$B596-456)*36+HEX2DEC('table for research'!W$1))*2,2)</f>
        <v>00</v>
      </c>
      <c r="X596" t="str">
        <f>MID('paste from garc here'!$C$2,1+(('table for research'!$B596-456)*36+HEX2DEC('table for research'!X$1))*2,2)</f>
        <v>20</v>
      </c>
      <c r="Y596" t="str">
        <f>MID('paste from garc here'!$C$2,1+(('table for research'!$B596-456)*36+HEX2DEC('table for research'!Y$1))*2,2)</f>
        <v>00</v>
      </c>
      <c r="Z596" t="str">
        <f>MID('paste from garc here'!$C$2,1+(('table for research'!$B596-456)*36+HEX2DEC('table for research'!Z$1))*2,2)</f>
        <v>00</v>
      </c>
      <c r="AA596" t="str">
        <f>MID('paste from garc here'!$C$2,1+(('table for research'!$B596-456)*36+HEX2DEC('table for research'!AA$1))*2,2)</f>
        <v>00</v>
      </c>
      <c r="AB596" t="str">
        <f>MID('paste from garc here'!$C$2,1+(('table for research'!$B596-456)*36+HEX2DEC('table for research'!AB$1))*2,2)</f>
        <v>00</v>
      </c>
      <c r="AC596" t="str">
        <f>MID('paste from garc here'!$C$2,1+(('table for research'!$B596-456)*36+HEX2DEC('table for research'!AC$1))*2,2)</f>
        <v>00</v>
      </c>
      <c r="AD596" t="str">
        <f>MID('paste from garc here'!$C$2,1+(('table for research'!$B596-456)*36+HEX2DEC('table for research'!AD$1))*2,2)</f>
        <v>00</v>
      </c>
      <c r="AE596" t="str">
        <f>MID('paste from garc here'!$C$2,1+(('table for research'!$B596-456)*36+HEX2DEC('table for research'!AE$1))*2,2)</f>
        <v>00</v>
      </c>
      <c r="AF596" t="str">
        <f>MID('paste from garc here'!$C$2,1+(('table for research'!$B596-456)*36+HEX2DEC('table for research'!AF$1))*2,2)</f>
        <v>00</v>
      </c>
      <c r="AG596" t="str">
        <f>MID('paste from garc here'!$C$2,1+(('table for research'!$B596-456)*36+HEX2DEC('table for research'!AG$1))*2,2)</f>
        <v>00</v>
      </c>
      <c r="AH596" t="str">
        <f>MID('paste from garc here'!$C$2,1+(('table for research'!$B596-456)*36+HEX2DEC('table for research'!AH$1))*2,2)</f>
        <v>00</v>
      </c>
      <c r="AI596" t="str">
        <f>MID('paste from garc here'!$C$2,1+(('table for research'!$B596-456)*36+HEX2DEC('table for research'!AI$1))*2,2)</f>
        <v>00</v>
      </c>
      <c r="AJ596" t="str">
        <f>MID('paste from garc here'!$C$2,1+(('table for research'!$B596-456)*36+HEX2DEC('table for research'!AJ$1))*2,2)</f>
        <v>00</v>
      </c>
      <c r="AK596" t="str">
        <f>MID('paste from garc here'!$C$2,1+(('table for research'!$B596-456)*36+HEX2DEC('table for research'!AK$1))*2,2)</f>
        <v>00</v>
      </c>
      <c r="AL596" t="str">
        <f>MID('paste from garc here'!$C$2,1+(('table for research'!$B596-456)*36+HEX2DEC('table for research'!AL$1))*2,2)</f>
        <v>00</v>
      </c>
      <c r="AM596" t="str">
        <f>MID('paste from garc here'!$C$2,1+(('table for research'!$B596-456)*36+HEX2DEC('table for research'!AM$1))*2,2)</f>
        <v>00</v>
      </c>
      <c r="AN596" t="str">
        <f>MID('paste from garc here'!$C$2,1+(('table for research'!$B596-456)*36+HEX2DEC('table for research'!AN$1))*2,2)</f>
        <v>00</v>
      </c>
      <c r="AO596" t="str">
        <f>MID('paste from garc here'!$C$2,1+(('table for research'!$B596-456)*36+HEX2DEC('table for research'!AO$1))*2,2)</f>
        <v>00</v>
      </c>
    </row>
    <row r="597" spans="1:41" x14ac:dyDescent="0.4">
      <c r="A597" t="s">
        <v>599</v>
      </c>
      <c r="B597">
        <f>B596+1</f>
        <v>595</v>
      </c>
      <c r="C597" t="str">
        <f>MID('paste from garc here'!$C$2,1+(('table for research'!$B597-456)*36+HEX2DEC('table for research'!C$1))*2,2)</f>
        <v>00</v>
      </c>
      <c r="D597" t="str">
        <f>MID('paste from garc here'!$C$2,1+(('table for research'!$B597-456)*36+HEX2DEC('table for research'!D$1))*2,2)</f>
        <v>00</v>
      </c>
      <c r="E597" t="str">
        <f>MID('paste from garc here'!$C$2,1+(('table for research'!$B597-456)*36+HEX2DEC('table for research'!E$1))*2,2)</f>
        <v>00</v>
      </c>
      <c r="F597" t="str">
        <f>MID('paste from garc here'!$C$2,1+(('table for research'!$B597-456)*36+HEX2DEC('table for research'!F$1))*2,2)</f>
        <v>00</v>
      </c>
      <c r="G597" t="str">
        <f>MID('paste from garc here'!$C$2,1+(('table for research'!$B597-456)*36+HEX2DEC('table for research'!G$1))*2,2)</f>
        <v>00</v>
      </c>
      <c r="H597" t="str">
        <f>MID('paste from garc here'!$C$2,1+(('table for research'!$B597-456)*36+HEX2DEC('table for research'!H$1))*2,2)</f>
        <v>00</v>
      </c>
      <c r="I597" t="str">
        <f>MID('paste from garc here'!$C$2,1+(('table for research'!$B597-456)*36+HEX2DEC('table for research'!I$1))*2,2)</f>
        <v>00</v>
      </c>
      <c r="J597" t="str">
        <f>MID('paste from garc here'!$C$2,1+(('table for research'!$B597-456)*36+HEX2DEC('table for research'!J$1))*2,2)</f>
        <v>00</v>
      </c>
      <c r="K597" t="str">
        <f>DEC2HEX(_xlfn.BITAND(HEX2DEC(MID('paste from garc here'!$C$1,1+(('table for research'!$B597-1)*36+HEX2DEC(8))*2,2)),31),2)</f>
        <v>00</v>
      </c>
      <c r="L597" t="str">
        <f>DEC2HEX(_xlfn.BITAND(HEX2DEC(MID('paste from garc here'!$C$1,1+(('table for research'!$B597-1)*36+HEX2DEC(8))*2,2)),32),2)</f>
        <v>00</v>
      </c>
      <c r="M597" t="str">
        <f>DEC2HEX(_xlfn.BITAND(HEX2DEC(MID('paste from garc here'!$C$1,1+(('table for research'!$B597-1)*36+HEX2DEC(8))*2,2)),64),2)</f>
        <v>00</v>
      </c>
      <c r="N597" t="str">
        <f>DEC2HEX(_xlfn.BITRSHIFT(_xlfn.BITAND(HEX2DEC(MID('paste from garc here'!$C$1,1+(('table for research'!$B597-1)*36+HEX2DEC(9))*2,2)&amp;MID('paste from garc here'!$C$1,1+(('table for research'!$B597-1)*36+HEX2DEC(8))*2,2)),1920),7),2)</f>
        <v>00</v>
      </c>
      <c r="O597" t="str">
        <f>DEC2HEX(_xlfn.BITRSHIFT(HEX2DEC(MID('paste from garc here'!$C$1,1+(('table for research'!$B597-1)*36+HEX2DEC(9))*2,2)&amp;MID('paste from garc here'!$C$1,1+(('table for research'!$B597-1)*36+HEX2DEC(8))*2,2)),11),2)</f>
        <v>00</v>
      </c>
      <c r="P597" t="str">
        <f>MID('paste from garc here'!$C$2,1+(('table for research'!$B597-456)*36+HEX2DEC('table for research'!P$1))*2,2)</f>
        <v>00</v>
      </c>
      <c r="Q597" t="str">
        <f>MID('paste from garc here'!$C$2,1+(('table for research'!$B597-456)*36+HEX2DEC('table for research'!Q$1))*2,2)</f>
        <v>00</v>
      </c>
      <c r="R597" t="str">
        <f>MID('paste from garc here'!$C$2,1+(('table for research'!$B597-456)*36+HEX2DEC('table for research'!R$1))*2,2)</f>
        <v>01</v>
      </c>
      <c r="S597" t="str">
        <f>MID('paste from garc here'!$C$2,1+(('table for research'!$B597-456)*36+HEX2DEC('table for research'!S$1))*2,2)</f>
        <v>03</v>
      </c>
      <c r="T597" t="str">
        <f>MID('paste from garc here'!$C$2,1+(('table for research'!$B597-456)*36+HEX2DEC('table for research'!T$1))*2,2)</f>
        <v>00</v>
      </c>
      <c r="U597" t="str">
        <f>MID('paste from garc here'!$C$2,1+(('table for research'!$B597-456)*36+HEX2DEC('table for research'!U$1))*2,2)</f>
        <v>FF</v>
      </c>
      <c r="V597" t="str">
        <f>MID('paste from garc here'!$C$2,1+(('table for research'!$B597-456)*36+HEX2DEC('table for research'!V$1))*2,2)</f>
        <v>00</v>
      </c>
      <c r="W597" t="str">
        <f>MID('paste from garc here'!$C$2,1+(('table for research'!$B597-456)*36+HEX2DEC('table for research'!W$1))*2,2)</f>
        <v>00</v>
      </c>
      <c r="X597" t="str">
        <f>MID('paste from garc here'!$C$2,1+(('table for research'!$B597-456)*36+HEX2DEC('table for research'!X$1))*2,2)</f>
        <v>00</v>
      </c>
      <c r="Y597" t="str">
        <f>MID('paste from garc here'!$C$2,1+(('table for research'!$B597-456)*36+HEX2DEC('table for research'!Y$1))*2,2)</f>
        <v>02</v>
      </c>
      <c r="Z597" t="str">
        <f>MID('paste from garc here'!$C$2,1+(('table for research'!$B597-456)*36+HEX2DEC('table for research'!Z$1))*2,2)</f>
        <v>00</v>
      </c>
      <c r="AA597" t="str">
        <f>MID('paste from garc here'!$C$2,1+(('table for research'!$B597-456)*36+HEX2DEC('table for research'!AA$1))*2,2)</f>
        <v>00</v>
      </c>
      <c r="AB597" t="str">
        <f>MID('paste from garc here'!$C$2,1+(('table for research'!$B597-456)*36+HEX2DEC('table for research'!AB$1))*2,2)</f>
        <v>00</v>
      </c>
      <c r="AC597" t="str">
        <f>MID('paste from garc here'!$C$2,1+(('table for research'!$B597-456)*36+HEX2DEC('table for research'!AC$1))*2,2)</f>
        <v>00</v>
      </c>
      <c r="AD597" t="str">
        <f>MID('paste from garc here'!$C$2,1+(('table for research'!$B597-456)*36+HEX2DEC('table for research'!AD$1))*2,2)</f>
        <v>00</v>
      </c>
      <c r="AE597" t="str">
        <f>MID('paste from garc here'!$C$2,1+(('table for research'!$B597-456)*36+HEX2DEC('table for research'!AE$1))*2,2)</f>
        <v>00</v>
      </c>
      <c r="AF597" t="str">
        <f>MID('paste from garc here'!$C$2,1+(('table for research'!$B597-456)*36+HEX2DEC('table for research'!AF$1))*2,2)</f>
        <v>00</v>
      </c>
      <c r="AG597" t="str">
        <f>MID('paste from garc here'!$C$2,1+(('table for research'!$B597-456)*36+HEX2DEC('table for research'!AG$1))*2,2)</f>
        <v>00</v>
      </c>
      <c r="AH597" t="str">
        <f>MID('paste from garc here'!$C$2,1+(('table for research'!$B597-456)*36+HEX2DEC('table for research'!AH$1))*2,2)</f>
        <v>00</v>
      </c>
      <c r="AI597" t="str">
        <f>MID('paste from garc here'!$C$2,1+(('table for research'!$B597-456)*36+HEX2DEC('table for research'!AI$1))*2,2)</f>
        <v>00</v>
      </c>
      <c r="AJ597" t="str">
        <f>MID('paste from garc here'!$C$2,1+(('table for research'!$B597-456)*36+HEX2DEC('table for research'!AJ$1))*2,2)</f>
        <v>00</v>
      </c>
      <c r="AK597" t="str">
        <f>MID('paste from garc here'!$C$2,1+(('table for research'!$B597-456)*36+HEX2DEC('table for research'!AK$1))*2,2)</f>
        <v>00</v>
      </c>
      <c r="AL597" t="str">
        <f>MID('paste from garc here'!$C$2,1+(('table for research'!$B597-456)*36+HEX2DEC('table for research'!AL$1))*2,2)</f>
        <v>00</v>
      </c>
      <c r="AM597" t="str">
        <f>MID('paste from garc here'!$C$2,1+(('table for research'!$B597-456)*36+HEX2DEC('table for research'!AM$1))*2,2)</f>
        <v>00</v>
      </c>
      <c r="AN597" t="str">
        <f>MID('paste from garc here'!$C$2,1+(('table for research'!$B597-456)*36+HEX2DEC('table for research'!AN$1))*2,2)</f>
        <v>00</v>
      </c>
      <c r="AO597" t="str">
        <f>MID('paste from garc here'!$C$2,1+(('table for research'!$B597-456)*36+HEX2DEC('table for research'!AO$1))*2,2)</f>
        <v>00</v>
      </c>
    </row>
    <row r="598" spans="1:41" x14ac:dyDescent="0.4">
      <c r="A598" t="s">
        <v>600</v>
      </c>
      <c r="B598">
        <f>B597+1</f>
        <v>596</v>
      </c>
      <c r="C598" t="str">
        <f>MID('paste from garc here'!$C$2,1+(('table for research'!$B598-456)*36+HEX2DEC('table for research'!C$1))*2,2)</f>
        <v>00</v>
      </c>
      <c r="D598" t="str">
        <f>MID('paste from garc here'!$C$2,1+(('table for research'!$B598-456)*36+HEX2DEC('table for research'!D$1))*2,2)</f>
        <v>00</v>
      </c>
      <c r="E598" t="str">
        <f>MID('paste from garc here'!$C$2,1+(('table for research'!$B598-456)*36+HEX2DEC('table for research'!E$1))*2,2)</f>
        <v>00</v>
      </c>
      <c r="F598" t="str">
        <f>MID('paste from garc here'!$C$2,1+(('table for research'!$B598-456)*36+HEX2DEC('table for research'!F$1))*2,2)</f>
        <v>00</v>
      </c>
      <c r="G598" t="str">
        <f>MID('paste from garc here'!$C$2,1+(('table for research'!$B598-456)*36+HEX2DEC('table for research'!G$1))*2,2)</f>
        <v>00</v>
      </c>
      <c r="H598" t="str">
        <f>MID('paste from garc here'!$C$2,1+(('table for research'!$B598-456)*36+HEX2DEC('table for research'!H$1))*2,2)</f>
        <v>00</v>
      </c>
      <c r="I598" t="str">
        <f>MID('paste from garc here'!$C$2,1+(('table for research'!$B598-456)*36+HEX2DEC('table for research'!I$1))*2,2)</f>
        <v>00</v>
      </c>
      <c r="J598" t="str">
        <f>MID('paste from garc here'!$C$2,1+(('table for research'!$B598-456)*36+HEX2DEC('table for research'!J$1))*2,2)</f>
        <v>00</v>
      </c>
      <c r="K598" t="str">
        <f>DEC2HEX(_xlfn.BITAND(HEX2DEC(MID('paste from garc here'!$C$1,1+(('table for research'!$B598-1)*36+HEX2DEC(8))*2,2)),31),2)</f>
        <v>00</v>
      </c>
      <c r="L598" t="str">
        <f>DEC2HEX(_xlfn.BITAND(HEX2DEC(MID('paste from garc here'!$C$1,1+(('table for research'!$B598-1)*36+HEX2DEC(8))*2,2)),32),2)</f>
        <v>00</v>
      </c>
      <c r="M598" t="str">
        <f>DEC2HEX(_xlfn.BITAND(HEX2DEC(MID('paste from garc here'!$C$1,1+(('table for research'!$B598-1)*36+HEX2DEC(8))*2,2)),64),2)</f>
        <v>00</v>
      </c>
      <c r="N598" t="str">
        <f>DEC2HEX(_xlfn.BITRSHIFT(_xlfn.BITAND(HEX2DEC(MID('paste from garc here'!$C$1,1+(('table for research'!$B598-1)*36+HEX2DEC(9))*2,2)&amp;MID('paste from garc here'!$C$1,1+(('table for research'!$B598-1)*36+HEX2DEC(8))*2,2)),1920),7),2)</f>
        <v>00</v>
      </c>
      <c r="O598" t="str">
        <f>DEC2HEX(_xlfn.BITRSHIFT(HEX2DEC(MID('paste from garc here'!$C$1,1+(('table for research'!$B598-1)*36+HEX2DEC(9))*2,2)&amp;MID('paste from garc here'!$C$1,1+(('table for research'!$B598-1)*36+HEX2DEC(8))*2,2)),11),2)</f>
        <v>00</v>
      </c>
      <c r="P598" t="str">
        <f>MID('paste from garc here'!$C$2,1+(('table for research'!$B598-456)*36+HEX2DEC('table for research'!P$1))*2,2)</f>
        <v>00</v>
      </c>
      <c r="Q598" t="str">
        <f>MID('paste from garc here'!$C$2,1+(('table for research'!$B598-456)*36+HEX2DEC('table for research'!Q$1))*2,2)</f>
        <v>00</v>
      </c>
      <c r="R598" t="str">
        <f>MID('paste from garc here'!$C$2,1+(('table for research'!$B598-456)*36+HEX2DEC('table for research'!R$1))*2,2)</f>
        <v>01</v>
      </c>
      <c r="S598" t="str">
        <f>MID('paste from garc here'!$C$2,1+(('table for research'!$B598-456)*36+HEX2DEC('table for research'!S$1))*2,2)</f>
        <v>03</v>
      </c>
      <c r="T598" t="str">
        <f>MID('paste from garc here'!$C$2,1+(('table for research'!$B598-456)*36+HEX2DEC('table for research'!T$1))*2,2)</f>
        <v>00</v>
      </c>
      <c r="U598" t="str">
        <f>MID('paste from garc here'!$C$2,1+(('table for research'!$B598-456)*36+HEX2DEC('table for research'!U$1))*2,2)</f>
        <v>FF</v>
      </c>
      <c r="V598" t="str">
        <f>MID('paste from garc here'!$C$2,1+(('table for research'!$B598-456)*36+HEX2DEC('table for research'!V$1))*2,2)</f>
        <v>00</v>
      </c>
      <c r="W598" t="str">
        <f>MID('paste from garc here'!$C$2,1+(('table for research'!$B598-456)*36+HEX2DEC('table for research'!W$1))*2,2)</f>
        <v>00</v>
      </c>
      <c r="X598" t="str">
        <f>MID('paste from garc here'!$C$2,1+(('table for research'!$B598-456)*36+HEX2DEC('table for research'!X$1))*2,2)</f>
        <v>02</v>
      </c>
      <c r="Y598" t="str">
        <f>MID('paste from garc here'!$C$2,1+(('table for research'!$B598-456)*36+HEX2DEC('table for research'!Y$1))*2,2)</f>
        <v>00</v>
      </c>
      <c r="Z598" t="str">
        <f>MID('paste from garc here'!$C$2,1+(('table for research'!$B598-456)*36+HEX2DEC('table for research'!Z$1))*2,2)</f>
        <v>00</v>
      </c>
      <c r="AA598" t="str">
        <f>MID('paste from garc here'!$C$2,1+(('table for research'!$B598-456)*36+HEX2DEC('table for research'!AA$1))*2,2)</f>
        <v>00</v>
      </c>
      <c r="AB598" t="str">
        <f>MID('paste from garc here'!$C$2,1+(('table for research'!$B598-456)*36+HEX2DEC('table for research'!AB$1))*2,2)</f>
        <v>00</v>
      </c>
      <c r="AC598" t="str">
        <f>MID('paste from garc here'!$C$2,1+(('table for research'!$B598-456)*36+HEX2DEC('table for research'!AC$1))*2,2)</f>
        <v>00</v>
      </c>
      <c r="AD598" t="str">
        <f>MID('paste from garc here'!$C$2,1+(('table for research'!$B598-456)*36+HEX2DEC('table for research'!AD$1))*2,2)</f>
        <v>00</v>
      </c>
      <c r="AE598" t="str">
        <f>MID('paste from garc here'!$C$2,1+(('table for research'!$B598-456)*36+HEX2DEC('table for research'!AE$1))*2,2)</f>
        <v>00</v>
      </c>
      <c r="AF598" t="str">
        <f>MID('paste from garc here'!$C$2,1+(('table for research'!$B598-456)*36+HEX2DEC('table for research'!AF$1))*2,2)</f>
        <v>00</v>
      </c>
      <c r="AG598" t="str">
        <f>MID('paste from garc here'!$C$2,1+(('table for research'!$B598-456)*36+HEX2DEC('table for research'!AG$1))*2,2)</f>
        <v>00</v>
      </c>
      <c r="AH598" t="str">
        <f>MID('paste from garc here'!$C$2,1+(('table for research'!$B598-456)*36+HEX2DEC('table for research'!AH$1))*2,2)</f>
        <v>00</v>
      </c>
      <c r="AI598" t="str">
        <f>MID('paste from garc here'!$C$2,1+(('table for research'!$B598-456)*36+HEX2DEC('table for research'!AI$1))*2,2)</f>
        <v>00</v>
      </c>
      <c r="AJ598" t="str">
        <f>MID('paste from garc here'!$C$2,1+(('table for research'!$B598-456)*36+HEX2DEC('table for research'!AJ$1))*2,2)</f>
        <v>00</v>
      </c>
      <c r="AK598" t="str">
        <f>MID('paste from garc here'!$C$2,1+(('table for research'!$B598-456)*36+HEX2DEC('table for research'!AK$1))*2,2)</f>
        <v>00</v>
      </c>
      <c r="AL598" t="str">
        <f>MID('paste from garc here'!$C$2,1+(('table for research'!$B598-456)*36+HEX2DEC('table for research'!AL$1))*2,2)</f>
        <v>00</v>
      </c>
      <c r="AM598" t="str">
        <f>MID('paste from garc here'!$C$2,1+(('table for research'!$B598-456)*36+HEX2DEC('table for research'!AM$1))*2,2)</f>
        <v>00</v>
      </c>
      <c r="AN598" t="str">
        <f>MID('paste from garc here'!$C$2,1+(('table for research'!$B598-456)*36+HEX2DEC('table for research'!AN$1))*2,2)</f>
        <v>00</v>
      </c>
      <c r="AO598" t="str">
        <f>MID('paste from garc here'!$C$2,1+(('table for research'!$B598-456)*36+HEX2DEC('table for research'!AO$1))*2,2)</f>
        <v>00</v>
      </c>
    </row>
    <row r="599" spans="1:41" x14ac:dyDescent="0.4">
      <c r="A599" t="s">
        <v>601</v>
      </c>
      <c r="B599">
        <f>B598+1</f>
        <v>597</v>
      </c>
      <c r="C599" t="str">
        <f>MID('paste from garc here'!$C$2,1+(('table for research'!$B599-456)*36+HEX2DEC('table for research'!C$1))*2,2)</f>
        <v>00</v>
      </c>
      <c r="D599" t="str">
        <f>MID('paste from garc here'!$C$2,1+(('table for research'!$B599-456)*36+HEX2DEC('table for research'!D$1))*2,2)</f>
        <v>00</v>
      </c>
      <c r="E599" t="str">
        <f>MID('paste from garc here'!$C$2,1+(('table for research'!$B599-456)*36+HEX2DEC('table for research'!E$1))*2,2)</f>
        <v>00</v>
      </c>
      <c r="F599" t="str">
        <f>MID('paste from garc here'!$C$2,1+(('table for research'!$B599-456)*36+HEX2DEC('table for research'!F$1))*2,2)</f>
        <v>00</v>
      </c>
      <c r="G599" t="str">
        <f>MID('paste from garc here'!$C$2,1+(('table for research'!$B599-456)*36+HEX2DEC('table for research'!G$1))*2,2)</f>
        <v>00</v>
      </c>
      <c r="H599" t="str">
        <f>MID('paste from garc here'!$C$2,1+(('table for research'!$B599-456)*36+HEX2DEC('table for research'!H$1))*2,2)</f>
        <v>00</v>
      </c>
      <c r="I599" t="str">
        <f>MID('paste from garc here'!$C$2,1+(('table for research'!$B599-456)*36+HEX2DEC('table for research'!I$1))*2,2)</f>
        <v>00</v>
      </c>
      <c r="J599" t="str">
        <f>MID('paste from garc here'!$C$2,1+(('table for research'!$B599-456)*36+HEX2DEC('table for research'!J$1))*2,2)</f>
        <v>00</v>
      </c>
      <c r="K599" t="str">
        <f>DEC2HEX(_xlfn.BITAND(HEX2DEC(MID('paste from garc here'!$C$1,1+(('table for research'!$B599-1)*36+HEX2DEC(8))*2,2)),31),2)</f>
        <v>00</v>
      </c>
      <c r="L599" t="str">
        <f>DEC2HEX(_xlfn.BITAND(HEX2DEC(MID('paste from garc here'!$C$1,1+(('table for research'!$B599-1)*36+HEX2DEC(8))*2,2)),32),2)</f>
        <v>00</v>
      </c>
      <c r="M599" t="str">
        <f>DEC2HEX(_xlfn.BITAND(HEX2DEC(MID('paste from garc here'!$C$1,1+(('table for research'!$B599-1)*36+HEX2DEC(8))*2,2)),64),2)</f>
        <v>00</v>
      </c>
      <c r="N599" t="str">
        <f>DEC2HEX(_xlfn.BITRSHIFT(_xlfn.BITAND(HEX2DEC(MID('paste from garc here'!$C$1,1+(('table for research'!$B599-1)*36+HEX2DEC(9))*2,2)&amp;MID('paste from garc here'!$C$1,1+(('table for research'!$B599-1)*36+HEX2DEC(8))*2,2)),1920),7),2)</f>
        <v>00</v>
      </c>
      <c r="O599" t="str">
        <f>DEC2HEX(_xlfn.BITRSHIFT(HEX2DEC(MID('paste from garc here'!$C$1,1+(('table for research'!$B599-1)*36+HEX2DEC(9))*2,2)&amp;MID('paste from garc here'!$C$1,1+(('table for research'!$B599-1)*36+HEX2DEC(8))*2,2)),11),2)</f>
        <v>00</v>
      </c>
      <c r="P599" t="str">
        <f>MID('paste from garc here'!$C$2,1+(('table for research'!$B599-456)*36+HEX2DEC('table for research'!P$1))*2,2)</f>
        <v>00</v>
      </c>
      <c r="Q599" t="str">
        <f>MID('paste from garc here'!$C$2,1+(('table for research'!$B599-456)*36+HEX2DEC('table for research'!Q$1))*2,2)</f>
        <v>00</v>
      </c>
      <c r="R599" t="str">
        <f>MID('paste from garc here'!$C$2,1+(('table for research'!$B599-456)*36+HEX2DEC('table for research'!R$1))*2,2)</f>
        <v>01</v>
      </c>
      <c r="S599" t="str">
        <f>MID('paste from garc here'!$C$2,1+(('table for research'!$B599-456)*36+HEX2DEC('table for research'!S$1))*2,2)</f>
        <v>03</v>
      </c>
      <c r="T599" t="str">
        <f>MID('paste from garc here'!$C$2,1+(('table for research'!$B599-456)*36+HEX2DEC('table for research'!T$1))*2,2)</f>
        <v>00</v>
      </c>
      <c r="U599" t="str">
        <f>MID('paste from garc here'!$C$2,1+(('table for research'!$B599-456)*36+HEX2DEC('table for research'!U$1))*2,2)</f>
        <v>FF</v>
      </c>
      <c r="V599" t="str">
        <f>MID('paste from garc here'!$C$2,1+(('table for research'!$B599-456)*36+HEX2DEC('table for research'!V$1))*2,2)</f>
        <v>00</v>
      </c>
      <c r="W599" t="str">
        <f>MID('paste from garc here'!$C$2,1+(('table for research'!$B599-456)*36+HEX2DEC('table for research'!W$1))*2,2)</f>
        <v>20</v>
      </c>
      <c r="X599" t="str">
        <f>MID('paste from garc here'!$C$2,1+(('table for research'!$B599-456)*36+HEX2DEC('table for research'!X$1))*2,2)</f>
        <v>00</v>
      </c>
      <c r="Y599" t="str">
        <f>MID('paste from garc here'!$C$2,1+(('table for research'!$B599-456)*36+HEX2DEC('table for research'!Y$1))*2,2)</f>
        <v>00</v>
      </c>
      <c r="Z599" t="str">
        <f>MID('paste from garc here'!$C$2,1+(('table for research'!$B599-456)*36+HEX2DEC('table for research'!Z$1))*2,2)</f>
        <v>00</v>
      </c>
      <c r="AA599" t="str">
        <f>MID('paste from garc here'!$C$2,1+(('table for research'!$B599-456)*36+HEX2DEC('table for research'!AA$1))*2,2)</f>
        <v>00</v>
      </c>
      <c r="AB599" t="str">
        <f>MID('paste from garc here'!$C$2,1+(('table for research'!$B599-456)*36+HEX2DEC('table for research'!AB$1))*2,2)</f>
        <v>00</v>
      </c>
      <c r="AC599" t="str">
        <f>MID('paste from garc here'!$C$2,1+(('table for research'!$B599-456)*36+HEX2DEC('table for research'!AC$1))*2,2)</f>
        <v>00</v>
      </c>
      <c r="AD599" t="str">
        <f>MID('paste from garc here'!$C$2,1+(('table for research'!$B599-456)*36+HEX2DEC('table for research'!AD$1))*2,2)</f>
        <v>00</v>
      </c>
      <c r="AE599" t="str">
        <f>MID('paste from garc here'!$C$2,1+(('table for research'!$B599-456)*36+HEX2DEC('table for research'!AE$1))*2,2)</f>
        <v>00</v>
      </c>
      <c r="AF599" t="str">
        <f>MID('paste from garc here'!$C$2,1+(('table for research'!$B599-456)*36+HEX2DEC('table for research'!AF$1))*2,2)</f>
        <v>00</v>
      </c>
      <c r="AG599" t="str">
        <f>MID('paste from garc here'!$C$2,1+(('table for research'!$B599-456)*36+HEX2DEC('table for research'!AG$1))*2,2)</f>
        <v>00</v>
      </c>
      <c r="AH599" t="str">
        <f>MID('paste from garc here'!$C$2,1+(('table for research'!$B599-456)*36+HEX2DEC('table for research'!AH$1))*2,2)</f>
        <v>00</v>
      </c>
      <c r="AI599" t="str">
        <f>MID('paste from garc here'!$C$2,1+(('table for research'!$B599-456)*36+HEX2DEC('table for research'!AI$1))*2,2)</f>
        <v>00</v>
      </c>
      <c r="AJ599" t="str">
        <f>MID('paste from garc here'!$C$2,1+(('table for research'!$B599-456)*36+HEX2DEC('table for research'!AJ$1))*2,2)</f>
        <v>00</v>
      </c>
      <c r="AK599" t="str">
        <f>MID('paste from garc here'!$C$2,1+(('table for research'!$B599-456)*36+HEX2DEC('table for research'!AK$1))*2,2)</f>
        <v>00</v>
      </c>
      <c r="AL599" t="str">
        <f>MID('paste from garc here'!$C$2,1+(('table for research'!$B599-456)*36+HEX2DEC('table for research'!AL$1))*2,2)</f>
        <v>00</v>
      </c>
      <c r="AM599" t="str">
        <f>MID('paste from garc here'!$C$2,1+(('table for research'!$B599-456)*36+HEX2DEC('table for research'!AM$1))*2,2)</f>
        <v>00</v>
      </c>
      <c r="AN599" t="str">
        <f>MID('paste from garc here'!$C$2,1+(('table for research'!$B599-456)*36+HEX2DEC('table for research'!AN$1))*2,2)</f>
        <v>00</v>
      </c>
      <c r="AO599" t="str">
        <f>MID('paste from garc here'!$C$2,1+(('table for research'!$B599-456)*36+HEX2DEC('table for research'!AO$1))*2,2)</f>
        <v>00</v>
      </c>
    </row>
    <row r="600" spans="1:41" x14ac:dyDescent="0.4">
      <c r="A600" t="s">
        <v>602</v>
      </c>
      <c r="B600">
        <f>B599+1</f>
        <v>598</v>
      </c>
      <c r="C600" t="str">
        <f>MID('paste from garc here'!$C$2,1+(('table for research'!$B600-456)*36+HEX2DEC('table for research'!C$1))*2,2)</f>
        <v>00</v>
      </c>
      <c r="D600" t="str">
        <f>MID('paste from garc here'!$C$2,1+(('table for research'!$B600-456)*36+HEX2DEC('table for research'!D$1))*2,2)</f>
        <v>00</v>
      </c>
      <c r="E600" t="str">
        <f>MID('paste from garc here'!$C$2,1+(('table for research'!$B600-456)*36+HEX2DEC('table for research'!E$1))*2,2)</f>
        <v>00</v>
      </c>
      <c r="F600" t="str">
        <f>MID('paste from garc here'!$C$2,1+(('table for research'!$B600-456)*36+HEX2DEC('table for research'!F$1))*2,2)</f>
        <v>00</v>
      </c>
      <c r="G600" t="str">
        <f>MID('paste from garc here'!$C$2,1+(('table for research'!$B600-456)*36+HEX2DEC('table for research'!G$1))*2,2)</f>
        <v>00</v>
      </c>
      <c r="H600" t="str">
        <f>MID('paste from garc here'!$C$2,1+(('table for research'!$B600-456)*36+HEX2DEC('table for research'!H$1))*2,2)</f>
        <v>00</v>
      </c>
      <c r="I600" t="str">
        <f>MID('paste from garc here'!$C$2,1+(('table for research'!$B600-456)*36+HEX2DEC('table for research'!I$1))*2,2)</f>
        <v>00</v>
      </c>
      <c r="J600" t="str">
        <f>MID('paste from garc here'!$C$2,1+(('table for research'!$B600-456)*36+HEX2DEC('table for research'!J$1))*2,2)</f>
        <v>00</v>
      </c>
      <c r="K600" t="str">
        <f>DEC2HEX(_xlfn.BITAND(HEX2DEC(MID('paste from garc here'!$C$1,1+(('table for research'!$B600-1)*36+HEX2DEC(8))*2,2)),31),2)</f>
        <v>00</v>
      </c>
      <c r="L600" t="str">
        <f>DEC2HEX(_xlfn.BITAND(HEX2DEC(MID('paste from garc here'!$C$1,1+(('table for research'!$B600-1)*36+HEX2DEC(8))*2,2)),32),2)</f>
        <v>00</v>
      </c>
      <c r="M600" t="str">
        <f>DEC2HEX(_xlfn.BITAND(HEX2DEC(MID('paste from garc here'!$C$1,1+(('table for research'!$B600-1)*36+HEX2DEC(8))*2,2)),64),2)</f>
        <v>00</v>
      </c>
      <c r="N600" t="str">
        <f>DEC2HEX(_xlfn.BITRSHIFT(_xlfn.BITAND(HEX2DEC(MID('paste from garc here'!$C$1,1+(('table for research'!$B600-1)*36+HEX2DEC(9))*2,2)&amp;MID('paste from garc here'!$C$1,1+(('table for research'!$B600-1)*36+HEX2DEC(8))*2,2)),1920),7),2)</f>
        <v>00</v>
      </c>
      <c r="O600" t="str">
        <f>DEC2HEX(_xlfn.BITRSHIFT(HEX2DEC(MID('paste from garc here'!$C$1,1+(('table for research'!$B600-1)*36+HEX2DEC(9))*2,2)&amp;MID('paste from garc here'!$C$1,1+(('table for research'!$B600-1)*36+HEX2DEC(8))*2,2)),11),2)</f>
        <v>00</v>
      </c>
      <c r="P600" t="str">
        <f>MID('paste from garc here'!$C$2,1+(('table for research'!$B600-456)*36+HEX2DEC('table for research'!P$1))*2,2)</f>
        <v>00</v>
      </c>
      <c r="Q600" t="str">
        <f>MID('paste from garc here'!$C$2,1+(('table for research'!$B600-456)*36+HEX2DEC('table for research'!Q$1))*2,2)</f>
        <v>00</v>
      </c>
      <c r="R600" t="str">
        <f>MID('paste from garc here'!$C$2,1+(('table for research'!$B600-456)*36+HEX2DEC('table for research'!R$1))*2,2)</f>
        <v>01</v>
      </c>
      <c r="S600" t="str">
        <f>MID('paste from garc here'!$C$2,1+(('table for research'!$B600-456)*36+HEX2DEC('table for research'!S$1))*2,2)</f>
        <v>03</v>
      </c>
      <c r="T600" t="str">
        <f>MID('paste from garc here'!$C$2,1+(('table for research'!$B600-456)*36+HEX2DEC('table for research'!T$1))*2,2)</f>
        <v>00</v>
      </c>
      <c r="U600" t="str">
        <f>MID('paste from garc here'!$C$2,1+(('table for research'!$B600-456)*36+HEX2DEC('table for research'!U$1))*2,2)</f>
        <v>FF</v>
      </c>
      <c r="V600" t="str">
        <f>MID('paste from garc here'!$C$2,1+(('table for research'!$B600-456)*36+HEX2DEC('table for research'!V$1))*2,2)</f>
        <v>00</v>
      </c>
      <c r="W600" t="str">
        <f>MID('paste from garc here'!$C$2,1+(('table for research'!$B600-456)*36+HEX2DEC('table for research'!W$1))*2,2)</f>
        <v>00</v>
      </c>
      <c r="X600" t="str">
        <f>MID('paste from garc here'!$C$2,1+(('table for research'!$B600-456)*36+HEX2DEC('table for research'!X$1))*2,2)</f>
        <v>00</v>
      </c>
      <c r="Y600" t="str">
        <f>MID('paste from garc here'!$C$2,1+(('table for research'!$B600-456)*36+HEX2DEC('table for research'!Y$1))*2,2)</f>
        <v>00</v>
      </c>
      <c r="Z600" t="str">
        <f>MID('paste from garc here'!$C$2,1+(('table for research'!$B600-456)*36+HEX2DEC('table for research'!Z$1))*2,2)</f>
        <v>02</v>
      </c>
      <c r="AA600" t="str">
        <f>MID('paste from garc here'!$C$2,1+(('table for research'!$B600-456)*36+HEX2DEC('table for research'!AA$1))*2,2)</f>
        <v>00</v>
      </c>
      <c r="AB600" t="str">
        <f>MID('paste from garc here'!$C$2,1+(('table for research'!$B600-456)*36+HEX2DEC('table for research'!AB$1))*2,2)</f>
        <v>00</v>
      </c>
      <c r="AC600" t="str">
        <f>MID('paste from garc here'!$C$2,1+(('table for research'!$B600-456)*36+HEX2DEC('table for research'!AC$1))*2,2)</f>
        <v>00</v>
      </c>
      <c r="AD600" t="str">
        <f>MID('paste from garc here'!$C$2,1+(('table for research'!$B600-456)*36+HEX2DEC('table for research'!AD$1))*2,2)</f>
        <v>00</v>
      </c>
      <c r="AE600" t="str">
        <f>MID('paste from garc here'!$C$2,1+(('table for research'!$B600-456)*36+HEX2DEC('table for research'!AE$1))*2,2)</f>
        <v>00</v>
      </c>
      <c r="AF600" t="str">
        <f>MID('paste from garc here'!$C$2,1+(('table for research'!$B600-456)*36+HEX2DEC('table for research'!AF$1))*2,2)</f>
        <v>00</v>
      </c>
      <c r="AG600" t="str">
        <f>MID('paste from garc here'!$C$2,1+(('table for research'!$B600-456)*36+HEX2DEC('table for research'!AG$1))*2,2)</f>
        <v>00</v>
      </c>
      <c r="AH600" t="str">
        <f>MID('paste from garc here'!$C$2,1+(('table for research'!$B600-456)*36+HEX2DEC('table for research'!AH$1))*2,2)</f>
        <v>00</v>
      </c>
      <c r="AI600" t="str">
        <f>MID('paste from garc here'!$C$2,1+(('table for research'!$B600-456)*36+HEX2DEC('table for research'!AI$1))*2,2)</f>
        <v>00</v>
      </c>
      <c r="AJ600" t="str">
        <f>MID('paste from garc here'!$C$2,1+(('table for research'!$B600-456)*36+HEX2DEC('table for research'!AJ$1))*2,2)</f>
        <v>00</v>
      </c>
      <c r="AK600" t="str">
        <f>MID('paste from garc here'!$C$2,1+(('table for research'!$B600-456)*36+HEX2DEC('table for research'!AK$1))*2,2)</f>
        <v>00</v>
      </c>
      <c r="AL600" t="str">
        <f>MID('paste from garc here'!$C$2,1+(('table for research'!$B600-456)*36+HEX2DEC('table for research'!AL$1))*2,2)</f>
        <v>00</v>
      </c>
      <c r="AM600" t="str">
        <f>MID('paste from garc here'!$C$2,1+(('table for research'!$B600-456)*36+HEX2DEC('table for research'!AM$1))*2,2)</f>
        <v>00</v>
      </c>
      <c r="AN600" t="str">
        <f>MID('paste from garc here'!$C$2,1+(('table for research'!$B600-456)*36+HEX2DEC('table for research'!AN$1))*2,2)</f>
        <v>00</v>
      </c>
      <c r="AO600" t="str">
        <f>MID('paste from garc here'!$C$2,1+(('table for research'!$B600-456)*36+HEX2DEC('table for research'!AO$1))*2,2)</f>
        <v>00</v>
      </c>
    </row>
    <row r="601" spans="1:41" x14ac:dyDescent="0.4">
      <c r="A601" t="s">
        <v>603</v>
      </c>
      <c r="B601">
        <f>B600+1</f>
        <v>599</v>
      </c>
      <c r="C601" t="str">
        <f>MID('paste from garc here'!$C$2,1+(('table for research'!$B601-456)*36+HEX2DEC('table for research'!C$1))*2,2)</f>
        <v>00</v>
      </c>
      <c r="D601" t="str">
        <f>MID('paste from garc here'!$C$2,1+(('table for research'!$B601-456)*36+HEX2DEC('table for research'!D$1))*2,2)</f>
        <v>00</v>
      </c>
      <c r="E601" t="str">
        <f>MID('paste from garc here'!$C$2,1+(('table for research'!$B601-456)*36+HEX2DEC('table for research'!E$1))*2,2)</f>
        <v>00</v>
      </c>
      <c r="F601" t="str">
        <f>MID('paste from garc here'!$C$2,1+(('table for research'!$B601-456)*36+HEX2DEC('table for research'!F$1))*2,2)</f>
        <v>00</v>
      </c>
      <c r="G601" t="str">
        <f>MID('paste from garc here'!$C$2,1+(('table for research'!$B601-456)*36+HEX2DEC('table for research'!G$1))*2,2)</f>
        <v>00</v>
      </c>
      <c r="H601" t="str">
        <f>MID('paste from garc here'!$C$2,1+(('table for research'!$B601-456)*36+HEX2DEC('table for research'!H$1))*2,2)</f>
        <v>00</v>
      </c>
      <c r="I601" t="str">
        <f>MID('paste from garc here'!$C$2,1+(('table for research'!$B601-456)*36+HEX2DEC('table for research'!I$1))*2,2)</f>
        <v>00</v>
      </c>
      <c r="J601" t="str">
        <f>MID('paste from garc here'!$C$2,1+(('table for research'!$B601-456)*36+HEX2DEC('table for research'!J$1))*2,2)</f>
        <v>00</v>
      </c>
      <c r="K601" t="str">
        <f>DEC2HEX(_xlfn.BITAND(HEX2DEC(MID('paste from garc here'!$C$1,1+(('table for research'!$B601-1)*36+HEX2DEC(8))*2,2)),31),2)</f>
        <v>00</v>
      </c>
      <c r="L601" t="str">
        <f>DEC2HEX(_xlfn.BITAND(HEX2DEC(MID('paste from garc here'!$C$1,1+(('table for research'!$B601-1)*36+HEX2DEC(8))*2,2)),32),2)</f>
        <v>00</v>
      </c>
      <c r="M601" t="str">
        <f>DEC2HEX(_xlfn.BITAND(HEX2DEC(MID('paste from garc here'!$C$1,1+(('table for research'!$B601-1)*36+HEX2DEC(8))*2,2)),64),2)</f>
        <v>00</v>
      </c>
      <c r="N601" t="str">
        <f>DEC2HEX(_xlfn.BITRSHIFT(_xlfn.BITAND(HEX2DEC(MID('paste from garc here'!$C$1,1+(('table for research'!$B601-1)*36+HEX2DEC(9))*2,2)&amp;MID('paste from garc here'!$C$1,1+(('table for research'!$B601-1)*36+HEX2DEC(8))*2,2)),1920),7),2)</f>
        <v>00</v>
      </c>
      <c r="O601" t="str">
        <f>DEC2HEX(_xlfn.BITRSHIFT(HEX2DEC(MID('paste from garc here'!$C$1,1+(('table for research'!$B601-1)*36+HEX2DEC(9))*2,2)&amp;MID('paste from garc here'!$C$1,1+(('table for research'!$B601-1)*36+HEX2DEC(8))*2,2)),11),2)</f>
        <v>00</v>
      </c>
      <c r="P601" t="str">
        <f>MID('paste from garc here'!$C$2,1+(('table for research'!$B601-456)*36+HEX2DEC('table for research'!P$1))*2,2)</f>
        <v>00</v>
      </c>
      <c r="Q601" t="str">
        <f>MID('paste from garc here'!$C$2,1+(('table for research'!$B601-456)*36+HEX2DEC('table for research'!Q$1))*2,2)</f>
        <v>00</v>
      </c>
      <c r="R601" t="str">
        <f>MID('paste from garc here'!$C$2,1+(('table for research'!$B601-456)*36+HEX2DEC('table for research'!R$1))*2,2)</f>
        <v>01</v>
      </c>
      <c r="S601" t="str">
        <f>MID('paste from garc here'!$C$2,1+(('table for research'!$B601-456)*36+HEX2DEC('table for research'!S$1))*2,2)</f>
        <v>03</v>
      </c>
      <c r="T601" t="str">
        <f>MID('paste from garc here'!$C$2,1+(('table for research'!$B601-456)*36+HEX2DEC('table for research'!T$1))*2,2)</f>
        <v>00</v>
      </c>
      <c r="U601" t="str">
        <f>MID('paste from garc here'!$C$2,1+(('table for research'!$B601-456)*36+HEX2DEC('table for research'!U$1))*2,2)</f>
        <v>FF</v>
      </c>
      <c r="V601" t="str">
        <f>MID('paste from garc here'!$C$2,1+(('table for research'!$B601-456)*36+HEX2DEC('table for research'!V$1))*2,2)</f>
        <v>00</v>
      </c>
      <c r="W601" t="str">
        <f>MID('paste from garc here'!$C$2,1+(('table for research'!$B601-456)*36+HEX2DEC('table for research'!W$1))*2,2)</f>
        <v>00</v>
      </c>
      <c r="X601" t="str">
        <f>MID('paste from garc here'!$C$2,1+(('table for research'!$B601-456)*36+HEX2DEC('table for research'!X$1))*2,2)</f>
        <v>00</v>
      </c>
      <c r="Y601" t="str">
        <f>MID('paste from garc here'!$C$2,1+(('table for research'!$B601-456)*36+HEX2DEC('table for research'!Y$1))*2,2)</f>
        <v>30</v>
      </c>
      <c r="Z601" t="str">
        <f>MID('paste from garc here'!$C$2,1+(('table for research'!$B601-456)*36+HEX2DEC('table for research'!Z$1))*2,2)</f>
        <v>00</v>
      </c>
      <c r="AA601" t="str">
        <f>MID('paste from garc here'!$C$2,1+(('table for research'!$B601-456)*36+HEX2DEC('table for research'!AA$1))*2,2)</f>
        <v>00</v>
      </c>
      <c r="AB601" t="str">
        <f>MID('paste from garc here'!$C$2,1+(('table for research'!$B601-456)*36+HEX2DEC('table for research'!AB$1))*2,2)</f>
        <v>00</v>
      </c>
      <c r="AC601" t="str">
        <f>MID('paste from garc here'!$C$2,1+(('table for research'!$B601-456)*36+HEX2DEC('table for research'!AC$1))*2,2)</f>
        <v>00</v>
      </c>
      <c r="AD601" t="str">
        <f>MID('paste from garc here'!$C$2,1+(('table for research'!$B601-456)*36+HEX2DEC('table for research'!AD$1))*2,2)</f>
        <v>00</v>
      </c>
      <c r="AE601" t="str">
        <f>MID('paste from garc here'!$C$2,1+(('table for research'!$B601-456)*36+HEX2DEC('table for research'!AE$1))*2,2)</f>
        <v>00</v>
      </c>
      <c r="AF601" t="str">
        <f>MID('paste from garc here'!$C$2,1+(('table for research'!$B601-456)*36+HEX2DEC('table for research'!AF$1))*2,2)</f>
        <v>00</v>
      </c>
      <c r="AG601" t="str">
        <f>MID('paste from garc here'!$C$2,1+(('table for research'!$B601-456)*36+HEX2DEC('table for research'!AG$1))*2,2)</f>
        <v>00</v>
      </c>
      <c r="AH601" t="str">
        <f>MID('paste from garc here'!$C$2,1+(('table for research'!$B601-456)*36+HEX2DEC('table for research'!AH$1))*2,2)</f>
        <v>00</v>
      </c>
      <c r="AI601" t="str">
        <f>MID('paste from garc here'!$C$2,1+(('table for research'!$B601-456)*36+HEX2DEC('table for research'!AI$1))*2,2)</f>
        <v>00</v>
      </c>
      <c r="AJ601" t="str">
        <f>MID('paste from garc here'!$C$2,1+(('table for research'!$B601-456)*36+HEX2DEC('table for research'!AJ$1))*2,2)</f>
        <v>00</v>
      </c>
      <c r="AK601" t="str">
        <f>MID('paste from garc here'!$C$2,1+(('table for research'!$B601-456)*36+HEX2DEC('table for research'!AK$1))*2,2)</f>
        <v>00</v>
      </c>
      <c r="AL601" t="str">
        <f>MID('paste from garc here'!$C$2,1+(('table for research'!$B601-456)*36+HEX2DEC('table for research'!AL$1))*2,2)</f>
        <v>00</v>
      </c>
      <c r="AM601" t="str">
        <f>MID('paste from garc here'!$C$2,1+(('table for research'!$B601-456)*36+HEX2DEC('table for research'!AM$1))*2,2)</f>
        <v>00</v>
      </c>
      <c r="AN601" t="str">
        <f>MID('paste from garc here'!$C$2,1+(('table for research'!$B601-456)*36+HEX2DEC('table for research'!AN$1))*2,2)</f>
        <v>00</v>
      </c>
      <c r="AO601" t="str">
        <f>MID('paste from garc here'!$C$2,1+(('table for research'!$B601-456)*36+HEX2DEC('table for research'!AO$1))*2,2)</f>
        <v>00</v>
      </c>
    </row>
    <row r="602" spans="1:41" x14ac:dyDescent="0.4">
      <c r="A602" t="s">
        <v>604</v>
      </c>
      <c r="B602">
        <f>B601+1</f>
        <v>600</v>
      </c>
      <c r="C602" t="str">
        <f>MID('paste from garc here'!$C$2,1+(('table for research'!$B602-456)*36+HEX2DEC('table for research'!C$1))*2,2)</f>
        <v>00</v>
      </c>
      <c r="D602" t="str">
        <f>MID('paste from garc here'!$C$2,1+(('table for research'!$B602-456)*36+HEX2DEC('table for research'!D$1))*2,2)</f>
        <v>00</v>
      </c>
      <c r="E602" t="str">
        <f>MID('paste from garc here'!$C$2,1+(('table for research'!$B602-456)*36+HEX2DEC('table for research'!E$1))*2,2)</f>
        <v>00</v>
      </c>
      <c r="F602" t="str">
        <f>MID('paste from garc here'!$C$2,1+(('table for research'!$B602-456)*36+HEX2DEC('table for research'!F$1))*2,2)</f>
        <v>00</v>
      </c>
      <c r="G602" t="str">
        <f>MID('paste from garc here'!$C$2,1+(('table for research'!$B602-456)*36+HEX2DEC('table for research'!G$1))*2,2)</f>
        <v>00</v>
      </c>
      <c r="H602" t="str">
        <f>MID('paste from garc here'!$C$2,1+(('table for research'!$B602-456)*36+HEX2DEC('table for research'!H$1))*2,2)</f>
        <v>00</v>
      </c>
      <c r="I602" t="str">
        <f>MID('paste from garc here'!$C$2,1+(('table for research'!$B602-456)*36+HEX2DEC('table for research'!I$1))*2,2)</f>
        <v>00</v>
      </c>
      <c r="J602" t="str">
        <f>MID('paste from garc here'!$C$2,1+(('table for research'!$B602-456)*36+HEX2DEC('table for research'!J$1))*2,2)</f>
        <v>00</v>
      </c>
      <c r="K602" t="str">
        <f>DEC2HEX(_xlfn.BITAND(HEX2DEC(MID('paste from garc here'!$C$1,1+(('table for research'!$B602-1)*36+HEX2DEC(8))*2,2)),31),2)</f>
        <v>00</v>
      </c>
      <c r="L602" t="str">
        <f>DEC2HEX(_xlfn.BITAND(HEX2DEC(MID('paste from garc here'!$C$1,1+(('table for research'!$B602-1)*36+HEX2DEC(8))*2,2)),32),2)</f>
        <v>00</v>
      </c>
      <c r="M602" t="str">
        <f>DEC2HEX(_xlfn.BITAND(HEX2DEC(MID('paste from garc here'!$C$1,1+(('table for research'!$B602-1)*36+HEX2DEC(8))*2,2)),64),2)</f>
        <v>00</v>
      </c>
      <c r="N602" t="str">
        <f>DEC2HEX(_xlfn.BITRSHIFT(_xlfn.BITAND(HEX2DEC(MID('paste from garc here'!$C$1,1+(('table for research'!$B602-1)*36+HEX2DEC(9))*2,2)&amp;MID('paste from garc here'!$C$1,1+(('table for research'!$B602-1)*36+HEX2DEC(8))*2,2)),1920),7),2)</f>
        <v>00</v>
      </c>
      <c r="O602" t="str">
        <f>DEC2HEX(_xlfn.BITRSHIFT(HEX2DEC(MID('paste from garc here'!$C$1,1+(('table for research'!$B602-1)*36+HEX2DEC(9))*2,2)&amp;MID('paste from garc here'!$C$1,1+(('table for research'!$B602-1)*36+HEX2DEC(8))*2,2)),11),2)</f>
        <v>00</v>
      </c>
      <c r="P602" t="str">
        <f>MID('paste from garc here'!$C$2,1+(('table for research'!$B602-456)*36+HEX2DEC('table for research'!P$1))*2,2)</f>
        <v>00</v>
      </c>
      <c r="Q602" t="str">
        <f>MID('paste from garc here'!$C$2,1+(('table for research'!$B602-456)*36+HEX2DEC('table for research'!Q$1))*2,2)</f>
        <v>00</v>
      </c>
      <c r="R602" t="str">
        <f>MID('paste from garc here'!$C$2,1+(('table for research'!$B602-456)*36+HEX2DEC('table for research'!R$1))*2,2)</f>
        <v>01</v>
      </c>
      <c r="S602" t="str">
        <f>MID('paste from garc here'!$C$2,1+(('table for research'!$B602-456)*36+HEX2DEC('table for research'!S$1))*2,2)</f>
        <v>03</v>
      </c>
      <c r="T602" t="str">
        <f>MID('paste from garc here'!$C$2,1+(('table for research'!$B602-456)*36+HEX2DEC('table for research'!T$1))*2,2)</f>
        <v>00</v>
      </c>
      <c r="U602" t="str">
        <f>MID('paste from garc here'!$C$2,1+(('table for research'!$B602-456)*36+HEX2DEC('table for research'!U$1))*2,2)</f>
        <v>FF</v>
      </c>
      <c r="V602" t="str">
        <f>MID('paste from garc here'!$C$2,1+(('table for research'!$B602-456)*36+HEX2DEC('table for research'!V$1))*2,2)</f>
        <v>00</v>
      </c>
      <c r="W602" t="str">
        <f>MID('paste from garc here'!$C$2,1+(('table for research'!$B602-456)*36+HEX2DEC('table for research'!W$1))*2,2)</f>
        <v>00</v>
      </c>
      <c r="X602" t="str">
        <f>MID('paste from garc here'!$C$2,1+(('table for research'!$B602-456)*36+HEX2DEC('table for research'!X$1))*2,2)</f>
        <v>30</v>
      </c>
      <c r="Y602" t="str">
        <f>MID('paste from garc here'!$C$2,1+(('table for research'!$B602-456)*36+HEX2DEC('table for research'!Y$1))*2,2)</f>
        <v>00</v>
      </c>
      <c r="Z602" t="str">
        <f>MID('paste from garc here'!$C$2,1+(('table for research'!$B602-456)*36+HEX2DEC('table for research'!Z$1))*2,2)</f>
        <v>00</v>
      </c>
      <c r="AA602" t="str">
        <f>MID('paste from garc here'!$C$2,1+(('table for research'!$B602-456)*36+HEX2DEC('table for research'!AA$1))*2,2)</f>
        <v>00</v>
      </c>
      <c r="AB602" t="str">
        <f>MID('paste from garc here'!$C$2,1+(('table for research'!$B602-456)*36+HEX2DEC('table for research'!AB$1))*2,2)</f>
        <v>00</v>
      </c>
      <c r="AC602" t="str">
        <f>MID('paste from garc here'!$C$2,1+(('table for research'!$B602-456)*36+HEX2DEC('table for research'!AC$1))*2,2)</f>
        <v>00</v>
      </c>
      <c r="AD602" t="str">
        <f>MID('paste from garc here'!$C$2,1+(('table for research'!$B602-456)*36+HEX2DEC('table for research'!AD$1))*2,2)</f>
        <v>00</v>
      </c>
      <c r="AE602" t="str">
        <f>MID('paste from garc here'!$C$2,1+(('table for research'!$B602-456)*36+HEX2DEC('table for research'!AE$1))*2,2)</f>
        <v>00</v>
      </c>
      <c r="AF602" t="str">
        <f>MID('paste from garc here'!$C$2,1+(('table for research'!$B602-456)*36+HEX2DEC('table for research'!AF$1))*2,2)</f>
        <v>00</v>
      </c>
      <c r="AG602" t="str">
        <f>MID('paste from garc here'!$C$2,1+(('table for research'!$B602-456)*36+HEX2DEC('table for research'!AG$1))*2,2)</f>
        <v>00</v>
      </c>
      <c r="AH602" t="str">
        <f>MID('paste from garc here'!$C$2,1+(('table for research'!$B602-456)*36+HEX2DEC('table for research'!AH$1))*2,2)</f>
        <v>00</v>
      </c>
      <c r="AI602" t="str">
        <f>MID('paste from garc here'!$C$2,1+(('table for research'!$B602-456)*36+HEX2DEC('table for research'!AI$1))*2,2)</f>
        <v>00</v>
      </c>
      <c r="AJ602" t="str">
        <f>MID('paste from garc here'!$C$2,1+(('table for research'!$B602-456)*36+HEX2DEC('table for research'!AJ$1))*2,2)</f>
        <v>00</v>
      </c>
      <c r="AK602" t="str">
        <f>MID('paste from garc here'!$C$2,1+(('table for research'!$B602-456)*36+HEX2DEC('table for research'!AK$1))*2,2)</f>
        <v>00</v>
      </c>
      <c r="AL602" t="str">
        <f>MID('paste from garc here'!$C$2,1+(('table for research'!$B602-456)*36+HEX2DEC('table for research'!AL$1))*2,2)</f>
        <v>00</v>
      </c>
      <c r="AM602" t="str">
        <f>MID('paste from garc here'!$C$2,1+(('table for research'!$B602-456)*36+HEX2DEC('table for research'!AM$1))*2,2)</f>
        <v>00</v>
      </c>
      <c r="AN602" t="str">
        <f>MID('paste from garc here'!$C$2,1+(('table for research'!$B602-456)*36+HEX2DEC('table for research'!AN$1))*2,2)</f>
        <v>00</v>
      </c>
      <c r="AO602" t="str">
        <f>MID('paste from garc here'!$C$2,1+(('table for research'!$B602-456)*36+HEX2DEC('table for research'!AO$1))*2,2)</f>
        <v>00</v>
      </c>
    </row>
    <row r="603" spans="1:41" x14ac:dyDescent="0.4">
      <c r="A603" t="s">
        <v>605</v>
      </c>
      <c r="B603">
        <f>B602+1</f>
        <v>601</v>
      </c>
      <c r="C603" t="str">
        <f>MID('paste from garc here'!$C$2,1+(('table for research'!$B603-456)*36+HEX2DEC('table for research'!C$1))*2,2)</f>
        <v>00</v>
      </c>
      <c r="D603" t="str">
        <f>MID('paste from garc here'!$C$2,1+(('table for research'!$B603-456)*36+HEX2DEC('table for research'!D$1))*2,2)</f>
        <v>00</v>
      </c>
      <c r="E603" t="str">
        <f>MID('paste from garc here'!$C$2,1+(('table for research'!$B603-456)*36+HEX2DEC('table for research'!E$1))*2,2)</f>
        <v>00</v>
      </c>
      <c r="F603" t="str">
        <f>MID('paste from garc here'!$C$2,1+(('table for research'!$B603-456)*36+HEX2DEC('table for research'!F$1))*2,2)</f>
        <v>00</v>
      </c>
      <c r="G603" t="str">
        <f>MID('paste from garc here'!$C$2,1+(('table for research'!$B603-456)*36+HEX2DEC('table for research'!G$1))*2,2)</f>
        <v>00</v>
      </c>
      <c r="H603" t="str">
        <f>MID('paste from garc here'!$C$2,1+(('table for research'!$B603-456)*36+HEX2DEC('table for research'!H$1))*2,2)</f>
        <v>00</v>
      </c>
      <c r="I603" t="str">
        <f>MID('paste from garc here'!$C$2,1+(('table for research'!$B603-456)*36+HEX2DEC('table for research'!I$1))*2,2)</f>
        <v>00</v>
      </c>
      <c r="J603" t="str">
        <f>MID('paste from garc here'!$C$2,1+(('table for research'!$B603-456)*36+HEX2DEC('table for research'!J$1))*2,2)</f>
        <v>00</v>
      </c>
      <c r="K603" t="str">
        <f>DEC2HEX(_xlfn.BITAND(HEX2DEC(MID('paste from garc here'!$C$1,1+(('table for research'!$B603-1)*36+HEX2DEC(8))*2,2)),31),2)</f>
        <v>00</v>
      </c>
      <c r="L603" t="str">
        <f>DEC2HEX(_xlfn.BITAND(HEX2DEC(MID('paste from garc here'!$C$1,1+(('table for research'!$B603-1)*36+HEX2DEC(8))*2,2)),32),2)</f>
        <v>00</v>
      </c>
      <c r="M603" t="str">
        <f>DEC2HEX(_xlfn.BITAND(HEX2DEC(MID('paste from garc here'!$C$1,1+(('table for research'!$B603-1)*36+HEX2DEC(8))*2,2)),64),2)</f>
        <v>00</v>
      </c>
      <c r="N603" t="str">
        <f>DEC2HEX(_xlfn.BITRSHIFT(_xlfn.BITAND(HEX2DEC(MID('paste from garc here'!$C$1,1+(('table for research'!$B603-1)*36+HEX2DEC(9))*2,2)&amp;MID('paste from garc here'!$C$1,1+(('table for research'!$B603-1)*36+HEX2DEC(8))*2,2)),1920),7),2)</f>
        <v>00</v>
      </c>
      <c r="O603" t="str">
        <f>DEC2HEX(_xlfn.BITRSHIFT(HEX2DEC(MID('paste from garc here'!$C$1,1+(('table for research'!$B603-1)*36+HEX2DEC(9))*2,2)&amp;MID('paste from garc here'!$C$1,1+(('table for research'!$B603-1)*36+HEX2DEC(8))*2,2)),11),2)</f>
        <v>00</v>
      </c>
      <c r="P603" t="str">
        <f>MID('paste from garc here'!$C$2,1+(('table for research'!$B603-456)*36+HEX2DEC('table for research'!P$1))*2,2)</f>
        <v>00</v>
      </c>
      <c r="Q603" t="str">
        <f>MID('paste from garc here'!$C$2,1+(('table for research'!$B603-456)*36+HEX2DEC('table for research'!Q$1))*2,2)</f>
        <v>00</v>
      </c>
      <c r="R603" t="str">
        <f>MID('paste from garc here'!$C$2,1+(('table for research'!$B603-456)*36+HEX2DEC('table for research'!R$1))*2,2)</f>
        <v>01</v>
      </c>
      <c r="S603" t="str">
        <f>MID('paste from garc here'!$C$2,1+(('table for research'!$B603-456)*36+HEX2DEC('table for research'!S$1))*2,2)</f>
        <v>03</v>
      </c>
      <c r="T603" t="str">
        <f>MID('paste from garc here'!$C$2,1+(('table for research'!$B603-456)*36+HEX2DEC('table for research'!T$1))*2,2)</f>
        <v>00</v>
      </c>
      <c r="U603" t="str">
        <f>MID('paste from garc here'!$C$2,1+(('table for research'!$B603-456)*36+HEX2DEC('table for research'!U$1))*2,2)</f>
        <v>FF</v>
      </c>
      <c r="V603" t="str">
        <f>MID('paste from garc here'!$C$2,1+(('table for research'!$B603-456)*36+HEX2DEC('table for research'!V$1))*2,2)</f>
        <v>00</v>
      </c>
      <c r="W603" t="str">
        <f>MID('paste from garc here'!$C$2,1+(('table for research'!$B603-456)*36+HEX2DEC('table for research'!W$1))*2,2)</f>
        <v>00</v>
      </c>
      <c r="X603" t="str">
        <f>MID('paste from garc here'!$C$2,1+(('table for research'!$B603-456)*36+HEX2DEC('table for research'!X$1))*2,2)</f>
        <v>00</v>
      </c>
      <c r="Y603" t="str">
        <f>MID('paste from garc here'!$C$2,1+(('table for research'!$B603-456)*36+HEX2DEC('table for research'!Y$1))*2,2)</f>
        <v>03</v>
      </c>
      <c r="Z603" t="str">
        <f>MID('paste from garc here'!$C$2,1+(('table for research'!$B603-456)*36+HEX2DEC('table for research'!Z$1))*2,2)</f>
        <v>00</v>
      </c>
      <c r="AA603" t="str">
        <f>MID('paste from garc here'!$C$2,1+(('table for research'!$B603-456)*36+HEX2DEC('table for research'!AA$1))*2,2)</f>
        <v>00</v>
      </c>
      <c r="AB603" t="str">
        <f>MID('paste from garc here'!$C$2,1+(('table for research'!$B603-456)*36+HEX2DEC('table for research'!AB$1))*2,2)</f>
        <v>00</v>
      </c>
      <c r="AC603" t="str">
        <f>MID('paste from garc here'!$C$2,1+(('table for research'!$B603-456)*36+HEX2DEC('table for research'!AC$1))*2,2)</f>
        <v>00</v>
      </c>
      <c r="AD603" t="str">
        <f>MID('paste from garc here'!$C$2,1+(('table for research'!$B603-456)*36+HEX2DEC('table for research'!AD$1))*2,2)</f>
        <v>00</v>
      </c>
      <c r="AE603" t="str">
        <f>MID('paste from garc here'!$C$2,1+(('table for research'!$B603-456)*36+HEX2DEC('table for research'!AE$1))*2,2)</f>
        <v>00</v>
      </c>
      <c r="AF603" t="str">
        <f>MID('paste from garc here'!$C$2,1+(('table for research'!$B603-456)*36+HEX2DEC('table for research'!AF$1))*2,2)</f>
        <v>00</v>
      </c>
      <c r="AG603" t="str">
        <f>MID('paste from garc here'!$C$2,1+(('table for research'!$B603-456)*36+HEX2DEC('table for research'!AG$1))*2,2)</f>
        <v>00</v>
      </c>
      <c r="AH603" t="str">
        <f>MID('paste from garc here'!$C$2,1+(('table for research'!$B603-456)*36+HEX2DEC('table for research'!AH$1))*2,2)</f>
        <v>00</v>
      </c>
      <c r="AI603" t="str">
        <f>MID('paste from garc here'!$C$2,1+(('table for research'!$B603-456)*36+HEX2DEC('table for research'!AI$1))*2,2)</f>
        <v>00</v>
      </c>
      <c r="AJ603" t="str">
        <f>MID('paste from garc here'!$C$2,1+(('table for research'!$B603-456)*36+HEX2DEC('table for research'!AJ$1))*2,2)</f>
        <v>00</v>
      </c>
      <c r="AK603" t="str">
        <f>MID('paste from garc here'!$C$2,1+(('table for research'!$B603-456)*36+HEX2DEC('table for research'!AK$1))*2,2)</f>
        <v>00</v>
      </c>
      <c r="AL603" t="str">
        <f>MID('paste from garc here'!$C$2,1+(('table for research'!$B603-456)*36+HEX2DEC('table for research'!AL$1))*2,2)</f>
        <v>00</v>
      </c>
      <c r="AM603" t="str">
        <f>MID('paste from garc here'!$C$2,1+(('table for research'!$B603-456)*36+HEX2DEC('table for research'!AM$1))*2,2)</f>
        <v>00</v>
      </c>
      <c r="AN603" t="str">
        <f>MID('paste from garc here'!$C$2,1+(('table for research'!$B603-456)*36+HEX2DEC('table for research'!AN$1))*2,2)</f>
        <v>00</v>
      </c>
      <c r="AO603" t="str">
        <f>MID('paste from garc here'!$C$2,1+(('table for research'!$B603-456)*36+HEX2DEC('table for research'!AO$1))*2,2)</f>
        <v>00</v>
      </c>
    </row>
    <row r="604" spans="1:41" x14ac:dyDescent="0.4">
      <c r="A604" t="s">
        <v>606</v>
      </c>
      <c r="B604">
        <f>B603+1</f>
        <v>602</v>
      </c>
      <c r="C604" t="str">
        <f>MID('paste from garc here'!$C$2,1+(('table for research'!$B604-456)*36+HEX2DEC('table for research'!C$1))*2,2)</f>
        <v>00</v>
      </c>
      <c r="D604" t="str">
        <f>MID('paste from garc here'!$C$2,1+(('table for research'!$B604-456)*36+HEX2DEC('table for research'!D$1))*2,2)</f>
        <v>00</v>
      </c>
      <c r="E604" t="str">
        <f>MID('paste from garc here'!$C$2,1+(('table for research'!$B604-456)*36+HEX2DEC('table for research'!E$1))*2,2)</f>
        <v>00</v>
      </c>
      <c r="F604" t="str">
        <f>MID('paste from garc here'!$C$2,1+(('table for research'!$B604-456)*36+HEX2DEC('table for research'!F$1))*2,2)</f>
        <v>00</v>
      </c>
      <c r="G604" t="str">
        <f>MID('paste from garc here'!$C$2,1+(('table for research'!$B604-456)*36+HEX2DEC('table for research'!G$1))*2,2)</f>
        <v>00</v>
      </c>
      <c r="H604" t="str">
        <f>MID('paste from garc here'!$C$2,1+(('table for research'!$B604-456)*36+HEX2DEC('table for research'!H$1))*2,2)</f>
        <v>00</v>
      </c>
      <c r="I604" t="str">
        <f>MID('paste from garc here'!$C$2,1+(('table for research'!$B604-456)*36+HEX2DEC('table for research'!I$1))*2,2)</f>
        <v>00</v>
      </c>
      <c r="J604" t="str">
        <f>MID('paste from garc here'!$C$2,1+(('table for research'!$B604-456)*36+HEX2DEC('table for research'!J$1))*2,2)</f>
        <v>00</v>
      </c>
      <c r="K604" t="str">
        <f>DEC2HEX(_xlfn.BITAND(HEX2DEC(MID('paste from garc here'!$C$1,1+(('table for research'!$B604-1)*36+HEX2DEC(8))*2,2)),31),2)</f>
        <v>00</v>
      </c>
      <c r="L604" t="str">
        <f>DEC2HEX(_xlfn.BITAND(HEX2DEC(MID('paste from garc here'!$C$1,1+(('table for research'!$B604-1)*36+HEX2DEC(8))*2,2)),32),2)</f>
        <v>00</v>
      </c>
      <c r="M604" t="str">
        <f>DEC2HEX(_xlfn.BITAND(HEX2DEC(MID('paste from garc here'!$C$1,1+(('table for research'!$B604-1)*36+HEX2DEC(8))*2,2)),64),2)</f>
        <v>00</v>
      </c>
      <c r="N604" t="str">
        <f>DEC2HEX(_xlfn.BITRSHIFT(_xlfn.BITAND(HEX2DEC(MID('paste from garc here'!$C$1,1+(('table for research'!$B604-1)*36+HEX2DEC(9))*2,2)&amp;MID('paste from garc here'!$C$1,1+(('table for research'!$B604-1)*36+HEX2DEC(8))*2,2)),1920),7),2)</f>
        <v>00</v>
      </c>
      <c r="O604" t="str">
        <f>DEC2HEX(_xlfn.BITRSHIFT(HEX2DEC(MID('paste from garc here'!$C$1,1+(('table for research'!$B604-1)*36+HEX2DEC(9))*2,2)&amp;MID('paste from garc here'!$C$1,1+(('table for research'!$B604-1)*36+HEX2DEC(8))*2,2)),11),2)</f>
        <v>00</v>
      </c>
      <c r="P604" t="str">
        <f>MID('paste from garc here'!$C$2,1+(('table for research'!$B604-456)*36+HEX2DEC('table for research'!P$1))*2,2)</f>
        <v>00</v>
      </c>
      <c r="Q604" t="str">
        <f>MID('paste from garc here'!$C$2,1+(('table for research'!$B604-456)*36+HEX2DEC('table for research'!Q$1))*2,2)</f>
        <v>00</v>
      </c>
      <c r="R604" t="str">
        <f>MID('paste from garc here'!$C$2,1+(('table for research'!$B604-456)*36+HEX2DEC('table for research'!R$1))*2,2)</f>
        <v>01</v>
      </c>
      <c r="S604" t="str">
        <f>MID('paste from garc here'!$C$2,1+(('table for research'!$B604-456)*36+HEX2DEC('table for research'!S$1))*2,2)</f>
        <v>03</v>
      </c>
      <c r="T604" t="str">
        <f>MID('paste from garc here'!$C$2,1+(('table for research'!$B604-456)*36+HEX2DEC('table for research'!T$1))*2,2)</f>
        <v>00</v>
      </c>
      <c r="U604" t="str">
        <f>MID('paste from garc here'!$C$2,1+(('table for research'!$B604-456)*36+HEX2DEC('table for research'!U$1))*2,2)</f>
        <v>FF</v>
      </c>
      <c r="V604" t="str">
        <f>MID('paste from garc here'!$C$2,1+(('table for research'!$B604-456)*36+HEX2DEC('table for research'!V$1))*2,2)</f>
        <v>00</v>
      </c>
      <c r="W604" t="str">
        <f>MID('paste from garc here'!$C$2,1+(('table for research'!$B604-456)*36+HEX2DEC('table for research'!W$1))*2,2)</f>
        <v>00</v>
      </c>
      <c r="X604" t="str">
        <f>MID('paste from garc here'!$C$2,1+(('table for research'!$B604-456)*36+HEX2DEC('table for research'!X$1))*2,2)</f>
        <v>03</v>
      </c>
      <c r="Y604" t="str">
        <f>MID('paste from garc here'!$C$2,1+(('table for research'!$B604-456)*36+HEX2DEC('table for research'!Y$1))*2,2)</f>
        <v>00</v>
      </c>
      <c r="Z604" t="str">
        <f>MID('paste from garc here'!$C$2,1+(('table for research'!$B604-456)*36+HEX2DEC('table for research'!Z$1))*2,2)</f>
        <v>00</v>
      </c>
      <c r="AA604" t="str">
        <f>MID('paste from garc here'!$C$2,1+(('table for research'!$B604-456)*36+HEX2DEC('table for research'!AA$1))*2,2)</f>
        <v>00</v>
      </c>
      <c r="AB604" t="str">
        <f>MID('paste from garc here'!$C$2,1+(('table for research'!$B604-456)*36+HEX2DEC('table for research'!AB$1))*2,2)</f>
        <v>00</v>
      </c>
      <c r="AC604" t="str">
        <f>MID('paste from garc here'!$C$2,1+(('table for research'!$B604-456)*36+HEX2DEC('table for research'!AC$1))*2,2)</f>
        <v>00</v>
      </c>
      <c r="AD604" t="str">
        <f>MID('paste from garc here'!$C$2,1+(('table for research'!$B604-456)*36+HEX2DEC('table for research'!AD$1))*2,2)</f>
        <v>00</v>
      </c>
      <c r="AE604" t="str">
        <f>MID('paste from garc here'!$C$2,1+(('table for research'!$B604-456)*36+HEX2DEC('table for research'!AE$1))*2,2)</f>
        <v>00</v>
      </c>
      <c r="AF604" t="str">
        <f>MID('paste from garc here'!$C$2,1+(('table for research'!$B604-456)*36+HEX2DEC('table for research'!AF$1))*2,2)</f>
        <v>00</v>
      </c>
      <c r="AG604" t="str">
        <f>MID('paste from garc here'!$C$2,1+(('table for research'!$B604-456)*36+HEX2DEC('table for research'!AG$1))*2,2)</f>
        <v>00</v>
      </c>
      <c r="AH604" t="str">
        <f>MID('paste from garc here'!$C$2,1+(('table for research'!$B604-456)*36+HEX2DEC('table for research'!AH$1))*2,2)</f>
        <v>00</v>
      </c>
      <c r="AI604" t="str">
        <f>MID('paste from garc here'!$C$2,1+(('table for research'!$B604-456)*36+HEX2DEC('table for research'!AI$1))*2,2)</f>
        <v>00</v>
      </c>
      <c r="AJ604" t="str">
        <f>MID('paste from garc here'!$C$2,1+(('table for research'!$B604-456)*36+HEX2DEC('table for research'!AJ$1))*2,2)</f>
        <v>00</v>
      </c>
      <c r="AK604" t="str">
        <f>MID('paste from garc here'!$C$2,1+(('table for research'!$B604-456)*36+HEX2DEC('table for research'!AK$1))*2,2)</f>
        <v>00</v>
      </c>
      <c r="AL604" t="str">
        <f>MID('paste from garc here'!$C$2,1+(('table for research'!$B604-456)*36+HEX2DEC('table for research'!AL$1))*2,2)</f>
        <v>00</v>
      </c>
      <c r="AM604" t="str">
        <f>MID('paste from garc here'!$C$2,1+(('table for research'!$B604-456)*36+HEX2DEC('table for research'!AM$1))*2,2)</f>
        <v>00</v>
      </c>
      <c r="AN604" t="str">
        <f>MID('paste from garc here'!$C$2,1+(('table for research'!$B604-456)*36+HEX2DEC('table for research'!AN$1))*2,2)</f>
        <v>00</v>
      </c>
      <c r="AO604" t="str">
        <f>MID('paste from garc here'!$C$2,1+(('table for research'!$B604-456)*36+HEX2DEC('table for research'!AO$1))*2,2)</f>
        <v>00</v>
      </c>
    </row>
    <row r="605" spans="1:41" x14ac:dyDescent="0.4">
      <c r="A605" t="s">
        <v>607</v>
      </c>
      <c r="B605">
        <f>B604+1</f>
        <v>603</v>
      </c>
      <c r="C605" t="str">
        <f>MID('paste from garc here'!$C$2,1+(('table for research'!$B605-456)*36+HEX2DEC('table for research'!C$1))*2,2)</f>
        <v>00</v>
      </c>
      <c r="D605" t="str">
        <f>MID('paste from garc here'!$C$2,1+(('table for research'!$B605-456)*36+HEX2DEC('table for research'!D$1))*2,2)</f>
        <v>00</v>
      </c>
      <c r="E605" t="str">
        <f>MID('paste from garc here'!$C$2,1+(('table for research'!$B605-456)*36+HEX2DEC('table for research'!E$1))*2,2)</f>
        <v>00</v>
      </c>
      <c r="F605" t="str">
        <f>MID('paste from garc here'!$C$2,1+(('table for research'!$B605-456)*36+HEX2DEC('table for research'!F$1))*2,2)</f>
        <v>00</v>
      </c>
      <c r="G605" t="str">
        <f>MID('paste from garc here'!$C$2,1+(('table for research'!$B605-456)*36+HEX2DEC('table for research'!G$1))*2,2)</f>
        <v>00</v>
      </c>
      <c r="H605" t="str">
        <f>MID('paste from garc here'!$C$2,1+(('table for research'!$B605-456)*36+HEX2DEC('table for research'!H$1))*2,2)</f>
        <v>00</v>
      </c>
      <c r="I605" t="str">
        <f>MID('paste from garc here'!$C$2,1+(('table for research'!$B605-456)*36+HEX2DEC('table for research'!I$1))*2,2)</f>
        <v>00</v>
      </c>
      <c r="J605" t="str">
        <f>MID('paste from garc here'!$C$2,1+(('table for research'!$B605-456)*36+HEX2DEC('table for research'!J$1))*2,2)</f>
        <v>00</v>
      </c>
      <c r="K605" t="str">
        <f>DEC2HEX(_xlfn.BITAND(HEX2DEC(MID('paste from garc here'!$C$1,1+(('table for research'!$B605-1)*36+HEX2DEC(8))*2,2)),31),2)</f>
        <v>00</v>
      </c>
      <c r="L605" t="str">
        <f>DEC2HEX(_xlfn.BITAND(HEX2DEC(MID('paste from garc here'!$C$1,1+(('table for research'!$B605-1)*36+HEX2DEC(8))*2,2)),32),2)</f>
        <v>00</v>
      </c>
      <c r="M605" t="str">
        <f>DEC2HEX(_xlfn.BITAND(HEX2DEC(MID('paste from garc here'!$C$1,1+(('table for research'!$B605-1)*36+HEX2DEC(8))*2,2)),64),2)</f>
        <v>00</v>
      </c>
      <c r="N605" t="str">
        <f>DEC2HEX(_xlfn.BITRSHIFT(_xlfn.BITAND(HEX2DEC(MID('paste from garc here'!$C$1,1+(('table for research'!$B605-1)*36+HEX2DEC(9))*2,2)&amp;MID('paste from garc here'!$C$1,1+(('table for research'!$B605-1)*36+HEX2DEC(8))*2,2)),1920),7),2)</f>
        <v>00</v>
      </c>
      <c r="O605" t="str">
        <f>DEC2HEX(_xlfn.BITRSHIFT(HEX2DEC(MID('paste from garc here'!$C$1,1+(('table for research'!$B605-1)*36+HEX2DEC(9))*2,2)&amp;MID('paste from garc here'!$C$1,1+(('table for research'!$B605-1)*36+HEX2DEC(8))*2,2)),11),2)</f>
        <v>00</v>
      </c>
      <c r="P605" t="str">
        <f>MID('paste from garc here'!$C$2,1+(('table for research'!$B605-456)*36+HEX2DEC('table for research'!P$1))*2,2)</f>
        <v>00</v>
      </c>
      <c r="Q605" t="str">
        <f>MID('paste from garc here'!$C$2,1+(('table for research'!$B605-456)*36+HEX2DEC('table for research'!Q$1))*2,2)</f>
        <v>00</v>
      </c>
      <c r="R605" t="str">
        <f>MID('paste from garc here'!$C$2,1+(('table for research'!$B605-456)*36+HEX2DEC('table for research'!R$1))*2,2)</f>
        <v>01</v>
      </c>
      <c r="S605" t="str">
        <f>MID('paste from garc here'!$C$2,1+(('table for research'!$B605-456)*36+HEX2DEC('table for research'!S$1))*2,2)</f>
        <v>03</v>
      </c>
      <c r="T605" t="str">
        <f>MID('paste from garc here'!$C$2,1+(('table for research'!$B605-456)*36+HEX2DEC('table for research'!T$1))*2,2)</f>
        <v>00</v>
      </c>
      <c r="U605" t="str">
        <f>MID('paste from garc here'!$C$2,1+(('table for research'!$B605-456)*36+HEX2DEC('table for research'!U$1))*2,2)</f>
        <v>FF</v>
      </c>
      <c r="V605" t="str">
        <f>MID('paste from garc here'!$C$2,1+(('table for research'!$B605-456)*36+HEX2DEC('table for research'!V$1))*2,2)</f>
        <v>00</v>
      </c>
      <c r="W605" t="str">
        <f>MID('paste from garc here'!$C$2,1+(('table for research'!$B605-456)*36+HEX2DEC('table for research'!W$1))*2,2)</f>
        <v>30</v>
      </c>
      <c r="X605" t="str">
        <f>MID('paste from garc here'!$C$2,1+(('table for research'!$B605-456)*36+HEX2DEC('table for research'!X$1))*2,2)</f>
        <v>00</v>
      </c>
      <c r="Y605" t="str">
        <f>MID('paste from garc here'!$C$2,1+(('table for research'!$B605-456)*36+HEX2DEC('table for research'!Y$1))*2,2)</f>
        <v>00</v>
      </c>
      <c r="Z605" t="str">
        <f>MID('paste from garc here'!$C$2,1+(('table for research'!$B605-456)*36+HEX2DEC('table for research'!Z$1))*2,2)</f>
        <v>00</v>
      </c>
      <c r="AA605" t="str">
        <f>MID('paste from garc here'!$C$2,1+(('table for research'!$B605-456)*36+HEX2DEC('table for research'!AA$1))*2,2)</f>
        <v>00</v>
      </c>
      <c r="AB605" t="str">
        <f>MID('paste from garc here'!$C$2,1+(('table for research'!$B605-456)*36+HEX2DEC('table for research'!AB$1))*2,2)</f>
        <v>00</v>
      </c>
      <c r="AC605" t="str">
        <f>MID('paste from garc here'!$C$2,1+(('table for research'!$B605-456)*36+HEX2DEC('table for research'!AC$1))*2,2)</f>
        <v>00</v>
      </c>
      <c r="AD605" t="str">
        <f>MID('paste from garc here'!$C$2,1+(('table for research'!$B605-456)*36+HEX2DEC('table for research'!AD$1))*2,2)</f>
        <v>00</v>
      </c>
      <c r="AE605" t="str">
        <f>MID('paste from garc here'!$C$2,1+(('table for research'!$B605-456)*36+HEX2DEC('table for research'!AE$1))*2,2)</f>
        <v>00</v>
      </c>
      <c r="AF605" t="str">
        <f>MID('paste from garc here'!$C$2,1+(('table for research'!$B605-456)*36+HEX2DEC('table for research'!AF$1))*2,2)</f>
        <v>00</v>
      </c>
      <c r="AG605" t="str">
        <f>MID('paste from garc here'!$C$2,1+(('table for research'!$B605-456)*36+HEX2DEC('table for research'!AG$1))*2,2)</f>
        <v>00</v>
      </c>
      <c r="AH605" t="str">
        <f>MID('paste from garc here'!$C$2,1+(('table for research'!$B605-456)*36+HEX2DEC('table for research'!AH$1))*2,2)</f>
        <v>00</v>
      </c>
      <c r="AI605" t="str">
        <f>MID('paste from garc here'!$C$2,1+(('table for research'!$B605-456)*36+HEX2DEC('table for research'!AI$1))*2,2)</f>
        <v>00</v>
      </c>
      <c r="AJ605" t="str">
        <f>MID('paste from garc here'!$C$2,1+(('table for research'!$B605-456)*36+HEX2DEC('table for research'!AJ$1))*2,2)</f>
        <v>00</v>
      </c>
      <c r="AK605" t="str">
        <f>MID('paste from garc here'!$C$2,1+(('table for research'!$B605-456)*36+HEX2DEC('table for research'!AK$1))*2,2)</f>
        <v>00</v>
      </c>
      <c r="AL605" t="str">
        <f>MID('paste from garc here'!$C$2,1+(('table for research'!$B605-456)*36+HEX2DEC('table for research'!AL$1))*2,2)</f>
        <v>00</v>
      </c>
      <c r="AM605" t="str">
        <f>MID('paste from garc here'!$C$2,1+(('table for research'!$B605-456)*36+HEX2DEC('table for research'!AM$1))*2,2)</f>
        <v>00</v>
      </c>
      <c r="AN605" t="str">
        <f>MID('paste from garc here'!$C$2,1+(('table for research'!$B605-456)*36+HEX2DEC('table for research'!AN$1))*2,2)</f>
        <v>00</v>
      </c>
      <c r="AO605" t="str">
        <f>MID('paste from garc here'!$C$2,1+(('table for research'!$B605-456)*36+HEX2DEC('table for research'!AO$1))*2,2)</f>
        <v>00</v>
      </c>
    </row>
    <row r="606" spans="1:41" x14ac:dyDescent="0.4">
      <c r="A606" t="s">
        <v>608</v>
      </c>
      <c r="B606">
        <f>B605+1</f>
        <v>604</v>
      </c>
      <c r="C606" t="str">
        <f>MID('paste from garc here'!$C$2,1+(('table for research'!$B606-456)*36+HEX2DEC('table for research'!C$1))*2,2)</f>
        <v>00</v>
      </c>
      <c r="D606" t="str">
        <f>MID('paste from garc here'!$C$2,1+(('table for research'!$B606-456)*36+HEX2DEC('table for research'!D$1))*2,2)</f>
        <v>00</v>
      </c>
      <c r="E606" t="str">
        <f>MID('paste from garc here'!$C$2,1+(('table for research'!$B606-456)*36+HEX2DEC('table for research'!E$1))*2,2)</f>
        <v>00</v>
      </c>
      <c r="F606" t="str">
        <f>MID('paste from garc here'!$C$2,1+(('table for research'!$B606-456)*36+HEX2DEC('table for research'!F$1))*2,2)</f>
        <v>00</v>
      </c>
      <c r="G606" t="str">
        <f>MID('paste from garc here'!$C$2,1+(('table for research'!$B606-456)*36+HEX2DEC('table for research'!G$1))*2,2)</f>
        <v>00</v>
      </c>
      <c r="H606" t="str">
        <f>MID('paste from garc here'!$C$2,1+(('table for research'!$B606-456)*36+HEX2DEC('table for research'!H$1))*2,2)</f>
        <v>00</v>
      </c>
      <c r="I606" t="str">
        <f>MID('paste from garc here'!$C$2,1+(('table for research'!$B606-456)*36+HEX2DEC('table for research'!I$1))*2,2)</f>
        <v>00</v>
      </c>
      <c r="J606" t="str">
        <f>MID('paste from garc here'!$C$2,1+(('table for research'!$B606-456)*36+HEX2DEC('table for research'!J$1))*2,2)</f>
        <v>00</v>
      </c>
      <c r="K606" t="str">
        <f>DEC2HEX(_xlfn.BITAND(HEX2DEC(MID('paste from garc here'!$C$1,1+(('table for research'!$B606-1)*36+HEX2DEC(8))*2,2)),31),2)</f>
        <v>00</v>
      </c>
      <c r="L606" t="str">
        <f>DEC2HEX(_xlfn.BITAND(HEX2DEC(MID('paste from garc here'!$C$1,1+(('table for research'!$B606-1)*36+HEX2DEC(8))*2,2)),32),2)</f>
        <v>00</v>
      </c>
      <c r="M606" t="str">
        <f>DEC2HEX(_xlfn.BITAND(HEX2DEC(MID('paste from garc here'!$C$1,1+(('table for research'!$B606-1)*36+HEX2DEC(8))*2,2)),64),2)</f>
        <v>00</v>
      </c>
      <c r="N606" t="str">
        <f>DEC2HEX(_xlfn.BITRSHIFT(_xlfn.BITAND(HEX2DEC(MID('paste from garc here'!$C$1,1+(('table for research'!$B606-1)*36+HEX2DEC(9))*2,2)&amp;MID('paste from garc here'!$C$1,1+(('table for research'!$B606-1)*36+HEX2DEC(8))*2,2)),1920),7),2)</f>
        <v>00</v>
      </c>
      <c r="O606" t="str">
        <f>DEC2HEX(_xlfn.BITRSHIFT(HEX2DEC(MID('paste from garc here'!$C$1,1+(('table for research'!$B606-1)*36+HEX2DEC(9))*2,2)&amp;MID('paste from garc here'!$C$1,1+(('table for research'!$B606-1)*36+HEX2DEC(8))*2,2)),11),2)</f>
        <v>00</v>
      </c>
      <c r="P606" t="str">
        <f>MID('paste from garc here'!$C$2,1+(('table for research'!$B606-456)*36+HEX2DEC('table for research'!P$1))*2,2)</f>
        <v>00</v>
      </c>
      <c r="Q606" t="str">
        <f>MID('paste from garc here'!$C$2,1+(('table for research'!$B606-456)*36+HEX2DEC('table for research'!Q$1))*2,2)</f>
        <v>00</v>
      </c>
      <c r="R606" t="str">
        <f>MID('paste from garc here'!$C$2,1+(('table for research'!$B606-456)*36+HEX2DEC('table for research'!R$1))*2,2)</f>
        <v>01</v>
      </c>
      <c r="S606" t="str">
        <f>MID('paste from garc here'!$C$2,1+(('table for research'!$B606-456)*36+HEX2DEC('table for research'!S$1))*2,2)</f>
        <v>03</v>
      </c>
      <c r="T606" t="str">
        <f>MID('paste from garc here'!$C$2,1+(('table for research'!$B606-456)*36+HEX2DEC('table for research'!T$1))*2,2)</f>
        <v>00</v>
      </c>
      <c r="U606" t="str">
        <f>MID('paste from garc here'!$C$2,1+(('table for research'!$B606-456)*36+HEX2DEC('table for research'!U$1))*2,2)</f>
        <v>FF</v>
      </c>
      <c r="V606" t="str">
        <f>MID('paste from garc here'!$C$2,1+(('table for research'!$B606-456)*36+HEX2DEC('table for research'!V$1))*2,2)</f>
        <v>00</v>
      </c>
      <c r="W606" t="str">
        <f>MID('paste from garc here'!$C$2,1+(('table for research'!$B606-456)*36+HEX2DEC('table for research'!W$1))*2,2)</f>
        <v>00</v>
      </c>
      <c r="X606" t="str">
        <f>MID('paste from garc here'!$C$2,1+(('table for research'!$B606-456)*36+HEX2DEC('table for research'!X$1))*2,2)</f>
        <v>00</v>
      </c>
      <c r="Y606" t="str">
        <f>MID('paste from garc here'!$C$2,1+(('table for research'!$B606-456)*36+HEX2DEC('table for research'!Y$1))*2,2)</f>
        <v>00</v>
      </c>
      <c r="Z606" t="str">
        <f>MID('paste from garc here'!$C$2,1+(('table for research'!$B606-456)*36+HEX2DEC('table for research'!Z$1))*2,2)</f>
        <v>03</v>
      </c>
      <c r="AA606" t="str">
        <f>MID('paste from garc here'!$C$2,1+(('table for research'!$B606-456)*36+HEX2DEC('table for research'!AA$1))*2,2)</f>
        <v>00</v>
      </c>
      <c r="AB606" t="str">
        <f>MID('paste from garc here'!$C$2,1+(('table for research'!$B606-456)*36+HEX2DEC('table for research'!AB$1))*2,2)</f>
        <v>00</v>
      </c>
      <c r="AC606" t="str">
        <f>MID('paste from garc here'!$C$2,1+(('table for research'!$B606-456)*36+HEX2DEC('table for research'!AC$1))*2,2)</f>
        <v>00</v>
      </c>
      <c r="AD606" t="str">
        <f>MID('paste from garc here'!$C$2,1+(('table for research'!$B606-456)*36+HEX2DEC('table for research'!AD$1))*2,2)</f>
        <v>00</v>
      </c>
      <c r="AE606" t="str">
        <f>MID('paste from garc here'!$C$2,1+(('table for research'!$B606-456)*36+HEX2DEC('table for research'!AE$1))*2,2)</f>
        <v>00</v>
      </c>
      <c r="AF606" t="str">
        <f>MID('paste from garc here'!$C$2,1+(('table for research'!$B606-456)*36+HEX2DEC('table for research'!AF$1))*2,2)</f>
        <v>00</v>
      </c>
      <c r="AG606" t="str">
        <f>MID('paste from garc here'!$C$2,1+(('table for research'!$B606-456)*36+HEX2DEC('table for research'!AG$1))*2,2)</f>
        <v>00</v>
      </c>
      <c r="AH606" t="str">
        <f>MID('paste from garc here'!$C$2,1+(('table for research'!$B606-456)*36+HEX2DEC('table for research'!AH$1))*2,2)</f>
        <v>00</v>
      </c>
      <c r="AI606" t="str">
        <f>MID('paste from garc here'!$C$2,1+(('table for research'!$B606-456)*36+HEX2DEC('table for research'!AI$1))*2,2)</f>
        <v>00</v>
      </c>
      <c r="AJ606" t="str">
        <f>MID('paste from garc here'!$C$2,1+(('table for research'!$B606-456)*36+HEX2DEC('table for research'!AJ$1))*2,2)</f>
        <v>00</v>
      </c>
      <c r="AK606" t="str">
        <f>MID('paste from garc here'!$C$2,1+(('table for research'!$B606-456)*36+HEX2DEC('table for research'!AK$1))*2,2)</f>
        <v>00</v>
      </c>
      <c r="AL606" t="str">
        <f>MID('paste from garc here'!$C$2,1+(('table for research'!$B606-456)*36+HEX2DEC('table for research'!AL$1))*2,2)</f>
        <v>00</v>
      </c>
      <c r="AM606" t="str">
        <f>MID('paste from garc here'!$C$2,1+(('table for research'!$B606-456)*36+HEX2DEC('table for research'!AM$1))*2,2)</f>
        <v>00</v>
      </c>
      <c r="AN606" t="str">
        <f>MID('paste from garc here'!$C$2,1+(('table for research'!$B606-456)*36+HEX2DEC('table for research'!AN$1))*2,2)</f>
        <v>00</v>
      </c>
      <c r="AO606" t="str">
        <f>MID('paste from garc here'!$C$2,1+(('table for research'!$B606-456)*36+HEX2DEC('table for research'!AO$1))*2,2)</f>
        <v>00</v>
      </c>
    </row>
    <row r="607" spans="1:41" x14ac:dyDescent="0.4">
      <c r="A607" t="s">
        <v>609</v>
      </c>
      <c r="B607">
        <f>B606+1</f>
        <v>605</v>
      </c>
      <c r="C607" t="str">
        <f>MID('paste from garc here'!$C$2,1+(('table for research'!$B607-456)*36+HEX2DEC('table for research'!C$1))*2,2)</f>
        <v>00</v>
      </c>
      <c r="D607" t="str">
        <f>MID('paste from garc here'!$C$2,1+(('table for research'!$B607-456)*36+HEX2DEC('table for research'!D$1))*2,2)</f>
        <v>00</v>
      </c>
      <c r="E607" t="str">
        <f>MID('paste from garc here'!$C$2,1+(('table for research'!$B607-456)*36+HEX2DEC('table for research'!E$1))*2,2)</f>
        <v>00</v>
      </c>
      <c r="F607" t="str">
        <f>MID('paste from garc here'!$C$2,1+(('table for research'!$B607-456)*36+HEX2DEC('table for research'!F$1))*2,2)</f>
        <v>00</v>
      </c>
      <c r="G607" t="str">
        <f>MID('paste from garc here'!$C$2,1+(('table for research'!$B607-456)*36+HEX2DEC('table for research'!G$1))*2,2)</f>
        <v>00</v>
      </c>
      <c r="H607" t="str">
        <f>MID('paste from garc here'!$C$2,1+(('table for research'!$B607-456)*36+HEX2DEC('table for research'!H$1))*2,2)</f>
        <v>00</v>
      </c>
      <c r="I607" t="str">
        <f>MID('paste from garc here'!$C$2,1+(('table for research'!$B607-456)*36+HEX2DEC('table for research'!I$1))*2,2)</f>
        <v>00</v>
      </c>
      <c r="J607" t="str">
        <f>MID('paste from garc here'!$C$2,1+(('table for research'!$B607-456)*36+HEX2DEC('table for research'!J$1))*2,2)</f>
        <v>00</v>
      </c>
      <c r="K607" t="str">
        <f>DEC2HEX(_xlfn.BITAND(HEX2DEC(MID('paste from garc here'!$C$1,1+(('table for research'!$B607-1)*36+HEX2DEC(8))*2,2)),31),2)</f>
        <v>00</v>
      </c>
      <c r="L607" t="str">
        <f>DEC2HEX(_xlfn.BITAND(HEX2DEC(MID('paste from garc here'!$C$1,1+(('table for research'!$B607-1)*36+HEX2DEC(8))*2,2)),32),2)</f>
        <v>00</v>
      </c>
      <c r="M607" t="str">
        <f>DEC2HEX(_xlfn.BITAND(HEX2DEC(MID('paste from garc here'!$C$1,1+(('table for research'!$B607-1)*36+HEX2DEC(8))*2,2)),64),2)</f>
        <v>00</v>
      </c>
      <c r="N607" t="str">
        <f>DEC2HEX(_xlfn.BITRSHIFT(_xlfn.BITAND(HEX2DEC(MID('paste from garc here'!$C$1,1+(('table for research'!$B607-1)*36+HEX2DEC(9))*2,2)&amp;MID('paste from garc here'!$C$1,1+(('table for research'!$B607-1)*36+HEX2DEC(8))*2,2)),1920),7),2)</f>
        <v>00</v>
      </c>
      <c r="O607" t="str">
        <f>DEC2HEX(_xlfn.BITRSHIFT(HEX2DEC(MID('paste from garc here'!$C$1,1+(('table for research'!$B607-1)*36+HEX2DEC(9))*2,2)&amp;MID('paste from garc here'!$C$1,1+(('table for research'!$B607-1)*36+HEX2DEC(8))*2,2)),11),2)</f>
        <v>00</v>
      </c>
      <c r="P607" t="str">
        <f>MID('paste from garc here'!$C$2,1+(('table for research'!$B607-456)*36+HEX2DEC('table for research'!P$1))*2,2)</f>
        <v>00</v>
      </c>
      <c r="Q607" t="str">
        <f>MID('paste from garc here'!$C$2,1+(('table for research'!$B607-456)*36+HEX2DEC('table for research'!Q$1))*2,2)</f>
        <v>00</v>
      </c>
      <c r="R607" t="str">
        <f>MID('paste from garc here'!$C$2,1+(('table for research'!$B607-456)*36+HEX2DEC('table for research'!R$1))*2,2)</f>
        <v>01</v>
      </c>
      <c r="S607" t="str">
        <f>MID('paste from garc here'!$C$2,1+(('table for research'!$B607-456)*36+HEX2DEC('table for research'!S$1))*2,2)</f>
        <v>03</v>
      </c>
      <c r="T607" t="str">
        <f>MID('paste from garc here'!$C$2,1+(('table for research'!$B607-456)*36+HEX2DEC('table for research'!T$1))*2,2)</f>
        <v>00</v>
      </c>
      <c r="U607" t="str">
        <f>MID('paste from garc here'!$C$2,1+(('table for research'!$B607-456)*36+HEX2DEC('table for research'!U$1))*2,2)</f>
        <v>FF</v>
      </c>
      <c r="V607" t="str">
        <f>MID('paste from garc here'!$C$2,1+(('table for research'!$B607-456)*36+HEX2DEC('table for research'!V$1))*2,2)</f>
        <v>00</v>
      </c>
      <c r="W607" t="str">
        <f>MID('paste from garc here'!$C$2,1+(('table for research'!$B607-456)*36+HEX2DEC('table for research'!W$1))*2,2)</f>
        <v>00</v>
      </c>
      <c r="X607" t="str">
        <f>MID('paste from garc here'!$C$2,1+(('table for research'!$B607-456)*36+HEX2DEC('table for research'!X$1))*2,2)</f>
        <v>00</v>
      </c>
      <c r="Y607" t="str">
        <f>MID('paste from garc here'!$C$2,1+(('table for research'!$B607-456)*36+HEX2DEC('table for research'!Y$1))*2,2)</f>
        <v>60</v>
      </c>
      <c r="Z607" t="str">
        <f>MID('paste from garc here'!$C$2,1+(('table for research'!$B607-456)*36+HEX2DEC('table for research'!Z$1))*2,2)</f>
        <v>00</v>
      </c>
      <c r="AA607" t="str">
        <f>MID('paste from garc here'!$C$2,1+(('table for research'!$B607-456)*36+HEX2DEC('table for research'!AA$1))*2,2)</f>
        <v>00</v>
      </c>
      <c r="AB607" t="str">
        <f>MID('paste from garc here'!$C$2,1+(('table for research'!$B607-456)*36+HEX2DEC('table for research'!AB$1))*2,2)</f>
        <v>00</v>
      </c>
      <c r="AC607" t="str">
        <f>MID('paste from garc here'!$C$2,1+(('table for research'!$B607-456)*36+HEX2DEC('table for research'!AC$1))*2,2)</f>
        <v>00</v>
      </c>
      <c r="AD607" t="str">
        <f>MID('paste from garc here'!$C$2,1+(('table for research'!$B607-456)*36+HEX2DEC('table for research'!AD$1))*2,2)</f>
        <v>00</v>
      </c>
      <c r="AE607" t="str">
        <f>MID('paste from garc here'!$C$2,1+(('table for research'!$B607-456)*36+HEX2DEC('table for research'!AE$1))*2,2)</f>
        <v>00</v>
      </c>
      <c r="AF607" t="str">
        <f>MID('paste from garc here'!$C$2,1+(('table for research'!$B607-456)*36+HEX2DEC('table for research'!AF$1))*2,2)</f>
        <v>00</v>
      </c>
      <c r="AG607" t="str">
        <f>MID('paste from garc here'!$C$2,1+(('table for research'!$B607-456)*36+HEX2DEC('table for research'!AG$1))*2,2)</f>
        <v>00</v>
      </c>
      <c r="AH607" t="str">
        <f>MID('paste from garc here'!$C$2,1+(('table for research'!$B607-456)*36+HEX2DEC('table for research'!AH$1))*2,2)</f>
        <v>00</v>
      </c>
      <c r="AI607" t="str">
        <f>MID('paste from garc here'!$C$2,1+(('table for research'!$B607-456)*36+HEX2DEC('table for research'!AI$1))*2,2)</f>
        <v>00</v>
      </c>
      <c r="AJ607" t="str">
        <f>MID('paste from garc here'!$C$2,1+(('table for research'!$B607-456)*36+HEX2DEC('table for research'!AJ$1))*2,2)</f>
        <v>00</v>
      </c>
      <c r="AK607" t="str">
        <f>MID('paste from garc here'!$C$2,1+(('table for research'!$B607-456)*36+HEX2DEC('table for research'!AK$1))*2,2)</f>
        <v>00</v>
      </c>
      <c r="AL607" t="str">
        <f>MID('paste from garc here'!$C$2,1+(('table for research'!$B607-456)*36+HEX2DEC('table for research'!AL$1))*2,2)</f>
        <v>00</v>
      </c>
      <c r="AM607" t="str">
        <f>MID('paste from garc here'!$C$2,1+(('table for research'!$B607-456)*36+HEX2DEC('table for research'!AM$1))*2,2)</f>
        <v>00</v>
      </c>
      <c r="AN607" t="str">
        <f>MID('paste from garc here'!$C$2,1+(('table for research'!$B607-456)*36+HEX2DEC('table for research'!AN$1))*2,2)</f>
        <v>00</v>
      </c>
      <c r="AO607" t="str">
        <f>MID('paste from garc here'!$C$2,1+(('table for research'!$B607-456)*36+HEX2DEC('table for research'!AO$1))*2,2)</f>
        <v>00</v>
      </c>
    </row>
    <row r="608" spans="1:41" x14ac:dyDescent="0.4">
      <c r="A608" t="s">
        <v>610</v>
      </c>
      <c r="B608">
        <f>B607+1</f>
        <v>606</v>
      </c>
      <c r="C608" t="str">
        <f>MID('paste from garc here'!$C$2,1+(('table for research'!$B608-456)*36+HEX2DEC('table for research'!C$1))*2,2)</f>
        <v>00</v>
      </c>
      <c r="D608" t="str">
        <f>MID('paste from garc here'!$C$2,1+(('table for research'!$B608-456)*36+HEX2DEC('table for research'!D$1))*2,2)</f>
        <v>00</v>
      </c>
      <c r="E608" t="str">
        <f>MID('paste from garc here'!$C$2,1+(('table for research'!$B608-456)*36+HEX2DEC('table for research'!E$1))*2,2)</f>
        <v>00</v>
      </c>
      <c r="F608" t="str">
        <f>MID('paste from garc here'!$C$2,1+(('table for research'!$B608-456)*36+HEX2DEC('table for research'!F$1))*2,2)</f>
        <v>00</v>
      </c>
      <c r="G608" t="str">
        <f>MID('paste from garc here'!$C$2,1+(('table for research'!$B608-456)*36+HEX2DEC('table for research'!G$1))*2,2)</f>
        <v>00</v>
      </c>
      <c r="H608" t="str">
        <f>MID('paste from garc here'!$C$2,1+(('table for research'!$B608-456)*36+HEX2DEC('table for research'!H$1))*2,2)</f>
        <v>00</v>
      </c>
      <c r="I608" t="str">
        <f>MID('paste from garc here'!$C$2,1+(('table for research'!$B608-456)*36+HEX2DEC('table for research'!I$1))*2,2)</f>
        <v>00</v>
      </c>
      <c r="J608" t="str">
        <f>MID('paste from garc here'!$C$2,1+(('table for research'!$B608-456)*36+HEX2DEC('table for research'!J$1))*2,2)</f>
        <v>00</v>
      </c>
      <c r="K608" t="str">
        <f>DEC2HEX(_xlfn.BITAND(HEX2DEC(MID('paste from garc here'!$C$1,1+(('table for research'!$B608-1)*36+HEX2DEC(8))*2,2)),31),2)</f>
        <v>00</v>
      </c>
      <c r="L608" t="str">
        <f>DEC2HEX(_xlfn.BITAND(HEX2DEC(MID('paste from garc here'!$C$1,1+(('table for research'!$B608-1)*36+HEX2DEC(8))*2,2)),32),2)</f>
        <v>00</v>
      </c>
      <c r="M608" t="str">
        <f>DEC2HEX(_xlfn.BITAND(HEX2DEC(MID('paste from garc here'!$C$1,1+(('table for research'!$B608-1)*36+HEX2DEC(8))*2,2)),64),2)</f>
        <v>00</v>
      </c>
      <c r="N608" t="str">
        <f>DEC2HEX(_xlfn.BITRSHIFT(_xlfn.BITAND(HEX2DEC(MID('paste from garc here'!$C$1,1+(('table for research'!$B608-1)*36+HEX2DEC(9))*2,2)&amp;MID('paste from garc here'!$C$1,1+(('table for research'!$B608-1)*36+HEX2DEC(8))*2,2)),1920),7),2)</f>
        <v>00</v>
      </c>
      <c r="O608" t="str">
        <f>DEC2HEX(_xlfn.BITRSHIFT(HEX2DEC(MID('paste from garc here'!$C$1,1+(('table for research'!$B608-1)*36+HEX2DEC(9))*2,2)&amp;MID('paste from garc here'!$C$1,1+(('table for research'!$B608-1)*36+HEX2DEC(8))*2,2)),11),2)</f>
        <v>00</v>
      </c>
      <c r="P608" t="str">
        <f>MID('paste from garc here'!$C$2,1+(('table for research'!$B608-456)*36+HEX2DEC('table for research'!P$1))*2,2)</f>
        <v>00</v>
      </c>
      <c r="Q608" t="str">
        <f>MID('paste from garc here'!$C$2,1+(('table for research'!$B608-456)*36+HEX2DEC('table for research'!Q$1))*2,2)</f>
        <v>00</v>
      </c>
      <c r="R608" t="str">
        <f>MID('paste from garc here'!$C$2,1+(('table for research'!$B608-456)*36+HEX2DEC('table for research'!R$1))*2,2)</f>
        <v>01</v>
      </c>
      <c r="S608" t="str">
        <f>MID('paste from garc here'!$C$2,1+(('table for research'!$B608-456)*36+HEX2DEC('table for research'!S$1))*2,2)</f>
        <v>03</v>
      </c>
      <c r="T608" t="str">
        <f>MID('paste from garc here'!$C$2,1+(('table for research'!$B608-456)*36+HEX2DEC('table for research'!T$1))*2,2)</f>
        <v>00</v>
      </c>
      <c r="U608" t="str">
        <f>MID('paste from garc here'!$C$2,1+(('table for research'!$B608-456)*36+HEX2DEC('table for research'!U$1))*2,2)</f>
        <v>FF</v>
      </c>
      <c r="V608" t="str">
        <f>MID('paste from garc here'!$C$2,1+(('table for research'!$B608-456)*36+HEX2DEC('table for research'!V$1))*2,2)</f>
        <v>00</v>
      </c>
      <c r="W608" t="str">
        <f>MID('paste from garc here'!$C$2,1+(('table for research'!$B608-456)*36+HEX2DEC('table for research'!W$1))*2,2)</f>
        <v>00</v>
      </c>
      <c r="X608" t="str">
        <f>MID('paste from garc here'!$C$2,1+(('table for research'!$B608-456)*36+HEX2DEC('table for research'!X$1))*2,2)</f>
        <v>60</v>
      </c>
      <c r="Y608" t="str">
        <f>MID('paste from garc here'!$C$2,1+(('table for research'!$B608-456)*36+HEX2DEC('table for research'!Y$1))*2,2)</f>
        <v>00</v>
      </c>
      <c r="Z608" t="str">
        <f>MID('paste from garc here'!$C$2,1+(('table for research'!$B608-456)*36+HEX2DEC('table for research'!Z$1))*2,2)</f>
        <v>00</v>
      </c>
      <c r="AA608" t="str">
        <f>MID('paste from garc here'!$C$2,1+(('table for research'!$B608-456)*36+HEX2DEC('table for research'!AA$1))*2,2)</f>
        <v>00</v>
      </c>
      <c r="AB608" t="str">
        <f>MID('paste from garc here'!$C$2,1+(('table for research'!$B608-456)*36+HEX2DEC('table for research'!AB$1))*2,2)</f>
        <v>00</v>
      </c>
      <c r="AC608" t="str">
        <f>MID('paste from garc here'!$C$2,1+(('table for research'!$B608-456)*36+HEX2DEC('table for research'!AC$1))*2,2)</f>
        <v>00</v>
      </c>
      <c r="AD608" t="str">
        <f>MID('paste from garc here'!$C$2,1+(('table for research'!$B608-456)*36+HEX2DEC('table for research'!AD$1))*2,2)</f>
        <v>00</v>
      </c>
      <c r="AE608" t="str">
        <f>MID('paste from garc here'!$C$2,1+(('table for research'!$B608-456)*36+HEX2DEC('table for research'!AE$1))*2,2)</f>
        <v>00</v>
      </c>
      <c r="AF608" t="str">
        <f>MID('paste from garc here'!$C$2,1+(('table for research'!$B608-456)*36+HEX2DEC('table for research'!AF$1))*2,2)</f>
        <v>00</v>
      </c>
      <c r="AG608" t="str">
        <f>MID('paste from garc here'!$C$2,1+(('table for research'!$B608-456)*36+HEX2DEC('table for research'!AG$1))*2,2)</f>
        <v>00</v>
      </c>
      <c r="AH608" t="str">
        <f>MID('paste from garc here'!$C$2,1+(('table for research'!$B608-456)*36+HEX2DEC('table for research'!AH$1))*2,2)</f>
        <v>00</v>
      </c>
      <c r="AI608" t="str">
        <f>MID('paste from garc here'!$C$2,1+(('table for research'!$B608-456)*36+HEX2DEC('table for research'!AI$1))*2,2)</f>
        <v>00</v>
      </c>
      <c r="AJ608" t="str">
        <f>MID('paste from garc here'!$C$2,1+(('table for research'!$B608-456)*36+HEX2DEC('table for research'!AJ$1))*2,2)</f>
        <v>00</v>
      </c>
      <c r="AK608" t="str">
        <f>MID('paste from garc here'!$C$2,1+(('table for research'!$B608-456)*36+HEX2DEC('table for research'!AK$1))*2,2)</f>
        <v>00</v>
      </c>
      <c r="AL608" t="str">
        <f>MID('paste from garc here'!$C$2,1+(('table for research'!$B608-456)*36+HEX2DEC('table for research'!AL$1))*2,2)</f>
        <v>00</v>
      </c>
      <c r="AM608" t="str">
        <f>MID('paste from garc here'!$C$2,1+(('table for research'!$B608-456)*36+HEX2DEC('table for research'!AM$1))*2,2)</f>
        <v>00</v>
      </c>
      <c r="AN608" t="str">
        <f>MID('paste from garc here'!$C$2,1+(('table for research'!$B608-456)*36+HEX2DEC('table for research'!AN$1))*2,2)</f>
        <v>00</v>
      </c>
      <c r="AO608" t="str">
        <f>MID('paste from garc here'!$C$2,1+(('table for research'!$B608-456)*36+HEX2DEC('table for research'!AO$1))*2,2)</f>
        <v>00</v>
      </c>
    </row>
    <row r="609" spans="1:41" x14ac:dyDescent="0.4">
      <c r="A609" t="s">
        <v>611</v>
      </c>
      <c r="B609">
        <f>B608+1</f>
        <v>607</v>
      </c>
      <c r="C609" t="str">
        <f>MID('paste from garc here'!$C$2,1+(('table for research'!$B609-456)*36+HEX2DEC('table for research'!C$1))*2,2)</f>
        <v>00</v>
      </c>
      <c r="D609" t="str">
        <f>MID('paste from garc here'!$C$2,1+(('table for research'!$B609-456)*36+HEX2DEC('table for research'!D$1))*2,2)</f>
        <v>00</v>
      </c>
      <c r="E609" t="str">
        <f>MID('paste from garc here'!$C$2,1+(('table for research'!$B609-456)*36+HEX2DEC('table for research'!E$1))*2,2)</f>
        <v>00</v>
      </c>
      <c r="F609" t="str">
        <f>MID('paste from garc here'!$C$2,1+(('table for research'!$B609-456)*36+HEX2DEC('table for research'!F$1))*2,2)</f>
        <v>00</v>
      </c>
      <c r="G609" t="str">
        <f>MID('paste from garc here'!$C$2,1+(('table for research'!$B609-456)*36+HEX2DEC('table for research'!G$1))*2,2)</f>
        <v>00</v>
      </c>
      <c r="H609" t="str">
        <f>MID('paste from garc here'!$C$2,1+(('table for research'!$B609-456)*36+HEX2DEC('table for research'!H$1))*2,2)</f>
        <v>00</v>
      </c>
      <c r="I609" t="str">
        <f>MID('paste from garc here'!$C$2,1+(('table for research'!$B609-456)*36+HEX2DEC('table for research'!I$1))*2,2)</f>
        <v>00</v>
      </c>
      <c r="J609" t="str">
        <f>MID('paste from garc here'!$C$2,1+(('table for research'!$B609-456)*36+HEX2DEC('table for research'!J$1))*2,2)</f>
        <v>00</v>
      </c>
      <c r="K609" t="str">
        <f>DEC2HEX(_xlfn.BITAND(HEX2DEC(MID('paste from garc here'!$C$1,1+(('table for research'!$B609-1)*36+HEX2DEC(8))*2,2)),31),2)</f>
        <v>00</v>
      </c>
      <c r="L609" t="str">
        <f>DEC2HEX(_xlfn.BITAND(HEX2DEC(MID('paste from garc here'!$C$1,1+(('table for research'!$B609-1)*36+HEX2DEC(8))*2,2)),32),2)</f>
        <v>00</v>
      </c>
      <c r="M609" t="str">
        <f>DEC2HEX(_xlfn.BITAND(HEX2DEC(MID('paste from garc here'!$C$1,1+(('table for research'!$B609-1)*36+HEX2DEC(8))*2,2)),64),2)</f>
        <v>00</v>
      </c>
      <c r="N609" t="str">
        <f>DEC2HEX(_xlfn.BITRSHIFT(_xlfn.BITAND(HEX2DEC(MID('paste from garc here'!$C$1,1+(('table for research'!$B609-1)*36+HEX2DEC(9))*2,2)&amp;MID('paste from garc here'!$C$1,1+(('table for research'!$B609-1)*36+HEX2DEC(8))*2,2)),1920),7),2)</f>
        <v>00</v>
      </c>
      <c r="O609" t="str">
        <f>DEC2HEX(_xlfn.BITRSHIFT(HEX2DEC(MID('paste from garc here'!$C$1,1+(('table for research'!$B609-1)*36+HEX2DEC(9))*2,2)&amp;MID('paste from garc here'!$C$1,1+(('table for research'!$B609-1)*36+HEX2DEC(8))*2,2)),11),2)</f>
        <v>00</v>
      </c>
      <c r="P609" t="str">
        <f>MID('paste from garc here'!$C$2,1+(('table for research'!$B609-456)*36+HEX2DEC('table for research'!P$1))*2,2)</f>
        <v>00</v>
      </c>
      <c r="Q609" t="str">
        <f>MID('paste from garc here'!$C$2,1+(('table for research'!$B609-456)*36+HEX2DEC('table for research'!Q$1))*2,2)</f>
        <v>00</v>
      </c>
      <c r="R609" t="str">
        <f>MID('paste from garc here'!$C$2,1+(('table for research'!$B609-456)*36+HEX2DEC('table for research'!R$1))*2,2)</f>
        <v>01</v>
      </c>
      <c r="S609" t="str">
        <f>MID('paste from garc here'!$C$2,1+(('table for research'!$B609-456)*36+HEX2DEC('table for research'!S$1))*2,2)</f>
        <v>03</v>
      </c>
      <c r="T609" t="str">
        <f>MID('paste from garc here'!$C$2,1+(('table for research'!$B609-456)*36+HEX2DEC('table for research'!T$1))*2,2)</f>
        <v>00</v>
      </c>
      <c r="U609" t="str">
        <f>MID('paste from garc here'!$C$2,1+(('table for research'!$B609-456)*36+HEX2DEC('table for research'!U$1))*2,2)</f>
        <v>FF</v>
      </c>
      <c r="V609" t="str">
        <f>MID('paste from garc here'!$C$2,1+(('table for research'!$B609-456)*36+HEX2DEC('table for research'!V$1))*2,2)</f>
        <v>00</v>
      </c>
      <c r="W609" t="str">
        <f>MID('paste from garc here'!$C$2,1+(('table for research'!$B609-456)*36+HEX2DEC('table for research'!W$1))*2,2)</f>
        <v>00</v>
      </c>
      <c r="X609" t="str">
        <f>MID('paste from garc here'!$C$2,1+(('table for research'!$B609-456)*36+HEX2DEC('table for research'!X$1))*2,2)</f>
        <v>00</v>
      </c>
      <c r="Y609" t="str">
        <f>MID('paste from garc here'!$C$2,1+(('table for research'!$B609-456)*36+HEX2DEC('table for research'!Y$1))*2,2)</f>
        <v>06</v>
      </c>
      <c r="Z609" t="str">
        <f>MID('paste from garc here'!$C$2,1+(('table for research'!$B609-456)*36+HEX2DEC('table for research'!Z$1))*2,2)</f>
        <v>00</v>
      </c>
      <c r="AA609" t="str">
        <f>MID('paste from garc here'!$C$2,1+(('table for research'!$B609-456)*36+HEX2DEC('table for research'!AA$1))*2,2)</f>
        <v>00</v>
      </c>
      <c r="AB609" t="str">
        <f>MID('paste from garc here'!$C$2,1+(('table for research'!$B609-456)*36+HEX2DEC('table for research'!AB$1))*2,2)</f>
        <v>00</v>
      </c>
      <c r="AC609" t="str">
        <f>MID('paste from garc here'!$C$2,1+(('table for research'!$B609-456)*36+HEX2DEC('table for research'!AC$1))*2,2)</f>
        <v>00</v>
      </c>
      <c r="AD609" t="str">
        <f>MID('paste from garc here'!$C$2,1+(('table for research'!$B609-456)*36+HEX2DEC('table for research'!AD$1))*2,2)</f>
        <v>00</v>
      </c>
      <c r="AE609" t="str">
        <f>MID('paste from garc here'!$C$2,1+(('table for research'!$B609-456)*36+HEX2DEC('table for research'!AE$1))*2,2)</f>
        <v>00</v>
      </c>
      <c r="AF609" t="str">
        <f>MID('paste from garc here'!$C$2,1+(('table for research'!$B609-456)*36+HEX2DEC('table for research'!AF$1))*2,2)</f>
        <v>00</v>
      </c>
      <c r="AG609" t="str">
        <f>MID('paste from garc here'!$C$2,1+(('table for research'!$B609-456)*36+HEX2DEC('table for research'!AG$1))*2,2)</f>
        <v>00</v>
      </c>
      <c r="AH609" t="str">
        <f>MID('paste from garc here'!$C$2,1+(('table for research'!$B609-456)*36+HEX2DEC('table for research'!AH$1))*2,2)</f>
        <v>00</v>
      </c>
      <c r="AI609" t="str">
        <f>MID('paste from garc here'!$C$2,1+(('table for research'!$B609-456)*36+HEX2DEC('table for research'!AI$1))*2,2)</f>
        <v>00</v>
      </c>
      <c r="AJ609" t="str">
        <f>MID('paste from garc here'!$C$2,1+(('table for research'!$B609-456)*36+HEX2DEC('table for research'!AJ$1))*2,2)</f>
        <v>00</v>
      </c>
      <c r="AK609" t="str">
        <f>MID('paste from garc here'!$C$2,1+(('table for research'!$B609-456)*36+HEX2DEC('table for research'!AK$1))*2,2)</f>
        <v>00</v>
      </c>
      <c r="AL609" t="str">
        <f>MID('paste from garc here'!$C$2,1+(('table for research'!$B609-456)*36+HEX2DEC('table for research'!AL$1))*2,2)</f>
        <v>00</v>
      </c>
      <c r="AM609" t="str">
        <f>MID('paste from garc here'!$C$2,1+(('table for research'!$B609-456)*36+HEX2DEC('table for research'!AM$1))*2,2)</f>
        <v>00</v>
      </c>
      <c r="AN609" t="str">
        <f>MID('paste from garc here'!$C$2,1+(('table for research'!$B609-456)*36+HEX2DEC('table for research'!AN$1))*2,2)</f>
        <v>00</v>
      </c>
      <c r="AO609" t="str">
        <f>MID('paste from garc here'!$C$2,1+(('table for research'!$B609-456)*36+HEX2DEC('table for research'!AO$1))*2,2)</f>
        <v>00</v>
      </c>
    </row>
    <row r="610" spans="1:41" x14ac:dyDescent="0.4">
      <c r="A610" t="s">
        <v>612</v>
      </c>
      <c r="B610">
        <f>B609+1</f>
        <v>608</v>
      </c>
      <c r="C610" t="str">
        <f>MID('paste from garc here'!$C$2,1+(('table for research'!$B610-456)*36+HEX2DEC('table for research'!C$1))*2,2)</f>
        <v>00</v>
      </c>
      <c r="D610" t="str">
        <f>MID('paste from garc here'!$C$2,1+(('table for research'!$B610-456)*36+HEX2DEC('table for research'!D$1))*2,2)</f>
        <v>00</v>
      </c>
      <c r="E610" t="str">
        <f>MID('paste from garc here'!$C$2,1+(('table for research'!$B610-456)*36+HEX2DEC('table for research'!E$1))*2,2)</f>
        <v>00</v>
      </c>
      <c r="F610" t="str">
        <f>MID('paste from garc here'!$C$2,1+(('table for research'!$B610-456)*36+HEX2DEC('table for research'!F$1))*2,2)</f>
        <v>00</v>
      </c>
      <c r="G610" t="str">
        <f>MID('paste from garc here'!$C$2,1+(('table for research'!$B610-456)*36+HEX2DEC('table for research'!G$1))*2,2)</f>
        <v>00</v>
      </c>
      <c r="H610" t="str">
        <f>MID('paste from garc here'!$C$2,1+(('table for research'!$B610-456)*36+HEX2DEC('table for research'!H$1))*2,2)</f>
        <v>00</v>
      </c>
      <c r="I610" t="str">
        <f>MID('paste from garc here'!$C$2,1+(('table for research'!$B610-456)*36+HEX2DEC('table for research'!I$1))*2,2)</f>
        <v>00</v>
      </c>
      <c r="J610" t="str">
        <f>MID('paste from garc here'!$C$2,1+(('table for research'!$B610-456)*36+HEX2DEC('table for research'!J$1))*2,2)</f>
        <v>00</v>
      </c>
      <c r="K610" t="str">
        <f>DEC2HEX(_xlfn.BITAND(HEX2DEC(MID('paste from garc here'!$C$1,1+(('table for research'!$B610-1)*36+HEX2DEC(8))*2,2)),31),2)</f>
        <v>00</v>
      </c>
      <c r="L610" t="str">
        <f>DEC2HEX(_xlfn.BITAND(HEX2DEC(MID('paste from garc here'!$C$1,1+(('table for research'!$B610-1)*36+HEX2DEC(8))*2,2)),32),2)</f>
        <v>00</v>
      </c>
      <c r="M610" t="str">
        <f>DEC2HEX(_xlfn.BITAND(HEX2DEC(MID('paste from garc here'!$C$1,1+(('table for research'!$B610-1)*36+HEX2DEC(8))*2,2)),64),2)</f>
        <v>00</v>
      </c>
      <c r="N610" t="str">
        <f>DEC2HEX(_xlfn.BITRSHIFT(_xlfn.BITAND(HEX2DEC(MID('paste from garc here'!$C$1,1+(('table for research'!$B610-1)*36+HEX2DEC(9))*2,2)&amp;MID('paste from garc here'!$C$1,1+(('table for research'!$B610-1)*36+HEX2DEC(8))*2,2)),1920),7),2)</f>
        <v>00</v>
      </c>
      <c r="O610" t="str">
        <f>DEC2HEX(_xlfn.BITRSHIFT(HEX2DEC(MID('paste from garc here'!$C$1,1+(('table for research'!$B610-1)*36+HEX2DEC(9))*2,2)&amp;MID('paste from garc here'!$C$1,1+(('table for research'!$B610-1)*36+HEX2DEC(8))*2,2)),11),2)</f>
        <v>00</v>
      </c>
      <c r="P610" t="str">
        <f>MID('paste from garc here'!$C$2,1+(('table for research'!$B610-456)*36+HEX2DEC('table for research'!P$1))*2,2)</f>
        <v>00</v>
      </c>
      <c r="Q610" t="str">
        <f>MID('paste from garc here'!$C$2,1+(('table for research'!$B610-456)*36+HEX2DEC('table for research'!Q$1))*2,2)</f>
        <v>00</v>
      </c>
      <c r="R610" t="str">
        <f>MID('paste from garc here'!$C$2,1+(('table for research'!$B610-456)*36+HEX2DEC('table for research'!R$1))*2,2)</f>
        <v>01</v>
      </c>
      <c r="S610" t="str">
        <f>MID('paste from garc here'!$C$2,1+(('table for research'!$B610-456)*36+HEX2DEC('table for research'!S$1))*2,2)</f>
        <v>03</v>
      </c>
      <c r="T610" t="str">
        <f>MID('paste from garc here'!$C$2,1+(('table for research'!$B610-456)*36+HEX2DEC('table for research'!T$1))*2,2)</f>
        <v>00</v>
      </c>
      <c r="U610" t="str">
        <f>MID('paste from garc here'!$C$2,1+(('table for research'!$B610-456)*36+HEX2DEC('table for research'!U$1))*2,2)</f>
        <v>FF</v>
      </c>
      <c r="V610" t="str">
        <f>MID('paste from garc here'!$C$2,1+(('table for research'!$B610-456)*36+HEX2DEC('table for research'!V$1))*2,2)</f>
        <v>00</v>
      </c>
      <c r="W610" t="str">
        <f>MID('paste from garc here'!$C$2,1+(('table for research'!$B610-456)*36+HEX2DEC('table for research'!W$1))*2,2)</f>
        <v>00</v>
      </c>
      <c r="X610" t="str">
        <f>MID('paste from garc here'!$C$2,1+(('table for research'!$B610-456)*36+HEX2DEC('table for research'!X$1))*2,2)</f>
        <v>06</v>
      </c>
      <c r="Y610" t="str">
        <f>MID('paste from garc here'!$C$2,1+(('table for research'!$B610-456)*36+HEX2DEC('table for research'!Y$1))*2,2)</f>
        <v>00</v>
      </c>
      <c r="Z610" t="str">
        <f>MID('paste from garc here'!$C$2,1+(('table for research'!$B610-456)*36+HEX2DEC('table for research'!Z$1))*2,2)</f>
        <v>00</v>
      </c>
      <c r="AA610" t="str">
        <f>MID('paste from garc here'!$C$2,1+(('table for research'!$B610-456)*36+HEX2DEC('table for research'!AA$1))*2,2)</f>
        <v>00</v>
      </c>
      <c r="AB610" t="str">
        <f>MID('paste from garc here'!$C$2,1+(('table for research'!$B610-456)*36+HEX2DEC('table for research'!AB$1))*2,2)</f>
        <v>00</v>
      </c>
      <c r="AC610" t="str">
        <f>MID('paste from garc here'!$C$2,1+(('table for research'!$B610-456)*36+HEX2DEC('table for research'!AC$1))*2,2)</f>
        <v>00</v>
      </c>
      <c r="AD610" t="str">
        <f>MID('paste from garc here'!$C$2,1+(('table for research'!$B610-456)*36+HEX2DEC('table for research'!AD$1))*2,2)</f>
        <v>00</v>
      </c>
      <c r="AE610" t="str">
        <f>MID('paste from garc here'!$C$2,1+(('table for research'!$B610-456)*36+HEX2DEC('table for research'!AE$1))*2,2)</f>
        <v>00</v>
      </c>
      <c r="AF610" t="str">
        <f>MID('paste from garc here'!$C$2,1+(('table for research'!$B610-456)*36+HEX2DEC('table for research'!AF$1))*2,2)</f>
        <v>00</v>
      </c>
      <c r="AG610" t="str">
        <f>MID('paste from garc here'!$C$2,1+(('table for research'!$B610-456)*36+HEX2DEC('table for research'!AG$1))*2,2)</f>
        <v>00</v>
      </c>
      <c r="AH610" t="str">
        <f>MID('paste from garc here'!$C$2,1+(('table for research'!$B610-456)*36+HEX2DEC('table for research'!AH$1))*2,2)</f>
        <v>00</v>
      </c>
      <c r="AI610" t="str">
        <f>MID('paste from garc here'!$C$2,1+(('table for research'!$B610-456)*36+HEX2DEC('table for research'!AI$1))*2,2)</f>
        <v>00</v>
      </c>
      <c r="AJ610" t="str">
        <f>MID('paste from garc here'!$C$2,1+(('table for research'!$B610-456)*36+HEX2DEC('table for research'!AJ$1))*2,2)</f>
        <v>00</v>
      </c>
      <c r="AK610" t="str">
        <f>MID('paste from garc here'!$C$2,1+(('table for research'!$B610-456)*36+HEX2DEC('table for research'!AK$1))*2,2)</f>
        <v>00</v>
      </c>
      <c r="AL610" t="str">
        <f>MID('paste from garc here'!$C$2,1+(('table for research'!$B610-456)*36+HEX2DEC('table for research'!AL$1))*2,2)</f>
        <v>00</v>
      </c>
      <c r="AM610" t="str">
        <f>MID('paste from garc here'!$C$2,1+(('table for research'!$B610-456)*36+HEX2DEC('table for research'!AM$1))*2,2)</f>
        <v>00</v>
      </c>
      <c r="AN610" t="str">
        <f>MID('paste from garc here'!$C$2,1+(('table for research'!$B610-456)*36+HEX2DEC('table for research'!AN$1))*2,2)</f>
        <v>00</v>
      </c>
      <c r="AO610" t="str">
        <f>MID('paste from garc here'!$C$2,1+(('table for research'!$B610-456)*36+HEX2DEC('table for research'!AO$1))*2,2)</f>
        <v>00</v>
      </c>
    </row>
    <row r="611" spans="1:41" x14ac:dyDescent="0.4">
      <c r="A611" t="s">
        <v>613</v>
      </c>
      <c r="B611">
        <f>B610+1</f>
        <v>609</v>
      </c>
      <c r="C611" t="str">
        <f>MID('paste from garc here'!$C$2,1+(('table for research'!$B611-456)*36+HEX2DEC('table for research'!C$1))*2,2)</f>
        <v>00</v>
      </c>
      <c r="D611" t="str">
        <f>MID('paste from garc here'!$C$2,1+(('table for research'!$B611-456)*36+HEX2DEC('table for research'!D$1))*2,2)</f>
        <v>00</v>
      </c>
      <c r="E611" t="str">
        <f>MID('paste from garc here'!$C$2,1+(('table for research'!$B611-456)*36+HEX2DEC('table for research'!E$1))*2,2)</f>
        <v>00</v>
      </c>
      <c r="F611" t="str">
        <f>MID('paste from garc here'!$C$2,1+(('table for research'!$B611-456)*36+HEX2DEC('table for research'!F$1))*2,2)</f>
        <v>00</v>
      </c>
      <c r="G611" t="str">
        <f>MID('paste from garc here'!$C$2,1+(('table for research'!$B611-456)*36+HEX2DEC('table for research'!G$1))*2,2)</f>
        <v>00</v>
      </c>
      <c r="H611" t="str">
        <f>MID('paste from garc here'!$C$2,1+(('table for research'!$B611-456)*36+HEX2DEC('table for research'!H$1))*2,2)</f>
        <v>00</v>
      </c>
      <c r="I611" t="str">
        <f>MID('paste from garc here'!$C$2,1+(('table for research'!$B611-456)*36+HEX2DEC('table for research'!I$1))*2,2)</f>
        <v>00</v>
      </c>
      <c r="J611" t="str">
        <f>MID('paste from garc here'!$C$2,1+(('table for research'!$B611-456)*36+HEX2DEC('table for research'!J$1))*2,2)</f>
        <v>00</v>
      </c>
      <c r="K611" t="str">
        <f>DEC2HEX(_xlfn.BITAND(HEX2DEC(MID('paste from garc here'!$C$1,1+(('table for research'!$B611-1)*36+HEX2DEC(8))*2,2)),31),2)</f>
        <v>00</v>
      </c>
      <c r="L611" t="str">
        <f>DEC2HEX(_xlfn.BITAND(HEX2DEC(MID('paste from garc here'!$C$1,1+(('table for research'!$B611-1)*36+HEX2DEC(8))*2,2)),32),2)</f>
        <v>00</v>
      </c>
      <c r="M611" t="str">
        <f>DEC2HEX(_xlfn.BITAND(HEX2DEC(MID('paste from garc here'!$C$1,1+(('table for research'!$B611-1)*36+HEX2DEC(8))*2,2)),64),2)</f>
        <v>00</v>
      </c>
      <c r="N611" t="str">
        <f>DEC2HEX(_xlfn.BITRSHIFT(_xlfn.BITAND(HEX2DEC(MID('paste from garc here'!$C$1,1+(('table for research'!$B611-1)*36+HEX2DEC(9))*2,2)&amp;MID('paste from garc here'!$C$1,1+(('table for research'!$B611-1)*36+HEX2DEC(8))*2,2)),1920),7),2)</f>
        <v>00</v>
      </c>
      <c r="O611" t="str">
        <f>DEC2HEX(_xlfn.BITRSHIFT(HEX2DEC(MID('paste from garc here'!$C$1,1+(('table for research'!$B611-1)*36+HEX2DEC(9))*2,2)&amp;MID('paste from garc here'!$C$1,1+(('table for research'!$B611-1)*36+HEX2DEC(8))*2,2)),11),2)</f>
        <v>00</v>
      </c>
      <c r="P611" t="str">
        <f>MID('paste from garc here'!$C$2,1+(('table for research'!$B611-456)*36+HEX2DEC('table for research'!P$1))*2,2)</f>
        <v>00</v>
      </c>
      <c r="Q611" t="str">
        <f>MID('paste from garc here'!$C$2,1+(('table for research'!$B611-456)*36+HEX2DEC('table for research'!Q$1))*2,2)</f>
        <v>00</v>
      </c>
      <c r="R611" t="str">
        <f>MID('paste from garc here'!$C$2,1+(('table for research'!$B611-456)*36+HEX2DEC('table for research'!R$1))*2,2)</f>
        <v>01</v>
      </c>
      <c r="S611" t="str">
        <f>MID('paste from garc here'!$C$2,1+(('table for research'!$B611-456)*36+HEX2DEC('table for research'!S$1))*2,2)</f>
        <v>03</v>
      </c>
      <c r="T611" t="str">
        <f>MID('paste from garc here'!$C$2,1+(('table for research'!$B611-456)*36+HEX2DEC('table for research'!T$1))*2,2)</f>
        <v>00</v>
      </c>
      <c r="U611" t="str">
        <f>MID('paste from garc here'!$C$2,1+(('table for research'!$B611-456)*36+HEX2DEC('table for research'!U$1))*2,2)</f>
        <v>FF</v>
      </c>
      <c r="V611" t="str">
        <f>MID('paste from garc here'!$C$2,1+(('table for research'!$B611-456)*36+HEX2DEC('table for research'!V$1))*2,2)</f>
        <v>00</v>
      </c>
      <c r="W611" t="str">
        <f>MID('paste from garc here'!$C$2,1+(('table for research'!$B611-456)*36+HEX2DEC('table for research'!W$1))*2,2)</f>
        <v>60</v>
      </c>
      <c r="X611" t="str">
        <f>MID('paste from garc here'!$C$2,1+(('table for research'!$B611-456)*36+HEX2DEC('table for research'!X$1))*2,2)</f>
        <v>00</v>
      </c>
      <c r="Y611" t="str">
        <f>MID('paste from garc here'!$C$2,1+(('table for research'!$B611-456)*36+HEX2DEC('table for research'!Y$1))*2,2)</f>
        <v>00</v>
      </c>
      <c r="Z611" t="str">
        <f>MID('paste from garc here'!$C$2,1+(('table for research'!$B611-456)*36+HEX2DEC('table for research'!Z$1))*2,2)</f>
        <v>00</v>
      </c>
      <c r="AA611" t="str">
        <f>MID('paste from garc here'!$C$2,1+(('table for research'!$B611-456)*36+HEX2DEC('table for research'!AA$1))*2,2)</f>
        <v>00</v>
      </c>
      <c r="AB611" t="str">
        <f>MID('paste from garc here'!$C$2,1+(('table for research'!$B611-456)*36+HEX2DEC('table for research'!AB$1))*2,2)</f>
        <v>00</v>
      </c>
      <c r="AC611" t="str">
        <f>MID('paste from garc here'!$C$2,1+(('table for research'!$B611-456)*36+HEX2DEC('table for research'!AC$1))*2,2)</f>
        <v>00</v>
      </c>
      <c r="AD611" t="str">
        <f>MID('paste from garc here'!$C$2,1+(('table for research'!$B611-456)*36+HEX2DEC('table for research'!AD$1))*2,2)</f>
        <v>00</v>
      </c>
      <c r="AE611" t="str">
        <f>MID('paste from garc here'!$C$2,1+(('table for research'!$B611-456)*36+HEX2DEC('table for research'!AE$1))*2,2)</f>
        <v>00</v>
      </c>
      <c r="AF611" t="str">
        <f>MID('paste from garc here'!$C$2,1+(('table for research'!$B611-456)*36+HEX2DEC('table for research'!AF$1))*2,2)</f>
        <v>00</v>
      </c>
      <c r="AG611" t="str">
        <f>MID('paste from garc here'!$C$2,1+(('table for research'!$B611-456)*36+HEX2DEC('table for research'!AG$1))*2,2)</f>
        <v>00</v>
      </c>
      <c r="AH611" t="str">
        <f>MID('paste from garc here'!$C$2,1+(('table for research'!$B611-456)*36+HEX2DEC('table for research'!AH$1))*2,2)</f>
        <v>00</v>
      </c>
      <c r="AI611" t="str">
        <f>MID('paste from garc here'!$C$2,1+(('table for research'!$B611-456)*36+HEX2DEC('table for research'!AI$1))*2,2)</f>
        <v>00</v>
      </c>
      <c r="AJ611" t="str">
        <f>MID('paste from garc here'!$C$2,1+(('table for research'!$B611-456)*36+HEX2DEC('table for research'!AJ$1))*2,2)</f>
        <v>00</v>
      </c>
      <c r="AK611" t="str">
        <f>MID('paste from garc here'!$C$2,1+(('table for research'!$B611-456)*36+HEX2DEC('table for research'!AK$1))*2,2)</f>
        <v>00</v>
      </c>
      <c r="AL611" t="str">
        <f>MID('paste from garc here'!$C$2,1+(('table for research'!$B611-456)*36+HEX2DEC('table for research'!AL$1))*2,2)</f>
        <v>00</v>
      </c>
      <c r="AM611" t="str">
        <f>MID('paste from garc here'!$C$2,1+(('table for research'!$B611-456)*36+HEX2DEC('table for research'!AM$1))*2,2)</f>
        <v>00</v>
      </c>
      <c r="AN611" t="str">
        <f>MID('paste from garc here'!$C$2,1+(('table for research'!$B611-456)*36+HEX2DEC('table for research'!AN$1))*2,2)</f>
        <v>00</v>
      </c>
      <c r="AO611" t="str">
        <f>MID('paste from garc here'!$C$2,1+(('table for research'!$B611-456)*36+HEX2DEC('table for research'!AO$1))*2,2)</f>
        <v>00</v>
      </c>
    </row>
    <row r="612" spans="1:41" x14ac:dyDescent="0.4">
      <c r="A612" t="s">
        <v>614</v>
      </c>
      <c r="B612">
        <f>B611+1</f>
        <v>610</v>
      </c>
      <c r="C612" t="str">
        <f>MID('paste from garc here'!$C$2,1+(('table for research'!$B612-456)*36+HEX2DEC('table for research'!C$1))*2,2)</f>
        <v>00</v>
      </c>
      <c r="D612" t="str">
        <f>MID('paste from garc here'!$C$2,1+(('table for research'!$B612-456)*36+HEX2DEC('table for research'!D$1))*2,2)</f>
        <v>00</v>
      </c>
      <c r="E612" t="str">
        <f>MID('paste from garc here'!$C$2,1+(('table for research'!$B612-456)*36+HEX2DEC('table for research'!E$1))*2,2)</f>
        <v>00</v>
      </c>
      <c r="F612" t="str">
        <f>MID('paste from garc here'!$C$2,1+(('table for research'!$B612-456)*36+HEX2DEC('table for research'!F$1))*2,2)</f>
        <v>00</v>
      </c>
      <c r="G612" t="str">
        <f>MID('paste from garc here'!$C$2,1+(('table for research'!$B612-456)*36+HEX2DEC('table for research'!G$1))*2,2)</f>
        <v>00</v>
      </c>
      <c r="H612" t="str">
        <f>MID('paste from garc here'!$C$2,1+(('table for research'!$B612-456)*36+HEX2DEC('table for research'!H$1))*2,2)</f>
        <v>00</v>
      </c>
      <c r="I612" t="str">
        <f>MID('paste from garc here'!$C$2,1+(('table for research'!$B612-456)*36+HEX2DEC('table for research'!I$1))*2,2)</f>
        <v>00</v>
      </c>
      <c r="J612" t="str">
        <f>MID('paste from garc here'!$C$2,1+(('table for research'!$B612-456)*36+HEX2DEC('table for research'!J$1))*2,2)</f>
        <v>00</v>
      </c>
      <c r="K612" t="str">
        <f>DEC2HEX(_xlfn.BITAND(HEX2DEC(MID('paste from garc here'!$C$1,1+(('table for research'!$B612-1)*36+HEX2DEC(8))*2,2)),31),2)</f>
        <v>00</v>
      </c>
      <c r="L612" t="str">
        <f>DEC2HEX(_xlfn.BITAND(HEX2DEC(MID('paste from garc here'!$C$1,1+(('table for research'!$B612-1)*36+HEX2DEC(8))*2,2)),32),2)</f>
        <v>00</v>
      </c>
      <c r="M612" t="str">
        <f>DEC2HEX(_xlfn.BITAND(HEX2DEC(MID('paste from garc here'!$C$1,1+(('table for research'!$B612-1)*36+HEX2DEC(8))*2,2)),64),2)</f>
        <v>00</v>
      </c>
      <c r="N612" t="str">
        <f>DEC2HEX(_xlfn.BITRSHIFT(_xlfn.BITAND(HEX2DEC(MID('paste from garc here'!$C$1,1+(('table for research'!$B612-1)*36+HEX2DEC(9))*2,2)&amp;MID('paste from garc here'!$C$1,1+(('table for research'!$B612-1)*36+HEX2DEC(8))*2,2)),1920),7),2)</f>
        <v>00</v>
      </c>
      <c r="O612" t="str">
        <f>DEC2HEX(_xlfn.BITRSHIFT(HEX2DEC(MID('paste from garc here'!$C$1,1+(('table for research'!$B612-1)*36+HEX2DEC(9))*2,2)&amp;MID('paste from garc here'!$C$1,1+(('table for research'!$B612-1)*36+HEX2DEC(8))*2,2)),11),2)</f>
        <v>00</v>
      </c>
      <c r="P612" t="str">
        <f>MID('paste from garc here'!$C$2,1+(('table for research'!$B612-456)*36+HEX2DEC('table for research'!P$1))*2,2)</f>
        <v>00</v>
      </c>
      <c r="Q612" t="str">
        <f>MID('paste from garc here'!$C$2,1+(('table for research'!$B612-456)*36+HEX2DEC('table for research'!Q$1))*2,2)</f>
        <v>00</v>
      </c>
      <c r="R612" t="str">
        <f>MID('paste from garc here'!$C$2,1+(('table for research'!$B612-456)*36+HEX2DEC('table for research'!R$1))*2,2)</f>
        <v>01</v>
      </c>
      <c r="S612" t="str">
        <f>MID('paste from garc here'!$C$2,1+(('table for research'!$B612-456)*36+HEX2DEC('table for research'!S$1))*2,2)</f>
        <v>03</v>
      </c>
      <c r="T612" t="str">
        <f>MID('paste from garc here'!$C$2,1+(('table for research'!$B612-456)*36+HEX2DEC('table for research'!T$1))*2,2)</f>
        <v>00</v>
      </c>
      <c r="U612" t="str">
        <f>MID('paste from garc here'!$C$2,1+(('table for research'!$B612-456)*36+HEX2DEC('table for research'!U$1))*2,2)</f>
        <v>FF</v>
      </c>
      <c r="V612" t="str">
        <f>MID('paste from garc here'!$C$2,1+(('table for research'!$B612-456)*36+HEX2DEC('table for research'!V$1))*2,2)</f>
        <v>00</v>
      </c>
      <c r="W612" t="str">
        <f>MID('paste from garc here'!$C$2,1+(('table for research'!$B612-456)*36+HEX2DEC('table for research'!W$1))*2,2)</f>
        <v>00</v>
      </c>
      <c r="X612" t="str">
        <f>MID('paste from garc here'!$C$2,1+(('table for research'!$B612-456)*36+HEX2DEC('table for research'!X$1))*2,2)</f>
        <v>00</v>
      </c>
      <c r="Y612" t="str">
        <f>MID('paste from garc here'!$C$2,1+(('table for research'!$B612-456)*36+HEX2DEC('table for research'!Y$1))*2,2)</f>
        <v>00</v>
      </c>
      <c r="Z612" t="str">
        <f>MID('paste from garc here'!$C$2,1+(('table for research'!$B612-456)*36+HEX2DEC('table for research'!Z$1))*2,2)</f>
        <v>06</v>
      </c>
      <c r="AA612" t="str">
        <f>MID('paste from garc here'!$C$2,1+(('table for research'!$B612-456)*36+HEX2DEC('table for research'!AA$1))*2,2)</f>
        <v>00</v>
      </c>
      <c r="AB612" t="str">
        <f>MID('paste from garc here'!$C$2,1+(('table for research'!$B612-456)*36+HEX2DEC('table for research'!AB$1))*2,2)</f>
        <v>00</v>
      </c>
      <c r="AC612" t="str">
        <f>MID('paste from garc here'!$C$2,1+(('table for research'!$B612-456)*36+HEX2DEC('table for research'!AC$1))*2,2)</f>
        <v>00</v>
      </c>
      <c r="AD612" t="str">
        <f>MID('paste from garc here'!$C$2,1+(('table for research'!$B612-456)*36+HEX2DEC('table for research'!AD$1))*2,2)</f>
        <v>00</v>
      </c>
      <c r="AE612" t="str">
        <f>MID('paste from garc here'!$C$2,1+(('table for research'!$B612-456)*36+HEX2DEC('table for research'!AE$1))*2,2)</f>
        <v>00</v>
      </c>
      <c r="AF612" t="str">
        <f>MID('paste from garc here'!$C$2,1+(('table for research'!$B612-456)*36+HEX2DEC('table for research'!AF$1))*2,2)</f>
        <v>00</v>
      </c>
      <c r="AG612" t="str">
        <f>MID('paste from garc here'!$C$2,1+(('table for research'!$B612-456)*36+HEX2DEC('table for research'!AG$1))*2,2)</f>
        <v>00</v>
      </c>
      <c r="AH612" t="str">
        <f>MID('paste from garc here'!$C$2,1+(('table for research'!$B612-456)*36+HEX2DEC('table for research'!AH$1))*2,2)</f>
        <v>00</v>
      </c>
      <c r="AI612" t="str">
        <f>MID('paste from garc here'!$C$2,1+(('table for research'!$B612-456)*36+HEX2DEC('table for research'!AI$1))*2,2)</f>
        <v>00</v>
      </c>
      <c r="AJ612" t="str">
        <f>MID('paste from garc here'!$C$2,1+(('table for research'!$B612-456)*36+HEX2DEC('table for research'!AJ$1))*2,2)</f>
        <v>00</v>
      </c>
      <c r="AK612" t="str">
        <f>MID('paste from garc here'!$C$2,1+(('table for research'!$B612-456)*36+HEX2DEC('table for research'!AK$1))*2,2)</f>
        <v>00</v>
      </c>
      <c r="AL612" t="str">
        <f>MID('paste from garc here'!$C$2,1+(('table for research'!$B612-456)*36+HEX2DEC('table for research'!AL$1))*2,2)</f>
        <v>00</v>
      </c>
      <c r="AM612" t="str">
        <f>MID('paste from garc here'!$C$2,1+(('table for research'!$B612-456)*36+HEX2DEC('table for research'!AM$1))*2,2)</f>
        <v>00</v>
      </c>
      <c r="AN612" t="str">
        <f>MID('paste from garc here'!$C$2,1+(('table for research'!$B612-456)*36+HEX2DEC('table for research'!AN$1))*2,2)</f>
        <v>00</v>
      </c>
      <c r="AO612" t="str">
        <f>MID('paste from garc here'!$C$2,1+(('table for research'!$B612-456)*36+HEX2DEC('table for research'!AO$1))*2,2)</f>
        <v>00</v>
      </c>
    </row>
    <row r="613" spans="1:41" x14ac:dyDescent="0.4">
      <c r="A613" t="s">
        <v>615</v>
      </c>
      <c r="B613">
        <f>B612+1</f>
        <v>611</v>
      </c>
      <c r="C613" t="str">
        <f>MID('paste from garc here'!$C$2,1+(('table for research'!$B613-456)*36+HEX2DEC('table for research'!C$1))*2,2)</f>
        <v>00</v>
      </c>
      <c r="D613" t="str">
        <f>MID('paste from garc here'!$C$2,1+(('table for research'!$B613-456)*36+HEX2DEC('table for research'!D$1))*2,2)</f>
        <v>00</v>
      </c>
      <c r="E613" t="str">
        <f>MID('paste from garc here'!$C$2,1+(('table for research'!$B613-456)*36+HEX2DEC('table for research'!E$1))*2,2)</f>
        <v>00</v>
      </c>
      <c r="F613" t="str">
        <f>MID('paste from garc here'!$C$2,1+(('table for research'!$B613-456)*36+HEX2DEC('table for research'!F$1))*2,2)</f>
        <v>00</v>
      </c>
      <c r="G613" t="str">
        <f>MID('paste from garc here'!$C$2,1+(('table for research'!$B613-456)*36+HEX2DEC('table for research'!G$1))*2,2)</f>
        <v>00</v>
      </c>
      <c r="H613" t="str">
        <f>MID('paste from garc here'!$C$2,1+(('table for research'!$B613-456)*36+HEX2DEC('table for research'!H$1))*2,2)</f>
        <v>00</v>
      </c>
      <c r="I613" t="str">
        <f>MID('paste from garc here'!$C$2,1+(('table for research'!$B613-456)*36+HEX2DEC('table for research'!I$1))*2,2)</f>
        <v>00</v>
      </c>
      <c r="J613" t="str">
        <f>MID('paste from garc here'!$C$2,1+(('table for research'!$B613-456)*36+HEX2DEC('table for research'!J$1))*2,2)</f>
        <v>00</v>
      </c>
      <c r="K613" t="str">
        <f>DEC2HEX(_xlfn.BITAND(HEX2DEC(MID('paste from garc here'!$C$1,1+(('table for research'!$B613-1)*36+HEX2DEC(8))*2,2)),31),2)</f>
        <v>00</v>
      </c>
      <c r="L613" t="str">
        <f>DEC2HEX(_xlfn.BITAND(HEX2DEC(MID('paste from garc here'!$C$1,1+(('table for research'!$B613-1)*36+HEX2DEC(8))*2,2)),32),2)</f>
        <v>00</v>
      </c>
      <c r="M613" t="str">
        <f>DEC2HEX(_xlfn.BITAND(HEX2DEC(MID('paste from garc here'!$C$1,1+(('table for research'!$B613-1)*36+HEX2DEC(8))*2,2)),64),2)</f>
        <v>00</v>
      </c>
      <c r="N613" t="str">
        <f>DEC2HEX(_xlfn.BITRSHIFT(_xlfn.BITAND(HEX2DEC(MID('paste from garc here'!$C$1,1+(('table for research'!$B613-1)*36+HEX2DEC(9))*2,2)&amp;MID('paste from garc here'!$C$1,1+(('table for research'!$B613-1)*36+HEX2DEC(8))*2,2)),1920),7),2)</f>
        <v>00</v>
      </c>
      <c r="O613" t="str">
        <f>DEC2HEX(_xlfn.BITRSHIFT(HEX2DEC(MID('paste from garc here'!$C$1,1+(('table for research'!$B613-1)*36+HEX2DEC(9))*2,2)&amp;MID('paste from garc here'!$C$1,1+(('table for research'!$B613-1)*36+HEX2DEC(8))*2,2)),11),2)</f>
        <v>00</v>
      </c>
      <c r="P613" t="str">
        <f>MID('paste from garc here'!$C$2,1+(('table for research'!$B613-456)*36+HEX2DEC('table for research'!P$1))*2,2)</f>
        <v>00</v>
      </c>
      <c r="Q613" t="str">
        <f>MID('paste from garc here'!$C$2,1+(('table for research'!$B613-456)*36+HEX2DEC('table for research'!Q$1))*2,2)</f>
        <v>00</v>
      </c>
      <c r="R613" t="str">
        <f>MID('paste from garc here'!$C$2,1+(('table for research'!$B613-456)*36+HEX2DEC('table for research'!R$1))*2,2)</f>
        <v>01</v>
      </c>
      <c r="S613" t="str">
        <f>MID('paste from garc here'!$C$2,1+(('table for research'!$B613-456)*36+HEX2DEC('table for research'!S$1))*2,2)</f>
        <v>03</v>
      </c>
      <c r="T613" t="str">
        <f>MID('paste from garc here'!$C$2,1+(('table for research'!$B613-456)*36+HEX2DEC('table for research'!T$1))*2,2)</f>
        <v>00</v>
      </c>
      <c r="U613" t="str">
        <f>MID('paste from garc here'!$C$2,1+(('table for research'!$B613-456)*36+HEX2DEC('table for research'!U$1))*2,2)</f>
        <v>FF</v>
      </c>
      <c r="V613" t="str">
        <f>MID('paste from garc here'!$C$2,1+(('table for research'!$B613-456)*36+HEX2DEC('table for research'!V$1))*2,2)</f>
        <v>00</v>
      </c>
      <c r="W613" t="str">
        <f>MID('paste from garc here'!$C$2,1+(('table for research'!$B613-456)*36+HEX2DEC('table for research'!W$1))*2,2)</f>
        <v>00</v>
      </c>
      <c r="X613" t="str">
        <f>MID('paste from garc here'!$C$2,1+(('table for research'!$B613-456)*36+HEX2DEC('table for research'!X$1))*2,2)</f>
        <v>00</v>
      </c>
      <c r="Y613" t="str">
        <f>MID('paste from garc here'!$C$2,1+(('table for research'!$B613-456)*36+HEX2DEC('table for research'!Y$1))*2,2)</f>
        <v>00</v>
      </c>
      <c r="Z613" t="str">
        <f>MID('paste from garc here'!$C$2,1+(('table for research'!$B613-456)*36+HEX2DEC('table for research'!Z$1))*2,2)</f>
        <v>00</v>
      </c>
      <c r="AA613" t="str">
        <f>MID('paste from garc here'!$C$2,1+(('table for research'!$B613-456)*36+HEX2DEC('table for research'!AA$1))*2,2)</f>
        <v>00</v>
      </c>
      <c r="AB613" t="str">
        <f>MID('paste from garc here'!$C$2,1+(('table for research'!$B613-456)*36+HEX2DEC('table for research'!AB$1))*2,2)</f>
        <v>00</v>
      </c>
      <c r="AC613" t="str">
        <f>MID('paste from garc here'!$C$2,1+(('table for research'!$B613-456)*36+HEX2DEC('table for research'!AC$1))*2,2)</f>
        <v>00</v>
      </c>
      <c r="AD613" t="str">
        <f>MID('paste from garc here'!$C$2,1+(('table for research'!$B613-456)*36+HEX2DEC('table for research'!AD$1))*2,2)</f>
        <v>00</v>
      </c>
      <c r="AE613" t="str">
        <f>MID('paste from garc here'!$C$2,1+(('table for research'!$B613-456)*36+HEX2DEC('table for research'!AE$1))*2,2)</f>
        <v>00</v>
      </c>
      <c r="AF613" t="str">
        <f>MID('paste from garc here'!$C$2,1+(('table for research'!$B613-456)*36+HEX2DEC('table for research'!AF$1))*2,2)</f>
        <v>00</v>
      </c>
      <c r="AG613" t="str">
        <f>MID('paste from garc here'!$C$2,1+(('table for research'!$B613-456)*36+HEX2DEC('table for research'!AG$1))*2,2)</f>
        <v>00</v>
      </c>
      <c r="AH613" t="str">
        <f>MID('paste from garc here'!$C$2,1+(('table for research'!$B613-456)*36+HEX2DEC('table for research'!AH$1))*2,2)</f>
        <v>00</v>
      </c>
      <c r="AI613" t="str">
        <f>MID('paste from garc here'!$C$2,1+(('table for research'!$B613-456)*36+HEX2DEC('table for research'!AI$1))*2,2)</f>
        <v>00</v>
      </c>
      <c r="AJ613" t="str">
        <f>MID('paste from garc here'!$C$2,1+(('table for research'!$B613-456)*36+HEX2DEC('table for research'!AJ$1))*2,2)</f>
        <v>00</v>
      </c>
      <c r="AK613" t="str">
        <f>MID('paste from garc here'!$C$2,1+(('table for research'!$B613-456)*36+HEX2DEC('table for research'!AK$1))*2,2)</f>
        <v>00</v>
      </c>
      <c r="AL613" t="str">
        <f>MID('paste from garc here'!$C$2,1+(('table for research'!$B613-456)*36+HEX2DEC('table for research'!AL$1))*2,2)</f>
        <v>00</v>
      </c>
      <c r="AM613" t="str">
        <f>MID('paste from garc here'!$C$2,1+(('table for research'!$B613-456)*36+HEX2DEC('table for research'!AM$1))*2,2)</f>
        <v>00</v>
      </c>
      <c r="AN613" t="str">
        <f>MID('paste from garc here'!$C$2,1+(('table for research'!$B613-456)*36+HEX2DEC('table for research'!AN$1))*2,2)</f>
        <v>00</v>
      </c>
      <c r="AO613" t="str">
        <f>MID('paste from garc here'!$C$2,1+(('table for research'!$B613-456)*36+HEX2DEC('table for research'!AO$1))*2,2)</f>
        <v>00</v>
      </c>
    </row>
    <row r="614" spans="1:41" x14ac:dyDescent="0.4">
      <c r="A614" t="s">
        <v>616</v>
      </c>
      <c r="B614">
        <f>B613+1</f>
        <v>612</v>
      </c>
      <c r="C614" t="str">
        <f>MID('paste from garc here'!$C$2,1+(('table for research'!$B614-456)*36+HEX2DEC('table for research'!C$1))*2,2)</f>
        <v>00</v>
      </c>
      <c r="D614" t="str">
        <f>MID('paste from garc here'!$C$2,1+(('table for research'!$B614-456)*36+HEX2DEC('table for research'!D$1))*2,2)</f>
        <v>00</v>
      </c>
      <c r="E614" t="str">
        <f>MID('paste from garc here'!$C$2,1+(('table for research'!$B614-456)*36+HEX2DEC('table for research'!E$1))*2,2)</f>
        <v>00</v>
      </c>
      <c r="F614" t="str">
        <f>MID('paste from garc here'!$C$2,1+(('table for research'!$B614-456)*36+HEX2DEC('table for research'!F$1))*2,2)</f>
        <v>00</v>
      </c>
      <c r="G614" t="str">
        <f>MID('paste from garc here'!$C$2,1+(('table for research'!$B614-456)*36+HEX2DEC('table for research'!G$1))*2,2)</f>
        <v>00</v>
      </c>
      <c r="H614" t="str">
        <f>MID('paste from garc here'!$C$2,1+(('table for research'!$B614-456)*36+HEX2DEC('table for research'!H$1))*2,2)</f>
        <v>00</v>
      </c>
      <c r="I614" t="str">
        <f>MID('paste from garc here'!$C$2,1+(('table for research'!$B614-456)*36+HEX2DEC('table for research'!I$1))*2,2)</f>
        <v>00</v>
      </c>
      <c r="J614" t="str">
        <f>MID('paste from garc here'!$C$2,1+(('table for research'!$B614-456)*36+HEX2DEC('table for research'!J$1))*2,2)</f>
        <v>00</v>
      </c>
      <c r="K614" t="str">
        <f>DEC2HEX(_xlfn.BITAND(HEX2DEC(MID('paste from garc here'!$C$1,1+(('table for research'!$B614-1)*36+HEX2DEC(8))*2,2)),31),2)</f>
        <v>00</v>
      </c>
      <c r="L614" t="str">
        <f>DEC2HEX(_xlfn.BITAND(HEX2DEC(MID('paste from garc here'!$C$1,1+(('table for research'!$B614-1)*36+HEX2DEC(8))*2,2)),32),2)</f>
        <v>00</v>
      </c>
      <c r="M614" t="str">
        <f>DEC2HEX(_xlfn.BITAND(HEX2DEC(MID('paste from garc here'!$C$1,1+(('table for research'!$B614-1)*36+HEX2DEC(8))*2,2)),64),2)</f>
        <v>00</v>
      </c>
      <c r="N614" t="str">
        <f>DEC2HEX(_xlfn.BITRSHIFT(_xlfn.BITAND(HEX2DEC(MID('paste from garc here'!$C$1,1+(('table for research'!$B614-1)*36+HEX2DEC(9))*2,2)&amp;MID('paste from garc here'!$C$1,1+(('table for research'!$B614-1)*36+HEX2DEC(8))*2,2)),1920),7),2)</f>
        <v>00</v>
      </c>
      <c r="O614" t="str">
        <f>DEC2HEX(_xlfn.BITRSHIFT(HEX2DEC(MID('paste from garc here'!$C$1,1+(('table for research'!$B614-1)*36+HEX2DEC(9))*2,2)&amp;MID('paste from garc here'!$C$1,1+(('table for research'!$B614-1)*36+HEX2DEC(8))*2,2)),11),2)</f>
        <v>00</v>
      </c>
      <c r="P614" t="str">
        <f>MID('paste from garc here'!$C$2,1+(('table for research'!$B614-456)*36+HEX2DEC('table for research'!P$1))*2,2)</f>
        <v>00</v>
      </c>
      <c r="Q614" t="str">
        <f>MID('paste from garc here'!$C$2,1+(('table for research'!$B614-456)*36+HEX2DEC('table for research'!Q$1))*2,2)</f>
        <v>00</v>
      </c>
      <c r="R614" t="str">
        <f>MID('paste from garc here'!$C$2,1+(('table for research'!$B614-456)*36+HEX2DEC('table for research'!R$1))*2,2)</f>
        <v>01</v>
      </c>
      <c r="S614" t="str">
        <f>MID('paste from garc here'!$C$2,1+(('table for research'!$B614-456)*36+HEX2DEC('table for research'!S$1))*2,2)</f>
        <v>03</v>
      </c>
      <c r="T614" t="str">
        <f>MID('paste from garc here'!$C$2,1+(('table for research'!$B614-456)*36+HEX2DEC('table for research'!T$1))*2,2)</f>
        <v>00</v>
      </c>
      <c r="U614" t="str">
        <f>MID('paste from garc here'!$C$2,1+(('table for research'!$B614-456)*36+HEX2DEC('table for research'!U$1))*2,2)</f>
        <v>FF</v>
      </c>
      <c r="V614" t="str">
        <f>MID('paste from garc here'!$C$2,1+(('table for research'!$B614-456)*36+HEX2DEC('table for research'!V$1))*2,2)</f>
        <v>00</v>
      </c>
      <c r="W614" t="str">
        <f>MID('paste from garc here'!$C$2,1+(('table for research'!$B614-456)*36+HEX2DEC('table for research'!W$1))*2,2)</f>
        <v>00</v>
      </c>
      <c r="X614" t="str">
        <f>MID('paste from garc here'!$C$2,1+(('table for research'!$B614-456)*36+HEX2DEC('table for research'!X$1))*2,2)</f>
        <v>00</v>
      </c>
      <c r="Y614" t="str">
        <f>MID('paste from garc here'!$C$2,1+(('table for research'!$B614-456)*36+HEX2DEC('table for research'!Y$1))*2,2)</f>
        <v>00</v>
      </c>
      <c r="Z614" t="str">
        <f>MID('paste from garc here'!$C$2,1+(('table for research'!$B614-456)*36+HEX2DEC('table for research'!Z$1))*2,2)</f>
        <v>00</v>
      </c>
      <c r="AA614" t="str">
        <f>MID('paste from garc here'!$C$2,1+(('table for research'!$B614-456)*36+HEX2DEC('table for research'!AA$1))*2,2)</f>
        <v>00</v>
      </c>
      <c r="AB614" t="str">
        <f>MID('paste from garc here'!$C$2,1+(('table for research'!$B614-456)*36+HEX2DEC('table for research'!AB$1))*2,2)</f>
        <v>00</v>
      </c>
      <c r="AC614" t="str">
        <f>MID('paste from garc here'!$C$2,1+(('table for research'!$B614-456)*36+HEX2DEC('table for research'!AC$1))*2,2)</f>
        <v>00</v>
      </c>
      <c r="AD614" t="str">
        <f>MID('paste from garc here'!$C$2,1+(('table for research'!$B614-456)*36+HEX2DEC('table for research'!AD$1))*2,2)</f>
        <v>00</v>
      </c>
      <c r="AE614" t="str">
        <f>MID('paste from garc here'!$C$2,1+(('table for research'!$B614-456)*36+HEX2DEC('table for research'!AE$1))*2,2)</f>
        <v>00</v>
      </c>
      <c r="AF614" t="str">
        <f>MID('paste from garc here'!$C$2,1+(('table for research'!$B614-456)*36+HEX2DEC('table for research'!AF$1))*2,2)</f>
        <v>00</v>
      </c>
      <c r="AG614" t="str">
        <f>MID('paste from garc here'!$C$2,1+(('table for research'!$B614-456)*36+HEX2DEC('table for research'!AG$1))*2,2)</f>
        <v>00</v>
      </c>
      <c r="AH614" t="str">
        <f>MID('paste from garc here'!$C$2,1+(('table for research'!$B614-456)*36+HEX2DEC('table for research'!AH$1))*2,2)</f>
        <v>00</v>
      </c>
      <c r="AI614" t="str">
        <f>MID('paste from garc here'!$C$2,1+(('table for research'!$B614-456)*36+HEX2DEC('table for research'!AI$1))*2,2)</f>
        <v>00</v>
      </c>
      <c r="AJ614" t="str">
        <f>MID('paste from garc here'!$C$2,1+(('table for research'!$B614-456)*36+HEX2DEC('table for research'!AJ$1))*2,2)</f>
        <v>00</v>
      </c>
      <c r="AK614" t="str">
        <f>MID('paste from garc here'!$C$2,1+(('table for research'!$B614-456)*36+HEX2DEC('table for research'!AK$1))*2,2)</f>
        <v>00</v>
      </c>
      <c r="AL614" t="str">
        <f>MID('paste from garc here'!$C$2,1+(('table for research'!$B614-456)*36+HEX2DEC('table for research'!AL$1))*2,2)</f>
        <v>00</v>
      </c>
      <c r="AM614" t="str">
        <f>MID('paste from garc here'!$C$2,1+(('table for research'!$B614-456)*36+HEX2DEC('table for research'!AM$1))*2,2)</f>
        <v>00</v>
      </c>
      <c r="AN614" t="str">
        <f>MID('paste from garc here'!$C$2,1+(('table for research'!$B614-456)*36+HEX2DEC('table for research'!AN$1))*2,2)</f>
        <v>00</v>
      </c>
      <c r="AO614" t="str">
        <f>MID('paste from garc here'!$C$2,1+(('table for research'!$B614-456)*36+HEX2DEC('table for research'!AO$1))*2,2)</f>
        <v>00</v>
      </c>
    </row>
    <row r="615" spans="1:41" x14ac:dyDescent="0.4">
      <c r="A615" t="s">
        <v>617</v>
      </c>
      <c r="B615">
        <f>B614+1</f>
        <v>613</v>
      </c>
      <c r="C615" t="str">
        <f>MID('paste from garc here'!$C$2,1+(('table for research'!$B615-456)*36+HEX2DEC('table for research'!C$1))*2,2)</f>
        <v>00</v>
      </c>
      <c r="D615" t="str">
        <f>MID('paste from garc here'!$C$2,1+(('table for research'!$B615-456)*36+HEX2DEC('table for research'!D$1))*2,2)</f>
        <v>00</v>
      </c>
      <c r="E615" t="str">
        <f>MID('paste from garc here'!$C$2,1+(('table for research'!$B615-456)*36+HEX2DEC('table for research'!E$1))*2,2)</f>
        <v>00</v>
      </c>
      <c r="F615" t="str">
        <f>MID('paste from garc here'!$C$2,1+(('table for research'!$B615-456)*36+HEX2DEC('table for research'!F$1))*2,2)</f>
        <v>00</v>
      </c>
      <c r="G615" t="str">
        <f>MID('paste from garc here'!$C$2,1+(('table for research'!$B615-456)*36+HEX2DEC('table for research'!G$1))*2,2)</f>
        <v>00</v>
      </c>
      <c r="H615" t="str">
        <f>MID('paste from garc here'!$C$2,1+(('table for research'!$B615-456)*36+HEX2DEC('table for research'!H$1))*2,2)</f>
        <v>00</v>
      </c>
      <c r="I615" t="str">
        <f>MID('paste from garc here'!$C$2,1+(('table for research'!$B615-456)*36+HEX2DEC('table for research'!I$1))*2,2)</f>
        <v>00</v>
      </c>
      <c r="J615" t="str">
        <f>MID('paste from garc here'!$C$2,1+(('table for research'!$B615-456)*36+HEX2DEC('table for research'!J$1))*2,2)</f>
        <v>00</v>
      </c>
      <c r="K615" t="str">
        <f>DEC2HEX(_xlfn.BITAND(HEX2DEC(MID('paste from garc here'!$C$1,1+(('table for research'!$B615-1)*36+HEX2DEC(8))*2,2)),31),2)</f>
        <v>00</v>
      </c>
      <c r="L615" t="str">
        <f>DEC2HEX(_xlfn.BITAND(HEX2DEC(MID('paste from garc here'!$C$1,1+(('table for research'!$B615-1)*36+HEX2DEC(8))*2,2)),32),2)</f>
        <v>00</v>
      </c>
      <c r="M615" t="str">
        <f>DEC2HEX(_xlfn.BITAND(HEX2DEC(MID('paste from garc here'!$C$1,1+(('table for research'!$B615-1)*36+HEX2DEC(8))*2,2)),64),2)</f>
        <v>00</v>
      </c>
      <c r="N615" t="str">
        <f>DEC2HEX(_xlfn.BITRSHIFT(_xlfn.BITAND(HEX2DEC(MID('paste from garc here'!$C$1,1+(('table for research'!$B615-1)*36+HEX2DEC(9))*2,2)&amp;MID('paste from garc here'!$C$1,1+(('table for research'!$B615-1)*36+HEX2DEC(8))*2,2)),1920),7),2)</f>
        <v>00</v>
      </c>
      <c r="O615" t="str">
        <f>DEC2HEX(_xlfn.BITRSHIFT(HEX2DEC(MID('paste from garc here'!$C$1,1+(('table for research'!$B615-1)*36+HEX2DEC(9))*2,2)&amp;MID('paste from garc here'!$C$1,1+(('table for research'!$B615-1)*36+HEX2DEC(8))*2,2)),11),2)</f>
        <v>00</v>
      </c>
      <c r="P615" t="str">
        <f>MID('paste from garc here'!$C$2,1+(('table for research'!$B615-456)*36+HEX2DEC('table for research'!P$1))*2,2)</f>
        <v>00</v>
      </c>
      <c r="Q615" t="str">
        <f>MID('paste from garc here'!$C$2,1+(('table for research'!$B615-456)*36+HEX2DEC('table for research'!Q$1))*2,2)</f>
        <v>00</v>
      </c>
      <c r="R615" t="str">
        <f>MID('paste from garc here'!$C$2,1+(('table for research'!$B615-456)*36+HEX2DEC('table for research'!R$1))*2,2)</f>
        <v>01</v>
      </c>
      <c r="S615" t="str">
        <f>MID('paste from garc here'!$C$2,1+(('table for research'!$B615-456)*36+HEX2DEC('table for research'!S$1))*2,2)</f>
        <v>03</v>
      </c>
      <c r="T615" t="str">
        <f>MID('paste from garc here'!$C$2,1+(('table for research'!$B615-456)*36+HEX2DEC('table for research'!T$1))*2,2)</f>
        <v>00</v>
      </c>
      <c r="U615" t="str">
        <f>MID('paste from garc here'!$C$2,1+(('table for research'!$B615-456)*36+HEX2DEC('table for research'!U$1))*2,2)</f>
        <v>FF</v>
      </c>
      <c r="V615" t="str">
        <f>MID('paste from garc here'!$C$2,1+(('table for research'!$B615-456)*36+HEX2DEC('table for research'!V$1))*2,2)</f>
        <v>00</v>
      </c>
      <c r="W615" t="str">
        <f>MID('paste from garc here'!$C$2,1+(('table for research'!$B615-456)*36+HEX2DEC('table for research'!W$1))*2,2)</f>
        <v>00</v>
      </c>
      <c r="X615" t="str">
        <f>MID('paste from garc here'!$C$2,1+(('table for research'!$B615-456)*36+HEX2DEC('table for research'!X$1))*2,2)</f>
        <v>00</v>
      </c>
      <c r="Y615" t="str">
        <f>MID('paste from garc here'!$C$2,1+(('table for research'!$B615-456)*36+HEX2DEC('table for research'!Y$1))*2,2)</f>
        <v>00</v>
      </c>
      <c r="Z615" t="str">
        <f>MID('paste from garc here'!$C$2,1+(('table for research'!$B615-456)*36+HEX2DEC('table for research'!Z$1))*2,2)</f>
        <v>00</v>
      </c>
      <c r="AA615" t="str">
        <f>MID('paste from garc here'!$C$2,1+(('table for research'!$B615-456)*36+HEX2DEC('table for research'!AA$1))*2,2)</f>
        <v>00</v>
      </c>
      <c r="AB615" t="str">
        <f>MID('paste from garc here'!$C$2,1+(('table for research'!$B615-456)*36+HEX2DEC('table for research'!AB$1))*2,2)</f>
        <v>00</v>
      </c>
      <c r="AC615" t="str">
        <f>MID('paste from garc here'!$C$2,1+(('table for research'!$B615-456)*36+HEX2DEC('table for research'!AC$1))*2,2)</f>
        <v>00</v>
      </c>
      <c r="AD615" t="str">
        <f>MID('paste from garc here'!$C$2,1+(('table for research'!$B615-456)*36+HEX2DEC('table for research'!AD$1))*2,2)</f>
        <v>00</v>
      </c>
      <c r="AE615" t="str">
        <f>MID('paste from garc here'!$C$2,1+(('table for research'!$B615-456)*36+HEX2DEC('table for research'!AE$1))*2,2)</f>
        <v>00</v>
      </c>
      <c r="AF615" t="str">
        <f>MID('paste from garc here'!$C$2,1+(('table for research'!$B615-456)*36+HEX2DEC('table for research'!AF$1))*2,2)</f>
        <v>00</v>
      </c>
      <c r="AG615" t="str">
        <f>MID('paste from garc here'!$C$2,1+(('table for research'!$B615-456)*36+HEX2DEC('table for research'!AG$1))*2,2)</f>
        <v>00</v>
      </c>
      <c r="AH615" t="str">
        <f>MID('paste from garc here'!$C$2,1+(('table for research'!$B615-456)*36+HEX2DEC('table for research'!AH$1))*2,2)</f>
        <v>00</v>
      </c>
      <c r="AI615" t="str">
        <f>MID('paste from garc here'!$C$2,1+(('table for research'!$B615-456)*36+HEX2DEC('table for research'!AI$1))*2,2)</f>
        <v>00</v>
      </c>
      <c r="AJ615" t="str">
        <f>MID('paste from garc here'!$C$2,1+(('table for research'!$B615-456)*36+HEX2DEC('table for research'!AJ$1))*2,2)</f>
        <v>00</v>
      </c>
      <c r="AK615" t="str">
        <f>MID('paste from garc here'!$C$2,1+(('table for research'!$B615-456)*36+HEX2DEC('table for research'!AK$1))*2,2)</f>
        <v>00</v>
      </c>
      <c r="AL615" t="str">
        <f>MID('paste from garc here'!$C$2,1+(('table for research'!$B615-456)*36+HEX2DEC('table for research'!AL$1))*2,2)</f>
        <v>00</v>
      </c>
      <c r="AM615" t="str">
        <f>MID('paste from garc here'!$C$2,1+(('table for research'!$B615-456)*36+HEX2DEC('table for research'!AM$1))*2,2)</f>
        <v>00</v>
      </c>
      <c r="AN615" t="str">
        <f>MID('paste from garc here'!$C$2,1+(('table for research'!$B615-456)*36+HEX2DEC('table for research'!AN$1))*2,2)</f>
        <v>00</v>
      </c>
      <c r="AO615" t="str">
        <f>MID('paste from garc here'!$C$2,1+(('table for research'!$B615-456)*36+HEX2DEC('table for research'!AO$1))*2,2)</f>
        <v>00</v>
      </c>
    </row>
    <row r="616" spans="1:41" x14ac:dyDescent="0.4">
      <c r="A616" t="s">
        <v>618</v>
      </c>
      <c r="B616">
        <f>B615+1</f>
        <v>614</v>
      </c>
      <c r="C616" t="str">
        <f>MID('paste from garc here'!$C$2,1+(('table for research'!$B616-456)*36+HEX2DEC('table for research'!C$1))*2,2)</f>
        <v>00</v>
      </c>
      <c r="D616" t="str">
        <f>MID('paste from garc here'!$C$2,1+(('table for research'!$B616-456)*36+HEX2DEC('table for research'!D$1))*2,2)</f>
        <v>00</v>
      </c>
      <c r="E616" t="str">
        <f>MID('paste from garc here'!$C$2,1+(('table for research'!$B616-456)*36+HEX2DEC('table for research'!E$1))*2,2)</f>
        <v>00</v>
      </c>
      <c r="F616" t="str">
        <f>MID('paste from garc here'!$C$2,1+(('table for research'!$B616-456)*36+HEX2DEC('table for research'!F$1))*2,2)</f>
        <v>00</v>
      </c>
      <c r="G616" t="str">
        <f>MID('paste from garc here'!$C$2,1+(('table for research'!$B616-456)*36+HEX2DEC('table for research'!G$1))*2,2)</f>
        <v>00</v>
      </c>
      <c r="H616" t="str">
        <f>MID('paste from garc here'!$C$2,1+(('table for research'!$B616-456)*36+HEX2DEC('table for research'!H$1))*2,2)</f>
        <v>00</v>
      </c>
      <c r="I616" t="str">
        <f>MID('paste from garc here'!$C$2,1+(('table for research'!$B616-456)*36+HEX2DEC('table for research'!I$1))*2,2)</f>
        <v>00</v>
      </c>
      <c r="J616" t="str">
        <f>MID('paste from garc here'!$C$2,1+(('table for research'!$B616-456)*36+HEX2DEC('table for research'!J$1))*2,2)</f>
        <v>00</v>
      </c>
      <c r="K616" t="str">
        <f>DEC2HEX(_xlfn.BITAND(HEX2DEC(MID('paste from garc here'!$C$1,1+(('table for research'!$B616-1)*36+HEX2DEC(8))*2,2)),31),2)</f>
        <v>00</v>
      </c>
      <c r="L616" t="str">
        <f>DEC2HEX(_xlfn.BITAND(HEX2DEC(MID('paste from garc here'!$C$1,1+(('table for research'!$B616-1)*36+HEX2DEC(8))*2,2)),32),2)</f>
        <v>00</v>
      </c>
      <c r="M616" t="str">
        <f>DEC2HEX(_xlfn.BITAND(HEX2DEC(MID('paste from garc here'!$C$1,1+(('table for research'!$B616-1)*36+HEX2DEC(8))*2,2)),64),2)</f>
        <v>00</v>
      </c>
      <c r="N616" t="str">
        <f>DEC2HEX(_xlfn.BITRSHIFT(_xlfn.BITAND(HEX2DEC(MID('paste from garc here'!$C$1,1+(('table for research'!$B616-1)*36+HEX2DEC(9))*2,2)&amp;MID('paste from garc here'!$C$1,1+(('table for research'!$B616-1)*36+HEX2DEC(8))*2,2)),1920),7),2)</f>
        <v>00</v>
      </c>
      <c r="O616" t="str">
        <f>DEC2HEX(_xlfn.BITRSHIFT(HEX2DEC(MID('paste from garc here'!$C$1,1+(('table for research'!$B616-1)*36+HEX2DEC(9))*2,2)&amp;MID('paste from garc here'!$C$1,1+(('table for research'!$B616-1)*36+HEX2DEC(8))*2,2)),11),2)</f>
        <v>00</v>
      </c>
      <c r="P616" t="str">
        <f>MID('paste from garc here'!$C$2,1+(('table for research'!$B616-456)*36+HEX2DEC('table for research'!P$1))*2,2)</f>
        <v>00</v>
      </c>
      <c r="Q616" t="str">
        <f>MID('paste from garc here'!$C$2,1+(('table for research'!$B616-456)*36+HEX2DEC('table for research'!Q$1))*2,2)</f>
        <v>00</v>
      </c>
      <c r="R616" t="str">
        <f>MID('paste from garc here'!$C$2,1+(('table for research'!$B616-456)*36+HEX2DEC('table for research'!R$1))*2,2)</f>
        <v>01</v>
      </c>
      <c r="S616" t="str">
        <f>MID('paste from garc here'!$C$2,1+(('table for research'!$B616-456)*36+HEX2DEC('table for research'!S$1))*2,2)</f>
        <v>03</v>
      </c>
      <c r="T616" t="str">
        <f>MID('paste from garc here'!$C$2,1+(('table for research'!$B616-456)*36+HEX2DEC('table for research'!T$1))*2,2)</f>
        <v>00</v>
      </c>
      <c r="U616" t="str">
        <f>MID('paste from garc here'!$C$2,1+(('table for research'!$B616-456)*36+HEX2DEC('table for research'!U$1))*2,2)</f>
        <v>FF</v>
      </c>
      <c r="V616" t="str">
        <f>MID('paste from garc here'!$C$2,1+(('table for research'!$B616-456)*36+HEX2DEC('table for research'!V$1))*2,2)</f>
        <v>00</v>
      </c>
      <c r="W616" t="str">
        <f>MID('paste from garc here'!$C$2,1+(('table for research'!$B616-456)*36+HEX2DEC('table for research'!W$1))*2,2)</f>
        <v>00</v>
      </c>
      <c r="X616" t="str">
        <f>MID('paste from garc here'!$C$2,1+(('table for research'!$B616-456)*36+HEX2DEC('table for research'!X$1))*2,2)</f>
        <v>00</v>
      </c>
      <c r="Y616" t="str">
        <f>MID('paste from garc here'!$C$2,1+(('table for research'!$B616-456)*36+HEX2DEC('table for research'!Y$1))*2,2)</f>
        <v>00</v>
      </c>
      <c r="Z616" t="str">
        <f>MID('paste from garc here'!$C$2,1+(('table for research'!$B616-456)*36+HEX2DEC('table for research'!Z$1))*2,2)</f>
        <v>00</v>
      </c>
      <c r="AA616" t="str">
        <f>MID('paste from garc here'!$C$2,1+(('table for research'!$B616-456)*36+HEX2DEC('table for research'!AA$1))*2,2)</f>
        <v>00</v>
      </c>
      <c r="AB616" t="str">
        <f>MID('paste from garc here'!$C$2,1+(('table for research'!$B616-456)*36+HEX2DEC('table for research'!AB$1))*2,2)</f>
        <v>00</v>
      </c>
      <c r="AC616" t="str">
        <f>MID('paste from garc here'!$C$2,1+(('table for research'!$B616-456)*36+HEX2DEC('table for research'!AC$1))*2,2)</f>
        <v>00</v>
      </c>
      <c r="AD616" t="str">
        <f>MID('paste from garc here'!$C$2,1+(('table for research'!$B616-456)*36+HEX2DEC('table for research'!AD$1))*2,2)</f>
        <v>00</v>
      </c>
      <c r="AE616" t="str">
        <f>MID('paste from garc here'!$C$2,1+(('table for research'!$B616-456)*36+HEX2DEC('table for research'!AE$1))*2,2)</f>
        <v>00</v>
      </c>
      <c r="AF616" t="str">
        <f>MID('paste from garc here'!$C$2,1+(('table for research'!$B616-456)*36+HEX2DEC('table for research'!AF$1))*2,2)</f>
        <v>00</v>
      </c>
      <c r="AG616" t="str">
        <f>MID('paste from garc here'!$C$2,1+(('table for research'!$B616-456)*36+HEX2DEC('table for research'!AG$1))*2,2)</f>
        <v>00</v>
      </c>
      <c r="AH616" t="str">
        <f>MID('paste from garc here'!$C$2,1+(('table for research'!$B616-456)*36+HEX2DEC('table for research'!AH$1))*2,2)</f>
        <v>00</v>
      </c>
      <c r="AI616" t="str">
        <f>MID('paste from garc here'!$C$2,1+(('table for research'!$B616-456)*36+HEX2DEC('table for research'!AI$1))*2,2)</f>
        <v>00</v>
      </c>
      <c r="AJ616" t="str">
        <f>MID('paste from garc here'!$C$2,1+(('table for research'!$B616-456)*36+HEX2DEC('table for research'!AJ$1))*2,2)</f>
        <v>00</v>
      </c>
      <c r="AK616" t="str">
        <f>MID('paste from garc here'!$C$2,1+(('table for research'!$B616-456)*36+HEX2DEC('table for research'!AK$1))*2,2)</f>
        <v>00</v>
      </c>
      <c r="AL616" t="str">
        <f>MID('paste from garc here'!$C$2,1+(('table for research'!$B616-456)*36+HEX2DEC('table for research'!AL$1))*2,2)</f>
        <v>00</v>
      </c>
      <c r="AM616" t="str">
        <f>MID('paste from garc here'!$C$2,1+(('table for research'!$B616-456)*36+HEX2DEC('table for research'!AM$1))*2,2)</f>
        <v>00</v>
      </c>
      <c r="AN616" t="str">
        <f>MID('paste from garc here'!$C$2,1+(('table for research'!$B616-456)*36+HEX2DEC('table for research'!AN$1))*2,2)</f>
        <v>00</v>
      </c>
      <c r="AO616" t="str">
        <f>MID('paste from garc here'!$C$2,1+(('table for research'!$B616-456)*36+HEX2DEC('table for research'!AO$1))*2,2)</f>
        <v>00</v>
      </c>
    </row>
    <row r="617" spans="1:41" x14ac:dyDescent="0.4">
      <c r="A617" t="s">
        <v>619</v>
      </c>
      <c r="B617">
        <f>B616+1</f>
        <v>615</v>
      </c>
      <c r="C617" t="str">
        <f>MID('paste from garc here'!$C$2,1+(('table for research'!$B617-456)*36+HEX2DEC('table for research'!C$1))*2,2)</f>
        <v>00</v>
      </c>
      <c r="D617" t="str">
        <f>MID('paste from garc here'!$C$2,1+(('table for research'!$B617-456)*36+HEX2DEC('table for research'!D$1))*2,2)</f>
        <v>00</v>
      </c>
      <c r="E617" t="str">
        <f>MID('paste from garc here'!$C$2,1+(('table for research'!$B617-456)*36+HEX2DEC('table for research'!E$1))*2,2)</f>
        <v>00</v>
      </c>
      <c r="F617" t="str">
        <f>MID('paste from garc here'!$C$2,1+(('table for research'!$B617-456)*36+HEX2DEC('table for research'!F$1))*2,2)</f>
        <v>00</v>
      </c>
      <c r="G617" t="str">
        <f>MID('paste from garc here'!$C$2,1+(('table for research'!$B617-456)*36+HEX2DEC('table for research'!G$1))*2,2)</f>
        <v>00</v>
      </c>
      <c r="H617" t="str">
        <f>MID('paste from garc here'!$C$2,1+(('table for research'!$B617-456)*36+HEX2DEC('table for research'!H$1))*2,2)</f>
        <v>00</v>
      </c>
      <c r="I617" t="str">
        <f>MID('paste from garc here'!$C$2,1+(('table for research'!$B617-456)*36+HEX2DEC('table for research'!I$1))*2,2)</f>
        <v>00</v>
      </c>
      <c r="J617" t="str">
        <f>MID('paste from garc here'!$C$2,1+(('table for research'!$B617-456)*36+HEX2DEC('table for research'!J$1))*2,2)</f>
        <v>00</v>
      </c>
      <c r="K617" t="str">
        <f>DEC2HEX(_xlfn.BITAND(HEX2DEC(MID('paste from garc here'!$C$1,1+(('table for research'!$B617-1)*36+HEX2DEC(8))*2,2)),31),2)</f>
        <v>00</v>
      </c>
      <c r="L617" t="str">
        <f>DEC2HEX(_xlfn.BITAND(HEX2DEC(MID('paste from garc here'!$C$1,1+(('table for research'!$B617-1)*36+HEX2DEC(8))*2,2)),32),2)</f>
        <v>00</v>
      </c>
      <c r="M617" t="str">
        <f>DEC2HEX(_xlfn.BITAND(HEX2DEC(MID('paste from garc here'!$C$1,1+(('table for research'!$B617-1)*36+HEX2DEC(8))*2,2)),64),2)</f>
        <v>00</v>
      </c>
      <c r="N617" t="str">
        <f>DEC2HEX(_xlfn.BITRSHIFT(_xlfn.BITAND(HEX2DEC(MID('paste from garc here'!$C$1,1+(('table for research'!$B617-1)*36+HEX2DEC(9))*2,2)&amp;MID('paste from garc here'!$C$1,1+(('table for research'!$B617-1)*36+HEX2DEC(8))*2,2)),1920),7),2)</f>
        <v>00</v>
      </c>
      <c r="O617" t="str">
        <f>DEC2HEX(_xlfn.BITRSHIFT(HEX2DEC(MID('paste from garc here'!$C$1,1+(('table for research'!$B617-1)*36+HEX2DEC(9))*2,2)&amp;MID('paste from garc here'!$C$1,1+(('table for research'!$B617-1)*36+HEX2DEC(8))*2,2)),11),2)</f>
        <v>00</v>
      </c>
      <c r="P617" t="str">
        <f>MID('paste from garc here'!$C$2,1+(('table for research'!$B617-456)*36+HEX2DEC('table for research'!P$1))*2,2)</f>
        <v>00</v>
      </c>
      <c r="Q617" t="str">
        <f>MID('paste from garc here'!$C$2,1+(('table for research'!$B617-456)*36+HEX2DEC('table for research'!Q$1))*2,2)</f>
        <v>00</v>
      </c>
      <c r="R617" t="str">
        <f>MID('paste from garc here'!$C$2,1+(('table for research'!$B617-456)*36+HEX2DEC('table for research'!R$1))*2,2)</f>
        <v>01</v>
      </c>
      <c r="S617" t="str">
        <f>MID('paste from garc here'!$C$2,1+(('table for research'!$B617-456)*36+HEX2DEC('table for research'!S$1))*2,2)</f>
        <v>03</v>
      </c>
      <c r="T617" t="str">
        <f>MID('paste from garc here'!$C$2,1+(('table for research'!$B617-456)*36+HEX2DEC('table for research'!T$1))*2,2)</f>
        <v>00</v>
      </c>
      <c r="U617" t="str">
        <f>MID('paste from garc here'!$C$2,1+(('table for research'!$B617-456)*36+HEX2DEC('table for research'!U$1))*2,2)</f>
        <v>FF</v>
      </c>
      <c r="V617" t="str">
        <f>MID('paste from garc here'!$C$2,1+(('table for research'!$B617-456)*36+HEX2DEC('table for research'!V$1))*2,2)</f>
        <v>00</v>
      </c>
      <c r="W617" t="str">
        <f>MID('paste from garc here'!$C$2,1+(('table for research'!$B617-456)*36+HEX2DEC('table for research'!W$1))*2,2)</f>
        <v>00</v>
      </c>
      <c r="X617" t="str">
        <f>MID('paste from garc here'!$C$2,1+(('table for research'!$B617-456)*36+HEX2DEC('table for research'!X$1))*2,2)</f>
        <v>00</v>
      </c>
      <c r="Y617" t="str">
        <f>MID('paste from garc here'!$C$2,1+(('table for research'!$B617-456)*36+HEX2DEC('table for research'!Y$1))*2,2)</f>
        <v>00</v>
      </c>
      <c r="Z617" t="str">
        <f>MID('paste from garc here'!$C$2,1+(('table for research'!$B617-456)*36+HEX2DEC('table for research'!Z$1))*2,2)</f>
        <v>30</v>
      </c>
      <c r="AA617" t="str">
        <f>MID('paste from garc here'!$C$2,1+(('table for research'!$B617-456)*36+HEX2DEC('table for research'!AA$1))*2,2)</f>
        <v>00</v>
      </c>
      <c r="AB617" t="str">
        <f>MID('paste from garc here'!$C$2,1+(('table for research'!$B617-456)*36+HEX2DEC('table for research'!AB$1))*2,2)</f>
        <v>00</v>
      </c>
      <c r="AC617" t="str">
        <f>MID('paste from garc here'!$C$2,1+(('table for research'!$B617-456)*36+HEX2DEC('table for research'!AC$1))*2,2)</f>
        <v>00</v>
      </c>
      <c r="AD617" t="str">
        <f>MID('paste from garc here'!$C$2,1+(('table for research'!$B617-456)*36+HEX2DEC('table for research'!AD$1))*2,2)</f>
        <v>00</v>
      </c>
      <c r="AE617" t="str">
        <f>MID('paste from garc here'!$C$2,1+(('table for research'!$B617-456)*36+HEX2DEC('table for research'!AE$1))*2,2)</f>
        <v>00</v>
      </c>
      <c r="AF617" t="str">
        <f>MID('paste from garc here'!$C$2,1+(('table for research'!$B617-456)*36+HEX2DEC('table for research'!AF$1))*2,2)</f>
        <v>00</v>
      </c>
      <c r="AG617" t="str">
        <f>MID('paste from garc here'!$C$2,1+(('table for research'!$B617-456)*36+HEX2DEC('table for research'!AG$1))*2,2)</f>
        <v>00</v>
      </c>
      <c r="AH617" t="str">
        <f>MID('paste from garc here'!$C$2,1+(('table for research'!$B617-456)*36+HEX2DEC('table for research'!AH$1))*2,2)</f>
        <v>00</v>
      </c>
      <c r="AI617" t="str">
        <f>MID('paste from garc here'!$C$2,1+(('table for research'!$B617-456)*36+HEX2DEC('table for research'!AI$1))*2,2)</f>
        <v>00</v>
      </c>
      <c r="AJ617" t="str">
        <f>MID('paste from garc here'!$C$2,1+(('table for research'!$B617-456)*36+HEX2DEC('table for research'!AJ$1))*2,2)</f>
        <v>00</v>
      </c>
      <c r="AK617" t="str">
        <f>MID('paste from garc here'!$C$2,1+(('table for research'!$B617-456)*36+HEX2DEC('table for research'!AK$1))*2,2)</f>
        <v>00</v>
      </c>
      <c r="AL617" t="str">
        <f>MID('paste from garc here'!$C$2,1+(('table for research'!$B617-456)*36+HEX2DEC('table for research'!AL$1))*2,2)</f>
        <v>00</v>
      </c>
      <c r="AM617" t="str">
        <f>MID('paste from garc here'!$C$2,1+(('table for research'!$B617-456)*36+HEX2DEC('table for research'!AM$1))*2,2)</f>
        <v>00</v>
      </c>
      <c r="AN617" t="str">
        <f>MID('paste from garc here'!$C$2,1+(('table for research'!$B617-456)*36+HEX2DEC('table for research'!AN$1))*2,2)</f>
        <v>00</v>
      </c>
      <c r="AO617" t="str">
        <f>MID('paste from garc here'!$C$2,1+(('table for research'!$B617-456)*36+HEX2DEC('table for research'!AO$1))*2,2)</f>
        <v>00</v>
      </c>
    </row>
    <row r="618" spans="1:41" x14ac:dyDescent="0.4">
      <c r="A618" t="s">
        <v>620</v>
      </c>
      <c r="B618">
        <f>B617+1</f>
        <v>616</v>
      </c>
      <c r="C618" t="str">
        <f>MID('paste from garc here'!$C$2,1+(('table for research'!$B618-456)*36+HEX2DEC('table for research'!C$1))*2,2)</f>
        <v>00</v>
      </c>
      <c r="D618" t="str">
        <f>MID('paste from garc here'!$C$2,1+(('table for research'!$B618-456)*36+HEX2DEC('table for research'!D$1))*2,2)</f>
        <v>00</v>
      </c>
      <c r="E618" t="str">
        <f>MID('paste from garc here'!$C$2,1+(('table for research'!$B618-456)*36+HEX2DEC('table for research'!E$1))*2,2)</f>
        <v>00</v>
      </c>
      <c r="F618" t="str">
        <f>MID('paste from garc here'!$C$2,1+(('table for research'!$B618-456)*36+HEX2DEC('table for research'!F$1))*2,2)</f>
        <v>00</v>
      </c>
      <c r="G618" t="str">
        <f>MID('paste from garc here'!$C$2,1+(('table for research'!$B618-456)*36+HEX2DEC('table for research'!G$1))*2,2)</f>
        <v>00</v>
      </c>
      <c r="H618" t="str">
        <f>MID('paste from garc here'!$C$2,1+(('table for research'!$B618-456)*36+HEX2DEC('table for research'!H$1))*2,2)</f>
        <v>00</v>
      </c>
      <c r="I618" t="str">
        <f>MID('paste from garc here'!$C$2,1+(('table for research'!$B618-456)*36+HEX2DEC('table for research'!I$1))*2,2)</f>
        <v>00</v>
      </c>
      <c r="J618" t="str">
        <f>MID('paste from garc here'!$C$2,1+(('table for research'!$B618-456)*36+HEX2DEC('table for research'!J$1))*2,2)</f>
        <v>00</v>
      </c>
      <c r="K618" t="str">
        <f>DEC2HEX(_xlfn.BITAND(HEX2DEC(MID('paste from garc here'!$C$1,1+(('table for research'!$B618-1)*36+HEX2DEC(8))*2,2)),31),2)</f>
        <v>00</v>
      </c>
      <c r="L618" t="str">
        <f>DEC2HEX(_xlfn.BITAND(HEX2DEC(MID('paste from garc here'!$C$1,1+(('table for research'!$B618-1)*36+HEX2DEC(8))*2,2)),32),2)</f>
        <v>00</v>
      </c>
      <c r="M618" t="str">
        <f>DEC2HEX(_xlfn.BITAND(HEX2DEC(MID('paste from garc here'!$C$1,1+(('table for research'!$B618-1)*36+HEX2DEC(8))*2,2)),64),2)</f>
        <v>00</v>
      </c>
      <c r="N618" t="str">
        <f>DEC2HEX(_xlfn.BITRSHIFT(_xlfn.BITAND(HEX2DEC(MID('paste from garc here'!$C$1,1+(('table for research'!$B618-1)*36+HEX2DEC(9))*2,2)&amp;MID('paste from garc here'!$C$1,1+(('table for research'!$B618-1)*36+HEX2DEC(8))*2,2)),1920),7),2)</f>
        <v>00</v>
      </c>
      <c r="O618" t="str">
        <f>DEC2HEX(_xlfn.BITRSHIFT(HEX2DEC(MID('paste from garc here'!$C$1,1+(('table for research'!$B618-1)*36+HEX2DEC(9))*2,2)&amp;MID('paste from garc here'!$C$1,1+(('table for research'!$B618-1)*36+HEX2DEC(8))*2,2)),11),2)</f>
        <v>00</v>
      </c>
      <c r="P618" t="str">
        <f>MID('paste from garc here'!$C$2,1+(('table for research'!$B618-456)*36+HEX2DEC('table for research'!P$1))*2,2)</f>
        <v>00</v>
      </c>
      <c r="Q618" t="str">
        <f>MID('paste from garc here'!$C$2,1+(('table for research'!$B618-456)*36+HEX2DEC('table for research'!Q$1))*2,2)</f>
        <v>00</v>
      </c>
      <c r="R618" t="str">
        <f>MID('paste from garc here'!$C$2,1+(('table for research'!$B618-456)*36+HEX2DEC('table for research'!R$1))*2,2)</f>
        <v>00</v>
      </c>
      <c r="S618" t="str">
        <f>MID('paste from garc here'!$C$2,1+(('table for research'!$B618-456)*36+HEX2DEC('table for research'!S$1))*2,2)</f>
        <v>08</v>
      </c>
      <c r="T618" t="str">
        <f>MID('paste from garc here'!$C$2,1+(('table for research'!$B618-456)*36+HEX2DEC('table for research'!T$1))*2,2)</f>
        <v>00</v>
      </c>
      <c r="U618" t="str">
        <f>MID('paste from garc here'!$C$2,1+(('table for research'!$B618-456)*36+HEX2DEC('table for research'!U$1))*2,2)</f>
        <v>FF</v>
      </c>
      <c r="V618" t="str">
        <f>MID('paste from garc here'!$C$2,1+(('table for research'!$B618-456)*36+HEX2DEC('table for research'!V$1))*2,2)</f>
        <v>00</v>
      </c>
      <c r="W618" t="str">
        <f>MID('paste from garc here'!$C$2,1+(('table for research'!$B618-456)*36+HEX2DEC('table for research'!W$1))*2,2)</f>
        <v>00</v>
      </c>
      <c r="X618" t="str">
        <f>MID('paste from garc here'!$C$2,1+(('table for research'!$B618-456)*36+HEX2DEC('table for research'!X$1))*2,2)</f>
        <v>00</v>
      </c>
      <c r="Y618" t="str">
        <f>MID('paste from garc here'!$C$2,1+(('table for research'!$B618-456)*36+HEX2DEC('table for research'!Y$1))*2,2)</f>
        <v>00</v>
      </c>
      <c r="Z618" t="str">
        <f>MID('paste from garc here'!$C$2,1+(('table for research'!$B618-456)*36+HEX2DEC('table for research'!Z$1))*2,2)</f>
        <v>00</v>
      </c>
      <c r="AA618" t="str">
        <f>MID('paste from garc here'!$C$2,1+(('table for research'!$B618-456)*36+HEX2DEC('table for research'!AA$1))*2,2)</f>
        <v>00</v>
      </c>
      <c r="AB618" t="str">
        <f>MID('paste from garc here'!$C$2,1+(('table for research'!$B618-456)*36+HEX2DEC('table for research'!AB$1))*2,2)</f>
        <v>00</v>
      </c>
      <c r="AC618" t="str">
        <f>MID('paste from garc here'!$C$2,1+(('table for research'!$B618-456)*36+HEX2DEC('table for research'!AC$1))*2,2)</f>
        <v>00</v>
      </c>
      <c r="AD618" t="str">
        <f>MID('paste from garc here'!$C$2,1+(('table for research'!$B618-456)*36+HEX2DEC('table for research'!AD$1))*2,2)</f>
        <v>00</v>
      </c>
      <c r="AE618" t="str">
        <f>MID('paste from garc here'!$C$2,1+(('table for research'!$B618-456)*36+HEX2DEC('table for research'!AE$1))*2,2)</f>
        <v>00</v>
      </c>
      <c r="AF618" t="str">
        <f>MID('paste from garc here'!$C$2,1+(('table for research'!$B618-456)*36+HEX2DEC('table for research'!AF$1))*2,2)</f>
        <v>00</v>
      </c>
      <c r="AG618" t="str">
        <f>MID('paste from garc here'!$C$2,1+(('table for research'!$B618-456)*36+HEX2DEC('table for research'!AG$1))*2,2)</f>
        <v>00</v>
      </c>
      <c r="AH618" t="str">
        <f>MID('paste from garc here'!$C$2,1+(('table for research'!$B618-456)*36+HEX2DEC('table for research'!AH$1))*2,2)</f>
        <v>00</v>
      </c>
      <c r="AI618" t="str">
        <f>MID('paste from garc here'!$C$2,1+(('table for research'!$B618-456)*36+HEX2DEC('table for research'!AI$1))*2,2)</f>
        <v>00</v>
      </c>
      <c r="AJ618" t="str">
        <f>MID('paste from garc here'!$C$2,1+(('table for research'!$B618-456)*36+HEX2DEC('table for research'!AJ$1))*2,2)</f>
        <v>00</v>
      </c>
      <c r="AK618" t="str">
        <f>MID('paste from garc here'!$C$2,1+(('table for research'!$B618-456)*36+HEX2DEC('table for research'!AK$1))*2,2)</f>
        <v>00</v>
      </c>
      <c r="AL618" t="str">
        <f>MID('paste from garc here'!$C$2,1+(('table for research'!$B618-456)*36+HEX2DEC('table for research'!AL$1))*2,2)</f>
        <v>00</v>
      </c>
      <c r="AM618" t="str">
        <f>MID('paste from garc here'!$C$2,1+(('table for research'!$B618-456)*36+HEX2DEC('table for research'!AM$1))*2,2)</f>
        <v>00</v>
      </c>
      <c r="AN618" t="str">
        <f>MID('paste from garc here'!$C$2,1+(('table for research'!$B618-456)*36+HEX2DEC('table for research'!AN$1))*2,2)</f>
        <v>00</v>
      </c>
      <c r="AO618" t="str">
        <f>MID('paste from garc here'!$C$2,1+(('table for research'!$B618-456)*36+HEX2DEC('table for research'!AO$1))*2,2)</f>
        <v>00</v>
      </c>
    </row>
    <row r="619" spans="1:41" x14ac:dyDescent="0.4">
      <c r="A619" t="s">
        <v>621</v>
      </c>
      <c r="B619">
        <f>B618+1</f>
        <v>617</v>
      </c>
      <c r="C619" t="str">
        <f>MID('paste from garc here'!$C$2,1+(('table for research'!$B619-456)*36+HEX2DEC('table for research'!C$1))*2,2)</f>
        <v>00</v>
      </c>
      <c r="D619" t="str">
        <f>MID('paste from garc here'!$C$2,1+(('table for research'!$B619-456)*36+HEX2DEC('table for research'!D$1))*2,2)</f>
        <v>00</v>
      </c>
      <c r="E619" t="str">
        <f>MID('paste from garc here'!$C$2,1+(('table for research'!$B619-456)*36+HEX2DEC('table for research'!E$1))*2,2)</f>
        <v>00</v>
      </c>
      <c r="F619" t="str">
        <f>MID('paste from garc here'!$C$2,1+(('table for research'!$B619-456)*36+HEX2DEC('table for research'!F$1))*2,2)</f>
        <v>00</v>
      </c>
      <c r="G619" t="str">
        <f>MID('paste from garc here'!$C$2,1+(('table for research'!$B619-456)*36+HEX2DEC('table for research'!G$1))*2,2)</f>
        <v>00</v>
      </c>
      <c r="H619" t="str">
        <f>MID('paste from garc here'!$C$2,1+(('table for research'!$B619-456)*36+HEX2DEC('table for research'!H$1))*2,2)</f>
        <v>00</v>
      </c>
      <c r="I619" t="str">
        <f>MID('paste from garc here'!$C$2,1+(('table for research'!$B619-456)*36+HEX2DEC('table for research'!I$1))*2,2)</f>
        <v>00</v>
      </c>
      <c r="J619" t="str">
        <f>MID('paste from garc here'!$C$2,1+(('table for research'!$B619-456)*36+HEX2DEC('table for research'!J$1))*2,2)</f>
        <v>00</v>
      </c>
      <c r="K619" t="str">
        <f>DEC2HEX(_xlfn.BITAND(HEX2DEC(MID('paste from garc here'!$C$1,1+(('table for research'!$B619-1)*36+HEX2DEC(8))*2,2)),31),2)</f>
        <v>00</v>
      </c>
      <c r="L619" t="str">
        <f>DEC2HEX(_xlfn.BITAND(HEX2DEC(MID('paste from garc here'!$C$1,1+(('table for research'!$B619-1)*36+HEX2DEC(8))*2,2)),32),2)</f>
        <v>00</v>
      </c>
      <c r="M619" t="str">
        <f>DEC2HEX(_xlfn.BITAND(HEX2DEC(MID('paste from garc here'!$C$1,1+(('table for research'!$B619-1)*36+HEX2DEC(8))*2,2)),64),2)</f>
        <v>00</v>
      </c>
      <c r="N619" t="str">
        <f>DEC2HEX(_xlfn.BITRSHIFT(_xlfn.BITAND(HEX2DEC(MID('paste from garc here'!$C$1,1+(('table for research'!$B619-1)*36+HEX2DEC(9))*2,2)&amp;MID('paste from garc here'!$C$1,1+(('table for research'!$B619-1)*36+HEX2DEC(8))*2,2)),1920),7),2)</f>
        <v>00</v>
      </c>
      <c r="O619" t="str">
        <f>DEC2HEX(_xlfn.BITRSHIFT(HEX2DEC(MID('paste from garc here'!$C$1,1+(('table for research'!$B619-1)*36+HEX2DEC(9))*2,2)&amp;MID('paste from garc here'!$C$1,1+(('table for research'!$B619-1)*36+HEX2DEC(8))*2,2)),11),2)</f>
        <v>00</v>
      </c>
      <c r="P619" t="str">
        <f>MID('paste from garc here'!$C$2,1+(('table for research'!$B619-456)*36+HEX2DEC('table for research'!P$1))*2,2)</f>
        <v>00</v>
      </c>
      <c r="Q619" t="str">
        <f>MID('paste from garc here'!$C$2,1+(('table for research'!$B619-456)*36+HEX2DEC('table for research'!Q$1))*2,2)</f>
        <v>00</v>
      </c>
      <c r="R619" t="str">
        <f>MID('paste from garc here'!$C$2,1+(('table for research'!$B619-456)*36+HEX2DEC('table for research'!R$1))*2,2)</f>
        <v>00</v>
      </c>
      <c r="S619" t="str">
        <f>MID('paste from garc here'!$C$2,1+(('table for research'!$B619-456)*36+HEX2DEC('table for research'!S$1))*2,2)</f>
        <v>08</v>
      </c>
      <c r="T619" t="str">
        <f>MID('paste from garc here'!$C$2,1+(('table for research'!$B619-456)*36+HEX2DEC('table for research'!T$1))*2,2)</f>
        <v>00</v>
      </c>
      <c r="U619" t="str">
        <f>MID('paste from garc here'!$C$2,1+(('table for research'!$B619-456)*36+HEX2DEC('table for research'!U$1))*2,2)</f>
        <v>FF</v>
      </c>
      <c r="V619" t="str">
        <f>MID('paste from garc here'!$C$2,1+(('table for research'!$B619-456)*36+HEX2DEC('table for research'!V$1))*2,2)</f>
        <v>00</v>
      </c>
      <c r="W619" t="str">
        <f>MID('paste from garc here'!$C$2,1+(('table for research'!$B619-456)*36+HEX2DEC('table for research'!W$1))*2,2)</f>
        <v>00</v>
      </c>
      <c r="X619" t="str">
        <f>MID('paste from garc here'!$C$2,1+(('table for research'!$B619-456)*36+HEX2DEC('table for research'!X$1))*2,2)</f>
        <v>00</v>
      </c>
      <c r="Y619" t="str">
        <f>MID('paste from garc here'!$C$2,1+(('table for research'!$B619-456)*36+HEX2DEC('table for research'!Y$1))*2,2)</f>
        <v>00</v>
      </c>
      <c r="Z619" t="str">
        <f>MID('paste from garc here'!$C$2,1+(('table for research'!$B619-456)*36+HEX2DEC('table for research'!Z$1))*2,2)</f>
        <v>00</v>
      </c>
      <c r="AA619" t="str">
        <f>MID('paste from garc here'!$C$2,1+(('table for research'!$B619-456)*36+HEX2DEC('table for research'!AA$1))*2,2)</f>
        <v>00</v>
      </c>
      <c r="AB619" t="str">
        <f>MID('paste from garc here'!$C$2,1+(('table for research'!$B619-456)*36+HEX2DEC('table for research'!AB$1))*2,2)</f>
        <v>00</v>
      </c>
      <c r="AC619" t="str">
        <f>MID('paste from garc here'!$C$2,1+(('table for research'!$B619-456)*36+HEX2DEC('table for research'!AC$1))*2,2)</f>
        <v>00</v>
      </c>
      <c r="AD619" t="str">
        <f>MID('paste from garc here'!$C$2,1+(('table for research'!$B619-456)*36+HEX2DEC('table for research'!AD$1))*2,2)</f>
        <v>00</v>
      </c>
      <c r="AE619" t="str">
        <f>MID('paste from garc here'!$C$2,1+(('table for research'!$B619-456)*36+HEX2DEC('table for research'!AE$1))*2,2)</f>
        <v>00</v>
      </c>
      <c r="AF619" t="str">
        <f>MID('paste from garc here'!$C$2,1+(('table for research'!$B619-456)*36+HEX2DEC('table for research'!AF$1))*2,2)</f>
        <v>00</v>
      </c>
      <c r="AG619" t="str">
        <f>MID('paste from garc here'!$C$2,1+(('table for research'!$B619-456)*36+HEX2DEC('table for research'!AG$1))*2,2)</f>
        <v>00</v>
      </c>
      <c r="AH619" t="str">
        <f>MID('paste from garc here'!$C$2,1+(('table for research'!$B619-456)*36+HEX2DEC('table for research'!AH$1))*2,2)</f>
        <v>00</v>
      </c>
      <c r="AI619" t="str">
        <f>MID('paste from garc here'!$C$2,1+(('table for research'!$B619-456)*36+HEX2DEC('table for research'!AI$1))*2,2)</f>
        <v>00</v>
      </c>
      <c r="AJ619" t="str">
        <f>MID('paste from garc here'!$C$2,1+(('table for research'!$B619-456)*36+HEX2DEC('table for research'!AJ$1))*2,2)</f>
        <v>00</v>
      </c>
      <c r="AK619" t="str">
        <f>MID('paste from garc here'!$C$2,1+(('table for research'!$B619-456)*36+HEX2DEC('table for research'!AK$1))*2,2)</f>
        <v>00</v>
      </c>
      <c r="AL619" t="str">
        <f>MID('paste from garc here'!$C$2,1+(('table for research'!$B619-456)*36+HEX2DEC('table for research'!AL$1))*2,2)</f>
        <v>00</v>
      </c>
      <c r="AM619" t="str">
        <f>MID('paste from garc here'!$C$2,1+(('table for research'!$B619-456)*36+HEX2DEC('table for research'!AM$1))*2,2)</f>
        <v>00</v>
      </c>
      <c r="AN619" t="str">
        <f>MID('paste from garc here'!$C$2,1+(('table for research'!$B619-456)*36+HEX2DEC('table for research'!AN$1))*2,2)</f>
        <v>00</v>
      </c>
      <c r="AO619" t="str">
        <f>MID('paste from garc here'!$C$2,1+(('table for research'!$B619-456)*36+HEX2DEC('table for research'!AO$1))*2,2)</f>
        <v>00</v>
      </c>
    </row>
    <row r="620" spans="1:41" x14ac:dyDescent="0.4">
      <c r="A620" t="s">
        <v>622</v>
      </c>
      <c r="B620">
        <f>B619+1</f>
        <v>618</v>
      </c>
      <c r="C620" t="str">
        <f>MID('paste from garc here'!$C$2,1+(('table for research'!$B620-456)*36+HEX2DEC('table for research'!C$1))*2,2)</f>
        <v>88</v>
      </c>
      <c r="D620" t="str">
        <f>MID('paste from garc here'!$C$2,1+(('table for research'!$B620-456)*36+HEX2DEC('table for research'!D$1))*2,2)</f>
        <v>13</v>
      </c>
      <c r="E620" t="str">
        <f>MID('paste from garc here'!$C$2,1+(('table for research'!$B620-456)*36+HEX2DEC('table for research'!E$1))*2,2)</f>
        <v>00</v>
      </c>
      <c r="F620" t="str">
        <f>MID('paste from garc here'!$C$2,1+(('table for research'!$B620-456)*36+HEX2DEC('table for research'!F$1))*2,2)</f>
        <v>00</v>
      </c>
      <c r="G620" t="str">
        <f>MID('paste from garc here'!$C$2,1+(('table for research'!$B620-456)*36+HEX2DEC('table for research'!G$1))*2,2)</f>
        <v>00</v>
      </c>
      <c r="H620" t="str">
        <f>MID('paste from garc here'!$C$2,1+(('table for research'!$B620-456)*36+HEX2DEC('table for research'!H$1))*2,2)</f>
        <v>00</v>
      </c>
      <c r="I620" t="str">
        <f>MID('paste from garc here'!$C$2,1+(('table for research'!$B620-456)*36+HEX2DEC('table for research'!I$1))*2,2)</f>
        <v>00</v>
      </c>
      <c r="J620" t="str">
        <f>MID('paste from garc here'!$C$2,1+(('table for research'!$B620-456)*36+HEX2DEC('table for research'!J$1))*2,2)</f>
        <v>00</v>
      </c>
      <c r="K620" t="str">
        <f>DEC2HEX(_xlfn.BITAND(HEX2DEC(MID('paste from garc here'!$C$1,1+(('table for research'!$B620-1)*36+HEX2DEC(8))*2,2)),31),2)</f>
        <v>00</v>
      </c>
      <c r="L620" t="str">
        <f>DEC2HEX(_xlfn.BITAND(HEX2DEC(MID('paste from garc here'!$C$1,1+(('table for research'!$B620-1)*36+HEX2DEC(8))*2,2)),32),2)</f>
        <v>00</v>
      </c>
      <c r="M620" t="str">
        <f>DEC2HEX(_xlfn.BITAND(HEX2DEC(MID('paste from garc here'!$C$1,1+(('table for research'!$B620-1)*36+HEX2DEC(8))*2,2)),64),2)</f>
        <v>00</v>
      </c>
      <c r="N620" t="str">
        <f>DEC2HEX(_xlfn.BITRSHIFT(_xlfn.BITAND(HEX2DEC(MID('paste from garc here'!$C$1,1+(('table for research'!$B620-1)*36+HEX2DEC(9))*2,2)&amp;MID('paste from garc here'!$C$1,1+(('table for research'!$B620-1)*36+HEX2DEC(8))*2,2)),1920),7),2)</f>
        <v>00</v>
      </c>
      <c r="O620" t="str">
        <f>DEC2HEX(_xlfn.BITRSHIFT(HEX2DEC(MID('paste from garc here'!$C$1,1+(('table for research'!$B620-1)*36+HEX2DEC(9))*2,2)&amp;MID('paste from garc here'!$C$1,1+(('table for research'!$B620-1)*36+HEX2DEC(8))*2,2)),11),2)</f>
        <v>00</v>
      </c>
      <c r="P620" t="str">
        <f>MID('paste from garc here'!$C$2,1+(('table for research'!$B620-456)*36+HEX2DEC('table for research'!P$1))*2,2)</f>
        <v>02</v>
      </c>
      <c r="Q620" t="str">
        <f>MID('paste from garc here'!$C$2,1+(('table for research'!$B620-456)*36+HEX2DEC('table for research'!Q$1))*2,2)</f>
        <v>00</v>
      </c>
      <c r="R620" t="str">
        <f>MID('paste from garc here'!$C$2,1+(('table for research'!$B620-456)*36+HEX2DEC('table for research'!R$1))*2,2)</f>
        <v>00</v>
      </c>
      <c r="S620" t="str">
        <f>MID('paste from garc here'!$C$2,1+(('table for research'!$B620-456)*36+HEX2DEC('table for research'!S$1))*2,2)</f>
        <v>06</v>
      </c>
      <c r="T620" t="str">
        <f>MID('paste from garc here'!$C$2,1+(('table for research'!$B620-456)*36+HEX2DEC('table for research'!T$1))*2,2)</f>
        <v>00</v>
      </c>
      <c r="U620" t="str">
        <f>MID('paste from garc here'!$C$2,1+(('table for research'!$B620-456)*36+HEX2DEC('table for research'!U$1))*2,2)</f>
        <v>5C</v>
      </c>
      <c r="V620" t="str">
        <f>MID('paste from garc here'!$C$2,1+(('table for research'!$B620-456)*36+HEX2DEC('table for research'!V$1))*2,2)</f>
        <v>00</v>
      </c>
      <c r="W620" t="str">
        <f>MID('paste from garc here'!$C$2,1+(('table for research'!$B620-456)*36+HEX2DEC('table for research'!W$1))*2,2)</f>
        <v>00</v>
      </c>
      <c r="X620" t="str">
        <f>MID('paste from garc here'!$C$2,1+(('table for research'!$B620-456)*36+HEX2DEC('table for research'!X$1))*2,2)</f>
        <v>00</v>
      </c>
      <c r="Y620" t="str">
        <f>MID('paste from garc here'!$C$2,1+(('table for research'!$B620-456)*36+HEX2DEC('table for research'!Y$1))*2,2)</f>
        <v>00</v>
      </c>
      <c r="Z620" t="str">
        <f>MID('paste from garc here'!$C$2,1+(('table for research'!$B620-456)*36+HEX2DEC('table for research'!Z$1))*2,2)</f>
        <v>00</v>
      </c>
      <c r="AA620" t="str">
        <f>MID('paste from garc here'!$C$2,1+(('table for research'!$B620-456)*36+HEX2DEC('table for research'!AA$1))*2,2)</f>
        <v>00</v>
      </c>
      <c r="AB620" t="str">
        <f>MID('paste from garc here'!$C$2,1+(('table for research'!$B620-456)*36+HEX2DEC('table for research'!AB$1))*2,2)</f>
        <v>00</v>
      </c>
      <c r="AC620" t="str">
        <f>MID('paste from garc here'!$C$2,1+(('table for research'!$B620-456)*36+HEX2DEC('table for research'!AC$1))*2,2)</f>
        <v>00</v>
      </c>
      <c r="AD620" t="str">
        <f>MID('paste from garc here'!$C$2,1+(('table for research'!$B620-456)*36+HEX2DEC('table for research'!AD$1))*2,2)</f>
        <v>00</v>
      </c>
      <c r="AE620" t="str">
        <f>MID('paste from garc here'!$C$2,1+(('table for research'!$B620-456)*36+HEX2DEC('table for research'!AE$1))*2,2)</f>
        <v>00</v>
      </c>
      <c r="AF620" t="str">
        <f>MID('paste from garc here'!$C$2,1+(('table for research'!$B620-456)*36+HEX2DEC('table for research'!AF$1))*2,2)</f>
        <v>00</v>
      </c>
      <c r="AG620" t="str">
        <f>MID('paste from garc here'!$C$2,1+(('table for research'!$B620-456)*36+HEX2DEC('table for research'!AG$1))*2,2)</f>
        <v>00</v>
      </c>
      <c r="AH620" t="str">
        <f>MID('paste from garc here'!$C$2,1+(('table for research'!$B620-456)*36+HEX2DEC('table for research'!AH$1))*2,2)</f>
        <v>00</v>
      </c>
      <c r="AI620" t="str">
        <f>MID('paste from garc here'!$C$2,1+(('table for research'!$B620-456)*36+HEX2DEC('table for research'!AI$1))*2,2)</f>
        <v>00</v>
      </c>
      <c r="AJ620" t="str">
        <f>MID('paste from garc here'!$C$2,1+(('table for research'!$B620-456)*36+HEX2DEC('table for research'!AJ$1))*2,2)</f>
        <v>00</v>
      </c>
      <c r="AK620" t="str">
        <f>MID('paste from garc here'!$C$2,1+(('table for research'!$B620-456)*36+HEX2DEC('table for research'!AK$1))*2,2)</f>
        <v>00</v>
      </c>
      <c r="AL620" t="str">
        <f>MID('paste from garc here'!$C$2,1+(('table for research'!$B620-456)*36+HEX2DEC('table for research'!AL$1))*2,2)</f>
        <v>00</v>
      </c>
      <c r="AM620" t="str">
        <f>MID('paste from garc here'!$C$2,1+(('table for research'!$B620-456)*36+HEX2DEC('table for research'!AM$1))*2,2)</f>
        <v>00</v>
      </c>
      <c r="AN620" t="str">
        <f>MID('paste from garc here'!$C$2,1+(('table for research'!$B620-456)*36+HEX2DEC('table for research'!AN$1))*2,2)</f>
        <v>00</v>
      </c>
      <c r="AO620" t="str">
        <f>MID('paste from garc here'!$C$2,1+(('table for research'!$B620-456)*36+HEX2DEC('table for research'!AO$1))*2,2)</f>
        <v>00</v>
      </c>
    </row>
    <row r="621" spans="1:41" x14ac:dyDescent="0.4">
      <c r="A621" t="s">
        <v>623</v>
      </c>
      <c r="B621">
        <f>B620+1</f>
        <v>619</v>
      </c>
      <c r="C621" t="str">
        <f>MID('paste from garc here'!$C$2,1+(('table for research'!$B621-456)*36+HEX2DEC('table for research'!C$1))*2,2)</f>
        <v>B8</v>
      </c>
      <c r="D621" t="str">
        <f>MID('paste from garc here'!$C$2,1+(('table for research'!$B621-456)*36+HEX2DEC('table for research'!D$1))*2,2)</f>
        <v>0B</v>
      </c>
      <c r="E621" t="str">
        <f>MID('paste from garc here'!$C$2,1+(('table for research'!$B621-456)*36+HEX2DEC('table for research'!E$1))*2,2)</f>
        <v>00</v>
      </c>
      <c r="F621" t="str">
        <f>MID('paste from garc here'!$C$2,1+(('table for research'!$B621-456)*36+HEX2DEC('table for research'!F$1))*2,2)</f>
        <v>00</v>
      </c>
      <c r="G621" t="str">
        <f>MID('paste from garc here'!$C$2,1+(('table for research'!$B621-456)*36+HEX2DEC('table for research'!G$1))*2,2)</f>
        <v>00</v>
      </c>
      <c r="H621" t="str">
        <f>MID('paste from garc here'!$C$2,1+(('table for research'!$B621-456)*36+HEX2DEC('table for research'!H$1))*2,2)</f>
        <v>00</v>
      </c>
      <c r="I621" t="str">
        <f>MID('paste from garc here'!$C$2,1+(('table for research'!$B621-456)*36+HEX2DEC('table for research'!I$1))*2,2)</f>
        <v>00</v>
      </c>
      <c r="J621" t="str">
        <f>MID('paste from garc here'!$C$2,1+(('table for research'!$B621-456)*36+HEX2DEC('table for research'!J$1))*2,2)</f>
        <v>00</v>
      </c>
      <c r="K621" t="str">
        <f>DEC2HEX(_xlfn.BITAND(HEX2DEC(MID('paste from garc here'!$C$1,1+(('table for research'!$B621-1)*36+HEX2DEC(8))*2,2)),31),2)</f>
        <v>00</v>
      </c>
      <c r="L621" t="str">
        <f>DEC2HEX(_xlfn.BITAND(HEX2DEC(MID('paste from garc here'!$C$1,1+(('table for research'!$B621-1)*36+HEX2DEC(8))*2,2)),32),2)</f>
        <v>00</v>
      </c>
      <c r="M621" t="str">
        <f>DEC2HEX(_xlfn.BITAND(HEX2DEC(MID('paste from garc here'!$C$1,1+(('table for research'!$B621-1)*36+HEX2DEC(8))*2,2)),64),2)</f>
        <v>00</v>
      </c>
      <c r="N621" t="str">
        <f>DEC2HEX(_xlfn.BITRSHIFT(_xlfn.BITAND(HEX2DEC(MID('paste from garc here'!$C$1,1+(('table for research'!$B621-1)*36+HEX2DEC(9))*2,2)&amp;MID('paste from garc here'!$C$1,1+(('table for research'!$B621-1)*36+HEX2DEC(8))*2,2)),1920),7),2)</f>
        <v>00</v>
      </c>
      <c r="O621" t="str">
        <f>DEC2HEX(_xlfn.BITRSHIFT(HEX2DEC(MID('paste from garc here'!$C$1,1+(('table for research'!$B621-1)*36+HEX2DEC(9))*2,2)&amp;MID('paste from garc here'!$C$1,1+(('table for research'!$B621-1)*36+HEX2DEC(8))*2,2)),11),2)</f>
        <v>00</v>
      </c>
      <c r="P621" t="str">
        <f>MID('paste from garc here'!$C$2,1+(('table for research'!$B621-456)*36+HEX2DEC('table for research'!P$1))*2,2)</f>
        <v>02</v>
      </c>
      <c r="Q621" t="str">
        <f>MID('paste from garc here'!$C$2,1+(('table for research'!$B621-456)*36+HEX2DEC('table for research'!Q$1))*2,2)</f>
        <v>00</v>
      </c>
      <c r="R621" t="str">
        <f>MID('paste from garc here'!$C$2,1+(('table for research'!$B621-456)*36+HEX2DEC('table for research'!R$1))*2,2)</f>
        <v>00</v>
      </c>
      <c r="S621" t="str">
        <f>MID('paste from garc here'!$C$2,1+(('table for research'!$B621-456)*36+HEX2DEC('table for research'!S$1))*2,2)</f>
        <v>06</v>
      </c>
      <c r="T621" t="str">
        <f>MID('paste from garc here'!$C$2,1+(('table for research'!$B621-456)*36+HEX2DEC('table for research'!T$1))*2,2)</f>
        <v>00</v>
      </c>
      <c r="U621" t="str">
        <f>MID('paste from garc here'!$C$2,1+(('table for research'!$B621-456)*36+HEX2DEC('table for research'!U$1))*2,2)</f>
        <v>5D</v>
      </c>
      <c r="V621" t="str">
        <f>MID('paste from garc here'!$C$2,1+(('table for research'!$B621-456)*36+HEX2DEC('table for research'!V$1))*2,2)</f>
        <v>00</v>
      </c>
      <c r="W621" t="str">
        <f>MID('paste from garc here'!$C$2,1+(('table for research'!$B621-456)*36+HEX2DEC('table for research'!W$1))*2,2)</f>
        <v>00</v>
      </c>
      <c r="X621" t="str">
        <f>MID('paste from garc here'!$C$2,1+(('table for research'!$B621-456)*36+HEX2DEC('table for research'!X$1))*2,2)</f>
        <v>00</v>
      </c>
      <c r="Y621" t="str">
        <f>MID('paste from garc here'!$C$2,1+(('table for research'!$B621-456)*36+HEX2DEC('table for research'!Y$1))*2,2)</f>
        <v>00</v>
      </c>
      <c r="Z621" t="str">
        <f>MID('paste from garc here'!$C$2,1+(('table for research'!$B621-456)*36+HEX2DEC('table for research'!Z$1))*2,2)</f>
        <v>00</v>
      </c>
      <c r="AA621" t="str">
        <f>MID('paste from garc here'!$C$2,1+(('table for research'!$B621-456)*36+HEX2DEC('table for research'!AA$1))*2,2)</f>
        <v>00</v>
      </c>
      <c r="AB621" t="str">
        <f>MID('paste from garc here'!$C$2,1+(('table for research'!$B621-456)*36+HEX2DEC('table for research'!AB$1))*2,2)</f>
        <v>00</v>
      </c>
      <c r="AC621" t="str">
        <f>MID('paste from garc here'!$C$2,1+(('table for research'!$B621-456)*36+HEX2DEC('table for research'!AC$1))*2,2)</f>
        <v>00</v>
      </c>
      <c r="AD621" t="str">
        <f>MID('paste from garc here'!$C$2,1+(('table for research'!$B621-456)*36+HEX2DEC('table for research'!AD$1))*2,2)</f>
        <v>00</v>
      </c>
      <c r="AE621" t="str">
        <f>MID('paste from garc here'!$C$2,1+(('table for research'!$B621-456)*36+HEX2DEC('table for research'!AE$1))*2,2)</f>
        <v>00</v>
      </c>
      <c r="AF621" t="str">
        <f>MID('paste from garc here'!$C$2,1+(('table for research'!$B621-456)*36+HEX2DEC('table for research'!AF$1))*2,2)</f>
        <v>00</v>
      </c>
      <c r="AG621" t="str">
        <f>MID('paste from garc here'!$C$2,1+(('table for research'!$B621-456)*36+HEX2DEC('table for research'!AG$1))*2,2)</f>
        <v>00</v>
      </c>
      <c r="AH621" t="str">
        <f>MID('paste from garc here'!$C$2,1+(('table for research'!$B621-456)*36+HEX2DEC('table for research'!AH$1))*2,2)</f>
        <v>00</v>
      </c>
      <c r="AI621" t="str">
        <f>MID('paste from garc here'!$C$2,1+(('table for research'!$B621-456)*36+HEX2DEC('table for research'!AI$1))*2,2)</f>
        <v>00</v>
      </c>
      <c r="AJ621" t="str">
        <f>MID('paste from garc here'!$C$2,1+(('table for research'!$B621-456)*36+HEX2DEC('table for research'!AJ$1))*2,2)</f>
        <v>00</v>
      </c>
      <c r="AK621" t="str">
        <f>MID('paste from garc here'!$C$2,1+(('table for research'!$B621-456)*36+HEX2DEC('table for research'!AK$1))*2,2)</f>
        <v>00</v>
      </c>
      <c r="AL621" t="str">
        <f>MID('paste from garc here'!$C$2,1+(('table for research'!$B621-456)*36+HEX2DEC('table for research'!AL$1))*2,2)</f>
        <v>00</v>
      </c>
      <c r="AM621" t="str">
        <f>MID('paste from garc here'!$C$2,1+(('table for research'!$B621-456)*36+HEX2DEC('table for research'!AM$1))*2,2)</f>
        <v>00</v>
      </c>
      <c r="AN621" t="str">
        <f>MID('paste from garc here'!$C$2,1+(('table for research'!$B621-456)*36+HEX2DEC('table for research'!AN$1))*2,2)</f>
        <v>00</v>
      </c>
      <c r="AO621" t="str">
        <f>MID('paste from garc here'!$C$2,1+(('table for research'!$B621-456)*36+HEX2DEC('table for research'!AO$1))*2,2)</f>
        <v>00</v>
      </c>
    </row>
    <row r="622" spans="1:41" x14ac:dyDescent="0.4">
      <c r="A622" t="s">
        <v>624</v>
      </c>
      <c r="B622">
        <f>B621+1</f>
        <v>620</v>
      </c>
      <c r="C622" t="str">
        <f>MID('paste from garc here'!$C$2,1+(('table for research'!$B622-456)*36+HEX2DEC('table for research'!C$1))*2,2)</f>
        <v>C4</v>
      </c>
      <c r="D622" t="str">
        <f>MID('paste from garc here'!$C$2,1+(('table for research'!$B622-456)*36+HEX2DEC('table for research'!D$1))*2,2)</f>
        <v>09</v>
      </c>
      <c r="E622" t="str">
        <f>MID('paste from garc here'!$C$2,1+(('table for research'!$B622-456)*36+HEX2DEC('table for research'!E$1))*2,2)</f>
        <v>00</v>
      </c>
      <c r="F622" t="str">
        <f>MID('paste from garc here'!$C$2,1+(('table for research'!$B622-456)*36+HEX2DEC('table for research'!F$1))*2,2)</f>
        <v>00</v>
      </c>
      <c r="G622" t="str">
        <f>MID('paste from garc here'!$C$2,1+(('table for research'!$B622-456)*36+HEX2DEC('table for research'!G$1))*2,2)</f>
        <v>00</v>
      </c>
      <c r="H622" t="str">
        <f>MID('paste from garc here'!$C$2,1+(('table for research'!$B622-456)*36+HEX2DEC('table for research'!H$1))*2,2)</f>
        <v>00</v>
      </c>
      <c r="I622" t="str">
        <f>MID('paste from garc here'!$C$2,1+(('table for research'!$B622-456)*36+HEX2DEC('table for research'!I$1))*2,2)</f>
        <v>00</v>
      </c>
      <c r="J622" t="str">
        <f>MID('paste from garc here'!$C$2,1+(('table for research'!$B622-456)*36+HEX2DEC('table for research'!J$1))*2,2)</f>
        <v>00</v>
      </c>
      <c r="K622" t="str">
        <f>DEC2HEX(_xlfn.BITAND(HEX2DEC(MID('paste from garc here'!$C$1,1+(('table for research'!$B622-1)*36+HEX2DEC(8))*2,2)),31),2)</f>
        <v>00</v>
      </c>
      <c r="L622" t="str">
        <f>DEC2HEX(_xlfn.BITAND(HEX2DEC(MID('paste from garc here'!$C$1,1+(('table for research'!$B622-1)*36+HEX2DEC(8))*2,2)),32),2)</f>
        <v>00</v>
      </c>
      <c r="M622" t="str">
        <f>DEC2HEX(_xlfn.BITAND(HEX2DEC(MID('paste from garc here'!$C$1,1+(('table for research'!$B622-1)*36+HEX2DEC(8))*2,2)),64),2)</f>
        <v>00</v>
      </c>
      <c r="N622" t="str">
        <f>DEC2HEX(_xlfn.BITRSHIFT(_xlfn.BITAND(HEX2DEC(MID('paste from garc here'!$C$1,1+(('table for research'!$B622-1)*36+HEX2DEC(9))*2,2)&amp;MID('paste from garc here'!$C$1,1+(('table for research'!$B622-1)*36+HEX2DEC(8))*2,2)),1920),7),2)</f>
        <v>00</v>
      </c>
      <c r="O622" t="str">
        <f>DEC2HEX(_xlfn.BITRSHIFT(HEX2DEC(MID('paste from garc here'!$C$1,1+(('table for research'!$B622-1)*36+HEX2DEC(9))*2,2)&amp;MID('paste from garc here'!$C$1,1+(('table for research'!$B622-1)*36+HEX2DEC(8))*2,2)),11),2)</f>
        <v>00</v>
      </c>
      <c r="P622" t="str">
        <f>MID('paste from garc here'!$C$2,1+(('table for research'!$B622-456)*36+HEX2DEC('table for research'!P$1))*2,2)</f>
        <v>02</v>
      </c>
      <c r="Q622" t="str">
        <f>MID('paste from garc here'!$C$2,1+(('table for research'!$B622-456)*36+HEX2DEC('table for research'!Q$1))*2,2)</f>
        <v>00</v>
      </c>
      <c r="R622" t="str">
        <f>MID('paste from garc here'!$C$2,1+(('table for research'!$B622-456)*36+HEX2DEC('table for research'!R$1))*2,2)</f>
        <v>00</v>
      </c>
      <c r="S622" t="str">
        <f>MID('paste from garc here'!$C$2,1+(('table for research'!$B622-456)*36+HEX2DEC('table for research'!S$1))*2,2)</f>
        <v>06</v>
      </c>
      <c r="T622" t="str">
        <f>MID('paste from garc here'!$C$2,1+(('table for research'!$B622-456)*36+HEX2DEC('table for research'!T$1))*2,2)</f>
        <v>00</v>
      </c>
      <c r="U622" t="str">
        <f>MID('paste from garc here'!$C$2,1+(('table for research'!$B622-456)*36+HEX2DEC('table for research'!U$1))*2,2)</f>
        <v>5E</v>
      </c>
      <c r="V622" t="str">
        <f>MID('paste from garc here'!$C$2,1+(('table for research'!$B622-456)*36+HEX2DEC('table for research'!V$1))*2,2)</f>
        <v>00</v>
      </c>
      <c r="W622" t="str">
        <f>MID('paste from garc here'!$C$2,1+(('table for research'!$B622-456)*36+HEX2DEC('table for research'!W$1))*2,2)</f>
        <v>00</v>
      </c>
      <c r="X622" t="str">
        <f>MID('paste from garc here'!$C$2,1+(('table for research'!$B622-456)*36+HEX2DEC('table for research'!X$1))*2,2)</f>
        <v>00</v>
      </c>
      <c r="Y622" t="str">
        <f>MID('paste from garc here'!$C$2,1+(('table for research'!$B622-456)*36+HEX2DEC('table for research'!Y$1))*2,2)</f>
        <v>00</v>
      </c>
      <c r="Z622" t="str">
        <f>MID('paste from garc here'!$C$2,1+(('table for research'!$B622-456)*36+HEX2DEC('table for research'!Z$1))*2,2)</f>
        <v>00</v>
      </c>
      <c r="AA622" t="str">
        <f>MID('paste from garc here'!$C$2,1+(('table for research'!$B622-456)*36+HEX2DEC('table for research'!AA$1))*2,2)</f>
        <v>00</v>
      </c>
      <c r="AB622" t="str">
        <f>MID('paste from garc here'!$C$2,1+(('table for research'!$B622-456)*36+HEX2DEC('table for research'!AB$1))*2,2)</f>
        <v>00</v>
      </c>
      <c r="AC622" t="str">
        <f>MID('paste from garc here'!$C$2,1+(('table for research'!$B622-456)*36+HEX2DEC('table for research'!AC$1))*2,2)</f>
        <v>00</v>
      </c>
      <c r="AD622" t="str">
        <f>MID('paste from garc here'!$C$2,1+(('table for research'!$B622-456)*36+HEX2DEC('table for research'!AD$1))*2,2)</f>
        <v>00</v>
      </c>
      <c r="AE622" t="str">
        <f>MID('paste from garc here'!$C$2,1+(('table for research'!$B622-456)*36+HEX2DEC('table for research'!AE$1))*2,2)</f>
        <v>00</v>
      </c>
      <c r="AF622" t="str">
        <f>MID('paste from garc here'!$C$2,1+(('table for research'!$B622-456)*36+HEX2DEC('table for research'!AF$1))*2,2)</f>
        <v>00</v>
      </c>
      <c r="AG622" t="str">
        <f>MID('paste from garc here'!$C$2,1+(('table for research'!$B622-456)*36+HEX2DEC('table for research'!AG$1))*2,2)</f>
        <v>00</v>
      </c>
      <c r="AH622" t="str">
        <f>MID('paste from garc here'!$C$2,1+(('table for research'!$B622-456)*36+HEX2DEC('table for research'!AH$1))*2,2)</f>
        <v>00</v>
      </c>
      <c r="AI622" t="str">
        <f>MID('paste from garc here'!$C$2,1+(('table for research'!$B622-456)*36+HEX2DEC('table for research'!AI$1))*2,2)</f>
        <v>00</v>
      </c>
      <c r="AJ622" t="str">
        <f>MID('paste from garc here'!$C$2,1+(('table for research'!$B622-456)*36+HEX2DEC('table for research'!AJ$1))*2,2)</f>
        <v>00</v>
      </c>
      <c r="AK622" t="str">
        <f>MID('paste from garc here'!$C$2,1+(('table for research'!$B622-456)*36+HEX2DEC('table for research'!AK$1))*2,2)</f>
        <v>00</v>
      </c>
      <c r="AL622" t="str">
        <f>MID('paste from garc here'!$C$2,1+(('table for research'!$B622-456)*36+HEX2DEC('table for research'!AL$1))*2,2)</f>
        <v>00</v>
      </c>
      <c r="AM622" t="str">
        <f>MID('paste from garc here'!$C$2,1+(('table for research'!$B622-456)*36+HEX2DEC('table for research'!AM$1))*2,2)</f>
        <v>00</v>
      </c>
      <c r="AN622" t="str">
        <f>MID('paste from garc here'!$C$2,1+(('table for research'!$B622-456)*36+HEX2DEC('table for research'!AN$1))*2,2)</f>
        <v>00</v>
      </c>
      <c r="AO622" t="str">
        <f>MID('paste from garc here'!$C$2,1+(('table for research'!$B622-456)*36+HEX2DEC('table for research'!AO$1))*2,2)</f>
        <v>00</v>
      </c>
    </row>
    <row r="623" spans="1:41" x14ac:dyDescent="0.4">
      <c r="A623" t="s">
        <v>625</v>
      </c>
      <c r="B623">
        <f>B622+1</f>
        <v>621</v>
      </c>
      <c r="C623" t="str">
        <f>MID('paste from garc here'!$C$2,1+(('table for research'!$B623-456)*36+HEX2DEC('table for research'!C$1))*2,2)</f>
        <v>00</v>
      </c>
      <c r="D623" t="str">
        <f>MID('paste from garc here'!$C$2,1+(('table for research'!$B623-456)*36+HEX2DEC('table for research'!D$1))*2,2)</f>
        <v>00</v>
      </c>
      <c r="E623" t="str">
        <f>MID('paste from garc here'!$C$2,1+(('table for research'!$B623-456)*36+HEX2DEC('table for research'!E$1))*2,2)</f>
        <v>00</v>
      </c>
      <c r="F623" t="str">
        <f>MID('paste from garc here'!$C$2,1+(('table for research'!$B623-456)*36+HEX2DEC('table for research'!F$1))*2,2)</f>
        <v>00</v>
      </c>
      <c r="G623" t="str">
        <f>MID('paste from garc here'!$C$2,1+(('table for research'!$B623-456)*36+HEX2DEC('table for research'!G$1))*2,2)</f>
        <v>00</v>
      </c>
      <c r="H623" t="str">
        <f>MID('paste from garc here'!$C$2,1+(('table for research'!$B623-456)*36+HEX2DEC('table for research'!H$1))*2,2)</f>
        <v>00</v>
      </c>
      <c r="I623" t="str">
        <f>MID('paste from garc here'!$C$2,1+(('table for research'!$B623-456)*36+HEX2DEC('table for research'!I$1))*2,2)</f>
        <v>00</v>
      </c>
      <c r="J623" t="str">
        <f>MID('paste from garc here'!$C$2,1+(('table for research'!$B623-456)*36+HEX2DEC('table for research'!J$1))*2,2)</f>
        <v>00</v>
      </c>
      <c r="K623" t="str">
        <f>DEC2HEX(_xlfn.BITAND(HEX2DEC(MID('paste from garc here'!$C$1,1+(('table for research'!$B623-1)*36+HEX2DEC(8))*2,2)),31),2)</f>
        <v>00</v>
      </c>
      <c r="L623" t="str">
        <f>DEC2HEX(_xlfn.BITAND(HEX2DEC(MID('paste from garc here'!$C$1,1+(('table for research'!$B623-1)*36+HEX2DEC(8))*2,2)),32),2)</f>
        <v>00</v>
      </c>
      <c r="M623" t="str">
        <f>DEC2HEX(_xlfn.BITAND(HEX2DEC(MID('paste from garc here'!$C$1,1+(('table for research'!$B623-1)*36+HEX2DEC(8))*2,2)),64),2)</f>
        <v>00</v>
      </c>
      <c r="N623" t="str">
        <f>DEC2HEX(_xlfn.BITRSHIFT(_xlfn.BITAND(HEX2DEC(MID('paste from garc here'!$C$1,1+(('table for research'!$B623-1)*36+HEX2DEC(9))*2,2)&amp;MID('paste from garc here'!$C$1,1+(('table for research'!$B623-1)*36+HEX2DEC(8))*2,2)),1920),7),2)</f>
        <v>00</v>
      </c>
      <c r="O623" t="str">
        <f>DEC2HEX(_xlfn.BITRSHIFT(HEX2DEC(MID('paste from garc here'!$C$1,1+(('table for research'!$B623-1)*36+HEX2DEC(9))*2,2)&amp;MID('paste from garc here'!$C$1,1+(('table for research'!$B623-1)*36+HEX2DEC(8))*2,2)),11),2)</f>
        <v>00</v>
      </c>
      <c r="P623" t="str">
        <f>MID('paste from garc here'!$C$2,1+(('table for research'!$B623-456)*36+HEX2DEC('table for research'!P$1))*2,2)</f>
        <v>00</v>
      </c>
      <c r="Q623" t="str">
        <f>MID('paste from garc here'!$C$2,1+(('table for research'!$B623-456)*36+HEX2DEC('table for research'!Q$1))*2,2)</f>
        <v>00</v>
      </c>
      <c r="R623" t="str">
        <f>MID('paste from garc here'!$C$2,1+(('table for research'!$B623-456)*36+HEX2DEC('table for research'!R$1))*2,2)</f>
        <v>00</v>
      </c>
      <c r="S623" t="str">
        <f>MID('paste from garc here'!$C$2,1+(('table for research'!$B623-456)*36+HEX2DEC('table for research'!S$1))*2,2)</f>
        <v>08</v>
      </c>
      <c r="T623" t="str">
        <f>MID('paste from garc here'!$C$2,1+(('table for research'!$B623-456)*36+HEX2DEC('table for research'!T$1))*2,2)</f>
        <v>00</v>
      </c>
      <c r="U623" t="str">
        <f>MID('paste from garc here'!$C$2,1+(('table for research'!$B623-456)*36+HEX2DEC('table for research'!U$1))*2,2)</f>
        <v>FF</v>
      </c>
      <c r="V623" t="str">
        <f>MID('paste from garc here'!$C$2,1+(('table for research'!$B623-456)*36+HEX2DEC('table for research'!V$1))*2,2)</f>
        <v>00</v>
      </c>
      <c r="W623" t="str">
        <f>MID('paste from garc here'!$C$2,1+(('table for research'!$B623-456)*36+HEX2DEC('table for research'!W$1))*2,2)</f>
        <v>00</v>
      </c>
      <c r="X623" t="str">
        <f>MID('paste from garc here'!$C$2,1+(('table for research'!$B623-456)*36+HEX2DEC('table for research'!X$1))*2,2)</f>
        <v>00</v>
      </c>
      <c r="Y623" t="str">
        <f>MID('paste from garc here'!$C$2,1+(('table for research'!$B623-456)*36+HEX2DEC('table for research'!Y$1))*2,2)</f>
        <v>00</v>
      </c>
      <c r="Z623" t="str">
        <f>MID('paste from garc here'!$C$2,1+(('table for research'!$B623-456)*36+HEX2DEC('table for research'!Z$1))*2,2)</f>
        <v>00</v>
      </c>
      <c r="AA623" t="str">
        <f>MID('paste from garc here'!$C$2,1+(('table for research'!$B623-456)*36+HEX2DEC('table for research'!AA$1))*2,2)</f>
        <v>00</v>
      </c>
      <c r="AB623" t="str">
        <f>MID('paste from garc here'!$C$2,1+(('table for research'!$B623-456)*36+HEX2DEC('table for research'!AB$1))*2,2)</f>
        <v>00</v>
      </c>
      <c r="AC623" t="str">
        <f>MID('paste from garc here'!$C$2,1+(('table for research'!$B623-456)*36+HEX2DEC('table for research'!AC$1))*2,2)</f>
        <v>00</v>
      </c>
      <c r="AD623" t="str">
        <f>MID('paste from garc here'!$C$2,1+(('table for research'!$B623-456)*36+HEX2DEC('table for research'!AD$1))*2,2)</f>
        <v>00</v>
      </c>
      <c r="AE623" t="str">
        <f>MID('paste from garc here'!$C$2,1+(('table for research'!$B623-456)*36+HEX2DEC('table for research'!AE$1))*2,2)</f>
        <v>00</v>
      </c>
      <c r="AF623" t="str">
        <f>MID('paste from garc here'!$C$2,1+(('table for research'!$B623-456)*36+HEX2DEC('table for research'!AF$1))*2,2)</f>
        <v>00</v>
      </c>
      <c r="AG623" t="str">
        <f>MID('paste from garc here'!$C$2,1+(('table for research'!$B623-456)*36+HEX2DEC('table for research'!AG$1))*2,2)</f>
        <v>00</v>
      </c>
      <c r="AH623" t="str">
        <f>MID('paste from garc here'!$C$2,1+(('table for research'!$B623-456)*36+HEX2DEC('table for research'!AH$1))*2,2)</f>
        <v>00</v>
      </c>
      <c r="AI623" t="str">
        <f>MID('paste from garc here'!$C$2,1+(('table for research'!$B623-456)*36+HEX2DEC('table for research'!AI$1))*2,2)</f>
        <v>00</v>
      </c>
      <c r="AJ623" t="str">
        <f>MID('paste from garc here'!$C$2,1+(('table for research'!$B623-456)*36+HEX2DEC('table for research'!AJ$1))*2,2)</f>
        <v>00</v>
      </c>
      <c r="AK623" t="str">
        <f>MID('paste from garc here'!$C$2,1+(('table for research'!$B623-456)*36+HEX2DEC('table for research'!AK$1))*2,2)</f>
        <v>00</v>
      </c>
      <c r="AL623" t="str">
        <f>MID('paste from garc here'!$C$2,1+(('table for research'!$B623-456)*36+HEX2DEC('table for research'!AL$1))*2,2)</f>
        <v>00</v>
      </c>
      <c r="AM623" t="str">
        <f>MID('paste from garc here'!$C$2,1+(('table for research'!$B623-456)*36+HEX2DEC('table for research'!AM$1))*2,2)</f>
        <v>00</v>
      </c>
      <c r="AN623" t="str">
        <f>MID('paste from garc here'!$C$2,1+(('table for research'!$B623-456)*36+HEX2DEC('table for research'!AN$1))*2,2)</f>
        <v>00</v>
      </c>
      <c r="AO623" t="str">
        <f>MID('paste from garc here'!$C$2,1+(('table for research'!$B623-456)*36+HEX2DEC('table for research'!AO$1))*2,2)</f>
        <v>00</v>
      </c>
    </row>
    <row r="624" spans="1:41" x14ac:dyDescent="0.4">
      <c r="A624" t="s">
        <v>626</v>
      </c>
      <c r="B624">
        <f>B623+1</f>
        <v>622</v>
      </c>
      <c r="C624" t="str">
        <f>MID('paste from garc here'!$C$2,1+(('table for research'!$B624-456)*36+HEX2DEC('table for research'!C$1))*2,2)</f>
        <v>00</v>
      </c>
      <c r="D624" t="str">
        <f>MID('paste from garc here'!$C$2,1+(('table for research'!$B624-456)*36+HEX2DEC('table for research'!D$1))*2,2)</f>
        <v>00</v>
      </c>
      <c r="E624" t="str">
        <f>MID('paste from garc here'!$C$2,1+(('table for research'!$B624-456)*36+HEX2DEC('table for research'!E$1))*2,2)</f>
        <v>00</v>
      </c>
      <c r="F624" t="str">
        <f>MID('paste from garc here'!$C$2,1+(('table for research'!$B624-456)*36+HEX2DEC('table for research'!F$1))*2,2)</f>
        <v>00</v>
      </c>
      <c r="G624" t="str">
        <f>MID('paste from garc here'!$C$2,1+(('table for research'!$B624-456)*36+HEX2DEC('table for research'!G$1))*2,2)</f>
        <v>00</v>
      </c>
      <c r="H624" t="str">
        <f>MID('paste from garc here'!$C$2,1+(('table for research'!$B624-456)*36+HEX2DEC('table for research'!H$1))*2,2)</f>
        <v>00</v>
      </c>
      <c r="I624" t="str">
        <f>MID('paste from garc here'!$C$2,1+(('table for research'!$B624-456)*36+HEX2DEC('table for research'!I$1))*2,2)</f>
        <v>1E</v>
      </c>
      <c r="J624" t="str">
        <f>MID('paste from garc here'!$C$2,1+(('table for research'!$B624-456)*36+HEX2DEC('table for research'!J$1))*2,2)</f>
        <v>00</v>
      </c>
      <c r="K624" t="str">
        <f>DEC2HEX(_xlfn.BITAND(HEX2DEC(MID('paste from garc here'!$C$1,1+(('table for research'!$B624-1)*36+HEX2DEC(8))*2,2)),31),2)</f>
        <v>00</v>
      </c>
      <c r="L624" t="str">
        <f>DEC2HEX(_xlfn.BITAND(HEX2DEC(MID('paste from garc here'!$C$1,1+(('table for research'!$B624-1)*36+HEX2DEC(8))*2,2)),32),2)</f>
        <v>00</v>
      </c>
      <c r="M624" t="str">
        <f>DEC2HEX(_xlfn.BITAND(HEX2DEC(MID('paste from garc here'!$C$1,1+(('table for research'!$B624-1)*36+HEX2DEC(8))*2,2)),64),2)</f>
        <v>00</v>
      </c>
      <c r="N624" t="str">
        <f>DEC2HEX(_xlfn.BITRSHIFT(_xlfn.BITAND(HEX2DEC(MID('paste from garc here'!$C$1,1+(('table for research'!$B624-1)*36+HEX2DEC(9))*2,2)&amp;MID('paste from garc here'!$C$1,1+(('table for research'!$B624-1)*36+HEX2DEC(8))*2,2)),1920),7),2)</f>
        <v>00</v>
      </c>
      <c r="O624" t="str">
        <f>DEC2HEX(_xlfn.BITRSHIFT(HEX2DEC(MID('paste from garc here'!$C$1,1+(('table for research'!$B624-1)*36+HEX2DEC(9))*2,2)&amp;MID('paste from garc here'!$C$1,1+(('table for research'!$B624-1)*36+HEX2DEC(8))*2,2)),11),2)</f>
        <v>00</v>
      </c>
      <c r="P624" t="str">
        <f>MID('paste from garc here'!$C$2,1+(('table for research'!$B624-456)*36+HEX2DEC('table for research'!P$1))*2,2)</f>
        <v>06</v>
      </c>
      <c r="Q624" t="str">
        <f>MID('paste from garc here'!$C$2,1+(('table for research'!$B624-456)*36+HEX2DEC('table for research'!Q$1))*2,2)</f>
        <v>00</v>
      </c>
      <c r="R624" t="str">
        <f>MID('paste from garc here'!$C$2,1+(('table for research'!$B624-456)*36+HEX2DEC('table for research'!R$1))*2,2)</f>
        <v>01</v>
      </c>
      <c r="S624" t="str">
        <f>MID('paste from garc here'!$C$2,1+(('table for research'!$B624-456)*36+HEX2DEC('table for research'!S$1))*2,2)</f>
        <v>03</v>
      </c>
      <c r="T624" t="str">
        <f>MID('paste from garc here'!$C$2,1+(('table for research'!$B624-456)*36+HEX2DEC('table for research'!T$1))*2,2)</f>
        <v>00</v>
      </c>
      <c r="U624" t="str">
        <f>MID('paste from garc here'!$C$2,1+(('table for research'!$B624-456)*36+HEX2DEC('table for research'!U$1))*2,2)</f>
        <v>C8</v>
      </c>
      <c r="V624" t="str">
        <f>MID('paste from garc here'!$C$2,1+(('table for research'!$B624-456)*36+HEX2DEC('table for research'!V$1))*2,2)</f>
        <v>00</v>
      </c>
      <c r="W624" t="str">
        <f>MID('paste from garc here'!$C$2,1+(('table for research'!$B624-456)*36+HEX2DEC('table for research'!W$1))*2,2)</f>
        <v>08</v>
      </c>
      <c r="X624" t="str">
        <f>MID('paste from garc here'!$C$2,1+(('table for research'!$B624-456)*36+HEX2DEC('table for research'!X$1))*2,2)</f>
        <v>00</v>
      </c>
      <c r="Y624" t="str">
        <f>MID('paste from garc here'!$C$2,1+(('table for research'!$B624-456)*36+HEX2DEC('table for research'!Y$1))*2,2)</f>
        <v>00</v>
      </c>
      <c r="Z624" t="str">
        <f>MID('paste from garc here'!$C$2,1+(('table for research'!$B624-456)*36+HEX2DEC('table for research'!Z$1))*2,2)</f>
        <v>00</v>
      </c>
      <c r="AA624" t="str">
        <f>MID('paste from garc here'!$C$2,1+(('table for research'!$B624-456)*36+HEX2DEC('table for research'!AA$1))*2,2)</f>
        <v>00</v>
      </c>
      <c r="AB624" t="str">
        <f>MID('paste from garc here'!$C$2,1+(('table for research'!$B624-456)*36+HEX2DEC('table for research'!AB$1))*2,2)</f>
        <v>00</v>
      </c>
      <c r="AC624" t="str">
        <f>MID('paste from garc here'!$C$2,1+(('table for research'!$B624-456)*36+HEX2DEC('table for research'!AC$1))*2,2)</f>
        <v>00</v>
      </c>
      <c r="AD624" t="str">
        <f>MID('paste from garc here'!$C$2,1+(('table for research'!$B624-456)*36+HEX2DEC('table for research'!AD$1))*2,2)</f>
        <v>00</v>
      </c>
      <c r="AE624" t="str">
        <f>MID('paste from garc here'!$C$2,1+(('table for research'!$B624-456)*36+HEX2DEC('table for research'!AE$1))*2,2)</f>
        <v>00</v>
      </c>
      <c r="AF624" t="str">
        <f>MID('paste from garc here'!$C$2,1+(('table for research'!$B624-456)*36+HEX2DEC('table for research'!AF$1))*2,2)</f>
        <v>00</v>
      </c>
      <c r="AG624" t="str">
        <f>MID('paste from garc here'!$C$2,1+(('table for research'!$B624-456)*36+HEX2DEC('table for research'!AG$1))*2,2)</f>
        <v>00</v>
      </c>
      <c r="AH624" t="str">
        <f>MID('paste from garc here'!$C$2,1+(('table for research'!$B624-456)*36+HEX2DEC('table for research'!AH$1))*2,2)</f>
        <v>00</v>
      </c>
      <c r="AI624" t="str">
        <f>MID('paste from garc here'!$C$2,1+(('table for research'!$B624-456)*36+HEX2DEC('table for research'!AI$1))*2,2)</f>
        <v>00</v>
      </c>
      <c r="AJ624" t="str">
        <f>MID('paste from garc here'!$C$2,1+(('table for research'!$B624-456)*36+HEX2DEC('table for research'!AJ$1))*2,2)</f>
        <v>00</v>
      </c>
      <c r="AK624" t="str">
        <f>MID('paste from garc here'!$C$2,1+(('table for research'!$B624-456)*36+HEX2DEC('table for research'!AK$1))*2,2)</f>
        <v>00</v>
      </c>
      <c r="AL624" t="str">
        <f>MID('paste from garc here'!$C$2,1+(('table for research'!$B624-456)*36+HEX2DEC('table for research'!AL$1))*2,2)</f>
        <v>00</v>
      </c>
      <c r="AM624" t="str">
        <f>MID('paste from garc here'!$C$2,1+(('table for research'!$B624-456)*36+HEX2DEC('table for research'!AM$1))*2,2)</f>
        <v>00</v>
      </c>
      <c r="AN624" t="str">
        <f>MID('paste from garc here'!$C$2,1+(('table for research'!$B624-456)*36+HEX2DEC('table for research'!AN$1))*2,2)</f>
        <v>00</v>
      </c>
      <c r="AO624" t="str">
        <f>MID('paste from garc here'!$C$2,1+(('table for research'!$B624-456)*36+HEX2DEC('table for research'!AO$1))*2,2)</f>
        <v>00</v>
      </c>
    </row>
    <row r="625" spans="1:41" x14ac:dyDescent="0.4">
      <c r="A625" t="s">
        <v>627</v>
      </c>
      <c r="B625">
        <f>B624+1</f>
        <v>623</v>
      </c>
      <c r="C625" t="str">
        <f>MID('paste from garc here'!$C$2,1+(('table for research'!$B625-456)*36+HEX2DEC('table for research'!C$1))*2,2)</f>
        <v>00</v>
      </c>
      <c r="D625" t="str">
        <f>MID('paste from garc here'!$C$2,1+(('table for research'!$B625-456)*36+HEX2DEC('table for research'!D$1))*2,2)</f>
        <v>00</v>
      </c>
      <c r="E625" t="str">
        <f>MID('paste from garc here'!$C$2,1+(('table for research'!$B625-456)*36+HEX2DEC('table for research'!E$1))*2,2)</f>
        <v>00</v>
      </c>
      <c r="F625" t="str">
        <f>MID('paste from garc here'!$C$2,1+(('table for research'!$B625-456)*36+HEX2DEC('table for research'!F$1))*2,2)</f>
        <v>00</v>
      </c>
      <c r="G625" t="str">
        <f>MID('paste from garc here'!$C$2,1+(('table for research'!$B625-456)*36+HEX2DEC('table for research'!G$1))*2,2)</f>
        <v>00</v>
      </c>
      <c r="H625" t="str">
        <f>MID('paste from garc here'!$C$2,1+(('table for research'!$B625-456)*36+HEX2DEC('table for research'!H$1))*2,2)</f>
        <v>00</v>
      </c>
      <c r="I625" t="str">
        <f>MID('paste from garc here'!$C$2,1+(('table for research'!$B625-456)*36+HEX2DEC('table for research'!I$1))*2,2)</f>
        <v>00</v>
      </c>
      <c r="J625" t="str">
        <f>MID('paste from garc here'!$C$2,1+(('table for research'!$B625-456)*36+HEX2DEC('table for research'!J$1))*2,2)</f>
        <v>00</v>
      </c>
      <c r="K625" t="str">
        <f>DEC2HEX(_xlfn.BITAND(HEX2DEC(MID('paste from garc here'!$C$1,1+(('table for research'!$B625-1)*36+HEX2DEC(8))*2,2)),31),2)</f>
        <v>00</v>
      </c>
      <c r="L625" t="str">
        <f>DEC2HEX(_xlfn.BITAND(HEX2DEC(MID('paste from garc here'!$C$1,1+(('table for research'!$B625-1)*36+HEX2DEC(8))*2,2)),32),2)</f>
        <v>00</v>
      </c>
      <c r="M625" t="str">
        <f>DEC2HEX(_xlfn.BITAND(HEX2DEC(MID('paste from garc here'!$C$1,1+(('table for research'!$B625-1)*36+HEX2DEC(8))*2,2)),64),2)</f>
        <v>00</v>
      </c>
      <c r="N625" t="str">
        <f>DEC2HEX(_xlfn.BITRSHIFT(_xlfn.BITAND(HEX2DEC(MID('paste from garc here'!$C$1,1+(('table for research'!$B625-1)*36+HEX2DEC(9))*2,2)&amp;MID('paste from garc here'!$C$1,1+(('table for research'!$B625-1)*36+HEX2DEC(8))*2,2)),1920),7),2)</f>
        <v>00</v>
      </c>
      <c r="O625" t="str">
        <f>DEC2HEX(_xlfn.BITRSHIFT(HEX2DEC(MID('paste from garc here'!$C$1,1+(('table for research'!$B625-1)*36+HEX2DEC(9))*2,2)&amp;MID('paste from garc here'!$C$1,1+(('table for research'!$B625-1)*36+HEX2DEC(8))*2,2)),11),2)</f>
        <v>00</v>
      </c>
      <c r="P625" t="str">
        <f>MID('paste from garc here'!$C$2,1+(('table for research'!$B625-456)*36+HEX2DEC('table for research'!P$1))*2,2)</f>
        <v>00</v>
      </c>
      <c r="Q625" t="str">
        <f>MID('paste from garc here'!$C$2,1+(('table for research'!$B625-456)*36+HEX2DEC('table for research'!Q$1))*2,2)</f>
        <v>00</v>
      </c>
      <c r="R625" t="str">
        <f>MID('paste from garc here'!$C$2,1+(('table for research'!$B625-456)*36+HEX2DEC('table for research'!R$1))*2,2)</f>
        <v>00</v>
      </c>
      <c r="S625" t="str">
        <f>MID('paste from garc here'!$C$2,1+(('table for research'!$B625-456)*36+HEX2DEC('table for research'!S$1))*2,2)</f>
        <v>08</v>
      </c>
      <c r="T625" t="str">
        <f>MID('paste from garc here'!$C$2,1+(('table for research'!$B625-456)*36+HEX2DEC('table for research'!T$1))*2,2)</f>
        <v>00</v>
      </c>
      <c r="U625" t="str">
        <f>MID('paste from garc here'!$C$2,1+(('table for research'!$B625-456)*36+HEX2DEC('table for research'!U$1))*2,2)</f>
        <v>FF</v>
      </c>
      <c r="V625" t="str">
        <f>MID('paste from garc here'!$C$2,1+(('table for research'!$B625-456)*36+HEX2DEC('table for research'!V$1))*2,2)</f>
        <v>00</v>
      </c>
      <c r="W625" t="str">
        <f>MID('paste from garc here'!$C$2,1+(('table for research'!$B625-456)*36+HEX2DEC('table for research'!W$1))*2,2)</f>
        <v>00</v>
      </c>
      <c r="X625" t="str">
        <f>MID('paste from garc here'!$C$2,1+(('table for research'!$B625-456)*36+HEX2DEC('table for research'!X$1))*2,2)</f>
        <v>00</v>
      </c>
      <c r="Y625" t="str">
        <f>MID('paste from garc here'!$C$2,1+(('table for research'!$B625-456)*36+HEX2DEC('table for research'!Y$1))*2,2)</f>
        <v>00</v>
      </c>
      <c r="Z625" t="str">
        <f>MID('paste from garc here'!$C$2,1+(('table for research'!$B625-456)*36+HEX2DEC('table for research'!Z$1))*2,2)</f>
        <v>00</v>
      </c>
      <c r="AA625" t="str">
        <f>MID('paste from garc here'!$C$2,1+(('table for research'!$B625-456)*36+HEX2DEC('table for research'!AA$1))*2,2)</f>
        <v>00</v>
      </c>
      <c r="AB625" t="str">
        <f>MID('paste from garc here'!$C$2,1+(('table for research'!$B625-456)*36+HEX2DEC('table for research'!AB$1))*2,2)</f>
        <v>00</v>
      </c>
      <c r="AC625" t="str">
        <f>MID('paste from garc here'!$C$2,1+(('table for research'!$B625-456)*36+HEX2DEC('table for research'!AC$1))*2,2)</f>
        <v>00</v>
      </c>
      <c r="AD625" t="str">
        <f>MID('paste from garc here'!$C$2,1+(('table for research'!$B625-456)*36+HEX2DEC('table for research'!AD$1))*2,2)</f>
        <v>00</v>
      </c>
      <c r="AE625" t="str">
        <f>MID('paste from garc here'!$C$2,1+(('table for research'!$B625-456)*36+HEX2DEC('table for research'!AE$1))*2,2)</f>
        <v>00</v>
      </c>
      <c r="AF625" t="str">
        <f>MID('paste from garc here'!$C$2,1+(('table for research'!$B625-456)*36+HEX2DEC('table for research'!AF$1))*2,2)</f>
        <v>00</v>
      </c>
      <c r="AG625" t="str">
        <f>MID('paste from garc here'!$C$2,1+(('table for research'!$B625-456)*36+HEX2DEC('table for research'!AG$1))*2,2)</f>
        <v>00</v>
      </c>
      <c r="AH625" t="str">
        <f>MID('paste from garc here'!$C$2,1+(('table for research'!$B625-456)*36+HEX2DEC('table for research'!AH$1))*2,2)</f>
        <v>00</v>
      </c>
      <c r="AI625" t="str">
        <f>MID('paste from garc here'!$C$2,1+(('table for research'!$B625-456)*36+HEX2DEC('table for research'!AI$1))*2,2)</f>
        <v>00</v>
      </c>
      <c r="AJ625" t="str">
        <f>MID('paste from garc here'!$C$2,1+(('table for research'!$B625-456)*36+HEX2DEC('table for research'!AJ$1))*2,2)</f>
        <v>00</v>
      </c>
      <c r="AK625" t="str">
        <f>MID('paste from garc here'!$C$2,1+(('table for research'!$B625-456)*36+HEX2DEC('table for research'!AK$1))*2,2)</f>
        <v>00</v>
      </c>
      <c r="AL625" t="str">
        <f>MID('paste from garc here'!$C$2,1+(('table for research'!$B625-456)*36+HEX2DEC('table for research'!AL$1))*2,2)</f>
        <v>00</v>
      </c>
      <c r="AM625" t="str">
        <f>MID('paste from garc here'!$C$2,1+(('table for research'!$B625-456)*36+HEX2DEC('table for research'!AM$1))*2,2)</f>
        <v>00</v>
      </c>
      <c r="AN625" t="str">
        <f>MID('paste from garc here'!$C$2,1+(('table for research'!$B625-456)*36+HEX2DEC('table for research'!AN$1))*2,2)</f>
        <v>00</v>
      </c>
      <c r="AO625" t="str">
        <f>MID('paste from garc here'!$C$2,1+(('table for research'!$B625-456)*36+HEX2DEC('table for research'!AO$1))*2,2)</f>
        <v>00</v>
      </c>
    </row>
    <row r="626" spans="1:41" x14ac:dyDescent="0.4">
      <c r="A626" t="s">
        <v>628</v>
      </c>
      <c r="B626">
        <f>B625+1</f>
        <v>624</v>
      </c>
      <c r="C626" t="str">
        <f>MID('paste from garc here'!$C$2,1+(('table for research'!$B626-456)*36+HEX2DEC('table for research'!C$1))*2,2)</f>
        <v>00</v>
      </c>
      <c r="D626" t="str">
        <f>MID('paste from garc here'!$C$2,1+(('table for research'!$B626-456)*36+HEX2DEC('table for research'!D$1))*2,2)</f>
        <v>00</v>
      </c>
      <c r="E626" t="str">
        <f>MID('paste from garc here'!$C$2,1+(('table for research'!$B626-456)*36+HEX2DEC('table for research'!E$1))*2,2)</f>
        <v>00</v>
      </c>
      <c r="F626" t="str">
        <f>MID('paste from garc here'!$C$2,1+(('table for research'!$B626-456)*36+HEX2DEC('table for research'!F$1))*2,2)</f>
        <v>00</v>
      </c>
      <c r="G626" t="str">
        <f>MID('paste from garc here'!$C$2,1+(('table for research'!$B626-456)*36+HEX2DEC('table for research'!G$1))*2,2)</f>
        <v>00</v>
      </c>
      <c r="H626" t="str">
        <f>MID('paste from garc here'!$C$2,1+(('table for research'!$B626-456)*36+HEX2DEC('table for research'!H$1))*2,2)</f>
        <v>00</v>
      </c>
      <c r="I626" t="str">
        <f>MID('paste from garc here'!$C$2,1+(('table for research'!$B626-456)*36+HEX2DEC('table for research'!I$1))*2,2)</f>
        <v>00</v>
      </c>
      <c r="J626" t="str">
        <f>MID('paste from garc here'!$C$2,1+(('table for research'!$B626-456)*36+HEX2DEC('table for research'!J$1))*2,2)</f>
        <v>00</v>
      </c>
      <c r="K626" t="str">
        <f>DEC2HEX(_xlfn.BITAND(HEX2DEC(MID('paste from garc here'!$C$1,1+(('table for research'!$B626-1)*36+HEX2DEC(8))*2,2)),31),2)</f>
        <v>00</v>
      </c>
      <c r="L626" t="str">
        <f>DEC2HEX(_xlfn.BITAND(HEX2DEC(MID('paste from garc here'!$C$1,1+(('table for research'!$B626-1)*36+HEX2DEC(8))*2,2)),32),2)</f>
        <v>00</v>
      </c>
      <c r="M626" t="str">
        <f>DEC2HEX(_xlfn.BITAND(HEX2DEC(MID('paste from garc here'!$C$1,1+(('table for research'!$B626-1)*36+HEX2DEC(8))*2,2)),64),2)</f>
        <v>00</v>
      </c>
      <c r="N626" t="str">
        <f>DEC2HEX(_xlfn.BITRSHIFT(_xlfn.BITAND(HEX2DEC(MID('paste from garc here'!$C$1,1+(('table for research'!$B626-1)*36+HEX2DEC(9))*2,2)&amp;MID('paste from garc here'!$C$1,1+(('table for research'!$B626-1)*36+HEX2DEC(8))*2,2)),1920),7),2)</f>
        <v>00</v>
      </c>
      <c r="O626" t="str">
        <f>DEC2HEX(_xlfn.BITRSHIFT(HEX2DEC(MID('paste from garc here'!$C$1,1+(('table for research'!$B626-1)*36+HEX2DEC(9))*2,2)&amp;MID('paste from garc here'!$C$1,1+(('table for research'!$B626-1)*36+HEX2DEC(8))*2,2)),11),2)</f>
        <v>00</v>
      </c>
      <c r="P626" t="str">
        <f>MID('paste from garc here'!$C$2,1+(('table for research'!$B626-456)*36+HEX2DEC('table for research'!P$1))*2,2)</f>
        <v>00</v>
      </c>
      <c r="Q626" t="str">
        <f>MID('paste from garc here'!$C$2,1+(('table for research'!$B626-456)*36+HEX2DEC('table for research'!Q$1))*2,2)</f>
        <v>00</v>
      </c>
      <c r="R626" t="str">
        <f>MID('paste from garc here'!$C$2,1+(('table for research'!$B626-456)*36+HEX2DEC('table for research'!R$1))*2,2)</f>
        <v>00</v>
      </c>
      <c r="S626" t="str">
        <f>MID('paste from garc here'!$C$2,1+(('table for research'!$B626-456)*36+HEX2DEC('table for research'!S$1))*2,2)</f>
        <v>08</v>
      </c>
      <c r="T626" t="str">
        <f>MID('paste from garc here'!$C$2,1+(('table for research'!$B626-456)*36+HEX2DEC('table for research'!T$1))*2,2)</f>
        <v>00</v>
      </c>
      <c r="U626" t="str">
        <f>MID('paste from garc here'!$C$2,1+(('table for research'!$B626-456)*36+HEX2DEC('table for research'!U$1))*2,2)</f>
        <v>FF</v>
      </c>
      <c r="V626" t="str">
        <f>MID('paste from garc here'!$C$2,1+(('table for research'!$B626-456)*36+HEX2DEC('table for research'!V$1))*2,2)</f>
        <v>00</v>
      </c>
      <c r="W626" t="str">
        <f>MID('paste from garc here'!$C$2,1+(('table for research'!$B626-456)*36+HEX2DEC('table for research'!W$1))*2,2)</f>
        <v>00</v>
      </c>
      <c r="X626" t="str">
        <f>MID('paste from garc here'!$C$2,1+(('table for research'!$B626-456)*36+HEX2DEC('table for research'!X$1))*2,2)</f>
        <v>00</v>
      </c>
      <c r="Y626" t="str">
        <f>MID('paste from garc here'!$C$2,1+(('table for research'!$B626-456)*36+HEX2DEC('table for research'!Y$1))*2,2)</f>
        <v>00</v>
      </c>
      <c r="Z626" t="str">
        <f>MID('paste from garc here'!$C$2,1+(('table for research'!$B626-456)*36+HEX2DEC('table for research'!Z$1))*2,2)</f>
        <v>00</v>
      </c>
      <c r="AA626" t="str">
        <f>MID('paste from garc here'!$C$2,1+(('table for research'!$B626-456)*36+HEX2DEC('table for research'!AA$1))*2,2)</f>
        <v>00</v>
      </c>
      <c r="AB626" t="str">
        <f>MID('paste from garc here'!$C$2,1+(('table for research'!$B626-456)*36+HEX2DEC('table for research'!AB$1))*2,2)</f>
        <v>00</v>
      </c>
      <c r="AC626" t="str">
        <f>MID('paste from garc here'!$C$2,1+(('table for research'!$B626-456)*36+HEX2DEC('table for research'!AC$1))*2,2)</f>
        <v>00</v>
      </c>
      <c r="AD626" t="str">
        <f>MID('paste from garc here'!$C$2,1+(('table for research'!$B626-456)*36+HEX2DEC('table for research'!AD$1))*2,2)</f>
        <v>00</v>
      </c>
      <c r="AE626" t="str">
        <f>MID('paste from garc here'!$C$2,1+(('table for research'!$B626-456)*36+HEX2DEC('table for research'!AE$1))*2,2)</f>
        <v>00</v>
      </c>
      <c r="AF626" t="str">
        <f>MID('paste from garc here'!$C$2,1+(('table for research'!$B626-456)*36+HEX2DEC('table for research'!AF$1))*2,2)</f>
        <v>00</v>
      </c>
      <c r="AG626" t="str">
        <f>MID('paste from garc here'!$C$2,1+(('table for research'!$B626-456)*36+HEX2DEC('table for research'!AG$1))*2,2)</f>
        <v>00</v>
      </c>
      <c r="AH626" t="str">
        <f>MID('paste from garc here'!$C$2,1+(('table for research'!$B626-456)*36+HEX2DEC('table for research'!AH$1))*2,2)</f>
        <v>00</v>
      </c>
      <c r="AI626" t="str">
        <f>MID('paste from garc here'!$C$2,1+(('table for research'!$B626-456)*36+HEX2DEC('table for research'!AI$1))*2,2)</f>
        <v>00</v>
      </c>
      <c r="AJ626" t="str">
        <f>MID('paste from garc here'!$C$2,1+(('table for research'!$B626-456)*36+HEX2DEC('table for research'!AJ$1))*2,2)</f>
        <v>00</v>
      </c>
      <c r="AK626" t="str">
        <f>MID('paste from garc here'!$C$2,1+(('table for research'!$B626-456)*36+HEX2DEC('table for research'!AK$1))*2,2)</f>
        <v>00</v>
      </c>
      <c r="AL626" t="str">
        <f>MID('paste from garc here'!$C$2,1+(('table for research'!$B626-456)*36+HEX2DEC('table for research'!AL$1))*2,2)</f>
        <v>00</v>
      </c>
      <c r="AM626" t="str">
        <f>MID('paste from garc here'!$C$2,1+(('table for research'!$B626-456)*36+HEX2DEC('table for research'!AM$1))*2,2)</f>
        <v>00</v>
      </c>
      <c r="AN626" t="str">
        <f>MID('paste from garc here'!$C$2,1+(('table for research'!$B626-456)*36+HEX2DEC('table for research'!AN$1))*2,2)</f>
        <v>00</v>
      </c>
      <c r="AO626" t="str">
        <f>MID('paste from garc here'!$C$2,1+(('table for research'!$B626-456)*36+HEX2DEC('table for research'!AO$1))*2,2)</f>
        <v>00</v>
      </c>
    </row>
    <row r="627" spans="1:41" x14ac:dyDescent="0.4">
      <c r="A627" t="s">
        <v>629</v>
      </c>
      <c r="B627">
        <f>B626+1</f>
        <v>625</v>
      </c>
      <c r="C627" t="str">
        <f>MID('paste from garc here'!$C$2,1+(('table for research'!$B627-456)*36+HEX2DEC('table for research'!C$1))*2,2)</f>
        <v>00</v>
      </c>
      <c r="D627" t="str">
        <f>MID('paste from garc here'!$C$2,1+(('table for research'!$B627-456)*36+HEX2DEC('table for research'!D$1))*2,2)</f>
        <v>00</v>
      </c>
      <c r="E627" t="str">
        <f>MID('paste from garc here'!$C$2,1+(('table for research'!$B627-456)*36+HEX2DEC('table for research'!E$1))*2,2)</f>
        <v>00</v>
      </c>
      <c r="F627" t="str">
        <f>MID('paste from garc here'!$C$2,1+(('table for research'!$B627-456)*36+HEX2DEC('table for research'!F$1))*2,2)</f>
        <v>00</v>
      </c>
      <c r="G627" t="str">
        <f>MID('paste from garc here'!$C$2,1+(('table for research'!$B627-456)*36+HEX2DEC('table for research'!G$1))*2,2)</f>
        <v>00</v>
      </c>
      <c r="H627" t="str">
        <f>MID('paste from garc here'!$C$2,1+(('table for research'!$B627-456)*36+HEX2DEC('table for research'!H$1))*2,2)</f>
        <v>00</v>
      </c>
      <c r="I627" t="str">
        <f>MID('paste from garc here'!$C$2,1+(('table for research'!$B627-456)*36+HEX2DEC('table for research'!I$1))*2,2)</f>
        <v>00</v>
      </c>
      <c r="J627" t="str">
        <f>MID('paste from garc here'!$C$2,1+(('table for research'!$B627-456)*36+HEX2DEC('table for research'!J$1))*2,2)</f>
        <v>00</v>
      </c>
      <c r="K627" t="str">
        <f>DEC2HEX(_xlfn.BITAND(HEX2DEC(MID('paste from garc here'!$C$1,1+(('table for research'!$B627-1)*36+HEX2DEC(8))*2,2)),31),2)</f>
        <v>00</v>
      </c>
      <c r="L627" t="str">
        <f>DEC2HEX(_xlfn.BITAND(HEX2DEC(MID('paste from garc here'!$C$1,1+(('table for research'!$B627-1)*36+HEX2DEC(8))*2,2)),32),2)</f>
        <v>00</v>
      </c>
      <c r="M627" t="str">
        <f>DEC2HEX(_xlfn.BITAND(HEX2DEC(MID('paste from garc here'!$C$1,1+(('table for research'!$B627-1)*36+HEX2DEC(8))*2,2)),64),2)</f>
        <v>00</v>
      </c>
      <c r="N627" t="str">
        <f>DEC2HEX(_xlfn.BITRSHIFT(_xlfn.BITAND(HEX2DEC(MID('paste from garc here'!$C$1,1+(('table for research'!$B627-1)*36+HEX2DEC(9))*2,2)&amp;MID('paste from garc here'!$C$1,1+(('table for research'!$B627-1)*36+HEX2DEC(8))*2,2)),1920),7),2)</f>
        <v>00</v>
      </c>
      <c r="O627" t="str">
        <f>DEC2HEX(_xlfn.BITRSHIFT(HEX2DEC(MID('paste from garc here'!$C$1,1+(('table for research'!$B627-1)*36+HEX2DEC(9))*2,2)&amp;MID('paste from garc here'!$C$1,1+(('table for research'!$B627-1)*36+HEX2DEC(8))*2,2)),11),2)</f>
        <v>00</v>
      </c>
      <c r="P627" t="str">
        <f>MID('paste from garc here'!$C$2,1+(('table for research'!$B627-456)*36+HEX2DEC('table for research'!P$1))*2,2)</f>
        <v>00</v>
      </c>
      <c r="Q627" t="str">
        <f>MID('paste from garc here'!$C$2,1+(('table for research'!$B627-456)*36+HEX2DEC('table for research'!Q$1))*2,2)</f>
        <v>00</v>
      </c>
      <c r="R627" t="str">
        <f>MID('paste from garc here'!$C$2,1+(('table for research'!$B627-456)*36+HEX2DEC('table for research'!R$1))*2,2)</f>
        <v>00</v>
      </c>
      <c r="S627" t="str">
        <f>MID('paste from garc here'!$C$2,1+(('table for research'!$B627-456)*36+HEX2DEC('table for research'!S$1))*2,2)</f>
        <v>08</v>
      </c>
      <c r="T627" t="str">
        <f>MID('paste from garc here'!$C$2,1+(('table for research'!$B627-456)*36+HEX2DEC('table for research'!T$1))*2,2)</f>
        <v>00</v>
      </c>
      <c r="U627" t="str">
        <f>MID('paste from garc here'!$C$2,1+(('table for research'!$B627-456)*36+HEX2DEC('table for research'!U$1))*2,2)</f>
        <v>FF</v>
      </c>
      <c r="V627" t="str">
        <f>MID('paste from garc here'!$C$2,1+(('table for research'!$B627-456)*36+HEX2DEC('table for research'!V$1))*2,2)</f>
        <v>00</v>
      </c>
      <c r="W627" t="str">
        <f>MID('paste from garc here'!$C$2,1+(('table for research'!$B627-456)*36+HEX2DEC('table for research'!W$1))*2,2)</f>
        <v>00</v>
      </c>
      <c r="X627" t="str">
        <f>MID('paste from garc here'!$C$2,1+(('table for research'!$B627-456)*36+HEX2DEC('table for research'!X$1))*2,2)</f>
        <v>00</v>
      </c>
      <c r="Y627" t="str">
        <f>MID('paste from garc here'!$C$2,1+(('table for research'!$B627-456)*36+HEX2DEC('table for research'!Y$1))*2,2)</f>
        <v>00</v>
      </c>
      <c r="Z627" t="str">
        <f>MID('paste from garc here'!$C$2,1+(('table for research'!$B627-456)*36+HEX2DEC('table for research'!Z$1))*2,2)</f>
        <v>00</v>
      </c>
      <c r="AA627" t="str">
        <f>MID('paste from garc here'!$C$2,1+(('table for research'!$B627-456)*36+HEX2DEC('table for research'!AA$1))*2,2)</f>
        <v>00</v>
      </c>
      <c r="AB627" t="str">
        <f>MID('paste from garc here'!$C$2,1+(('table for research'!$B627-456)*36+HEX2DEC('table for research'!AB$1))*2,2)</f>
        <v>00</v>
      </c>
      <c r="AC627" t="str">
        <f>MID('paste from garc here'!$C$2,1+(('table for research'!$B627-456)*36+HEX2DEC('table for research'!AC$1))*2,2)</f>
        <v>00</v>
      </c>
      <c r="AD627" t="str">
        <f>MID('paste from garc here'!$C$2,1+(('table for research'!$B627-456)*36+HEX2DEC('table for research'!AD$1))*2,2)</f>
        <v>00</v>
      </c>
      <c r="AE627" t="str">
        <f>MID('paste from garc here'!$C$2,1+(('table for research'!$B627-456)*36+HEX2DEC('table for research'!AE$1))*2,2)</f>
        <v>00</v>
      </c>
      <c r="AF627" t="str">
        <f>MID('paste from garc here'!$C$2,1+(('table for research'!$B627-456)*36+HEX2DEC('table for research'!AF$1))*2,2)</f>
        <v>00</v>
      </c>
      <c r="AG627" t="str">
        <f>MID('paste from garc here'!$C$2,1+(('table for research'!$B627-456)*36+HEX2DEC('table for research'!AG$1))*2,2)</f>
        <v>00</v>
      </c>
      <c r="AH627" t="str">
        <f>MID('paste from garc here'!$C$2,1+(('table for research'!$B627-456)*36+HEX2DEC('table for research'!AH$1))*2,2)</f>
        <v>00</v>
      </c>
      <c r="AI627" t="str">
        <f>MID('paste from garc here'!$C$2,1+(('table for research'!$B627-456)*36+HEX2DEC('table for research'!AI$1))*2,2)</f>
        <v>00</v>
      </c>
      <c r="AJ627" t="str">
        <f>MID('paste from garc here'!$C$2,1+(('table for research'!$B627-456)*36+HEX2DEC('table for research'!AJ$1))*2,2)</f>
        <v>00</v>
      </c>
      <c r="AK627" t="str">
        <f>MID('paste from garc here'!$C$2,1+(('table for research'!$B627-456)*36+HEX2DEC('table for research'!AK$1))*2,2)</f>
        <v>00</v>
      </c>
      <c r="AL627" t="str">
        <f>MID('paste from garc here'!$C$2,1+(('table for research'!$B627-456)*36+HEX2DEC('table for research'!AL$1))*2,2)</f>
        <v>00</v>
      </c>
      <c r="AM627" t="str">
        <f>MID('paste from garc here'!$C$2,1+(('table for research'!$B627-456)*36+HEX2DEC('table for research'!AM$1))*2,2)</f>
        <v>00</v>
      </c>
      <c r="AN627" t="str">
        <f>MID('paste from garc here'!$C$2,1+(('table for research'!$B627-456)*36+HEX2DEC('table for research'!AN$1))*2,2)</f>
        <v>00</v>
      </c>
      <c r="AO627" t="str">
        <f>MID('paste from garc here'!$C$2,1+(('table for research'!$B627-456)*36+HEX2DEC('table for research'!AO$1))*2,2)</f>
        <v>00</v>
      </c>
    </row>
    <row r="628" spans="1:41" x14ac:dyDescent="0.4">
      <c r="A628" t="s">
        <v>625</v>
      </c>
      <c r="B628">
        <f>B627+1</f>
        <v>626</v>
      </c>
      <c r="C628" t="str">
        <f>MID('paste from garc here'!$C$2,1+(('table for research'!$B628-456)*36+HEX2DEC('table for research'!C$1))*2,2)</f>
        <v>00</v>
      </c>
      <c r="D628" t="str">
        <f>MID('paste from garc here'!$C$2,1+(('table for research'!$B628-456)*36+HEX2DEC('table for research'!D$1))*2,2)</f>
        <v>00</v>
      </c>
      <c r="E628" t="str">
        <f>MID('paste from garc here'!$C$2,1+(('table for research'!$B628-456)*36+HEX2DEC('table for research'!E$1))*2,2)</f>
        <v>00</v>
      </c>
      <c r="F628" t="str">
        <f>MID('paste from garc here'!$C$2,1+(('table for research'!$B628-456)*36+HEX2DEC('table for research'!F$1))*2,2)</f>
        <v>00</v>
      </c>
      <c r="G628" t="str">
        <f>MID('paste from garc here'!$C$2,1+(('table for research'!$B628-456)*36+HEX2DEC('table for research'!G$1))*2,2)</f>
        <v>00</v>
      </c>
      <c r="H628" t="str">
        <f>MID('paste from garc here'!$C$2,1+(('table for research'!$B628-456)*36+HEX2DEC('table for research'!H$1))*2,2)</f>
        <v>00</v>
      </c>
      <c r="I628" t="str">
        <f>MID('paste from garc here'!$C$2,1+(('table for research'!$B628-456)*36+HEX2DEC('table for research'!I$1))*2,2)</f>
        <v>00</v>
      </c>
      <c r="J628" t="str">
        <f>MID('paste from garc here'!$C$2,1+(('table for research'!$B628-456)*36+HEX2DEC('table for research'!J$1))*2,2)</f>
        <v>00</v>
      </c>
      <c r="K628" t="str">
        <f>DEC2HEX(_xlfn.BITAND(HEX2DEC(MID('paste from garc here'!$C$1,1+(('table for research'!$B628-1)*36+HEX2DEC(8))*2,2)),31),2)</f>
        <v>00</v>
      </c>
      <c r="L628" t="str">
        <f>DEC2HEX(_xlfn.BITAND(HEX2DEC(MID('paste from garc here'!$C$1,1+(('table for research'!$B628-1)*36+HEX2DEC(8))*2,2)),32),2)</f>
        <v>00</v>
      </c>
      <c r="M628" t="str">
        <f>DEC2HEX(_xlfn.BITAND(HEX2DEC(MID('paste from garc here'!$C$1,1+(('table for research'!$B628-1)*36+HEX2DEC(8))*2,2)),64),2)</f>
        <v>00</v>
      </c>
      <c r="N628" t="str">
        <f>DEC2HEX(_xlfn.BITRSHIFT(_xlfn.BITAND(HEX2DEC(MID('paste from garc here'!$C$1,1+(('table for research'!$B628-1)*36+HEX2DEC(9))*2,2)&amp;MID('paste from garc here'!$C$1,1+(('table for research'!$B628-1)*36+HEX2DEC(8))*2,2)),1920),7),2)</f>
        <v>00</v>
      </c>
      <c r="O628" t="str">
        <f>DEC2HEX(_xlfn.BITRSHIFT(HEX2DEC(MID('paste from garc here'!$C$1,1+(('table for research'!$B628-1)*36+HEX2DEC(9))*2,2)&amp;MID('paste from garc here'!$C$1,1+(('table for research'!$B628-1)*36+HEX2DEC(8))*2,2)),11),2)</f>
        <v>00</v>
      </c>
      <c r="P628" t="str">
        <f>MID('paste from garc here'!$C$2,1+(('table for research'!$B628-456)*36+HEX2DEC('table for research'!P$1))*2,2)</f>
        <v>00</v>
      </c>
      <c r="Q628" t="str">
        <f>MID('paste from garc here'!$C$2,1+(('table for research'!$B628-456)*36+HEX2DEC('table for research'!Q$1))*2,2)</f>
        <v>00</v>
      </c>
      <c r="R628" t="str">
        <f>MID('paste from garc here'!$C$2,1+(('table for research'!$B628-456)*36+HEX2DEC('table for research'!R$1))*2,2)</f>
        <v>00</v>
      </c>
      <c r="S628" t="str">
        <f>MID('paste from garc here'!$C$2,1+(('table for research'!$B628-456)*36+HEX2DEC('table for research'!S$1))*2,2)</f>
        <v>08</v>
      </c>
      <c r="T628" t="str">
        <f>MID('paste from garc here'!$C$2,1+(('table for research'!$B628-456)*36+HEX2DEC('table for research'!T$1))*2,2)</f>
        <v>00</v>
      </c>
      <c r="U628" t="str">
        <f>MID('paste from garc here'!$C$2,1+(('table for research'!$B628-456)*36+HEX2DEC('table for research'!U$1))*2,2)</f>
        <v>FF</v>
      </c>
      <c r="V628" t="str">
        <f>MID('paste from garc here'!$C$2,1+(('table for research'!$B628-456)*36+HEX2DEC('table for research'!V$1))*2,2)</f>
        <v>00</v>
      </c>
      <c r="W628" t="str">
        <f>MID('paste from garc here'!$C$2,1+(('table for research'!$B628-456)*36+HEX2DEC('table for research'!W$1))*2,2)</f>
        <v>00</v>
      </c>
      <c r="X628" t="str">
        <f>MID('paste from garc here'!$C$2,1+(('table for research'!$B628-456)*36+HEX2DEC('table for research'!X$1))*2,2)</f>
        <v>00</v>
      </c>
      <c r="Y628" t="str">
        <f>MID('paste from garc here'!$C$2,1+(('table for research'!$B628-456)*36+HEX2DEC('table for research'!Y$1))*2,2)</f>
        <v>00</v>
      </c>
      <c r="Z628" t="str">
        <f>MID('paste from garc here'!$C$2,1+(('table for research'!$B628-456)*36+HEX2DEC('table for research'!Z$1))*2,2)</f>
        <v>00</v>
      </c>
      <c r="AA628" t="str">
        <f>MID('paste from garc here'!$C$2,1+(('table for research'!$B628-456)*36+HEX2DEC('table for research'!AA$1))*2,2)</f>
        <v>00</v>
      </c>
      <c r="AB628" t="str">
        <f>MID('paste from garc here'!$C$2,1+(('table for research'!$B628-456)*36+HEX2DEC('table for research'!AB$1))*2,2)</f>
        <v>00</v>
      </c>
      <c r="AC628" t="str">
        <f>MID('paste from garc here'!$C$2,1+(('table for research'!$B628-456)*36+HEX2DEC('table for research'!AC$1))*2,2)</f>
        <v>00</v>
      </c>
      <c r="AD628" t="str">
        <f>MID('paste from garc here'!$C$2,1+(('table for research'!$B628-456)*36+HEX2DEC('table for research'!AD$1))*2,2)</f>
        <v>00</v>
      </c>
      <c r="AE628" t="str">
        <f>MID('paste from garc here'!$C$2,1+(('table for research'!$B628-456)*36+HEX2DEC('table for research'!AE$1))*2,2)</f>
        <v>00</v>
      </c>
      <c r="AF628" t="str">
        <f>MID('paste from garc here'!$C$2,1+(('table for research'!$B628-456)*36+HEX2DEC('table for research'!AF$1))*2,2)</f>
        <v>00</v>
      </c>
      <c r="AG628" t="str">
        <f>MID('paste from garc here'!$C$2,1+(('table for research'!$B628-456)*36+HEX2DEC('table for research'!AG$1))*2,2)</f>
        <v>00</v>
      </c>
      <c r="AH628" t="str">
        <f>MID('paste from garc here'!$C$2,1+(('table for research'!$B628-456)*36+HEX2DEC('table for research'!AH$1))*2,2)</f>
        <v>00</v>
      </c>
      <c r="AI628" t="str">
        <f>MID('paste from garc here'!$C$2,1+(('table for research'!$B628-456)*36+HEX2DEC('table for research'!AI$1))*2,2)</f>
        <v>00</v>
      </c>
      <c r="AJ628" t="str">
        <f>MID('paste from garc here'!$C$2,1+(('table for research'!$B628-456)*36+HEX2DEC('table for research'!AJ$1))*2,2)</f>
        <v>00</v>
      </c>
      <c r="AK628" t="str">
        <f>MID('paste from garc here'!$C$2,1+(('table for research'!$B628-456)*36+HEX2DEC('table for research'!AK$1))*2,2)</f>
        <v>00</v>
      </c>
      <c r="AL628" t="str">
        <f>MID('paste from garc here'!$C$2,1+(('table for research'!$B628-456)*36+HEX2DEC('table for research'!AL$1))*2,2)</f>
        <v>00</v>
      </c>
      <c r="AM628" t="str">
        <f>MID('paste from garc here'!$C$2,1+(('table for research'!$B628-456)*36+HEX2DEC('table for research'!AM$1))*2,2)</f>
        <v>00</v>
      </c>
      <c r="AN628" t="str">
        <f>MID('paste from garc here'!$C$2,1+(('table for research'!$B628-456)*36+HEX2DEC('table for research'!AN$1))*2,2)</f>
        <v>00</v>
      </c>
      <c r="AO628" t="str">
        <f>MID('paste from garc here'!$C$2,1+(('table for research'!$B628-456)*36+HEX2DEC('table for research'!AO$1))*2,2)</f>
        <v>00</v>
      </c>
    </row>
    <row r="629" spans="1:41" x14ac:dyDescent="0.4">
      <c r="A629" t="s">
        <v>630</v>
      </c>
      <c r="B629">
        <f>B628+1</f>
        <v>627</v>
      </c>
      <c r="C629" t="str">
        <f>MID('paste from garc here'!$C$2,1+(('table for research'!$B629-456)*36+HEX2DEC('table for research'!C$1))*2,2)</f>
        <v>00</v>
      </c>
      <c r="D629" t="str">
        <f>MID('paste from garc here'!$C$2,1+(('table for research'!$B629-456)*36+HEX2DEC('table for research'!D$1))*2,2)</f>
        <v>00</v>
      </c>
      <c r="E629" t="str">
        <f>MID('paste from garc here'!$C$2,1+(('table for research'!$B629-456)*36+HEX2DEC('table for research'!E$1))*2,2)</f>
        <v>00</v>
      </c>
      <c r="F629" t="str">
        <f>MID('paste from garc here'!$C$2,1+(('table for research'!$B629-456)*36+HEX2DEC('table for research'!F$1))*2,2)</f>
        <v>00</v>
      </c>
      <c r="G629" t="str">
        <f>MID('paste from garc here'!$C$2,1+(('table for research'!$B629-456)*36+HEX2DEC('table for research'!G$1))*2,2)</f>
        <v>00</v>
      </c>
      <c r="H629" t="str">
        <f>MID('paste from garc here'!$C$2,1+(('table for research'!$B629-456)*36+HEX2DEC('table for research'!H$1))*2,2)</f>
        <v>00</v>
      </c>
      <c r="I629" t="str">
        <f>MID('paste from garc here'!$C$2,1+(('table for research'!$B629-456)*36+HEX2DEC('table for research'!I$1))*2,2)</f>
        <v>00</v>
      </c>
      <c r="J629" t="str">
        <f>MID('paste from garc here'!$C$2,1+(('table for research'!$B629-456)*36+HEX2DEC('table for research'!J$1))*2,2)</f>
        <v>00</v>
      </c>
      <c r="K629" t="str">
        <f>DEC2HEX(_xlfn.BITAND(HEX2DEC(MID('paste from garc here'!$C$1,1+(('table for research'!$B629-1)*36+HEX2DEC(8))*2,2)),31),2)</f>
        <v>00</v>
      </c>
      <c r="L629" t="str">
        <f>DEC2HEX(_xlfn.BITAND(HEX2DEC(MID('paste from garc here'!$C$1,1+(('table for research'!$B629-1)*36+HEX2DEC(8))*2,2)),32),2)</f>
        <v>00</v>
      </c>
      <c r="M629" t="str">
        <f>DEC2HEX(_xlfn.BITAND(HEX2DEC(MID('paste from garc here'!$C$1,1+(('table for research'!$B629-1)*36+HEX2DEC(8))*2,2)),64),2)</f>
        <v>00</v>
      </c>
      <c r="N629" t="str">
        <f>DEC2HEX(_xlfn.BITRSHIFT(_xlfn.BITAND(HEX2DEC(MID('paste from garc here'!$C$1,1+(('table for research'!$B629-1)*36+HEX2DEC(9))*2,2)&amp;MID('paste from garc here'!$C$1,1+(('table for research'!$B629-1)*36+HEX2DEC(8))*2,2)),1920),7),2)</f>
        <v>00</v>
      </c>
      <c r="O629" t="str">
        <f>DEC2HEX(_xlfn.BITRSHIFT(HEX2DEC(MID('paste from garc here'!$C$1,1+(('table for research'!$B629-1)*36+HEX2DEC(9))*2,2)&amp;MID('paste from garc here'!$C$1,1+(('table for research'!$B629-1)*36+HEX2DEC(8))*2,2)),11),2)</f>
        <v>00</v>
      </c>
      <c r="P629" t="str">
        <f>MID('paste from garc here'!$C$2,1+(('table for research'!$B629-456)*36+HEX2DEC('table for research'!P$1))*2,2)</f>
        <v>00</v>
      </c>
      <c r="Q629" t="str">
        <f>MID('paste from garc here'!$C$2,1+(('table for research'!$B629-456)*36+HEX2DEC('table for research'!Q$1))*2,2)</f>
        <v>00</v>
      </c>
      <c r="R629" t="str">
        <f>MID('paste from garc here'!$C$2,1+(('table for research'!$B629-456)*36+HEX2DEC('table for research'!R$1))*2,2)</f>
        <v>00</v>
      </c>
      <c r="S629" t="str">
        <f>MID('paste from garc here'!$C$2,1+(('table for research'!$B629-456)*36+HEX2DEC('table for research'!S$1))*2,2)</f>
        <v>08</v>
      </c>
      <c r="T629" t="str">
        <f>MID('paste from garc here'!$C$2,1+(('table for research'!$B629-456)*36+HEX2DEC('table for research'!T$1))*2,2)</f>
        <v>00</v>
      </c>
      <c r="U629" t="str">
        <f>MID('paste from garc here'!$C$2,1+(('table for research'!$B629-456)*36+HEX2DEC('table for research'!U$1))*2,2)</f>
        <v>FF</v>
      </c>
      <c r="V629" t="str">
        <f>MID('paste from garc here'!$C$2,1+(('table for research'!$B629-456)*36+HEX2DEC('table for research'!V$1))*2,2)</f>
        <v>00</v>
      </c>
      <c r="W629" t="str">
        <f>MID('paste from garc here'!$C$2,1+(('table for research'!$B629-456)*36+HEX2DEC('table for research'!W$1))*2,2)</f>
        <v>00</v>
      </c>
      <c r="X629" t="str">
        <f>MID('paste from garc here'!$C$2,1+(('table for research'!$B629-456)*36+HEX2DEC('table for research'!X$1))*2,2)</f>
        <v>00</v>
      </c>
      <c r="Y629" t="str">
        <f>MID('paste from garc here'!$C$2,1+(('table for research'!$B629-456)*36+HEX2DEC('table for research'!Y$1))*2,2)</f>
        <v>00</v>
      </c>
      <c r="Z629" t="str">
        <f>MID('paste from garc here'!$C$2,1+(('table for research'!$B629-456)*36+HEX2DEC('table for research'!Z$1))*2,2)</f>
        <v>00</v>
      </c>
      <c r="AA629" t="str">
        <f>MID('paste from garc here'!$C$2,1+(('table for research'!$B629-456)*36+HEX2DEC('table for research'!AA$1))*2,2)</f>
        <v>00</v>
      </c>
      <c r="AB629" t="str">
        <f>MID('paste from garc here'!$C$2,1+(('table for research'!$B629-456)*36+HEX2DEC('table for research'!AB$1))*2,2)</f>
        <v>00</v>
      </c>
      <c r="AC629" t="str">
        <f>MID('paste from garc here'!$C$2,1+(('table for research'!$B629-456)*36+HEX2DEC('table for research'!AC$1))*2,2)</f>
        <v>00</v>
      </c>
      <c r="AD629" t="str">
        <f>MID('paste from garc here'!$C$2,1+(('table for research'!$B629-456)*36+HEX2DEC('table for research'!AD$1))*2,2)</f>
        <v>00</v>
      </c>
      <c r="AE629" t="str">
        <f>MID('paste from garc here'!$C$2,1+(('table for research'!$B629-456)*36+HEX2DEC('table for research'!AE$1))*2,2)</f>
        <v>00</v>
      </c>
      <c r="AF629" t="str">
        <f>MID('paste from garc here'!$C$2,1+(('table for research'!$B629-456)*36+HEX2DEC('table for research'!AF$1))*2,2)</f>
        <v>00</v>
      </c>
      <c r="AG629" t="str">
        <f>MID('paste from garc here'!$C$2,1+(('table for research'!$B629-456)*36+HEX2DEC('table for research'!AG$1))*2,2)</f>
        <v>00</v>
      </c>
      <c r="AH629" t="str">
        <f>MID('paste from garc here'!$C$2,1+(('table for research'!$B629-456)*36+HEX2DEC('table for research'!AH$1))*2,2)</f>
        <v>00</v>
      </c>
      <c r="AI629" t="str">
        <f>MID('paste from garc here'!$C$2,1+(('table for research'!$B629-456)*36+HEX2DEC('table for research'!AI$1))*2,2)</f>
        <v>00</v>
      </c>
      <c r="AJ629" t="str">
        <f>MID('paste from garc here'!$C$2,1+(('table for research'!$B629-456)*36+HEX2DEC('table for research'!AJ$1))*2,2)</f>
        <v>00</v>
      </c>
      <c r="AK629" t="str">
        <f>MID('paste from garc here'!$C$2,1+(('table for research'!$B629-456)*36+HEX2DEC('table for research'!AK$1))*2,2)</f>
        <v>00</v>
      </c>
      <c r="AL629" t="str">
        <f>MID('paste from garc here'!$C$2,1+(('table for research'!$B629-456)*36+HEX2DEC('table for research'!AL$1))*2,2)</f>
        <v>00</v>
      </c>
      <c r="AM629" t="str">
        <f>MID('paste from garc here'!$C$2,1+(('table for research'!$B629-456)*36+HEX2DEC('table for research'!AM$1))*2,2)</f>
        <v>00</v>
      </c>
      <c r="AN629" t="str">
        <f>MID('paste from garc here'!$C$2,1+(('table for research'!$B629-456)*36+HEX2DEC('table for research'!AN$1))*2,2)</f>
        <v>00</v>
      </c>
      <c r="AO629" t="str">
        <f>MID('paste from garc here'!$C$2,1+(('table for research'!$B629-456)*36+HEX2DEC('table for research'!AO$1))*2,2)</f>
        <v>00</v>
      </c>
    </row>
    <row r="630" spans="1:41" x14ac:dyDescent="0.4">
      <c r="A630" t="s">
        <v>631</v>
      </c>
      <c r="B630">
        <f>B629+1</f>
        <v>628</v>
      </c>
      <c r="C630" t="str">
        <f>MID('paste from garc here'!$C$2,1+(('table for research'!$B630-456)*36+HEX2DEC('table for research'!C$1))*2,2)</f>
        <v>00</v>
      </c>
      <c r="D630" t="str">
        <f>MID('paste from garc here'!$C$2,1+(('table for research'!$B630-456)*36+HEX2DEC('table for research'!D$1))*2,2)</f>
        <v>00</v>
      </c>
      <c r="E630" t="str">
        <f>MID('paste from garc here'!$C$2,1+(('table for research'!$B630-456)*36+HEX2DEC('table for research'!E$1))*2,2)</f>
        <v>00</v>
      </c>
      <c r="F630" t="str">
        <f>MID('paste from garc here'!$C$2,1+(('table for research'!$B630-456)*36+HEX2DEC('table for research'!F$1))*2,2)</f>
        <v>00</v>
      </c>
      <c r="G630" t="str">
        <f>MID('paste from garc here'!$C$2,1+(('table for research'!$B630-456)*36+HEX2DEC('table for research'!G$1))*2,2)</f>
        <v>00</v>
      </c>
      <c r="H630" t="str">
        <f>MID('paste from garc here'!$C$2,1+(('table for research'!$B630-456)*36+HEX2DEC('table for research'!H$1))*2,2)</f>
        <v>00</v>
      </c>
      <c r="I630" t="str">
        <f>MID('paste from garc here'!$C$2,1+(('table for research'!$B630-456)*36+HEX2DEC('table for research'!I$1))*2,2)</f>
        <v>00</v>
      </c>
      <c r="J630" t="str">
        <f>MID('paste from garc here'!$C$2,1+(('table for research'!$B630-456)*36+HEX2DEC('table for research'!J$1))*2,2)</f>
        <v>00</v>
      </c>
      <c r="K630" t="str">
        <f>DEC2HEX(_xlfn.BITAND(HEX2DEC(MID('paste from garc here'!$C$1,1+(('table for research'!$B630-1)*36+HEX2DEC(8))*2,2)),31),2)</f>
        <v>00</v>
      </c>
      <c r="L630" t="str">
        <f>DEC2HEX(_xlfn.BITAND(HEX2DEC(MID('paste from garc here'!$C$1,1+(('table for research'!$B630-1)*36+HEX2DEC(8))*2,2)),32),2)</f>
        <v>00</v>
      </c>
      <c r="M630" t="str">
        <f>DEC2HEX(_xlfn.BITAND(HEX2DEC(MID('paste from garc here'!$C$1,1+(('table for research'!$B630-1)*36+HEX2DEC(8))*2,2)),64),2)</f>
        <v>00</v>
      </c>
      <c r="N630" t="str">
        <f>DEC2HEX(_xlfn.BITRSHIFT(_xlfn.BITAND(HEX2DEC(MID('paste from garc here'!$C$1,1+(('table for research'!$B630-1)*36+HEX2DEC(9))*2,2)&amp;MID('paste from garc here'!$C$1,1+(('table for research'!$B630-1)*36+HEX2DEC(8))*2,2)),1920),7),2)</f>
        <v>00</v>
      </c>
      <c r="O630" t="str">
        <f>DEC2HEX(_xlfn.BITRSHIFT(HEX2DEC(MID('paste from garc here'!$C$1,1+(('table for research'!$B630-1)*36+HEX2DEC(9))*2,2)&amp;MID('paste from garc here'!$C$1,1+(('table for research'!$B630-1)*36+HEX2DEC(8))*2,2)),11),2)</f>
        <v>00</v>
      </c>
      <c r="P630" t="str">
        <f>MID('paste from garc here'!$C$2,1+(('table for research'!$B630-456)*36+HEX2DEC('table for research'!P$1))*2,2)</f>
        <v>11</v>
      </c>
      <c r="Q630" t="str">
        <f>MID('paste from garc here'!$C$2,1+(('table for research'!$B630-456)*36+HEX2DEC('table for research'!Q$1))*2,2)</f>
        <v>00</v>
      </c>
      <c r="R630" t="str">
        <f>MID('paste from garc here'!$C$2,1+(('table for research'!$B630-456)*36+HEX2DEC('table for research'!R$1))*2,2)</f>
        <v>00</v>
      </c>
      <c r="S630" t="str">
        <f>MID('paste from garc here'!$C$2,1+(('table for research'!$B630-456)*36+HEX2DEC('table for research'!S$1))*2,2)</f>
        <v>08</v>
      </c>
      <c r="T630" t="str">
        <f>MID('paste from garc here'!$C$2,1+(('table for research'!$B630-456)*36+HEX2DEC('table for research'!T$1))*2,2)</f>
        <v>00</v>
      </c>
      <c r="U630" t="str">
        <f>MID('paste from garc here'!$C$2,1+(('table for research'!$B630-456)*36+HEX2DEC('table for research'!U$1))*2,2)</f>
        <v>28</v>
      </c>
      <c r="V630" t="str">
        <f>MID('paste from garc here'!$C$2,1+(('table for research'!$B630-456)*36+HEX2DEC('table for research'!V$1))*2,2)</f>
        <v>00</v>
      </c>
      <c r="W630" t="str">
        <f>MID('paste from garc here'!$C$2,1+(('table for research'!$B630-456)*36+HEX2DEC('table for research'!W$1))*2,2)</f>
        <v>00</v>
      </c>
      <c r="X630" t="str">
        <f>MID('paste from garc here'!$C$2,1+(('table for research'!$B630-456)*36+HEX2DEC('table for research'!X$1))*2,2)</f>
        <v>00</v>
      </c>
      <c r="Y630" t="str">
        <f>MID('paste from garc here'!$C$2,1+(('table for research'!$B630-456)*36+HEX2DEC('table for research'!Y$1))*2,2)</f>
        <v>00</v>
      </c>
      <c r="Z630" t="str">
        <f>MID('paste from garc here'!$C$2,1+(('table for research'!$B630-456)*36+HEX2DEC('table for research'!Z$1))*2,2)</f>
        <v>00</v>
      </c>
      <c r="AA630" t="str">
        <f>MID('paste from garc here'!$C$2,1+(('table for research'!$B630-456)*36+HEX2DEC('table for research'!AA$1))*2,2)</f>
        <v>00</v>
      </c>
      <c r="AB630" t="str">
        <f>MID('paste from garc here'!$C$2,1+(('table for research'!$B630-456)*36+HEX2DEC('table for research'!AB$1))*2,2)</f>
        <v>00</v>
      </c>
      <c r="AC630" t="str">
        <f>MID('paste from garc here'!$C$2,1+(('table for research'!$B630-456)*36+HEX2DEC('table for research'!AC$1))*2,2)</f>
        <v>00</v>
      </c>
      <c r="AD630" t="str">
        <f>MID('paste from garc here'!$C$2,1+(('table for research'!$B630-456)*36+HEX2DEC('table for research'!AD$1))*2,2)</f>
        <v>00</v>
      </c>
      <c r="AE630" t="str">
        <f>MID('paste from garc here'!$C$2,1+(('table for research'!$B630-456)*36+HEX2DEC('table for research'!AE$1))*2,2)</f>
        <v>00</v>
      </c>
      <c r="AF630" t="str">
        <f>MID('paste from garc here'!$C$2,1+(('table for research'!$B630-456)*36+HEX2DEC('table for research'!AF$1))*2,2)</f>
        <v>00</v>
      </c>
      <c r="AG630" t="str">
        <f>MID('paste from garc here'!$C$2,1+(('table for research'!$B630-456)*36+HEX2DEC('table for research'!AG$1))*2,2)</f>
        <v>00</v>
      </c>
      <c r="AH630" t="str">
        <f>MID('paste from garc here'!$C$2,1+(('table for research'!$B630-456)*36+HEX2DEC('table for research'!AH$1))*2,2)</f>
        <v>00</v>
      </c>
      <c r="AI630" t="str">
        <f>MID('paste from garc here'!$C$2,1+(('table for research'!$B630-456)*36+HEX2DEC('table for research'!AI$1))*2,2)</f>
        <v>00</v>
      </c>
      <c r="AJ630" t="str">
        <f>MID('paste from garc here'!$C$2,1+(('table for research'!$B630-456)*36+HEX2DEC('table for research'!AJ$1))*2,2)</f>
        <v>00</v>
      </c>
      <c r="AK630" t="str">
        <f>MID('paste from garc here'!$C$2,1+(('table for research'!$B630-456)*36+HEX2DEC('table for research'!AK$1))*2,2)</f>
        <v>00</v>
      </c>
      <c r="AL630" t="str">
        <f>MID('paste from garc here'!$C$2,1+(('table for research'!$B630-456)*36+HEX2DEC('table for research'!AL$1))*2,2)</f>
        <v>00</v>
      </c>
      <c r="AM630" t="str">
        <f>MID('paste from garc here'!$C$2,1+(('table for research'!$B630-456)*36+HEX2DEC('table for research'!AM$1))*2,2)</f>
        <v>00</v>
      </c>
      <c r="AN630" t="str">
        <f>MID('paste from garc here'!$C$2,1+(('table for research'!$B630-456)*36+HEX2DEC('table for research'!AN$1))*2,2)</f>
        <v>00</v>
      </c>
      <c r="AO630" t="str">
        <f>MID('paste from garc here'!$C$2,1+(('table for research'!$B630-456)*36+HEX2DEC('table for research'!AO$1))*2,2)</f>
        <v>00</v>
      </c>
    </row>
    <row r="631" spans="1:41" x14ac:dyDescent="0.4">
      <c r="A631" t="s">
        <v>631</v>
      </c>
      <c r="B631">
        <f>B630+1</f>
        <v>629</v>
      </c>
      <c r="C631" t="str">
        <f>MID('paste from garc here'!$C$2,1+(('table for research'!$B631-456)*36+HEX2DEC('table for research'!C$1))*2,2)</f>
        <v>00</v>
      </c>
      <c r="D631" t="str">
        <f>MID('paste from garc here'!$C$2,1+(('table for research'!$B631-456)*36+HEX2DEC('table for research'!D$1))*2,2)</f>
        <v>00</v>
      </c>
      <c r="E631" t="str">
        <f>MID('paste from garc here'!$C$2,1+(('table for research'!$B631-456)*36+HEX2DEC('table for research'!E$1))*2,2)</f>
        <v>00</v>
      </c>
      <c r="F631" t="str">
        <f>MID('paste from garc here'!$C$2,1+(('table for research'!$B631-456)*36+HEX2DEC('table for research'!F$1))*2,2)</f>
        <v>00</v>
      </c>
      <c r="G631" t="str">
        <f>MID('paste from garc here'!$C$2,1+(('table for research'!$B631-456)*36+HEX2DEC('table for research'!G$1))*2,2)</f>
        <v>00</v>
      </c>
      <c r="H631" t="str">
        <f>MID('paste from garc here'!$C$2,1+(('table for research'!$B631-456)*36+HEX2DEC('table for research'!H$1))*2,2)</f>
        <v>00</v>
      </c>
      <c r="I631" t="str">
        <f>MID('paste from garc here'!$C$2,1+(('table for research'!$B631-456)*36+HEX2DEC('table for research'!I$1))*2,2)</f>
        <v>00</v>
      </c>
      <c r="J631" t="str">
        <f>MID('paste from garc here'!$C$2,1+(('table for research'!$B631-456)*36+HEX2DEC('table for research'!J$1))*2,2)</f>
        <v>00</v>
      </c>
      <c r="K631" t="str">
        <f>DEC2HEX(_xlfn.BITAND(HEX2DEC(MID('paste from garc here'!$C$1,1+(('table for research'!$B631-1)*36+HEX2DEC(8))*2,2)),31),2)</f>
        <v>00</v>
      </c>
      <c r="L631" t="str">
        <f>DEC2HEX(_xlfn.BITAND(HEX2DEC(MID('paste from garc here'!$C$1,1+(('table for research'!$B631-1)*36+HEX2DEC(8))*2,2)),32),2)</f>
        <v>00</v>
      </c>
      <c r="M631" t="str">
        <f>DEC2HEX(_xlfn.BITAND(HEX2DEC(MID('paste from garc here'!$C$1,1+(('table for research'!$B631-1)*36+HEX2DEC(8))*2,2)),64),2)</f>
        <v>00</v>
      </c>
      <c r="N631" t="str">
        <f>DEC2HEX(_xlfn.BITRSHIFT(_xlfn.BITAND(HEX2DEC(MID('paste from garc here'!$C$1,1+(('table for research'!$B631-1)*36+HEX2DEC(9))*2,2)&amp;MID('paste from garc here'!$C$1,1+(('table for research'!$B631-1)*36+HEX2DEC(8))*2,2)),1920),7),2)</f>
        <v>00</v>
      </c>
      <c r="O631" t="str">
        <f>DEC2HEX(_xlfn.BITRSHIFT(HEX2DEC(MID('paste from garc here'!$C$1,1+(('table for research'!$B631-1)*36+HEX2DEC(9))*2,2)&amp;MID('paste from garc here'!$C$1,1+(('table for research'!$B631-1)*36+HEX2DEC(8))*2,2)),11),2)</f>
        <v>00</v>
      </c>
      <c r="P631" t="str">
        <f>MID('paste from garc here'!$C$2,1+(('table for research'!$B631-456)*36+HEX2DEC('table for research'!P$1))*2,2)</f>
        <v>11</v>
      </c>
      <c r="Q631" t="str">
        <f>MID('paste from garc here'!$C$2,1+(('table for research'!$B631-456)*36+HEX2DEC('table for research'!Q$1))*2,2)</f>
        <v>00</v>
      </c>
      <c r="R631" t="str">
        <f>MID('paste from garc here'!$C$2,1+(('table for research'!$B631-456)*36+HEX2DEC('table for research'!R$1))*2,2)</f>
        <v>00</v>
      </c>
      <c r="S631" t="str">
        <f>MID('paste from garc here'!$C$2,1+(('table for research'!$B631-456)*36+HEX2DEC('table for research'!S$1))*2,2)</f>
        <v>08</v>
      </c>
      <c r="T631" t="str">
        <f>MID('paste from garc here'!$C$2,1+(('table for research'!$B631-456)*36+HEX2DEC('table for research'!T$1))*2,2)</f>
        <v>00</v>
      </c>
      <c r="U631" t="str">
        <f>MID('paste from garc here'!$C$2,1+(('table for research'!$B631-456)*36+HEX2DEC('table for research'!U$1))*2,2)</f>
        <v>29</v>
      </c>
      <c r="V631" t="str">
        <f>MID('paste from garc here'!$C$2,1+(('table for research'!$B631-456)*36+HEX2DEC('table for research'!V$1))*2,2)</f>
        <v>00</v>
      </c>
      <c r="W631" t="str">
        <f>MID('paste from garc here'!$C$2,1+(('table for research'!$B631-456)*36+HEX2DEC('table for research'!W$1))*2,2)</f>
        <v>00</v>
      </c>
      <c r="X631" t="str">
        <f>MID('paste from garc here'!$C$2,1+(('table for research'!$B631-456)*36+HEX2DEC('table for research'!X$1))*2,2)</f>
        <v>00</v>
      </c>
      <c r="Y631" t="str">
        <f>MID('paste from garc here'!$C$2,1+(('table for research'!$B631-456)*36+HEX2DEC('table for research'!Y$1))*2,2)</f>
        <v>00</v>
      </c>
      <c r="Z631" t="str">
        <f>MID('paste from garc here'!$C$2,1+(('table for research'!$B631-456)*36+HEX2DEC('table for research'!Z$1))*2,2)</f>
        <v>00</v>
      </c>
      <c r="AA631" t="str">
        <f>MID('paste from garc here'!$C$2,1+(('table for research'!$B631-456)*36+HEX2DEC('table for research'!AA$1))*2,2)</f>
        <v>00</v>
      </c>
      <c r="AB631" t="str">
        <f>MID('paste from garc here'!$C$2,1+(('table for research'!$B631-456)*36+HEX2DEC('table for research'!AB$1))*2,2)</f>
        <v>00</v>
      </c>
      <c r="AC631" t="str">
        <f>MID('paste from garc here'!$C$2,1+(('table for research'!$B631-456)*36+HEX2DEC('table for research'!AC$1))*2,2)</f>
        <v>00</v>
      </c>
      <c r="AD631" t="str">
        <f>MID('paste from garc here'!$C$2,1+(('table for research'!$B631-456)*36+HEX2DEC('table for research'!AD$1))*2,2)</f>
        <v>00</v>
      </c>
      <c r="AE631" t="str">
        <f>MID('paste from garc here'!$C$2,1+(('table for research'!$B631-456)*36+HEX2DEC('table for research'!AE$1))*2,2)</f>
        <v>00</v>
      </c>
      <c r="AF631" t="str">
        <f>MID('paste from garc here'!$C$2,1+(('table for research'!$B631-456)*36+HEX2DEC('table for research'!AF$1))*2,2)</f>
        <v>00</v>
      </c>
      <c r="AG631" t="str">
        <f>MID('paste from garc here'!$C$2,1+(('table for research'!$B631-456)*36+HEX2DEC('table for research'!AG$1))*2,2)</f>
        <v>00</v>
      </c>
      <c r="AH631" t="str">
        <f>MID('paste from garc here'!$C$2,1+(('table for research'!$B631-456)*36+HEX2DEC('table for research'!AH$1))*2,2)</f>
        <v>00</v>
      </c>
      <c r="AI631" t="str">
        <f>MID('paste from garc here'!$C$2,1+(('table for research'!$B631-456)*36+HEX2DEC('table for research'!AI$1))*2,2)</f>
        <v>00</v>
      </c>
      <c r="AJ631" t="str">
        <f>MID('paste from garc here'!$C$2,1+(('table for research'!$B631-456)*36+HEX2DEC('table for research'!AJ$1))*2,2)</f>
        <v>00</v>
      </c>
      <c r="AK631" t="str">
        <f>MID('paste from garc here'!$C$2,1+(('table for research'!$B631-456)*36+HEX2DEC('table for research'!AK$1))*2,2)</f>
        <v>00</v>
      </c>
      <c r="AL631" t="str">
        <f>MID('paste from garc here'!$C$2,1+(('table for research'!$B631-456)*36+HEX2DEC('table for research'!AL$1))*2,2)</f>
        <v>00</v>
      </c>
      <c r="AM631" t="str">
        <f>MID('paste from garc here'!$C$2,1+(('table for research'!$B631-456)*36+HEX2DEC('table for research'!AM$1))*2,2)</f>
        <v>00</v>
      </c>
      <c r="AN631" t="str">
        <f>MID('paste from garc here'!$C$2,1+(('table for research'!$B631-456)*36+HEX2DEC('table for research'!AN$1))*2,2)</f>
        <v>00</v>
      </c>
      <c r="AO631" t="str">
        <f>MID('paste from garc here'!$C$2,1+(('table for research'!$B631-456)*36+HEX2DEC('table for research'!AO$1))*2,2)</f>
        <v>00</v>
      </c>
    </row>
    <row r="632" spans="1:41" x14ac:dyDescent="0.4">
      <c r="A632" t="s">
        <v>632</v>
      </c>
      <c r="B632">
        <f>B631+1</f>
        <v>630</v>
      </c>
      <c r="C632" t="str">
        <f>MID('paste from garc here'!$C$2,1+(('table for research'!$B632-456)*36+HEX2DEC('table for research'!C$1))*2,2)</f>
        <v>00</v>
      </c>
      <c r="D632" t="str">
        <f>MID('paste from garc here'!$C$2,1+(('table for research'!$B632-456)*36+HEX2DEC('table for research'!D$1))*2,2)</f>
        <v>00</v>
      </c>
      <c r="E632" t="str">
        <f>MID('paste from garc here'!$C$2,1+(('table for research'!$B632-456)*36+HEX2DEC('table for research'!E$1))*2,2)</f>
        <v>00</v>
      </c>
      <c r="F632" t="str">
        <f>MID('paste from garc here'!$C$2,1+(('table for research'!$B632-456)*36+HEX2DEC('table for research'!F$1))*2,2)</f>
        <v>00</v>
      </c>
      <c r="G632" t="str">
        <f>MID('paste from garc here'!$C$2,1+(('table for research'!$B632-456)*36+HEX2DEC('table for research'!G$1))*2,2)</f>
        <v>00</v>
      </c>
      <c r="H632" t="str">
        <f>MID('paste from garc here'!$C$2,1+(('table for research'!$B632-456)*36+HEX2DEC('table for research'!H$1))*2,2)</f>
        <v>00</v>
      </c>
      <c r="I632" t="str">
        <f>MID('paste from garc here'!$C$2,1+(('table for research'!$B632-456)*36+HEX2DEC('table for research'!I$1))*2,2)</f>
        <v>00</v>
      </c>
      <c r="J632" t="str">
        <f>MID('paste from garc here'!$C$2,1+(('table for research'!$B632-456)*36+HEX2DEC('table for research'!J$1))*2,2)</f>
        <v>00</v>
      </c>
      <c r="K632" t="str">
        <f>DEC2HEX(_xlfn.BITAND(HEX2DEC(MID('paste from garc here'!$C$1,1+(('table for research'!$B632-1)*36+HEX2DEC(8))*2,2)),31),2)</f>
        <v>00</v>
      </c>
      <c r="L632" t="str">
        <f>DEC2HEX(_xlfn.BITAND(HEX2DEC(MID('paste from garc here'!$C$1,1+(('table for research'!$B632-1)*36+HEX2DEC(8))*2,2)),32),2)</f>
        <v>00</v>
      </c>
      <c r="M632" t="str">
        <f>DEC2HEX(_xlfn.BITAND(HEX2DEC(MID('paste from garc here'!$C$1,1+(('table for research'!$B632-1)*36+HEX2DEC(8))*2,2)),64),2)</f>
        <v>00</v>
      </c>
      <c r="N632" t="str">
        <f>DEC2HEX(_xlfn.BITRSHIFT(_xlfn.BITAND(HEX2DEC(MID('paste from garc here'!$C$1,1+(('table for research'!$B632-1)*36+HEX2DEC(9))*2,2)&amp;MID('paste from garc here'!$C$1,1+(('table for research'!$B632-1)*36+HEX2DEC(8))*2,2)),1920),7),2)</f>
        <v>00</v>
      </c>
      <c r="O632" t="str">
        <f>DEC2HEX(_xlfn.BITRSHIFT(HEX2DEC(MID('paste from garc here'!$C$1,1+(('table for research'!$B632-1)*36+HEX2DEC(9))*2,2)&amp;MID('paste from garc here'!$C$1,1+(('table for research'!$B632-1)*36+HEX2DEC(8))*2,2)),11),2)</f>
        <v>00</v>
      </c>
      <c r="P632" t="str">
        <f>MID('paste from garc here'!$C$2,1+(('table for research'!$B632-456)*36+HEX2DEC('table for research'!P$1))*2,2)</f>
        <v>00</v>
      </c>
      <c r="Q632" t="str">
        <f>MID('paste from garc here'!$C$2,1+(('table for research'!$B632-456)*36+HEX2DEC('table for research'!Q$1))*2,2)</f>
        <v>00</v>
      </c>
      <c r="R632" t="str">
        <f>MID('paste from garc here'!$C$2,1+(('table for research'!$B632-456)*36+HEX2DEC('table for research'!R$1))*2,2)</f>
        <v>00</v>
      </c>
      <c r="S632" t="str">
        <f>MID('paste from garc here'!$C$2,1+(('table for research'!$B632-456)*36+HEX2DEC('table for research'!S$1))*2,2)</f>
        <v>08</v>
      </c>
      <c r="T632" t="str">
        <f>MID('paste from garc here'!$C$2,1+(('table for research'!$B632-456)*36+HEX2DEC('table for research'!T$1))*2,2)</f>
        <v>00</v>
      </c>
      <c r="U632" t="str">
        <f>MID('paste from garc here'!$C$2,1+(('table for research'!$B632-456)*36+HEX2DEC('table for research'!U$1))*2,2)</f>
        <v>FF</v>
      </c>
      <c r="V632" t="str">
        <f>MID('paste from garc here'!$C$2,1+(('table for research'!$B632-456)*36+HEX2DEC('table for research'!V$1))*2,2)</f>
        <v>00</v>
      </c>
      <c r="W632" t="str">
        <f>MID('paste from garc here'!$C$2,1+(('table for research'!$B632-456)*36+HEX2DEC('table for research'!W$1))*2,2)</f>
        <v>00</v>
      </c>
      <c r="X632" t="str">
        <f>MID('paste from garc here'!$C$2,1+(('table for research'!$B632-456)*36+HEX2DEC('table for research'!X$1))*2,2)</f>
        <v>00</v>
      </c>
      <c r="Y632" t="str">
        <f>MID('paste from garc here'!$C$2,1+(('table for research'!$B632-456)*36+HEX2DEC('table for research'!Y$1))*2,2)</f>
        <v>00</v>
      </c>
      <c r="Z632" t="str">
        <f>MID('paste from garc here'!$C$2,1+(('table for research'!$B632-456)*36+HEX2DEC('table for research'!Z$1))*2,2)</f>
        <v>00</v>
      </c>
      <c r="AA632" t="str">
        <f>MID('paste from garc here'!$C$2,1+(('table for research'!$B632-456)*36+HEX2DEC('table for research'!AA$1))*2,2)</f>
        <v>00</v>
      </c>
      <c r="AB632" t="str">
        <f>MID('paste from garc here'!$C$2,1+(('table for research'!$B632-456)*36+HEX2DEC('table for research'!AB$1))*2,2)</f>
        <v>00</v>
      </c>
      <c r="AC632" t="str">
        <f>MID('paste from garc here'!$C$2,1+(('table for research'!$B632-456)*36+HEX2DEC('table for research'!AC$1))*2,2)</f>
        <v>00</v>
      </c>
      <c r="AD632" t="str">
        <f>MID('paste from garc here'!$C$2,1+(('table for research'!$B632-456)*36+HEX2DEC('table for research'!AD$1))*2,2)</f>
        <v>00</v>
      </c>
      <c r="AE632" t="str">
        <f>MID('paste from garc here'!$C$2,1+(('table for research'!$B632-456)*36+HEX2DEC('table for research'!AE$1))*2,2)</f>
        <v>00</v>
      </c>
      <c r="AF632" t="str">
        <f>MID('paste from garc here'!$C$2,1+(('table for research'!$B632-456)*36+HEX2DEC('table for research'!AF$1))*2,2)</f>
        <v>00</v>
      </c>
      <c r="AG632" t="str">
        <f>MID('paste from garc here'!$C$2,1+(('table for research'!$B632-456)*36+HEX2DEC('table for research'!AG$1))*2,2)</f>
        <v>00</v>
      </c>
      <c r="AH632" t="str">
        <f>MID('paste from garc here'!$C$2,1+(('table for research'!$B632-456)*36+HEX2DEC('table for research'!AH$1))*2,2)</f>
        <v>00</v>
      </c>
      <c r="AI632" t="str">
        <f>MID('paste from garc here'!$C$2,1+(('table for research'!$B632-456)*36+HEX2DEC('table for research'!AI$1))*2,2)</f>
        <v>00</v>
      </c>
      <c r="AJ632" t="str">
        <f>MID('paste from garc here'!$C$2,1+(('table for research'!$B632-456)*36+HEX2DEC('table for research'!AJ$1))*2,2)</f>
        <v>00</v>
      </c>
      <c r="AK632" t="str">
        <f>MID('paste from garc here'!$C$2,1+(('table for research'!$B632-456)*36+HEX2DEC('table for research'!AK$1))*2,2)</f>
        <v>00</v>
      </c>
      <c r="AL632" t="str">
        <f>MID('paste from garc here'!$C$2,1+(('table for research'!$B632-456)*36+HEX2DEC('table for research'!AL$1))*2,2)</f>
        <v>00</v>
      </c>
      <c r="AM632" t="str">
        <f>MID('paste from garc here'!$C$2,1+(('table for research'!$B632-456)*36+HEX2DEC('table for research'!AM$1))*2,2)</f>
        <v>00</v>
      </c>
      <c r="AN632" t="str">
        <f>MID('paste from garc here'!$C$2,1+(('table for research'!$B632-456)*36+HEX2DEC('table for research'!AN$1))*2,2)</f>
        <v>00</v>
      </c>
      <c r="AO632" t="str">
        <f>MID('paste from garc here'!$C$2,1+(('table for research'!$B632-456)*36+HEX2DEC('table for research'!AO$1))*2,2)</f>
        <v>00</v>
      </c>
    </row>
    <row r="633" spans="1:41" x14ac:dyDescent="0.4">
      <c r="A633" t="s">
        <v>633</v>
      </c>
      <c r="B633">
        <f>B632+1</f>
        <v>631</v>
      </c>
      <c r="C633" t="str">
        <f>MID('paste from garc here'!$C$2,1+(('table for research'!$B633-456)*36+HEX2DEC('table for research'!C$1))*2,2)</f>
        <v>00</v>
      </c>
      <c r="D633" t="str">
        <f>MID('paste from garc here'!$C$2,1+(('table for research'!$B633-456)*36+HEX2DEC('table for research'!D$1))*2,2)</f>
        <v>00</v>
      </c>
      <c r="E633" t="str">
        <f>MID('paste from garc here'!$C$2,1+(('table for research'!$B633-456)*36+HEX2DEC('table for research'!E$1))*2,2)</f>
        <v>00</v>
      </c>
      <c r="F633" t="str">
        <f>MID('paste from garc here'!$C$2,1+(('table for research'!$B633-456)*36+HEX2DEC('table for research'!F$1))*2,2)</f>
        <v>00</v>
      </c>
      <c r="G633" t="str">
        <f>MID('paste from garc here'!$C$2,1+(('table for research'!$B633-456)*36+HEX2DEC('table for research'!G$1))*2,2)</f>
        <v>00</v>
      </c>
      <c r="H633" t="str">
        <f>MID('paste from garc here'!$C$2,1+(('table for research'!$B633-456)*36+HEX2DEC('table for research'!H$1))*2,2)</f>
        <v>00</v>
      </c>
      <c r="I633" t="str">
        <f>MID('paste from garc here'!$C$2,1+(('table for research'!$B633-456)*36+HEX2DEC('table for research'!I$1))*2,2)</f>
        <v>00</v>
      </c>
      <c r="J633" t="str">
        <f>MID('paste from garc here'!$C$2,1+(('table for research'!$B633-456)*36+HEX2DEC('table for research'!J$1))*2,2)</f>
        <v>00</v>
      </c>
      <c r="K633" t="str">
        <f>DEC2HEX(_xlfn.BITAND(HEX2DEC(MID('paste from garc here'!$C$1,1+(('table for research'!$B633-1)*36+HEX2DEC(8))*2,2)),31),2)</f>
        <v>00</v>
      </c>
      <c r="L633" t="str">
        <f>DEC2HEX(_xlfn.BITAND(HEX2DEC(MID('paste from garc here'!$C$1,1+(('table for research'!$B633-1)*36+HEX2DEC(8))*2,2)),32),2)</f>
        <v>00</v>
      </c>
      <c r="M633" t="str">
        <f>DEC2HEX(_xlfn.BITAND(HEX2DEC(MID('paste from garc here'!$C$1,1+(('table for research'!$B633-1)*36+HEX2DEC(8))*2,2)),64),2)</f>
        <v>00</v>
      </c>
      <c r="N633" t="str">
        <f>DEC2HEX(_xlfn.BITRSHIFT(_xlfn.BITAND(HEX2DEC(MID('paste from garc here'!$C$1,1+(('table for research'!$B633-1)*36+HEX2DEC(9))*2,2)&amp;MID('paste from garc here'!$C$1,1+(('table for research'!$B633-1)*36+HEX2DEC(8))*2,2)),1920),7),2)</f>
        <v>00</v>
      </c>
      <c r="O633" t="str">
        <f>DEC2HEX(_xlfn.BITRSHIFT(HEX2DEC(MID('paste from garc here'!$C$1,1+(('table for research'!$B633-1)*36+HEX2DEC(9))*2,2)&amp;MID('paste from garc here'!$C$1,1+(('table for research'!$B633-1)*36+HEX2DEC(8))*2,2)),11),2)</f>
        <v>00</v>
      </c>
      <c r="P633" t="str">
        <f>MID('paste from garc here'!$C$2,1+(('table for research'!$B633-456)*36+HEX2DEC('table for research'!P$1))*2,2)</f>
        <v>00</v>
      </c>
      <c r="Q633" t="str">
        <f>MID('paste from garc here'!$C$2,1+(('table for research'!$B633-456)*36+HEX2DEC('table for research'!Q$1))*2,2)</f>
        <v>00</v>
      </c>
      <c r="R633" t="str">
        <f>MID('paste from garc here'!$C$2,1+(('table for research'!$B633-456)*36+HEX2DEC('table for research'!R$1))*2,2)</f>
        <v>00</v>
      </c>
      <c r="S633" t="str">
        <f>MID('paste from garc here'!$C$2,1+(('table for research'!$B633-456)*36+HEX2DEC('table for research'!S$1))*2,2)</f>
        <v>08</v>
      </c>
      <c r="T633" t="str">
        <f>MID('paste from garc here'!$C$2,1+(('table for research'!$B633-456)*36+HEX2DEC('table for research'!T$1))*2,2)</f>
        <v>00</v>
      </c>
      <c r="U633" t="str">
        <f>MID('paste from garc here'!$C$2,1+(('table for research'!$B633-456)*36+HEX2DEC('table for research'!U$1))*2,2)</f>
        <v>FF</v>
      </c>
      <c r="V633" t="str">
        <f>MID('paste from garc here'!$C$2,1+(('table for research'!$B633-456)*36+HEX2DEC('table for research'!V$1))*2,2)</f>
        <v>00</v>
      </c>
      <c r="W633" t="str">
        <f>MID('paste from garc here'!$C$2,1+(('table for research'!$B633-456)*36+HEX2DEC('table for research'!W$1))*2,2)</f>
        <v>00</v>
      </c>
      <c r="X633" t="str">
        <f>MID('paste from garc here'!$C$2,1+(('table for research'!$B633-456)*36+HEX2DEC('table for research'!X$1))*2,2)</f>
        <v>00</v>
      </c>
      <c r="Y633" t="str">
        <f>MID('paste from garc here'!$C$2,1+(('table for research'!$B633-456)*36+HEX2DEC('table for research'!Y$1))*2,2)</f>
        <v>00</v>
      </c>
      <c r="Z633" t="str">
        <f>MID('paste from garc here'!$C$2,1+(('table for research'!$B633-456)*36+HEX2DEC('table for research'!Z$1))*2,2)</f>
        <v>00</v>
      </c>
      <c r="AA633" t="str">
        <f>MID('paste from garc here'!$C$2,1+(('table for research'!$B633-456)*36+HEX2DEC('table for research'!AA$1))*2,2)</f>
        <v>00</v>
      </c>
      <c r="AB633" t="str">
        <f>MID('paste from garc here'!$C$2,1+(('table for research'!$B633-456)*36+HEX2DEC('table for research'!AB$1))*2,2)</f>
        <v>00</v>
      </c>
      <c r="AC633" t="str">
        <f>MID('paste from garc here'!$C$2,1+(('table for research'!$B633-456)*36+HEX2DEC('table for research'!AC$1))*2,2)</f>
        <v>00</v>
      </c>
      <c r="AD633" t="str">
        <f>MID('paste from garc here'!$C$2,1+(('table for research'!$B633-456)*36+HEX2DEC('table for research'!AD$1))*2,2)</f>
        <v>00</v>
      </c>
      <c r="AE633" t="str">
        <f>MID('paste from garc here'!$C$2,1+(('table for research'!$B633-456)*36+HEX2DEC('table for research'!AE$1))*2,2)</f>
        <v>00</v>
      </c>
      <c r="AF633" t="str">
        <f>MID('paste from garc here'!$C$2,1+(('table for research'!$B633-456)*36+HEX2DEC('table for research'!AF$1))*2,2)</f>
        <v>00</v>
      </c>
      <c r="AG633" t="str">
        <f>MID('paste from garc here'!$C$2,1+(('table for research'!$B633-456)*36+HEX2DEC('table for research'!AG$1))*2,2)</f>
        <v>00</v>
      </c>
      <c r="AH633" t="str">
        <f>MID('paste from garc here'!$C$2,1+(('table for research'!$B633-456)*36+HEX2DEC('table for research'!AH$1))*2,2)</f>
        <v>00</v>
      </c>
      <c r="AI633" t="str">
        <f>MID('paste from garc here'!$C$2,1+(('table for research'!$B633-456)*36+HEX2DEC('table for research'!AI$1))*2,2)</f>
        <v>00</v>
      </c>
      <c r="AJ633" t="str">
        <f>MID('paste from garc here'!$C$2,1+(('table for research'!$B633-456)*36+HEX2DEC('table for research'!AJ$1))*2,2)</f>
        <v>00</v>
      </c>
      <c r="AK633" t="str">
        <f>MID('paste from garc here'!$C$2,1+(('table for research'!$B633-456)*36+HEX2DEC('table for research'!AK$1))*2,2)</f>
        <v>00</v>
      </c>
      <c r="AL633" t="str">
        <f>MID('paste from garc here'!$C$2,1+(('table for research'!$B633-456)*36+HEX2DEC('table for research'!AL$1))*2,2)</f>
        <v>00</v>
      </c>
      <c r="AM633" t="str">
        <f>MID('paste from garc here'!$C$2,1+(('table for research'!$B633-456)*36+HEX2DEC('table for research'!AM$1))*2,2)</f>
        <v>00</v>
      </c>
      <c r="AN633" t="str">
        <f>MID('paste from garc here'!$C$2,1+(('table for research'!$B633-456)*36+HEX2DEC('table for research'!AN$1))*2,2)</f>
        <v>00</v>
      </c>
      <c r="AO633" t="str">
        <f>MID('paste from garc here'!$C$2,1+(('table for research'!$B633-456)*36+HEX2DEC('table for research'!AO$1))*2,2)</f>
        <v>00</v>
      </c>
    </row>
    <row r="634" spans="1:41" x14ac:dyDescent="0.4">
      <c r="A634" t="s">
        <v>634</v>
      </c>
      <c r="B634">
        <f>B633+1</f>
        <v>632</v>
      </c>
      <c r="C634" t="str">
        <f>MID('paste from garc here'!$C$2,1+(('table for research'!$B634-456)*36+HEX2DEC('table for research'!C$1))*2,2)</f>
        <v>00</v>
      </c>
      <c r="D634" t="str">
        <f>MID('paste from garc here'!$C$2,1+(('table for research'!$B634-456)*36+HEX2DEC('table for research'!D$1))*2,2)</f>
        <v>00</v>
      </c>
      <c r="E634" t="str">
        <f>MID('paste from garc here'!$C$2,1+(('table for research'!$B634-456)*36+HEX2DEC('table for research'!E$1))*2,2)</f>
        <v>00</v>
      </c>
      <c r="F634" t="str">
        <f>MID('paste from garc here'!$C$2,1+(('table for research'!$B634-456)*36+HEX2DEC('table for research'!F$1))*2,2)</f>
        <v>00</v>
      </c>
      <c r="G634" t="str">
        <f>MID('paste from garc here'!$C$2,1+(('table for research'!$B634-456)*36+HEX2DEC('table for research'!G$1))*2,2)</f>
        <v>00</v>
      </c>
      <c r="H634" t="str">
        <f>MID('paste from garc here'!$C$2,1+(('table for research'!$B634-456)*36+HEX2DEC('table for research'!H$1))*2,2)</f>
        <v>00</v>
      </c>
      <c r="I634" t="str">
        <f>MID('paste from garc here'!$C$2,1+(('table for research'!$B634-456)*36+HEX2DEC('table for research'!I$1))*2,2)</f>
        <v>00</v>
      </c>
      <c r="J634" t="str">
        <f>MID('paste from garc here'!$C$2,1+(('table for research'!$B634-456)*36+HEX2DEC('table for research'!J$1))*2,2)</f>
        <v>00</v>
      </c>
      <c r="K634" t="str">
        <f>DEC2HEX(_xlfn.BITAND(HEX2DEC(MID('paste from garc here'!$C$1,1+(('table for research'!$B634-1)*36+HEX2DEC(8))*2,2)),31),2)</f>
        <v>00</v>
      </c>
      <c r="L634" t="str">
        <f>DEC2HEX(_xlfn.BITAND(HEX2DEC(MID('paste from garc here'!$C$1,1+(('table for research'!$B634-1)*36+HEX2DEC(8))*2,2)),32),2)</f>
        <v>00</v>
      </c>
      <c r="M634" t="str">
        <f>DEC2HEX(_xlfn.BITAND(HEX2DEC(MID('paste from garc here'!$C$1,1+(('table for research'!$B634-1)*36+HEX2DEC(8))*2,2)),64),2)</f>
        <v>00</v>
      </c>
      <c r="N634" t="str">
        <f>DEC2HEX(_xlfn.BITRSHIFT(_xlfn.BITAND(HEX2DEC(MID('paste from garc here'!$C$1,1+(('table for research'!$B634-1)*36+HEX2DEC(9))*2,2)&amp;MID('paste from garc here'!$C$1,1+(('table for research'!$B634-1)*36+HEX2DEC(8))*2,2)),1920),7),2)</f>
        <v>00</v>
      </c>
      <c r="O634" t="str">
        <f>DEC2HEX(_xlfn.BITRSHIFT(HEX2DEC(MID('paste from garc here'!$C$1,1+(('table for research'!$B634-1)*36+HEX2DEC(9))*2,2)&amp;MID('paste from garc here'!$C$1,1+(('table for research'!$B634-1)*36+HEX2DEC(8))*2,2)),11),2)</f>
        <v>00</v>
      </c>
      <c r="P634" t="str">
        <f>MID('paste from garc here'!$C$2,1+(('table for research'!$B634-456)*36+HEX2DEC('table for research'!P$1))*2,2)</f>
        <v>00</v>
      </c>
      <c r="Q634" t="str">
        <f>MID('paste from garc here'!$C$2,1+(('table for research'!$B634-456)*36+HEX2DEC('table for research'!Q$1))*2,2)</f>
        <v>00</v>
      </c>
      <c r="R634" t="str">
        <f>MID('paste from garc here'!$C$2,1+(('table for research'!$B634-456)*36+HEX2DEC('table for research'!R$1))*2,2)</f>
        <v>00</v>
      </c>
      <c r="S634" t="str">
        <f>MID('paste from garc here'!$C$2,1+(('table for research'!$B634-456)*36+HEX2DEC('table for research'!S$1))*2,2)</f>
        <v>08</v>
      </c>
      <c r="T634" t="str">
        <f>MID('paste from garc here'!$C$2,1+(('table for research'!$B634-456)*36+HEX2DEC('table for research'!T$1))*2,2)</f>
        <v>00</v>
      </c>
      <c r="U634" t="str">
        <f>MID('paste from garc here'!$C$2,1+(('table for research'!$B634-456)*36+HEX2DEC('table for research'!U$1))*2,2)</f>
        <v>FF</v>
      </c>
      <c r="V634" t="str">
        <f>MID('paste from garc here'!$C$2,1+(('table for research'!$B634-456)*36+HEX2DEC('table for research'!V$1))*2,2)</f>
        <v>00</v>
      </c>
      <c r="W634" t="str">
        <f>MID('paste from garc here'!$C$2,1+(('table for research'!$B634-456)*36+HEX2DEC('table for research'!W$1))*2,2)</f>
        <v>00</v>
      </c>
      <c r="X634" t="str">
        <f>MID('paste from garc here'!$C$2,1+(('table for research'!$B634-456)*36+HEX2DEC('table for research'!X$1))*2,2)</f>
        <v>00</v>
      </c>
      <c r="Y634" t="str">
        <f>MID('paste from garc here'!$C$2,1+(('table for research'!$B634-456)*36+HEX2DEC('table for research'!Y$1))*2,2)</f>
        <v>00</v>
      </c>
      <c r="Z634" t="str">
        <f>MID('paste from garc here'!$C$2,1+(('table for research'!$B634-456)*36+HEX2DEC('table for research'!Z$1))*2,2)</f>
        <v>00</v>
      </c>
      <c r="AA634" t="str">
        <f>MID('paste from garc here'!$C$2,1+(('table for research'!$B634-456)*36+HEX2DEC('table for research'!AA$1))*2,2)</f>
        <v>00</v>
      </c>
      <c r="AB634" t="str">
        <f>MID('paste from garc here'!$C$2,1+(('table for research'!$B634-456)*36+HEX2DEC('table for research'!AB$1))*2,2)</f>
        <v>00</v>
      </c>
      <c r="AC634" t="str">
        <f>MID('paste from garc here'!$C$2,1+(('table for research'!$B634-456)*36+HEX2DEC('table for research'!AC$1))*2,2)</f>
        <v>00</v>
      </c>
      <c r="AD634" t="str">
        <f>MID('paste from garc here'!$C$2,1+(('table for research'!$B634-456)*36+HEX2DEC('table for research'!AD$1))*2,2)</f>
        <v>00</v>
      </c>
      <c r="AE634" t="str">
        <f>MID('paste from garc here'!$C$2,1+(('table for research'!$B634-456)*36+HEX2DEC('table for research'!AE$1))*2,2)</f>
        <v>00</v>
      </c>
      <c r="AF634" t="str">
        <f>MID('paste from garc here'!$C$2,1+(('table for research'!$B634-456)*36+HEX2DEC('table for research'!AF$1))*2,2)</f>
        <v>00</v>
      </c>
      <c r="AG634" t="str">
        <f>MID('paste from garc here'!$C$2,1+(('table for research'!$B634-456)*36+HEX2DEC('table for research'!AG$1))*2,2)</f>
        <v>00</v>
      </c>
      <c r="AH634" t="str">
        <f>MID('paste from garc here'!$C$2,1+(('table for research'!$B634-456)*36+HEX2DEC('table for research'!AH$1))*2,2)</f>
        <v>00</v>
      </c>
      <c r="AI634" t="str">
        <f>MID('paste from garc here'!$C$2,1+(('table for research'!$B634-456)*36+HEX2DEC('table for research'!AI$1))*2,2)</f>
        <v>00</v>
      </c>
      <c r="AJ634" t="str">
        <f>MID('paste from garc here'!$C$2,1+(('table for research'!$B634-456)*36+HEX2DEC('table for research'!AJ$1))*2,2)</f>
        <v>00</v>
      </c>
      <c r="AK634" t="str">
        <f>MID('paste from garc here'!$C$2,1+(('table for research'!$B634-456)*36+HEX2DEC('table for research'!AK$1))*2,2)</f>
        <v>00</v>
      </c>
      <c r="AL634" t="str">
        <f>MID('paste from garc here'!$C$2,1+(('table for research'!$B634-456)*36+HEX2DEC('table for research'!AL$1))*2,2)</f>
        <v>00</v>
      </c>
      <c r="AM634" t="str">
        <f>MID('paste from garc here'!$C$2,1+(('table for research'!$B634-456)*36+HEX2DEC('table for research'!AM$1))*2,2)</f>
        <v>00</v>
      </c>
      <c r="AN634" t="str">
        <f>MID('paste from garc here'!$C$2,1+(('table for research'!$B634-456)*36+HEX2DEC('table for research'!AN$1))*2,2)</f>
        <v>00</v>
      </c>
      <c r="AO634" t="str">
        <f>MID('paste from garc here'!$C$2,1+(('table for research'!$B634-456)*36+HEX2DEC('table for research'!AO$1))*2,2)</f>
        <v>00</v>
      </c>
    </row>
    <row r="635" spans="1:41" x14ac:dyDescent="0.4">
      <c r="A635" t="s">
        <v>635</v>
      </c>
      <c r="B635">
        <f>B634+1</f>
        <v>633</v>
      </c>
      <c r="C635" t="str">
        <f>MID('paste from garc here'!$C$2,1+(('table for research'!$B635-456)*36+HEX2DEC('table for research'!C$1))*2,2)</f>
        <v>00</v>
      </c>
      <c r="D635" t="str">
        <f>MID('paste from garc here'!$C$2,1+(('table for research'!$B635-456)*36+HEX2DEC('table for research'!D$1))*2,2)</f>
        <v>00</v>
      </c>
      <c r="E635" t="str">
        <f>MID('paste from garc here'!$C$2,1+(('table for research'!$B635-456)*36+HEX2DEC('table for research'!E$1))*2,2)</f>
        <v>00</v>
      </c>
      <c r="F635" t="str">
        <f>MID('paste from garc here'!$C$2,1+(('table for research'!$B635-456)*36+HEX2DEC('table for research'!F$1))*2,2)</f>
        <v>00</v>
      </c>
      <c r="G635" t="str">
        <f>MID('paste from garc here'!$C$2,1+(('table for research'!$B635-456)*36+HEX2DEC('table for research'!G$1))*2,2)</f>
        <v>00</v>
      </c>
      <c r="H635" t="str">
        <f>MID('paste from garc here'!$C$2,1+(('table for research'!$B635-456)*36+HEX2DEC('table for research'!H$1))*2,2)</f>
        <v>00</v>
      </c>
      <c r="I635" t="str">
        <f>MID('paste from garc here'!$C$2,1+(('table for research'!$B635-456)*36+HEX2DEC('table for research'!I$1))*2,2)</f>
        <v>00</v>
      </c>
      <c r="J635" t="str">
        <f>MID('paste from garc here'!$C$2,1+(('table for research'!$B635-456)*36+HEX2DEC('table for research'!J$1))*2,2)</f>
        <v>00</v>
      </c>
      <c r="K635" t="str">
        <f>DEC2HEX(_xlfn.BITAND(HEX2DEC(MID('paste from garc here'!$C$1,1+(('table for research'!$B635-1)*36+HEX2DEC(8))*2,2)),31),2)</f>
        <v>00</v>
      </c>
      <c r="L635" t="str">
        <f>DEC2HEX(_xlfn.BITAND(HEX2DEC(MID('paste from garc here'!$C$1,1+(('table for research'!$B635-1)*36+HEX2DEC(8))*2,2)),32),2)</f>
        <v>00</v>
      </c>
      <c r="M635" t="str">
        <f>DEC2HEX(_xlfn.BITAND(HEX2DEC(MID('paste from garc here'!$C$1,1+(('table for research'!$B635-1)*36+HEX2DEC(8))*2,2)),64),2)</f>
        <v>00</v>
      </c>
      <c r="N635" t="str">
        <f>DEC2HEX(_xlfn.BITRSHIFT(_xlfn.BITAND(HEX2DEC(MID('paste from garc here'!$C$1,1+(('table for research'!$B635-1)*36+HEX2DEC(9))*2,2)&amp;MID('paste from garc here'!$C$1,1+(('table for research'!$B635-1)*36+HEX2DEC(8))*2,2)),1920),7),2)</f>
        <v>00</v>
      </c>
      <c r="O635" t="str">
        <f>DEC2HEX(_xlfn.BITRSHIFT(HEX2DEC(MID('paste from garc here'!$C$1,1+(('table for research'!$B635-1)*36+HEX2DEC(9))*2,2)&amp;MID('paste from garc here'!$C$1,1+(('table for research'!$B635-1)*36+HEX2DEC(8))*2,2)),11),2)</f>
        <v>00</v>
      </c>
      <c r="P635" t="str">
        <f>MID('paste from garc here'!$C$2,1+(('table for research'!$B635-456)*36+HEX2DEC('table for research'!P$1))*2,2)</f>
        <v>00</v>
      </c>
      <c r="Q635" t="str">
        <f>MID('paste from garc here'!$C$2,1+(('table for research'!$B635-456)*36+HEX2DEC('table for research'!Q$1))*2,2)</f>
        <v>00</v>
      </c>
      <c r="R635" t="str">
        <f>MID('paste from garc here'!$C$2,1+(('table for research'!$B635-456)*36+HEX2DEC('table for research'!R$1))*2,2)</f>
        <v>00</v>
      </c>
      <c r="S635" t="str">
        <f>MID('paste from garc here'!$C$2,1+(('table for research'!$B635-456)*36+HEX2DEC('table for research'!S$1))*2,2)</f>
        <v>08</v>
      </c>
      <c r="T635" t="str">
        <f>MID('paste from garc here'!$C$2,1+(('table for research'!$B635-456)*36+HEX2DEC('table for research'!T$1))*2,2)</f>
        <v>00</v>
      </c>
      <c r="U635" t="str">
        <f>MID('paste from garc here'!$C$2,1+(('table for research'!$B635-456)*36+HEX2DEC('table for research'!U$1))*2,2)</f>
        <v>FF</v>
      </c>
      <c r="V635" t="str">
        <f>MID('paste from garc here'!$C$2,1+(('table for research'!$B635-456)*36+HEX2DEC('table for research'!V$1))*2,2)</f>
        <v>00</v>
      </c>
      <c r="W635" t="str">
        <f>MID('paste from garc here'!$C$2,1+(('table for research'!$B635-456)*36+HEX2DEC('table for research'!W$1))*2,2)</f>
        <v>00</v>
      </c>
      <c r="X635" t="str">
        <f>MID('paste from garc here'!$C$2,1+(('table for research'!$B635-456)*36+HEX2DEC('table for research'!X$1))*2,2)</f>
        <v>00</v>
      </c>
      <c r="Y635" t="str">
        <f>MID('paste from garc here'!$C$2,1+(('table for research'!$B635-456)*36+HEX2DEC('table for research'!Y$1))*2,2)</f>
        <v>00</v>
      </c>
      <c r="Z635" t="str">
        <f>MID('paste from garc here'!$C$2,1+(('table for research'!$B635-456)*36+HEX2DEC('table for research'!Z$1))*2,2)</f>
        <v>00</v>
      </c>
      <c r="AA635" t="str">
        <f>MID('paste from garc here'!$C$2,1+(('table for research'!$B635-456)*36+HEX2DEC('table for research'!AA$1))*2,2)</f>
        <v>00</v>
      </c>
      <c r="AB635" t="str">
        <f>MID('paste from garc here'!$C$2,1+(('table for research'!$B635-456)*36+HEX2DEC('table for research'!AB$1))*2,2)</f>
        <v>00</v>
      </c>
      <c r="AC635" t="str">
        <f>MID('paste from garc here'!$C$2,1+(('table for research'!$B635-456)*36+HEX2DEC('table for research'!AC$1))*2,2)</f>
        <v>00</v>
      </c>
      <c r="AD635" t="str">
        <f>MID('paste from garc here'!$C$2,1+(('table for research'!$B635-456)*36+HEX2DEC('table for research'!AD$1))*2,2)</f>
        <v>00</v>
      </c>
      <c r="AE635" t="str">
        <f>MID('paste from garc here'!$C$2,1+(('table for research'!$B635-456)*36+HEX2DEC('table for research'!AE$1))*2,2)</f>
        <v>00</v>
      </c>
      <c r="AF635" t="str">
        <f>MID('paste from garc here'!$C$2,1+(('table for research'!$B635-456)*36+HEX2DEC('table for research'!AF$1))*2,2)</f>
        <v>00</v>
      </c>
      <c r="AG635" t="str">
        <f>MID('paste from garc here'!$C$2,1+(('table for research'!$B635-456)*36+HEX2DEC('table for research'!AG$1))*2,2)</f>
        <v>00</v>
      </c>
      <c r="AH635" t="str">
        <f>MID('paste from garc here'!$C$2,1+(('table for research'!$B635-456)*36+HEX2DEC('table for research'!AH$1))*2,2)</f>
        <v>00</v>
      </c>
      <c r="AI635" t="str">
        <f>MID('paste from garc here'!$C$2,1+(('table for research'!$B635-456)*36+HEX2DEC('table for research'!AI$1))*2,2)</f>
        <v>00</v>
      </c>
      <c r="AJ635" t="str">
        <f>MID('paste from garc here'!$C$2,1+(('table for research'!$B635-456)*36+HEX2DEC('table for research'!AJ$1))*2,2)</f>
        <v>00</v>
      </c>
      <c r="AK635" t="str">
        <f>MID('paste from garc here'!$C$2,1+(('table for research'!$B635-456)*36+HEX2DEC('table for research'!AK$1))*2,2)</f>
        <v>00</v>
      </c>
      <c r="AL635" t="str">
        <f>MID('paste from garc here'!$C$2,1+(('table for research'!$B635-456)*36+HEX2DEC('table for research'!AL$1))*2,2)</f>
        <v>00</v>
      </c>
      <c r="AM635" t="str">
        <f>MID('paste from garc here'!$C$2,1+(('table for research'!$B635-456)*36+HEX2DEC('table for research'!AM$1))*2,2)</f>
        <v>00</v>
      </c>
      <c r="AN635" t="str">
        <f>MID('paste from garc here'!$C$2,1+(('table for research'!$B635-456)*36+HEX2DEC('table for research'!AN$1))*2,2)</f>
        <v>00</v>
      </c>
      <c r="AO635" t="str">
        <f>MID('paste from garc here'!$C$2,1+(('table for research'!$B635-456)*36+HEX2DEC('table for research'!AO$1))*2,2)</f>
        <v>00</v>
      </c>
    </row>
    <row r="636" spans="1:41" x14ac:dyDescent="0.4">
      <c r="A636" t="s">
        <v>636</v>
      </c>
      <c r="B636">
        <f>B635+1</f>
        <v>634</v>
      </c>
      <c r="C636" t="str">
        <f>MID('paste from garc here'!$C$2,1+(('table for research'!$B636-456)*36+HEX2DEC('table for research'!C$1))*2,2)</f>
        <v>00</v>
      </c>
      <c r="D636" t="str">
        <f>MID('paste from garc here'!$C$2,1+(('table for research'!$B636-456)*36+HEX2DEC('table for research'!D$1))*2,2)</f>
        <v>00</v>
      </c>
      <c r="E636" t="str">
        <f>MID('paste from garc here'!$C$2,1+(('table for research'!$B636-456)*36+HEX2DEC('table for research'!E$1))*2,2)</f>
        <v>00</v>
      </c>
      <c r="F636" t="str">
        <f>MID('paste from garc here'!$C$2,1+(('table for research'!$B636-456)*36+HEX2DEC('table for research'!F$1))*2,2)</f>
        <v>00</v>
      </c>
      <c r="G636" t="str">
        <f>MID('paste from garc here'!$C$2,1+(('table for research'!$B636-456)*36+HEX2DEC('table for research'!G$1))*2,2)</f>
        <v>00</v>
      </c>
      <c r="H636" t="str">
        <f>MID('paste from garc here'!$C$2,1+(('table for research'!$B636-456)*36+HEX2DEC('table for research'!H$1))*2,2)</f>
        <v>00</v>
      </c>
      <c r="I636" t="str">
        <f>MID('paste from garc here'!$C$2,1+(('table for research'!$B636-456)*36+HEX2DEC('table for research'!I$1))*2,2)</f>
        <v>00</v>
      </c>
      <c r="J636" t="str">
        <f>MID('paste from garc here'!$C$2,1+(('table for research'!$B636-456)*36+HEX2DEC('table for research'!J$1))*2,2)</f>
        <v>00</v>
      </c>
      <c r="K636" t="str">
        <f>DEC2HEX(_xlfn.BITAND(HEX2DEC(MID('paste from garc here'!$C$1,1+(('table for research'!$B636-1)*36+HEX2DEC(8))*2,2)),31),2)</f>
        <v>00</v>
      </c>
      <c r="L636" t="str">
        <f>DEC2HEX(_xlfn.BITAND(HEX2DEC(MID('paste from garc here'!$C$1,1+(('table for research'!$B636-1)*36+HEX2DEC(8))*2,2)),32),2)</f>
        <v>00</v>
      </c>
      <c r="M636" t="str">
        <f>DEC2HEX(_xlfn.BITAND(HEX2DEC(MID('paste from garc here'!$C$1,1+(('table for research'!$B636-1)*36+HEX2DEC(8))*2,2)),64),2)</f>
        <v>00</v>
      </c>
      <c r="N636" t="str">
        <f>DEC2HEX(_xlfn.BITRSHIFT(_xlfn.BITAND(HEX2DEC(MID('paste from garc here'!$C$1,1+(('table for research'!$B636-1)*36+HEX2DEC(9))*2,2)&amp;MID('paste from garc here'!$C$1,1+(('table for research'!$B636-1)*36+HEX2DEC(8))*2,2)),1920),7),2)</f>
        <v>00</v>
      </c>
      <c r="O636" t="str">
        <f>DEC2HEX(_xlfn.BITRSHIFT(HEX2DEC(MID('paste from garc here'!$C$1,1+(('table for research'!$B636-1)*36+HEX2DEC(9))*2,2)&amp;MID('paste from garc here'!$C$1,1+(('table for research'!$B636-1)*36+HEX2DEC(8))*2,2)),11),2)</f>
        <v>00</v>
      </c>
      <c r="P636" t="str">
        <f>MID('paste from garc here'!$C$2,1+(('table for research'!$B636-456)*36+HEX2DEC('table for research'!P$1))*2,2)</f>
        <v>00</v>
      </c>
      <c r="Q636" t="str">
        <f>MID('paste from garc here'!$C$2,1+(('table for research'!$B636-456)*36+HEX2DEC('table for research'!Q$1))*2,2)</f>
        <v>00</v>
      </c>
      <c r="R636" t="str">
        <f>MID('paste from garc here'!$C$2,1+(('table for research'!$B636-456)*36+HEX2DEC('table for research'!R$1))*2,2)</f>
        <v>00</v>
      </c>
      <c r="S636" t="str">
        <f>MID('paste from garc here'!$C$2,1+(('table for research'!$B636-456)*36+HEX2DEC('table for research'!S$1))*2,2)</f>
        <v>08</v>
      </c>
      <c r="T636" t="str">
        <f>MID('paste from garc here'!$C$2,1+(('table for research'!$B636-456)*36+HEX2DEC('table for research'!T$1))*2,2)</f>
        <v>00</v>
      </c>
      <c r="U636" t="str">
        <f>MID('paste from garc here'!$C$2,1+(('table for research'!$B636-456)*36+HEX2DEC('table for research'!U$1))*2,2)</f>
        <v>FF</v>
      </c>
      <c r="V636" t="str">
        <f>MID('paste from garc here'!$C$2,1+(('table for research'!$B636-456)*36+HEX2DEC('table for research'!V$1))*2,2)</f>
        <v>00</v>
      </c>
      <c r="W636" t="str">
        <f>MID('paste from garc here'!$C$2,1+(('table for research'!$B636-456)*36+HEX2DEC('table for research'!W$1))*2,2)</f>
        <v>00</v>
      </c>
      <c r="X636" t="str">
        <f>MID('paste from garc here'!$C$2,1+(('table for research'!$B636-456)*36+HEX2DEC('table for research'!X$1))*2,2)</f>
        <v>00</v>
      </c>
      <c r="Y636" t="str">
        <f>MID('paste from garc here'!$C$2,1+(('table for research'!$B636-456)*36+HEX2DEC('table for research'!Y$1))*2,2)</f>
        <v>00</v>
      </c>
      <c r="Z636" t="str">
        <f>MID('paste from garc here'!$C$2,1+(('table for research'!$B636-456)*36+HEX2DEC('table for research'!Z$1))*2,2)</f>
        <v>00</v>
      </c>
      <c r="AA636" t="str">
        <f>MID('paste from garc here'!$C$2,1+(('table for research'!$B636-456)*36+HEX2DEC('table for research'!AA$1))*2,2)</f>
        <v>00</v>
      </c>
      <c r="AB636" t="str">
        <f>MID('paste from garc here'!$C$2,1+(('table for research'!$B636-456)*36+HEX2DEC('table for research'!AB$1))*2,2)</f>
        <v>00</v>
      </c>
      <c r="AC636" t="str">
        <f>MID('paste from garc here'!$C$2,1+(('table for research'!$B636-456)*36+HEX2DEC('table for research'!AC$1))*2,2)</f>
        <v>00</v>
      </c>
      <c r="AD636" t="str">
        <f>MID('paste from garc here'!$C$2,1+(('table for research'!$B636-456)*36+HEX2DEC('table for research'!AD$1))*2,2)</f>
        <v>00</v>
      </c>
      <c r="AE636" t="str">
        <f>MID('paste from garc here'!$C$2,1+(('table for research'!$B636-456)*36+HEX2DEC('table for research'!AE$1))*2,2)</f>
        <v>00</v>
      </c>
      <c r="AF636" t="str">
        <f>MID('paste from garc here'!$C$2,1+(('table for research'!$B636-456)*36+HEX2DEC('table for research'!AF$1))*2,2)</f>
        <v>00</v>
      </c>
      <c r="AG636" t="str">
        <f>MID('paste from garc here'!$C$2,1+(('table for research'!$B636-456)*36+HEX2DEC('table for research'!AG$1))*2,2)</f>
        <v>00</v>
      </c>
      <c r="AH636" t="str">
        <f>MID('paste from garc here'!$C$2,1+(('table for research'!$B636-456)*36+HEX2DEC('table for research'!AH$1))*2,2)</f>
        <v>00</v>
      </c>
      <c r="AI636" t="str">
        <f>MID('paste from garc here'!$C$2,1+(('table for research'!$B636-456)*36+HEX2DEC('table for research'!AI$1))*2,2)</f>
        <v>00</v>
      </c>
      <c r="AJ636" t="str">
        <f>MID('paste from garc here'!$C$2,1+(('table for research'!$B636-456)*36+HEX2DEC('table for research'!AJ$1))*2,2)</f>
        <v>00</v>
      </c>
      <c r="AK636" t="str">
        <f>MID('paste from garc here'!$C$2,1+(('table for research'!$B636-456)*36+HEX2DEC('table for research'!AK$1))*2,2)</f>
        <v>00</v>
      </c>
      <c r="AL636" t="str">
        <f>MID('paste from garc here'!$C$2,1+(('table for research'!$B636-456)*36+HEX2DEC('table for research'!AL$1))*2,2)</f>
        <v>00</v>
      </c>
      <c r="AM636" t="str">
        <f>MID('paste from garc here'!$C$2,1+(('table for research'!$B636-456)*36+HEX2DEC('table for research'!AM$1))*2,2)</f>
        <v>00</v>
      </c>
      <c r="AN636" t="str">
        <f>MID('paste from garc here'!$C$2,1+(('table for research'!$B636-456)*36+HEX2DEC('table for research'!AN$1))*2,2)</f>
        <v>00</v>
      </c>
      <c r="AO636" t="str">
        <f>MID('paste from garc here'!$C$2,1+(('table for research'!$B636-456)*36+HEX2DEC('table for research'!AO$1))*2,2)</f>
        <v>00</v>
      </c>
    </row>
    <row r="637" spans="1:41" x14ac:dyDescent="0.4">
      <c r="A637" t="s">
        <v>637</v>
      </c>
      <c r="B637">
        <f>B636+1</f>
        <v>635</v>
      </c>
      <c r="C637" t="str">
        <f>MID('paste from garc here'!$C$2,1+(('table for research'!$B637-456)*36+HEX2DEC('table for research'!C$1))*2,2)</f>
        <v>00</v>
      </c>
      <c r="D637" t="str">
        <f>MID('paste from garc here'!$C$2,1+(('table for research'!$B637-456)*36+HEX2DEC('table for research'!D$1))*2,2)</f>
        <v>00</v>
      </c>
      <c r="E637" t="str">
        <f>MID('paste from garc here'!$C$2,1+(('table for research'!$B637-456)*36+HEX2DEC('table for research'!E$1))*2,2)</f>
        <v>00</v>
      </c>
      <c r="F637" t="str">
        <f>MID('paste from garc here'!$C$2,1+(('table for research'!$B637-456)*36+HEX2DEC('table for research'!F$1))*2,2)</f>
        <v>00</v>
      </c>
      <c r="G637" t="str">
        <f>MID('paste from garc here'!$C$2,1+(('table for research'!$B637-456)*36+HEX2DEC('table for research'!G$1))*2,2)</f>
        <v>00</v>
      </c>
      <c r="H637" t="str">
        <f>MID('paste from garc here'!$C$2,1+(('table for research'!$B637-456)*36+HEX2DEC('table for research'!H$1))*2,2)</f>
        <v>00</v>
      </c>
      <c r="I637" t="str">
        <f>MID('paste from garc here'!$C$2,1+(('table for research'!$B637-456)*36+HEX2DEC('table for research'!I$1))*2,2)</f>
        <v>00</v>
      </c>
      <c r="J637" t="str">
        <f>MID('paste from garc here'!$C$2,1+(('table for research'!$B637-456)*36+HEX2DEC('table for research'!J$1))*2,2)</f>
        <v>00</v>
      </c>
      <c r="K637" t="str">
        <f>DEC2HEX(_xlfn.BITAND(HEX2DEC(MID('paste from garc here'!$C$1,1+(('table for research'!$B637-1)*36+HEX2DEC(8))*2,2)),31),2)</f>
        <v>00</v>
      </c>
      <c r="L637" t="str">
        <f>DEC2HEX(_xlfn.BITAND(HEX2DEC(MID('paste from garc here'!$C$1,1+(('table for research'!$B637-1)*36+HEX2DEC(8))*2,2)),32),2)</f>
        <v>00</v>
      </c>
      <c r="M637" t="str">
        <f>DEC2HEX(_xlfn.BITAND(HEX2DEC(MID('paste from garc here'!$C$1,1+(('table for research'!$B637-1)*36+HEX2DEC(8))*2,2)),64),2)</f>
        <v>00</v>
      </c>
      <c r="N637" t="str">
        <f>DEC2HEX(_xlfn.BITRSHIFT(_xlfn.BITAND(HEX2DEC(MID('paste from garc here'!$C$1,1+(('table for research'!$B637-1)*36+HEX2DEC(9))*2,2)&amp;MID('paste from garc here'!$C$1,1+(('table for research'!$B637-1)*36+HEX2DEC(8))*2,2)),1920),7),2)</f>
        <v>00</v>
      </c>
      <c r="O637" t="str">
        <f>DEC2HEX(_xlfn.BITRSHIFT(HEX2DEC(MID('paste from garc here'!$C$1,1+(('table for research'!$B637-1)*36+HEX2DEC(9))*2,2)&amp;MID('paste from garc here'!$C$1,1+(('table for research'!$B637-1)*36+HEX2DEC(8))*2,2)),11),2)</f>
        <v>00</v>
      </c>
      <c r="P637" t="str">
        <f>MID('paste from garc here'!$C$2,1+(('table for research'!$B637-456)*36+HEX2DEC('table for research'!P$1))*2,2)</f>
        <v>00</v>
      </c>
      <c r="Q637" t="str">
        <f>MID('paste from garc here'!$C$2,1+(('table for research'!$B637-456)*36+HEX2DEC('table for research'!Q$1))*2,2)</f>
        <v>00</v>
      </c>
      <c r="R637" t="str">
        <f>MID('paste from garc here'!$C$2,1+(('table for research'!$B637-456)*36+HEX2DEC('table for research'!R$1))*2,2)</f>
        <v>00</v>
      </c>
      <c r="S637" t="str">
        <f>MID('paste from garc here'!$C$2,1+(('table for research'!$B637-456)*36+HEX2DEC('table for research'!S$1))*2,2)</f>
        <v>08</v>
      </c>
      <c r="T637" t="str">
        <f>MID('paste from garc here'!$C$2,1+(('table for research'!$B637-456)*36+HEX2DEC('table for research'!T$1))*2,2)</f>
        <v>00</v>
      </c>
      <c r="U637" t="str">
        <f>MID('paste from garc here'!$C$2,1+(('table for research'!$B637-456)*36+HEX2DEC('table for research'!U$1))*2,2)</f>
        <v>FF</v>
      </c>
      <c r="V637" t="str">
        <f>MID('paste from garc here'!$C$2,1+(('table for research'!$B637-456)*36+HEX2DEC('table for research'!V$1))*2,2)</f>
        <v>00</v>
      </c>
      <c r="W637" t="str">
        <f>MID('paste from garc here'!$C$2,1+(('table for research'!$B637-456)*36+HEX2DEC('table for research'!W$1))*2,2)</f>
        <v>00</v>
      </c>
      <c r="X637" t="str">
        <f>MID('paste from garc here'!$C$2,1+(('table for research'!$B637-456)*36+HEX2DEC('table for research'!X$1))*2,2)</f>
        <v>00</v>
      </c>
      <c r="Y637" t="str">
        <f>MID('paste from garc here'!$C$2,1+(('table for research'!$B637-456)*36+HEX2DEC('table for research'!Y$1))*2,2)</f>
        <v>00</v>
      </c>
      <c r="Z637" t="str">
        <f>MID('paste from garc here'!$C$2,1+(('table for research'!$B637-456)*36+HEX2DEC('table for research'!Z$1))*2,2)</f>
        <v>00</v>
      </c>
      <c r="AA637" t="str">
        <f>MID('paste from garc here'!$C$2,1+(('table for research'!$B637-456)*36+HEX2DEC('table for research'!AA$1))*2,2)</f>
        <v>00</v>
      </c>
      <c r="AB637" t="str">
        <f>MID('paste from garc here'!$C$2,1+(('table for research'!$B637-456)*36+HEX2DEC('table for research'!AB$1))*2,2)</f>
        <v>00</v>
      </c>
      <c r="AC637" t="str">
        <f>MID('paste from garc here'!$C$2,1+(('table for research'!$B637-456)*36+HEX2DEC('table for research'!AC$1))*2,2)</f>
        <v>00</v>
      </c>
      <c r="AD637" t="str">
        <f>MID('paste from garc here'!$C$2,1+(('table for research'!$B637-456)*36+HEX2DEC('table for research'!AD$1))*2,2)</f>
        <v>00</v>
      </c>
      <c r="AE637" t="str">
        <f>MID('paste from garc here'!$C$2,1+(('table for research'!$B637-456)*36+HEX2DEC('table for research'!AE$1))*2,2)</f>
        <v>00</v>
      </c>
      <c r="AF637" t="str">
        <f>MID('paste from garc here'!$C$2,1+(('table for research'!$B637-456)*36+HEX2DEC('table for research'!AF$1))*2,2)</f>
        <v>00</v>
      </c>
      <c r="AG637" t="str">
        <f>MID('paste from garc here'!$C$2,1+(('table for research'!$B637-456)*36+HEX2DEC('table for research'!AG$1))*2,2)</f>
        <v>00</v>
      </c>
      <c r="AH637" t="str">
        <f>MID('paste from garc here'!$C$2,1+(('table for research'!$B637-456)*36+HEX2DEC('table for research'!AH$1))*2,2)</f>
        <v>00</v>
      </c>
      <c r="AI637" t="str">
        <f>MID('paste from garc here'!$C$2,1+(('table for research'!$B637-456)*36+HEX2DEC('table for research'!AI$1))*2,2)</f>
        <v>00</v>
      </c>
      <c r="AJ637" t="str">
        <f>MID('paste from garc here'!$C$2,1+(('table for research'!$B637-456)*36+HEX2DEC('table for research'!AJ$1))*2,2)</f>
        <v>00</v>
      </c>
      <c r="AK637" t="str">
        <f>MID('paste from garc here'!$C$2,1+(('table for research'!$B637-456)*36+HEX2DEC('table for research'!AK$1))*2,2)</f>
        <v>00</v>
      </c>
      <c r="AL637" t="str">
        <f>MID('paste from garc here'!$C$2,1+(('table for research'!$B637-456)*36+HEX2DEC('table for research'!AL$1))*2,2)</f>
        <v>00</v>
      </c>
      <c r="AM637" t="str">
        <f>MID('paste from garc here'!$C$2,1+(('table for research'!$B637-456)*36+HEX2DEC('table for research'!AM$1))*2,2)</f>
        <v>00</v>
      </c>
      <c r="AN637" t="str">
        <f>MID('paste from garc here'!$C$2,1+(('table for research'!$B637-456)*36+HEX2DEC('table for research'!AN$1))*2,2)</f>
        <v>00</v>
      </c>
      <c r="AO637" t="str">
        <f>MID('paste from garc here'!$C$2,1+(('table for research'!$B637-456)*36+HEX2DEC('table for research'!AO$1))*2,2)</f>
        <v>00</v>
      </c>
    </row>
    <row r="638" spans="1:41" x14ac:dyDescent="0.4">
      <c r="A638" t="s">
        <v>638</v>
      </c>
      <c r="B638">
        <f>B637+1</f>
        <v>636</v>
      </c>
      <c r="C638" t="str">
        <f>MID('paste from garc here'!$C$2,1+(('table for research'!$B638-456)*36+HEX2DEC('table for research'!C$1))*2,2)</f>
        <v>00</v>
      </c>
      <c r="D638" t="str">
        <f>MID('paste from garc here'!$C$2,1+(('table for research'!$B638-456)*36+HEX2DEC('table for research'!D$1))*2,2)</f>
        <v>00</v>
      </c>
      <c r="E638" t="str">
        <f>MID('paste from garc here'!$C$2,1+(('table for research'!$B638-456)*36+HEX2DEC('table for research'!E$1))*2,2)</f>
        <v>00</v>
      </c>
      <c r="F638" t="str">
        <f>MID('paste from garc here'!$C$2,1+(('table for research'!$B638-456)*36+HEX2DEC('table for research'!F$1))*2,2)</f>
        <v>00</v>
      </c>
      <c r="G638" t="str">
        <f>MID('paste from garc here'!$C$2,1+(('table for research'!$B638-456)*36+HEX2DEC('table for research'!G$1))*2,2)</f>
        <v>00</v>
      </c>
      <c r="H638" t="str">
        <f>MID('paste from garc here'!$C$2,1+(('table for research'!$B638-456)*36+HEX2DEC('table for research'!H$1))*2,2)</f>
        <v>00</v>
      </c>
      <c r="I638" t="str">
        <f>MID('paste from garc here'!$C$2,1+(('table for research'!$B638-456)*36+HEX2DEC('table for research'!I$1))*2,2)</f>
        <v>00</v>
      </c>
      <c r="J638" t="str">
        <f>MID('paste from garc here'!$C$2,1+(('table for research'!$B638-456)*36+HEX2DEC('table for research'!J$1))*2,2)</f>
        <v>00</v>
      </c>
      <c r="K638" t="str">
        <f>DEC2HEX(_xlfn.BITAND(HEX2DEC(MID('paste from garc here'!$C$1,1+(('table for research'!$B638-1)*36+HEX2DEC(8))*2,2)),31),2)</f>
        <v>00</v>
      </c>
      <c r="L638" t="str">
        <f>DEC2HEX(_xlfn.BITAND(HEX2DEC(MID('paste from garc here'!$C$1,1+(('table for research'!$B638-1)*36+HEX2DEC(8))*2,2)),32),2)</f>
        <v>00</v>
      </c>
      <c r="M638" t="str">
        <f>DEC2HEX(_xlfn.BITAND(HEX2DEC(MID('paste from garc here'!$C$1,1+(('table for research'!$B638-1)*36+HEX2DEC(8))*2,2)),64),2)</f>
        <v>00</v>
      </c>
      <c r="N638" t="str">
        <f>DEC2HEX(_xlfn.BITRSHIFT(_xlfn.BITAND(HEX2DEC(MID('paste from garc here'!$C$1,1+(('table for research'!$B638-1)*36+HEX2DEC(9))*2,2)&amp;MID('paste from garc here'!$C$1,1+(('table for research'!$B638-1)*36+HEX2DEC(8))*2,2)),1920),7),2)</f>
        <v>00</v>
      </c>
      <c r="O638" t="str">
        <f>DEC2HEX(_xlfn.BITRSHIFT(HEX2DEC(MID('paste from garc here'!$C$1,1+(('table for research'!$B638-1)*36+HEX2DEC(9))*2,2)&amp;MID('paste from garc here'!$C$1,1+(('table for research'!$B638-1)*36+HEX2DEC(8))*2,2)),11),2)</f>
        <v>00</v>
      </c>
      <c r="P638" t="str">
        <f>MID('paste from garc here'!$C$2,1+(('table for research'!$B638-456)*36+HEX2DEC('table for research'!P$1))*2,2)</f>
        <v>00</v>
      </c>
      <c r="Q638" t="str">
        <f>MID('paste from garc here'!$C$2,1+(('table for research'!$B638-456)*36+HEX2DEC('table for research'!Q$1))*2,2)</f>
        <v>00</v>
      </c>
      <c r="R638" t="str">
        <f>MID('paste from garc here'!$C$2,1+(('table for research'!$B638-456)*36+HEX2DEC('table for research'!R$1))*2,2)</f>
        <v>00</v>
      </c>
      <c r="S638" t="str">
        <f>MID('paste from garc here'!$C$2,1+(('table for research'!$B638-456)*36+HEX2DEC('table for research'!S$1))*2,2)</f>
        <v>08</v>
      </c>
      <c r="T638" t="str">
        <f>MID('paste from garc here'!$C$2,1+(('table for research'!$B638-456)*36+HEX2DEC('table for research'!T$1))*2,2)</f>
        <v>00</v>
      </c>
      <c r="U638" t="str">
        <f>MID('paste from garc here'!$C$2,1+(('table for research'!$B638-456)*36+HEX2DEC('table for research'!U$1))*2,2)</f>
        <v>FF</v>
      </c>
      <c r="V638" t="str">
        <f>MID('paste from garc here'!$C$2,1+(('table for research'!$B638-456)*36+HEX2DEC('table for research'!V$1))*2,2)</f>
        <v>00</v>
      </c>
      <c r="W638" t="str">
        <f>MID('paste from garc here'!$C$2,1+(('table for research'!$B638-456)*36+HEX2DEC('table for research'!W$1))*2,2)</f>
        <v>00</v>
      </c>
      <c r="X638" t="str">
        <f>MID('paste from garc here'!$C$2,1+(('table for research'!$B638-456)*36+HEX2DEC('table for research'!X$1))*2,2)</f>
        <v>00</v>
      </c>
      <c r="Y638" t="str">
        <f>MID('paste from garc here'!$C$2,1+(('table for research'!$B638-456)*36+HEX2DEC('table for research'!Y$1))*2,2)</f>
        <v>00</v>
      </c>
      <c r="Z638" t="str">
        <f>MID('paste from garc here'!$C$2,1+(('table for research'!$B638-456)*36+HEX2DEC('table for research'!Z$1))*2,2)</f>
        <v>00</v>
      </c>
      <c r="AA638" t="str">
        <f>MID('paste from garc here'!$C$2,1+(('table for research'!$B638-456)*36+HEX2DEC('table for research'!AA$1))*2,2)</f>
        <v>00</v>
      </c>
      <c r="AB638" t="str">
        <f>MID('paste from garc here'!$C$2,1+(('table for research'!$B638-456)*36+HEX2DEC('table for research'!AB$1))*2,2)</f>
        <v>00</v>
      </c>
      <c r="AC638" t="str">
        <f>MID('paste from garc here'!$C$2,1+(('table for research'!$B638-456)*36+HEX2DEC('table for research'!AC$1))*2,2)</f>
        <v>00</v>
      </c>
      <c r="AD638" t="str">
        <f>MID('paste from garc here'!$C$2,1+(('table for research'!$B638-456)*36+HEX2DEC('table for research'!AD$1))*2,2)</f>
        <v>00</v>
      </c>
      <c r="AE638" t="str">
        <f>MID('paste from garc here'!$C$2,1+(('table for research'!$B638-456)*36+HEX2DEC('table for research'!AE$1))*2,2)</f>
        <v>00</v>
      </c>
      <c r="AF638" t="str">
        <f>MID('paste from garc here'!$C$2,1+(('table for research'!$B638-456)*36+HEX2DEC('table for research'!AF$1))*2,2)</f>
        <v>00</v>
      </c>
      <c r="AG638" t="str">
        <f>MID('paste from garc here'!$C$2,1+(('table for research'!$B638-456)*36+HEX2DEC('table for research'!AG$1))*2,2)</f>
        <v>00</v>
      </c>
      <c r="AH638" t="str">
        <f>MID('paste from garc here'!$C$2,1+(('table for research'!$B638-456)*36+HEX2DEC('table for research'!AH$1))*2,2)</f>
        <v>00</v>
      </c>
      <c r="AI638" t="str">
        <f>MID('paste from garc here'!$C$2,1+(('table for research'!$B638-456)*36+HEX2DEC('table for research'!AI$1))*2,2)</f>
        <v>00</v>
      </c>
      <c r="AJ638" t="str">
        <f>MID('paste from garc here'!$C$2,1+(('table for research'!$B638-456)*36+HEX2DEC('table for research'!AJ$1))*2,2)</f>
        <v>00</v>
      </c>
      <c r="AK638" t="str">
        <f>MID('paste from garc here'!$C$2,1+(('table for research'!$B638-456)*36+HEX2DEC('table for research'!AK$1))*2,2)</f>
        <v>00</v>
      </c>
      <c r="AL638" t="str">
        <f>MID('paste from garc here'!$C$2,1+(('table for research'!$B638-456)*36+HEX2DEC('table for research'!AL$1))*2,2)</f>
        <v>00</v>
      </c>
      <c r="AM638" t="str">
        <f>MID('paste from garc here'!$C$2,1+(('table for research'!$B638-456)*36+HEX2DEC('table for research'!AM$1))*2,2)</f>
        <v>00</v>
      </c>
      <c r="AN638" t="str">
        <f>MID('paste from garc here'!$C$2,1+(('table for research'!$B638-456)*36+HEX2DEC('table for research'!AN$1))*2,2)</f>
        <v>00</v>
      </c>
      <c r="AO638" t="str">
        <f>MID('paste from garc here'!$C$2,1+(('table for research'!$B638-456)*36+HEX2DEC('table for research'!AO$1))*2,2)</f>
        <v>00</v>
      </c>
    </row>
    <row r="639" spans="1:41" x14ac:dyDescent="0.4">
      <c r="A639" t="s">
        <v>638</v>
      </c>
      <c r="B639">
        <f>B638+1</f>
        <v>637</v>
      </c>
      <c r="C639" t="str">
        <f>MID('paste from garc here'!$C$2,1+(('table for research'!$B639-456)*36+HEX2DEC('table for research'!C$1))*2,2)</f>
        <v>00</v>
      </c>
      <c r="D639" t="str">
        <f>MID('paste from garc here'!$C$2,1+(('table for research'!$B639-456)*36+HEX2DEC('table for research'!D$1))*2,2)</f>
        <v>00</v>
      </c>
      <c r="E639" t="str">
        <f>MID('paste from garc here'!$C$2,1+(('table for research'!$B639-456)*36+HEX2DEC('table for research'!E$1))*2,2)</f>
        <v>00</v>
      </c>
      <c r="F639" t="str">
        <f>MID('paste from garc here'!$C$2,1+(('table for research'!$B639-456)*36+HEX2DEC('table for research'!F$1))*2,2)</f>
        <v>00</v>
      </c>
      <c r="G639" t="str">
        <f>MID('paste from garc here'!$C$2,1+(('table for research'!$B639-456)*36+HEX2DEC('table for research'!G$1))*2,2)</f>
        <v>00</v>
      </c>
      <c r="H639" t="str">
        <f>MID('paste from garc here'!$C$2,1+(('table for research'!$B639-456)*36+HEX2DEC('table for research'!H$1))*2,2)</f>
        <v>00</v>
      </c>
      <c r="I639" t="str">
        <f>MID('paste from garc here'!$C$2,1+(('table for research'!$B639-456)*36+HEX2DEC('table for research'!I$1))*2,2)</f>
        <v>00</v>
      </c>
      <c r="J639" t="str">
        <f>MID('paste from garc here'!$C$2,1+(('table for research'!$B639-456)*36+HEX2DEC('table for research'!J$1))*2,2)</f>
        <v>00</v>
      </c>
      <c r="K639" t="str">
        <f>DEC2HEX(_xlfn.BITAND(HEX2DEC(MID('paste from garc here'!$C$1,1+(('table for research'!$B639-1)*36+HEX2DEC(8))*2,2)),31),2)</f>
        <v>00</v>
      </c>
      <c r="L639" t="str">
        <f>DEC2HEX(_xlfn.BITAND(HEX2DEC(MID('paste from garc here'!$C$1,1+(('table for research'!$B639-1)*36+HEX2DEC(8))*2,2)),32),2)</f>
        <v>00</v>
      </c>
      <c r="M639" t="str">
        <f>DEC2HEX(_xlfn.BITAND(HEX2DEC(MID('paste from garc here'!$C$1,1+(('table for research'!$B639-1)*36+HEX2DEC(8))*2,2)),64),2)</f>
        <v>00</v>
      </c>
      <c r="N639" t="str">
        <f>DEC2HEX(_xlfn.BITRSHIFT(_xlfn.BITAND(HEX2DEC(MID('paste from garc here'!$C$1,1+(('table for research'!$B639-1)*36+HEX2DEC(9))*2,2)&amp;MID('paste from garc here'!$C$1,1+(('table for research'!$B639-1)*36+HEX2DEC(8))*2,2)),1920),7),2)</f>
        <v>00</v>
      </c>
      <c r="O639" t="str">
        <f>DEC2HEX(_xlfn.BITRSHIFT(HEX2DEC(MID('paste from garc here'!$C$1,1+(('table for research'!$B639-1)*36+HEX2DEC(9))*2,2)&amp;MID('paste from garc here'!$C$1,1+(('table for research'!$B639-1)*36+HEX2DEC(8))*2,2)),11),2)</f>
        <v>00</v>
      </c>
      <c r="P639" t="str">
        <f>MID('paste from garc here'!$C$2,1+(('table for research'!$B639-456)*36+HEX2DEC('table for research'!P$1))*2,2)</f>
        <v>00</v>
      </c>
      <c r="Q639" t="str">
        <f>MID('paste from garc here'!$C$2,1+(('table for research'!$B639-456)*36+HEX2DEC('table for research'!Q$1))*2,2)</f>
        <v>00</v>
      </c>
      <c r="R639" t="str">
        <f>MID('paste from garc here'!$C$2,1+(('table for research'!$B639-456)*36+HEX2DEC('table for research'!R$1))*2,2)</f>
        <v>00</v>
      </c>
      <c r="S639" t="str">
        <f>MID('paste from garc here'!$C$2,1+(('table for research'!$B639-456)*36+HEX2DEC('table for research'!S$1))*2,2)</f>
        <v>08</v>
      </c>
      <c r="T639" t="str">
        <f>MID('paste from garc here'!$C$2,1+(('table for research'!$B639-456)*36+HEX2DEC('table for research'!T$1))*2,2)</f>
        <v>00</v>
      </c>
      <c r="U639" t="str">
        <f>MID('paste from garc here'!$C$2,1+(('table for research'!$B639-456)*36+HEX2DEC('table for research'!U$1))*2,2)</f>
        <v>FF</v>
      </c>
      <c r="V639" t="str">
        <f>MID('paste from garc here'!$C$2,1+(('table for research'!$B639-456)*36+HEX2DEC('table for research'!V$1))*2,2)</f>
        <v>00</v>
      </c>
      <c r="W639" t="str">
        <f>MID('paste from garc here'!$C$2,1+(('table for research'!$B639-456)*36+HEX2DEC('table for research'!W$1))*2,2)</f>
        <v>00</v>
      </c>
      <c r="X639" t="str">
        <f>MID('paste from garc here'!$C$2,1+(('table for research'!$B639-456)*36+HEX2DEC('table for research'!X$1))*2,2)</f>
        <v>00</v>
      </c>
      <c r="Y639" t="str">
        <f>MID('paste from garc here'!$C$2,1+(('table for research'!$B639-456)*36+HEX2DEC('table for research'!Y$1))*2,2)</f>
        <v>00</v>
      </c>
      <c r="Z639" t="str">
        <f>MID('paste from garc here'!$C$2,1+(('table for research'!$B639-456)*36+HEX2DEC('table for research'!Z$1))*2,2)</f>
        <v>00</v>
      </c>
      <c r="AA639" t="str">
        <f>MID('paste from garc here'!$C$2,1+(('table for research'!$B639-456)*36+HEX2DEC('table for research'!AA$1))*2,2)</f>
        <v>00</v>
      </c>
      <c r="AB639" t="str">
        <f>MID('paste from garc here'!$C$2,1+(('table for research'!$B639-456)*36+HEX2DEC('table for research'!AB$1))*2,2)</f>
        <v>00</v>
      </c>
      <c r="AC639" t="str">
        <f>MID('paste from garc here'!$C$2,1+(('table for research'!$B639-456)*36+HEX2DEC('table for research'!AC$1))*2,2)</f>
        <v>00</v>
      </c>
      <c r="AD639" t="str">
        <f>MID('paste from garc here'!$C$2,1+(('table for research'!$B639-456)*36+HEX2DEC('table for research'!AD$1))*2,2)</f>
        <v>00</v>
      </c>
      <c r="AE639" t="str">
        <f>MID('paste from garc here'!$C$2,1+(('table for research'!$B639-456)*36+HEX2DEC('table for research'!AE$1))*2,2)</f>
        <v>00</v>
      </c>
      <c r="AF639" t="str">
        <f>MID('paste from garc here'!$C$2,1+(('table for research'!$B639-456)*36+HEX2DEC('table for research'!AF$1))*2,2)</f>
        <v>00</v>
      </c>
      <c r="AG639" t="str">
        <f>MID('paste from garc here'!$C$2,1+(('table for research'!$B639-456)*36+HEX2DEC('table for research'!AG$1))*2,2)</f>
        <v>00</v>
      </c>
      <c r="AH639" t="str">
        <f>MID('paste from garc here'!$C$2,1+(('table for research'!$B639-456)*36+HEX2DEC('table for research'!AH$1))*2,2)</f>
        <v>00</v>
      </c>
      <c r="AI639" t="str">
        <f>MID('paste from garc here'!$C$2,1+(('table for research'!$B639-456)*36+HEX2DEC('table for research'!AI$1))*2,2)</f>
        <v>00</v>
      </c>
      <c r="AJ639" t="str">
        <f>MID('paste from garc here'!$C$2,1+(('table for research'!$B639-456)*36+HEX2DEC('table for research'!AJ$1))*2,2)</f>
        <v>00</v>
      </c>
      <c r="AK639" t="str">
        <f>MID('paste from garc here'!$C$2,1+(('table for research'!$B639-456)*36+HEX2DEC('table for research'!AK$1))*2,2)</f>
        <v>00</v>
      </c>
      <c r="AL639" t="str">
        <f>MID('paste from garc here'!$C$2,1+(('table for research'!$B639-456)*36+HEX2DEC('table for research'!AL$1))*2,2)</f>
        <v>00</v>
      </c>
      <c r="AM639" t="str">
        <f>MID('paste from garc here'!$C$2,1+(('table for research'!$B639-456)*36+HEX2DEC('table for research'!AM$1))*2,2)</f>
        <v>00</v>
      </c>
      <c r="AN639" t="str">
        <f>MID('paste from garc here'!$C$2,1+(('table for research'!$B639-456)*36+HEX2DEC('table for research'!AN$1))*2,2)</f>
        <v>00</v>
      </c>
      <c r="AO639" t="str">
        <f>MID('paste from garc here'!$C$2,1+(('table for research'!$B639-456)*36+HEX2DEC('table for research'!AO$1))*2,2)</f>
        <v>00</v>
      </c>
    </row>
    <row r="640" spans="1:41" x14ac:dyDescent="0.4">
      <c r="A640" t="s">
        <v>639</v>
      </c>
      <c r="B640">
        <f>B639+1</f>
        <v>638</v>
      </c>
      <c r="C640" t="str">
        <f>MID('paste from garc here'!$C$2,1+(('table for research'!$B640-456)*36+HEX2DEC('table for research'!C$1))*2,2)</f>
        <v>00</v>
      </c>
      <c r="D640" t="str">
        <f>MID('paste from garc here'!$C$2,1+(('table for research'!$B640-456)*36+HEX2DEC('table for research'!D$1))*2,2)</f>
        <v>00</v>
      </c>
      <c r="E640" t="str">
        <f>MID('paste from garc here'!$C$2,1+(('table for research'!$B640-456)*36+HEX2DEC('table for research'!E$1))*2,2)</f>
        <v>00</v>
      </c>
      <c r="F640" t="str">
        <f>MID('paste from garc here'!$C$2,1+(('table for research'!$B640-456)*36+HEX2DEC('table for research'!F$1))*2,2)</f>
        <v>00</v>
      </c>
      <c r="G640" t="str">
        <f>MID('paste from garc here'!$C$2,1+(('table for research'!$B640-456)*36+HEX2DEC('table for research'!G$1))*2,2)</f>
        <v>00</v>
      </c>
      <c r="H640" t="str">
        <f>MID('paste from garc here'!$C$2,1+(('table for research'!$B640-456)*36+HEX2DEC('table for research'!H$1))*2,2)</f>
        <v>00</v>
      </c>
      <c r="I640" t="str">
        <f>MID('paste from garc here'!$C$2,1+(('table for research'!$B640-456)*36+HEX2DEC('table for research'!I$1))*2,2)</f>
        <v>00</v>
      </c>
      <c r="J640" t="str">
        <f>MID('paste from garc here'!$C$2,1+(('table for research'!$B640-456)*36+HEX2DEC('table for research'!J$1))*2,2)</f>
        <v>00</v>
      </c>
      <c r="K640" t="str">
        <f>DEC2HEX(_xlfn.BITAND(HEX2DEC(MID('paste from garc here'!$C$1,1+(('table for research'!$B640-1)*36+HEX2DEC(8))*2,2)),31),2)</f>
        <v>00</v>
      </c>
      <c r="L640" t="str">
        <f>DEC2HEX(_xlfn.BITAND(HEX2DEC(MID('paste from garc here'!$C$1,1+(('table for research'!$B640-1)*36+HEX2DEC(8))*2,2)),32),2)</f>
        <v>00</v>
      </c>
      <c r="M640" t="str">
        <f>DEC2HEX(_xlfn.BITAND(HEX2DEC(MID('paste from garc here'!$C$1,1+(('table for research'!$B640-1)*36+HEX2DEC(8))*2,2)),64),2)</f>
        <v>00</v>
      </c>
      <c r="N640" t="str">
        <f>DEC2HEX(_xlfn.BITRSHIFT(_xlfn.BITAND(HEX2DEC(MID('paste from garc here'!$C$1,1+(('table for research'!$B640-1)*36+HEX2DEC(9))*2,2)&amp;MID('paste from garc here'!$C$1,1+(('table for research'!$B640-1)*36+HEX2DEC(8))*2,2)),1920),7),2)</f>
        <v>00</v>
      </c>
      <c r="O640" t="str">
        <f>DEC2HEX(_xlfn.BITRSHIFT(HEX2DEC(MID('paste from garc here'!$C$1,1+(('table for research'!$B640-1)*36+HEX2DEC(9))*2,2)&amp;MID('paste from garc here'!$C$1,1+(('table for research'!$B640-1)*36+HEX2DEC(8))*2,2)),11),2)</f>
        <v>00</v>
      </c>
      <c r="P640" t="str">
        <f>MID('paste from garc here'!$C$2,1+(('table for research'!$B640-456)*36+HEX2DEC('table for research'!P$1))*2,2)</f>
        <v>0F</v>
      </c>
      <c r="Q640" t="str">
        <f>MID('paste from garc here'!$C$2,1+(('table for research'!$B640-456)*36+HEX2DEC('table for research'!Q$1))*2,2)</f>
        <v>00</v>
      </c>
      <c r="R640" t="str">
        <f>MID('paste from garc here'!$C$2,1+(('table for research'!$B640-456)*36+HEX2DEC('table for research'!R$1))*2,2)</f>
        <v>00</v>
      </c>
      <c r="S640" t="str">
        <f>MID('paste from garc here'!$C$2,1+(('table for research'!$B640-456)*36+HEX2DEC('table for research'!S$1))*2,2)</f>
        <v>08</v>
      </c>
      <c r="T640" t="str">
        <f>MID('paste from garc here'!$C$2,1+(('table for research'!$B640-456)*36+HEX2DEC('table for research'!T$1))*2,2)</f>
        <v>00</v>
      </c>
      <c r="U640" t="str">
        <f>MID('paste from garc here'!$C$2,1+(('table for research'!$B640-456)*36+HEX2DEC('table for research'!U$1))*2,2)</f>
        <v>2B</v>
      </c>
      <c r="V640" t="str">
        <f>MID('paste from garc here'!$C$2,1+(('table for research'!$B640-456)*36+HEX2DEC('table for research'!V$1))*2,2)</f>
        <v>00</v>
      </c>
      <c r="W640" t="str">
        <f>MID('paste from garc here'!$C$2,1+(('table for research'!$B640-456)*36+HEX2DEC('table for research'!W$1))*2,2)</f>
        <v>00</v>
      </c>
      <c r="X640" t="str">
        <f>MID('paste from garc here'!$C$2,1+(('table for research'!$B640-456)*36+HEX2DEC('table for research'!X$1))*2,2)</f>
        <v>00</v>
      </c>
      <c r="Y640" t="str">
        <f>MID('paste from garc here'!$C$2,1+(('table for research'!$B640-456)*36+HEX2DEC('table for research'!Y$1))*2,2)</f>
        <v>00</v>
      </c>
      <c r="Z640" t="str">
        <f>MID('paste from garc here'!$C$2,1+(('table for research'!$B640-456)*36+HEX2DEC('table for research'!Z$1))*2,2)</f>
        <v>00</v>
      </c>
      <c r="AA640" t="str">
        <f>MID('paste from garc here'!$C$2,1+(('table for research'!$B640-456)*36+HEX2DEC('table for research'!AA$1))*2,2)</f>
        <v>00</v>
      </c>
      <c r="AB640" t="str">
        <f>MID('paste from garc here'!$C$2,1+(('table for research'!$B640-456)*36+HEX2DEC('table for research'!AB$1))*2,2)</f>
        <v>00</v>
      </c>
      <c r="AC640" t="str">
        <f>MID('paste from garc here'!$C$2,1+(('table for research'!$B640-456)*36+HEX2DEC('table for research'!AC$1))*2,2)</f>
        <v>00</v>
      </c>
      <c r="AD640" t="str">
        <f>MID('paste from garc here'!$C$2,1+(('table for research'!$B640-456)*36+HEX2DEC('table for research'!AD$1))*2,2)</f>
        <v>00</v>
      </c>
      <c r="AE640" t="str">
        <f>MID('paste from garc here'!$C$2,1+(('table for research'!$B640-456)*36+HEX2DEC('table for research'!AE$1))*2,2)</f>
        <v>00</v>
      </c>
      <c r="AF640" t="str">
        <f>MID('paste from garc here'!$C$2,1+(('table for research'!$B640-456)*36+HEX2DEC('table for research'!AF$1))*2,2)</f>
        <v>00</v>
      </c>
      <c r="AG640" t="str">
        <f>MID('paste from garc here'!$C$2,1+(('table for research'!$B640-456)*36+HEX2DEC('table for research'!AG$1))*2,2)</f>
        <v>00</v>
      </c>
      <c r="AH640" t="str">
        <f>MID('paste from garc here'!$C$2,1+(('table for research'!$B640-456)*36+HEX2DEC('table for research'!AH$1))*2,2)</f>
        <v>00</v>
      </c>
      <c r="AI640" t="str">
        <f>MID('paste from garc here'!$C$2,1+(('table for research'!$B640-456)*36+HEX2DEC('table for research'!AI$1))*2,2)</f>
        <v>00</v>
      </c>
      <c r="AJ640" t="str">
        <f>MID('paste from garc here'!$C$2,1+(('table for research'!$B640-456)*36+HEX2DEC('table for research'!AJ$1))*2,2)</f>
        <v>00</v>
      </c>
      <c r="AK640" t="str">
        <f>MID('paste from garc here'!$C$2,1+(('table for research'!$B640-456)*36+HEX2DEC('table for research'!AK$1))*2,2)</f>
        <v>00</v>
      </c>
      <c r="AL640" t="str">
        <f>MID('paste from garc here'!$C$2,1+(('table for research'!$B640-456)*36+HEX2DEC('table for research'!AL$1))*2,2)</f>
        <v>00</v>
      </c>
      <c r="AM640" t="str">
        <f>MID('paste from garc here'!$C$2,1+(('table for research'!$B640-456)*36+HEX2DEC('table for research'!AM$1))*2,2)</f>
        <v>00</v>
      </c>
      <c r="AN640" t="str">
        <f>MID('paste from garc here'!$C$2,1+(('table for research'!$B640-456)*36+HEX2DEC('table for research'!AN$1))*2,2)</f>
        <v>00</v>
      </c>
      <c r="AO640" t="str">
        <f>MID('paste from garc here'!$C$2,1+(('table for research'!$B640-456)*36+HEX2DEC('table for research'!AO$1))*2,2)</f>
        <v>00</v>
      </c>
    </row>
    <row r="641" spans="1:41" x14ac:dyDescent="0.4">
      <c r="A641" t="s">
        <v>640</v>
      </c>
      <c r="B641">
        <f>B640+1</f>
        <v>639</v>
      </c>
      <c r="C641" t="str">
        <f>MID('paste from garc here'!$C$2,1+(('table for research'!$B641-456)*36+HEX2DEC('table for research'!C$1))*2,2)</f>
        <v>64</v>
      </c>
      <c r="D641" t="str">
        <f>MID('paste from garc here'!$C$2,1+(('table for research'!$B641-456)*36+HEX2DEC('table for research'!D$1))*2,2)</f>
        <v>00</v>
      </c>
      <c r="E641" t="str">
        <f>MID('paste from garc here'!$C$2,1+(('table for research'!$B641-456)*36+HEX2DEC('table for research'!E$1))*2,2)</f>
        <v>AD</v>
      </c>
      <c r="F641" t="str">
        <f>MID('paste from garc here'!$C$2,1+(('table for research'!$B641-456)*36+HEX2DEC('table for research'!F$1))*2,2)</f>
        <v>00</v>
      </c>
      <c r="G641" t="str">
        <f>MID('paste from garc here'!$C$2,1+(('table for research'!$B641-456)*36+HEX2DEC('table for research'!G$1))*2,2)</f>
        <v>00</v>
      </c>
      <c r="H641" t="str">
        <f>MID('paste from garc here'!$C$2,1+(('table for research'!$B641-456)*36+HEX2DEC('table for research'!H$1))*2,2)</f>
        <v>00</v>
      </c>
      <c r="I641" t="str">
        <f>MID('paste from garc here'!$C$2,1+(('table for research'!$B641-456)*36+HEX2DEC('table for research'!I$1))*2,2)</f>
        <v>50</v>
      </c>
      <c r="J641" t="str">
        <f>MID('paste from garc here'!$C$2,1+(('table for research'!$B641-456)*36+HEX2DEC('table for research'!J$1))*2,2)</f>
        <v>00</v>
      </c>
      <c r="K641" t="str">
        <f>DEC2HEX(_xlfn.BITAND(HEX2DEC(MID('paste from garc here'!$C$1,1+(('table for research'!$B641-1)*36+HEX2DEC(8))*2,2)),31),2)</f>
        <v>00</v>
      </c>
      <c r="L641" t="str">
        <f>DEC2HEX(_xlfn.BITAND(HEX2DEC(MID('paste from garc here'!$C$1,1+(('table for research'!$B641-1)*36+HEX2DEC(8))*2,2)),32),2)</f>
        <v>00</v>
      </c>
      <c r="M641" t="str">
        <f>DEC2HEX(_xlfn.BITAND(HEX2DEC(MID('paste from garc here'!$C$1,1+(('table for research'!$B641-1)*36+HEX2DEC(8))*2,2)),64),2)</f>
        <v>00</v>
      </c>
      <c r="N641" t="str">
        <f>DEC2HEX(_xlfn.BITRSHIFT(_xlfn.BITAND(HEX2DEC(MID('paste from garc here'!$C$1,1+(('table for research'!$B641-1)*36+HEX2DEC(9))*2,2)&amp;MID('paste from garc here'!$C$1,1+(('table for research'!$B641-1)*36+HEX2DEC(8))*2,2)),1920),7),2)</f>
        <v>00</v>
      </c>
      <c r="O641" t="str">
        <f>DEC2HEX(_xlfn.BITRSHIFT(HEX2DEC(MID('paste from garc here'!$C$1,1+(('table for research'!$B641-1)*36+HEX2DEC(9))*2,2)&amp;MID('paste from garc here'!$C$1,1+(('table for research'!$B641-1)*36+HEX2DEC(8))*2,2)),11),2)</f>
        <v>00</v>
      </c>
      <c r="P641" t="str">
        <f>MID('paste from garc here'!$C$2,1+(('table for research'!$B641-456)*36+HEX2DEC('table for research'!P$1))*2,2)</f>
        <v>00</v>
      </c>
      <c r="Q641" t="str">
        <f>MID('paste from garc here'!$C$2,1+(('table for research'!$B641-456)*36+HEX2DEC('table for research'!Q$1))*2,2)</f>
        <v>00</v>
      </c>
      <c r="R641" t="str">
        <f>MID('paste from garc here'!$C$2,1+(('table for research'!$B641-456)*36+HEX2DEC('table for research'!R$1))*2,2)</f>
        <v>00</v>
      </c>
      <c r="S641" t="str">
        <f>MID('paste from garc here'!$C$2,1+(('table for research'!$B641-456)*36+HEX2DEC('table for research'!S$1))*2,2)</f>
        <v>01</v>
      </c>
      <c r="T641" t="str">
        <f>MID('paste from garc here'!$C$2,1+(('table for research'!$B641-456)*36+HEX2DEC('table for research'!T$1))*2,2)</f>
        <v>01</v>
      </c>
      <c r="U641" t="str">
        <f>MID('paste from garc here'!$C$2,1+(('table for research'!$B641-456)*36+HEX2DEC('table for research'!U$1))*2,2)</f>
        <v>2A</v>
      </c>
      <c r="V641" t="str">
        <f>MID('paste from garc here'!$C$2,1+(('table for research'!$B641-456)*36+HEX2DEC('table for research'!V$1))*2,2)</f>
        <v>00</v>
      </c>
      <c r="W641" t="str">
        <f>MID('paste from garc here'!$C$2,1+(('table for research'!$B641-456)*36+HEX2DEC('table for research'!W$1))*2,2)</f>
        <v>00</v>
      </c>
      <c r="X641" t="str">
        <f>MID('paste from garc here'!$C$2,1+(('table for research'!$B641-456)*36+HEX2DEC('table for research'!X$1))*2,2)</f>
        <v>00</v>
      </c>
      <c r="Y641" t="str">
        <f>MID('paste from garc here'!$C$2,1+(('table for research'!$B641-456)*36+HEX2DEC('table for research'!Y$1))*2,2)</f>
        <v>00</v>
      </c>
      <c r="Z641" t="str">
        <f>MID('paste from garc here'!$C$2,1+(('table for research'!$B641-456)*36+HEX2DEC('table for research'!Z$1))*2,2)</f>
        <v>00</v>
      </c>
      <c r="AA641" t="str">
        <f>MID('paste from garc here'!$C$2,1+(('table for research'!$B641-456)*36+HEX2DEC('table for research'!AA$1))*2,2)</f>
        <v>00</v>
      </c>
      <c r="AB641" t="str">
        <f>MID('paste from garc here'!$C$2,1+(('table for research'!$B641-456)*36+HEX2DEC('table for research'!AB$1))*2,2)</f>
        <v>00</v>
      </c>
      <c r="AC641" t="str">
        <f>MID('paste from garc here'!$C$2,1+(('table for research'!$B641-456)*36+HEX2DEC('table for research'!AC$1))*2,2)</f>
        <v>00</v>
      </c>
      <c r="AD641" t="str">
        <f>MID('paste from garc here'!$C$2,1+(('table for research'!$B641-456)*36+HEX2DEC('table for research'!AD$1))*2,2)</f>
        <v>00</v>
      </c>
      <c r="AE641" t="str">
        <f>MID('paste from garc here'!$C$2,1+(('table for research'!$B641-456)*36+HEX2DEC('table for research'!AE$1))*2,2)</f>
        <v>00</v>
      </c>
      <c r="AF641" t="str">
        <f>MID('paste from garc here'!$C$2,1+(('table for research'!$B641-456)*36+HEX2DEC('table for research'!AF$1))*2,2)</f>
        <v>00</v>
      </c>
      <c r="AG641" t="str">
        <f>MID('paste from garc here'!$C$2,1+(('table for research'!$B641-456)*36+HEX2DEC('table for research'!AG$1))*2,2)</f>
        <v>00</v>
      </c>
      <c r="AH641" t="str">
        <f>MID('paste from garc here'!$C$2,1+(('table for research'!$B641-456)*36+HEX2DEC('table for research'!AH$1))*2,2)</f>
        <v>00</v>
      </c>
      <c r="AI641" t="str">
        <f>MID('paste from garc here'!$C$2,1+(('table for research'!$B641-456)*36+HEX2DEC('table for research'!AI$1))*2,2)</f>
        <v>00</v>
      </c>
      <c r="AJ641" t="str">
        <f>MID('paste from garc here'!$C$2,1+(('table for research'!$B641-456)*36+HEX2DEC('table for research'!AJ$1))*2,2)</f>
        <v>00</v>
      </c>
      <c r="AK641" t="str">
        <f>MID('paste from garc here'!$C$2,1+(('table for research'!$B641-456)*36+HEX2DEC('table for research'!AK$1))*2,2)</f>
        <v>00</v>
      </c>
      <c r="AL641" t="str">
        <f>MID('paste from garc here'!$C$2,1+(('table for research'!$B641-456)*36+HEX2DEC('table for research'!AL$1))*2,2)</f>
        <v>00</v>
      </c>
      <c r="AM641" t="str">
        <f>MID('paste from garc here'!$C$2,1+(('table for research'!$B641-456)*36+HEX2DEC('table for research'!AM$1))*2,2)</f>
        <v>00</v>
      </c>
      <c r="AN641" t="str">
        <f>MID('paste from garc here'!$C$2,1+(('table for research'!$B641-456)*36+HEX2DEC('table for research'!AN$1))*2,2)</f>
        <v>00</v>
      </c>
      <c r="AO641" t="str">
        <f>MID('paste from garc here'!$C$2,1+(('table for research'!$B641-456)*36+HEX2DEC('table for research'!AO$1))*2,2)</f>
        <v>00</v>
      </c>
    </row>
    <row r="642" spans="1:41" x14ac:dyDescent="0.4">
      <c r="A642" t="s">
        <v>641</v>
      </c>
      <c r="B642">
        <f>B641+1</f>
        <v>640</v>
      </c>
      <c r="C642" t="str">
        <f>MID('paste from garc here'!$C$2,1+(('table for research'!$B642-456)*36+HEX2DEC('table for research'!C$1))*2,2)</f>
        <v>2A</v>
      </c>
      <c r="D642" t="str">
        <f>MID('paste from garc here'!$C$2,1+(('table for research'!$B642-456)*36+HEX2DEC('table for research'!D$1))*2,2)</f>
        <v>12</v>
      </c>
      <c r="E642" t="str">
        <f>MID('paste from garc here'!$C$2,1+(('table for research'!$B642-456)*36+HEX2DEC('table for research'!E$1))*2,2)</f>
        <v>AE</v>
      </c>
      <c r="F642" t="str">
        <f>MID('paste from garc here'!$C$2,1+(('table for research'!$B642-456)*36+HEX2DEC('table for research'!F$1))*2,2)</f>
        <v>00</v>
      </c>
      <c r="G642" t="str">
        <f>MID('paste from garc here'!$C$2,1+(('table for research'!$B642-456)*36+HEX2DEC('table for research'!G$1))*2,2)</f>
        <v>00</v>
      </c>
      <c r="H642" t="str">
        <f>MID('paste from garc here'!$C$2,1+(('table for research'!$B642-456)*36+HEX2DEC('table for research'!H$1))*2,2)</f>
        <v>00</v>
      </c>
      <c r="I642" t="str">
        <f>MID('paste from garc here'!$C$2,1+(('table for research'!$B642-456)*36+HEX2DEC('table for research'!I$1))*2,2)</f>
        <v>50</v>
      </c>
      <c r="J642" t="str">
        <f>MID('paste from garc here'!$C$2,1+(('table for research'!$B642-456)*36+HEX2DEC('table for research'!J$1))*2,2)</f>
        <v>00</v>
      </c>
      <c r="K642" t="str">
        <f>DEC2HEX(_xlfn.BITAND(HEX2DEC(MID('paste from garc here'!$C$1,1+(('table for research'!$B642-1)*36+HEX2DEC(8))*2,2)),31),2)</f>
        <v>00</v>
      </c>
      <c r="L642" t="str">
        <f>DEC2HEX(_xlfn.BITAND(HEX2DEC(MID('paste from garc here'!$C$1,1+(('table for research'!$B642-1)*36+HEX2DEC(8))*2,2)),32),2)</f>
        <v>00</v>
      </c>
      <c r="M642" t="str">
        <f>DEC2HEX(_xlfn.BITAND(HEX2DEC(MID('paste from garc here'!$C$1,1+(('table for research'!$B642-1)*36+HEX2DEC(8))*2,2)),64),2)</f>
        <v>00</v>
      </c>
      <c r="N642" t="str">
        <f>DEC2HEX(_xlfn.BITRSHIFT(_xlfn.BITAND(HEX2DEC(MID('paste from garc here'!$C$1,1+(('table for research'!$B642-1)*36+HEX2DEC(9))*2,2)&amp;MID('paste from garc here'!$C$1,1+(('table for research'!$B642-1)*36+HEX2DEC(8))*2,2)),1920),7),2)</f>
        <v>00</v>
      </c>
      <c r="O642" t="str">
        <f>DEC2HEX(_xlfn.BITRSHIFT(HEX2DEC(MID('paste from garc here'!$C$1,1+(('table for research'!$B642-1)*36+HEX2DEC(9))*2,2)&amp;MID('paste from garc here'!$C$1,1+(('table for research'!$B642-1)*36+HEX2DEC(8))*2,2)),11),2)</f>
        <v>00</v>
      </c>
      <c r="P642" t="str">
        <f>MID('paste from garc here'!$C$2,1+(('table for research'!$B642-456)*36+HEX2DEC('table for research'!P$1))*2,2)</f>
        <v>00</v>
      </c>
      <c r="Q642" t="str">
        <f>MID('paste from garc here'!$C$2,1+(('table for research'!$B642-456)*36+HEX2DEC('table for research'!Q$1))*2,2)</f>
        <v>00</v>
      </c>
      <c r="R642" t="str">
        <f>MID('paste from garc here'!$C$2,1+(('table for research'!$B642-456)*36+HEX2DEC('table for research'!R$1))*2,2)</f>
        <v>00</v>
      </c>
      <c r="S642" t="str">
        <f>MID('paste from garc here'!$C$2,1+(('table for research'!$B642-456)*36+HEX2DEC('table for research'!S$1))*2,2)</f>
        <v>01</v>
      </c>
      <c r="T642" t="str">
        <f>MID('paste from garc here'!$C$2,1+(('table for research'!$B642-456)*36+HEX2DEC('table for research'!T$1))*2,2)</f>
        <v>00</v>
      </c>
      <c r="U642" t="str">
        <f>MID('paste from garc here'!$C$2,1+(('table for research'!$B642-456)*36+HEX2DEC('table for research'!U$1))*2,2)</f>
        <v>35</v>
      </c>
      <c r="V642" t="str">
        <f>MID('paste from garc here'!$C$2,1+(('table for research'!$B642-456)*36+HEX2DEC('table for research'!V$1))*2,2)</f>
        <v>00</v>
      </c>
      <c r="W642" t="str">
        <f>MID('paste from garc here'!$C$2,1+(('table for research'!$B642-456)*36+HEX2DEC('table for research'!W$1))*2,2)</f>
        <v>00</v>
      </c>
      <c r="X642" t="str">
        <f>MID('paste from garc here'!$C$2,1+(('table for research'!$B642-456)*36+HEX2DEC('table for research'!X$1))*2,2)</f>
        <v>00</v>
      </c>
      <c r="Y642" t="str">
        <f>MID('paste from garc here'!$C$2,1+(('table for research'!$B642-456)*36+HEX2DEC('table for research'!Y$1))*2,2)</f>
        <v>00</v>
      </c>
      <c r="Z642" t="str">
        <f>MID('paste from garc here'!$C$2,1+(('table for research'!$B642-456)*36+HEX2DEC('table for research'!Z$1))*2,2)</f>
        <v>00</v>
      </c>
      <c r="AA642" t="str">
        <f>MID('paste from garc here'!$C$2,1+(('table for research'!$B642-456)*36+HEX2DEC('table for research'!AA$1))*2,2)</f>
        <v>00</v>
      </c>
      <c r="AB642" t="str">
        <f>MID('paste from garc here'!$C$2,1+(('table for research'!$B642-456)*36+HEX2DEC('table for research'!AB$1))*2,2)</f>
        <v>00</v>
      </c>
      <c r="AC642" t="str">
        <f>MID('paste from garc here'!$C$2,1+(('table for research'!$B642-456)*36+HEX2DEC('table for research'!AC$1))*2,2)</f>
        <v>00</v>
      </c>
      <c r="AD642" t="str">
        <f>MID('paste from garc here'!$C$2,1+(('table for research'!$B642-456)*36+HEX2DEC('table for research'!AD$1))*2,2)</f>
        <v>00</v>
      </c>
      <c r="AE642" t="str">
        <f>MID('paste from garc here'!$C$2,1+(('table for research'!$B642-456)*36+HEX2DEC('table for research'!AE$1))*2,2)</f>
        <v>00</v>
      </c>
      <c r="AF642" t="str">
        <f>MID('paste from garc here'!$C$2,1+(('table for research'!$B642-456)*36+HEX2DEC('table for research'!AF$1))*2,2)</f>
        <v>00</v>
      </c>
      <c r="AG642" t="str">
        <f>MID('paste from garc here'!$C$2,1+(('table for research'!$B642-456)*36+HEX2DEC('table for research'!AG$1))*2,2)</f>
        <v>00</v>
      </c>
      <c r="AH642" t="str">
        <f>MID('paste from garc here'!$C$2,1+(('table for research'!$B642-456)*36+HEX2DEC('table for research'!AH$1))*2,2)</f>
        <v>00</v>
      </c>
      <c r="AI642" t="str">
        <f>MID('paste from garc here'!$C$2,1+(('table for research'!$B642-456)*36+HEX2DEC('table for research'!AI$1))*2,2)</f>
        <v>00</v>
      </c>
      <c r="AJ642" t="str">
        <f>MID('paste from garc here'!$C$2,1+(('table for research'!$B642-456)*36+HEX2DEC('table for research'!AJ$1))*2,2)</f>
        <v>00</v>
      </c>
      <c r="AK642" t="str">
        <f>MID('paste from garc here'!$C$2,1+(('table for research'!$B642-456)*36+HEX2DEC('table for research'!AK$1))*2,2)</f>
        <v>00</v>
      </c>
      <c r="AL642" t="str">
        <f>MID('paste from garc here'!$C$2,1+(('table for research'!$B642-456)*36+HEX2DEC('table for research'!AL$1))*2,2)</f>
        <v>00</v>
      </c>
      <c r="AM642" t="str">
        <f>MID('paste from garc here'!$C$2,1+(('table for research'!$B642-456)*36+HEX2DEC('table for research'!AM$1))*2,2)</f>
        <v>00</v>
      </c>
      <c r="AN642" t="str">
        <f>MID('paste from garc here'!$C$2,1+(('table for research'!$B642-456)*36+HEX2DEC('table for research'!AN$1))*2,2)</f>
        <v>00</v>
      </c>
      <c r="AO642" t="str">
        <f>MID('paste from garc here'!$C$2,1+(('table for research'!$B642-456)*36+HEX2DEC('table for research'!AO$1))*2,2)</f>
        <v>00</v>
      </c>
    </row>
    <row r="643" spans="1:41" x14ac:dyDescent="0.4">
      <c r="A643" t="s">
        <v>642</v>
      </c>
      <c r="B643">
        <f>B642+1</f>
        <v>641</v>
      </c>
      <c r="C643" t="str">
        <f>MID('paste from garc here'!$C$2,1+(('table for research'!$B643-456)*36+HEX2DEC('table for research'!C$1))*2,2)</f>
        <v>00</v>
      </c>
      <c r="D643" t="str">
        <f>MID('paste from garc here'!$C$2,1+(('table for research'!$B643-456)*36+HEX2DEC('table for research'!D$1))*2,2)</f>
        <v>00</v>
      </c>
      <c r="E643" t="str">
        <f>MID('paste from garc here'!$C$2,1+(('table for research'!$B643-456)*36+HEX2DEC('table for research'!E$1))*2,2)</f>
        <v>00</v>
      </c>
      <c r="F643" t="str">
        <f>MID('paste from garc here'!$C$2,1+(('table for research'!$B643-456)*36+HEX2DEC('table for research'!F$1))*2,2)</f>
        <v>00</v>
      </c>
      <c r="G643" t="str">
        <f>MID('paste from garc here'!$C$2,1+(('table for research'!$B643-456)*36+HEX2DEC('table for research'!G$1))*2,2)</f>
        <v>00</v>
      </c>
      <c r="H643" t="str">
        <f>MID('paste from garc here'!$C$2,1+(('table for research'!$B643-456)*36+HEX2DEC('table for research'!H$1))*2,2)</f>
        <v>00</v>
      </c>
      <c r="I643" t="str">
        <f>MID('paste from garc here'!$C$2,1+(('table for research'!$B643-456)*36+HEX2DEC('table for research'!I$1))*2,2)</f>
        <v>00</v>
      </c>
      <c r="J643" t="str">
        <f>MID('paste from garc here'!$C$2,1+(('table for research'!$B643-456)*36+HEX2DEC('table for research'!J$1))*2,2)</f>
        <v>00</v>
      </c>
      <c r="K643" t="str">
        <f>DEC2HEX(_xlfn.BITAND(HEX2DEC(MID('paste from garc here'!$C$1,1+(('table for research'!$B643-1)*36+HEX2DEC(8))*2,2)),31),2)</f>
        <v>00</v>
      </c>
      <c r="L643" t="str">
        <f>DEC2HEX(_xlfn.BITAND(HEX2DEC(MID('paste from garc here'!$C$1,1+(('table for research'!$B643-1)*36+HEX2DEC(8))*2,2)),32),2)</f>
        <v>00</v>
      </c>
      <c r="M643" t="str">
        <f>DEC2HEX(_xlfn.BITAND(HEX2DEC(MID('paste from garc here'!$C$1,1+(('table for research'!$B643-1)*36+HEX2DEC(8))*2,2)),64),2)</f>
        <v>00</v>
      </c>
      <c r="N643" t="str">
        <f>DEC2HEX(_xlfn.BITRSHIFT(_xlfn.BITAND(HEX2DEC(MID('paste from garc here'!$C$1,1+(('table for research'!$B643-1)*36+HEX2DEC(9))*2,2)&amp;MID('paste from garc here'!$C$1,1+(('table for research'!$B643-1)*36+HEX2DEC(8))*2,2)),1920),7),2)</f>
        <v>00</v>
      </c>
      <c r="O643" t="str">
        <f>DEC2HEX(_xlfn.BITRSHIFT(HEX2DEC(MID('paste from garc here'!$C$1,1+(('table for research'!$B643-1)*36+HEX2DEC(9))*2,2)&amp;MID('paste from garc here'!$C$1,1+(('table for research'!$B643-1)*36+HEX2DEC(8))*2,2)),11),2)</f>
        <v>00</v>
      </c>
      <c r="P643" t="str">
        <f>MID('paste from garc here'!$C$2,1+(('table for research'!$B643-456)*36+HEX2DEC('table for research'!P$1))*2,2)</f>
        <v>00</v>
      </c>
      <c r="Q643" t="str">
        <f>MID('paste from garc here'!$C$2,1+(('table for research'!$B643-456)*36+HEX2DEC('table for research'!Q$1))*2,2)</f>
        <v>00</v>
      </c>
      <c r="R643" t="str">
        <f>MID('paste from garc here'!$C$2,1+(('table for research'!$B643-456)*36+HEX2DEC('table for research'!R$1))*2,2)</f>
        <v>00</v>
      </c>
      <c r="S643" t="str">
        <f>MID('paste from garc here'!$C$2,1+(('table for research'!$B643-456)*36+HEX2DEC('table for research'!S$1))*2,2)</f>
        <v>08</v>
      </c>
      <c r="T643" t="str">
        <f>MID('paste from garc here'!$C$2,1+(('table for research'!$B643-456)*36+HEX2DEC('table for research'!T$1))*2,2)</f>
        <v>00</v>
      </c>
      <c r="U643" t="str">
        <f>MID('paste from garc here'!$C$2,1+(('table for research'!$B643-456)*36+HEX2DEC('table for research'!U$1))*2,2)</f>
        <v>FF</v>
      </c>
      <c r="V643" t="str">
        <f>MID('paste from garc here'!$C$2,1+(('table for research'!$B643-456)*36+HEX2DEC('table for research'!V$1))*2,2)</f>
        <v>00</v>
      </c>
      <c r="W643" t="str">
        <f>MID('paste from garc here'!$C$2,1+(('table for research'!$B643-456)*36+HEX2DEC('table for research'!W$1))*2,2)</f>
        <v>00</v>
      </c>
      <c r="X643" t="str">
        <f>MID('paste from garc here'!$C$2,1+(('table for research'!$B643-456)*36+HEX2DEC('table for research'!X$1))*2,2)</f>
        <v>00</v>
      </c>
      <c r="Y643" t="str">
        <f>MID('paste from garc here'!$C$2,1+(('table for research'!$B643-456)*36+HEX2DEC('table for research'!Y$1))*2,2)</f>
        <v>00</v>
      </c>
      <c r="Z643" t="str">
        <f>MID('paste from garc here'!$C$2,1+(('table for research'!$B643-456)*36+HEX2DEC('table for research'!Z$1))*2,2)</f>
        <v>00</v>
      </c>
      <c r="AA643" t="str">
        <f>MID('paste from garc here'!$C$2,1+(('table for research'!$B643-456)*36+HEX2DEC('table for research'!AA$1))*2,2)</f>
        <v>00</v>
      </c>
      <c r="AB643" t="str">
        <f>MID('paste from garc here'!$C$2,1+(('table for research'!$B643-456)*36+HEX2DEC('table for research'!AB$1))*2,2)</f>
        <v>00</v>
      </c>
      <c r="AC643" t="str">
        <f>MID('paste from garc here'!$C$2,1+(('table for research'!$B643-456)*36+HEX2DEC('table for research'!AC$1))*2,2)</f>
        <v>00</v>
      </c>
      <c r="AD643" t="str">
        <f>MID('paste from garc here'!$C$2,1+(('table for research'!$B643-456)*36+HEX2DEC('table for research'!AD$1))*2,2)</f>
        <v>00</v>
      </c>
      <c r="AE643" t="str">
        <f>MID('paste from garc here'!$C$2,1+(('table for research'!$B643-456)*36+HEX2DEC('table for research'!AE$1))*2,2)</f>
        <v>00</v>
      </c>
      <c r="AF643" t="str">
        <f>MID('paste from garc here'!$C$2,1+(('table for research'!$B643-456)*36+HEX2DEC('table for research'!AF$1))*2,2)</f>
        <v>00</v>
      </c>
      <c r="AG643" t="str">
        <f>MID('paste from garc here'!$C$2,1+(('table for research'!$B643-456)*36+HEX2DEC('table for research'!AG$1))*2,2)</f>
        <v>00</v>
      </c>
      <c r="AH643" t="str">
        <f>MID('paste from garc here'!$C$2,1+(('table for research'!$B643-456)*36+HEX2DEC('table for research'!AH$1))*2,2)</f>
        <v>00</v>
      </c>
      <c r="AI643" t="str">
        <f>MID('paste from garc here'!$C$2,1+(('table for research'!$B643-456)*36+HEX2DEC('table for research'!AI$1))*2,2)</f>
        <v>00</v>
      </c>
      <c r="AJ643" t="str">
        <f>MID('paste from garc here'!$C$2,1+(('table for research'!$B643-456)*36+HEX2DEC('table for research'!AJ$1))*2,2)</f>
        <v>00</v>
      </c>
      <c r="AK643" t="str">
        <f>MID('paste from garc here'!$C$2,1+(('table for research'!$B643-456)*36+HEX2DEC('table for research'!AK$1))*2,2)</f>
        <v>00</v>
      </c>
      <c r="AL643" t="str">
        <f>MID('paste from garc here'!$C$2,1+(('table for research'!$B643-456)*36+HEX2DEC('table for research'!AL$1))*2,2)</f>
        <v>00</v>
      </c>
      <c r="AM643" t="str">
        <f>MID('paste from garc here'!$C$2,1+(('table for research'!$B643-456)*36+HEX2DEC('table for research'!AM$1))*2,2)</f>
        <v>00</v>
      </c>
      <c r="AN643" t="str">
        <f>MID('paste from garc here'!$C$2,1+(('table for research'!$B643-456)*36+HEX2DEC('table for research'!AN$1))*2,2)</f>
        <v>00</v>
      </c>
      <c r="AO643" t="str">
        <f>MID('paste from garc here'!$C$2,1+(('table for research'!$B643-456)*36+HEX2DEC('table for research'!AO$1))*2,2)</f>
        <v>00</v>
      </c>
    </row>
    <row r="644" spans="1:41" x14ac:dyDescent="0.4">
      <c r="A644" t="s">
        <v>643</v>
      </c>
      <c r="B644">
        <f>B643+1</f>
        <v>642</v>
      </c>
      <c r="C644" t="str">
        <f>MID('paste from garc here'!$C$2,1+(('table for research'!$B644-456)*36+HEX2DEC('table for research'!C$1))*2,2)</f>
        <v>00</v>
      </c>
      <c r="D644" t="str">
        <f>MID('paste from garc here'!$C$2,1+(('table for research'!$B644-456)*36+HEX2DEC('table for research'!D$1))*2,2)</f>
        <v>00</v>
      </c>
      <c r="E644" t="str">
        <f>MID('paste from garc here'!$C$2,1+(('table for research'!$B644-456)*36+HEX2DEC('table for research'!E$1))*2,2)</f>
        <v>00</v>
      </c>
      <c r="F644" t="str">
        <f>MID('paste from garc here'!$C$2,1+(('table for research'!$B644-456)*36+HEX2DEC('table for research'!F$1))*2,2)</f>
        <v>00</v>
      </c>
      <c r="G644" t="str">
        <f>MID('paste from garc here'!$C$2,1+(('table for research'!$B644-456)*36+HEX2DEC('table for research'!G$1))*2,2)</f>
        <v>00</v>
      </c>
      <c r="H644" t="str">
        <f>MID('paste from garc here'!$C$2,1+(('table for research'!$B644-456)*36+HEX2DEC('table for research'!H$1))*2,2)</f>
        <v>00</v>
      </c>
      <c r="I644" t="str">
        <f>MID('paste from garc here'!$C$2,1+(('table for research'!$B644-456)*36+HEX2DEC('table for research'!I$1))*2,2)</f>
        <v>00</v>
      </c>
      <c r="J644" t="str">
        <f>MID('paste from garc here'!$C$2,1+(('table for research'!$B644-456)*36+HEX2DEC('table for research'!J$1))*2,2)</f>
        <v>00</v>
      </c>
      <c r="K644" t="str">
        <f>DEC2HEX(_xlfn.BITAND(HEX2DEC(MID('paste from garc here'!$C$1,1+(('table for research'!$B644-1)*36+HEX2DEC(8))*2,2)),31),2)</f>
        <v>00</v>
      </c>
      <c r="L644" t="str">
        <f>DEC2HEX(_xlfn.BITAND(HEX2DEC(MID('paste from garc here'!$C$1,1+(('table for research'!$B644-1)*36+HEX2DEC(8))*2,2)),32),2)</f>
        <v>00</v>
      </c>
      <c r="M644" t="str">
        <f>DEC2HEX(_xlfn.BITAND(HEX2DEC(MID('paste from garc here'!$C$1,1+(('table for research'!$B644-1)*36+HEX2DEC(8))*2,2)),64),2)</f>
        <v>00</v>
      </c>
      <c r="N644" t="str">
        <f>DEC2HEX(_xlfn.BITRSHIFT(_xlfn.BITAND(HEX2DEC(MID('paste from garc here'!$C$1,1+(('table for research'!$B644-1)*36+HEX2DEC(9))*2,2)&amp;MID('paste from garc here'!$C$1,1+(('table for research'!$B644-1)*36+HEX2DEC(8))*2,2)),1920),7),2)</f>
        <v>00</v>
      </c>
      <c r="O644" t="str">
        <f>DEC2HEX(_xlfn.BITRSHIFT(HEX2DEC(MID('paste from garc here'!$C$1,1+(('table for research'!$B644-1)*36+HEX2DEC(9))*2,2)&amp;MID('paste from garc here'!$C$1,1+(('table for research'!$B644-1)*36+HEX2DEC(8))*2,2)),11),2)</f>
        <v>00</v>
      </c>
      <c r="P644" t="str">
        <f>MID('paste from garc here'!$C$2,1+(('table for research'!$B644-456)*36+HEX2DEC('table for research'!P$1))*2,2)</f>
        <v>00</v>
      </c>
      <c r="Q644" t="str">
        <f>MID('paste from garc here'!$C$2,1+(('table for research'!$B644-456)*36+HEX2DEC('table for research'!Q$1))*2,2)</f>
        <v>00</v>
      </c>
      <c r="R644" t="str">
        <f>MID('paste from garc here'!$C$2,1+(('table for research'!$B644-456)*36+HEX2DEC('table for research'!R$1))*2,2)</f>
        <v>00</v>
      </c>
      <c r="S644" t="str">
        <f>MID('paste from garc here'!$C$2,1+(('table for research'!$B644-456)*36+HEX2DEC('table for research'!S$1))*2,2)</f>
        <v>08</v>
      </c>
      <c r="T644" t="str">
        <f>MID('paste from garc here'!$C$2,1+(('table for research'!$B644-456)*36+HEX2DEC('table for research'!T$1))*2,2)</f>
        <v>00</v>
      </c>
      <c r="U644" t="str">
        <f>MID('paste from garc here'!$C$2,1+(('table for research'!$B644-456)*36+HEX2DEC('table for research'!U$1))*2,2)</f>
        <v>FF</v>
      </c>
      <c r="V644" t="str">
        <f>MID('paste from garc here'!$C$2,1+(('table for research'!$B644-456)*36+HEX2DEC('table for research'!V$1))*2,2)</f>
        <v>00</v>
      </c>
      <c r="W644" t="str">
        <f>MID('paste from garc here'!$C$2,1+(('table for research'!$B644-456)*36+HEX2DEC('table for research'!W$1))*2,2)</f>
        <v>00</v>
      </c>
      <c r="X644" t="str">
        <f>MID('paste from garc here'!$C$2,1+(('table for research'!$B644-456)*36+HEX2DEC('table for research'!X$1))*2,2)</f>
        <v>00</v>
      </c>
      <c r="Y644" t="str">
        <f>MID('paste from garc here'!$C$2,1+(('table for research'!$B644-456)*36+HEX2DEC('table for research'!Y$1))*2,2)</f>
        <v>00</v>
      </c>
      <c r="Z644" t="str">
        <f>MID('paste from garc here'!$C$2,1+(('table for research'!$B644-456)*36+HEX2DEC('table for research'!Z$1))*2,2)</f>
        <v>00</v>
      </c>
      <c r="AA644" t="str">
        <f>MID('paste from garc here'!$C$2,1+(('table for research'!$B644-456)*36+HEX2DEC('table for research'!AA$1))*2,2)</f>
        <v>00</v>
      </c>
      <c r="AB644" t="str">
        <f>MID('paste from garc here'!$C$2,1+(('table for research'!$B644-456)*36+HEX2DEC('table for research'!AB$1))*2,2)</f>
        <v>00</v>
      </c>
      <c r="AC644" t="str">
        <f>MID('paste from garc here'!$C$2,1+(('table for research'!$B644-456)*36+HEX2DEC('table for research'!AC$1))*2,2)</f>
        <v>00</v>
      </c>
      <c r="AD644" t="str">
        <f>MID('paste from garc here'!$C$2,1+(('table for research'!$B644-456)*36+HEX2DEC('table for research'!AD$1))*2,2)</f>
        <v>00</v>
      </c>
      <c r="AE644" t="str">
        <f>MID('paste from garc here'!$C$2,1+(('table for research'!$B644-456)*36+HEX2DEC('table for research'!AE$1))*2,2)</f>
        <v>00</v>
      </c>
      <c r="AF644" t="str">
        <f>MID('paste from garc here'!$C$2,1+(('table for research'!$B644-456)*36+HEX2DEC('table for research'!AF$1))*2,2)</f>
        <v>00</v>
      </c>
      <c r="AG644" t="str">
        <f>MID('paste from garc here'!$C$2,1+(('table for research'!$B644-456)*36+HEX2DEC('table for research'!AG$1))*2,2)</f>
        <v>00</v>
      </c>
      <c r="AH644" t="str">
        <f>MID('paste from garc here'!$C$2,1+(('table for research'!$B644-456)*36+HEX2DEC('table for research'!AH$1))*2,2)</f>
        <v>00</v>
      </c>
      <c r="AI644" t="str">
        <f>MID('paste from garc here'!$C$2,1+(('table for research'!$B644-456)*36+HEX2DEC('table for research'!AI$1))*2,2)</f>
        <v>00</v>
      </c>
      <c r="AJ644" t="str">
        <f>MID('paste from garc here'!$C$2,1+(('table for research'!$B644-456)*36+HEX2DEC('table for research'!AJ$1))*2,2)</f>
        <v>00</v>
      </c>
      <c r="AK644" t="str">
        <f>MID('paste from garc here'!$C$2,1+(('table for research'!$B644-456)*36+HEX2DEC('table for research'!AK$1))*2,2)</f>
        <v>00</v>
      </c>
      <c r="AL644" t="str">
        <f>MID('paste from garc here'!$C$2,1+(('table for research'!$B644-456)*36+HEX2DEC('table for research'!AL$1))*2,2)</f>
        <v>00</v>
      </c>
      <c r="AM644" t="str">
        <f>MID('paste from garc here'!$C$2,1+(('table for research'!$B644-456)*36+HEX2DEC('table for research'!AM$1))*2,2)</f>
        <v>00</v>
      </c>
      <c r="AN644" t="str">
        <f>MID('paste from garc here'!$C$2,1+(('table for research'!$B644-456)*36+HEX2DEC('table for research'!AN$1))*2,2)</f>
        <v>00</v>
      </c>
      <c r="AO644" t="str">
        <f>MID('paste from garc here'!$C$2,1+(('table for research'!$B644-456)*36+HEX2DEC('table for research'!AO$1))*2,2)</f>
        <v>00</v>
      </c>
    </row>
    <row r="645" spans="1:41" x14ac:dyDescent="0.4">
      <c r="A645" t="s">
        <v>644</v>
      </c>
      <c r="B645">
        <f>B644+1</f>
        <v>643</v>
      </c>
      <c r="C645" t="str">
        <f>MID('paste from garc here'!$C$2,1+(('table for research'!$B645-456)*36+HEX2DEC('table for research'!C$1))*2,2)</f>
        <v>00</v>
      </c>
      <c r="D645" t="str">
        <f>MID('paste from garc here'!$C$2,1+(('table for research'!$B645-456)*36+HEX2DEC('table for research'!D$1))*2,2)</f>
        <v>00</v>
      </c>
      <c r="E645" t="str">
        <f>MID('paste from garc here'!$C$2,1+(('table for research'!$B645-456)*36+HEX2DEC('table for research'!E$1))*2,2)</f>
        <v>00</v>
      </c>
      <c r="F645" t="str">
        <f>MID('paste from garc here'!$C$2,1+(('table for research'!$B645-456)*36+HEX2DEC('table for research'!F$1))*2,2)</f>
        <v>00</v>
      </c>
      <c r="G645" t="str">
        <f>MID('paste from garc here'!$C$2,1+(('table for research'!$B645-456)*36+HEX2DEC('table for research'!G$1))*2,2)</f>
        <v>00</v>
      </c>
      <c r="H645" t="str">
        <f>MID('paste from garc here'!$C$2,1+(('table for research'!$B645-456)*36+HEX2DEC('table for research'!H$1))*2,2)</f>
        <v>00</v>
      </c>
      <c r="I645" t="str">
        <f>MID('paste from garc here'!$C$2,1+(('table for research'!$B645-456)*36+HEX2DEC('table for research'!I$1))*2,2)</f>
        <v>00</v>
      </c>
      <c r="J645" t="str">
        <f>MID('paste from garc here'!$C$2,1+(('table for research'!$B645-456)*36+HEX2DEC('table for research'!J$1))*2,2)</f>
        <v>00</v>
      </c>
      <c r="K645" t="str">
        <f>DEC2HEX(_xlfn.BITAND(HEX2DEC(MID('paste from garc here'!$C$1,1+(('table for research'!$B645-1)*36+HEX2DEC(8))*2,2)),31),2)</f>
        <v>00</v>
      </c>
      <c r="L645" t="str">
        <f>DEC2HEX(_xlfn.BITAND(HEX2DEC(MID('paste from garc here'!$C$1,1+(('table for research'!$B645-1)*36+HEX2DEC(8))*2,2)),32),2)</f>
        <v>00</v>
      </c>
      <c r="M645" t="str">
        <f>DEC2HEX(_xlfn.BITAND(HEX2DEC(MID('paste from garc here'!$C$1,1+(('table for research'!$B645-1)*36+HEX2DEC(8))*2,2)),64),2)</f>
        <v>00</v>
      </c>
      <c r="N645" t="str">
        <f>DEC2HEX(_xlfn.BITRSHIFT(_xlfn.BITAND(HEX2DEC(MID('paste from garc here'!$C$1,1+(('table for research'!$B645-1)*36+HEX2DEC(9))*2,2)&amp;MID('paste from garc here'!$C$1,1+(('table for research'!$B645-1)*36+HEX2DEC(8))*2,2)),1920),7),2)</f>
        <v>00</v>
      </c>
      <c r="O645" t="str">
        <f>DEC2HEX(_xlfn.BITRSHIFT(HEX2DEC(MID('paste from garc here'!$C$1,1+(('table for research'!$B645-1)*36+HEX2DEC(9))*2,2)&amp;MID('paste from garc here'!$C$1,1+(('table for research'!$B645-1)*36+HEX2DEC(8))*2,2)),11),2)</f>
        <v>00</v>
      </c>
      <c r="P645" t="str">
        <f>MID('paste from garc here'!$C$2,1+(('table for research'!$B645-456)*36+HEX2DEC('table for research'!P$1))*2,2)</f>
        <v>00</v>
      </c>
      <c r="Q645" t="str">
        <f>MID('paste from garc here'!$C$2,1+(('table for research'!$B645-456)*36+HEX2DEC('table for research'!Q$1))*2,2)</f>
        <v>00</v>
      </c>
      <c r="R645" t="str">
        <f>MID('paste from garc here'!$C$2,1+(('table for research'!$B645-456)*36+HEX2DEC('table for research'!R$1))*2,2)</f>
        <v>00</v>
      </c>
      <c r="S645" t="str">
        <f>MID('paste from garc here'!$C$2,1+(('table for research'!$B645-456)*36+HEX2DEC('table for research'!S$1))*2,2)</f>
        <v>08</v>
      </c>
      <c r="T645" t="str">
        <f>MID('paste from garc here'!$C$2,1+(('table for research'!$B645-456)*36+HEX2DEC('table for research'!T$1))*2,2)</f>
        <v>00</v>
      </c>
      <c r="U645" t="str">
        <f>MID('paste from garc here'!$C$2,1+(('table for research'!$B645-456)*36+HEX2DEC('table for research'!U$1))*2,2)</f>
        <v>FF</v>
      </c>
      <c r="V645" t="str">
        <f>MID('paste from garc here'!$C$2,1+(('table for research'!$B645-456)*36+HEX2DEC('table for research'!V$1))*2,2)</f>
        <v>00</v>
      </c>
      <c r="W645" t="str">
        <f>MID('paste from garc here'!$C$2,1+(('table for research'!$B645-456)*36+HEX2DEC('table for research'!W$1))*2,2)</f>
        <v>00</v>
      </c>
      <c r="X645" t="str">
        <f>MID('paste from garc here'!$C$2,1+(('table for research'!$B645-456)*36+HEX2DEC('table for research'!X$1))*2,2)</f>
        <v>00</v>
      </c>
      <c r="Y645" t="str">
        <f>MID('paste from garc here'!$C$2,1+(('table for research'!$B645-456)*36+HEX2DEC('table for research'!Y$1))*2,2)</f>
        <v>00</v>
      </c>
      <c r="Z645" t="str">
        <f>MID('paste from garc here'!$C$2,1+(('table for research'!$B645-456)*36+HEX2DEC('table for research'!Z$1))*2,2)</f>
        <v>00</v>
      </c>
      <c r="AA645" t="str">
        <f>MID('paste from garc here'!$C$2,1+(('table for research'!$B645-456)*36+HEX2DEC('table for research'!AA$1))*2,2)</f>
        <v>00</v>
      </c>
      <c r="AB645" t="str">
        <f>MID('paste from garc here'!$C$2,1+(('table for research'!$B645-456)*36+HEX2DEC('table for research'!AB$1))*2,2)</f>
        <v>00</v>
      </c>
      <c r="AC645" t="str">
        <f>MID('paste from garc here'!$C$2,1+(('table for research'!$B645-456)*36+HEX2DEC('table for research'!AC$1))*2,2)</f>
        <v>00</v>
      </c>
      <c r="AD645" t="str">
        <f>MID('paste from garc here'!$C$2,1+(('table for research'!$B645-456)*36+HEX2DEC('table for research'!AD$1))*2,2)</f>
        <v>00</v>
      </c>
      <c r="AE645" t="str">
        <f>MID('paste from garc here'!$C$2,1+(('table for research'!$B645-456)*36+HEX2DEC('table for research'!AE$1))*2,2)</f>
        <v>00</v>
      </c>
      <c r="AF645" t="str">
        <f>MID('paste from garc here'!$C$2,1+(('table for research'!$B645-456)*36+HEX2DEC('table for research'!AF$1))*2,2)</f>
        <v>00</v>
      </c>
      <c r="AG645" t="str">
        <f>MID('paste from garc here'!$C$2,1+(('table for research'!$B645-456)*36+HEX2DEC('table for research'!AG$1))*2,2)</f>
        <v>00</v>
      </c>
      <c r="AH645" t="str">
        <f>MID('paste from garc here'!$C$2,1+(('table for research'!$B645-456)*36+HEX2DEC('table for research'!AH$1))*2,2)</f>
        <v>00</v>
      </c>
      <c r="AI645" t="str">
        <f>MID('paste from garc here'!$C$2,1+(('table for research'!$B645-456)*36+HEX2DEC('table for research'!AI$1))*2,2)</f>
        <v>00</v>
      </c>
      <c r="AJ645" t="str">
        <f>MID('paste from garc here'!$C$2,1+(('table for research'!$B645-456)*36+HEX2DEC('table for research'!AJ$1))*2,2)</f>
        <v>00</v>
      </c>
      <c r="AK645" t="str">
        <f>MID('paste from garc here'!$C$2,1+(('table for research'!$B645-456)*36+HEX2DEC('table for research'!AK$1))*2,2)</f>
        <v>00</v>
      </c>
      <c r="AL645" t="str">
        <f>MID('paste from garc here'!$C$2,1+(('table for research'!$B645-456)*36+HEX2DEC('table for research'!AL$1))*2,2)</f>
        <v>00</v>
      </c>
      <c r="AM645" t="str">
        <f>MID('paste from garc here'!$C$2,1+(('table for research'!$B645-456)*36+HEX2DEC('table for research'!AM$1))*2,2)</f>
        <v>00</v>
      </c>
      <c r="AN645" t="str">
        <f>MID('paste from garc here'!$C$2,1+(('table for research'!$B645-456)*36+HEX2DEC('table for research'!AN$1))*2,2)</f>
        <v>00</v>
      </c>
      <c r="AO645" t="str">
        <f>MID('paste from garc here'!$C$2,1+(('table for research'!$B645-456)*36+HEX2DEC('table for research'!AO$1))*2,2)</f>
        <v>00</v>
      </c>
    </row>
    <row r="646" spans="1:41" x14ac:dyDescent="0.4">
      <c r="A646" t="s">
        <v>645</v>
      </c>
      <c r="B646">
        <f>B645+1</f>
        <v>644</v>
      </c>
      <c r="C646" t="str">
        <f>MID('paste from garc here'!$C$2,1+(('table for research'!$B646-456)*36+HEX2DEC('table for research'!C$1))*2,2)</f>
        <v>64</v>
      </c>
      <c r="D646" t="str">
        <f>MID('paste from garc here'!$C$2,1+(('table for research'!$B646-456)*36+HEX2DEC('table for research'!D$1))*2,2)</f>
        <v>00</v>
      </c>
      <c r="E646" t="str">
        <f>MID('paste from garc here'!$C$2,1+(('table for research'!$B646-456)*36+HEX2DEC('table for research'!E$1))*2,2)</f>
        <v>AF</v>
      </c>
      <c r="F646" t="str">
        <f>MID('paste from garc here'!$C$2,1+(('table for research'!$B646-456)*36+HEX2DEC('table for research'!F$1))*2,2)</f>
        <v>14</v>
      </c>
      <c r="G646" t="str">
        <f>MID('paste from garc here'!$C$2,1+(('table for research'!$B646-456)*36+HEX2DEC('table for research'!G$1))*2,2)</f>
        <v>00</v>
      </c>
      <c r="H646" t="str">
        <f>MID('paste from garc here'!$C$2,1+(('table for research'!$B646-456)*36+HEX2DEC('table for research'!H$1))*2,2)</f>
        <v>00</v>
      </c>
      <c r="I646" t="str">
        <f>MID('paste from garc here'!$C$2,1+(('table for research'!$B646-456)*36+HEX2DEC('table for research'!I$1))*2,2)</f>
        <v>5A</v>
      </c>
      <c r="J646" t="str">
        <f>MID('paste from garc here'!$C$2,1+(('table for research'!$B646-456)*36+HEX2DEC('table for research'!J$1))*2,2)</f>
        <v>00</v>
      </c>
      <c r="K646" t="str">
        <f>DEC2HEX(_xlfn.BITAND(HEX2DEC(MID('paste from garc here'!$C$1,1+(('table for research'!$B646-1)*36+HEX2DEC(8))*2,2)),31),2)</f>
        <v>00</v>
      </c>
      <c r="L646" t="str">
        <f>DEC2HEX(_xlfn.BITAND(HEX2DEC(MID('paste from garc here'!$C$1,1+(('table for research'!$B646-1)*36+HEX2DEC(8))*2,2)),32),2)</f>
        <v>00</v>
      </c>
      <c r="M646" t="str">
        <f>DEC2HEX(_xlfn.BITAND(HEX2DEC(MID('paste from garc here'!$C$1,1+(('table for research'!$B646-1)*36+HEX2DEC(8))*2,2)),64),2)</f>
        <v>00</v>
      </c>
      <c r="N646" t="str">
        <f>DEC2HEX(_xlfn.BITRSHIFT(_xlfn.BITAND(HEX2DEC(MID('paste from garc here'!$C$1,1+(('table for research'!$B646-1)*36+HEX2DEC(9))*2,2)&amp;MID('paste from garc here'!$C$1,1+(('table for research'!$B646-1)*36+HEX2DEC(8))*2,2)),1920),7),2)</f>
        <v>00</v>
      </c>
      <c r="O646" t="str">
        <f>DEC2HEX(_xlfn.BITRSHIFT(HEX2DEC(MID('paste from garc here'!$C$1,1+(('table for research'!$B646-1)*36+HEX2DEC(9))*2,2)&amp;MID('paste from garc here'!$C$1,1+(('table for research'!$B646-1)*36+HEX2DEC(8))*2,2)),11),2)</f>
        <v>00</v>
      </c>
      <c r="P646" t="str">
        <f>MID('paste from garc here'!$C$2,1+(('table for research'!$B646-456)*36+HEX2DEC('table for research'!P$1))*2,2)</f>
        <v>00</v>
      </c>
      <c r="Q646" t="str">
        <f>MID('paste from garc here'!$C$2,1+(('table for research'!$B646-456)*36+HEX2DEC('table for research'!Q$1))*2,2)</f>
        <v>00</v>
      </c>
      <c r="R646" t="str">
        <f>MID('paste from garc here'!$C$2,1+(('table for research'!$B646-456)*36+HEX2DEC('table for research'!R$1))*2,2)</f>
        <v>00</v>
      </c>
      <c r="S646" t="str">
        <f>MID('paste from garc here'!$C$2,1+(('table for research'!$B646-456)*36+HEX2DEC('table for research'!S$1))*2,2)</f>
        <v>01</v>
      </c>
      <c r="T646" t="str">
        <f>MID('paste from garc here'!$C$2,1+(('table for research'!$B646-456)*36+HEX2DEC('table for research'!T$1))*2,2)</f>
        <v>00</v>
      </c>
      <c r="U646" t="str">
        <f>MID('paste from garc here'!$C$2,1+(('table for research'!$B646-456)*36+HEX2DEC('table for research'!U$1))*2,2)</f>
        <v>A4</v>
      </c>
      <c r="V646" t="str">
        <f>MID('paste from garc here'!$C$2,1+(('table for research'!$B646-456)*36+HEX2DEC('table for research'!V$1))*2,2)</f>
        <v>00</v>
      </c>
      <c r="W646" t="str">
        <f>MID('paste from garc here'!$C$2,1+(('table for research'!$B646-456)*36+HEX2DEC('table for research'!W$1))*2,2)</f>
        <v>00</v>
      </c>
      <c r="X646" t="str">
        <f>MID('paste from garc here'!$C$2,1+(('table for research'!$B646-456)*36+HEX2DEC('table for research'!X$1))*2,2)</f>
        <v>00</v>
      </c>
      <c r="Y646" t="str">
        <f>MID('paste from garc here'!$C$2,1+(('table for research'!$B646-456)*36+HEX2DEC('table for research'!Y$1))*2,2)</f>
        <v>00</v>
      </c>
      <c r="Z646" t="str">
        <f>MID('paste from garc here'!$C$2,1+(('table for research'!$B646-456)*36+HEX2DEC('table for research'!Z$1))*2,2)</f>
        <v>00</v>
      </c>
      <c r="AA646" t="str">
        <f>MID('paste from garc here'!$C$2,1+(('table for research'!$B646-456)*36+HEX2DEC('table for research'!AA$1))*2,2)</f>
        <v>00</v>
      </c>
      <c r="AB646" t="str">
        <f>MID('paste from garc here'!$C$2,1+(('table for research'!$B646-456)*36+HEX2DEC('table for research'!AB$1))*2,2)</f>
        <v>00</v>
      </c>
      <c r="AC646" t="str">
        <f>MID('paste from garc here'!$C$2,1+(('table for research'!$B646-456)*36+HEX2DEC('table for research'!AC$1))*2,2)</f>
        <v>00</v>
      </c>
      <c r="AD646" t="str">
        <f>MID('paste from garc here'!$C$2,1+(('table for research'!$B646-456)*36+HEX2DEC('table for research'!AD$1))*2,2)</f>
        <v>00</v>
      </c>
      <c r="AE646" t="str">
        <f>MID('paste from garc here'!$C$2,1+(('table for research'!$B646-456)*36+HEX2DEC('table for research'!AE$1))*2,2)</f>
        <v>00</v>
      </c>
      <c r="AF646" t="str">
        <f>MID('paste from garc here'!$C$2,1+(('table for research'!$B646-456)*36+HEX2DEC('table for research'!AF$1))*2,2)</f>
        <v>00</v>
      </c>
      <c r="AG646" t="str">
        <f>MID('paste from garc here'!$C$2,1+(('table for research'!$B646-456)*36+HEX2DEC('table for research'!AG$1))*2,2)</f>
        <v>00</v>
      </c>
      <c r="AH646" t="str">
        <f>MID('paste from garc here'!$C$2,1+(('table for research'!$B646-456)*36+HEX2DEC('table for research'!AH$1))*2,2)</f>
        <v>00</v>
      </c>
      <c r="AI646" t="str">
        <f>MID('paste from garc here'!$C$2,1+(('table for research'!$B646-456)*36+HEX2DEC('table for research'!AI$1))*2,2)</f>
        <v>00</v>
      </c>
      <c r="AJ646" t="str">
        <f>MID('paste from garc here'!$C$2,1+(('table for research'!$B646-456)*36+HEX2DEC('table for research'!AJ$1))*2,2)</f>
        <v>00</v>
      </c>
      <c r="AK646" t="str">
        <f>MID('paste from garc here'!$C$2,1+(('table for research'!$B646-456)*36+HEX2DEC('table for research'!AK$1))*2,2)</f>
        <v>00</v>
      </c>
      <c r="AL646" t="str">
        <f>MID('paste from garc here'!$C$2,1+(('table for research'!$B646-456)*36+HEX2DEC('table for research'!AL$1))*2,2)</f>
        <v>00</v>
      </c>
      <c r="AM646" t="str">
        <f>MID('paste from garc here'!$C$2,1+(('table for research'!$B646-456)*36+HEX2DEC('table for research'!AM$1))*2,2)</f>
        <v>00</v>
      </c>
      <c r="AN646" t="str">
        <f>MID('paste from garc here'!$C$2,1+(('table for research'!$B646-456)*36+HEX2DEC('table for research'!AN$1))*2,2)</f>
        <v>00</v>
      </c>
      <c r="AO646" t="str">
        <f>MID('paste from garc here'!$C$2,1+(('table for research'!$B646-456)*36+HEX2DEC('table for research'!AO$1))*2,2)</f>
        <v>00</v>
      </c>
    </row>
    <row r="647" spans="1:41" x14ac:dyDescent="0.4">
      <c r="A647" t="s">
        <v>646</v>
      </c>
      <c r="B647">
        <f>B646+1</f>
        <v>645</v>
      </c>
      <c r="C647" t="str">
        <f>MID('paste from garc here'!$C$2,1+(('table for research'!$B647-456)*36+HEX2DEC('table for research'!C$1))*2,2)</f>
        <v>E8</v>
      </c>
      <c r="D647" t="str">
        <f>MID('paste from garc here'!$C$2,1+(('table for research'!$B647-456)*36+HEX2DEC('table for research'!D$1))*2,2)</f>
        <v>03</v>
      </c>
      <c r="E647" t="str">
        <f>MID('paste from garc here'!$C$2,1+(('table for research'!$B647-456)*36+HEX2DEC('table for research'!E$1))*2,2)</f>
        <v>00</v>
      </c>
      <c r="F647" t="str">
        <f>MID('paste from garc here'!$C$2,1+(('table for research'!$B647-456)*36+HEX2DEC('table for research'!F$1))*2,2)</f>
        <v>00</v>
      </c>
      <c r="G647" t="str">
        <f>MID('paste from garc here'!$C$2,1+(('table for research'!$B647-456)*36+HEX2DEC('table for research'!G$1))*2,2)</f>
        <v>00</v>
      </c>
      <c r="H647" t="str">
        <f>MID('paste from garc here'!$C$2,1+(('table for research'!$B647-456)*36+HEX2DEC('table for research'!H$1))*2,2)</f>
        <v>00</v>
      </c>
      <c r="I647" t="str">
        <f>MID('paste from garc here'!$C$2,1+(('table for research'!$B647-456)*36+HEX2DEC('table for research'!I$1))*2,2)</f>
        <v>00</v>
      </c>
      <c r="J647" t="str">
        <f>MID('paste from garc here'!$C$2,1+(('table for research'!$B647-456)*36+HEX2DEC('table for research'!J$1))*2,2)</f>
        <v>00</v>
      </c>
      <c r="K647" t="str">
        <f>DEC2HEX(_xlfn.BITAND(HEX2DEC(MID('paste from garc here'!$C$1,1+(('table for research'!$B647-1)*36+HEX2DEC(8))*2,2)),31),2)</f>
        <v>00</v>
      </c>
      <c r="L647" t="str">
        <f>DEC2HEX(_xlfn.BITAND(HEX2DEC(MID('paste from garc here'!$C$1,1+(('table for research'!$B647-1)*36+HEX2DEC(8))*2,2)),32),2)</f>
        <v>00</v>
      </c>
      <c r="M647" t="str">
        <f>DEC2HEX(_xlfn.BITAND(HEX2DEC(MID('paste from garc here'!$C$1,1+(('table for research'!$B647-1)*36+HEX2DEC(8))*2,2)),64),2)</f>
        <v>00</v>
      </c>
      <c r="N647" t="str">
        <f>DEC2HEX(_xlfn.BITRSHIFT(_xlfn.BITAND(HEX2DEC(MID('paste from garc here'!$C$1,1+(('table for research'!$B647-1)*36+HEX2DEC(9))*2,2)&amp;MID('paste from garc here'!$C$1,1+(('table for research'!$B647-1)*36+HEX2DEC(8))*2,2)),1920),7),2)</f>
        <v>00</v>
      </c>
      <c r="O647" t="str">
        <f>DEC2HEX(_xlfn.BITRSHIFT(HEX2DEC(MID('paste from garc here'!$C$1,1+(('table for research'!$B647-1)*36+HEX2DEC(9))*2,2)&amp;MID('paste from garc here'!$C$1,1+(('table for research'!$B647-1)*36+HEX2DEC(8))*2,2)),11),2)</f>
        <v>00</v>
      </c>
      <c r="P647" t="str">
        <f>MID('paste from garc here'!$C$2,1+(('table for research'!$B647-456)*36+HEX2DEC('table for research'!P$1))*2,2)</f>
        <v>01</v>
      </c>
      <c r="Q647" t="str">
        <f>MID('paste from garc here'!$C$2,1+(('table for research'!$B647-456)*36+HEX2DEC('table for research'!Q$1))*2,2)</f>
        <v>00</v>
      </c>
      <c r="R647" t="str">
        <f>MID('paste from garc here'!$C$2,1+(('table for research'!$B647-456)*36+HEX2DEC('table for research'!R$1))*2,2)</f>
        <v>00</v>
      </c>
      <c r="S647" t="str">
        <f>MID('paste from garc here'!$C$2,1+(('table for research'!$B647-456)*36+HEX2DEC('table for research'!S$1))*2,2)</f>
        <v>00</v>
      </c>
      <c r="T647" t="str">
        <f>MID('paste from garc here'!$C$2,1+(('table for research'!$B647-456)*36+HEX2DEC('table for research'!T$1))*2,2)</f>
        <v>00</v>
      </c>
      <c r="U647" t="str">
        <f>MID('paste from garc here'!$C$2,1+(('table for research'!$B647-456)*36+HEX2DEC('table for research'!U$1))*2,2)</f>
        <v>34</v>
      </c>
      <c r="V647" t="str">
        <f>MID('paste from garc here'!$C$2,1+(('table for research'!$B647-456)*36+HEX2DEC('table for research'!V$1))*2,2)</f>
        <v>00</v>
      </c>
      <c r="W647" t="str">
        <f>MID('paste from garc here'!$C$2,1+(('table for research'!$B647-456)*36+HEX2DEC('table for research'!W$1))*2,2)</f>
        <v>00</v>
      </c>
      <c r="X647" t="str">
        <f>MID('paste from garc here'!$C$2,1+(('table for research'!$B647-456)*36+HEX2DEC('table for research'!X$1))*2,2)</f>
        <v>00</v>
      </c>
      <c r="Y647" t="str">
        <f>MID('paste from garc here'!$C$2,1+(('table for research'!$B647-456)*36+HEX2DEC('table for research'!Y$1))*2,2)</f>
        <v>00</v>
      </c>
      <c r="Z647" t="str">
        <f>MID('paste from garc here'!$C$2,1+(('table for research'!$B647-456)*36+HEX2DEC('table for research'!Z$1))*2,2)</f>
        <v>00</v>
      </c>
      <c r="AA647" t="str">
        <f>MID('paste from garc here'!$C$2,1+(('table for research'!$B647-456)*36+HEX2DEC('table for research'!AA$1))*2,2)</f>
        <v>00</v>
      </c>
      <c r="AB647" t="str">
        <f>MID('paste from garc here'!$C$2,1+(('table for research'!$B647-456)*36+HEX2DEC('table for research'!AB$1))*2,2)</f>
        <v>00</v>
      </c>
      <c r="AC647" t="str">
        <f>MID('paste from garc here'!$C$2,1+(('table for research'!$B647-456)*36+HEX2DEC('table for research'!AC$1))*2,2)</f>
        <v>00</v>
      </c>
      <c r="AD647" t="str">
        <f>MID('paste from garc here'!$C$2,1+(('table for research'!$B647-456)*36+HEX2DEC('table for research'!AD$1))*2,2)</f>
        <v>00</v>
      </c>
      <c r="AE647" t="str">
        <f>MID('paste from garc here'!$C$2,1+(('table for research'!$B647-456)*36+HEX2DEC('table for research'!AE$1))*2,2)</f>
        <v>00</v>
      </c>
      <c r="AF647" t="str">
        <f>MID('paste from garc here'!$C$2,1+(('table for research'!$B647-456)*36+HEX2DEC('table for research'!AF$1))*2,2)</f>
        <v>00</v>
      </c>
      <c r="AG647" t="str">
        <f>MID('paste from garc here'!$C$2,1+(('table for research'!$B647-456)*36+HEX2DEC('table for research'!AG$1))*2,2)</f>
        <v>00</v>
      </c>
      <c r="AH647" t="str">
        <f>MID('paste from garc here'!$C$2,1+(('table for research'!$B647-456)*36+HEX2DEC('table for research'!AH$1))*2,2)</f>
        <v>00</v>
      </c>
      <c r="AI647" t="str">
        <f>MID('paste from garc here'!$C$2,1+(('table for research'!$B647-456)*36+HEX2DEC('table for research'!AI$1))*2,2)</f>
        <v>00</v>
      </c>
      <c r="AJ647" t="str">
        <f>MID('paste from garc here'!$C$2,1+(('table for research'!$B647-456)*36+HEX2DEC('table for research'!AJ$1))*2,2)</f>
        <v>00</v>
      </c>
      <c r="AK647" t="str">
        <f>MID('paste from garc here'!$C$2,1+(('table for research'!$B647-456)*36+HEX2DEC('table for research'!AK$1))*2,2)</f>
        <v>00</v>
      </c>
      <c r="AL647" t="str">
        <f>MID('paste from garc here'!$C$2,1+(('table for research'!$B647-456)*36+HEX2DEC('table for research'!AL$1))*2,2)</f>
        <v>00</v>
      </c>
      <c r="AM647" t="str">
        <f>MID('paste from garc here'!$C$2,1+(('table for research'!$B647-456)*36+HEX2DEC('table for research'!AM$1))*2,2)</f>
        <v>00</v>
      </c>
      <c r="AN647" t="str">
        <f>MID('paste from garc here'!$C$2,1+(('table for research'!$B647-456)*36+HEX2DEC('table for research'!AN$1))*2,2)</f>
        <v>00</v>
      </c>
      <c r="AO647" t="str">
        <f>MID('paste from garc here'!$C$2,1+(('table for research'!$B647-456)*36+HEX2DEC('table for research'!AO$1))*2,2)</f>
        <v>00</v>
      </c>
    </row>
    <row r="648" spans="1:41" x14ac:dyDescent="0.4">
      <c r="A648" t="s">
        <v>647</v>
      </c>
      <c r="B648">
        <f>B647+1</f>
        <v>646</v>
      </c>
      <c r="C648" t="str">
        <f>MID('paste from garc here'!$C$2,1+(('table for research'!$B648-456)*36+HEX2DEC('table for research'!C$1))*2,2)</f>
        <v>C8</v>
      </c>
      <c r="D648" t="str">
        <f>MID('paste from garc here'!$C$2,1+(('table for research'!$B648-456)*36+HEX2DEC('table for research'!D$1))*2,2)</f>
        <v>00</v>
      </c>
      <c r="E648" t="str">
        <f>MID('paste from garc here'!$C$2,1+(('table for research'!$B648-456)*36+HEX2DEC('table for research'!E$1))*2,2)</f>
        <v>00</v>
      </c>
      <c r="F648" t="str">
        <f>MID('paste from garc here'!$C$2,1+(('table for research'!$B648-456)*36+HEX2DEC('table for research'!F$1))*2,2)</f>
        <v>00</v>
      </c>
      <c r="G648" t="str">
        <f>MID('paste from garc here'!$C$2,1+(('table for research'!$B648-456)*36+HEX2DEC('table for research'!G$1))*2,2)</f>
        <v>00</v>
      </c>
      <c r="H648" t="str">
        <f>MID('paste from garc here'!$C$2,1+(('table for research'!$B648-456)*36+HEX2DEC('table for research'!H$1))*2,2)</f>
        <v>00</v>
      </c>
      <c r="I648" t="str">
        <f>MID('paste from garc here'!$C$2,1+(('table for research'!$B648-456)*36+HEX2DEC('table for research'!I$1))*2,2)</f>
        <v>50</v>
      </c>
      <c r="J648" t="str">
        <f>MID('paste from garc here'!$C$2,1+(('table for research'!$B648-456)*36+HEX2DEC('table for research'!J$1))*2,2)</f>
        <v>00</v>
      </c>
      <c r="K648" t="str">
        <f>DEC2HEX(_xlfn.BITAND(HEX2DEC(MID('paste from garc here'!$C$1,1+(('table for research'!$B648-1)*36+HEX2DEC(8))*2,2)),31),2)</f>
        <v>00</v>
      </c>
      <c r="L648" t="str">
        <f>DEC2HEX(_xlfn.BITAND(HEX2DEC(MID('paste from garc here'!$C$1,1+(('table for research'!$B648-1)*36+HEX2DEC(8))*2,2)),32),2)</f>
        <v>00</v>
      </c>
      <c r="M648" t="str">
        <f>DEC2HEX(_xlfn.BITAND(HEX2DEC(MID('paste from garc here'!$C$1,1+(('table for research'!$B648-1)*36+HEX2DEC(8))*2,2)),64),2)</f>
        <v>00</v>
      </c>
      <c r="N648" t="str">
        <f>DEC2HEX(_xlfn.BITRSHIFT(_xlfn.BITAND(HEX2DEC(MID('paste from garc here'!$C$1,1+(('table for research'!$B648-1)*36+HEX2DEC(9))*2,2)&amp;MID('paste from garc here'!$C$1,1+(('table for research'!$B648-1)*36+HEX2DEC(8))*2,2)),1920),7),2)</f>
        <v>00</v>
      </c>
      <c r="O648" t="str">
        <f>DEC2HEX(_xlfn.BITRSHIFT(HEX2DEC(MID('paste from garc here'!$C$1,1+(('table for research'!$B648-1)*36+HEX2DEC(9))*2,2)&amp;MID('paste from garc here'!$C$1,1+(('table for research'!$B648-1)*36+HEX2DEC(8))*2,2)),11),2)</f>
        <v>00</v>
      </c>
      <c r="P648" t="str">
        <f>MID('paste from garc here'!$C$2,1+(('table for research'!$B648-456)*36+HEX2DEC('table for research'!P$1))*2,2)</f>
        <v>06</v>
      </c>
      <c r="Q648" t="str">
        <f>MID('paste from garc here'!$C$2,1+(('table for research'!$B648-456)*36+HEX2DEC('table for research'!Q$1))*2,2)</f>
        <v>00</v>
      </c>
      <c r="R648" t="str">
        <f>MID('paste from garc here'!$C$2,1+(('table for research'!$B648-456)*36+HEX2DEC('table for research'!R$1))*2,2)</f>
        <v>00</v>
      </c>
      <c r="S648" t="str">
        <f>MID('paste from garc here'!$C$2,1+(('table for research'!$B648-456)*36+HEX2DEC('table for research'!S$1))*2,2)</f>
        <v>01</v>
      </c>
      <c r="T648" t="str">
        <f>MID('paste from garc here'!$C$2,1+(('table for research'!$B648-456)*36+HEX2DEC('table for research'!T$1))*2,2)</f>
        <v>00</v>
      </c>
      <c r="U648" t="str">
        <f>MID('paste from garc here'!$C$2,1+(('table for research'!$B648-456)*36+HEX2DEC('table for research'!U$1))*2,2)</f>
        <v>4E</v>
      </c>
      <c r="V648" t="str">
        <f>MID('paste from garc here'!$C$2,1+(('table for research'!$B648-456)*36+HEX2DEC('table for research'!V$1))*2,2)</f>
        <v>00</v>
      </c>
      <c r="W648" t="str">
        <f>MID('paste from garc here'!$C$2,1+(('table for research'!$B648-456)*36+HEX2DEC('table for research'!W$1))*2,2)</f>
        <v>08</v>
      </c>
      <c r="X648" t="str">
        <f>MID('paste from garc here'!$C$2,1+(('table for research'!$B648-456)*36+HEX2DEC('table for research'!X$1))*2,2)</f>
        <v>00</v>
      </c>
      <c r="Y648" t="str">
        <f>MID('paste from garc here'!$C$2,1+(('table for research'!$B648-456)*36+HEX2DEC('table for research'!Y$1))*2,2)</f>
        <v>00</v>
      </c>
      <c r="Z648" t="str">
        <f>MID('paste from garc here'!$C$2,1+(('table for research'!$B648-456)*36+HEX2DEC('table for research'!Z$1))*2,2)</f>
        <v>00</v>
      </c>
      <c r="AA648" t="str">
        <f>MID('paste from garc here'!$C$2,1+(('table for research'!$B648-456)*36+HEX2DEC('table for research'!AA$1))*2,2)</f>
        <v>00</v>
      </c>
      <c r="AB648" t="str">
        <f>MID('paste from garc here'!$C$2,1+(('table for research'!$B648-456)*36+HEX2DEC('table for research'!AB$1))*2,2)</f>
        <v>00</v>
      </c>
      <c r="AC648" t="str">
        <f>MID('paste from garc here'!$C$2,1+(('table for research'!$B648-456)*36+HEX2DEC('table for research'!AC$1))*2,2)</f>
        <v>00</v>
      </c>
      <c r="AD648" t="str">
        <f>MID('paste from garc here'!$C$2,1+(('table for research'!$B648-456)*36+HEX2DEC('table for research'!AD$1))*2,2)</f>
        <v>00</v>
      </c>
      <c r="AE648" t="str">
        <f>MID('paste from garc here'!$C$2,1+(('table for research'!$B648-456)*36+HEX2DEC('table for research'!AE$1))*2,2)</f>
        <v>00</v>
      </c>
      <c r="AF648" t="str">
        <f>MID('paste from garc here'!$C$2,1+(('table for research'!$B648-456)*36+HEX2DEC('table for research'!AF$1))*2,2)</f>
        <v>00</v>
      </c>
      <c r="AG648" t="str">
        <f>MID('paste from garc here'!$C$2,1+(('table for research'!$B648-456)*36+HEX2DEC('table for research'!AG$1))*2,2)</f>
        <v>00</v>
      </c>
      <c r="AH648" t="str">
        <f>MID('paste from garc here'!$C$2,1+(('table for research'!$B648-456)*36+HEX2DEC('table for research'!AH$1))*2,2)</f>
        <v>00</v>
      </c>
      <c r="AI648" t="str">
        <f>MID('paste from garc here'!$C$2,1+(('table for research'!$B648-456)*36+HEX2DEC('table for research'!AI$1))*2,2)</f>
        <v>00</v>
      </c>
      <c r="AJ648" t="str">
        <f>MID('paste from garc here'!$C$2,1+(('table for research'!$B648-456)*36+HEX2DEC('table for research'!AJ$1))*2,2)</f>
        <v>00</v>
      </c>
      <c r="AK648" t="str">
        <f>MID('paste from garc here'!$C$2,1+(('table for research'!$B648-456)*36+HEX2DEC('table for research'!AK$1))*2,2)</f>
        <v>00</v>
      </c>
      <c r="AL648" t="str">
        <f>MID('paste from garc here'!$C$2,1+(('table for research'!$B648-456)*36+HEX2DEC('table for research'!AL$1))*2,2)</f>
        <v>00</v>
      </c>
      <c r="AM648" t="str">
        <f>MID('paste from garc here'!$C$2,1+(('table for research'!$B648-456)*36+HEX2DEC('table for research'!AM$1))*2,2)</f>
        <v>00</v>
      </c>
      <c r="AN648" t="str">
        <f>MID('paste from garc here'!$C$2,1+(('table for research'!$B648-456)*36+HEX2DEC('table for research'!AN$1))*2,2)</f>
        <v>00</v>
      </c>
      <c r="AO648" t="str">
        <f>MID('paste from garc here'!$C$2,1+(('table for research'!$B648-456)*36+HEX2DEC('table for research'!AO$1))*2,2)</f>
        <v>00</v>
      </c>
    </row>
    <row r="649" spans="1:41" x14ac:dyDescent="0.4">
      <c r="A649" t="s">
        <v>648</v>
      </c>
      <c r="B649">
        <f>B648+1</f>
        <v>647</v>
      </c>
      <c r="C649" t="str">
        <f>MID('paste from garc here'!$C$2,1+(('table for research'!$B649-456)*36+HEX2DEC('table for research'!C$1))*2,2)</f>
        <v>C8</v>
      </c>
      <c r="D649" t="str">
        <f>MID('paste from garc here'!$C$2,1+(('table for research'!$B649-456)*36+HEX2DEC('table for research'!D$1))*2,2)</f>
        <v>00</v>
      </c>
      <c r="E649" t="str">
        <f>MID('paste from garc here'!$C$2,1+(('table for research'!$B649-456)*36+HEX2DEC('table for research'!E$1))*2,2)</f>
        <v>00</v>
      </c>
      <c r="F649" t="str">
        <f>MID('paste from garc here'!$C$2,1+(('table for research'!$B649-456)*36+HEX2DEC('table for research'!F$1))*2,2)</f>
        <v>00</v>
      </c>
      <c r="G649" t="str">
        <f>MID('paste from garc here'!$C$2,1+(('table for research'!$B649-456)*36+HEX2DEC('table for research'!G$1))*2,2)</f>
        <v>00</v>
      </c>
      <c r="H649" t="str">
        <f>MID('paste from garc here'!$C$2,1+(('table for research'!$B649-456)*36+HEX2DEC('table for research'!H$1))*2,2)</f>
        <v>00</v>
      </c>
      <c r="I649" t="str">
        <f>MID('paste from garc here'!$C$2,1+(('table for research'!$B649-456)*36+HEX2DEC('table for research'!I$1))*2,2)</f>
        <v>50</v>
      </c>
      <c r="J649" t="str">
        <f>MID('paste from garc here'!$C$2,1+(('table for research'!$B649-456)*36+HEX2DEC('table for research'!J$1))*2,2)</f>
        <v>00</v>
      </c>
      <c r="K649" t="str">
        <f>DEC2HEX(_xlfn.BITAND(HEX2DEC(MID('paste from garc here'!$C$1,1+(('table for research'!$B649-1)*36+HEX2DEC(8))*2,2)),31),2)</f>
        <v>00</v>
      </c>
      <c r="L649" t="str">
        <f>DEC2HEX(_xlfn.BITAND(HEX2DEC(MID('paste from garc here'!$C$1,1+(('table for research'!$B649-1)*36+HEX2DEC(8))*2,2)),32),2)</f>
        <v>00</v>
      </c>
      <c r="M649" t="str">
        <f>DEC2HEX(_xlfn.BITAND(HEX2DEC(MID('paste from garc here'!$C$1,1+(('table for research'!$B649-1)*36+HEX2DEC(8))*2,2)),64),2)</f>
        <v>00</v>
      </c>
      <c r="N649" t="str">
        <f>DEC2HEX(_xlfn.BITRSHIFT(_xlfn.BITAND(HEX2DEC(MID('paste from garc here'!$C$1,1+(('table for research'!$B649-1)*36+HEX2DEC(9))*2,2)&amp;MID('paste from garc here'!$C$1,1+(('table for research'!$B649-1)*36+HEX2DEC(8))*2,2)),1920),7),2)</f>
        <v>00</v>
      </c>
      <c r="O649" t="str">
        <f>DEC2HEX(_xlfn.BITRSHIFT(HEX2DEC(MID('paste from garc here'!$C$1,1+(('table for research'!$B649-1)*36+HEX2DEC(9))*2,2)&amp;MID('paste from garc here'!$C$1,1+(('table for research'!$B649-1)*36+HEX2DEC(8))*2,2)),11),2)</f>
        <v>00</v>
      </c>
      <c r="P649" t="str">
        <f>MID('paste from garc here'!$C$2,1+(('table for research'!$B649-456)*36+HEX2DEC('table for research'!P$1))*2,2)</f>
        <v>06</v>
      </c>
      <c r="Q649" t="str">
        <f>MID('paste from garc here'!$C$2,1+(('table for research'!$B649-456)*36+HEX2DEC('table for research'!Q$1))*2,2)</f>
        <v>00</v>
      </c>
      <c r="R649" t="str">
        <f>MID('paste from garc here'!$C$2,1+(('table for research'!$B649-456)*36+HEX2DEC('table for research'!R$1))*2,2)</f>
        <v>00</v>
      </c>
      <c r="S649" t="str">
        <f>MID('paste from garc here'!$C$2,1+(('table for research'!$B649-456)*36+HEX2DEC('table for research'!S$1))*2,2)</f>
        <v>01</v>
      </c>
      <c r="T649" t="str">
        <f>MID('paste from garc here'!$C$2,1+(('table for research'!$B649-456)*36+HEX2DEC('table for research'!T$1))*2,2)</f>
        <v>00</v>
      </c>
      <c r="U649" t="str">
        <f>MID('paste from garc here'!$C$2,1+(('table for research'!$B649-456)*36+HEX2DEC('table for research'!U$1))*2,2)</f>
        <v>4F</v>
      </c>
      <c r="V649" t="str">
        <f>MID('paste from garc here'!$C$2,1+(('table for research'!$B649-456)*36+HEX2DEC('table for research'!V$1))*2,2)</f>
        <v>00</v>
      </c>
      <c r="W649" t="str">
        <f>MID('paste from garc here'!$C$2,1+(('table for research'!$B649-456)*36+HEX2DEC('table for research'!W$1))*2,2)</f>
        <v>08</v>
      </c>
      <c r="X649" t="str">
        <f>MID('paste from garc here'!$C$2,1+(('table for research'!$B649-456)*36+HEX2DEC('table for research'!X$1))*2,2)</f>
        <v>00</v>
      </c>
      <c r="Y649" t="str">
        <f>MID('paste from garc here'!$C$2,1+(('table for research'!$B649-456)*36+HEX2DEC('table for research'!Y$1))*2,2)</f>
        <v>00</v>
      </c>
      <c r="Z649" t="str">
        <f>MID('paste from garc here'!$C$2,1+(('table for research'!$B649-456)*36+HEX2DEC('table for research'!Z$1))*2,2)</f>
        <v>00</v>
      </c>
      <c r="AA649" t="str">
        <f>MID('paste from garc here'!$C$2,1+(('table for research'!$B649-456)*36+HEX2DEC('table for research'!AA$1))*2,2)</f>
        <v>00</v>
      </c>
      <c r="AB649" t="str">
        <f>MID('paste from garc here'!$C$2,1+(('table for research'!$B649-456)*36+HEX2DEC('table for research'!AB$1))*2,2)</f>
        <v>00</v>
      </c>
      <c r="AC649" t="str">
        <f>MID('paste from garc here'!$C$2,1+(('table for research'!$B649-456)*36+HEX2DEC('table for research'!AC$1))*2,2)</f>
        <v>00</v>
      </c>
      <c r="AD649" t="str">
        <f>MID('paste from garc here'!$C$2,1+(('table for research'!$B649-456)*36+HEX2DEC('table for research'!AD$1))*2,2)</f>
        <v>00</v>
      </c>
      <c r="AE649" t="str">
        <f>MID('paste from garc here'!$C$2,1+(('table for research'!$B649-456)*36+HEX2DEC('table for research'!AE$1))*2,2)</f>
        <v>00</v>
      </c>
      <c r="AF649" t="str">
        <f>MID('paste from garc here'!$C$2,1+(('table for research'!$B649-456)*36+HEX2DEC('table for research'!AF$1))*2,2)</f>
        <v>00</v>
      </c>
      <c r="AG649" t="str">
        <f>MID('paste from garc here'!$C$2,1+(('table for research'!$B649-456)*36+HEX2DEC('table for research'!AG$1))*2,2)</f>
        <v>00</v>
      </c>
      <c r="AH649" t="str">
        <f>MID('paste from garc here'!$C$2,1+(('table for research'!$B649-456)*36+HEX2DEC('table for research'!AH$1))*2,2)</f>
        <v>00</v>
      </c>
      <c r="AI649" t="str">
        <f>MID('paste from garc here'!$C$2,1+(('table for research'!$B649-456)*36+HEX2DEC('table for research'!AI$1))*2,2)</f>
        <v>00</v>
      </c>
      <c r="AJ649" t="str">
        <f>MID('paste from garc here'!$C$2,1+(('table for research'!$B649-456)*36+HEX2DEC('table for research'!AJ$1))*2,2)</f>
        <v>00</v>
      </c>
      <c r="AK649" t="str">
        <f>MID('paste from garc here'!$C$2,1+(('table for research'!$B649-456)*36+HEX2DEC('table for research'!AK$1))*2,2)</f>
        <v>00</v>
      </c>
      <c r="AL649" t="str">
        <f>MID('paste from garc here'!$C$2,1+(('table for research'!$B649-456)*36+HEX2DEC('table for research'!AL$1))*2,2)</f>
        <v>00</v>
      </c>
      <c r="AM649" t="str">
        <f>MID('paste from garc here'!$C$2,1+(('table for research'!$B649-456)*36+HEX2DEC('table for research'!AM$1))*2,2)</f>
        <v>00</v>
      </c>
      <c r="AN649" t="str">
        <f>MID('paste from garc here'!$C$2,1+(('table for research'!$B649-456)*36+HEX2DEC('table for research'!AN$1))*2,2)</f>
        <v>00</v>
      </c>
      <c r="AO649" t="str">
        <f>MID('paste from garc here'!$C$2,1+(('table for research'!$B649-456)*36+HEX2DEC('table for research'!AO$1))*2,2)</f>
        <v>00</v>
      </c>
    </row>
    <row r="650" spans="1:41" x14ac:dyDescent="0.4">
      <c r="A650" t="s">
        <v>649</v>
      </c>
      <c r="B650">
        <f>B649+1</f>
        <v>648</v>
      </c>
      <c r="C650" t="str">
        <f>MID('paste from garc here'!$C$2,1+(('table for research'!$B650-456)*36+HEX2DEC('table for research'!C$1))*2,2)</f>
        <v>3C</v>
      </c>
      <c r="D650" t="str">
        <f>MID('paste from garc here'!$C$2,1+(('table for research'!$B650-456)*36+HEX2DEC('table for research'!D$1))*2,2)</f>
        <v>00</v>
      </c>
      <c r="E650" t="str">
        <f>MID('paste from garc here'!$C$2,1+(('table for research'!$B650-456)*36+HEX2DEC('table for research'!E$1))*2,2)</f>
        <v>B0</v>
      </c>
      <c r="F650" t="str">
        <f>MID('paste from garc here'!$C$2,1+(('table for research'!$B650-456)*36+HEX2DEC('table for research'!F$1))*2,2)</f>
        <v>00</v>
      </c>
      <c r="G650" t="str">
        <f>MID('paste from garc here'!$C$2,1+(('table for research'!$B650-456)*36+HEX2DEC('table for research'!G$1))*2,2)</f>
        <v>00</v>
      </c>
      <c r="H650" t="str">
        <f>MID('paste from garc here'!$C$2,1+(('table for research'!$B650-456)*36+HEX2DEC('table for research'!H$1))*2,2)</f>
        <v>00</v>
      </c>
      <c r="I650" t="str">
        <f>MID('paste from garc here'!$C$2,1+(('table for research'!$B650-456)*36+HEX2DEC('table for research'!I$1))*2,2)</f>
        <v>1E</v>
      </c>
      <c r="J650" t="str">
        <f>MID('paste from garc here'!$C$2,1+(('table for research'!$B650-456)*36+HEX2DEC('table for research'!J$1))*2,2)</f>
        <v>00</v>
      </c>
      <c r="K650" t="str">
        <f>DEC2HEX(_xlfn.BITAND(HEX2DEC(MID('paste from garc here'!$C$1,1+(('table for research'!$B650-1)*36+HEX2DEC(8))*2,2)),31),2)</f>
        <v>00</v>
      </c>
      <c r="L650" t="str">
        <f>DEC2HEX(_xlfn.BITAND(HEX2DEC(MID('paste from garc here'!$C$1,1+(('table for research'!$B650-1)*36+HEX2DEC(8))*2,2)),32),2)</f>
        <v>00</v>
      </c>
      <c r="M650" t="str">
        <f>DEC2HEX(_xlfn.BITAND(HEX2DEC(MID('paste from garc here'!$C$1,1+(('table for research'!$B650-1)*36+HEX2DEC(8))*2,2)),64),2)</f>
        <v>00</v>
      </c>
      <c r="N650" t="str">
        <f>DEC2HEX(_xlfn.BITRSHIFT(_xlfn.BITAND(HEX2DEC(MID('paste from garc here'!$C$1,1+(('table for research'!$B650-1)*36+HEX2DEC(9))*2,2)&amp;MID('paste from garc here'!$C$1,1+(('table for research'!$B650-1)*36+HEX2DEC(8))*2,2)),1920),7),2)</f>
        <v>00</v>
      </c>
      <c r="O650" t="str">
        <f>DEC2HEX(_xlfn.BITRSHIFT(HEX2DEC(MID('paste from garc here'!$C$1,1+(('table for research'!$B650-1)*36+HEX2DEC(9))*2,2)&amp;MID('paste from garc here'!$C$1,1+(('table for research'!$B650-1)*36+HEX2DEC(8))*2,2)),11),2)</f>
        <v>00</v>
      </c>
      <c r="P650" t="str">
        <f>MID('paste from garc here'!$C$2,1+(('table for research'!$B650-456)*36+HEX2DEC('table for research'!P$1))*2,2)</f>
        <v>00</v>
      </c>
      <c r="Q650" t="str">
        <f>MID('paste from garc here'!$C$2,1+(('table for research'!$B650-456)*36+HEX2DEC('table for research'!Q$1))*2,2)</f>
        <v>00</v>
      </c>
      <c r="R650" t="str">
        <f>MID('paste from garc here'!$C$2,1+(('table for research'!$B650-456)*36+HEX2DEC('table for research'!R$1))*2,2)</f>
        <v>00</v>
      </c>
      <c r="S650" t="str">
        <f>MID('paste from garc here'!$C$2,1+(('table for research'!$B650-456)*36+HEX2DEC('table for research'!S$1))*2,2)</f>
        <v>01</v>
      </c>
      <c r="T650" t="str">
        <f>MID('paste from garc here'!$C$2,1+(('table for research'!$B650-456)*36+HEX2DEC('table for research'!T$1))*2,2)</f>
        <v>01</v>
      </c>
      <c r="U650" t="str">
        <f>MID('paste from garc here'!$C$2,1+(('table for research'!$B650-456)*36+HEX2DEC('table for research'!U$1))*2,2)</f>
        <v>1F</v>
      </c>
      <c r="V650" t="str">
        <f>MID('paste from garc here'!$C$2,1+(('table for research'!$B650-456)*36+HEX2DEC('table for research'!V$1))*2,2)</f>
        <v>00</v>
      </c>
      <c r="W650" t="str">
        <f>MID('paste from garc here'!$C$2,1+(('table for research'!$B650-456)*36+HEX2DEC('table for research'!W$1))*2,2)</f>
        <v>00</v>
      </c>
      <c r="X650" t="str">
        <f>MID('paste from garc here'!$C$2,1+(('table for research'!$B650-456)*36+HEX2DEC('table for research'!X$1))*2,2)</f>
        <v>00</v>
      </c>
      <c r="Y650" t="str">
        <f>MID('paste from garc here'!$C$2,1+(('table for research'!$B650-456)*36+HEX2DEC('table for research'!Y$1))*2,2)</f>
        <v>00</v>
      </c>
      <c r="Z650" t="str">
        <f>MID('paste from garc here'!$C$2,1+(('table for research'!$B650-456)*36+HEX2DEC('table for research'!Z$1))*2,2)</f>
        <v>00</v>
      </c>
      <c r="AA650" t="str">
        <f>MID('paste from garc here'!$C$2,1+(('table for research'!$B650-456)*36+HEX2DEC('table for research'!AA$1))*2,2)</f>
        <v>00</v>
      </c>
      <c r="AB650" t="str">
        <f>MID('paste from garc here'!$C$2,1+(('table for research'!$B650-456)*36+HEX2DEC('table for research'!AB$1))*2,2)</f>
        <v>00</v>
      </c>
      <c r="AC650" t="str">
        <f>MID('paste from garc here'!$C$2,1+(('table for research'!$B650-456)*36+HEX2DEC('table for research'!AC$1))*2,2)</f>
        <v>00</v>
      </c>
      <c r="AD650" t="str">
        <f>MID('paste from garc here'!$C$2,1+(('table for research'!$B650-456)*36+HEX2DEC('table for research'!AD$1))*2,2)</f>
        <v>00</v>
      </c>
      <c r="AE650" t="str">
        <f>MID('paste from garc here'!$C$2,1+(('table for research'!$B650-456)*36+HEX2DEC('table for research'!AE$1))*2,2)</f>
        <v>00</v>
      </c>
      <c r="AF650" t="str">
        <f>MID('paste from garc here'!$C$2,1+(('table for research'!$B650-456)*36+HEX2DEC('table for research'!AF$1))*2,2)</f>
        <v>00</v>
      </c>
      <c r="AG650" t="str">
        <f>MID('paste from garc here'!$C$2,1+(('table for research'!$B650-456)*36+HEX2DEC('table for research'!AG$1))*2,2)</f>
        <v>00</v>
      </c>
      <c r="AH650" t="str">
        <f>MID('paste from garc here'!$C$2,1+(('table for research'!$B650-456)*36+HEX2DEC('table for research'!AH$1))*2,2)</f>
        <v>00</v>
      </c>
      <c r="AI650" t="str">
        <f>MID('paste from garc here'!$C$2,1+(('table for research'!$B650-456)*36+HEX2DEC('table for research'!AI$1))*2,2)</f>
        <v>00</v>
      </c>
      <c r="AJ650" t="str">
        <f>MID('paste from garc here'!$C$2,1+(('table for research'!$B650-456)*36+HEX2DEC('table for research'!AJ$1))*2,2)</f>
        <v>00</v>
      </c>
      <c r="AK650" t="str">
        <f>MID('paste from garc here'!$C$2,1+(('table for research'!$B650-456)*36+HEX2DEC('table for research'!AK$1))*2,2)</f>
        <v>00</v>
      </c>
      <c r="AL650" t="str">
        <f>MID('paste from garc here'!$C$2,1+(('table for research'!$B650-456)*36+HEX2DEC('table for research'!AL$1))*2,2)</f>
        <v>00</v>
      </c>
      <c r="AM650" t="str">
        <f>MID('paste from garc here'!$C$2,1+(('table for research'!$B650-456)*36+HEX2DEC('table for research'!AM$1))*2,2)</f>
        <v>00</v>
      </c>
      <c r="AN650" t="str">
        <f>MID('paste from garc here'!$C$2,1+(('table for research'!$B650-456)*36+HEX2DEC('table for research'!AN$1))*2,2)</f>
        <v>00</v>
      </c>
      <c r="AO650" t="str">
        <f>MID('paste from garc here'!$C$2,1+(('table for research'!$B650-456)*36+HEX2DEC('table for research'!AO$1))*2,2)</f>
        <v>00</v>
      </c>
    </row>
    <row r="651" spans="1:41" x14ac:dyDescent="0.4">
      <c r="A651" t="s">
        <v>650</v>
      </c>
      <c r="B651">
        <f>B650+1</f>
        <v>649</v>
      </c>
      <c r="C651" t="str">
        <f>MID('paste from garc here'!$C$2,1+(('table for research'!$B651-456)*36+HEX2DEC('table for research'!C$1))*2,2)</f>
        <v>3C</v>
      </c>
      <c r="D651" t="str">
        <f>MID('paste from garc here'!$C$2,1+(('table for research'!$B651-456)*36+HEX2DEC('table for research'!D$1))*2,2)</f>
        <v>00</v>
      </c>
      <c r="E651" t="str">
        <f>MID('paste from garc here'!$C$2,1+(('table for research'!$B651-456)*36+HEX2DEC('table for research'!E$1))*2,2)</f>
        <v>B1</v>
      </c>
      <c r="F651" t="str">
        <f>MID('paste from garc here'!$C$2,1+(('table for research'!$B651-456)*36+HEX2DEC('table for research'!F$1))*2,2)</f>
        <v>00</v>
      </c>
      <c r="G651" t="str">
        <f>MID('paste from garc here'!$C$2,1+(('table for research'!$B651-456)*36+HEX2DEC('table for research'!G$1))*2,2)</f>
        <v>00</v>
      </c>
      <c r="H651" t="str">
        <f>MID('paste from garc here'!$C$2,1+(('table for research'!$B651-456)*36+HEX2DEC('table for research'!H$1))*2,2)</f>
        <v>00</v>
      </c>
      <c r="I651" t="str">
        <f>MID('paste from garc here'!$C$2,1+(('table for research'!$B651-456)*36+HEX2DEC('table for research'!I$1))*2,2)</f>
        <v>1E</v>
      </c>
      <c r="J651" t="str">
        <f>MID('paste from garc here'!$C$2,1+(('table for research'!$B651-456)*36+HEX2DEC('table for research'!J$1))*2,2)</f>
        <v>00</v>
      </c>
      <c r="K651" t="str">
        <f>DEC2HEX(_xlfn.BITAND(HEX2DEC(MID('paste from garc here'!$C$1,1+(('table for research'!$B651-1)*36+HEX2DEC(8))*2,2)),31),2)</f>
        <v>00</v>
      </c>
      <c r="L651" t="str">
        <f>DEC2HEX(_xlfn.BITAND(HEX2DEC(MID('paste from garc here'!$C$1,1+(('table for research'!$B651-1)*36+HEX2DEC(8))*2,2)),32),2)</f>
        <v>00</v>
      </c>
      <c r="M651" t="str">
        <f>DEC2HEX(_xlfn.BITAND(HEX2DEC(MID('paste from garc here'!$C$1,1+(('table for research'!$B651-1)*36+HEX2DEC(8))*2,2)),64),2)</f>
        <v>00</v>
      </c>
      <c r="N651" t="str">
        <f>DEC2HEX(_xlfn.BITRSHIFT(_xlfn.BITAND(HEX2DEC(MID('paste from garc here'!$C$1,1+(('table for research'!$B651-1)*36+HEX2DEC(9))*2,2)&amp;MID('paste from garc here'!$C$1,1+(('table for research'!$B651-1)*36+HEX2DEC(8))*2,2)),1920),7),2)</f>
        <v>00</v>
      </c>
      <c r="O651" t="str">
        <f>DEC2HEX(_xlfn.BITRSHIFT(HEX2DEC(MID('paste from garc here'!$C$1,1+(('table for research'!$B651-1)*36+HEX2DEC(9))*2,2)&amp;MID('paste from garc here'!$C$1,1+(('table for research'!$B651-1)*36+HEX2DEC(8))*2,2)),11),2)</f>
        <v>00</v>
      </c>
      <c r="P651" t="str">
        <f>MID('paste from garc here'!$C$2,1+(('table for research'!$B651-456)*36+HEX2DEC('table for research'!P$1))*2,2)</f>
        <v>00</v>
      </c>
      <c r="Q651" t="str">
        <f>MID('paste from garc here'!$C$2,1+(('table for research'!$B651-456)*36+HEX2DEC('table for research'!Q$1))*2,2)</f>
        <v>00</v>
      </c>
      <c r="R651" t="str">
        <f>MID('paste from garc here'!$C$2,1+(('table for research'!$B651-456)*36+HEX2DEC('table for research'!R$1))*2,2)</f>
        <v>00</v>
      </c>
      <c r="S651" t="str">
        <f>MID('paste from garc here'!$C$2,1+(('table for research'!$B651-456)*36+HEX2DEC('table for research'!S$1))*2,2)</f>
        <v>01</v>
      </c>
      <c r="T651" t="str">
        <f>MID('paste from garc here'!$C$2,1+(('table for research'!$B651-456)*36+HEX2DEC('table for research'!T$1))*2,2)</f>
        <v>01</v>
      </c>
      <c r="U651" t="str">
        <f>MID('paste from garc here'!$C$2,1+(('table for research'!$B651-456)*36+HEX2DEC('table for research'!U$1))*2,2)</f>
        <v>38</v>
      </c>
      <c r="V651" t="str">
        <f>MID('paste from garc here'!$C$2,1+(('table for research'!$B651-456)*36+HEX2DEC('table for research'!V$1))*2,2)</f>
        <v>00</v>
      </c>
      <c r="W651" t="str">
        <f>MID('paste from garc here'!$C$2,1+(('table for research'!$B651-456)*36+HEX2DEC('table for research'!W$1))*2,2)</f>
        <v>00</v>
      </c>
      <c r="X651" t="str">
        <f>MID('paste from garc here'!$C$2,1+(('table for research'!$B651-456)*36+HEX2DEC('table for research'!X$1))*2,2)</f>
        <v>00</v>
      </c>
      <c r="Y651" t="str">
        <f>MID('paste from garc here'!$C$2,1+(('table for research'!$B651-456)*36+HEX2DEC('table for research'!Y$1))*2,2)</f>
        <v>00</v>
      </c>
      <c r="Z651" t="str">
        <f>MID('paste from garc here'!$C$2,1+(('table for research'!$B651-456)*36+HEX2DEC('table for research'!Z$1))*2,2)</f>
        <v>00</v>
      </c>
      <c r="AA651" t="str">
        <f>MID('paste from garc here'!$C$2,1+(('table for research'!$B651-456)*36+HEX2DEC('table for research'!AA$1))*2,2)</f>
        <v>00</v>
      </c>
      <c r="AB651" t="str">
        <f>MID('paste from garc here'!$C$2,1+(('table for research'!$B651-456)*36+HEX2DEC('table for research'!AB$1))*2,2)</f>
        <v>00</v>
      </c>
      <c r="AC651" t="str">
        <f>MID('paste from garc here'!$C$2,1+(('table for research'!$B651-456)*36+HEX2DEC('table for research'!AC$1))*2,2)</f>
        <v>00</v>
      </c>
      <c r="AD651" t="str">
        <f>MID('paste from garc here'!$C$2,1+(('table for research'!$B651-456)*36+HEX2DEC('table for research'!AD$1))*2,2)</f>
        <v>00</v>
      </c>
      <c r="AE651" t="str">
        <f>MID('paste from garc here'!$C$2,1+(('table for research'!$B651-456)*36+HEX2DEC('table for research'!AE$1))*2,2)</f>
        <v>00</v>
      </c>
      <c r="AF651" t="str">
        <f>MID('paste from garc here'!$C$2,1+(('table for research'!$B651-456)*36+HEX2DEC('table for research'!AF$1))*2,2)</f>
        <v>00</v>
      </c>
      <c r="AG651" t="str">
        <f>MID('paste from garc here'!$C$2,1+(('table for research'!$B651-456)*36+HEX2DEC('table for research'!AG$1))*2,2)</f>
        <v>00</v>
      </c>
      <c r="AH651" t="str">
        <f>MID('paste from garc here'!$C$2,1+(('table for research'!$B651-456)*36+HEX2DEC('table for research'!AH$1))*2,2)</f>
        <v>00</v>
      </c>
      <c r="AI651" t="str">
        <f>MID('paste from garc here'!$C$2,1+(('table for research'!$B651-456)*36+HEX2DEC('table for research'!AI$1))*2,2)</f>
        <v>00</v>
      </c>
      <c r="AJ651" t="str">
        <f>MID('paste from garc here'!$C$2,1+(('table for research'!$B651-456)*36+HEX2DEC('table for research'!AJ$1))*2,2)</f>
        <v>00</v>
      </c>
      <c r="AK651" t="str">
        <f>MID('paste from garc here'!$C$2,1+(('table for research'!$B651-456)*36+HEX2DEC('table for research'!AK$1))*2,2)</f>
        <v>00</v>
      </c>
      <c r="AL651" t="str">
        <f>MID('paste from garc here'!$C$2,1+(('table for research'!$B651-456)*36+HEX2DEC('table for research'!AL$1))*2,2)</f>
        <v>00</v>
      </c>
      <c r="AM651" t="str">
        <f>MID('paste from garc here'!$C$2,1+(('table for research'!$B651-456)*36+HEX2DEC('table for research'!AM$1))*2,2)</f>
        <v>00</v>
      </c>
      <c r="AN651" t="str">
        <f>MID('paste from garc here'!$C$2,1+(('table for research'!$B651-456)*36+HEX2DEC('table for research'!AN$1))*2,2)</f>
        <v>00</v>
      </c>
      <c r="AO651" t="str">
        <f>MID('paste from garc here'!$C$2,1+(('table for research'!$B651-456)*36+HEX2DEC('table for research'!AO$1))*2,2)</f>
        <v>00</v>
      </c>
    </row>
    <row r="652" spans="1:41" x14ac:dyDescent="0.4">
      <c r="A652" t="s">
        <v>651</v>
      </c>
      <c r="B652">
        <f>B651+1</f>
        <v>650</v>
      </c>
      <c r="C652" t="str">
        <f>MID('paste from garc here'!$C$2,1+(('table for research'!$B652-456)*36+HEX2DEC('table for research'!C$1))*2,2)</f>
        <v>F4</v>
      </c>
      <c r="D652" t="str">
        <f>MID('paste from garc here'!$C$2,1+(('table for research'!$B652-456)*36+HEX2DEC('table for research'!D$1))*2,2)</f>
        <v>01</v>
      </c>
      <c r="E652" t="str">
        <f>MID('paste from garc here'!$C$2,1+(('table for research'!$B652-456)*36+HEX2DEC('table for research'!E$1))*2,2)</f>
        <v>B2</v>
      </c>
      <c r="F652" t="str">
        <f>MID('paste from garc here'!$C$2,1+(('table for research'!$B652-456)*36+HEX2DEC('table for research'!F$1))*2,2)</f>
        <v>00</v>
      </c>
      <c r="G652" t="str">
        <f>MID('paste from garc here'!$C$2,1+(('table for research'!$B652-456)*36+HEX2DEC('table for research'!G$1))*2,2)</f>
        <v>00</v>
      </c>
      <c r="H652" t="str">
        <f>MID('paste from garc here'!$C$2,1+(('table for research'!$B652-456)*36+HEX2DEC('table for research'!H$1))*2,2)</f>
        <v>00</v>
      </c>
      <c r="I652" t="str">
        <f>MID('paste from garc here'!$C$2,1+(('table for research'!$B652-456)*36+HEX2DEC('table for research'!I$1))*2,2)</f>
        <v>50</v>
      </c>
      <c r="J652" t="str">
        <f>MID('paste from garc here'!$C$2,1+(('table for research'!$B652-456)*36+HEX2DEC('table for research'!J$1))*2,2)</f>
        <v>00</v>
      </c>
      <c r="K652" t="str">
        <f>DEC2HEX(_xlfn.BITAND(HEX2DEC(MID('paste from garc here'!$C$1,1+(('table for research'!$B652-1)*36+HEX2DEC(8))*2,2)),31),2)</f>
        <v>00</v>
      </c>
      <c r="L652" t="str">
        <f>DEC2HEX(_xlfn.BITAND(HEX2DEC(MID('paste from garc here'!$C$1,1+(('table for research'!$B652-1)*36+HEX2DEC(8))*2,2)),32),2)</f>
        <v>00</v>
      </c>
      <c r="M652" t="str">
        <f>DEC2HEX(_xlfn.BITAND(HEX2DEC(MID('paste from garc here'!$C$1,1+(('table for research'!$B652-1)*36+HEX2DEC(8))*2,2)),64),2)</f>
        <v>00</v>
      </c>
      <c r="N652" t="str">
        <f>DEC2HEX(_xlfn.BITRSHIFT(_xlfn.BITAND(HEX2DEC(MID('paste from garc here'!$C$1,1+(('table for research'!$B652-1)*36+HEX2DEC(9))*2,2)&amp;MID('paste from garc here'!$C$1,1+(('table for research'!$B652-1)*36+HEX2DEC(8))*2,2)),1920),7),2)</f>
        <v>00</v>
      </c>
      <c r="O652" t="str">
        <f>DEC2HEX(_xlfn.BITRSHIFT(HEX2DEC(MID('paste from garc here'!$C$1,1+(('table for research'!$B652-1)*36+HEX2DEC(9))*2,2)&amp;MID('paste from garc here'!$C$1,1+(('table for research'!$B652-1)*36+HEX2DEC(8))*2,2)),11),2)</f>
        <v>00</v>
      </c>
      <c r="P652" t="str">
        <f>MID('paste from garc here'!$C$2,1+(('table for research'!$B652-456)*36+HEX2DEC('table for research'!P$1))*2,2)</f>
        <v>00</v>
      </c>
      <c r="Q652" t="str">
        <f>MID('paste from garc here'!$C$2,1+(('table for research'!$B652-456)*36+HEX2DEC('table for research'!Q$1))*2,2)</f>
        <v>00</v>
      </c>
      <c r="R652" t="str">
        <f>MID('paste from garc here'!$C$2,1+(('table for research'!$B652-456)*36+HEX2DEC('table for research'!R$1))*2,2)</f>
        <v>00</v>
      </c>
      <c r="S652" t="str">
        <f>MID('paste from garc here'!$C$2,1+(('table for research'!$B652-456)*36+HEX2DEC('table for research'!S$1))*2,2)</f>
        <v>01</v>
      </c>
      <c r="T652" t="str">
        <f>MID('paste from garc here'!$C$2,1+(('table for research'!$B652-456)*36+HEX2DEC('table for research'!T$1))*2,2)</f>
        <v>00</v>
      </c>
      <c r="U652" t="str">
        <f>MID('paste from garc here'!$C$2,1+(('table for research'!$B652-456)*36+HEX2DEC('table for research'!U$1))*2,2)</f>
        <v>37</v>
      </c>
      <c r="V652" t="str">
        <f>MID('paste from garc here'!$C$2,1+(('table for research'!$B652-456)*36+HEX2DEC('table for research'!V$1))*2,2)</f>
        <v>00</v>
      </c>
      <c r="W652" t="str">
        <f>MID('paste from garc here'!$C$2,1+(('table for research'!$B652-456)*36+HEX2DEC('table for research'!W$1))*2,2)</f>
        <v>00</v>
      </c>
      <c r="X652" t="str">
        <f>MID('paste from garc here'!$C$2,1+(('table for research'!$B652-456)*36+HEX2DEC('table for research'!X$1))*2,2)</f>
        <v>00</v>
      </c>
      <c r="Y652" t="str">
        <f>MID('paste from garc here'!$C$2,1+(('table for research'!$B652-456)*36+HEX2DEC('table for research'!Y$1))*2,2)</f>
        <v>00</v>
      </c>
      <c r="Z652" t="str">
        <f>MID('paste from garc here'!$C$2,1+(('table for research'!$B652-456)*36+HEX2DEC('table for research'!Z$1))*2,2)</f>
        <v>00</v>
      </c>
      <c r="AA652" t="str">
        <f>MID('paste from garc here'!$C$2,1+(('table for research'!$B652-456)*36+HEX2DEC('table for research'!AA$1))*2,2)</f>
        <v>00</v>
      </c>
      <c r="AB652" t="str">
        <f>MID('paste from garc here'!$C$2,1+(('table for research'!$B652-456)*36+HEX2DEC('table for research'!AB$1))*2,2)</f>
        <v>00</v>
      </c>
      <c r="AC652" t="str">
        <f>MID('paste from garc here'!$C$2,1+(('table for research'!$B652-456)*36+HEX2DEC('table for research'!AC$1))*2,2)</f>
        <v>00</v>
      </c>
      <c r="AD652" t="str">
        <f>MID('paste from garc here'!$C$2,1+(('table for research'!$B652-456)*36+HEX2DEC('table for research'!AD$1))*2,2)</f>
        <v>00</v>
      </c>
      <c r="AE652" t="str">
        <f>MID('paste from garc here'!$C$2,1+(('table for research'!$B652-456)*36+HEX2DEC('table for research'!AE$1))*2,2)</f>
        <v>00</v>
      </c>
      <c r="AF652" t="str">
        <f>MID('paste from garc here'!$C$2,1+(('table for research'!$B652-456)*36+HEX2DEC('table for research'!AF$1))*2,2)</f>
        <v>00</v>
      </c>
      <c r="AG652" t="str">
        <f>MID('paste from garc here'!$C$2,1+(('table for research'!$B652-456)*36+HEX2DEC('table for research'!AG$1))*2,2)</f>
        <v>00</v>
      </c>
      <c r="AH652" t="str">
        <f>MID('paste from garc here'!$C$2,1+(('table for research'!$B652-456)*36+HEX2DEC('table for research'!AH$1))*2,2)</f>
        <v>00</v>
      </c>
      <c r="AI652" t="str">
        <f>MID('paste from garc here'!$C$2,1+(('table for research'!$B652-456)*36+HEX2DEC('table for research'!AI$1))*2,2)</f>
        <v>00</v>
      </c>
      <c r="AJ652" t="str">
        <f>MID('paste from garc here'!$C$2,1+(('table for research'!$B652-456)*36+HEX2DEC('table for research'!AJ$1))*2,2)</f>
        <v>00</v>
      </c>
      <c r="AK652" t="str">
        <f>MID('paste from garc here'!$C$2,1+(('table for research'!$B652-456)*36+HEX2DEC('table for research'!AK$1))*2,2)</f>
        <v>00</v>
      </c>
      <c r="AL652" t="str">
        <f>MID('paste from garc here'!$C$2,1+(('table for research'!$B652-456)*36+HEX2DEC('table for research'!AL$1))*2,2)</f>
        <v>00</v>
      </c>
      <c r="AM652" t="str">
        <f>MID('paste from garc here'!$C$2,1+(('table for research'!$B652-456)*36+HEX2DEC('table for research'!AM$1))*2,2)</f>
        <v>00</v>
      </c>
      <c r="AN652" t="str">
        <f>MID('paste from garc here'!$C$2,1+(('table for research'!$B652-456)*36+HEX2DEC('table for research'!AN$1))*2,2)</f>
        <v>00</v>
      </c>
      <c r="AO652" t="str">
        <f>MID('paste from garc here'!$C$2,1+(('table for research'!$B652-456)*36+HEX2DEC('table for research'!AO$1))*2,2)</f>
        <v>00</v>
      </c>
    </row>
    <row r="653" spans="1:41" x14ac:dyDescent="0.4">
      <c r="A653" t="s">
        <v>652</v>
      </c>
      <c r="B653">
        <f>B652+1</f>
        <v>651</v>
      </c>
      <c r="C653" t="str">
        <f>MID('paste from garc here'!$C$2,1+(('table for research'!$B653-456)*36+HEX2DEC('table for research'!C$1))*2,2)</f>
        <v>00</v>
      </c>
      <c r="D653" t="str">
        <f>MID('paste from garc here'!$C$2,1+(('table for research'!$B653-456)*36+HEX2DEC('table for research'!D$1))*2,2)</f>
        <v>00</v>
      </c>
      <c r="E653" t="str">
        <f>MID('paste from garc here'!$C$2,1+(('table for research'!$B653-456)*36+HEX2DEC('table for research'!E$1))*2,2)</f>
        <v>00</v>
      </c>
      <c r="F653" t="str">
        <f>MID('paste from garc here'!$C$2,1+(('table for research'!$B653-456)*36+HEX2DEC('table for research'!F$1))*2,2)</f>
        <v>00</v>
      </c>
      <c r="G653" t="str">
        <f>MID('paste from garc here'!$C$2,1+(('table for research'!$B653-456)*36+HEX2DEC('table for research'!G$1))*2,2)</f>
        <v>00</v>
      </c>
      <c r="H653" t="str">
        <f>MID('paste from garc here'!$C$2,1+(('table for research'!$B653-456)*36+HEX2DEC('table for research'!H$1))*2,2)</f>
        <v>00</v>
      </c>
      <c r="I653" t="str">
        <f>MID('paste from garc here'!$C$2,1+(('table for research'!$B653-456)*36+HEX2DEC('table for research'!I$1))*2,2)</f>
        <v>00</v>
      </c>
      <c r="J653" t="str">
        <f>MID('paste from garc here'!$C$2,1+(('table for research'!$B653-456)*36+HEX2DEC('table for research'!J$1))*2,2)</f>
        <v>00</v>
      </c>
      <c r="K653" t="str">
        <f>DEC2HEX(_xlfn.BITAND(HEX2DEC(MID('paste from garc here'!$C$1,1+(('table for research'!$B653-1)*36+HEX2DEC(8))*2,2)),31),2)</f>
        <v>00</v>
      </c>
      <c r="L653" t="str">
        <f>DEC2HEX(_xlfn.BITAND(HEX2DEC(MID('paste from garc here'!$C$1,1+(('table for research'!$B653-1)*36+HEX2DEC(8))*2,2)),32),2)</f>
        <v>00</v>
      </c>
      <c r="M653" t="str">
        <f>DEC2HEX(_xlfn.BITAND(HEX2DEC(MID('paste from garc here'!$C$1,1+(('table for research'!$B653-1)*36+HEX2DEC(8))*2,2)),64),2)</f>
        <v>00</v>
      </c>
      <c r="N653" t="str">
        <f>DEC2HEX(_xlfn.BITRSHIFT(_xlfn.BITAND(HEX2DEC(MID('paste from garc here'!$C$1,1+(('table for research'!$B653-1)*36+HEX2DEC(9))*2,2)&amp;MID('paste from garc here'!$C$1,1+(('table for research'!$B653-1)*36+HEX2DEC(8))*2,2)),1920),7),2)</f>
        <v>00</v>
      </c>
      <c r="O653" t="str">
        <f>DEC2HEX(_xlfn.BITRSHIFT(HEX2DEC(MID('paste from garc here'!$C$1,1+(('table for research'!$B653-1)*36+HEX2DEC(9))*2,2)&amp;MID('paste from garc here'!$C$1,1+(('table for research'!$B653-1)*36+HEX2DEC(8))*2,2)),11),2)</f>
        <v>00</v>
      </c>
      <c r="P653" t="str">
        <f>MID('paste from garc here'!$C$2,1+(('table for research'!$B653-456)*36+HEX2DEC('table for research'!P$1))*2,2)</f>
        <v>00</v>
      </c>
      <c r="Q653" t="str">
        <f>MID('paste from garc here'!$C$2,1+(('table for research'!$B653-456)*36+HEX2DEC('table for research'!Q$1))*2,2)</f>
        <v>00</v>
      </c>
      <c r="R653" t="str">
        <f>MID('paste from garc here'!$C$2,1+(('table for research'!$B653-456)*36+HEX2DEC('table for research'!R$1))*2,2)</f>
        <v>00</v>
      </c>
      <c r="S653" t="str">
        <f>MID('paste from garc here'!$C$2,1+(('table for research'!$B653-456)*36+HEX2DEC('table for research'!S$1))*2,2)</f>
        <v>08</v>
      </c>
      <c r="T653" t="str">
        <f>MID('paste from garc here'!$C$2,1+(('table for research'!$B653-456)*36+HEX2DEC('table for research'!T$1))*2,2)</f>
        <v>00</v>
      </c>
      <c r="U653" t="str">
        <f>MID('paste from garc here'!$C$2,1+(('table for research'!$B653-456)*36+HEX2DEC('table for research'!U$1))*2,2)</f>
        <v>FF</v>
      </c>
      <c r="V653" t="str">
        <f>MID('paste from garc here'!$C$2,1+(('table for research'!$B653-456)*36+HEX2DEC('table for research'!V$1))*2,2)</f>
        <v>00</v>
      </c>
      <c r="W653" t="str">
        <f>MID('paste from garc here'!$C$2,1+(('table for research'!$B653-456)*36+HEX2DEC('table for research'!W$1))*2,2)</f>
        <v>00</v>
      </c>
      <c r="X653" t="str">
        <f>MID('paste from garc here'!$C$2,1+(('table for research'!$B653-456)*36+HEX2DEC('table for research'!X$1))*2,2)</f>
        <v>00</v>
      </c>
      <c r="Y653" t="str">
        <f>MID('paste from garc here'!$C$2,1+(('table for research'!$B653-456)*36+HEX2DEC('table for research'!Y$1))*2,2)</f>
        <v>00</v>
      </c>
      <c r="Z653" t="str">
        <f>MID('paste from garc here'!$C$2,1+(('table for research'!$B653-456)*36+HEX2DEC('table for research'!Z$1))*2,2)</f>
        <v>00</v>
      </c>
      <c r="AA653" t="str">
        <f>MID('paste from garc here'!$C$2,1+(('table for research'!$B653-456)*36+HEX2DEC('table for research'!AA$1))*2,2)</f>
        <v>00</v>
      </c>
      <c r="AB653" t="str">
        <f>MID('paste from garc here'!$C$2,1+(('table for research'!$B653-456)*36+HEX2DEC('table for research'!AB$1))*2,2)</f>
        <v>00</v>
      </c>
      <c r="AC653" t="str">
        <f>MID('paste from garc here'!$C$2,1+(('table for research'!$B653-456)*36+HEX2DEC('table for research'!AC$1))*2,2)</f>
        <v>00</v>
      </c>
      <c r="AD653" t="str">
        <f>MID('paste from garc here'!$C$2,1+(('table for research'!$B653-456)*36+HEX2DEC('table for research'!AD$1))*2,2)</f>
        <v>00</v>
      </c>
      <c r="AE653" t="str">
        <f>MID('paste from garc here'!$C$2,1+(('table for research'!$B653-456)*36+HEX2DEC('table for research'!AE$1))*2,2)</f>
        <v>00</v>
      </c>
      <c r="AF653" t="str">
        <f>MID('paste from garc here'!$C$2,1+(('table for research'!$B653-456)*36+HEX2DEC('table for research'!AF$1))*2,2)</f>
        <v>00</v>
      </c>
      <c r="AG653" t="str">
        <f>MID('paste from garc here'!$C$2,1+(('table for research'!$B653-456)*36+HEX2DEC('table for research'!AG$1))*2,2)</f>
        <v>00</v>
      </c>
      <c r="AH653" t="str">
        <f>MID('paste from garc here'!$C$2,1+(('table for research'!$B653-456)*36+HEX2DEC('table for research'!AH$1))*2,2)</f>
        <v>00</v>
      </c>
      <c r="AI653" t="str">
        <f>MID('paste from garc here'!$C$2,1+(('table for research'!$B653-456)*36+HEX2DEC('table for research'!AI$1))*2,2)</f>
        <v>00</v>
      </c>
      <c r="AJ653" t="str">
        <f>MID('paste from garc here'!$C$2,1+(('table for research'!$B653-456)*36+HEX2DEC('table for research'!AJ$1))*2,2)</f>
        <v>00</v>
      </c>
      <c r="AK653" t="str">
        <f>MID('paste from garc here'!$C$2,1+(('table for research'!$B653-456)*36+HEX2DEC('table for research'!AK$1))*2,2)</f>
        <v>00</v>
      </c>
      <c r="AL653" t="str">
        <f>MID('paste from garc here'!$C$2,1+(('table for research'!$B653-456)*36+HEX2DEC('table for research'!AL$1))*2,2)</f>
        <v>00</v>
      </c>
      <c r="AM653" t="str">
        <f>MID('paste from garc here'!$C$2,1+(('table for research'!$B653-456)*36+HEX2DEC('table for research'!AM$1))*2,2)</f>
        <v>00</v>
      </c>
      <c r="AN653" t="str">
        <f>MID('paste from garc here'!$C$2,1+(('table for research'!$B653-456)*36+HEX2DEC('table for research'!AN$1))*2,2)</f>
        <v>00</v>
      </c>
      <c r="AO653" t="str">
        <f>MID('paste from garc here'!$C$2,1+(('table for research'!$B653-456)*36+HEX2DEC('table for research'!AO$1))*2,2)</f>
        <v>00</v>
      </c>
    </row>
    <row r="654" spans="1:41" x14ac:dyDescent="0.4">
      <c r="A654" t="s">
        <v>653</v>
      </c>
      <c r="B654">
        <f>B653+1</f>
        <v>652</v>
      </c>
      <c r="C654" t="str">
        <f>MID('paste from garc here'!$C$2,1+(('table for research'!$B654-456)*36+HEX2DEC('table for research'!C$1))*2,2)</f>
        <v>14</v>
      </c>
      <c r="D654" t="str">
        <f>MID('paste from garc here'!$C$2,1+(('table for research'!$B654-456)*36+HEX2DEC('table for research'!D$1))*2,2)</f>
        <v>00</v>
      </c>
      <c r="E654" t="str">
        <f>MID('paste from garc here'!$C$2,1+(('table for research'!$B654-456)*36+HEX2DEC('table for research'!E$1))*2,2)</f>
        <v>00</v>
      </c>
      <c r="F654" t="str">
        <f>MID('paste from garc here'!$C$2,1+(('table for research'!$B654-456)*36+HEX2DEC('table for research'!F$1))*2,2)</f>
        <v>00</v>
      </c>
      <c r="G654" t="str">
        <f>MID('paste from garc here'!$C$2,1+(('table for research'!$B654-456)*36+HEX2DEC('table for research'!G$1))*2,2)</f>
        <v>00</v>
      </c>
      <c r="H654" t="str">
        <f>MID('paste from garc here'!$C$2,1+(('table for research'!$B654-456)*36+HEX2DEC('table for research'!H$1))*2,2)</f>
        <v>00</v>
      </c>
      <c r="I654" t="str">
        <f>MID('paste from garc here'!$C$2,1+(('table for research'!$B654-456)*36+HEX2DEC('table for research'!I$1))*2,2)</f>
        <v>1E</v>
      </c>
      <c r="J654" t="str">
        <f>MID('paste from garc here'!$C$2,1+(('table for research'!$B654-456)*36+HEX2DEC('table for research'!J$1))*2,2)</f>
        <v>00</v>
      </c>
      <c r="K654" t="str">
        <f>DEC2HEX(_xlfn.BITAND(HEX2DEC(MID('paste from garc here'!$C$1,1+(('table for research'!$B654-1)*36+HEX2DEC(8))*2,2)),31),2)</f>
        <v>00</v>
      </c>
      <c r="L654" t="str">
        <f>DEC2HEX(_xlfn.BITAND(HEX2DEC(MID('paste from garc here'!$C$1,1+(('table for research'!$B654-1)*36+HEX2DEC(8))*2,2)),32),2)</f>
        <v>00</v>
      </c>
      <c r="M654" t="str">
        <f>DEC2HEX(_xlfn.BITAND(HEX2DEC(MID('paste from garc here'!$C$1,1+(('table for research'!$B654-1)*36+HEX2DEC(8))*2,2)),64),2)</f>
        <v>00</v>
      </c>
      <c r="N654" t="str">
        <f>DEC2HEX(_xlfn.BITRSHIFT(_xlfn.BITAND(HEX2DEC(MID('paste from garc here'!$C$1,1+(('table for research'!$B654-1)*36+HEX2DEC(9))*2,2)&amp;MID('paste from garc here'!$C$1,1+(('table for research'!$B654-1)*36+HEX2DEC(8))*2,2)),1920),7),2)</f>
        <v>00</v>
      </c>
      <c r="O654" t="str">
        <f>DEC2HEX(_xlfn.BITRSHIFT(HEX2DEC(MID('paste from garc here'!$C$1,1+(('table for research'!$B654-1)*36+HEX2DEC(9))*2,2)&amp;MID('paste from garc here'!$C$1,1+(('table for research'!$B654-1)*36+HEX2DEC(8))*2,2)),11),2)</f>
        <v>00</v>
      </c>
      <c r="P654" t="str">
        <f>MID('paste from garc here'!$C$2,1+(('table for research'!$B654-456)*36+HEX2DEC('table for research'!P$1))*2,2)</f>
        <v>00</v>
      </c>
      <c r="Q654" t="str">
        <f>MID('paste from garc here'!$C$2,1+(('table for research'!$B654-456)*36+HEX2DEC('table for research'!Q$1))*2,2)</f>
        <v>00</v>
      </c>
      <c r="R654" t="str">
        <f>MID('paste from garc here'!$C$2,1+(('table for research'!$B654-456)*36+HEX2DEC('table for research'!R$1))*2,2)</f>
        <v>01</v>
      </c>
      <c r="S654" t="str">
        <f>MID('paste from garc here'!$C$2,1+(('table for research'!$B654-456)*36+HEX2DEC('table for research'!S$1))*2,2)</f>
        <v>02</v>
      </c>
      <c r="T654" t="str">
        <f>MID('paste from garc here'!$C$2,1+(('table for research'!$B654-456)*36+HEX2DEC('table for research'!T$1))*2,2)</f>
        <v>00</v>
      </c>
      <c r="U654" t="str">
        <f>MID('paste from garc here'!$C$2,1+(('table for research'!$B654-456)*36+HEX2DEC('table for research'!U$1))*2,2)</f>
        <v>FF</v>
      </c>
      <c r="V654" t="str">
        <f>MID('paste from garc here'!$C$2,1+(('table for research'!$B654-456)*36+HEX2DEC('table for research'!V$1))*2,2)</f>
        <v>00</v>
      </c>
      <c r="W654" t="str">
        <f>MID('paste from garc here'!$C$2,1+(('table for research'!$B654-456)*36+HEX2DEC('table for research'!W$1))*2,2)</f>
        <v>00</v>
      </c>
      <c r="X654" t="str">
        <f>MID('paste from garc here'!$C$2,1+(('table for research'!$B654-456)*36+HEX2DEC('table for research'!X$1))*2,2)</f>
        <v>00</v>
      </c>
      <c r="Y654" t="str">
        <f>MID('paste from garc here'!$C$2,1+(('table for research'!$B654-456)*36+HEX2DEC('table for research'!Y$1))*2,2)</f>
        <v>00</v>
      </c>
      <c r="Z654" t="str">
        <f>MID('paste from garc here'!$C$2,1+(('table for research'!$B654-456)*36+HEX2DEC('table for research'!Z$1))*2,2)</f>
        <v>00</v>
      </c>
      <c r="AA654" t="str">
        <f>MID('paste from garc here'!$C$2,1+(('table for research'!$B654-456)*36+HEX2DEC('table for research'!AA$1))*2,2)</f>
        <v>00</v>
      </c>
      <c r="AB654" t="str">
        <f>MID('paste from garc here'!$C$2,1+(('table for research'!$B654-456)*36+HEX2DEC('table for research'!AB$1))*2,2)</f>
        <v>00</v>
      </c>
      <c r="AC654" t="str">
        <f>MID('paste from garc here'!$C$2,1+(('table for research'!$B654-456)*36+HEX2DEC('table for research'!AC$1))*2,2)</f>
        <v>00</v>
      </c>
      <c r="AD654" t="str">
        <f>MID('paste from garc here'!$C$2,1+(('table for research'!$B654-456)*36+HEX2DEC('table for research'!AD$1))*2,2)</f>
        <v>00</v>
      </c>
      <c r="AE654" t="str">
        <f>MID('paste from garc here'!$C$2,1+(('table for research'!$B654-456)*36+HEX2DEC('table for research'!AE$1))*2,2)</f>
        <v>00</v>
      </c>
      <c r="AF654" t="str">
        <f>MID('paste from garc here'!$C$2,1+(('table for research'!$B654-456)*36+HEX2DEC('table for research'!AF$1))*2,2)</f>
        <v>00</v>
      </c>
      <c r="AG654" t="str">
        <f>MID('paste from garc here'!$C$2,1+(('table for research'!$B654-456)*36+HEX2DEC('table for research'!AG$1))*2,2)</f>
        <v>00</v>
      </c>
      <c r="AH654" t="str">
        <f>MID('paste from garc here'!$C$2,1+(('table for research'!$B654-456)*36+HEX2DEC('table for research'!AH$1))*2,2)</f>
        <v>00</v>
      </c>
      <c r="AI654" t="str">
        <f>MID('paste from garc here'!$C$2,1+(('table for research'!$B654-456)*36+HEX2DEC('table for research'!AI$1))*2,2)</f>
        <v>00</v>
      </c>
      <c r="AJ654" t="str">
        <f>MID('paste from garc here'!$C$2,1+(('table for research'!$B654-456)*36+HEX2DEC('table for research'!AJ$1))*2,2)</f>
        <v>00</v>
      </c>
      <c r="AK654" t="str">
        <f>MID('paste from garc here'!$C$2,1+(('table for research'!$B654-456)*36+HEX2DEC('table for research'!AK$1))*2,2)</f>
        <v>00</v>
      </c>
      <c r="AL654" t="str">
        <f>MID('paste from garc here'!$C$2,1+(('table for research'!$B654-456)*36+HEX2DEC('table for research'!AL$1))*2,2)</f>
        <v>00</v>
      </c>
      <c r="AM654" t="str">
        <f>MID('paste from garc here'!$C$2,1+(('table for research'!$B654-456)*36+HEX2DEC('table for research'!AM$1))*2,2)</f>
        <v>00</v>
      </c>
      <c r="AN654" t="str">
        <f>MID('paste from garc here'!$C$2,1+(('table for research'!$B654-456)*36+HEX2DEC('table for research'!AN$1))*2,2)</f>
        <v>00</v>
      </c>
      <c r="AO654" t="str">
        <f>MID('paste from garc here'!$C$2,1+(('table for research'!$B654-456)*36+HEX2DEC('table for research'!AO$1))*2,2)</f>
        <v>00</v>
      </c>
    </row>
    <row r="655" spans="1:41" x14ac:dyDescent="0.4">
      <c r="A655" t="s">
        <v>654</v>
      </c>
      <c r="B655">
        <f>B654+1</f>
        <v>653</v>
      </c>
      <c r="C655" t="str">
        <f>MID('paste from garc here'!$C$2,1+(('table for research'!$B655-456)*36+HEX2DEC('table for research'!C$1))*2,2)</f>
        <v>14</v>
      </c>
      <c r="D655" t="str">
        <f>MID('paste from garc here'!$C$2,1+(('table for research'!$B655-456)*36+HEX2DEC('table for research'!D$1))*2,2)</f>
        <v>00</v>
      </c>
      <c r="E655" t="str">
        <f>MID('paste from garc here'!$C$2,1+(('table for research'!$B655-456)*36+HEX2DEC('table for research'!E$1))*2,2)</f>
        <v>00</v>
      </c>
      <c r="F655" t="str">
        <f>MID('paste from garc here'!$C$2,1+(('table for research'!$B655-456)*36+HEX2DEC('table for research'!F$1))*2,2)</f>
        <v>00</v>
      </c>
      <c r="G655" t="str">
        <f>MID('paste from garc here'!$C$2,1+(('table for research'!$B655-456)*36+HEX2DEC('table for research'!G$1))*2,2)</f>
        <v>00</v>
      </c>
      <c r="H655" t="str">
        <f>MID('paste from garc here'!$C$2,1+(('table for research'!$B655-456)*36+HEX2DEC('table for research'!H$1))*2,2)</f>
        <v>00</v>
      </c>
      <c r="I655" t="str">
        <f>MID('paste from garc here'!$C$2,1+(('table for research'!$B655-456)*36+HEX2DEC('table for research'!I$1))*2,2)</f>
        <v>1E</v>
      </c>
      <c r="J655" t="str">
        <f>MID('paste from garc here'!$C$2,1+(('table for research'!$B655-456)*36+HEX2DEC('table for research'!J$1))*2,2)</f>
        <v>00</v>
      </c>
      <c r="K655" t="str">
        <f>DEC2HEX(_xlfn.BITAND(HEX2DEC(MID('paste from garc here'!$C$1,1+(('table for research'!$B655-1)*36+HEX2DEC(8))*2,2)),31),2)</f>
        <v>00</v>
      </c>
      <c r="L655" t="str">
        <f>DEC2HEX(_xlfn.BITAND(HEX2DEC(MID('paste from garc here'!$C$1,1+(('table for research'!$B655-1)*36+HEX2DEC(8))*2,2)),32),2)</f>
        <v>00</v>
      </c>
      <c r="M655" t="str">
        <f>DEC2HEX(_xlfn.BITAND(HEX2DEC(MID('paste from garc here'!$C$1,1+(('table for research'!$B655-1)*36+HEX2DEC(8))*2,2)),64),2)</f>
        <v>00</v>
      </c>
      <c r="N655" t="str">
        <f>DEC2HEX(_xlfn.BITRSHIFT(_xlfn.BITAND(HEX2DEC(MID('paste from garc here'!$C$1,1+(('table for research'!$B655-1)*36+HEX2DEC(9))*2,2)&amp;MID('paste from garc here'!$C$1,1+(('table for research'!$B655-1)*36+HEX2DEC(8))*2,2)),1920),7),2)</f>
        <v>00</v>
      </c>
      <c r="O655" t="str">
        <f>DEC2HEX(_xlfn.BITRSHIFT(HEX2DEC(MID('paste from garc here'!$C$1,1+(('table for research'!$B655-1)*36+HEX2DEC(9))*2,2)&amp;MID('paste from garc here'!$C$1,1+(('table for research'!$B655-1)*36+HEX2DEC(8))*2,2)),11),2)</f>
        <v>00</v>
      </c>
      <c r="P655" t="str">
        <f>MID('paste from garc here'!$C$2,1+(('table for research'!$B655-456)*36+HEX2DEC('table for research'!P$1))*2,2)</f>
        <v>00</v>
      </c>
      <c r="Q655" t="str">
        <f>MID('paste from garc here'!$C$2,1+(('table for research'!$B655-456)*36+HEX2DEC('table for research'!Q$1))*2,2)</f>
        <v>00</v>
      </c>
      <c r="R655" t="str">
        <f>MID('paste from garc here'!$C$2,1+(('table for research'!$B655-456)*36+HEX2DEC('table for research'!R$1))*2,2)</f>
        <v>01</v>
      </c>
      <c r="S655" t="str">
        <f>MID('paste from garc here'!$C$2,1+(('table for research'!$B655-456)*36+HEX2DEC('table for research'!S$1))*2,2)</f>
        <v>02</v>
      </c>
      <c r="T655" t="str">
        <f>MID('paste from garc here'!$C$2,1+(('table for research'!$B655-456)*36+HEX2DEC('table for research'!T$1))*2,2)</f>
        <v>00</v>
      </c>
      <c r="U655" t="str">
        <f>MID('paste from garc here'!$C$2,1+(('table for research'!$B655-456)*36+HEX2DEC('table for research'!U$1))*2,2)</f>
        <v>FF</v>
      </c>
      <c r="V655" t="str">
        <f>MID('paste from garc here'!$C$2,1+(('table for research'!$B655-456)*36+HEX2DEC('table for research'!V$1))*2,2)</f>
        <v>00</v>
      </c>
      <c r="W655" t="str">
        <f>MID('paste from garc here'!$C$2,1+(('table for research'!$B655-456)*36+HEX2DEC('table for research'!W$1))*2,2)</f>
        <v>00</v>
      </c>
      <c r="X655" t="str">
        <f>MID('paste from garc here'!$C$2,1+(('table for research'!$B655-456)*36+HEX2DEC('table for research'!X$1))*2,2)</f>
        <v>00</v>
      </c>
      <c r="Y655" t="str">
        <f>MID('paste from garc here'!$C$2,1+(('table for research'!$B655-456)*36+HEX2DEC('table for research'!Y$1))*2,2)</f>
        <v>00</v>
      </c>
      <c r="Z655" t="str">
        <f>MID('paste from garc here'!$C$2,1+(('table for research'!$B655-456)*36+HEX2DEC('table for research'!Z$1))*2,2)</f>
        <v>00</v>
      </c>
      <c r="AA655" t="str">
        <f>MID('paste from garc here'!$C$2,1+(('table for research'!$B655-456)*36+HEX2DEC('table for research'!AA$1))*2,2)</f>
        <v>00</v>
      </c>
      <c r="AB655" t="str">
        <f>MID('paste from garc here'!$C$2,1+(('table for research'!$B655-456)*36+HEX2DEC('table for research'!AB$1))*2,2)</f>
        <v>00</v>
      </c>
      <c r="AC655" t="str">
        <f>MID('paste from garc here'!$C$2,1+(('table for research'!$B655-456)*36+HEX2DEC('table for research'!AC$1))*2,2)</f>
        <v>00</v>
      </c>
      <c r="AD655" t="str">
        <f>MID('paste from garc here'!$C$2,1+(('table for research'!$B655-456)*36+HEX2DEC('table for research'!AD$1))*2,2)</f>
        <v>00</v>
      </c>
      <c r="AE655" t="str">
        <f>MID('paste from garc here'!$C$2,1+(('table for research'!$B655-456)*36+HEX2DEC('table for research'!AE$1))*2,2)</f>
        <v>00</v>
      </c>
      <c r="AF655" t="str">
        <f>MID('paste from garc here'!$C$2,1+(('table for research'!$B655-456)*36+HEX2DEC('table for research'!AF$1))*2,2)</f>
        <v>00</v>
      </c>
      <c r="AG655" t="str">
        <f>MID('paste from garc here'!$C$2,1+(('table for research'!$B655-456)*36+HEX2DEC('table for research'!AG$1))*2,2)</f>
        <v>00</v>
      </c>
      <c r="AH655" t="str">
        <f>MID('paste from garc here'!$C$2,1+(('table for research'!$B655-456)*36+HEX2DEC('table for research'!AH$1))*2,2)</f>
        <v>00</v>
      </c>
      <c r="AI655" t="str">
        <f>MID('paste from garc here'!$C$2,1+(('table for research'!$B655-456)*36+HEX2DEC('table for research'!AI$1))*2,2)</f>
        <v>00</v>
      </c>
      <c r="AJ655" t="str">
        <f>MID('paste from garc here'!$C$2,1+(('table for research'!$B655-456)*36+HEX2DEC('table for research'!AJ$1))*2,2)</f>
        <v>00</v>
      </c>
      <c r="AK655" t="str">
        <f>MID('paste from garc here'!$C$2,1+(('table for research'!$B655-456)*36+HEX2DEC('table for research'!AK$1))*2,2)</f>
        <v>00</v>
      </c>
      <c r="AL655" t="str">
        <f>MID('paste from garc here'!$C$2,1+(('table for research'!$B655-456)*36+HEX2DEC('table for research'!AL$1))*2,2)</f>
        <v>00</v>
      </c>
      <c r="AM655" t="str">
        <f>MID('paste from garc here'!$C$2,1+(('table for research'!$B655-456)*36+HEX2DEC('table for research'!AM$1))*2,2)</f>
        <v>00</v>
      </c>
      <c r="AN655" t="str">
        <f>MID('paste from garc here'!$C$2,1+(('table for research'!$B655-456)*36+HEX2DEC('table for research'!AN$1))*2,2)</f>
        <v>00</v>
      </c>
      <c r="AO655" t="str">
        <f>MID('paste from garc here'!$C$2,1+(('table for research'!$B655-456)*36+HEX2DEC('table for research'!AO$1))*2,2)</f>
        <v>00</v>
      </c>
    </row>
    <row r="656" spans="1:41" x14ac:dyDescent="0.4">
      <c r="A656" t="s">
        <v>655</v>
      </c>
      <c r="B656">
        <f>B655+1</f>
        <v>654</v>
      </c>
      <c r="C656" t="str">
        <f>MID('paste from garc here'!$C$2,1+(('table for research'!$B656-456)*36+HEX2DEC('table for research'!C$1))*2,2)</f>
        <v>14</v>
      </c>
      <c r="D656" t="str">
        <f>MID('paste from garc here'!$C$2,1+(('table for research'!$B656-456)*36+HEX2DEC('table for research'!D$1))*2,2)</f>
        <v>00</v>
      </c>
      <c r="E656" t="str">
        <f>MID('paste from garc here'!$C$2,1+(('table for research'!$B656-456)*36+HEX2DEC('table for research'!E$1))*2,2)</f>
        <v>00</v>
      </c>
      <c r="F656" t="str">
        <f>MID('paste from garc here'!$C$2,1+(('table for research'!$B656-456)*36+HEX2DEC('table for research'!F$1))*2,2)</f>
        <v>00</v>
      </c>
      <c r="G656" t="str">
        <f>MID('paste from garc here'!$C$2,1+(('table for research'!$B656-456)*36+HEX2DEC('table for research'!G$1))*2,2)</f>
        <v>00</v>
      </c>
      <c r="H656" t="str">
        <f>MID('paste from garc here'!$C$2,1+(('table for research'!$B656-456)*36+HEX2DEC('table for research'!H$1))*2,2)</f>
        <v>00</v>
      </c>
      <c r="I656" t="str">
        <f>MID('paste from garc here'!$C$2,1+(('table for research'!$B656-456)*36+HEX2DEC('table for research'!I$1))*2,2)</f>
        <v>1E</v>
      </c>
      <c r="J656" t="str">
        <f>MID('paste from garc here'!$C$2,1+(('table for research'!$B656-456)*36+HEX2DEC('table for research'!J$1))*2,2)</f>
        <v>00</v>
      </c>
      <c r="K656" t="str">
        <f>DEC2HEX(_xlfn.BITAND(HEX2DEC(MID('paste from garc here'!$C$1,1+(('table for research'!$B656-1)*36+HEX2DEC(8))*2,2)),31),2)</f>
        <v>00</v>
      </c>
      <c r="L656" t="str">
        <f>DEC2HEX(_xlfn.BITAND(HEX2DEC(MID('paste from garc here'!$C$1,1+(('table for research'!$B656-1)*36+HEX2DEC(8))*2,2)),32),2)</f>
        <v>00</v>
      </c>
      <c r="M656" t="str">
        <f>DEC2HEX(_xlfn.BITAND(HEX2DEC(MID('paste from garc here'!$C$1,1+(('table for research'!$B656-1)*36+HEX2DEC(8))*2,2)),64),2)</f>
        <v>00</v>
      </c>
      <c r="N656" t="str">
        <f>DEC2HEX(_xlfn.BITRSHIFT(_xlfn.BITAND(HEX2DEC(MID('paste from garc here'!$C$1,1+(('table for research'!$B656-1)*36+HEX2DEC(9))*2,2)&amp;MID('paste from garc here'!$C$1,1+(('table for research'!$B656-1)*36+HEX2DEC(8))*2,2)),1920),7),2)</f>
        <v>00</v>
      </c>
      <c r="O656" t="str">
        <f>DEC2HEX(_xlfn.BITRSHIFT(HEX2DEC(MID('paste from garc here'!$C$1,1+(('table for research'!$B656-1)*36+HEX2DEC(9))*2,2)&amp;MID('paste from garc here'!$C$1,1+(('table for research'!$B656-1)*36+HEX2DEC(8))*2,2)),11),2)</f>
        <v>00</v>
      </c>
      <c r="P656" t="str">
        <f>MID('paste from garc here'!$C$2,1+(('table for research'!$B656-456)*36+HEX2DEC('table for research'!P$1))*2,2)</f>
        <v>00</v>
      </c>
      <c r="Q656" t="str">
        <f>MID('paste from garc here'!$C$2,1+(('table for research'!$B656-456)*36+HEX2DEC('table for research'!Q$1))*2,2)</f>
        <v>00</v>
      </c>
      <c r="R656" t="str">
        <f>MID('paste from garc here'!$C$2,1+(('table for research'!$B656-456)*36+HEX2DEC('table for research'!R$1))*2,2)</f>
        <v>01</v>
      </c>
      <c r="S656" t="str">
        <f>MID('paste from garc here'!$C$2,1+(('table for research'!$B656-456)*36+HEX2DEC('table for research'!S$1))*2,2)</f>
        <v>02</v>
      </c>
      <c r="T656" t="str">
        <f>MID('paste from garc here'!$C$2,1+(('table for research'!$B656-456)*36+HEX2DEC('table for research'!T$1))*2,2)</f>
        <v>00</v>
      </c>
      <c r="U656" t="str">
        <f>MID('paste from garc here'!$C$2,1+(('table for research'!$B656-456)*36+HEX2DEC('table for research'!U$1))*2,2)</f>
        <v>FF</v>
      </c>
      <c r="V656" t="str">
        <f>MID('paste from garc here'!$C$2,1+(('table for research'!$B656-456)*36+HEX2DEC('table for research'!V$1))*2,2)</f>
        <v>00</v>
      </c>
      <c r="W656" t="str">
        <f>MID('paste from garc here'!$C$2,1+(('table for research'!$B656-456)*36+HEX2DEC('table for research'!W$1))*2,2)</f>
        <v>00</v>
      </c>
      <c r="X656" t="str">
        <f>MID('paste from garc here'!$C$2,1+(('table for research'!$B656-456)*36+HEX2DEC('table for research'!X$1))*2,2)</f>
        <v>00</v>
      </c>
      <c r="Y656" t="str">
        <f>MID('paste from garc here'!$C$2,1+(('table for research'!$B656-456)*36+HEX2DEC('table for research'!Y$1))*2,2)</f>
        <v>00</v>
      </c>
      <c r="Z656" t="str">
        <f>MID('paste from garc here'!$C$2,1+(('table for research'!$B656-456)*36+HEX2DEC('table for research'!Z$1))*2,2)</f>
        <v>00</v>
      </c>
      <c r="AA656" t="str">
        <f>MID('paste from garc here'!$C$2,1+(('table for research'!$B656-456)*36+HEX2DEC('table for research'!AA$1))*2,2)</f>
        <v>00</v>
      </c>
      <c r="AB656" t="str">
        <f>MID('paste from garc here'!$C$2,1+(('table for research'!$B656-456)*36+HEX2DEC('table for research'!AB$1))*2,2)</f>
        <v>00</v>
      </c>
      <c r="AC656" t="str">
        <f>MID('paste from garc here'!$C$2,1+(('table for research'!$B656-456)*36+HEX2DEC('table for research'!AC$1))*2,2)</f>
        <v>00</v>
      </c>
      <c r="AD656" t="str">
        <f>MID('paste from garc here'!$C$2,1+(('table for research'!$B656-456)*36+HEX2DEC('table for research'!AD$1))*2,2)</f>
        <v>00</v>
      </c>
      <c r="AE656" t="str">
        <f>MID('paste from garc here'!$C$2,1+(('table for research'!$B656-456)*36+HEX2DEC('table for research'!AE$1))*2,2)</f>
        <v>00</v>
      </c>
      <c r="AF656" t="str">
        <f>MID('paste from garc here'!$C$2,1+(('table for research'!$B656-456)*36+HEX2DEC('table for research'!AF$1))*2,2)</f>
        <v>00</v>
      </c>
      <c r="AG656" t="str">
        <f>MID('paste from garc here'!$C$2,1+(('table for research'!$B656-456)*36+HEX2DEC('table for research'!AG$1))*2,2)</f>
        <v>00</v>
      </c>
      <c r="AH656" t="str">
        <f>MID('paste from garc here'!$C$2,1+(('table for research'!$B656-456)*36+HEX2DEC('table for research'!AH$1))*2,2)</f>
        <v>00</v>
      </c>
      <c r="AI656" t="str">
        <f>MID('paste from garc here'!$C$2,1+(('table for research'!$B656-456)*36+HEX2DEC('table for research'!AI$1))*2,2)</f>
        <v>00</v>
      </c>
      <c r="AJ656" t="str">
        <f>MID('paste from garc here'!$C$2,1+(('table for research'!$B656-456)*36+HEX2DEC('table for research'!AJ$1))*2,2)</f>
        <v>00</v>
      </c>
      <c r="AK656" t="str">
        <f>MID('paste from garc here'!$C$2,1+(('table for research'!$B656-456)*36+HEX2DEC('table for research'!AK$1))*2,2)</f>
        <v>00</v>
      </c>
      <c r="AL656" t="str">
        <f>MID('paste from garc here'!$C$2,1+(('table for research'!$B656-456)*36+HEX2DEC('table for research'!AL$1))*2,2)</f>
        <v>00</v>
      </c>
      <c r="AM656" t="str">
        <f>MID('paste from garc here'!$C$2,1+(('table for research'!$B656-456)*36+HEX2DEC('table for research'!AM$1))*2,2)</f>
        <v>00</v>
      </c>
      <c r="AN656" t="str">
        <f>MID('paste from garc here'!$C$2,1+(('table for research'!$B656-456)*36+HEX2DEC('table for research'!AN$1))*2,2)</f>
        <v>00</v>
      </c>
      <c r="AO656" t="str">
        <f>MID('paste from garc here'!$C$2,1+(('table for research'!$B656-456)*36+HEX2DEC('table for research'!AO$1))*2,2)</f>
        <v>00</v>
      </c>
    </row>
    <row r="657" spans="1:41" x14ac:dyDescent="0.4">
      <c r="A657" t="s">
        <v>656</v>
      </c>
      <c r="B657">
        <f>B656+1</f>
        <v>655</v>
      </c>
      <c r="C657" t="str">
        <f>MID('paste from garc here'!$C$2,1+(('table for research'!$B657-456)*36+HEX2DEC('table for research'!C$1))*2,2)</f>
        <v>14</v>
      </c>
      <c r="D657" t="str">
        <f>MID('paste from garc here'!$C$2,1+(('table for research'!$B657-456)*36+HEX2DEC('table for research'!D$1))*2,2)</f>
        <v>00</v>
      </c>
      <c r="E657" t="str">
        <f>MID('paste from garc here'!$C$2,1+(('table for research'!$B657-456)*36+HEX2DEC('table for research'!E$1))*2,2)</f>
        <v>00</v>
      </c>
      <c r="F657" t="str">
        <f>MID('paste from garc here'!$C$2,1+(('table for research'!$B657-456)*36+HEX2DEC('table for research'!F$1))*2,2)</f>
        <v>00</v>
      </c>
      <c r="G657" t="str">
        <f>MID('paste from garc here'!$C$2,1+(('table for research'!$B657-456)*36+HEX2DEC('table for research'!G$1))*2,2)</f>
        <v>00</v>
      </c>
      <c r="H657" t="str">
        <f>MID('paste from garc here'!$C$2,1+(('table for research'!$B657-456)*36+HEX2DEC('table for research'!H$1))*2,2)</f>
        <v>00</v>
      </c>
      <c r="I657" t="str">
        <f>MID('paste from garc here'!$C$2,1+(('table for research'!$B657-456)*36+HEX2DEC('table for research'!I$1))*2,2)</f>
        <v>1E</v>
      </c>
      <c r="J657" t="str">
        <f>MID('paste from garc here'!$C$2,1+(('table for research'!$B657-456)*36+HEX2DEC('table for research'!J$1))*2,2)</f>
        <v>00</v>
      </c>
      <c r="K657" t="str">
        <f>DEC2HEX(_xlfn.BITAND(HEX2DEC(MID('paste from garc here'!$C$1,1+(('table for research'!$B657-1)*36+HEX2DEC(8))*2,2)),31),2)</f>
        <v>00</v>
      </c>
      <c r="L657" t="str">
        <f>DEC2HEX(_xlfn.BITAND(HEX2DEC(MID('paste from garc here'!$C$1,1+(('table for research'!$B657-1)*36+HEX2DEC(8))*2,2)),32),2)</f>
        <v>00</v>
      </c>
      <c r="M657" t="str">
        <f>DEC2HEX(_xlfn.BITAND(HEX2DEC(MID('paste from garc here'!$C$1,1+(('table for research'!$B657-1)*36+HEX2DEC(8))*2,2)),64),2)</f>
        <v>00</v>
      </c>
      <c r="N657" t="str">
        <f>DEC2HEX(_xlfn.BITRSHIFT(_xlfn.BITAND(HEX2DEC(MID('paste from garc here'!$C$1,1+(('table for research'!$B657-1)*36+HEX2DEC(9))*2,2)&amp;MID('paste from garc here'!$C$1,1+(('table for research'!$B657-1)*36+HEX2DEC(8))*2,2)),1920),7),2)</f>
        <v>00</v>
      </c>
      <c r="O657" t="str">
        <f>DEC2HEX(_xlfn.BITRSHIFT(HEX2DEC(MID('paste from garc here'!$C$1,1+(('table for research'!$B657-1)*36+HEX2DEC(9))*2,2)&amp;MID('paste from garc here'!$C$1,1+(('table for research'!$B657-1)*36+HEX2DEC(8))*2,2)),11),2)</f>
        <v>00</v>
      </c>
      <c r="P657" t="str">
        <f>MID('paste from garc here'!$C$2,1+(('table for research'!$B657-456)*36+HEX2DEC('table for research'!P$1))*2,2)</f>
        <v>00</v>
      </c>
      <c r="Q657" t="str">
        <f>MID('paste from garc here'!$C$2,1+(('table for research'!$B657-456)*36+HEX2DEC('table for research'!Q$1))*2,2)</f>
        <v>00</v>
      </c>
      <c r="R657" t="str">
        <f>MID('paste from garc here'!$C$2,1+(('table for research'!$B657-456)*36+HEX2DEC('table for research'!R$1))*2,2)</f>
        <v>01</v>
      </c>
      <c r="S657" t="str">
        <f>MID('paste from garc here'!$C$2,1+(('table for research'!$B657-456)*36+HEX2DEC('table for research'!S$1))*2,2)</f>
        <v>02</v>
      </c>
      <c r="T657" t="str">
        <f>MID('paste from garc here'!$C$2,1+(('table for research'!$B657-456)*36+HEX2DEC('table for research'!T$1))*2,2)</f>
        <v>00</v>
      </c>
      <c r="U657" t="str">
        <f>MID('paste from garc here'!$C$2,1+(('table for research'!$B657-456)*36+HEX2DEC('table for research'!U$1))*2,2)</f>
        <v>FF</v>
      </c>
      <c r="V657" t="str">
        <f>MID('paste from garc here'!$C$2,1+(('table for research'!$B657-456)*36+HEX2DEC('table for research'!V$1))*2,2)</f>
        <v>00</v>
      </c>
      <c r="W657" t="str">
        <f>MID('paste from garc here'!$C$2,1+(('table for research'!$B657-456)*36+HEX2DEC('table for research'!W$1))*2,2)</f>
        <v>00</v>
      </c>
      <c r="X657" t="str">
        <f>MID('paste from garc here'!$C$2,1+(('table for research'!$B657-456)*36+HEX2DEC('table for research'!X$1))*2,2)</f>
        <v>00</v>
      </c>
      <c r="Y657" t="str">
        <f>MID('paste from garc here'!$C$2,1+(('table for research'!$B657-456)*36+HEX2DEC('table for research'!Y$1))*2,2)</f>
        <v>00</v>
      </c>
      <c r="Z657" t="str">
        <f>MID('paste from garc here'!$C$2,1+(('table for research'!$B657-456)*36+HEX2DEC('table for research'!Z$1))*2,2)</f>
        <v>00</v>
      </c>
      <c r="AA657" t="str">
        <f>MID('paste from garc here'!$C$2,1+(('table for research'!$B657-456)*36+HEX2DEC('table for research'!AA$1))*2,2)</f>
        <v>00</v>
      </c>
      <c r="AB657" t="str">
        <f>MID('paste from garc here'!$C$2,1+(('table for research'!$B657-456)*36+HEX2DEC('table for research'!AB$1))*2,2)</f>
        <v>00</v>
      </c>
      <c r="AC657" t="str">
        <f>MID('paste from garc here'!$C$2,1+(('table for research'!$B657-456)*36+HEX2DEC('table for research'!AC$1))*2,2)</f>
        <v>00</v>
      </c>
      <c r="AD657" t="str">
        <f>MID('paste from garc here'!$C$2,1+(('table for research'!$B657-456)*36+HEX2DEC('table for research'!AD$1))*2,2)</f>
        <v>00</v>
      </c>
      <c r="AE657" t="str">
        <f>MID('paste from garc here'!$C$2,1+(('table for research'!$B657-456)*36+HEX2DEC('table for research'!AE$1))*2,2)</f>
        <v>00</v>
      </c>
      <c r="AF657" t="str">
        <f>MID('paste from garc here'!$C$2,1+(('table for research'!$B657-456)*36+HEX2DEC('table for research'!AF$1))*2,2)</f>
        <v>00</v>
      </c>
      <c r="AG657" t="str">
        <f>MID('paste from garc here'!$C$2,1+(('table for research'!$B657-456)*36+HEX2DEC('table for research'!AG$1))*2,2)</f>
        <v>00</v>
      </c>
      <c r="AH657" t="str">
        <f>MID('paste from garc here'!$C$2,1+(('table for research'!$B657-456)*36+HEX2DEC('table for research'!AH$1))*2,2)</f>
        <v>00</v>
      </c>
      <c r="AI657" t="str">
        <f>MID('paste from garc here'!$C$2,1+(('table for research'!$B657-456)*36+HEX2DEC('table for research'!AI$1))*2,2)</f>
        <v>00</v>
      </c>
      <c r="AJ657" t="str">
        <f>MID('paste from garc here'!$C$2,1+(('table for research'!$B657-456)*36+HEX2DEC('table for research'!AJ$1))*2,2)</f>
        <v>00</v>
      </c>
      <c r="AK657" t="str">
        <f>MID('paste from garc here'!$C$2,1+(('table for research'!$B657-456)*36+HEX2DEC('table for research'!AK$1))*2,2)</f>
        <v>00</v>
      </c>
      <c r="AL657" t="str">
        <f>MID('paste from garc here'!$C$2,1+(('table for research'!$B657-456)*36+HEX2DEC('table for research'!AL$1))*2,2)</f>
        <v>00</v>
      </c>
      <c r="AM657" t="str">
        <f>MID('paste from garc here'!$C$2,1+(('table for research'!$B657-456)*36+HEX2DEC('table for research'!AM$1))*2,2)</f>
        <v>00</v>
      </c>
      <c r="AN657" t="str">
        <f>MID('paste from garc here'!$C$2,1+(('table for research'!$B657-456)*36+HEX2DEC('table for research'!AN$1))*2,2)</f>
        <v>00</v>
      </c>
      <c r="AO657" t="str">
        <f>MID('paste from garc here'!$C$2,1+(('table for research'!$B657-456)*36+HEX2DEC('table for research'!AO$1))*2,2)</f>
        <v>00</v>
      </c>
    </row>
    <row r="658" spans="1:41" x14ac:dyDescent="0.4">
      <c r="A658" t="s">
        <v>657</v>
      </c>
      <c r="B658">
        <f>B657+1</f>
        <v>656</v>
      </c>
      <c r="C658" t="str">
        <f>MID('paste from garc here'!$C$2,1+(('table for research'!$B658-456)*36+HEX2DEC('table for research'!C$1))*2,2)</f>
        <v>00</v>
      </c>
      <c r="D658" t="str">
        <f>MID('paste from garc here'!$C$2,1+(('table for research'!$B658-456)*36+HEX2DEC('table for research'!D$1))*2,2)</f>
        <v>00</v>
      </c>
      <c r="E658" t="str">
        <f>MID('paste from garc here'!$C$2,1+(('table for research'!$B658-456)*36+HEX2DEC('table for research'!E$1))*2,2)</f>
        <v>00</v>
      </c>
      <c r="F658" t="str">
        <f>MID('paste from garc here'!$C$2,1+(('table for research'!$B658-456)*36+HEX2DEC('table for research'!F$1))*2,2)</f>
        <v>00</v>
      </c>
      <c r="G658" t="str">
        <f>MID('paste from garc here'!$C$2,1+(('table for research'!$B658-456)*36+HEX2DEC('table for research'!G$1))*2,2)</f>
        <v>00</v>
      </c>
      <c r="H658" t="str">
        <f>MID('paste from garc here'!$C$2,1+(('table for research'!$B658-456)*36+HEX2DEC('table for research'!H$1))*2,2)</f>
        <v>00</v>
      </c>
      <c r="I658" t="str">
        <f>MID('paste from garc here'!$C$2,1+(('table for research'!$B658-456)*36+HEX2DEC('table for research'!I$1))*2,2)</f>
        <v>50</v>
      </c>
      <c r="J658" t="str">
        <f>MID('paste from garc here'!$C$2,1+(('table for research'!$B658-456)*36+HEX2DEC('table for research'!J$1))*2,2)</f>
        <v>00</v>
      </c>
      <c r="K658" t="str">
        <f>DEC2HEX(_xlfn.BITAND(HEX2DEC(MID('paste from garc here'!$C$1,1+(('table for research'!$B658-1)*36+HEX2DEC(8))*2,2)),31),2)</f>
        <v>00</v>
      </c>
      <c r="L658" t="str">
        <f>DEC2HEX(_xlfn.BITAND(HEX2DEC(MID('paste from garc here'!$C$1,1+(('table for research'!$B658-1)*36+HEX2DEC(8))*2,2)),32),2)</f>
        <v>00</v>
      </c>
      <c r="M658" t="str">
        <f>DEC2HEX(_xlfn.BITAND(HEX2DEC(MID('paste from garc here'!$C$1,1+(('table for research'!$B658-1)*36+HEX2DEC(8))*2,2)),64),2)</f>
        <v>00</v>
      </c>
      <c r="N658" t="str">
        <f>DEC2HEX(_xlfn.BITRSHIFT(_xlfn.BITAND(HEX2DEC(MID('paste from garc here'!$C$1,1+(('table for research'!$B658-1)*36+HEX2DEC(9))*2,2)&amp;MID('paste from garc here'!$C$1,1+(('table for research'!$B658-1)*36+HEX2DEC(8))*2,2)),1920),7),2)</f>
        <v>00</v>
      </c>
      <c r="O658" t="str">
        <f>DEC2HEX(_xlfn.BITRSHIFT(HEX2DEC(MID('paste from garc here'!$C$1,1+(('table for research'!$B658-1)*36+HEX2DEC(9))*2,2)&amp;MID('paste from garc here'!$C$1,1+(('table for research'!$B658-1)*36+HEX2DEC(8))*2,2)),11),2)</f>
        <v>00</v>
      </c>
      <c r="P658" t="str">
        <f>MID('paste from garc here'!$C$2,1+(('table for research'!$B658-456)*36+HEX2DEC('table for research'!P$1))*2,2)</f>
        <v>00</v>
      </c>
      <c r="Q658" t="str">
        <f>MID('paste from garc here'!$C$2,1+(('table for research'!$B658-456)*36+HEX2DEC('table for research'!Q$1))*2,2)</f>
        <v>00</v>
      </c>
      <c r="R658" t="str">
        <f>MID('paste from garc here'!$C$2,1+(('table for research'!$B658-456)*36+HEX2DEC('table for research'!R$1))*2,2)</f>
        <v>00</v>
      </c>
      <c r="S658" t="str">
        <f>MID('paste from garc here'!$C$2,1+(('table for research'!$B658-456)*36+HEX2DEC('table for research'!S$1))*2,2)</f>
        <v>01</v>
      </c>
      <c r="T658" t="str">
        <f>MID('paste from garc here'!$C$2,1+(('table for research'!$B658-456)*36+HEX2DEC('table for research'!T$1))*2,2)</f>
        <v>00</v>
      </c>
      <c r="U658" t="str">
        <f>MID('paste from garc here'!$C$2,1+(('table for research'!$B658-456)*36+HEX2DEC('table for research'!U$1))*2,2)</f>
        <v>C7</v>
      </c>
      <c r="V658" t="str">
        <f>MID('paste from garc here'!$C$2,1+(('table for research'!$B658-456)*36+HEX2DEC('table for research'!V$1))*2,2)</f>
        <v>00</v>
      </c>
      <c r="W658" t="str">
        <f>MID('paste from garc here'!$C$2,1+(('table for research'!$B658-456)*36+HEX2DEC('table for research'!W$1))*2,2)</f>
        <v>00</v>
      </c>
      <c r="X658" t="str">
        <f>MID('paste from garc here'!$C$2,1+(('table for research'!$B658-456)*36+HEX2DEC('table for research'!X$1))*2,2)</f>
        <v>00</v>
      </c>
      <c r="Y658" t="str">
        <f>MID('paste from garc here'!$C$2,1+(('table for research'!$B658-456)*36+HEX2DEC('table for research'!Y$1))*2,2)</f>
        <v>00</v>
      </c>
      <c r="Z658" t="str">
        <f>MID('paste from garc here'!$C$2,1+(('table for research'!$B658-456)*36+HEX2DEC('table for research'!Z$1))*2,2)</f>
        <v>00</v>
      </c>
      <c r="AA658" t="str">
        <f>MID('paste from garc here'!$C$2,1+(('table for research'!$B658-456)*36+HEX2DEC('table for research'!AA$1))*2,2)</f>
        <v>00</v>
      </c>
      <c r="AB658" t="str">
        <f>MID('paste from garc here'!$C$2,1+(('table for research'!$B658-456)*36+HEX2DEC('table for research'!AB$1))*2,2)</f>
        <v>00</v>
      </c>
      <c r="AC658" t="str">
        <f>MID('paste from garc here'!$C$2,1+(('table for research'!$B658-456)*36+HEX2DEC('table for research'!AC$1))*2,2)</f>
        <v>00</v>
      </c>
      <c r="AD658" t="str">
        <f>MID('paste from garc here'!$C$2,1+(('table for research'!$B658-456)*36+HEX2DEC('table for research'!AD$1))*2,2)</f>
        <v>00</v>
      </c>
      <c r="AE658" t="str">
        <f>MID('paste from garc here'!$C$2,1+(('table for research'!$B658-456)*36+HEX2DEC('table for research'!AE$1))*2,2)</f>
        <v>00</v>
      </c>
      <c r="AF658" t="str">
        <f>MID('paste from garc here'!$C$2,1+(('table for research'!$B658-456)*36+HEX2DEC('table for research'!AF$1))*2,2)</f>
        <v>00</v>
      </c>
      <c r="AG658" t="str">
        <f>MID('paste from garc here'!$C$2,1+(('table for research'!$B658-456)*36+HEX2DEC('table for research'!AG$1))*2,2)</f>
        <v>00</v>
      </c>
      <c r="AH658" t="str">
        <f>MID('paste from garc here'!$C$2,1+(('table for research'!$B658-456)*36+HEX2DEC('table for research'!AH$1))*2,2)</f>
        <v>00</v>
      </c>
      <c r="AI658" t="str">
        <f>MID('paste from garc here'!$C$2,1+(('table for research'!$B658-456)*36+HEX2DEC('table for research'!AI$1))*2,2)</f>
        <v>00</v>
      </c>
      <c r="AJ658" t="str">
        <f>MID('paste from garc here'!$C$2,1+(('table for research'!$B658-456)*36+HEX2DEC('table for research'!AJ$1))*2,2)</f>
        <v>00</v>
      </c>
      <c r="AK658" t="str">
        <f>MID('paste from garc here'!$C$2,1+(('table for research'!$B658-456)*36+HEX2DEC('table for research'!AK$1))*2,2)</f>
        <v>00</v>
      </c>
      <c r="AL658" t="str">
        <f>MID('paste from garc here'!$C$2,1+(('table for research'!$B658-456)*36+HEX2DEC('table for research'!AL$1))*2,2)</f>
        <v>00</v>
      </c>
      <c r="AM658" t="str">
        <f>MID('paste from garc here'!$C$2,1+(('table for research'!$B658-456)*36+HEX2DEC('table for research'!AM$1))*2,2)</f>
        <v>00</v>
      </c>
      <c r="AN658" t="str">
        <f>MID('paste from garc here'!$C$2,1+(('table for research'!$B658-456)*36+HEX2DEC('table for research'!AN$1))*2,2)</f>
        <v>00</v>
      </c>
      <c r="AO658" t="str">
        <f>MID('paste from garc here'!$C$2,1+(('table for research'!$B658-456)*36+HEX2DEC('table for research'!AO$1))*2,2)</f>
        <v>00</v>
      </c>
    </row>
    <row r="659" spans="1:41" x14ac:dyDescent="0.4">
      <c r="A659" t="s">
        <v>658</v>
      </c>
      <c r="B659">
        <f>B658+1</f>
        <v>657</v>
      </c>
      <c r="C659" t="str">
        <f>MID('paste from garc here'!$C$2,1+(('table for research'!$B659-456)*36+HEX2DEC('table for research'!C$1))*2,2)</f>
        <v>00</v>
      </c>
      <c r="D659" t="str">
        <f>MID('paste from garc here'!$C$2,1+(('table for research'!$B659-456)*36+HEX2DEC('table for research'!D$1))*2,2)</f>
        <v>00</v>
      </c>
      <c r="E659" t="str">
        <f>MID('paste from garc here'!$C$2,1+(('table for research'!$B659-456)*36+HEX2DEC('table for research'!E$1))*2,2)</f>
        <v>00</v>
      </c>
      <c r="F659" t="str">
        <f>MID('paste from garc here'!$C$2,1+(('table for research'!$B659-456)*36+HEX2DEC('table for research'!F$1))*2,2)</f>
        <v>00</v>
      </c>
      <c r="G659" t="str">
        <f>MID('paste from garc here'!$C$2,1+(('table for research'!$B659-456)*36+HEX2DEC('table for research'!G$1))*2,2)</f>
        <v>00</v>
      </c>
      <c r="H659" t="str">
        <f>MID('paste from garc here'!$C$2,1+(('table for research'!$B659-456)*36+HEX2DEC('table for research'!H$1))*2,2)</f>
        <v>00</v>
      </c>
      <c r="I659" t="str">
        <f>MID('paste from garc here'!$C$2,1+(('table for research'!$B659-456)*36+HEX2DEC('table for research'!I$1))*2,2)</f>
        <v>50</v>
      </c>
      <c r="J659" t="str">
        <f>MID('paste from garc here'!$C$2,1+(('table for research'!$B659-456)*36+HEX2DEC('table for research'!J$1))*2,2)</f>
        <v>00</v>
      </c>
      <c r="K659" t="str">
        <f>DEC2HEX(_xlfn.BITAND(HEX2DEC(MID('paste from garc here'!$C$1,1+(('table for research'!$B659-1)*36+HEX2DEC(8))*2,2)),31),2)</f>
        <v>00</v>
      </c>
      <c r="L659" t="str">
        <f>DEC2HEX(_xlfn.BITAND(HEX2DEC(MID('paste from garc here'!$C$1,1+(('table for research'!$B659-1)*36+HEX2DEC(8))*2,2)),32),2)</f>
        <v>00</v>
      </c>
      <c r="M659" t="str">
        <f>DEC2HEX(_xlfn.BITAND(HEX2DEC(MID('paste from garc here'!$C$1,1+(('table for research'!$B659-1)*36+HEX2DEC(8))*2,2)),64),2)</f>
        <v>00</v>
      </c>
      <c r="N659" t="str">
        <f>DEC2HEX(_xlfn.BITRSHIFT(_xlfn.BITAND(HEX2DEC(MID('paste from garc here'!$C$1,1+(('table for research'!$B659-1)*36+HEX2DEC(9))*2,2)&amp;MID('paste from garc here'!$C$1,1+(('table for research'!$B659-1)*36+HEX2DEC(8))*2,2)),1920),7),2)</f>
        <v>00</v>
      </c>
      <c r="O659" t="str">
        <f>DEC2HEX(_xlfn.BITRSHIFT(HEX2DEC(MID('paste from garc here'!$C$1,1+(('table for research'!$B659-1)*36+HEX2DEC(9))*2,2)&amp;MID('paste from garc here'!$C$1,1+(('table for research'!$B659-1)*36+HEX2DEC(8))*2,2)),11),2)</f>
        <v>00</v>
      </c>
      <c r="P659" t="str">
        <f>MID('paste from garc here'!$C$2,1+(('table for research'!$B659-456)*36+HEX2DEC('table for research'!P$1))*2,2)</f>
        <v>00</v>
      </c>
      <c r="Q659" t="str">
        <f>MID('paste from garc here'!$C$2,1+(('table for research'!$B659-456)*36+HEX2DEC('table for research'!Q$1))*2,2)</f>
        <v>00</v>
      </c>
      <c r="R659" t="str">
        <f>MID('paste from garc here'!$C$2,1+(('table for research'!$B659-456)*36+HEX2DEC('table for research'!R$1))*2,2)</f>
        <v>00</v>
      </c>
      <c r="S659" t="str">
        <f>MID('paste from garc here'!$C$2,1+(('table for research'!$B659-456)*36+HEX2DEC('table for research'!S$1))*2,2)</f>
        <v>01</v>
      </c>
      <c r="T659" t="str">
        <f>MID('paste from garc here'!$C$2,1+(('table for research'!$B659-456)*36+HEX2DEC('table for research'!T$1))*2,2)</f>
        <v>00</v>
      </c>
      <c r="U659" t="str">
        <f>MID('paste from garc here'!$C$2,1+(('table for research'!$B659-456)*36+HEX2DEC('table for research'!U$1))*2,2)</f>
        <v>C8</v>
      </c>
      <c r="V659" t="str">
        <f>MID('paste from garc here'!$C$2,1+(('table for research'!$B659-456)*36+HEX2DEC('table for research'!V$1))*2,2)</f>
        <v>00</v>
      </c>
      <c r="W659" t="str">
        <f>MID('paste from garc here'!$C$2,1+(('table for research'!$B659-456)*36+HEX2DEC('table for research'!W$1))*2,2)</f>
        <v>00</v>
      </c>
      <c r="X659" t="str">
        <f>MID('paste from garc here'!$C$2,1+(('table for research'!$B659-456)*36+HEX2DEC('table for research'!X$1))*2,2)</f>
        <v>00</v>
      </c>
      <c r="Y659" t="str">
        <f>MID('paste from garc here'!$C$2,1+(('table for research'!$B659-456)*36+HEX2DEC('table for research'!Y$1))*2,2)</f>
        <v>00</v>
      </c>
      <c r="Z659" t="str">
        <f>MID('paste from garc here'!$C$2,1+(('table for research'!$B659-456)*36+HEX2DEC('table for research'!Z$1))*2,2)</f>
        <v>00</v>
      </c>
      <c r="AA659" t="str">
        <f>MID('paste from garc here'!$C$2,1+(('table for research'!$B659-456)*36+HEX2DEC('table for research'!AA$1))*2,2)</f>
        <v>00</v>
      </c>
      <c r="AB659" t="str">
        <f>MID('paste from garc here'!$C$2,1+(('table for research'!$B659-456)*36+HEX2DEC('table for research'!AB$1))*2,2)</f>
        <v>00</v>
      </c>
      <c r="AC659" t="str">
        <f>MID('paste from garc here'!$C$2,1+(('table for research'!$B659-456)*36+HEX2DEC('table for research'!AC$1))*2,2)</f>
        <v>00</v>
      </c>
      <c r="AD659" t="str">
        <f>MID('paste from garc here'!$C$2,1+(('table for research'!$B659-456)*36+HEX2DEC('table for research'!AD$1))*2,2)</f>
        <v>00</v>
      </c>
      <c r="AE659" t="str">
        <f>MID('paste from garc here'!$C$2,1+(('table for research'!$B659-456)*36+HEX2DEC('table for research'!AE$1))*2,2)</f>
        <v>00</v>
      </c>
      <c r="AF659" t="str">
        <f>MID('paste from garc here'!$C$2,1+(('table for research'!$B659-456)*36+HEX2DEC('table for research'!AF$1))*2,2)</f>
        <v>00</v>
      </c>
      <c r="AG659" t="str">
        <f>MID('paste from garc here'!$C$2,1+(('table for research'!$B659-456)*36+HEX2DEC('table for research'!AG$1))*2,2)</f>
        <v>00</v>
      </c>
      <c r="AH659" t="str">
        <f>MID('paste from garc here'!$C$2,1+(('table for research'!$B659-456)*36+HEX2DEC('table for research'!AH$1))*2,2)</f>
        <v>00</v>
      </c>
      <c r="AI659" t="str">
        <f>MID('paste from garc here'!$C$2,1+(('table for research'!$B659-456)*36+HEX2DEC('table for research'!AI$1))*2,2)</f>
        <v>00</v>
      </c>
      <c r="AJ659" t="str">
        <f>MID('paste from garc here'!$C$2,1+(('table for research'!$B659-456)*36+HEX2DEC('table for research'!AJ$1))*2,2)</f>
        <v>00</v>
      </c>
      <c r="AK659" t="str">
        <f>MID('paste from garc here'!$C$2,1+(('table for research'!$B659-456)*36+HEX2DEC('table for research'!AK$1))*2,2)</f>
        <v>00</v>
      </c>
      <c r="AL659" t="str">
        <f>MID('paste from garc here'!$C$2,1+(('table for research'!$B659-456)*36+HEX2DEC('table for research'!AL$1))*2,2)</f>
        <v>00</v>
      </c>
      <c r="AM659" t="str">
        <f>MID('paste from garc here'!$C$2,1+(('table for research'!$B659-456)*36+HEX2DEC('table for research'!AM$1))*2,2)</f>
        <v>00</v>
      </c>
      <c r="AN659" t="str">
        <f>MID('paste from garc here'!$C$2,1+(('table for research'!$B659-456)*36+HEX2DEC('table for research'!AN$1))*2,2)</f>
        <v>00</v>
      </c>
      <c r="AO659" t="str">
        <f>MID('paste from garc here'!$C$2,1+(('table for research'!$B659-456)*36+HEX2DEC('table for research'!AO$1))*2,2)</f>
        <v>00</v>
      </c>
    </row>
    <row r="660" spans="1:41" x14ac:dyDescent="0.4">
      <c r="A660" t="s">
        <v>659</v>
      </c>
      <c r="B660">
        <f>B659+1</f>
        <v>658</v>
      </c>
      <c r="C660" t="str">
        <f>MID('paste from garc here'!$C$2,1+(('table for research'!$B660-456)*36+HEX2DEC('table for research'!C$1))*2,2)</f>
        <v>00</v>
      </c>
      <c r="D660" t="str">
        <f>MID('paste from garc here'!$C$2,1+(('table for research'!$B660-456)*36+HEX2DEC('table for research'!D$1))*2,2)</f>
        <v>00</v>
      </c>
      <c r="E660" t="str">
        <f>MID('paste from garc here'!$C$2,1+(('table for research'!$B660-456)*36+HEX2DEC('table for research'!E$1))*2,2)</f>
        <v>00</v>
      </c>
      <c r="F660" t="str">
        <f>MID('paste from garc here'!$C$2,1+(('table for research'!$B660-456)*36+HEX2DEC('table for research'!F$1))*2,2)</f>
        <v>00</v>
      </c>
      <c r="G660" t="str">
        <f>MID('paste from garc here'!$C$2,1+(('table for research'!$B660-456)*36+HEX2DEC('table for research'!G$1))*2,2)</f>
        <v>00</v>
      </c>
      <c r="H660" t="str">
        <f>MID('paste from garc here'!$C$2,1+(('table for research'!$B660-456)*36+HEX2DEC('table for research'!H$1))*2,2)</f>
        <v>00</v>
      </c>
      <c r="I660" t="str">
        <f>MID('paste from garc here'!$C$2,1+(('table for research'!$B660-456)*36+HEX2DEC('table for research'!I$1))*2,2)</f>
        <v>50</v>
      </c>
      <c r="J660" t="str">
        <f>MID('paste from garc here'!$C$2,1+(('table for research'!$B660-456)*36+HEX2DEC('table for research'!J$1))*2,2)</f>
        <v>00</v>
      </c>
      <c r="K660" t="str">
        <f>DEC2HEX(_xlfn.BITAND(HEX2DEC(MID('paste from garc here'!$C$1,1+(('table for research'!$B660-1)*36+HEX2DEC(8))*2,2)),31),2)</f>
        <v>00</v>
      </c>
      <c r="L660" t="str">
        <f>DEC2HEX(_xlfn.BITAND(HEX2DEC(MID('paste from garc here'!$C$1,1+(('table for research'!$B660-1)*36+HEX2DEC(8))*2,2)),32),2)</f>
        <v>00</v>
      </c>
      <c r="M660" t="str">
        <f>DEC2HEX(_xlfn.BITAND(HEX2DEC(MID('paste from garc here'!$C$1,1+(('table for research'!$B660-1)*36+HEX2DEC(8))*2,2)),64),2)</f>
        <v>00</v>
      </c>
      <c r="N660" t="str">
        <f>DEC2HEX(_xlfn.BITRSHIFT(_xlfn.BITAND(HEX2DEC(MID('paste from garc here'!$C$1,1+(('table for research'!$B660-1)*36+HEX2DEC(9))*2,2)&amp;MID('paste from garc here'!$C$1,1+(('table for research'!$B660-1)*36+HEX2DEC(8))*2,2)),1920),7),2)</f>
        <v>00</v>
      </c>
      <c r="O660" t="str">
        <f>DEC2HEX(_xlfn.BITRSHIFT(HEX2DEC(MID('paste from garc here'!$C$1,1+(('table for research'!$B660-1)*36+HEX2DEC(9))*2,2)&amp;MID('paste from garc here'!$C$1,1+(('table for research'!$B660-1)*36+HEX2DEC(8))*2,2)),11),2)</f>
        <v>00</v>
      </c>
      <c r="P660" t="str">
        <f>MID('paste from garc here'!$C$2,1+(('table for research'!$B660-456)*36+HEX2DEC('table for research'!P$1))*2,2)</f>
        <v>00</v>
      </c>
      <c r="Q660" t="str">
        <f>MID('paste from garc here'!$C$2,1+(('table for research'!$B660-456)*36+HEX2DEC('table for research'!Q$1))*2,2)</f>
        <v>00</v>
      </c>
      <c r="R660" t="str">
        <f>MID('paste from garc here'!$C$2,1+(('table for research'!$B660-456)*36+HEX2DEC('table for research'!R$1))*2,2)</f>
        <v>00</v>
      </c>
      <c r="S660" t="str">
        <f>MID('paste from garc here'!$C$2,1+(('table for research'!$B660-456)*36+HEX2DEC('table for research'!S$1))*2,2)</f>
        <v>01</v>
      </c>
      <c r="T660" t="str">
        <f>MID('paste from garc here'!$C$2,1+(('table for research'!$B660-456)*36+HEX2DEC('table for research'!T$1))*2,2)</f>
        <v>00</v>
      </c>
      <c r="U660" t="str">
        <f>MID('paste from garc here'!$C$2,1+(('table for research'!$B660-456)*36+HEX2DEC('table for research'!U$1))*2,2)</f>
        <v>D1</v>
      </c>
      <c r="V660" t="str">
        <f>MID('paste from garc here'!$C$2,1+(('table for research'!$B660-456)*36+HEX2DEC('table for research'!V$1))*2,2)</f>
        <v>00</v>
      </c>
      <c r="W660" t="str">
        <f>MID('paste from garc here'!$C$2,1+(('table for research'!$B660-456)*36+HEX2DEC('table for research'!W$1))*2,2)</f>
        <v>00</v>
      </c>
      <c r="X660" t="str">
        <f>MID('paste from garc here'!$C$2,1+(('table for research'!$B660-456)*36+HEX2DEC('table for research'!X$1))*2,2)</f>
        <v>00</v>
      </c>
      <c r="Y660" t="str">
        <f>MID('paste from garc here'!$C$2,1+(('table for research'!$B660-456)*36+HEX2DEC('table for research'!Y$1))*2,2)</f>
        <v>00</v>
      </c>
      <c r="Z660" t="str">
        <f>MID('paste from garc here'!$C$2,1+(('table for research'!$B660-456)*36+HEX2DEC('table for research'!Z$1))*2,2)</f>
        <v>00</v>
      </c>
      <c r="AA660" t="str">
        <f>MID('paste from garc here'!$C$2,1+(('table for research'!$B660-456)*36+HEX2DEC('table for research'!AA$1))*2,2)</f>
        <v>00</v>
      </c>
      <c r="AB660" t="str">
        <f>MID('paste from garc here'!$C$2,1+(('table for research'!$B660-456)*36+HEX2DEC('table for research'!AB$1))*2,2)</f>
        <v>00</v>
      </c>
      <c r="AC660" t="str">
        <f>MID('paste from garc here'!$C$2,1+(('table for research'!$B660-456)*36+HEX2DEC('table for research'!AC$1))*2,2)</f>
        <v>00</v>
      </c>
      <c r="AD660" t="str">
        <f>MID('paste from garc here'!$C$2,1+(('table for research'!$B660-456)*36+HEX2DEC('table for research'!AD$1))*2,2)</f>
        <v>00</v>
      </c>
      <c r="AE660" t="str">
        <f>MID('paste from garc here'!$C$2,1+(('table for research'!$B660-456)*36+HEX2DEC('table for research'!AE$1))*2,2)</f>
        <v>00</v>
      </c>
      <c r="AF660" t="str">
        <f>MID('paste from garc here'!$C$2,1+(('table for research'!$B660-456)*36+HEX2DEC('table for research'!AF$1))*2,2)</f>
        <v>00</v>
      </c>
      <c r="AG660" t="str">
        <f>MID('paste from garc here'!$C$2,1+(('table for research'!$B660-456)*36+HEX2DEC('table for research'!AG$1))*2,2)</f>
        <v>00</v>
      </c>
      <c r="AH660" t="str">
        <f>MID('paste from garc here'!$C$2,1+(('table for research'!$B660-456)*36+HEX2DEC('table for research'!AH$1))*2,2)</f>
        <v>00</v>
      </c>
      <c r="AI660" t="str">
        <f>MID('paste from garc here'!$C$2,1+(('table for research'!$B660-456)*36+HEX2DEC('table for research'!AI$1))*2,2)</f>
        <v>00</v>
      </c>
      <c r="AJ660" t="str">
        <f>MID('paste from garc here'!$C$2,1+(('table for research'!$B660-456)*36+HEX2DEC('table for research'!AJ$1))*2,2)</f>
        <v>00</v>
      </c>
      <c r="AK660" t="str">
        <f>MID('paste from garc here'!$C$2,1+(('table for research'!$B660-456)*36+HEX2DEC('table for research'!AK$1))*2,2)</f>
        <v>00</v>
      </c>
      <c r="AL660" t="str">
        <f>MID('paste from garc here'!$C$2,1+(('table for research'!$B660-456)*36+HEX2DEC('table for research'!AL$1))*2,2)</f>
        <v>00</v>
      </c>
      <c r="AM660" t="str">
        <f>MID('paste from garc here'!$C$2,1+(('table for research'!$B660-456)*36+HEX2DEC('table for research'!AM$1))*2,2)</f>
        <v>00</v>
      </c>
      <c r="AN660" t="str">
        <f>MID('paste from garc here'!$C$2,1+(('table for research'!$B660-456)*36+HEX2DEC('table for research'!AN$1))*2,2)</f>
        <v>00</v>
      </c>
      <c r="AO660" t="str">
        <f>MID('paste from garc here'!$C$2,1+(('table for research'!$B660-456)*36+HEX2DEC('table for research'!AO$1))*2,2)</f>
        <v>00</v>
      </c>
    </row>
    <row r="661" spans="1:41" x14ac:dyDescent="0.4">
      <c r="A661" t="s">
        <v>660</v>
      </c>
      <c r="B661">
        <f>B660+1</f>
        <v>659</v>
      </c>
      <c r="C661" t="str">
        <f>MID('paste from garc here'!$C$2,1+(('table for research'!$B661-456)*36+HEX2DEC('table for research'!C$1))*2,2)</f>
        <v>00</v>
      </c>
      <c r="D661" t="str">
        <f>MID('paste from garc here'!$C$2,1+(('table for research'!$B661-456)*36+HEX2DEC('table for research'!D$1))*2,2)</f>
        <v>00</v>
      </c>
      <c r="E661" t="str">
        <f>MID('paste from garc here'!$C$2,1+(('table for research'!$B661-456)*36+HEX2DEC('table for research'!E$1))*2,2)</f>
        <v>00</v>
      </c>
      <c r="F661" t="str">
        <f>MID('paste from garc here'!$C$2,1+(('table for research'!$B661-456)*36+HEX2DEC('table for research'!F$1))*2,2)</f>
        <v>00</v>
      </c>
      <c r="G661" t="str">
        <f>MID('paste from garc here'!$C$2,1+(('table for research'!$B661-456)*36+HEX2DEC('table for research'!G$1))*2,2)</f>
        <v>00</v>
      </c>
      <c r="H661" t="str">
        <f>MID('paste from garc here'!$C$2,1+(('table for research'!$B661-456)*36+HEX2DEC('table for research'!H$1))*2,2)</f>
        <v>00</v>
      </c>
      <c r="I661" t="str">
        <f>MID('paste from garc here'!$C$2,1+(('table for research'!$B661-456)*36+HEX2DEC('table for research'!I$1))*2,2)</f>
        <v>50</v>
      </c>
      <c r="J661" t="str">
        <f>MID('paste from garc here'!$C$2,1+(('table for research'!$B661-456)*36+HEX2DEC('table for research'!J$1))*2,2)</f>
        <v>00</v>
      </c>
      <c r="K661" t="str">
        <f>DEC2HEX(_xlfn.BITAND(HEX2DEC(MID('paste from garc here'!$C$1,1+(('table for research'!$B661-1)*36+HEX2DEC(8))*2,2)),31),2)</f>
        <v>00</v>
      </c>
      <c r="L661" t="str">
        <f>DEC2HEX(_xlfn.BITAND(HEX2DEC(MID('paste from garc here'!$C$1,1+(('table for research'!$B661-1)*36+HEX2DEC(8))*2,2)),32),2)</f>
        <v>00</v>
      </c>
      <c r="M661" t="str">
        <f>DEC2HEX(_xlfn.BITAND(HEX2DEC(MID('paste from garc here'!$C$1,1+(('table for research'!$B661-1)*36+HEX2DEC(8))*2,2)),64),2)</f>
        <v>00</v>
      </c>
      <c r="N661" t="str">
        <f>DEC2HEX(_xlfn.BITRSHIFT(_xlfn.BITAND(HEX2DEC(MID('paste from garc here'!$C$1,1+(('table for research'!$B661-1)*36+HEX2DEC(9))*2,2)&amp;MID('paste from garc here'!$C$1,1+(('table for research'!$B661-1)*36+HEX2DEC(8))*2,2)),1920),7),2)</f>
        <v>00</v>
      </c>
      <c r="O661" t="str">
        <f>DEC2HEX(_xlfn.BITRSHIFT(HEX2DEC(MID('paste from garc here'!$C$1,1+(('table for research'!$B661-1)*36+HEX2DEC(9))*2,2)&amp;MID('paste from garc here'!$C$1,1+(('table for research'!$B661-1)*36+HEX2DEC(8))*2,2)),11),2)</f>
        <v>00</v>
      </c>
      <c r="P661" t="str">
        <f>MID('paste from garc here'!$C$2,1+(('table for research'!$B661-456)*36+HEX2DEC('table for research'!P$1))*2,2)</f>
        <v>00</v>
      </c>
      <c r="Q661" t="str">
        <f>MID('paste from garc here'!$C$2,1+(('table for research'!$B661-456)*36+HEX2DEC('table for research'!Q$1))*2,2)</f>
        <v>00</v>
      </c>
      <c r="R661" t="str">
        <f>MID('paste from garc here'!$C$2,1+(('table for research'!$B661-456)*36+HEX2DEC('table for research'!R$1))*2,2)</f>
        <v>00</v>
      </c>
      <c r="S661" t="str">
        <f>MID('paste from garc here'!$C$2,1+(('table for research'!$B661-456)*36+HEX2DEC('table for research'!S$1))*2,2)</f>
        <v>01</v>
      </c>
      <c r="T661" t="str">
        <f>MID('paste from garc here'!$C$2,1+(('table for research'!$B661-456)*36+HEX2DEC('table for research'!T$1))*2,2)</f>
        <v>00</v>
      </c>
      <c r="U661" t="str">
        <f>MID('paste from garc here'!$C$2,1+(('table for research'!$B661-456)*36+HEX2DEC('table for research'!U$1))*2,2)</f>
        <v>D9</v>
      </c>
      <c r="V661" t="str">
        <f>MID('paste from garc here'!$C$2,1+(('table for research'!$B661-456)*36+HEX2DEC('table for research'!V$1))*2,2)</f>
        <v>00</v>
      </c>
      <c r="W661" t="str">
        <f>MID('paste from garc here'!$C$2,1+(('table for research'!$B661-456)*36+HEX2DEC('table for research'!W$1))*2,2)</f>
        <v>00</v>
      </c>
      <c r="X661" t="str">
        <f>MID('paste from garc here'!$C$2,1+(('table for research'!$B661-456)*36+HEX2DEC('table for research'!X$1))*2,2)</f>
        <v>00</v>
      </c>
      <c r="Y661" t="str">
        <f>MID('paste from garc here'!$C$2,1+(('table for research'!$B661-456)*36+HEX2DEC('table for research'!Y$1))*2,2)</f>
        <v>00</v>
      </c>
      <c r="Z661" t="str">
        <f>MID('paste from garc here'!$C$2,1+(('table for research'!$B661-456)*36+HEX2DEC('table for research'!Z$1))*2,2)</f>
        <v>00</v>
      </c>
      <c r="AA661" t="str">
        <f>MID('paste from garc here'!$C$2,1+(('table for research'!$B661-456)*36+HEX2DEC('table for research'!AA$1))*2,2)</f>
        <v>00</v>
      </c>
      <c r="AB661" t="str">
        <f>MID('paste from garc here'!$C$2,1+(('table for research'!$B661-456)*36+HEX2DEC('table for research'!AB$1))*2,2)</f>
        <v>00</v>
      </c>
      <c r="AC661" t="str">
        <f>MID('paste from garc here'!$C$2,1+(('table for research'!$B661-456)*36+HEX2DEC('table for research'!AC$1))*2,2)</f>
        <v>00</v>
      </c>
      <c r="AD661" t="str">
        <f>MID('paste from garc here'!$C$2,1+(('table for research'!$B661-456)*36+HEX2DEC('table for research'!AD$1))*2,2)</f>
        <v>00</v>
      </c>
      <c r="AE661" t="str">
        <f>MID('paste from garc here'!$C$2,1+(('table for research'!$B661-456)*36+HEX2DEC('table for research'!AE$1))*2,2)</f>
        <v>00</v>
      </c>
      <c r="AF661" t="str">
        <f>MID('paste from garc here'!$C$2,1+(('table for research'!$B661-456)*36+HEX2DEC('table for research'!AF$1))*2,2)</f>
        <v>00</v>
      </c>
      <c r="AG661" t="str">
        <f>MID('paste from garc here'!$C$2,1+(('table for research'!$B661-456)*36+HEX2DEC('table for research'!AG$1))*2,2)</f>
        <v>00</v>
      </c>
      <c r="AH661" t="str">
        <f>MID('paste from garc here'!$C$2,1+(('table for research'!$B661-456)*36+HEX2DEC('table for research'!AH$1))*2,2)</f>
        <v>00</v>
      </c>
      <c r="AI661" t="str">
        <f>MID('paste from garc here'!$C$2,1+(('table for research'!$B661-456)*36+HEX2DEC('table for research'!AI$1))*2,2)</f>
        <v>00</v>
      </c>
      <c r="AJ661" t="str">
        <f>MID('paste from garc here'!$C$2,1+(('table for research'!$B661-456)*36+HEX2DEC('table for research'!AJ$1))*2,2)</f>
        <v>00</v>
      </c>
      <c r="AK661" t="str">
        <f>MID('paste from garc here'!$C$2,1+(('table for research'!$B661-456)*36+HEX2DEC('table for research'!AK$1))*2,2)</f>
        <v>00</v>
      </c>
      <c r="AL661" t="str">
        <f>MID('paste from garc here'!$C$2,1+(('table for research'!$B661-456)*36+HEX2DEC('table for research'!AL$1))*2,2)</f>
        <v>00</v>
      </c>
      <c r="AM661" t="str">
        <f>MID('paste from garc here'!$C$2,1+(('table for research'!$B661-456)*36+HEX2DEC('table for research'!AM$1))*2,2)</f>
        <v>00</v>
      </c>
      <c r="AN661" t="str">
        <f>MID('paste from garc here'!$C$2,1+(('table for research'!$B661-456)*36+HEX2DEC('table for research'!AN$1))*2,2)</f>
        <v>00</v>
      </c>
      <c r="AO661" t="str">
        <f>MID('paste from garc here'!$C$2,1+(('table for research'!$B661-456)*36+HEX2DEC('table for research'!AO$1))*2,2)</f>
        <v>00</v>
      </c>
    </row>
    <row r="662" spans="1:41" x14ac:dyDescent="0.4">
      <c r="A662" t="s">
        <v>661</v>
      </c>
      <c r="B662">
        <f>B661+1</f>
        <v>660</v>
      </c>
      <c r="C662" t="str">
        <f>MID('paste from garc here'!$C$2,1+(('table for research'!$B662-456)*36+HEX2DEC('table for research'!C$1))*2,2)</f>
        <v>00</v>
      </c>
      <c r="D662" t="str">
        <f>MID('paste from garc here'!$C$2,1+(('table for research'!$B662-456)*36+HEX2DEC('table for research'!D$1))*2,2)</f>
        <v>00</v>
      </c>
      <c r="E662" t="str">
        <f>MID('paste from garc here'!$C$2,1+(('table for research'!$B662-456)*36+HEX2DEC('table for research'!E$1))*2,2)</f>
        <v>00</v>
      </c>
      <c r="F662" t="str">
        <f>MID('paste from garc here'!$C$2,1+(('table for research'!$B662-456)*36+HEX2DEC('table for research'!F$1))*2,2)</f>
        <v>00</v>
      </c>
      <c r="G662" t="str">
        <f>MID('paste from garc here'!$C$2,1+(('table for research'!$B662-456)*36+HEX2DEC('table for research'!G$1))*2,2)</f>
        <v>00</v>
      </c>
      <c r="H662" t="str">
        <f>MID('paste from garc here'!$C$2,1+(('table for research'!$B662-456)*36+HEX2DEC('table for research'!H$1))*2,2)</f>
        <v>00</v>
      </c>
      <c r="I662" t="str">
        <f>MID('paste from garc here'!$C$2,1+(('table for research'!$B662-456)*36+HEX2DEC('table for research'!I$1))*2,2)</f>
        <v>50</v>
      </c>
      <c r="J662" t="str">
        <f>MID('paste from garc here'!$C$2,1+(('table for research'!$B662-456)*36+HEX2DEC('table for research'!J$1))*2,2)</f>
        <v>00</v>
      </c>
      <c r="K662" t="str">
        <f>DEC2HEX(_xlfn.BITAND(HEX2DEC(MID('paste from garc here'!$C$1,1+(('table for research'!$B662-1)*36+HEX2DEC(8))*2,2)),31),2)</f>
        <v>00</v>
      </c>
      <c r="L662" t="str">
        <f>DEC2HEX(_xlfn.BITAND(HEX2DEC(MID('paste from garc here'!$C$1,1+(('table for research'!$B662-1)*36+HEX2DEC(8))*2,2)),32),2)</f>
        <v>00</v>
      </c>
      <c r="M662" t="str">
        <f>DEC2HEX(_xlfn.BITAND(HEX2DEC(MID('paste from garc here'!$C$1,1+(('table for research'!$B662-1)*36+HEX2DEC(8))*2,2)),64),2)</f>
        <v>00</v>
      </c>
      <c r="N662" t="str">
        <f>DEC2HEX(_xlfn.BITRSHIFT(_xlfn.BITAND(HEX2DEC(MID('paste from garc here'!$C$1,1+(('table for research'!$B662-1)*36+HEX2DEC(9))*2,2)&amp;MID('paste from garc here'!$C$1,1+(('table for research'!$B662-1)*36+HEX2DEC(8))*2,2)),1920),7),2)</f>
        <v>00</v>
      </c>
      <c r="O662" t="str">
        <f>DEC2HEX(_xlfn.BITRSHIFT(HEX2DEC(MID('paste from garc here'!$C$1,1+(('table for research'!$B662-1)*36+HEX2DEC(9))*2,2)&amp;MID('paste from garc here'!$C$1,1+(('table for research'!$B662-1)*36+HEX2DEC(8))*2,2)),11),2)</f>
        <v>00</v>
      </c>
      <c r="P662" t="str">
        <f>MID('paste from garc here'!$C$2,1+(('table for research'!$B662-456)*36+HEX2DEC('table for research'!P$1))*2,2)</f>
        <v>00</v>
      </c>
      <c r="Q662" t="str">
        <f>MID('paste from garc here'!$C$2,1+(('table for research'!$B662-456)*36+HEX2DEC('table for research'!Q$1))*2,2)</f>
        <v>00</v>
      </c>
      <c r="R662" t="str">
        <f>MID('paste from garc here'!$C$2,1+(('table for research'!$B662-456)*36+HEX2DEC('table for research'!R$1))*2,2)</f>
        <v>00</v>
      </c>
      <c r="S662" t="str">
        <f>MID('paste from garc here'!$C$2,1+(('table for research'!$B662-456)*36+HEX2DEC('table for research'!S$1))*2,2)</f>
        <v>01</v>
      </c>
      <c r="T662" t="str">
        <f>MID('paste from garc here'!$C$2,1+(('table for research'!$B662-456)*36+HEX2DEC('table for research'!T$1))*2,2)</f>
        <v>00</v>
      </c>
      <c r="U662" t="str">
        <f>MID('paste from garc here'!$C$2,1+(('table for research'!$B662-456)*36+HEX2DEC('table for research'!U$1))*2,2)</f>
        <v>EA</v>
      </c>
      <c r="V662" t="str">
        <f>MID('paste from garc here'!$C$2,1+(('table for research'!$B662-456)*36+HEX2DEC('table for research'!V$1))*2,2)</f>
        <v>00</v>
      </c>
      <c r="W662" t="str">
        <f>MID('paste from garc here'!$C$2,1+(('table for research'!$B662-456)*36+HEX2DEC('table for research'!W$1))*2,2)</f>
        <v>00</v>
      </c>
      <c r="X662" t="str">
        <f>MID('paste from garc here'!$C$2,1+(('table for research'!$B662-456)*36+HEX2DEC('table for research'!X$1))*2,2)</f>
        <v>00</v>
      </c>
      <c r="Y662" t="str">
        <f>MID('paste from garc here'!$C$2,1+(('table for research'!$B662-456)*36+HEX2DEC('table for research'!Y$1))*2,2)</f>
        <v>00</v>
      </c>
      <c r="Z662" t="str">
        <f>MID('paste from garc here'!$C$2,1+(('table for research'!$B662-456)*36+HEX2DEC('table for research'!Z$1))*2,2)</f>
        <v>00</v>
      </c>
      <c r="AA662" t="str">
        <f>MID('paste from garc here'!$C$2,1+(('table for research'!$B662-456)*36+HEX2DEC('table for research'!AA$1))*2,2)</f>
        <v>00</v>
      </c>
      <c r="AB662" t="str">
        <f>MID('paste from garc here'!$C$2,1+(('table for research'!$B662-456)*36+HEX2DEC('table for research'!AB$1))*2,2)</f>
        <v>00</v>
      </c>
      <c r="AC662" t="str">
        <f>MID('paste from garc here'!$C$2,1+(('table for research'!$B662-456)*36+HEX2DEC('table for research'!AC$1))*2,2)</f>
        <v>00</v>
      </c>
      <c r="AD662" t="str">
        <f>MID('paste from garc here'!$C$2,1+(('table for research'!$B662-456)*36+HEX2DEC('table for research'!AD$1))*2,2)</f>
        <v>00</v>
      </c>
      <c r="AE662" t="str">
        <f>MID('paste from garc here'!$C$2,1+(('table for research'!$B662-456)*36+HEX2DEC('table for research'!AE$1))*2,2)</f>
        <v>00</v>
      </c>
      <c r="AF662" t="str">
        <f>MID('paste from garc here'!$C$2,1+(('table for research'!$B662-456)*36+HEX2DEC('table for research'!AF$1))*2,2)</f>
        <v>00</v>
      </c>
      <c r="AG662" t="str">
        <f>MID('paste from garc here'!$C$2,1+(('table for research'!$B662-456)*36+HEX2DEC('table for research'!AG$1))*2,2)</f>
        <v>00</v>
      </c>
      <c r="AH662" t="str">
        <f>MID('paste from garc here'!$C$2,1+(('table for research'!$B662-456)*36+HEX2DEC('table for research'!AH$1))*2,2)</f>
        <v>00</v>
      </c>
      <c r="AI662" t="str">
        <f>MID('paste from garc here'!$C$2,1+(('table for research'!$B662-456)*36+HEX2DEC('table for research'!AI$1))*2,2)</f>
        <v>00</v>
      </c>
      <c r="AJ662" t="str">
        <f>MID('paste from garc here'!$C$2,1+(('table for research'!$B662-456)*36+HEX2DEC('table for research'!AJ$1))*2,2)</f>
        <v>00</v>
      </c>
      <c r="AK662" t="str">
        <f>MID('paste from garc here'!$C$2,1+(('table for research'!$B662-456)*36+HEX2DEC('table for research'!AK$1))*2,2)</f>
        <v>00</v>
      </c>
      <c r="AL662" t="str">
        <f>MID('paste from garc here'!$C$2,1+(('table for research'!$B662-456)*36+HEX2DEC('table for research'!AL$1))*2,2)</f>
        <v>00</v>
      </c>
      <c r="AM662" t="str">
        <f>MID('paste from garc here'!$C$2,1+(('table for research'!$B662-456)*36+HEX2DEC('table for research'!AM$1))*2,2)</f>
        <v>00</v>
      </c>
      <c r="AN662" t="str">
        <f>MID('paste from garc here'!$C$2,1+(('table for research'!$B662-456)*36+HEX2DEC('table for research'!AN$1))*2,2)</f>
        <v>00</v>
      </c>
      <c r="AO662" t="str">
        <f>MID('paste from garc here'!$C$2,1+(('table for research'!$B662-456)*36+HEX2DEC('table for research'!AO$1))*2,2)</f>
        <v>00</v>
      </c>
    </row>
    <row r="663" spans="1:41" x14ac:dyDescent="0.4">
      <c r="A663" t="s">
        <v>662</v>
      </c>
      <c r="B663">
        <f>B662+1</f>
        <v>661</v>
      </c>
      <c r="C663" t="str">
        <f>MID('paste from garc here'!$C$2,1+(('table for research'!$B663-456)*36+HEX2DEC('table for research'!C$1))*2,2)</f>
        <v>00</v>
      </c>
      <c r="D663" t="str">
        <f>MID('paste from garc here'!$C$2,1+(('table for research'!$B663-456)*36+HEX2DEC('table for research'!D$1))*2,2)</f>
        <v>00</v>
      </c>
      <c r="E663" t="str">
        <f>MID('paste from garc here'!$C$2,1+(('table for research'!$B663-456)*36+HEX2DEC('table for research'!E$1))*2,2)</f>
        <v>00</v>
      </c>
      <c r="F663" t="str">
        <f>MID('paste from garc here'!$C$2,1+(('table for research'!$B663-456)*36+HEX2DEC('table for research'!F$1))*2,2)</f>
        <v>00</v>
      </c>
      <c r="G663" t="str">
        <f>MID('paste from garc here'!$C$2,1+(('table for research'!$B663-456)*36+HEX2DEC('table for research'!G$1))*2,2)</f>
        <v>00</v>
      </c>
      <c r="H663" t="str">
        <f>MID('paste from garc here'!$C$2,1+(('table for research'!$B663-456)*36+HEX2DEC('table for research'!H$1))*2,2)</f>
        <v>00</v>
      </c>
      <c r="I663" t="str">
        <f>MID('paste from garc here'!$C$2,1+(('table for research'!$B663-456)*36+HEX2DEC('table for research'!I$1))*2,2)</f>
        <v>50</v>
      </c>
      <c r="J663" t="str">
        <f>MID('paste from garc here'!$C$2,1+(('table for research'!$B663-456)*36+HEX2DEC('table for research'!J$1))*2,2)</f>
        <v>00</v>
      </c>
      <c r="K663" t="str">
        <f>DEC2HEX(_xlfn.BITAND(HEX2DEC(MID('paste from garc here'!$C$1,1+(('table for research'!$B663-1)*36+HEX2DEC(8))*2,2)),31),2)</f>
        <v>00</v>
      </c>
      <c r="L663" t="str">
        <f>DEC2HEX(_xlfn.BITAND(HEX2DEC(MID('paste from garc here'!$C$1,1+(('table for research'!$B663-1)*36+HEX2DEC(8))*2,2)),32),2)</f>
        <v>00</v>
      </c>
      <c r="M663" t="str">
        <f>DEC2HEX(_xlfn.BITAND(HEX2DEC(MID('paste from garc here'!$C$1,1+(('table for research'!$B663-1)*36+HEX2DEC(8))*2,2)),64),2)</f>
        <v>00</v>
      </c>
      <c r="N663" t="str">
        <f>DEC2HEX(_xlfn.BITRSHIFT(_xlfn.BITAND(HEX2DEC(MID('paste from garc here'!$C$1,1+(('table for research'!$B663-1)*36+HEX2DEC(9))*2,2)&amp;MID('paste from garc here'!$C$1,1+(('table for research'!$B663-1)*36+HEX2DEC(8))*2,2)),1920),7),2)</f>
        <v>00</v>
      </c>
      <c r="O663" t="str">
        <f>DEC2HEX(_xlfn.BITRSHIFT(HEX2DEC(MID('paste from garc here'!$C$1,1+(('table for research'!$B663-1)*36+HEX2DEC(9))*2,2)&amp;MID('paste from garc here'!$C$1,1+(('table for research'!$B663-1)*36+HEX2DEC(8))*2,2)),11),2)</f>
        <v>00</v>
      </c>
      <c r="P663" t="str">
        <f>MID('paste from garc here'!$C$2,1+(('table for research'!$B663-456)*36+HEX2DEC('table for research'!P$1))*2,2)</f>
        <v>00</v>
      </c>
      <c r="Q663" t="str">
        <f>MID('paste from garc here'!$C$2,1+(('table for research'!$B663-456)*36+HEX2DEC('table for research'!Q$1))*2,2)</f>
        <v>00</v>
      </c>
      <c r="R663" t="str">
        <f>MID('paste from garc here'!$C$2,1+(('table for research'!$B663-456)*36+HEX2DEC('table for research'!R$1))*2,2)</f>
        <v>00</v>
      </c>
      <c r="S663" t="str">
        <f>MID('paste from garc here'!$C$2,1+(('table for research'!$B663-456)*36+HEX2DEC('table for research'!S$1))*2,2)</f>
        <v>01</v>
      </c>
      <c r="T663" t="str">
        <f>MID('paste from garc here'!$C$2,1+(('table for research'!$B663-456)*36+HEX2DEC('table for research'!T$1))*2,2)</f>
        <v>00</v>
      </c>
      <c r="U663" t="str">
        <f>MID('paste from garc here'!$C$2,1+(('table for research'!$B663-456)*36+HEX2DEC('table for research'!U$1))*2,2)</f>
        <v>C3</v>
      </c>
      <c r="V663" t="str">
        <f>MID('paste from garc here'!$C$2,1+(('table for research'!$B663-456)*36+HEX2DEC('table for research'!V$1))*2,2)</f>
        <v>00</v>
      </c>
      <c r="W663" t="str">
        <f>MID('paste from garc here'!$C$2,1+(('table for research'!$B663-456)*36+HEX2DEC('table for research'!W$1))*2,2)</f>
        <v>00</v>
      </c>
      <c r="X663" t="str">
        <f>MID('paste from garc here'!$C$2,1+(('table for research'!$B663-456)*36+HEX2DEC('table for research'!X$1))*2,2)</f>
        <v>00</v>
      </c>
      <c r="Y663" t="str">
        <f>MID('paste from garc here'!$C$2,1+(('table for research'!$B663-456)*36+HEX2DEC('table for research'!Y$1))*2,2)</f>
        <v>00</v>
      </c>
      <c r="Z663" t="str">
        <f>MID('paste from garc here'!$C$2,1+(('table for research'!$B663-456)*36+HEX2DEC('table for research'!Z$1))*2,2)</f>
        <v>00</v>
      </c>
      <c r="AA663" t="str">
        <f>MID('paste from garc here'!$C$2,1+(('table for research'!$B663-456)*36+HEX2DEC('table for research'!AA$1))*2,2)</f>
        <v>00</v>
      </c>
      <c r="AB663" t="str">
        <f>MID('paste from garc here'!$C$2,1+(('table for research'!$B663-456)*36+HEX2DEC('table for research'!AB$1))*2,2)</f>
        <v>00</v>
      </c>
      <c r="AC663" t="str">
        <f>MID('paste from garc here'!$C$2,1+(('table for research'!$B663-456)*36+HEX2DEC('table for research'!AC$1))*2,2)</f>
        <v>00</v>
      </c>
      <c r="AD663" t="str">
        <f>MID('paste from garc here'!$C$2,1+(('table for research'!$B663-456)*36+HEX2DEC('table for research'!AD$1))*2,2)</f>
        <v>00</v>
      </c>
      <c r="AE663" t="str">
        <f>MID('paste from garc here'!$C$2,1+(('table for research'!$B663-456)*36+HEX2DEC('table for research'!AE$1))*2,2)</f>
        <v>00</v>
      </c>
      <c r="AF663" t="str">
        <f>MID('paste from garc here'!$C$2,1+(('table for research'!$B663-456)*36+HEX2DEC('table for research'!AF$1))*2,2)</f>
        <v>00</v>
      </c>
      <c r="AG663" t="str">
        <f>MID('paste from garc here'!$C$2,1+(('table for research'!$B663-456)*36+HEX2DEC('table for research'!AG$1))*2,2)</f>
        <v>00</v>
      </c>
      <c r="AH663" t="str">
        <f>MID('paste from garc here'!$C$2,1+(('table for research'!$B663-456)*36+HEX2DEC('table for research'!AH$1))*2,2)</f>
        <v>00</v>
      </c>
      <c r="AI663" t="str">
        <f>MID('paste from garc here'!$C$2,1+(('table for research'!$B663-456)*36+HEX2DEC('table for research'!AI$1))*2,2)</f>
        <v>00</v>
      </c>
      <c r="AJ663" t="str">
        <f>MID('paste from garc here'!$C$2,1+(('table for research'!$B663-456)*36+HEX2DEC('table for research'!AJ$1))*2,2)</f>
        <v>00</v>
      </c>
      <c r="AK663" t="str">
        <f>MID('paste from garc here'!$C$2,1+(('table for research'!$B663-456)*36+HEX2DEC('table for research'!AK$1))*2,2)</f>
        <v>00</v>
      </c>
      <c r="AL663" t="str">
        <f>MID('paste from garc here'!$C$2,1+(('table for research'!$B663-456)*36+HEX2DEC('table for research'!AL$1))*2,2)</f>
        <v>00</v>
      </c>
      <c r="AM663" t="str">
        <f>MID('paste from garc here'!$C$2,1+(('table for research'!$B663-456)*36+HEX2DEC('table for research'!AM$1))*2,2)</f>
        <v>00</v>
      </c>
      <c r="AN663" t="str">
        <f>MID('paste from garc here'!$C$2,1+(('table for research'!$B663-456)*36+HEX2DEC('table for research'!AN$1))*2,2)</f>
        <v>00</v>
      </c>
      <c r="AO663" t="str">
        <f>MID('paste from garc here'!$C$2,1+(('table for research'!$B663-456)*36+HEX2DEC('table for research'!AO$1))*2,2)</f>
        <v>00</v>
      </c>
    </row>
    <row r="664" spans="1:41" x14ac:dyDescent="0.4">
      <c r="A664" t="s">
        <v>663</v>
      </c>
      <c r="B664">
        <f>B663+1</f>
        <v>662</v>
      </c>
      <c r="C664" t="str">
        <f>MID('paste from garc here'!$C$2,1+(('table for research'!$B664-456)*36+HEX2DEC('table for research'!C$1))*2,2)</f>
        <v>98</v>
      </c>
      <c r="D664" t="str">
        <f>MID('paste from garc here'!$C$2,1+(('table for research'!$B664-456)*36+HEX2DEC('table for research'!D$1))*2,2)</f>
        <v>3A</v>
      </c>
      <c r="E664" t="str">
        <f>MID('paste from garc here'!$C$2,1+(('table for research'!$B664-456)*36+HEX2DEC('table for research'!E$1))*2,2)</f>
        <v>00</v>
      </c>
      <c r="F664" t="str">
        <f>MID('paste from garc here'!$C$2,1+(('table for research'!$B664-456)*36+HEX2DEC('table for research'!F$1))*2,2)</f>
        <v>00</v>
      </c>
      <c r="G664" t="str">
        <f>MID('paste from garc here'!$C$2,1+(('table for research'!$B664-456)*36+HEX2DEC('table for research'!G$1))*2,2)</f>
        <v>00</v>
      </c>
      <c r="H664" t="str">
        <f>MID('paste from garc here'!$C$2,1+(('table for research'!$B664-456)*36+HEX2DEC('table for research'!H$1))*2,2)</f>
        <v>00</v>
      </c>
      <c r="I664" t="str">
        <f>MID('paste from garc here'!$C$2,1+(('table for research'!$B664-456)*36+HEX2DEC('table for research'!I$1))*2,2)</f>
        <v>50</v>
      </c>
      <c r="J664" t="str">
        <f>MID('paste from garc here'!$C$2,1+(('table for research'!$B664-456)*36+HEX2DEC('table for research'!J$1))*2,2)</f>
        <v>00</v>
      </c>
      <c r="K664" t="str">
        <f>DEC2HEX(_xlfn.BITAND(HEX2DEC(MID('paste from garc here'!$C$1,1+(('table for research'!$B664-1)*36+HEX2DEC(8))*2,2)),31),2)</f>
        <v>00</v>
      </c>
      <c r="L664" t="str">
        <f>DEC2HEX(_xlfn.BITAND(HEX2DEC(MID('paste from garc here'!$C$1,1+(('table for research'!$B664-1)*36+HEX2DEC(8))*2,2)),32),2)</f>
        <v>00</v>
      </c>
      <c r="M664" t="str">
        <f>DEC2HEX(_xlfn.BITAND(HEX2DEC(MID('paste from garc here'!$C$1,1+(('table for research'!$B664-1)*36+HEX2DEC(8))*2,2)),64),2)</f>
        <v>00</v>
      </c>
      <c r="N664" t="str">
        <f>DEC2HEX(_xlfn.BITRSHIFT(_xlfn.BITAND(HEX2DEC(MID('paste from garc here'!$C$1,1+(('table for research'!$B664-1)*36+HEX2DEC(9))*2,2)&amp;MID('paste from garc here'!$C$1,1+(('table for research'!$B664-1)*36+HEX2DEC(8))*2,2)),1920),7),2)</f>
        <v>00</v>
      </c>
      <c r="O664" t="str">
        <f>DEC2HEX(_xlfn.BITRSHIFT(HEX2DEC(MID('paste from garc here'!$C$1,1+(('table for research'!$B664-1)*36+HEX2DEC(9))*2,2)&amp;MID('paste from garc here'!$C$1,1+(('table for research'!$B664-1)*36+HEX2DEC(8))*2,2)),11),2)</f>
        <v>00</v>
      </c>
      <c r="P664" t="str">
        <f>MID('paste from garc here'!$C$2,1+(('table for research'!$B664-456)*36+HEX2DEC('table for research'!P$1))*2,2)</f>
        <v>00</v>
      </c>
      <c r="Q664" t="str">
        <f>MID('paste from garc here'!$C$2,1+(('table for research'!$B664-456)*36+HEX2DEC('table for research'!Q$1))*2,2)</f>
        <v>00</v>
      </c>
      <c r="R664" t="str">
        <f>MID('paste from garc here'!$C$2,1+(('table for research'!$B664-456)*36+HEX2DEC('table for research'!R$1))*2,2)</f>
        <v>00</v>
      </c>
      <c r="S664" t="str">
        <f>MID('paste from garc here'!$C$2,1+(('table for research'!$B664-456)*36+HEX2DEC('table for research'!S$1))*2,2)</f>
        <v>01</v>
      </c>
      <c r="T664" t="str">
        <f>MID('paste from garc here'!$C$2,1+(('table for research'!$B664-456)*36+HEX2DEC('table for research'!T$1))*2,2)</f>
        <v>00</v>
      </c>
      <c r="U664" t="str">
        <f>MID('paste from garc here'!$C$2,1+(('table for research'!$B664-456)*36+HEX2DEC('table for research'!U$1))*2,2)</f>
        <v>E0</v>
      </c>
      <c r="V664" t="str">
        <f>MID('paste from garc here'!$C$2,1+(('table for research'!$B664-456)*36+HEX2DEC('table for research'!V$1))*2,2)</f>
        <v>00</v>
      </c>
      <c r="W664" t="str">
        <f>MID('paste from garc here'!$C$2,1+(('table for research'!$B664-456)*36+HEX2DEC('table for research'!W$1))*2,2)</f>
        <v>00</v>
      </c>
      <c r="X664" t="str">
        <f>MID('paste from garc here'!$C$2,1+(('table for research'!$B664-456)*36+HEX2DEC('table for research'!X$1))*2,2)</f>
        <v>00</v>
      </c>
      <c r="Y664" t="str">
        <f>MID('paste from garc here'!$C$2,1+(('table for research'!$B664-456)*36+HEX2DEC('table for research'!Y$1))*2,2)</f>
        <v>00</v>
      </c>
      <c r="Z664" t="str">
        <f>MID('paste from garc here'!$C$2,1+(('table for research'!$B664-456)*36+HEX2DEC('table for research'!Z$1))*2,2)</f>
        <v>00</v>
      </c>
      <c r="AA664" t="str">
        <f>MID('paste from garc here'!$C$2,1+(('table for research'!$B664-456)*36+HEX2DEC('table for research'!AA$1))*2,2)</f>
        <v>00</v>
      </c>
      <c r="AB664" t="str">
        <f>MID('paste from garc here'!$C$2,1+(('table for research'!$B664-456)*36+HEX2DEC('table for research'!AB$1))*2,2)</f>
        <v>00</v>
      </c>
      <c r="AC664" t="str">
        <f>MID('paste from garc here'!$C$2,1+(('table for research'!$B664-456)*36+HEX2DEC('table for research'!AC$1))*2,2)</f>
        <v>00</v>
      </c>
      <c r="AD664" t="str">
        <f>MID('paste from garc here'!$C$2,1+(('table for research'!$B664-456)*36+HEX2DEC('table for research'!AD$1))*2,2)</f>
        <v>00</v>
      </c>
      <c r="AE664" t="str">
        <f>MID('paste from garc here'!$C$2,1+(('table for research'!$B664-456)*36+HEX2DEC('table for research'!AE$1))*2,2)</f>
        <v>00</v>
      </c>
      <c r="AF664" t="str">
        <f>MID('paste from garc here'!$C$2,1+(('table for research'!$B664-456)*36+HEX2DEC('table for research'!AF$1))*2,2)</f>
        <v>00</v>
      </c>
      <c r="AG664" t="str">
        <f>MID('paste from garc here'!$C$2,1+(('table for research'!$B664-456)*36+HEX2DEC('table for research'!AG$1))*2,2)</f>
        <v>00</v>
      </c>
      <c r="AH664" t="str">
        <f>MID('paste from garc here'!$C$2,1+(('table for research'!$B664-456)*36+HEX2DEC('table for research'!AH$1))*2,2)</f>
        <v>00</v>
      </c>
      <c r="AI664" t="str">
        <f>MID('paste from garc here'!$C$2,1+(('table for research'!$B664-456)*36+HEX2DEC('table for research'!AI$1))*2,2)</f>
        <v>00</v>
      </c>
      <c r="AJ664" t="str">
        <f>MID('paste from garc here'!$C$2,1+(('table for research'!$B664-456)*36+HEX2DEC('table for research'!AJ$1))*2,2)</f>
        <v>00</v>
      </c>
      <c r="AK664" t="str">
        <f>MID('paste from garc here'!$C$2,1+(('table for research'!$B664-456)*36+HEX2DEC('table for research'!AK$1))*2,2)</f>
        <v>00</v>
      </c>
      <c r="AL664" t="str">
        <f>MID('paste from garc here'!$C$2,1+(('table for research'!$B664-456)*36+HEX2DEC('table for research'!AL$1))*2,2)</f>
        <v>00</v>
      </c>
      <c r="AM664" t="str">
        <f>MID('paste from garc here'!$C$2,1+(('table for research'!$B664-456)*36+HEX2DEC('table for research'!AM$1))*2,2)</f>
        <v>00</v>
      </c>
      <c r="AN664" t="str">
        <f>MID('paste from garc here'!$C$2,1+(('table for research'!$B664-456)*36+HEX2DEC('table for research'!AN$1))*2,2)</f>
        <v>00</v>
      </c>
      <c r="AO664" t="str">
        <f>MID('paste from garc here'!$C$2,1+(('table for research'!$B664-456)*36+HEX2DEC('table for research'!AO$1))*2,2)</f>
        <v>00</v>
      </c>
    </row>
    <row r="665" spans="1:41" x14ac:dyDescent="0.4">
      <c r="A665" t="s">
        <v>664</v>
      </c>
      <c r="B665">
        <f>B664+1</f>
        <v>663</v>
      </c>
      <c r="C665" t="str">
        <f>MID('paste from garc here'!$C$2,1+(('table for research'!$B665-456)*36+HEX2DEC('table for research'!C$1))*2,2)</f>
        <v>98</v>
      </c>
      <c r="D665" t="str">
        <f>MID('paste from garc here'!$C$2,1+(('table for research'!$B665-456)*36+HEX2DEC('table for research'!D$1))*2,2)</f>
        <v>3A</v>
      </c>
      <c r="E665" t="str">
        <f>MID('paste from garc here'!$C$2,1+(('table for research'!$B665-456)*36+HEX2DEC('table for research'!E$1))*2,2)</f>
        <v>00</v>
      </c>
      <c r="F665" t="str">
        <f>MID('paste from garc here'!$C$2,1+(('table for research'!$B665-456)*36+HEX2DEC('table for research'!F$1))*2,2)</f>
        <v>00</v>
      </c>
      <c r="G665" t="str">
        <f>MID('paste from garc here'!$C$2,1+(('table for research'!$B665-456)*36+HEX2DEC('table for research'!G$1))*2,2)</f>
        <v>00</v>
      </c>
      <c r="H665" t="str">
        <f>MID('paste from garc here'!$C$2,1+(('table for research'!$B665-456)*36+HEX2DEC('table for research'!H$1))*2,2)</f>
        <v>00</v>
      </c>
      <c r="I665" t="str">
        <f>MID('paste from garc here'!$C$2,1+(('table for research'!$B665-456)*36+HEX2DEC('table for research'!I$1))*2,2)</f>
        <v>50</v>
      </c>
      <c r="J665" t="str">
        <f>MID('paste from garc here'!$C$2,1+(('table for research'!$B665-456)*36+HEX2DEC('table for research'!J$1))*2,2)</f>
        <v>00</v>
      </c>
      <c r="K665" t="str">
        <f>DEC2HEX(_xlfn.BITAND(HEX2DEC(MID('paste from garc here'!$C$1,1+(('table for research'!$B665-1)*36+HEX2DEC(8))*2,2)),31),2)</f>
        <v>00</v>
      </c>
      <c r="L665" t="str">
        <f>DEC2HEX(_xlfn.BITAND(HEX2DEC(MID('paste from garc here'!$C$1,1+(('table for research'!$B665-1)*36+HEX2DEC(8))*2,2)),32),2)</f>
        <v>00</v>
      </c>
      <c r="M665" t="str">
        <f>DEC2HEX(_xlfn.BITAND(HEX2DEC(MID('paste from garc here'!$C$1,1+(('table for research'!$B665-1)*36+HEX2DEC(8))*2,2)),64),2)</f>
        <v>00</v>
      </c>
      <c r="N665" t="str">
        <f>DEC2HEX(_xlfn.BITRSHIFT(_xlfn.BITAND(HEX2DEC(MID('paste from garc here'!$C$1,1+(('table for research'!$B665-1)*36+HEX2DEC(9))*2,2)&amp;MID('paste from garc here'!$C$1,1+(('table for research'!$B665-1)*36+HEX2DEC(8))*2,2)),1920),7),2)</f>
        <v>00</v>
      </c>
      <c r="O665" t="str">
        <f>DEC2HEX(_xlfn.BITRSHIFT(HEX2DEC(MID('paste from garc here'!$C$1,1+(('table for research'!$B665-1)*36+HEX2DEC(9))*2,2)&amp;MID('paste from garc here'!$C$1,1+(('table for research'!$B665-1)*36+HEX2DEC(8))*2,2)),11),2)</f>
        <v>00</v>
      </c>
      <c r="P665" t="str">
        <f>MID('paste from garc here'!$C$2,1+(('table for research'!$B665-456)*36+HEX2DEC('table for research'!P$1))*2,2)</f>
        <v>00</v>
      </c>
      <c r="Q665" t="str">
        <f>MID('paste from garc here'!$C$2,1+(('table for research'!$B665-456)*36+HEX2DEC('table for research'!Q$1))*2,2)</f>
        <v>00</v>
      </c>
      <c r="R665" t="str">
        <f>MID('paste from garc here'!$C$2,1+(('table for research'!$B665-456)*36+HEX2DEC('table for research'!R$1))*2,2)</f>
        <v>00</v>
      </c>
      <c r="S665" t="str">
        <f>MID('paste from garc here'!$C$2,1+(('table for research'!$B665-456)*36+HEX2DEC('table for research'!S$1))*2,2)</f>
        <v>01</v>
      </c>
      <c r="T665" t="str">
        <f>MID('paste from garc here'!$C$2,1+(('table for research'!$B665-456)*36+HEX2DEC('table for research'!T$1))*2,2)</f>
        <v>00</v>
      </c>
      <c r="U665" t="str">
        <f>MID('paste from garc here'!$C$2,1+(('table for research'!$B665-456)*36+HEX2DEC('table for research'!U$1))*2,2)</f>
        <v>E1</v>
      </c>
      <c r="V665" t="str">
        <f>MID('paste from garc here'!$C$2,1+(('table for research'!$B665-456)*36+HEX2DEC('table for research'!V$1))*2,2)</f>
        <v>00</v>
      </c>
      <c r="W665" t="str">
        <f>MID('paste from garc here'!$C$2,1+(('table for research'!$B665-456)*36+HEX2DEC('table for research'!W$1))*2,2)</f>
        <v>00</v>
      </c>
      <c r="X665" t="str">
        <f>MID('paste from garc here'!$C$2,1+(('table for research'!$B665-456)*36+HEX2DEC('table for research'!X$1))*2,2)</f>
        <v>00</v>
      </c>
      <c r="Y665" t="str">
        <f>MID('paste from garc here'!$C$2,1+(('table for research'!$B665-456)*36+HEX2DEC('table for research'!Y$1))*2,2)</f>
        <v>00</v>
      </c>
      <c r="Z665" t="str">
        <f>MID('paste from garc here'!$C$2,1+(('table for research'!$B665-456)*36+HEX2DEC('table for research'!Z$1))*2,2)</f>
        <v>00</v>
      </c>
      <c r="AA665" t="str">
        <f>MID('paste from garc here'!$C$2,1+(('table for research'!$B665-456)*36+HEX2DEC('table for research'!AA$1))*2,2)</f>
        <v>00</v>
      </c>
      <c r="AB665" t="str">
        <f>MID('paste from garc here'!$C$2,1+(('table for research'!$B665-456)*36+HEX2DEC('table for research'!AB$1))*2,2)</f>
        <v>00</v>
      </c>
      <c r="AC665" t="str">
        <f>MID('paste from garc here'!$C$2,1+(('table for research'!$B665-456)*36+HEX2DEC('table for research'!AC$1))*2,2)</f>
        <v>00</v>
      </c>
      <c r="AD665" t="str">
        <f>MID('paste from garc here'!$C$2,1+(('table for research'!$B665-456)*36+HEX2DEC('table for research'!AD$1))*2,2)</f>
        <v>00</v>
      </c>
      <c r="AE665" t="str">
        <f>MID('paste from garc here'!$C$2,1+(('table for research'!$B665-456)*36+HEX2DEC('table for research'!AE$1))*2,2)</f>
        <v>00</v>
      </c>
      <c r="AF665" t="str">
        <f>MID('paste from garc here'!$C$2,1+(('table for research'!$B665-456)*36+HEX2DEC('table for research'!AF$1))*2,2)</f>
        <v>00</v>
      </c>
      <c r="AG665" t="str">
        <f>MID('paste from garc here'!$C$2,1+(('table for research'!$B665-456)*36+HEX2DEC('table for research'!AG$1))*2,2)</f>
        <v>00</v>
      </c>
      <c r="AH665" t="str">
        <f>MID('paste from garc here'!$C$2,1+(('table for research'!$B665-456)*36+HEX2DEC('table for research'!AH$1))*2,2)</f>
        <v>00</v>
      </c>
      <c r="AI665" t="str">
        <f>MID('paste from garc here'!$C$2,1+(('table for research'!$B665-456)*36+HEX2DEC('table for research'!AI$1))*2,2)</f>
        <v>00</v>
      </c>
      <c r="AJ665" t="str">
        <f>MID('paste from garc here'!$C$2,1+(('table for research'!$B665-456)*36+HEX2DEC('table for research'!AJ$1))*2,2)</f>
        <v>00</v>
      </c>
      <c r="AK665" t="str">
        <f>MID('paste from garc here'!$C$2,1+(('table for research'!$B665-456)*36+HEX2DEC('table for research'!AK$1))*2,2)</f>
        <v>00</v>
      </c>
      <c r="AL665" t="str">
        <f>MID('paste from garc here'!$C$2,1+(('table for research'!$B665-456)*36+HEX2DEC('table for research'!AL$1))*2,2)</f>
        <v>00</v>
      </c>
      <c r="AM665" t="str">
        <f>MID('paste from garc here'!$C$2,1+(('table for research'!$B665-456)*36+HEX2DEC('table for research'!AM$1))*2,2)</f>
        <v>00</v>
      </c>
      <c r="AN665" t="str">
        <f>MID('paste from garc here'!$C$2,1+(('table for research'!$B665-456)*36+HEX2DEC('table for research'!AN$1))*2,2)</f>
        <v>00</v>
      </c>
      <c r="AO665" t="str">
        <f>MID('paste from garc here'!$C$2,1+(('table for research'!$B665-456)*36+HEX2DEC('table for research'!AO$1))*2,2)</f>
        <v>00</v>
      </c>
    </row>
    <row r="666" spans="1:41" x14ac:dyDescent="0.4">
      <c r="A666" t="s">
        <v>665</v>
      </c>
      <c r="B666">
        <f>B665+1</f>
        <v>664</v>
      </c>
      <c r="C666" t="str">
        <f>MID('paste from garc here'!$C$2,1+(('table for research'!$B666-456)*36+HEX2DEC('table for research'!C$1))*2,2)</f>
        <v>00</v>
      </c>
      <c r="D666" t="str">
        <f>MID('paste from garc here'!$C$2,1+(('table for research'!$B666-456)*36+HEX2DEC('table for research'!D$1))*2,2)</f>
        <v>00</v>
      </c>
      <c r="E666" t="str">
        <f>MID('paste from garc here'!$C$2,1+(('table for research'!$B666-456)*36+HEX2DEC('table for research'!E$1))*2,2)</f>
        <v>00</v>
      </c>
      <c r="F666" t="str">
        <f>MID('paste from garc here'!$C$2,1+(('table for research'!$B666-456)*36+HEX2DEC('table for research'!F$1))*2,2)</f>
        <v>00</v>
      </c>
      <c r="G666" t="str">
        <f>MID('paste from garc here'!$C$2,1+(('table for research'!$B666-456)*36+HEX2DEC('table for research'!G$1))*2,2)</f>
        <v>00</v>
      </c>
      <c r="H666" t="str">
        <f>MID('paste from garc here'!$C$2,1+(('table for research'!$B666-456)*36+HEX2DEC('table for research'!H$1))*2,2)</f>
        <v>00</v>
      </c>
      <c r="I666" t="str">
        <f>MID('paste from garc here'!$C$2,1+(('table for research'!$B666-456)*36+HEX2DEC('table for research'!I$1))*2,2)</f>
        <v>50</v>
      </c>
      <c r="J666" t="str">
        <f>MID('paste from garc here'!$C$2,1+(('table for research'!$B666-456)*36+HEX2DEC('table for research'!J$1))*2,2)</f>
        <v>00</v>
      </c>
      <c r="K666" t="str">
        <f>DEC2HEX(_xlfn.BITAND(HEX2DEC(MID('paste from garc here'!$C$1,1+(('table for research'!$B666-1)*36+HEX2DEC(8))*2,2)),31),2)</f>
        <v>00</v>
      </c>
      <c r="L666" t="str">
        <f>DEC2HEX(_xlfn.BITAND(HEX2DEC(MID('paste from garc here'!$C$1,1+(('table for research'!$B666-1)*36+HEX2DEC(8))*2,2)),32),2)</f>
        <v>00</v>
      </c>
      <c r="M666" t="str">
        <f>DEC2HEX(_xlfn.BITAND(HEX2DEC(MID('paste from garc here'!$C$1,1+(('table for research'!$B666-1)*36+HEX2DEC(8))*2,2)),64),2)</f>
        <v>00</v>
      </c>
      <c r="N666" t="str">
        <f>DEC2HEX(_xlfn.BITRSHIFT(_xlfn.BITAND(HEX2DEC(MID('paste from garc here'!$C$1,1+(('table for research'!$B666-1)*36+HEX2DEC(9))*2,2)&amp;MID('paste from garc here'!$C$1,1+(('table for research'!$B666-1)*36+HEX2DEC(8))*2,2)),1920),7),2)</f>
        <v>00</v>
      </c>
      <c r="O666" t="str">
        <f>DEC2HEX(_xlfn.BITRSHIFT(HEX2DEC(MID('paste from garc here'!$C$1,1+(('table for research'!$B666-1)*36+HEX2DEC(9))*2,2)&amp;MID('paste from garc here'!$C$1,1+(('table for research'!$B666-1)*36+HEX2DEC(8))*2,2)),11),2)</f>
        <v>00</v>
      </c>
      <c r="P666" t="str">
        <f>MID('paste from garc here'!$C$2,1+(('table for research'!$B666-456)*36+HEX2DEC('table for research'!P$1))*2,2)</f>
        <v>00</v>
      </c>
      <c r="Q666" t="str">
        <f>MID('paste from garc here'!$C$2,1+(('table for research'!$B666-456)*36+HEX2DEC('table for research'!Q$1))*2,2)</f>
        <v>00</v>
      </c>
      <c r="R666" t="str">
        <f>MID('paste from garc here'!$C$2,1+(('table for research'!$B666-456)*36+HEX2DEC('table for research'!R$1))*2,2)</f>
        <v>00</v>
      </c>
      <c r="S666" t="str">
        <f>MID('paste from garc here'!$C$2,1+(('table for research'!$B666-456)*36+HEX2DEC('table for research'!S$1))*2,2)</f>
        <v>01</v>
      </c>
      <c r="T666" t="str">
        <f>MID('paste from garc here'!$C$2,1+(('table for research'!$B666-456)*36+HEX2DEC('table for research'!T$1))*2,2)</f>
        <v>00</v>
      </c>
      <c r="U666" t="str">
        <f>MID('paste from garc here'!$C$2,1+(('table for research'!$B666-456)*36+HEX2DEC('table for research'!U$1))*2,2)</f>
        <v>D4</v>
      </c>
      <c r="V666" t="str">
        <f>MID('paste from garc here'!$C$2,1+(('table for research'!$B666-456)*36+HEX2DEC('table for research'!V$1))*2,2)</f>
        <v>00</v>
      </c>
      <c r="W666" t="str">
        <f>MID('paste from garc here'!$C$2,1+(('table for research'!$B666-456)*36+HEX2DEC('table for research'!W$1))*2,2)</f>
        <v>00</v>
      </c>
      <c r="X666" t="str">
        <f>MID('paste from garc here'!$C$2,1+(('table for research'!$B666-456)*36+HEX2DEC('table for research'!X$1))*2,2)</f>
        <v>00</v>
      </c>
      <c r="Y666" t="str">
        <f>MID('paste from garc here'!$C$2,1+(('table for research'!$B666-456)*36+HEX2DEC('table for research'!Y$1))*2,2)</f>
        <v>00</v>
      </c>
      <c r="Z666" t="str">
        <f>MID('paste from garc here'!$C$2,1+(('table for research'!$B666-456)*36+HEX2DEC('table for research'!Z$1))*2,2)</f>
        <v>00</v>
      </c>
      <c r="AA666" t="str">
        <f>MID('paste from garc here'!$C$2,1+(('table for research'!$B666-456)*36+HEX2DEC('table for research'!AA$1))*2,2)</f>
        <v>00</v>
      </c>
      <c r="AB666" t="str">
        <f>MID('paste from garc here'!$C$2,1+(('table for research'!$B666-456)*36+HEX2DEC('table for research'!AB$1))*2,2)</f>
        <v>00</v>
      </c>
      <c r="AC666" t="str">
        <f>MID('paste from garc here'!$C$2,1+(('table for research'!$B666-456)*36+HEX2DEC('table for research'!AC$1))*2,2)</f>
        <v>00</v>
      </c>
      <c r="AD666" t="str">
        <f>MID('paste from garc here'!$C$2,1+(('table for research'!$B666-456)*36+HEX2DEC('table for research'!AD$1))*2,2)</f>
        <v>00</v>
      </c>
      <c r="AE666" t="str">
        <f>MID('paste from garc here'!$C$2,1+(('table for research'!$B666-456)*36+HEX2DEC('table for research'!AE$1))*2,2)</f>
        <v>00</v>
      </c>
      <c r="AF666" t="str">
        <f>MID('paste from garc here'!$C$2,1+(('table for research'!$B666-456)*36+HEX2DEC('table for research'!AF$1))*2,2)</f>
        <v>00</v>
      </c>
      <c r="AG666" t="str">
        <f>MID('paste from garc here'!$C$2,1+(('table for research'!$B666-456)*36+HEX2DEC('table for research'!AG$1))*2,2)</f>
        <v>00</v>
      </c>
      <c r="AH666" t="str">
        <f>MID('paste from garc here'!$C$2,1+(('table for research'!$B666-456)*36+HEX2DEC('table for research'!AH$1))*2,2)</f>
        <v>00</v>
      </c>
      <c r="AI666" t="str">
        <f>MID('paste from garc here'!$C$2,1+(('table for research'!$B666-456)*36+HEX2DEC('table for research'!AI$1))*2,2)</f>
        <v>00</v>
      </c>
      <c r="AJ666" t="str">
        <f>MID('paste from garc here'!$C$2,1+(('table for research'!$B666-456)*36+HEX2DEC('table for research'!AJ$1))*2,2)</f>
        <v>00</v>
      </c>
      <c r="AK666" t="str">
        <f>MID('paste from garc here'!$C$2,1+(('table for research'!$B666-456)*36+HEX2DEC('table for research'!AK$1))*2,2)</f>
        <v>00</v>
      </c>
      <c r="AL666" t="str">
        <f>MID('paste from garc here'!$C$2,1+(('table for research'!$B666-456)*36+HEX2DEC('table for research'!AL$1))*2,2)</f>
        <v>00</v>
      </c>
      <c r="AM666" t="str">
        <f>MID('paste from garc here'!$C$2,1+(('table for research'!$B666-456)*36+HEX2DEC('table for research'!AM$1))*2,2)</f>
        <v>00</v>
      </c>
      <c r="AN666" t="str">
        <f>MID('paste from garc here'!$C$2,1+(('table for research'!$B666-456)*36+HEX2DEC('table for research'!AN$1))*2,2)</f>
        <v>00</v>
      </c>
      <c r="AO666" t="str">
        <f>MID('paste from garc here'!$C$2,1+(('table for research'!$B666-456)*36+HEX2DEC('table for research'!AO$1))*2,2)</f>
        <v>00</v>
      </c>
    </row>
    <row r="667" spans="1:41" x14ac:dyDescent="0.4">
      <c r="A667" t="s">
        <v>666</v>
      </c>
      <c r="B667">
        <f>B666+1</f>
        <v>665</v>
      </c>
      <c r="C667" t="str">
        <f>MID('paste from garc here'!$C$2,1+(('table for research'!$B667-456)*36+HEX2DEC('table for research'!C$1))*2,2)</f>
        <v>00</v>
      </c>
      <c r="D667" t="str">
        <f>MID('paste from garc here'!$C$2,1+(('table for research'!$B667-456)*36+HEX2DEC('table for research'!D$1))*2,2)</f>
        <v>00</v>
      </c>
      <c r="E667" t="str">
        <f>MID('paste from garc here'!$C$2,1+(('table for research'!$B667-456)*36+HEX2DEC('table for research'!E$1))*2,2)</f>
        <v>00</v>
      </c>
      <c r="F667" t="str">
        <f>MID('paste from garc here'!$C$2,1+(('table for research'!$B667-456)*36+HEX2DEC('table for research'!F$1))*2,2)</f>
        <v>00</v>
      </c>
      <c r="G667" t="str">
        <f>MID('paste from garc here'!$C$2,1+(('table for research'!$B667-456)*36+HEX2DEC('table for research'!G$1))*2,2)</f>
        <v>00</v>
      </c>
      <c r="H667" t="str">
        <f>MID('paste from garc here'!$C$2,1+(('table for research'!$B667-456)*36+HEX2DEC('table for research'!H$1))*2,2)</f>
        <v>00</v>
      </c>
      <c r="I667" t="str">
        <f>MID('paste from garc here'!$C$2,1+(('table for research'!$B667-456)*36+HEX2DEC('table for research'!I$1))*2,2)</f>
        <v>50</v>
      </c>
      <c r="J667" t="str">
        <f>MID('paste from garc here'!$C$2,1+(('table for research'!$B667-456)*36+HEX2DEC('table for research'!J$1))*2,2)</f>
        <v>00</v>
      </c>
      <c r="K667" t="str">
        <f>DEC2HEX(_xlfn.BITAND(HEX2DEC(MID('paste from garc here'!$C$1,1+(('table for research'!$B667-1)*36+HEX2DEC(8))*2,2)),31),2)</f>
        <v>00</v>
      </c>
      <c r="L667" t="str">
        <f>DEC2HEX(_xlfn.BITAND(HEX2DEC(MID('paste from garc here'!$C$1,1+(('table for research'!$B667-1)*36+HEX2DEC(8))*2,2)),32),2)</f>
        <v>00</v>
      </c>
      <c r="M667" t="str">
        <f>DEC2HEX(_xlfn.BITAND(HEX2DEC(MID('paste from garc here'!$C$1,1+(('table for research'!$B667-1)*36+HEX2DEC(8))*2,2)),64),2)</f>
        <v>00</v>
      </c>
      <c r="N667" t="str">
        <f>DEC2HEX(_xlfn.BITRSHIFT(_xlfn.BITAND(HEX2DEC(MID('paste from garc here'!$C$1,1+(('table for research'!$B667-1)*36+HEX2DEC(9))*2,2)&amp;MID('paste from garc here'!$C$1,1+(('table for research'!$B667-1)*36+HEX2DEC(8))*2,2)),1920),7),2)</f>
        <v>00</v>
      </c>
      <c r="O667" t="str">
        <f>DEC2HEX(_xlfn.BITRSHIFT(HEX2DEC(MID('paste from garc here'!$C$1,1+(('table for research'!$B667-1)*36+HEX2DEC(9))*2,2)&amp;MID('paste from garc here'!$C$1,1+(('table for research'!$B667-1)*36+HEX2DEC(8))*2,2)),11),2)</f>
        <v>00</v>
      </c>
      <c r="P667" t="str">
        <f>MID('paste from garc here'!$C$2,1+(('table for research'!$B667-456)*36+HEX2DEC('table for research'!P$1))*2,2)</f>
        <v>00</v>
      </c>
      <c r="Q667" t="str">
        <f>MID('paste from garc here'!$C$2,1+(('table for research'!$B667-456)*36+HEX2DEC('table for research'!Q$1))*2,2)</f>
        <v>00</v>
      </c>
      <c r="R667" t="str">
        <f>MID('paste from garc here'!$C$2,1+(('table for research'!$B667-456)*36+HEX2DEC('table for research'!R$1))*2,2)</f>
        <v>00</v>
      </c>
      <c r="S667" t="str">
        <f>MID('paste from garc here'!$C$2,1+(('table for research'!$B667-456)*36+HEX2DEC('table for research'!S$1))*2,2)</f>
        <v>01</v>
      </c>
      <c r="T667" t="str">
        <f>MID('paste from garc here'!$C$2,1+(('table for research'!$B667-456)*36+HEX2DEC('table for research'!T$1))*2,2)</f>
        <v>00</v>
      </c>
      <c r="U667" t="str">
        <f>MID('paste from garc here'!$C$2,1+(('table for research'!$B667-456)*36+HEX2DEC('table for research'!U$1))*2,2)</f>
        <v>CE</v>
      </c>
      <c r="V667" t="str">
        <f>MID('paste from garc here'!$C$2,1+(('table for research'!$B667-456)*36+HEX2DEC('table for research'!V$1))*2,2)</f>
        <v>00</v>
      </c>
      <c r="W667" t="str">
        <f>MID('paste from garc here'!$C$2,1+(('table for research'!$B667-456)*36+HEX2DEC('table for research'!W$1))*2,2)</f>
        <v>00</v>
      </c>
      <c r="X667" t="str">
        <f>MID('paste from garc here'!$C$2,1+(('table for research'!$B667-456)*36+HEX2DEC('table for research'!X$1))*2,2)</f>
        <v>00</v>
      </c>
      <c r="Y667" t="str">
        <f>MID('paste from garc here'!$C$2,1+(('table for research'!$B667-456)*36+HEX2DEC('table for research'!Y$1))*2,2)</f>
        <v>00</v>
      </c>
      <c r="Z667" t="str">
        <f>MID('paste from garc here'!$C$2,1+(('table for research'!$B667-456)*36+HEX2DEC('table for research'!Z$1))*2,2)</f>
        <v>00</v>
      </c>
      <c r="AA667" t="str">
        <f>MID('paste from garc here'!$C$2,1+(('table for research'!$B667-456)*36+HEX2DEC('table for research'!AA$1))*2,2)</f>
        <v>00</v>
      </c>
      <c r="AB667" t="str">
        <f>MID('paste from garc here'!$C$2,1+(('table for research'!$B667-456)*36+HEX2DEC('table for research'!AB$1))*2,2)</f>
        <v>00</v>
      </c>
      <c r="AC667" t="str">
        <f>MID('paste from garc here'!$C$2,1+(('table for research'!$B667-456)*36+HEX2DEC('table for research'!AC$1))*2,2)</f>
        <v>00</v>
      </c>
      <c r="AD667" t="str">
        <f>MID('paste from garc here'!$C$2,1+(('table for research'!$B667-456)*36+HEX2DEC('table for research'!AD$1))*2,2)</f>
        <v>00</v>
      </c>
      <c r="AE667" t="str">
        <f>MID('paste from garc here'!$C$2,1+(('table for research'!$B667-456)*36+HEX2DEC('table for research'!AE$1))*2,2)</f>
        <v>00</v>
      </c>
      <c r="AF667" t="str">
        <f>MID('paste from garc here'!$C$2,1+(('table for research'!$B667-456)*36+HEX2DEC('table for research'!AF$1))*2,2)</f>
        <v>00</v>
      </c>
      <c r="AG667" t="str">
        <f>MID('paste from garc here'!$C$2,1+(('table for research'!$B667-456)*36+HEX2DEC('table for research'!AG$1))*2,2)</f>
        <v>00</v>
      </c>
      <c r="AH667" t="str">
        <f>MID('paste from garc here'!$C$2,1+(('table for research'!$B667-456)*36+HEX2DEC('table for research'!AH$1))*2,2)</f>
        <v>00</v>
      </c>
      <c r="AI667" t="str">
        <f>MID('paste from garc here'!$C$2,1+(('table for research'!$B667-456)*36+HEX2DEC('table for research'!AI$1))*2,2)</f>
        <v>00</v>
      </c>
      <c r="AJ667" t="str">
        <f>MID('paste from garc here'!$C$2,1+(('table for research'!$B667-456)*36+HEX2DEC('table for research'!AJ$1))*2,2)</f>
        <v>00</v>
      </c>
      <c r="AK667" t="str">
        <f>MID('paste from garc here'!$C$2,1+(('table for research'!$B667-456)*36+HEX2DEC('table for research'!AK$1))*2,2)</f>
        <v>00</v>
      </c>
      <c r="AL667" t="str">
        <f>MID('paste from garc here'!$C$2,1+(('table for research'!$B667-456)*36+HEX2DEC('table for research'!AL$1))*2,2)</f>
        <v>00</v>
      </c>
      <c r="AM667" t="str">
        <f>MID('paste from garc here'!$C$2,1+(('table for research'!$B667-456)*36+HEX2DEC('table for research'!AM$1))*2,2)</f>
        <v>00</v>
      </c>
      <c r="AN667" t="str">
        <f>MID('paste from garc here'!$C$2,1+(('table for research'!$B667-456)*36+HEX2DEC('table for research'!AN$1))*2,2)</f>
        <v>00</v>
      </c>
      <c r="AO667" t="str">
        <f>MID('paste from garc here'!$C$2,1+(('table for research'!$B667-456)*36+HEX2DEC('table for research'!AO$1))*2,2)</f>
        <v>00</v>
      </c>
    </row>
    <row r="668" spans="1:41" x14ac:dyDescent="0.4">
      <c r="A668" t="s">
        <v>667</v>
      </c>
      <c r="B668">
        <f>B667+1</f>
        <v>666</v>
      </c>
      <c r="C668" t="str">
        <f>MID('paste from garc here'!$C$2,1+(('table for research'!$B668-456)*36+HEX2DEC('table for research'!C$1))*2,2)</f>
        <v>00</v>
      </c>
      <c r="D668" t="str">
        <f>MID('paste from garc here'!$C$2,1+(('table for research'!$B668-456)*36+HEX2DEC('table for research'!D$1))*2,2)</f>
        <v>00</v>
      </c>
      <c r="E668" t="str">
        <f>MID('paste from garc here'!$C$2,1+(('table for research'!$B668-456)*36+HEX2DEC('table for research'!E$1))*2,2)</f>
        <v>00</v>
      </c>
      <c r="F668" t="str">
        <f>MID('paste from garc here'!$C$2,1+(('table for research'!$B668-456)*36+HEX2DEC('table for research'!F$1))*2,2)</f>
        <v>00</v>
      </c>
      <c r="G668" t="str">
        <f>MID('paste from garc here'!$C$2,1+(('table for research'!$B668-456)*36+HEX2DEC('table for research'!G$1))*2,2)</f>
        <v>00</v>
      </c>
      <c r="H668" t="str">
        <f>MID('paste from garc here'!$C$2,1+(('table for research'!$B668-456)*36+HEX2DEC('table for research'!H$1))*2,2)</f>
        <v>00</v>
      </c>
      <c r="I668" t="str">
        <f>MID('paste from garc here'!$C$2,1+(('table for research'!$B668-456)*36+HEX2DEC('table for research'!I$1))*2,2)</f>
        <v>50</v>
      </c>
      <c r="J668" t="str">
        <f>MID('paste from garc here'!$C$2,1+(('table for research'!$B668-456)*36+HEX2DEC('table for research'!J$1))*2,2)</f>
        <v>00</v>
      </c>
      <c r="K668" t="str">
        <f>DEC2HEX(_xlfn.BITAND(HEX2DEC(MID('paste from garc here'!$C$1,1+(('table for research'!$B668-1)*36+HEX2DEC(8))*2,2)),31),2)</f>
        <v>00</v>
      </c>
      <c r="L668" t="str">
        <f>DEC2HEX(_xlfn.BITAND(HEX2DEC(MID('paste from garc here'!$C$1,1+(('table for research'!$B668-1)*36+HEX2DEC(8))*2,2)),32),2)</f>
        <v>00</v>
      </c>
      <c r="M668" t="str">
        <f>DEC2HEX(_xlfn.BITAND(HEX2DEC(MID('paste from garc here'!$C$1,1+(('table for research'!$B668-1)*36+HEX2DEC(8))*2,2)),64),2)</f>
        <v>00</v>
      </c>
      <c r="N668" t="str">
        <f>DEC2HEX(_xlfn.BITRSHIFT(_xlfn.BITAND(HEX2DEC(MID('paste from garc here'!$C$1,1+(('table for research'!$B668-1)*36+HEX2DEC(9))*2,2)&amp;MID('paste from garc here'!$C$1,1+(('table for research'!$B668-1)*36+HEX2DEC(8))*2,2)),1920),7),2)</f>
        <v>00</v>
      </c>
      <c r="O668" t="str">
        <f>DEC2HEX(_xlfn.BITRSHIFT(HEX2DEC(MID('paste from garc here'!$C$1,1+(('table for research'!$B668-1)*36+HEX2DEC(9))*2,2)&amp;MID('paste from garc here'!$C$1,1+(('table for research'!$B668-1)*36+HEX2DEC(8))*2,2)),11),2)</f>
        <v>00</v>
      </c>
      <c r="P668" t="str">
        <f>MID('paste from garc here'!$C$2,1+(('table for research'!$B668-456)*36+HEX2DEC('table for research'!P$1))*2,2)</f>
        <v>00</v>
      </c>
      <c r="Q668" t="str">
        <f>MID('paste from garc here'!$C$2,1+(('table for research'!$B668-456)*36+HEX2DEC('table for research'!Q$1))*2,2)</f>
        <v>00</v>
      </c>
      <c r="R668" t="str">
        <f>MID('paste from garc here'!$C$2,1+(('table for research'!$B668-456)*36+HEX2DEC('table for research'!R$1))*2,2)</f>
        <v>00</v>
      </c>
      <c r="S668" t="str">
        <f>MID('paste from garc here'!$C$2,1+(('table for research'!$B668-456)*36+HEX2DEC('table for research'!S$1))*2,2)</f>
        <v>01</v>
      </c>
      <c r="T668" t="str">
        <f>MID('paste from garc here'!$C$2,1+(('table for research'!$B668-456)*36+HEX2DEC('table for research'!T$1))*2,2)</f>
        <v>00</v>
      </c>
      <c r="U668" t="str">
        <f>MID('paste from garc here'!$C$2,1+(('table for research'!$B668-456)*36+HEX2DEC('table for research'!U$1))*2,2)</f>
        <v>DC</v>
      </c>
      <c r="V668" t="str">
        <f>MID('paste from garc here'!$C$2,1+(('table for research'!$B668-456)*36+HEX2DEC('table for research'!V$1))*2,2)</f>
        <v>00</v>
      </c>
      <c r="W668" t="str">
        <f>MID('paste from garc here'!$C$2,1+(('table for research'!$B668-456)*36+HEX2DEC('table for research'!W$1))*2,2)</f>
        <v>00</v>
      </c>
      <c r="X668" t="str">
        <f>MID('paste from garc here'!$C$2,1+(('table for research'!$B668-456)*36+HEX2DEC('table for research'!X$1))*2,2)</f>
        <v>00</v>
      </c>
      <c r="Y668" t="str">
        <f>MID('paste from garc here'!$C$2,1+(('table for research'!$B668-456)*36+HEX2DEC('table for research'!Y$1))*2,2)</f>
        <v>00</v>
      </c>
      <c r="Z668" t="str">
        <f>MID('paste from garc here'!$C$2,1+(('table for research'!$B668-456)*36+HEX2DEC('table for research'!Z$1))*2,2)</f>
        <v>00</v>
      </c>
      <c r="AA668" t="str">
        <f>MID('paste from garc here'!$C$2,1+(('table for research'!$B668-456)*36+HEX2DEC('table for research'!AA$1))*2,2)</f>
        <v>00</v>
      </c>
      <c r="AB668" t="str">
        <f>MID('paste from garc here'!$C$2,1+(('table for research'!$B668-456)*36+HEX2DEC('table for research'!AB$1))*2,2)</f>
        <v>00</v>
      </c>
      <c r="AC668" t="str">
        <f>MID('paste from garc here'!$C$2,1+(('table for research'!$B668-456)*36+HEX2DEC('table for research'!AC$1))*2,2)</f>
        <v>00</v>
      </c>
      <c r="AD668" t="str">
        <f>MID('paste from garc here'!$C$2,1+(('table for research'!$B668-456)*36+HEX2DEC('table for research'!AD$1))*2,2)</f>
        <v>00</v>
      </c>
      <c r="AE668" t="str">
        <f>MID('paste from garc here'!$C$2,1+(('table for research'!$B668-456)*36+HEX2DEC('table for research'!AE$1))*2,2)</f>
        <v>00</v>
      </c>
      <c r="AF668" t="str">
        <f>MID('paste from garc here'!$C$2,1+(('table for research'!$B668-456)*36+HEX2DEC('table for research'!AF$1))*2,2)</f>
        <v>00</v>
      </c>
      <c r="AG668" t="str">
        <f>MID('paste from garc here'!$C$2,1+(('table for research'!$B668-456)*36+HEX2DEC('table for research'!AG$1))*2,2)</f>
        <v>00</v>
      </c>
      <c r="AH668" t="str">
        <f>MID('paste from garc here'!$C$2,1+(('table for research'!$B668-456)*36+HEX2DEC('table for research'!AH$1))*2,2)</f>
        <v>00</v>
      </c>
      <c r="AI668" t="str">
        <f>MID('paste from garc here'!$C$2,1+(('table for research'!$B668-456)*36+HEX2DEC('table for research'!AI$1))*2,2)</f>
        <v>00</v>
      </c>
      <c r="AJ668" t="str">
        <f>MID('paste from garc here'!$C$2,1+(('table for research'!$B668-456)*36+HEX2DEC('table for research'!AJ$1))*2,2)</f>
        <v>00</v>
      </c>
      <c r="AK668" t="str">
        <f>MID('paste from garc here'!$C$2,1+(('table for research'!$B668-456)*36+HEX2DEC('table for research'!AK$1))*2,2)</f>
        <v>00</v>
      </c>
      <c r="AL668" t="str">
        <f>MID('paste from garc here'!$C$2,1+(('table for research'!$B668-456)*36+HEX2DEC('table for research'!AL$1))*2,2)</f>
        <v>00</v>
      </c>
      <c r="AM668" t="str">
        <f>MID('paste from garc here'!$C$2,1+(('table for research'!$B668-456)*36+HEX2DEC('table for research'!AM$1))*2,2)</f>
        <v>00</v>
      </c>
      <c r="AN668" t="str">
        <f>MID('paste from garc here'!$C$2,1+(('table for research'!$B668-456)*36+HEX2DEC('table for research'!AN$1))*2,2)</f>
        <v>00</v>
      </c>
      <c r="AO668" t="str">
        <f>MID('paste from garc here'!$C$2,1+(('table for research'!$B668-456)*36+HEX2DEC('table for research'!AO$1))*2,2)</f>
        <v>00</v>
      </c>
    </row>
    <row r="669" spans="1:41" x14ac:dyDescent="0.4">
      <c r="A669" t="s">
        <v>668</v>
      </c>
      <c r="B669">
        <f>B668+1</f>
        <v>667</v>
      </c>
      <c r="C669" t="str">
        <f>MID('paste from garc here'!$C$2,1+(('table for research'!$B669-456)*36+HEX2DEC('table for research'!C$1))*2,2)</f>
        <v>00</v>
      </c>
      <c r="D669" t="str">
        <f>MID('paste from garc here'!$C$2,1+(('table for research'!$B669-456)*36+HEX2DEC('table for research'!D$1))*2,2)</f>
        <v>00</v>
      </c>
      <c r="E669" t="str">
        <f>MID('paste from garc here'!$C$2,1+(('table for research'!$B669-456)*36+HEX2DEC('table for research'!E$1))*2,2)</f>
        <v>00</v>
      </c>
      <c r="F669" t="str">
        <f>MID('paste from garc here'!$C$2,1+(('table for research'!$B669-456)*36+HEX2DEC('table for research'!F$1))*2,2)</f>
        <v>00</v>
      </c>
      <c r="G669" t="str">
        <f>MID('paste from garc here'!$C$2,1+(('table for research'!$B669-456)*36+HEX2DEC('table for research'!G$1))*2,2)</f>
        <v>00</v>
      </c>
      <c r="H669" t="str">
        <f>MID('paste from garc here'!$C$2,1+(('table for research'!$B669-456)*36+HEX2DEC('table for research'!H$1))*2,2)</f>
        <v>00</v>
      </c>
      <c r="I669" t="str">
        <f>MID('paste from garc here'!$C$2,1+(('table for research'!$B669-456)*36+HEX2DEC('table for research'!I$1))*2,2)</f>
        <v>50</v>
      </c>
      <c r="J669" t="str">
        <f>MID('paste from garc here'!$C$2,1+(('table for research'!$B669-456)*36+HEX2DEC('table for research'!J$1))*2,2)</f>
        <v>00</v>
      </c>
      <c r="K669" t="str">
        <f>DEC2HEX(_xlfn.BITAND(HEX2DEC(MID('paste from garc here'!$C$1,1+(('table for research'!$B669-1)*36+HEX2DEC(8))*2,2)),31),2)</f>
        <v>00</v>
      </c>
      <c r="L669" t="str">
        <f>DEC2HEX(_xlfn.BITAND(HEX2DEC(MID('paste from garc here'!$C$1,1+(('table for research'!$B669-1)*36+HEX2DEC(8))*2,2)),32),2)</f>
        <v>00</v>
      </c>
      <c r="M669" t="str">
        <f>DEC2HEX(_xlfn.BITAND(HEX2DEC(MID('paste from garc here'!$C$1,1+(('table for research'!$B669-1)*36+HEX2DEC(8))*2,2)),64),2)</f>
        <v>00</v>
      </c>
      <c r="N669" t="str">
        <f>DEC2HEX(_xlfn.BITRSHIFT(_xlfn.BITAND(HEX2DEC(MID('paste from garc here'!$C$1,1+(('table for research'!$B669-1)*36+HEX2DEC(9))*2,2)&amp;MID('paste from garc here'!$C$1,1+(('table for research'!$B669-1)*36+HEX2DEC(8))*2,2)),1920),7),2)</f>
        <v>00</v>
      </c>
      <c r="O669" t="str">
        <f>DEC2HEX(_xlfn.BITRSHIFT(HEX2DEC(MID('paste from garc here'!$C$1,1+(('table for research'!$B669-1)*36+HEX2DEC(9))*2,2)&amp;MID('paste from garc here'!$C$1,1+(('table for research'!$B669-1)*36+HEX2DEC(8))*2,2)),11),2)</f>
        <v>00</v>
      </c>
      <c r="P669" t="str">
        <f>MID('paste from garc here'!$C$2,1+(('table for research'!$B669-456)*36+HEX2DEC('table for research'!P$1))*2,2)</f>
        <v>00</v>
      </c>
      <c r="Q669" t="str">
        <f>MID('paste from garc here'!$C$2,1+(('table for research'!$B669-456)*36+HEX2DEC('table for research'!Q$1))*2,2)</f>
        <v>00</v>
      </c>
      <c r="R669" t="str">
        <f>MID('paste from garc here'!$C$2,1+(('table for research'!$B669-456)*36+HEX2DEC('table for research'!R$1))*2,2)</f>
        <v>00</v>
      </c>
      <c r="S669" t="str">
        <f>MID('paste from garc here'!$C$2,1+(('table for research'!$B669-456)*36+HEX2DEC('table for research'!S$1))*2,2)</f>
        <v>01</v>
      </c>
      <c r="T669" t="str">
        <f>MID('paste from garc here'!$C$2,1+(('table for research'!$B669-456)*36+HEX2DEC('table for research'!T$1))*2,2)</f>
        <v>00</v>
      </c>
      <c r="U669" t="str">
        <f>MID('paste from garc here'!$C$2,1+(('table for research'!$B669-456)*36+HEX2DEC('table for research'!U$1))*2,2)</f>
        <v>DE</v>
      </c>
      <c r="V669" t="str">
        <f>MID('paste from garc here'!$C$2,1+(('table for research'!$B669-456)*36+HEX2DEC('table for research'!V$1))*2,2)</f>
        <v>00</v>
      </c>
      <c r="W669" t="str">
        <f>MID('paste from garc here'!$C$2,1+(('table for research'!$B669-456)*36+HEX2DEC('table for research'!W$1))*2,2)</f>
        <v>00</v>
      </c>
      <c r="X669" t="str">
        <f>MID('paste from garc here'!$C$2,1+(('table for research'!$B669-456)*36+HEX2DEC('table for research'!X$1))*2,2)</f>
        <v>00</v>
      </c>
      <c r="Y669" t="str">
        <f>MID('paste from garc here'!$C$2,1+(('table for research'!$B669-456)*36+HEX2DEC('table for research'!Y$1))*2,2)</f>
        <v>00</v>
      </c>
      <c r="Z669" t="str">
        <f>MID('paste from garc here'!$C$2,1+(('table for research'!$B669-456)*36+HEX2DEC('table for research'!Z$1))*2,2)</f>
        <v>00</v>
      </c>
      <c r="AA669" t="str">
        <f>MID('paste from garc here'!$C$2,1+(('table for research'!$B669-456)*36+HEX2DEC('table for research'!AA$1))*2,2)</f>
        <v>00</v>
      </c>
      <c r="AB669" t="str">
        <f>MID('paste from garc here'!$C$2,1+(('table for research'!$B669-456)*36+HEX2DEC('table for research'!AB$1))*2,2)</f>
        <v>00</v>
      </c>
      <c r="AC669" t="str">
        <f>MID('paste from garc here'!$C$2,1+(('table for research'!$B669-456)*36+HEX2DEC('table for research'!AC$1))*2,2)</f>
        <v>00</v>
      </c>
      <c r="AD669" t="str">
        <f>MID('paste from garc here'!$C$2,1+(('table for research'!$B669-456)*36+HEX2DEC('table for research'!AD$1))*2,2)</f>
        <v>00</v>
      </c>
      <c r="AE669" t="str">
        <f>MID('paste from garc here'!$C$2,1+(('table for research'!$B669-456)*36+HEX2DEC('table for research'!AE$1))*2,2)</f>
        <v>00</v>
      </c>
      <c r="AF669" t="str">
        <f>MID('paste from garc here'!$C$2,1+(('table for research'!$B669-456)*36+HEX2DEC('table for research'!AF$1))*2,2)</f>
        <v>00</v>
      </c>
      <c r="AG669" t="str">
        <f>MID('paste from garc here'!$C$2,1+(('table for research'!$B669-456)*36+HEX2DEC('table for research'!AG$1))*2,2)</f>
        <v>00</v>
      </c>
      <c r="AH669" t="str">
        <f>MID('paste from garc here'!$C$2,1+(('table for research'!$B669-456)*36+HEX2DEC('table for research'!AH$1))*2,2)</f>
        <v>00</v>
      </c>
      <c r="AI669" t="str">
        <f>MID('paste from garc here'!$C$2,1+(('table for research'!$B669-456)*36+HEX2DEC('table for research'!AI$1))*2,2)</f>
        <v>00</v>
      </c>
      <c r="AJ669" t="str">
        <f>MID('paste from garc here'!$C$2,1+(('table for research'!$B669-456)*36+HEX2DEC('table for research'!AJ$1))*2,2)</f>
        <v>00</v>
      </c>
      <c r="AK669" t="str">
        <f>MID('paste from garc here'!$C$2,1+(('table for research'!$B669-456)*36+HEX2DEC('table for research'!AK$1))*2,2)</f>
        <v>00</v>
      </c>
      <c r="AL669" t="str">
        <f>MID('paste from garc here'!$C$2,1+(('table for research'!$B669-456)*36+HEX2DEC('table for research'!AL$1))*2,2)</f>
        <v>00</v>
      </c>
      <c r="AM669" t="str">
        <f>MID('paste from garc here'!$C$2,1+(('table for research'!$B669-456)*36+HEX2DEC('table for research'!AM$1))*2,2)</f>
        <v>00</v>
      </c>
      <c r="AN669" t="str">
        <f>MID('paste from garc here'!$C$2,1+(('table for research'!$B669-456)*36+HEX2DEC('table for research'!AN$1))*2,2)</f>
        <v>00</v>
      </c>
      <c r="AO669" t="str">
        <f>MID('paste from garc here'!$C$2,1+(('table for research'!$B669-456)*36+HEX2DEC('table for research'!AO$1))*2,2)</f>
        <v>00</v>
      </c>
    </row>
    <row r="670" spans="1:41" x14ac:dyDescent="0.4">
      <c r="A670" t="s">
        <v>669</v>
      </c>
      <c r="B670">
        <f>B669+1</f>
        <v>668</v>
      </c>
      <c r="C670" t="str">
        <f>MID('paste from garc here'!$C$2,1+(('table for research'!$B670-456)*36+HEX2DEC('table for research'!C$1))*2,2)</f>
        <v>00</v>
      </c>
      <c r="D670" t="str">
        <f>MID('paste from garc here'!$C$2,1+(('table for research'!$B670-456)*36+HEX2DEC('table for research'!D$1))*2,2)</f>
        <v>00</v>
      </c>
      <c r="E670" t="str">
        <f>MID('paste from garc here'!$C$2,1+(('table for research'!$B670-456)*36+HEX2DEC('table for research'!E$1))*2,2)</f>
        <v>00</v>
      </c>
      <c r="F670" t="str">
        <f>MID('paste from garc here'!$C$2,1+(('table for research'!$B670-456)*36+HEX2DEC('table for research'!F$1))*2,2)</f>
        <v>00</v>
      </c>
      <c r="G670" t="str">
        <f>MID('paste from garc here'!$C$2,1+(('table for research'!$B670-456)*36+HEX2DEC('table for research'!G$1))*2,2)</f>
        <v>00</v>
      </c>
      <c r="H670" t="str">
        <f>MID('paste from garc here'!$C$2,1+(('table for research'!$B670-456)*36+HEX2DEC('table for research'!H$1))*2,2)</f>
        <v>00</v>
      </c>
      <c r="I670" t="str">
        <f>MID('paste from garc here'!$C$2,1+(('table for research'!$B670-456)*36+HEX2DEC('table for research'!I$1))*2,2)</f>
        <v>50</v>
      </c>
      <c r="J670" t="str">
        <f>MID('paste from garc here'!$C$2,1+(('table for research'!$B670-456)*36+HEX2DEC('table for research'!J$1))*2,2)</f>
        <v>00</v>
      </c>
      <c r="K670" t="str">
        <f>DEC2HEX(_xlfn.BITAND(HEX2DEC(MID('paste from garc here'!$C$1,1+(('table for research'!$B670-1)*36+HEX2DEC(8))*2,2)),31),2)</f>
        <v>00</v>
      </c>
      <c r="L670" t="str">
        <f>DEC2HEX(_xlfn.BITAND(HEX2DEC(MID('paste from garc here'!$C$1,1+(('table for research'!$B670-1)*36+HEX2DEC(8))*2,2)),32),2)</f>
        <v>00</v>
      </c>
      <c r="M670" t="str">
        <f>DEC2HEX(_xlfn.BITAND(HEX2DEC(MID('paste from garc here'!$C$1,1+(('table for research'!$B670-1)*36+HEX2DEC(8))*2,2)),64),2)</f>
        <v>00</v>
      </c>
      <c r="N670" t="str">
        <f>DEC2HEX(_xlfn.BITRSHIFT(_xlfn.BITAND(HEX2DEC(MID('paste from garc here'!$C$1,1+(('table for research'!$B670-1)*36+HEX2DEC(9))*2,2)&amp;MID('paste from garc here'!$C$1,1+(('table for research'!$B670-1)*36+HEX2DEC(8))*2,2)),1920),7),2)</f>
        <v>00</v>
      </c>
      <c r="O670" t="str">
        <f>DEC2HEX(_xlfn.BITRSHIFT(HEX2DEC(MID('paste from garc here'!$C$1,1+(('table for research'!$B670-1)*36+HEX2DEC(9))*2,2)&amp;MID('paste from garc here'!$C$1,1+(('table for research'!$B670-1)*36+HEX2DEC(8))*2,2)),11),2)</f>
        <v>00</v>
      </c>
      <c r="P670" t="str">
        <f>MID('paste from garc here'!$C$2,1+(('table for research'!$B670-456)*36+HEX2DEC('table for research'!P$1))*2,2)</f>
        <v>00</v>
      </c>
      <c r="Q670" t="str">
        <f>MID('paste from garc here'!$C$2,1+(('table for research'!$B670-456)*36+HEX2DEC('table for research'!Q$1))*2,2)</f>
        <v>00</v>
      </c>
      <c r="R670" t="str">
        <f>MID('paste from garc here'!$C$2,1+(('table for research'!$B670-456)*36+HEX2DEC('table for research'!R$1))*2,2)</f>
        <v>00</v>
      </c>
      <c r="S670" t="str">
        <f>MID('paste from garc here'!$C$2,1+(('table for research'!$B670-456)*36+HEX2DEC('table for research'!S$1))*2,2)</f>
        <v>01</v>
      </c>
      <c r="T670" t="str">
        <f>MID('paste from garc here'!$C$2,1+(('table for research'!$B670-456)*36+HEX2DEC('table for research'!T$1))*2,2)</f>
        <v>00</v>
      </c>
      <c r="U670" t="str">
        <f>MID('paste from garc here'!$C$2,1+(('table for research'!$B670-456)*36+HEX2DEC('table for research'!U$1))*2,2)</f>
        <v>CB</v>
      </c>
      <c r="V670" t="str">
        <f>MID('paste from garc here'!$C$2,1+(('table for research'!$B670-456)*36+HEX2DEC('table for research'!V$1))*2,2)</f>
        <v>00</v>
      </c>
      <c r="W670" t="str">
        <f>MID('paste from garc here'!$C$2,1+(('table for research'!$B670-456)*36+HEX2DEC('table for research'!W$1))*2,2)</f>
        <v>00</v>
      </c>
      <c r="X670" t="str">
        <f>MID('paste from garc here'!$C$2,1+(('table for research'!$B670-456)*36+HEX2DEC('table for research'!X$1))*2,2)</f>
        <v>00</v>
      </c>
      <c r="Y670" t="str">
        <f>MID('paste from garc here'!$C$2,1+(('table for research'!$B670-456)*36+HEX2DEC('table for research'!Y$1))*2,2)</f>
        <v>00</v>
      </c>
      <c r="Z670" t="str">
        <f>MID('paste from garc here'!$C$2,1+(('table for research'!$B670-456)*36+HEX2DEC('table for research'!Z$1))*2,2)</f>
        <v>00</v>
      </c>
      <c r="AA670" t="str">
        <f>MID('paste from garc here'!$C$2,1+(('table for research'!$B670-456)*36+HEX2DEC('table for research'!AA$1))*2,2)</f>
        <v>00</v>
      </c>
      <c r="AB670" t="str">
        <f>MID('paste from garc here'!$C$2,1+(('table for research'!$B670-456)*36+HEX2DEC('table for research'!AB$1))*2,2)</f>
        <v>00</v>
      </c>
      <c r="AC670" t="str">
        <f>MID('paste from garc here'!$C$2,1+(('table for research'!$B670-456)*36+HEX2DEC('table for research'!AC$1))*2,2)</f>
        <v>00</v>
      </c>
      <c r="AD670" t="str">
        <f>MID('paste from garc here'!$C$2,1+(('table for research'!$B670-456)*36+HEX2DEC('table for research'!AD$1))*2,2)</f>
        <v>00</v>
      </c>
      <c r="AE670" t="str">
        <f>MID('paste from garc here'!$C$2,1+(('table for research'!$B670-456)*36+HEX2DEC('table for research'!AE$1))*2,2)</f>
        <v>00</v>
      </c>
      <c r="AF670" t="str">
        <f>MID('paste from garc here'!$C$2,1+(('table for research'!$B670-456)*36+HEX2DEC('table for research'!AF$1))*2,2)</f>
        <v>00</v>
      </c>
      <c r="AG670" t="str">
        <f>MID('paste from garc here'!$C$2,1+(('table for research'!$B670-456)*36+HEX2DEC('table for research'!AG$1))*2,2)</f>
        <v>00</v>
      </c>
      <c r="AH670" t="str">
        <f>MID('paste from garc here'!$C$2,1+(('table for research'!$B670-456)*36+HEX2DEC('table for research'!AH$1))*2,2)</f>
        <v>00</v>
      </c>
      <c r="AI670" t="str">
        <f>MID('paste from garc here'!$C$2,1+(('table for research'!$B670-456)*36+HEX2DEC('table for research'!AI$1))*2,2)</f>
        <v>00</v>
      </c>
      <c r="AJ670" t="str">
        <f>MID('paste from garc here'!$C$2,1+(('table for research'!$B670-456)*36+HEX2DEC('table for research'!AJ$1))*2,2)</f>
        <v>00</v>
      </c>
      <c r="AK670" t="str">
        <f>MID('paste from garc here'!$C$2,1+(('table for research'!$B670-456)*36+HEX2DEC('table for research'!AK$1))*2,2)</f>
        <v>00</v>
      </c>
      <c r="AL670" t="str">
        <f>MID('paste from garc here'!$C$2,1+(('table for research'!$B670-456)*36+HEX2DEC('table for research'!AL$1))*2,2)</f>
        <v>00</v>
      </c>
      <c r="AM670" t="str">
        <f>MID('paste from garc here'!$C$2,1+(('table for research'!$B670-456)*36+HEX2DEC('table for research'!AM$1))*2,2)</f>
        <v>00</v>
      </c>
      <c r="AN670" t="str">
        <f>MID('paste from garc here'!$C$2,1+(('table for research'!$B670-456)*36+HEX2DEC('table for research'!AN$1))*2,2)</f>
        <v>00</v>
      </c>
      <c r="AO670" t="str">
        <f>MID('paste from garc here'!$C$2,1+(('table for research'!$B670-456)*36+HEX2DEC('table for research'!AO$1))*2,2)</f>
        <v>00</v>
      </c>
    </row>
    <row r="671" spans="1:41" x14ac:dyDescent="0.4">
      <c r="A671" t="s">
        <v>670</v>
      </c>
      <c r="B671">
        <f>B670+1</f>
        <v>669</v>
      </c>
      <c r="C671" t="str">
        <f>MID('paste from garc here'!$C$2,1+(('table for research'!$B671-456)*36+HEX2DEC('table for research'!C$1))*2,2)</f>
        <v>00</v>
      </c>
      <c r="D671" t="str">
        <f>MID('paste from garc here'!$C$2,1+(('table for research'!$B671-456)*36+HEX2DEC('table for research'!D$1))*2,2)</f>
        <v>00</v>
      </c>
      <c r="E671" t="str">
        <f>MID('paste from garc here'!$C$2,1+(('table for research'!$B671-456)*36+HEX2DEC('table for research'!E$1))*2,2)</f>
        <v>00</v>
      </c>
      <c r="F671" t="str">
        <f>MID('paste from garc here'!$C$2,1+(('table for research'!$B671-456)*36+HEX2DEC('table for research'!F$1))*2,2)</f>
        <v>00</v>
      </c>
      <c r="G671" t="str">
        <f>MID('paste from garc here'!$C$2,1+(('table for research'!$B671-456)*36+HEX2DEC('table for research'!G$1))*2,2)</f>
        <v>00</v>
      </c>
      <c r="H671" t="str">
        <f>MID('paste from garc here'!$C$2,1+(('table for research'!$B671-456)*36+HEX2DEC('table for research'!H$1))*2,2)</f>
        <v>00</v>
      </c>
      <c r="I671" t="str">
        <f>MID('paste from garc here'!$C$2,1+(('table for research'!$B671-456)*36+HEX2DEC('table for research'!I$1))*2,2)</f>
        <v>50</v>
      </c>
      <c r="J671" t="str">
        <f>MID('paste from garc here'!$C$2,1+(('table for research'!$B671-456)*36+HEX2DEC('table for research'!J$1))*2,2)</f>
        <v>00</v>
      </c>
      <c r="K671" t="str">
        <f>DEC2HEX(_xlfn.BITAND(HEX2DEC(MID('paste from garc here'!$C$1,1+(('table for research'!$B671-1)*36+HEX2DEC(8))*2,2)),31),2)</f>
        <v>00</v>
      </c>
      <c r="L671" t="str">
        <f>DEC2HEX(_xlfn.BITAND(HEX2DEC(MID('paste from garc here'!$C$1,1+(('table for research'!$B671-1)*36+HEX2DEC(8))*2,2)),32),2)</f>
        <v>00</v>
      </c>
      <c r="M671" t="str">
        <f>DEC2HEX(_xlfn.BITAND(HEX2DEC(MID('paste from garc here'!$C$1,1+(('table for research'!$B671-1)*36+HEX2DEC(8))*2,2)),64),2)</f>
        <v>00</v>
      </c>
      <c r="N671" t="str">
        <f>DEC2HEX(_xlfn.BITRSHIFT(_xlfn.BITAND(HEX2DEC(MID('paste from garc here'!$C$1,1+(('table for research'!$B671-1)*36+HEX2DEC(9))*2,2)&amp;MID('paste from garc here'!$C$1,1+(('table for research'!$B671-1)*36+HEX2DEC(8))*2,2)),1920),7),2)</f>
        <v>00</v>
      </c>
      <c r="O671" t="str">
        <f>DEC2HEX(_xlfn.BITRSHIFT(HEX2DEC(MID('paste from garc here'!$C$1,1+(('table for research'!$B671-1)*36+HEX2DEC(9))*2,2)&amp;MID('paste from garc here'!$C$1,1+(('table for research'!$B671-1)*36+HEX2DEC(8))*2,2)),11),2)</f>
        <v>00</v>
      </c>
      <c r="P671" t="str">
        <f>MID('paste from garc here'!$C$2,1+(('table for research'!$B671-456)*36+HEX2DEC('table for research'!P$1))*2,2)</f>
        <v>00</v>
      </c>
      <c r="Q671" t="str">
        <f>MID('paste from garc here'!$C$2,1+(('table for research'!$B671-456)*36+HEX2DEC('table for research'!Q$1))*2,2)</f>
        <v>00</v>
      </c>
      <c r="R671" t="str">
        <f>MID('paste from garc here'!$C$2,1+(('table for research'!$B671-456)*36+HEX2DEC('table for research'!R$1))*2,2)</f>
        <v>00</v>
      </c>
      <c r="S671" t="str">
        <f>MID('paste from garc here'!$C$2,1+(('table for research'!$B671-456)*36+HEX2DEC('table for research'!S$1))*2,2)</f>
        <v>01</v>
      </c>
      <c r="T671" t="str">
        <f>MID('paste from garc here'!$C$2,1+(('table for research'!$B671-456)*36+HEX2DEC('table for research'!T$1))*2,2)</f>
        <v>00</v>
      </c>
      <c r="U671" t="str">
        <f>MID('paste from garc here'!$C$2,1+(('table for research'!$B671-456)*36+HEX2DEC('table for research'!U$1))*2,2)</f>
        <v>D6</v>
      </c>
      <c r="V671" t="str">
        <f>MID('paste from garc here'!$C$2,1+(('table for research'!$B671-456)*36+HEX2DEC('table for research'!V$1))*2,2)</f>
        <v>00</v>
      </c>
      <c r="W671" t="str">
        <f>MID('paste from garc here'!$C$2,1+(('table for research'!$B671-456)*36+HEX2DEC('table for research'!W$1))*2,2)</f>
        <v>00</v>
      </c>
      <c r="X671" t="str">
        <f>MID('paste from garc here'!$C$2,1+(('table for research'!$B671-456)*36+HEX2DEC('table for research'!X$1))*2,2)</f>
        <v>00</v>
      </c>
      <c r="Y671" t="str">
        <f>MID('paste from garc here'!$C$2,1+(('table for research'!$B671-456)*36+HEX2DEC('table for research'!Y$1))*2,2)</f>
        <v>00</v>
      </c>
      <c r="Z671" t="str">
        <f>MID('paste from garc here'!$C$2,1+(('table for research'!$B671-456)*36+HEX2DEC('table for research'!Z$1))*2,2)</f>
        <v>00</v>
      </c>
      <c r="AA671" t="str">
        <f>MID('paste from garc here'!$C$2,1+(('table for research'!$B671-456)*36+HEX2DEC('table for research'!AA$1))*2,2)</f>
        <v>00</v>
      </c>
      <c r="AB671" t="str">
        <f>MID('paste from garc here'!$C$2,1+(('table for research'!$B671-456)*36+HEX2DEC('table for research'!AB$1))*2,2)</f>
        <v>00</v>
      </c>
      <c r="AC671" t="str">
        <f>MID('paste from garc here'!$C$2,1+(('table for research'!$B671-456)*36+HEX2DEC('table for research'!AC$1))*2,2)</f>
        <v>00</v>
      </c>
      <c r="AD671" t="str">
        <f>MID('paste from garc here'!$C$2,1+(('table for research'!$B671-456)*36+HEX2DEC('table for research'!AD$1))*2,2)</f>
        <v>00</v>
      </c>
      <c r="AE671" t="str">
        <f>MID('paste from garc here'!$C$2,1+(('table for research'!$B671-456)*36+HEX2DEC('table for research'!AE$1))*2,2)</f>
        <v>00</v>
      </c>
      <c r="AF671" t="str">
        <f>MID('paste from garc here'!$C$2,1+(('table for research'!$B671-456)*36+HEX2DEC('table for research'!AF$1))*2,2)</f>
        <v>00</v>
      </c>
      <c r="AG671" t="str">
        <f>MID('paste from garc here'!$C$2,1+(('table for research'!$B671-456)*36+HEX2DEC('table for research'!AG$1))*2,2)</f>
        <v>00</v>
      </c>
      <c r="AH671" t="str">
        <f>MID('paste from garc here'!$C$2,1+(('table for research'!$B671-456)*36+HEX2DEC('table for research'!AH$1))*2,2)</f>
        <v>00</v>
      </c>
      <c r="AI671" t="str">
        <f>MID('paste from garc here'!$C$2,1+(('table for research'!$B671-456)*36+HEX2DEC('table for research'!AI$1))*2,2)</f>
        <v>00</v>
      </c>
      <c r="AJ671" t="str">
        <f>MID('paste from garc here'!$C$2,1+(('table for research'!$B671-456)*36+HEX2DEC('table for research'!AJ$1))*2,2)</f>
        <v>00</v>
      </c>
      <c r="AK671" t="str">
        <f>MID('paste from garc here'!$C$2,1+(('table for research'!$B671-456)*36+HEX2DEC('table for research'!AK$1))*2,2)</f>
        <v>00</v>
      </c>
      <c r="AL671" t="str">
        <f>MID('paste from garc here'!$C$2,1+(('table for research'!$B671-456)*36+HEX2DEC('table for research'!AL$1))*2,2)</f>
        <v>00</v>
      </c>
      <c r="AM671" t="str">
        <f>MID('paste from garc here'!$C$2,1+(('table for research'!$B671-456)*36+HEX2DEC('table for research'!AM$1))*2,2)</f>
        <v>00</v>
      </c>
      <c r="AN671" t="str">
        <f>MID('paste from garc here'!$C$2,1+(('table for research'!$B671-456)*36+HEX2DEC('table for research'!AN$1))*2,2)</f>
        <v>00</v>
      </c>
      <c r="AO671" t="str">
        <f>MID('paste from garc here'!$C$2,1+(('table for research'!$B671-456)*36+HEX2DEC('table for research'!AO$1))*2,2)</f>
        <v>00</v>
      </c>
    </row>
    <row r="672" spans="1:41" x14ac:dyDescent="0.4">
      <c r="A672" t="s">
        <v>671</v>
      </c>
      <c r="B672">
        <f>B671+1</f>
        <v>670</v>
      </c>
      <c r="C672" t="str">
        <f>MID('paste from garc here'!$C$2,1+(('table for research'!$B672-456)*36+HEX2DEC('table for research'!C$1))*2,2)</f>
        <v>00</v>
      </c>
      <c r="D672" t="str">
        <f>MID('paste from garc here'!$C$2,1+(('table for research'!$B672-456)*36+HEX2DEC('table for research'!D$1))*2,2)</f>
        <v>00</v>
      </c>
      <c r="E672" t="str">
        <f>MID('paste from garc here'!$C$2,1+(('table for research'!$B672-456)*36+HEX2DEC('table for research'!E$1))*2,2)</f>
        <v>00</v>
      </c>
      <c r="F672" t="str">
        <f>MID('paste from garc here'!$C$2,1+(('table for research'!$B672-456)*36+HEX2DEC('table for research'!F$1))*2,2)</f>
        <v>00</v>
      </c>
      <c r="G672" t="str">
        <f>MID('paste from garc here'!$C$2,1+(('table for research'!$B672-456)*36+HEX2DEC('table for research'!G$1))*2,2)</f>
        <v>00</v>
      </c>
      <c r="H672" t="str">
        <f>MID('paste from garc here'!$C$2,1+(('table for research'!$B672-456)*36+HEX2DEC('table for research'!H$1))*2,2)</f>
        <v>00</v>
      </c>
      <c r="I672" t="str">
        <f>MID('paste from garc here'!$C$2,1+(('table for research'!$B672-456)*36+HEX2DEC('table for research'!I$1))*2,2)</f>
        <v>50</v>
      </c>
      <c r="J672" t="str">
        <f>MID('paste from garc here'!$C$2,1+(('table for research'!$B672-456)*36+HEX2DEC('table for research'!J$1))*2,2)</f>
        <v>00</v>
      </c>
      <c r="K672" t="str">
        <f>DEC2HEX(_xlfn.BITAND(HEX2DEC(MID('paste from garc here'!$C$1,1+(('table for research'!$B672-1)*36+HEX2DEC(8))*2,2)),31),2)</f>
        <v>00</v>
      </c>
      <c r="L672" t="str">
        <f>DEC2HEX(_xlfn.BITAND(HEX2DEC(MID('paste from garc here'!$C$1,1+(('table for research'!$B672-1)*36+HEX2DEC(8))*2,2)),32),2)</f>
        <v>00</v>
      </c>
      <c r="M672" t="str">
        <f>DEC2HEX(_xlfn.BITAND(HEX2DEC(MID('paste from garc here'!$C$1,1+(('table for research'!$B672-1)*36+HEX2DEC(8))*2,2)),64),2)</f>
        <v>00</v>
      </c>
      <c r="N672" t="str">
        <f>DEC2HEX(_xlfn.BITRSHIFT(_xlfn.BITAND(HEX2DEC(MID('paste from garc here'!$C$1,1+(('table for research'!$B672-1)*36+HEX2DEC(9))*2,2)&amp;MID('paste from garc here'!$C$1,1+(('table for research'!$B672-1)*36+HEX2DEC(8))*2,2)),1920),7),2)</f>
        <v>00</v>
      </c>
      <c r="O672" t="str">
        <f>DEC2HEX(_xlfn.BITRSHIFT(HEX2DEC(MID('paste from garc here'!$C$1,1+(('table for research'!$B672-1)*36+HEX2DEC(9))*2,2)&amp;MID('paste from garc here'!$C$1,1+(('table for research'!$B672-1)*36+HEX2DEC(8))*2,2)),11),2)</f>
        <v>00</v>
      </c>
      <c r="P672" t="str">
        <f>MID('paste from garc here'!$C$2,1+(('table for research'!$B672-456)*36+HEX2DEC('table for research'!P$1))*2,2)</f>
        <v>00</v>
      </c>
      <c r="Q672" t="str">
        <f>MID('paste from garc here'!$C$2,1+(('table for research'!$B672-456)*36+HEX2DEC('table for research'!Q$1))*2,2)</f>
        <v>00</v>
      </c>
      <c r="R672" t="str">
        <f>MID('paste from garc here'!$C$2,1+(('table for research'!$B672-456)*36+HEX2DEC('table for research'!R$1))*2,2)</f>
        <v>00</v>
      </c>
      <c r="S672" t="str">
        <f>MID('paste from garc here'!$C$2,1+(('table for research'!$B672-456)*36+HEX2DEC('table for research'!S$1))*2,2)</f>
        <v>01</v>
      </c>
      <c r="T672" t="str">
        <f>MID('paste from garc here'!$C$2,1+(('table for research'!$B672-456)*36+HEX2DEC('table for research'!T$1))*2,2)</f>
        <v>00</v>
      </c>
      <c r="U672" t="str">
        <f>MID('paste from garc here'!$C$2,1+(('table for research'!$B672-456)*36+HEX2DEC('table for research'!U$1))*2,2)</f>
        <v>D5</v>
      </c>
      <c r="V672" t="str">
        <f>MID('paste from garc here'!$C$2,1+(('table for research'!$B672-456)*36+HEX2DEC('table for research'!V$1))*2,2)</f>
        <v>00</v>
      </c>
      <c r="W672" t="str">
        <f>MID('paste from garc here'!$C$2,1+(('table for research'!$B672-456)*36+HEX2DEC('table for research'!W$1))*2,2)</f>
        <v>00</v>
      </c>
      <c r="X672" t="str">
        <f>MID('paste from garc here'!$C$2,1+(('table for research'!$B672-456)*36+HEX2DEC('table for research'!X$1))*2,2)</f>
        <v>00</v>
      </c>
      <c r="Y672" t="str">
        <f>MID('paste from garc here'!$C$2,1+(('table for research'!$B672-456)*36+HEX2DEC('table for research'!Y$1))*2,2)</f>
        <v>00</v>
      </c>
      <c r="Z672" t="str">
        <f>MID('paste from garc here'!$C$2,1+(('table for research'!$B672-456)*36+HEX2DEC('table for research'!Z$1))*2,2)</f>
        <v>00</v>
      </c>
      <c r="AA672" t="str">
        <f>MID('paste from garc here'!$C$2,1+(('table for research'!$B672-456)*36+HEX2DEC('table for research'!AA$1))*2,2)</f>
        <v>00</v>
      </c>
      <c r="AB672" t="str">
        <f>MID('paste from garc here'!$C$2,1+(('table for research'!$B672-456)*36+HEX2DEC('table for research'!AB$1))*2,2)</f>
        <v>00</v>
      </c>
      <c r="AC672" t="str">
        <f>MID('paste from garc here'!$C$2,1+(('table for research'!$B672-456)*36+HEX2DEC('table for research'!AC$1))*2,2)</f>
        <v>00</v>
      </c>
      <c r="AD672" t="str">
        <f>MID('paste from garc here'!$C$2,1+(('table for research'!$B672-456)*36+HEX2DEC('table for research'!AD$1))*2,2)</f>
        <v>00</v>
      </c>
      <c r="AE672" t="str">
        <f>MID('paste from garc here'!$C$2,1+(('table for research'!$B672-456)*36+HEX2DEC('table for research'!AE$1))*2,2)</f>
        <v>00</v>
      </c>
      <c r="AF672" t="str">
        <f>MID('paste from garc here'!$C$2,1+(('table for research'!$B672-456)*36+HEX2DEC('table for research'!AF$1))*2,2)</f>
        <v>00</v>
      </c>
      <c r="AG672" t="str">
        <f>MID('paste from garc here'!$C$2,1+(('table for research'!$B672-456)*36+HEX2DEC('table for research'!AG$1))*2,2)</f>
        <v>00</v>
      </c>
      <c r="AH672" t="str">
        <f>MID('paste from garc here'!$C$2,1+(('table for research'!$B672-456)*36+HEX2DEC('table for research'!AH$1))*2,2)</f>
        <v>00</v>
      </c>
      <c r="AI672" t="str">
        <f>MID('paste from garc here'!$C$2,1+(('table for research'!$B672-456)*36+HEX2DEC('table for research'!AI$1))*2,2)</f>
        <v>00</v>
      </c>
      <c r="AJ672" t="str">
        <f>MID('paste from garc here'!$C$2,1+(('table for research'!$B672-456)*36+HEX2DEC('table for research'!AJ$1))*2,2)</f>
        <v>00</v>
      </c>
      <c r="AK672" t="str">
        <f>MID('paste from garc here'!$C$2,1+(('table for research'!$B672-456)*36+HEX2DEC('table for research'!AK$1))*2,2)</f>
        <v>00</v>
      </c>
      <c r="AL672" t="str">
        <f>MID('paste from garc here'!$C$2,1+(('table for research'!$B672-456)*36+HEX2DEC('table for research'!AL$1))*2,2)</f>
        <v>00</v>
      </c>
      <c r="AM672" t="str">
        <f>MID('paste from garc here'!$C$2,1+(('table for research'!$B672-456)*36+HEX2DEC('table for research'!AM$1))*2,2)</f>
        <v>00</v>
      </c>
      <c r="AN672" t="str">
        <f>MID('paste from garc here'!$C$2,1+(('table for research'!$B672-456)*36+HEX2DEC('table for research'!AN$1))*2,2)</f>
        <v>00</v>
      </c>
      <c r="AO672" t="str">
        <f>MID('paste from garc here'!$C$2,1+(('table for research'!$B672-456)*36+HEX2DEC('table for research'!AO$1))*2,2)</f>
        <v>00</v>
      </c>
    </row>
    <row r="673" spans="1:41" x14ac:dyDescent="0.4">
      <c r="A673" t="s">
        <v>672</v>
      </c>
      <c r="B673">
        <f>B672+1</f>
        <v>671</v>
      </c>
      <c r="C673" t="str">
        <f>MID('paste from garc here'!$C$2,1+(('table for research'!$B673-456)*36+HEX2DEC('table for research'!C$1))*2,2)</f>
        <v>00</v>
      </c>
      <c r="D673" t="str">
        <f>MID('paste from garc here'!$C$2,1+(('table for research'!$B673-456)*36+HEX2DEC('table for research'!D$1))*2,2)</f>
        <v>00</v>
      </c>
      <c r="E673" t="str">
        <f>MID('paste from garc here'!$C$2,1+(('table for research'!$B673-456)*36+HEX2DEC('table for research'!E$1))*2,2)</f>
        <v>00</v>
      </c>
      <c r="F673" t="str">
        <f>MID('paste from garc here'!$C$2,1+(('table for research'!$B673-456)*36+HEX2DEC('table for research'!F$1))*2,2)</f>
        <v>00</v>
      </c>
      <c r="G673" t="str">
        <f>MID('paste from garc here'!$C$2,1+(('table for research'!$B673-456)*36+HEX2DEC('table for research'!G$1))*2,2)</f>
        <v>00</v>
      </c>
      <c r="H673" t="str">
        <f>MID('paste from garc here'!$C$2,1+(('table for research'!$B673-456)*36+HEX2DEC('table for research'!H$1))*2,2)</f>
        <v>00</v>
      </c>
      <c r="I673" t="str">
        <f>MID('paste from garc here'!$C$2,1+(('table for research'!$B673-456)*36+HEX2DEC('table for research'!I$1))*2,2)</f>
        <v>50</v>
      </c>
      <c r="J673" t="str">
        <f>MID('paste from garc here'!$C$2,1+(('table for research'!$B673-456)*36+HEX2DEC('table for research'!J$1))*2,2)</f>
        <v>00</v>
      </c>
      <c r="K673" t="str">
        <f>DEC2HEX(_xlfn.BITAND(HEX2DEC(MID('paste from garc here'!$C$1,1+(('table for research'!$B673-1)*36+HEX2DEC(8))*2,2)),31),2)</f>
        <v>00</v>
      </c>
      <c r="L673" t="str">
        <f>DEC2HEX(_xlfn.BITAND(HEX2DEC(MID('paste from garc here'!$C$1,1+(('table for research'!$B673-1)*36+HEX2DEC(8))*2,2)),32),2)</f>
        <v>00</v>
      </c>
      <c r="M673" t="str">
        <f>DEC2HEX(_xlfn.BITAND(HEX2DEC(MID('paste from garc here'!$C$1,1+(('table for research'!$B673-1)*36+HEX2DEC(8))*2,2)),64),2)</f>
        <v>00</v>
      </c>
      <c r="N673" t="str">
        <f>DEC2HEX(_xlfn.BITRSHIFT(_xlfn.BITAND(HEX2DEC(MID('paste from garc here'!$C$1,1+(('table for research'!$B673-1)*36+HEX2DEC(9))*2,2)&amp;MID('paste from garc here'!$C$1,1+(('table for research'!$B673-1)*36+HEX2DEC(8))*2,2)),1920),7),2)</f>
        <v>00</v>
      </c>
      <c r="O673" t="str">
        <f>DEC2HEX(_xlfn.BITRSHIFT(HEX2DEC(MID('paste from garc here'!$C$1,1+(('table for research'!$B673-1)*36+HEX2DEC(9))*2,2)&amp;MID('paste from garc here'!$C$1,1+(('table for research'!$B673-1)*36+HEX2DEC(8))*2,2)),11),2)</f>
        <v>00</v>
      </c>
      <c r="P673" t="str">
        <f>MID('paste from garc here'!$C$2,1+(('table for research'!$B673-456)*36+HEX2DEC('table for research'!P$1))*2,2)</f>
        <v>00</v>
      </c>
      <c r="Q673" t="str">
        <f>MID('paste from garc here'!$C$2,1+(('table for research'!$B673-456)*36+HEX2DEC('table for research'!Q$1))*2,2)</f>
        <v>00</v>
      </c>
      <c r="R673" t="str">
        <f>MID('paste from garc here'!$C$2,1+(('table for research'!$B673-456)*36+HEX2DEC('table for research'!R$1))*2,2)</f>
        <v>00</v>
      </c>
      <c r="S673" t="str">
        <f>MID('paste from garc here'!$C$2,1+(('table for research'!$B673-456)*36+HEX2DEC('table for research'!S$1))*2,2)</f>
        <v>01</v>
      </c>
      <c r="T673" t="str">
        <f>MID('paste from garc here'!$C$2,1+(('table for research'!$B673-456)*36+HEX2DEC('table for research'!T$1))*2,2)</f>
        <v>00</v>
      </c>
      <c r="U673" t="str">
        <f>MID('paste from garc here'!$C$2,1+(('table for research'!$B673-456)*36+HEX2DEC('table for research'!U$1))*2,2)</f>
        <v>C1</v>
      </c>
      <c r="V673" t="str">
        <f>MID('paste from garc here'!$C$2,1+(('table for research'!$B673-456)*36+HEX2DEC('table for research'!V$1))*2,2)</f>
        <v>00</v>
      </c>
      <c r="W673" t="str">
        <f>MID('paste from garc here'!$C$2,1+(('table for research'!$B673-456)*36+HEX2DEC('table for research'!W$1))*2,2)</f>
        <v>00</v>
      </c>
      <c r="X673" t="str">
        <f>MID('paste from garc here'!$C$2,1+(('table for research'!$B673-456)*36+HEX2DEC('table for research'!X$1))*2,2)</f>
        <v>00</v>
      </c>
      <c r="Y673" t="str">
        <f>MID('paste from garc here'!$C$2,1+(('table for research'!$B673-456)*36+HEX2DEC('table for research'!Y$1))*2,2)</f>
        <v>00</v>
      </c>
      <c r="Z673" t="str">
        <f>MID('paste from garc here'!$C$2,1+(('table for research'!$B673-456)*36+HEX2DEC('table for research'!Z$1))*2,2)</f>
        <v>00</v>
      </c>
      <c r="AA673" t="str">
        <f>MID('paste from garc here'!$C$2,1+(('table for research'!$B673-456)*36+HEX2DEC('table for research'!AA$1))*2,2)</f>
        <v>00</v>
      </c>
      <c r="AB673" t="str">
        <f>MID('paste from garc here'!$C$2,1+(('table for research'!$B673-456)*36+HEX2DEC('table for research'!AB$1))*2,2)</f>
        <v>00</v>
      </c>
      <c r="AC673" t="str">
        <f>MID('paste from garc here'!$C$2,1+(('table for research'!$B673-456)*36+HEX2DEC('table for research'!AC$1))*2,2)</f>
        <v>00</v>
      </c>
      <c r="AD673" t="str">
        <f>MID('paste from garc here'!$C$2,1+(('table for research'!$B673-456)*36+HEX2DEC('table for research'!AD$1))*2,2)</f>
        <v>00</v>
      </c>
      <c r="AE673" t="str">
        <f>MID('paste from garc here'!$C$2,1+(('table for research'!$B673-456)*36+HEX2DEC('table for research'!AE$1))*2,2)</f>
        <v>00</v>
      </c>
      <c r="AF673" t="str">
        <f>MID('paste from garc here'!$C$2,1+(('table for research'!$B673-456)*36+HEX2DEC('table for research'!AF$1))*2,2)</f>
        <v>00</v>
      </c>
      <c r="AG673" t="str">
        <f>MID('paste from garc here'!$C$2,1+(('table for research'!$B673-456)*36+HEX2DEC('table for research'!AG$1))*2,2)</f>
        <v>00</v>
      </c>
      <c r="AH673" t="str">
        <f>MID('paste from garc here'!$C$2,1+(('table for research'!$B673-456)*36+HEX2DEC('table for research'!AH$1))*2,2)</f>
        <v>00</v>
      </c>
      <c r="AI673" t="str">
        <f>MID('paste from garc here'!$C$2,1+(('table for research'!$B673-456)*36+HEX2DEC('table for research'!AI$1))*2,2)</f>
        <v>00</v>
      </c>
      <c r="AJ673" t="str">
        <f>MID('paste from garc here'!$C$2,1+(('table for research'!$B673-456)*36+HEX2DEC('table for research'!AJ$1))*2,2)</f>
        <v>00</v>
      </c>
      <c r="AK673" t="str">
        <f>MID('paste from garc here'!$C$2,1+(('table for research'!$B673-456)*36+HEX2DEC('table for research'!AK$1))*2,2)</f>
        <v>00</v>
      </c>
      <c r="AL673" t="str">
        <f>MID('paste from garc here'!$C$2,1+(('table for research'!$B673-456)*36+HEX2DEC('table for research'!AL$1))*2,2)</f>
        <v>00</v>
      </c>
      <c r="AM673" t="str">
        <f>MID('paste from garc here'!$C$2,1+(('table for research'!$B673-456)*36+HEX2DEC('table for research'!AM$1))*2,2)</f>
        <v>00</v>
      </c>
      <c r="AN673" t="str">
        <f>MID('paste from garc here'!$C$2,1+(('table for research'!$B673-456)*36+HEX2DEC('table for research'!AN$1))*2,2)</f>
        <v>00</v>
      </c>
      <c r="AO673" t="str">
        <f>MID('paste from garc here'!$C$2,1+(('table for research'!$B673-456)*36+HEX2DEC('table for research'!AO$1))*2,2)</f>
        <v>00</v>
      </c>
    </row>
    <row r="674" spans="1:41" x14ac:dyDescent="0.4">
      <c r="A674" t="s">
        <v>673</v>
      </c>
      <c r="B674">
        <f>B673+1</f>
        <v>672</v>
      </c>
      <c r="C674" t="str">
        <f>MID('paste from garc here'!$C$2,1+(('table for research'!$B674-456)*36+HEX2DEC('table for research'!C$1))*2,2)</f>
        <v>00</v>
      </c>
      <c r="D674" t="str">
        <f>MID('paste from garc here'!$C$2,1+(('table for research'!$B674-456)*36+HEX2DEC('table for research'!D$1))*2,2)</f>
        <v>00</v>
      </c>
      <c r="E674" t="str">
        <f>MID('paste from garc here'!$C$2,1+(('table for research'!$B674-456)*36+HEX2DEC('table for research'!E$1))*2,2)</f>
        <v>00</v>
      </c>
      <c r="F674" t="str">
        <f>MID('paste from garc here'!$C$2,1+(('table for research'!$B674-456)*36+HEX2DEC('table for research'!F$1))*2,2)</f>
        <v>00</v>
      </c>
      <c r="G674" t="str">
        <f>MID('paste from garc here'!$C$2,1+(('table for research'!$B674-456)*36+HEX2DEC('table for research'!G$1))*2,2)</f>
        <v>00</v>
      </c>
      <c r="H674" t="str">
        <f>MID('paste from garc here'!$C$2,1+(('table for research'!$B674-456)*36+HEX2DEC('table for research'!H$1))*2,2)</f>
        <v>00</v>
      </c>
      <c r="I674" t="str">
        <f>MID('paste from garc here'!$C$2,1+(('table for research'!$B674-456)*36+HEX2DEC('table for research'!I$1))*2,2)</f>
        <v>50</v>
      </c>
      <c r="J674" t="str">
        <f>MID('paste from garc here'!$C$2,1+(('table for research'!$B674-456)*36+HEX2DEC('table for research'!J$1))*2,2)</f>
        <v>00</v>
      </c>
      <c r="K674" t="str">
        <f>DEC2HEX(_xlfn.BITAND(HEX2DEC(MID('paste from garc here'!$C$1,1+(('table for research'!$B674-1)*36+HEX2DEC(8))*2,2)),31),2)</f>
        <v>00</v>
      </c>
      <c r="L674" t="str">
        <f>DEC2HEX(_xlfn.BITAND(HEX2DEC(MID('paste from garc here'!$C$1,1+(('table for research'!$B674-1)*36+HEX2DEC(8))*2,2)),32),2)</f>
        <v>00</v>
      </c>
      <c r="M674" t="str">
        <f>DEC2HEX(_xlfn.BITAND(HEX2DEC(MID('paste from garc here'!$C$1,1+(('table for research'!$B674-1)*36+HEX2DEC(8))*2,2)),64),2)</f>
        <v>00</v>
      </c>
      <c r="N674" t="str">
        <f>DEC2HEX(_xlfn.BITRSHIFT(_xlfn.BITAND(HEX2DEC(MID('paste from garc here'!$C$1,1+(('table for research'!$B674-1)*36+HEX2DEC(9))*2,2)&amp;MID('paste from garc here'!$C$1,1+(('table for research'!$B674-1)*36+HEX2DEC(8))*2,2)),1920),7),2)</f>
        <v>00</v>
      </c>
      <c r="O674" t="str">
        <f>DEC2HEX(_xlfn.BITRSHIFT(HEX2DEC(MID('paste from garc here'!$C$1,1+(('table for research'!$B674-1)*36+HEX2DEC(9))*2,2)&amp;MID('paste from garc here'!$C$1,1+(('table for research'!$B674-1)*36+HEX2DEC(8))*2,2)),11),2)</f>
        <v>00</v>
      </c>
      <c r="P674" t="str">
        <f>MID('paste from garc here'!$C$2,1+(('table for research'!$B674-456)*36+HEX2DEC('table for research'!P$1))*2,2)</f>
        <v>00</v>
      </c>
      <c r="Q674" t="str">
        <f>MID('paste from garc here'!$C$2,1+(('table for research'!$B674-456)*36+HEX2DEC('table for research'!Q$1))*2,2)</f>
        <v>00</v>
      </c>
      <c r="R674" t="str">
        <f>MID('paste from garc here'!$C$2,1+(('table for research'!$B674-456)*36+HEX2DEC('table for research'!R$1))*2,2)</f>
        <v>00</v>
      </c>
      <c r="S674" t="str">
        <f>MID('paste from garc here'!$C$2,1+(('table for research'!$B674-456)*36+HEX2DEC('table for research'!S$1))*2,2)</f>
        <v>01</v>
      </c>
      <c r="T674" t="str">
        <f>MID('paste from garc here'!$C$2,1+(('table for research'!$B674-456)*36+HEX2DEC('table for research'!T$1))*2,2)</f>
        <v>00</v>
      </c>
      <c r="U674" t="str">
        <f>MID('paste from garc here'!$C$2,1+(('table for research'!$B674-456)*36+HEX2DEC('table for research'!U$1))*2,2)</f>
        <v>DA</v>
      </c>
      <c r="V674" t="str">
        <f>MID('paste from garc here'!$C$2,1+(('table for research'!$B674-456)*36+HEX2DEC('table for research'!V$1))*2,2)</f>
        <v>00</v>
      </c>
      <c r="W674" t="str">
        <f>MID('paste from garc here'!$C$2,1+(('table for research'!$B674-456)*36+HEX2DEC('table for research'!W$1))*2,2)</f>
        <v>00</v>
      </c>
      <c r="X674" t="str">
        <f>MID('paste from garc here'!$C$2,1+(('table for research'!$B674-456)*36+HEX2DEC('table for research'!X$1))*2,2)</f>
        <v>00</v>
      </c>
      <c r="Y674" t="str">
        <f>MID('paste from garc here'!$C$2,1+(('table for research'!$B674-456)*36+HEX2DEC('table for research'!Y$1))*2,2)</f>
        <v>00</v>
      </c>
      <c r="Z674" t="str">
        <f>MID('paste from garc here'!$C$2,1+(('table for research'!$B674-456)*36+HEX2DEC('table for research'!Z$1))*2,2)</f>
        <v>00</v>
      </c>
      <c r="AA674" t="str">
        <f>MID('paste from garc here'!$C$2,1+(('table for research'!$B674-456)*36+HEX2DEC('table for research'!AA$1))*2,2)</f>
        <v>00</v>
      </c>
      <c r="AB674" t="str">
        <f>MID('paste from garc here'!$C$2,1+(('table for research'!$B674-456)*36+HEX2DEC('table for research'!AB$1))*2,2)</f>
        <v>00</v>
      </c>
      <c r="AC674" t="str">
        <f>MID('paste from garc here'!$C$2,1+(('table for research'!$B674-456)*36+HEX2DEC('table for research'!AC$1))*2,2)</f>
        <v>00</v>
      </c>
      <c r="AD674" t="str">
        <f>MID('paste from garc here'!$C$2,1+(('table for research'!$B674-456)*36+HEX2DEC('table for research'!AD$1))*2,2)</f>
        <v>00</v>
      </c>
      <c r="AE674" t="str">
        <f>MID('paste from garc here'!$C$2,1+(('table for research'!$B674-456)*36+HEX2DEC('table for research'!AE$1))*2,2)</f>
        <v>00</v>
      </c>
      <c r="AF674" t="str">
        <f>MID('paste from garc here'!$C$2,1+(('table for research'!$B674-456)*36+HEX2DEC('table for research'!AF$1))*2,2)</f>
        <v>00</v>
      </c>
      <c r="AG674" t="str">
        <f>MID('paste from garc here'!$C$2,1+(('table for research'!$B674-456)*36+HEX2DEC('table for research'!AG$1))*2,2)</f>
        <v>00</v>
      </c>
      <c r="AH674" t="str">
        <f>MID('paste from garc here'!$C$2,1+(('table for research'!$B674-456)*36+HEX2DEC('table for research'!AH$1))*2,2)</f>
        <v>00</v>
      </c>
      <c r="AI674" t="str">
        <f>MID('paste from garc here'!$C$2,1+(('table for research'!$B674-456)*36+HEX2DEC('table for research'!AI$1))*2,2)</f>
        <v>00</v>
      </c>
      <c r="AJ674" t="str">
        <f>MID('paste from garc here'!$C$2,1+(('table for research'!$B674-456)*36+HEX2DEC('table for research'!AJ$1))*2,2)</f>
        <v>00</v>
      </c>
      <c r="AK674" t="str">
        <f>MID('paste from garc here'!$C$2,1+(('table for research'!$B674-456)*36+HEX2DEC('table for research'!AK$1))*2,2)</f>
        <v>00</v>
      </c>
      <c r="AL674" t="str">
        <f>MID('paste from garc here'!$C$2,1+(('table for research'!$B674-456)*36+HEX2DEC('table for research'!AL$1))*2,2)</f>
        <v>00</v>
      </c>
      <c r="AM674" t="str">
        <f>MID('paste from garc here'!$C$2,1+(('table for research'!$B674-456)*36+HEX2DEC('table for research'!AM$1))*2,2)</f>
        <v>00</v>
      </c>
      <c r="AN674" t="str">
        <f>MID('paste from garc here'!$C$2,1+(('table for research'!$B674-456)*36+HEX2DEC('table for research'!AN$1))*2,2)</f>
        <v>00</v>
      </c>
      <c r="AO674" t="str">
        <f>MID('paste from garc here'!$C$2,1+(('table for research'!$B674-456)*36+HEX2DEC('table for research'!AO$1))*2,2)</f>
        <v>00</v>
      </c>
    </row>
    <row r="675" spans="1:41" x14ac:dyDescent="0.4">
      <c r="A675" t="s">
        <v>674</v>
      </c>
      <c r="B675">
        <f>B674+1</f>
        <v>673</v>
      </c>
      <c r="C675" t="str">
        <f>MID('paste from garc here'!$C$2,1+(('table for research'!$B675-456)*36+HEX2DEC('table for research'!C$1))*2,2)</f>
        <v>00</v>
      </c>
      <c r="D675" t="str">
        <f>MID('paste from garc here'!$C$2,1+(('table for research'!$B675-456)*36+HEX2DEC('table for research'!D$1))*2,2)</f>
        <v>00</v>
      </c>
      <c r="E675" t="str">
        <f>MID('paste from garc here'!$C$2,1+(('table for research'!$B675-456)*36+HEX2DEC('table for research'!E$1))*2,2)</f>
        <v>00</v>
      </c>
      <c r="F675" t="str">
        <f>MID('paste from garc here'!$C$2,1+(('table for research'!$B675-456)*36+HEX2DEC('table for research'!F$1))*2,2)</f>
        <v>00</v>
      </c>
      <c r="G675" t="str">
        <f>MID('paste from garc here'!$C$2,1+(('table for research'!$B675-456)*36+HEX2DEC('table for research'!G$1))*2,2)</f>
        <v>00</v>
      </c>
      <c r="H675" t="str">
        <f>MID('paste from garc here'!$C$2,1+(('table for research'!$B675-456)*36+HEX2DEC('table for research'!H$1))*2,2)</f>
        <v>00</v>
      </c>
      <c r="I675" t="str">
        <f>MID('paste from garc here'!$C$2,1+(('table for research'!$B675-456)*36+HEX2DEC('table for research'!I$1))*2,2)</f>
        <v>50</v>
      </c>
      <c r="J675" t="str">
        <f>MID('paste from garc here'!$C$2,1+(('table for research'!$B675-456)*36+HEX2DEC('table for research'!J$1))*2,2)</f>
        <v>00</v>
      </c>
      <c r="K675" t="str">
        <f>DEC2HEX(_xlfn.BITAND(HEX2DEC(MID('paste from garc here'!$C$1,1+(('table for research'!$B675-1)*36+HEX2DEC(8))*2,2)),31),2)</f>
        <v>00</v>
      </c>
      <c r="L675" t="str">
        <f>DEC2HEX(_xlfn.BITAND(HEX2DEC(MID('paste from garc here'!$C$1,1+(('table for research'!$B675-1)*36+HEX2DEC(8))*2,2)),32),2)</f>
        <v>00</v>
      </c>
      <c r="M675" t="str">
        <f>DEC2HEX(_xlfn.BITAND(HEX2DEC(MID('paste from garc here'!$C$1,1+(('table for research'!$B675-1)*36+HEX2DEC(8))*2,2)),64),2)</f>
        <v>00</v>
      </c>
      <c r="N675" t="str">
        <f>DEC2HEX(_xlfn.BITRSHIFT(_xlfn.BITAND(HEX2DEC(MID('paste from garc here'!$C$1,1+(('table for research'!$B675-1)*36+HEX2DEC(9))*2,2)&amp;MID('paste from garc here'!$C$1,1+(('table for research'!$B675-1)*36+HEX2DEC(8))*2,2)),1920),7),2)</f>
        <v>00</v>
      </c>
      <c r="O675" t="str">
        <f>DEC2HEX(_xlfn.BITRSHIFT(HEX2DEC(MID('paste from garc here'!$C$1,1+(('table for research'!$B675-1)*36+HEX2DEC(9))*2,2)&amp;MID('paste from garc here'!$C$1,1+(('table for research'!$B675-1)*36+HEX2DEC(8))*2,2)),11),2)</f>
        <v>00</v>
      </c>
      <c r="P675" t="str">
        <f>MID('paste from garc here'!$C$2,1+(('table for research'!$B675-456)*36+HEX2DEC('table for research'!P$1))*2,2)</f>
        <v>00</v>
      </c>
      <c r="Q675" t="str">
        <f>MID('paste from garc here'!$C$2,1+(('table for research'!$B675-456)*36+HEX2DEC('table for research'!Q$1))*2,2)</f>
        <v>00</v>
      </c>
      <c r="R675" t="str">
        <f>MID('paste from garc here'!$C$2,1+(('table for research'!$B675-456)*36+HEX2DEC('table for research'!R$1))*2,2)</f>
        <v>00</v>
      </c>
      <c r="S675" t="str">
        <f>MID('paste from garc here'!$C$2,1+(('table for research'!$B675-456)*36+HEX2DEC('table for research'!S$1))*2,2)</f>
        <v>01</v>
      </c>
      <c r="T675" t="str">
        <f>MID('paste from garc here'!$C$2,1+(('table for research'!$B675-456)*36+HEX2DEC('table for research'!T$1))*2,2)</f>
        <v>00</v>
      </c>
      <c r="U675" t="str">
        <f>MID('paste from garc here'!$C$2,1+(('table for research'!$B675-456)*36+HEX2DEC('table for research'!U$1))*2,2)</f>
        <v>EC</v>
      </c>
      <c r="V675" t="str">
        <f>MID('paste from garc here'!$C$2,1+(('table for research'!$B675-456)*36+HEX2DEC('table for research'!V$1))*2,2)</f>
        <v>00</v>
      </c>
      <c r="W675" t="str">
        <f>MID('paste from garc here'!$C$2,1+(('table for research'!$B675-456)*36+HEX2DEC('table for research'!W$1))*2,2)</f>
        <v>00</v>
      </c>
      <c r="X675" t="str">
        <f>MID('paste from garc here'!$C$2,1+(('table for research'!$B675-456)*36+HEX2DEC('table for research'!X$1))*2,2)</f>
        <v>00</v>
      </c>
      <c r="Y675" t="str">
        <f>MID('paste from garc here'!$C$2,1+(('table for research'!$B675-456)*36+HEX2DEC('table for research'!Y$1))*2,2)</f>
        <v>00</v>
      </c>
      <c r="Z675" t="str">
        <f>MID('paste from garc here'!$C$2,1+(('table for research'!$B675-456)*36+HEX2DEC('table for research'!Z$1))*2,2)</f>
        <v>00</v>
      </c>
      <c r="AA675" t="str">
        <f>MID('paste from garc here'!$C$2,1+(('table for research'!$B675-456)*36+HEX2DEC('table for research'!AA$1))*2,2)</f>
        <v>00</v>
      </c>
      <c r="AB675" t="str">
        <f>MID('paste from garc here'!$C$2,1+(('table for research'!$B675-456)*36+HEX2DEC('table for research'!AB$1))*2,2)</f>
        <v>00</v>
      </c>
      <c r="AC675" t="str">
        <f>MID('paste from garc here'!$C$2,1+(('table for research'!$B675-456)*36+HEX2DEC('table for research'!AC$1))*2,2)</f>
        <v>00</v>
      </c>
      <c r="AD675" t="str">
        <f>MID('paste from garc here'!$C$2,1+(('table for research'!$B675-456)*36+HEX2DEC('table for research'!AD$1))*2,2)</f>
        <v>00</v>
      </c>
      <c r="AE675" t="str">
        <f>MID('paste from garc here'!$C$2,1+(('table for research'!$B675-456)*36+HEX2DEC('table for research'!AE$1))*2,2)</f>
        <v>00</v>
      </c>
      <c r="AF675" t="str">
        <f>MID('paste from garc here'!$C$2,1+(('table for research'!$B675-456)*36+HEX2DEC('table for research'!AF$1))*2,2)</f>
        <v>00</v>
      </c>
      <c r="AG675" t="str">
        <f>MID('paste from garc here'!$C$2,1+(('table for research'!$B675-456)*36+HEX2DEC('table for research'!AG$1))*2,2)</f>
        <v>00</v>
      </c>
      <c r="AH675" t="str">
        <f>MID('paste from garc here'!$C$2,1+(('table for research'!$B675-456)*36+HEX2DEC('table for research'!AH$1))*2,2)</f>
        <v>00</v>
      </c>
      <c r="AI675" t="str">
        <f>MID('paste from garc here'!$C$2,1+(('table for research'!$B675-456)*36+HEX2DEC('table for research'!AI$1))*2,2)</f>
        <v>00</v>
      </c>
      <c r="AJ675" t="str">
        <f>MID('paste from garc here'!$C$2,1+(('table for research'!$B675-456)*36+HEX2DEC('table for research'!AJ$1))*2,2)</f>
        <v>00</v>
      </c>
      <c r="AK675" t="str">
        <f>MID('paste from garc here'!$C$2,1+(('table for research'!$B675-456)*36+HEX2DEC('table for research'!AK$1))*2,2)</f>
        <v>00</v>
      </c>
      <c r="AL675" t="str">
        <f>MID('paste from garc here'!$C$2,1+(('table for research'!$B675-456)*36+HEX2DEC('table for research'!AL$1))*2,2)</f>
        <v>00</v>
      </c>
      <c r="AM675" t="str">
        <f>MID('paste from garc here'!$C$2,1+(('table for research'!$B675-456)*36+HEX2DEC('table for research'!AM$1))*2,2)</f>
        <v>00</v>
      </c>
      <c r="AN675" t="str">
        <f>MID('paste from garc here'!$C$2,1+(('table for research'!$B675-456)*36+HEX2DEC('table for research'!AN$1))*2,2)</f>
        <v>00</v>
      </c>
      <c r="AO675" t="str">
        <f>MID('paste from garc here'!$C$2,1+(('table for research'!$B675-456)*36+HEX2DEC('table for research'!AO$1))*2,2)</f>
        <v>00</v>
      </c>
    </row>
    <row r="676" spans="1:41" x14ac:dyDescent="0.4">
      <c r="A676" t="s">
        <v>675</v>
      </c>
      <c r="B676">
        <f>B675+1</f>
        <v>674</v>
      </c>
      <c r="C676" t="str">
        <f>MID('paste from garc here'!$C$2,1+(('table for research'!$B676-456)*36+HEX2DEC('table for research'!C$1))*2,2)</f>
        <v>00</v>
      </c>
      <c r="D676" t="str">
        <f>MID('paste from garc here'!$C$2,1+(('table for research'!$B676-456)*36+HEX2DEC('table for research'!D$1))*2,2)</f>
        <v>00</v>
      </c>
      <c r="E676" t="str">
        <f>MID('paste from garc here'!$C$2,1+(('table for research'!$B676-456)*36+HEX2DEC('table for research'!E$1))*2,2)</f>
        <v>00</v>
      </c>
      <c r="F676" t="str">
        <f>MID('paste from garc here'!$C$2,1+(('table for research'!$B676-456)*36+HEX2DEC('table for research'!F$1))*2,2)</f>
        <v>00</v>
      </c>
      <c r="G676" t="str">
        <f>MID('paste from garc here'!$C$2,1+(('table for research'!$B676-456)*36+HEX2DEC('table for research'!G$1))*2,2)</f>
        <v>00</v>
      </c>
      <c r="H676" t="str">
        <f>MID('paste from garc here'!$C$2,1+(('table for research'!$B676-456)*36+HEX2DEC('table for research'!H$1))*2,2)</f>
        <v>00</v>
      </c>
      <c r="I676" t="str">
        <f>MID('paste from garc here'!$C$2,1+(('table for research'!$B676-456)*36+HEX2DEC('table for research'!I$1))*2,2)</f>
        <v>50</v>
      </c>
      <c r="J676" t="str">
        <f>MID('paste from garc here'!$C$2,1+(('table for research'!$B676-456)*36+HEX2DEC('table for research'!J$1))*2,2)</f>
        <v>00</v>
      </c>
      <c r="K676" t="str">
        <f>DEC2HEX(_xlfn.BITAND(HEX2DEC(MID('paste from garc here'!$C$1,1+(('table for research'!$B676-1)*36+HEX2DEC(8))*2,2)),31),2)</f>
        <v>00</v>
      </c>
      <c r="L676" t="str">
        <f>DEC2HEX(_xlfn.BITAND(HEX2DEC(MID('paste from garc here'!$C$1,1+(('table for research'!$B676-1)*36+HEX2DEC(8))*2,2)),32),2)</f>
        <v>00</v>
      </c>
      <c r="M676" t="str">
        <f>DEC2HEX(_xlfn.BITAND(HEX2DEC(MID('paste from garc here'!$C$1,1+(('table for research'!$B676-1)*36+HEX2DEC(8))*2,2)),64),2)</f>
        <v>00</v>
      </c>
      <c r="N676" t="str">
        <f>DEC2HEX(_xlfn.BITRSHIFT(_xlfn.BITAND(HEX2DEC(MID('paste from garc here'!$C$1,1+(('table for research'!$B676-1)*36+HEX2DEC(9))*2,2)&amp;MID('paste from garc here'!$C$1,1+(('table for research'!$B676-1)*36+HEX2DEC(8))*2,2)),1920),7),2)</f>
        <v>00</v>
      </c>
      <c r="O676" t="str">
        <f>DEC2HEX(_xlfn.BITRSHIFT(HEX2DEC(MID('paste from garc here'!$C$1,1+(('table for research'!$B676-1)*36+HEX2DEC(9))*2,2)&amp;MID('paste from garc here'!$C$1,1+(('table for research'!$B676-1)*36+HEX2DEC(8))*2,2)),11),2)</f>
        <v>00</v>
      </c>
      <c r="P676" t="str">
        <f>MID('paste from garc here'!$C$2,1+(('table for research'!$B676-456)*36+HEX2DEC('table for research'!P$1))*2,2)</f>
        <v>00</v>
      </c>
      <c r="Q676" t="str">
        <f>MID('paste from garc here'!$C$2,1+(('table for research'!$B676-456)*36+HEX2DEC('table for research'!Q$1))*2,2)</f>
        <v>00</v>
      </c>
      <c r="R676" t="str">
        <f>MID('paste from garc here'!$C$2,1+(('table for research'!$B676-456)*36+HEX2DEC('table for research'!R$1))*2,2)</f>
        <v>00</v>
      </c>
      <c r="S676" t="str">
        <f>MID('paste from garc here'!$C$2,1+(('table for research'!$B676-456)*36+HEX2DEC('table for research'!S$1))*2,2)</f>
        <v>01</v>
      </c>
      <c r="T676" t="str">
        <f>MID('paste from garc here'!$C$2,1+(('table for research'!$B676-456)*36+HEX2DEC('table for research'!T$1))*2,2)</f>
        <v>00</v>
      </c>
      <c r="U676" t="str">
        <f>MID('paste from garc here'!$C$2,1+(('table for research'!$B676-456)*36+HEX2DEC('table for research'!U$1))*2,2)</f>
        <v>E5</v>
      </c>
      <c r="V676" t="str">
        <f>MID('paste from garc here'!$C$2,1+(('table for research'!$B676-456)*36+HEX2DEC('table for research'!V$1))*2,2)</f>
        <v>00</v>
      </c>
      <c r="W676" t="str">
        <f>MID('paste from garc here'!$C$2,1+(('table for research'!$B676-456)*36+HEX2DEC('table for research'!W$1))*2,2)</f>
        <v>00</v>
      </c>
      <c r="X676" t="str">
        <f>MID('paste from garc here'!$C$2,1+(('table for research'!$B676-456)*36+HEX2DEC('table for research'!X$1))*2,2)</f>
        <v>00</v>
      </c>
      <c r="Y676" t="str">
        <f>MID('paste from garc here'!$C$2,1+(('table for research'!$B676-456)*36+HEX2DEC('table for research'!Y$1))*2,2)</f>
        <v>00</v>
      </c>
      <c r="Z676" t="str">
        <f>MID('paste from garc here'!$C$2,1+(('table for research'!$B676-456)*36+HEX2DEC('table for research'!Z$1))*2,2)</f>
        <v>00</v>
      </c>
      <c r="AA676" t="str">
        <f>MID('paste from garc here'!$C$2,1+(('table for research'!$B676-456)*36+HEX2DEC('table for research'!AA$1))*2,2)</f>
        <v>00</v>
      </c>
      <c r="AB676" t="str">
        <f>MID('paste from garc here'!$C$2,1+(('table for research'!$B676-456)*36+HEX2DEC('table for research'!AB$1))*2,2)</f>
        <v>00</v>
      </c>
      <c r="AC676" t="str">
        <f>MID('paste from garc here'!$C$2,1+(('table for research'!$B676-456)*36+HEX2DEC('table for research'!AC$1))*2,2)</f>
        <v>00</v>
      </c>
      <c r="AD676" t="str">
        <f>MID('paste from garc here'!$C$2,1+(('table for research'!$B676-456)*36+HEX2DEC('table for research'!AD$1))*2,2)</f>
        <v>00</v>
      </c>
      <c r="AE676" t="str">
        <f>MID('paste from garc here'!$C$2,1+(('table for research'!$B676-456)*36+HEX2DEC('table for research'!AE$1))*2,2)</f>
        <v>00</v>
      </c>
      <c r="AF676" t="str">
        <f>MID('paste from garc here'!$C$2,1+(('table for research'!$B676-456)*36+HEX2DEC('table for research'!AF$1))*2,2)</f>
        <v>00</v>
      </c>
      <c r="AG676" t="str">
        <f>MID('paste from garc here'!$C$2,1+(('table for research'!$B676-456)*36+HEX2DEC('table for research'!AG$1))*2,2)</f>
        <v>00</v>
      </c>
      <c r="AH676" t="str">
        <f>MID('paste from garc here'!$C$2,1+(('table for research'!$B676-456)*36+HEX2DEC('table for research'!AH$1))*2,2)</f>
        <v>00</v>
      </c>
      <c r="AI676" t="str">
        <f>MID('paste from garc here'!$C$2,1+(('table for research'!$B676-456)*36+HEX2DEC('table for research'!AI$1))*2,2)</f>
        <v>00</v>
      </c>
      <c r="AJ676" t="str">
        <f>MID('paste from garc here'!$C$2,1+(('table for research'!$B676-456)*36+HEX2DEC('table for research'!AJ$1))*2,2)</f>
        <v>00</v>
      </c>
      <c r="AK676" t="str">
        <f>MID('paste from garc here'!$C$2,1+(('table for research'!$B676-456)*36+HEX2DEC('table for research'!AK$1))*2,2)</f>
        <v>00</v>
      </c>
      <c r="AL676" t="str">
        <f>MID('paste from garc here'!$C$2,1+(('table for research'!$B676-456)*36+HEX2DEC('table for research'!AL$1))*2,2)</f>
        <v>00</v>
      </c>
      <c r="AM676" t="str">
        <f>MID('paste from garc here'!$C$2,1+(('table for research'!$B676-456)*36+HEX2DEC('table for research'!AM$1))*2,2)</f>
        <v>00</v>
      </c>
      <c r="AN676" t="str">
        <f>MID('paste from garc here'!$C$2,1+(('table for research'!$B676-456)*36+HEX2DEC('table for research'!AN$1))*2,2)</f>
        <v>00</v>
      </c>
      <c r="AO676" t="str">
        <f>MID('paste from garc here'!$C$2,1+(('table for research'!$B676-456)*36+HEX2DEC('table for research'!AO$1))*2,2)</f>
        <v>00</v>
      </c>
    </row>
    <row r="677" spans="1:41" x14ac:dyDescent="0.4">
      <c r="A677" t="s">
        <v>676</v>
      </c>
      <c r="B677">
        <f>B676+1</f>
        <v>675</v>
      </c>
      <c r="C677" t="str">
        <f>MID('paste from garc here'!$C$2,1+(('table for research'!$B677-456)*36+HEX2DEC('table for research'!C$1))*2,2)</f>
        <v>00</v>
      </c>
      <c r="D677" t="str">
        <f>MID('paste from garc here'!$C$2,1+(('table for research'!$B677-456)*36+HEX2DEC('table for research'!D$1))*2,2)</f>
        <v>00</v>
      </c>
      <c r="E677" t="str">
        <f>MID('paste from garc here'!$C$2,1+(('table for research'!$B677-456)*36+HEX2DEC('table for research'!E$1))*2,2)</f>
        <v>00</v>
      </c>
      <c r="F677" t="str">
        <f>MID('paste from garc here'!$C$2,1+(('table for research'!$B677-456)*36+HEX2DEC('table for research'!F$1))*2,2)</f>
        <v>00</v>
      </c>
      <c r="G677" t="str">
        <f>MID('paste from garc here'!$C$2,1+(('table for research'!$B677-456)*36+HEX2DEC('table for research'!G$1))*2,2)</f>
        <v>00</v>
      </c>
      <c r="H677" t="str">
        <f>MID('paste from garc here'!$C$2,1+(('table for research'!$B677-456)*36+HEX2DEC('table for research'!H$1))*2,2)</f>
        <v>00</v>
      </c>
      <c r="I677" t="str">
        <f>MID('paste from garc here'!$C$2,1+(('table for research'!$B677-456)*36+HEX2DEC('table for research'!I$1))*2,2)</f>
        <v>50</v>
      </c>
      <c r="J677" t="str">
        <f>MID('paste from garc here'!$C$2,1+(('table for research'!$B677-456)*36+HEX2DEC('table for research'!J$1))*2,2)</f>
        <v>00</v>
      </c>
      <c r="K677" t="str">
        <f>DEC2HEX(_xlfn.BITAND(HEX2DEC(MID('paste from garc here'!$C$1,1+(('table for research'!$B677-1)*36+HEX2DEC(8))*2,2)),31),2)</f>
        <v>00</v>
      </c>
      <c r="L677" t="str">
        <f>DEC2HEX(_xlfn.BITAND(HEX2DEC(MID('paste from garc here'!$C$1,1+(('table for research'!$B677-1)*36+HEX2DEC(8))*2,2)),32),2)</f>
        <v>00</v>
      </c>
      <c r="M677" t="str">
        <f>DEC2HEX(_xlfn.BITAND(HEX2DEC(MID('paste from garc here'!$C$1,1+(('table for research'!$B677-1)*36+HEX2DEC(8))*2,2)),64),2)</f>
        <v>00</v>
      </c>
      <c r="N677" t="str">
        <f>DEC2HEX(_xlfn.BITRSHIFT(_xlfn.BITAND(HEX2DEC(MID('paste from garc here'!$C$1,1+(('table for research'!$B677-1)*36+HEX2DEC(9))*2,2)&amp;MID('paste from garc here'!$C$1,1+(('table for research'!$B677-1)*36+HEX2DEC(8))*2,2)),1920),7),2)</f>
        <v>00</v>
      </c>
      <c r="O677" t="str">
        <f>DEC2HEX(_xlfn.BITRSHIFT(HEX2DEC(MID('paste from garc here'!$C$1,1+(('table for research'!$B677-1)*36+HEX2DEC(9))*2,2)&amp;MID('paste from garc here'!$C$1,1+(('table for research'!$B677-1)*36+HEX2DEC(8))*2,2)),11),2)</f>
        <v>00</v>
      </c>
      <c r="P677" t="str">
        <f>MID('paste from garc here'!$C$2,1+(('table for research'!$B677-456)*36+HEX2DEC('table for research'!P$1))*2,2)</f>
        <v>00</v>
      </c>
      <c r="Q677" t="str">
        <f>MID('paste from garc here'!$C$2,1+(('table for research'!$B677-456)*36+HEX2DEC('table for research'!Q$1))*2,2)</f>
        <v>00</v>
      </c>
      <c r="R677" t="str">
        <f>MID('paste from garc here'!$C$2,1+(('table for research'!$B677-456)*36+HEX2DEC('table for research'!R$1))*2,2)</f>
        <v>00</v>
      </c>
      <c r="S677" t="str">
        <f>MID('paste from garc here'!$C$2,1+(('table for research'!$B677-456)*36+HEX2DEC('table for research'!S$1))*2,2)</f>
        <v>01</v>
      </c>
      <c r="T677" t="str">
        <f>MID('paste from garc here'!$C$2,1+(('table for research'!$B677-456)*36+HEX2DEC('table for research'!T$1))*2,2)</f>
        <v>00</v>
      </c>
      <c r="U677" t="str">
        <f>MID('paste from garc here'!$C$2,1+(('table for research'!$B677-456)*36+HEX2DEC('table for research'!U$1))*2,2)</f>
        <v>C4</v>
      </c>
      <c r="V677" t="str">
        <f>MID('paste from garc here'!$C$2,1+(('table for research'!$B677-456)*36+HEX2DEC('table for research'!V$1))*2,2)</f>
        <v>00</v>
      </c>
      <c r="W677" t="str">
        <f>MID('paste from garc here'!$C$2,1+(('table for research'!$B677-456)*36+HEX2DEC('table for research'!W$1))*2,2)</f>
        <v>00</v>
      </c>
      <c r="X677" t="str">
        <f>MID('paste from garc here'!$C$2,1+(('table for research'!$B677-456)*36+HEX2DEC('table for research'!X$1))*2,2)</f>
        <v>00</v>
      </c>
      <c r="Y677" t="str">
        <f>MID('paste from garc here'!$C$2,1+(('table for research'!$B677-456)*36+HEX2DEC('table for research'!Y$1))*2,2)</f>
        <v>00</v>
      </c>
      <c r="Z677" t="str">
        <f>MID('paste from garc here'!$C$2,1+(('table for research'!$B677-456)*36+HEX2DEC('table for research'!Z$1))*2,2)</f>
        <v>00</v>
      </c>
      <c r="AA677" t="str">
        <f>MID('paste from garc here'!$C$2,1+(('table for research'!$B677-456)*36+HEX2DEC('table for research'!AA$1))*2,2)</f>
        <v>00</v>
      </c>
      <c r="AB677" t="str">
        <f>MID('paste from garc here'!$C$2,1+(('table for research'!$B677-456)*36+HEX2DEC('table for research'!AB$1))*2,2)</f>
        <v>00</v>
      </c>
      <c r="AC677" t="str">
        <f>MID('paste from garc here'!$C$2,1+(('table for research'!$B677-456)*36+HEX2DEC('table for research'!AC$1))*2,2)</f>
        <v>00</v>
      </c>
      <c r="AD677" t="str">
        <f>MID('paste from garc here'!$C$2,1+(('table for research'!$B677-456)*36+HEX2DEC('table for research'!AD$1))*2,2)</f>
        <v>00</v>
      </c>
      <c r="AE677" t="str">
        <f>MID('paste from garc here'!$C$2,1+(('table for research'!$B677-456)*36+HEX2DEC('table for research'!AE$1))*2,2)</f>
        <v>00</v>
      </c>
      <c r="AF677" t="str">
        <f>MID('paste from garc here'!$C$2,1+(('table for research'!$B677-456)*36+HEX2DEC('table for research'!AF$1))*2,2)</f>
        <v>00</v>
      </c>
      <c r="AG677" t="str">
        <f>MID('paste from garc here'!$C$2,1+(('table for research'!$B677-456)*36+HEX2DEC('table for research'!AG$1))*2,2)</f>
        <v>00</v>
      </c>
      <c r="AH677" t="str">
        <f>MID('paste from garc here'!$C$2,1+(('table for research'!$B677-456)*36+HEX2DEC('table for research'!AH$1))*2,2)</f>
        <v>00</v>
      </c>
      <c r="AI677" t="str">
        <f>MID('paste from garc here'!$C$2,1+(('table for research'!$B677-456)*36+HEX2DEC('table for research'!AI$1))*2,2)</f>
        <v>00</v>
      </c>
      <c r="AJ677" t="str">
        <f>MID('paste from garc here'!$C$2,1+(('table for research'!$B677-456)*36+HEX2DEC('table for research'!AJ$1))*2,2)</f>
        <v>00</v>
      </c>
      <c r="AK677" t="str">
        <f>MID('paste from garc here'!$C$2,1+(('table for research'!$B677-456)*36+HEX2DEC('table for research'!AK$1))*2,2)</f>
        <v>00</v>
      </c>
      <c r="AL677" t="str">
        <f>MID('paste from garc here'!$C$2,1+(('table for research'!$B677-456)*36+HEX2DEC('table for research'!AL$1))*2,2)</f>
        <v>00</v>
      </c>
      <c r="AM677" t="str">
        <f>MID('paste from garc here'!$C$2,1+(('table for research'!$B677-456)*36+HEX2DEC('table for research'!AM$1))*2,2)</f>
        <v>00</v>
      </c>
      <c r="AN677" t="str">
        <f>MID('paste from garc here'!$C$2,1+(('table for research'!$B677-456)*36+HEX2DEC('table for research'!AN$1))*2,2)</f>
        <v>00</v>
      </c>
      <c r="AO677" t="str">
        <f>MID('paste from garc here'!$C$2,1+(('table for research'!$B677-456)*36+HEX2DEC('table for research'!AO$1))*2,2)</f>
        <v>00</v>
      </c>
    </row>
    <row r="678" spans="1:41" x14ac:dyDescent="0.4">
      <c r="A678" t="s">
        <v>677</v>
      </c>
      <c r="B678">
        <f>B677+1</f>
        <v>676</v>
      </c>
      <c r="C678" t="str">
        <f>MID('paste from garc here'!$C$2,1+(('table for research'!$B678-456)*36+HEX2DEC('table for research'!C$1))*2,2)</f>
        <v>00</v>
      </c>
      <c r="D678" t="str">
        <f>MID('paste from garc here'!$C$2,1+(('table for research'!$B678-456)*36+HEX2DEC('table for research'!D$1))*2,2)</f>
        <v>00</v>
      </c>
      <c r="E678" t="str">
        <f>MID('paste from garc here'!$C$2,1+(('table for research'!$B678-456)*36+HEX2DEC('table for research'!E$1))*2,2)</f>
        <v>00</v>
      </c>
      <c r="F678" t="str">
        <f>MID('paste from garc here'!$C$2,1+(('table for research'!$B678-456)*36+HEX2DEC('table for research'!F$1))*2,2)</f>
        <v>00</v>
      </c>
      <c r="G678" t="str">
        <f>MID('paste from garc here'!$C$2,1+(('table for research'!$B678-456)*36+HEX2DEC('table for research'!G$1))*2,2)</f>
        <v>00</v>
      </c>
      <c r="H678" t="str">
        <f>MID('paste from garc here'!$C$2,1+(('table for research'!$B678-456)*36+HEX2DEC('table for research'!H$1))*2,2)</f>
        <v>00</v>
      </c>
      <c r="I678" t="str">
        <f>MID('paste from garc here'!$C$2,1+(('table for research'!$B678-456)*36+HEX2DEC('table for research'!I$1))*2,2)</f>
        <v>50</v>
      </c>
      <c r="J678" t="str">
        <f>MID('paste from garc here'!$C$2,1+(('table for research'!$B678-456)*36+HEX2DEC('table for research'!J$1))*2,2)</f>
        <v>00</v>
      </c>
      <c r="K678" t="str">
        <f>DEC2HEX(_xlfn.BITAND(HEX2DEC(MID('paste from garc here'!$C$1,1+(('table for research'!$B678-1)*36+HEX2DEC(8))*2,2)),31),2)</f>
        <v>00</v>
      </c>
      <c r="L678" t="str">
        <f>DEC2HEX(_xlfn.BITAND(HEX2DEC(MID('paste from garc here'!$C$1,1+(('table for research'!$B678-1)*36+HEX2DEC(8))*2,2)),32),2)</f>
        <v>00</v>
      </c>
      <c r="M678" t="str">
        <f>DEC2HEX(_xlfn.BITAND(HEX2DEC(MID('paste from garc here'!$C$1,1+(('table for research'!$B678-1)*36+HEX2DEC(8))*2,2)),64),2)</f>
        <v>00</v>
      </c>
      <c r="N678" t="str">
        <f>DEC2HEX(_xlfn.BITRSHIFT(_xlfn.BITAND(HEX2DEC(MID('paste from garc here'!$C$1,1+(('table for research'!$B678-1)*36+HEX2DEC(9))*2,2)&amp;MID('paste from garc here'!$C$1,1+(('table for research'!$B678-1)*36+HEX2DEC(8))*2,2)),1920),7),2)</f>
        <v>00</v>
      </c>
      <c r="O678" t="str">
        <f>DEC2HEX(_xlfn.BITRSHIFT(HEX2DEC(MID('paste from garc here'!$C$1,1+(('table for research'!$B678-1)*36+HEX2DEC(9))*2,2)&amp;MID('paste from garc here'!$C$1,1+(('table for research'!$B678-1)*36+HEX2DEC(8))*2,2)),11),2)</f>
        <v>00</v>
      </c>
      <c r="P678" t="str">
        <f>MID('paste from garc here'!$C$2,1+(('table for research'!$B678-456)*36+HEX2DEC('table for research'!P$1))*2,2)</f>
        <v>00</v>
      </c>
      <c r="Q678" t="str">
        <f>MID('paste from garc here'!$C$2,1+(('table for research'!$B678-456)*36+HEX2DEC('table for research'!Q$1))*2,2)</f>
        <v>00</v>
      </c>
      <c r="R678" t="str">
        <f>MID('paste from garc here'!$C$2,1+(('table for research'!$B678-456)*36+HEX2DEC('table for research'!R$1))*2,2)</f>
        <v>00</v>
      </c>
      <c r="S678" t="str">
        <f>MID('paste from garc here'!$C$2,1+(('table for research'!$B678-456)*36+HEX2DEC('table for research'!S$1))*2,2)</f>
        <v>01</v>
      </c>
      <c r="T678" t="str">
        <f>MID('paste from garc here'!$C$2,1+(('table for research'!$B678-456)*36+HEX2DEC('table for research'!T$1))*2,2)</f>
        <v>00</v>
      </c>
      <c r="U678" t="str">
        <f>MID('paste from garc here'!$C$2,1+(('table for research'!$B678-456)*36+HEX2DEC('table for research'!U$1))*2,2)</f>
        <v>C5</v>
      </c>
      <c r="V678" t="str">
        <f>MID('paste from garc here'!$C$2,1+(('table for research'!$B678-456)*36+HEX2DEC('table for research'!V$1))*2,2)</f>
        <v>00</v>
      </c>
      <c r="W678" t="str">
        <f>MID('paste from garc here'!$C$2,1+(('table for research'!$B678-456)*36+HEX2DEC('table for research'!W$1))*2,2)</f>
        <v>00</v>
      </c>
      <c r="X678" t="str">
        <f>MID('paste from garc here'!$C$2,1+(('table for research'!$B678-456)*36+HEX2DEC('table for research'!X$1))*2,2)</f>
        <v>00</v>
      </c>
      <c r="Y678" t="str">
        <f>MID('paste from garc here'!$C$2,1+(('table for research'!$B678-456)*36+HEX2DEC('table for research'!Y$1))*2,2)</f>
        <v>00</v>
      </c>
      <c r="Z678" t="str">
        <f>MID('paste from garc here'!$C$2,1+(('table for research'!$B678-456)*36+HEX2DEC('table for research'!Z$1))*2,2)</f>
        <v>00</v>
      </c>
      <c r="AA678" t="str">
        <f>MID('paste from garc here'!$C$2,1+(('table for research'!$B678-456)*36+HEX2DEC('table for research'!AA$1))*2,2)</f>
        <v>00</v>
      </c>
      <c r="AB678" t="str">
        <f>MID('paste from garc here'!$C$2,1+(('table for research'!$B678-456)*36+HEX2DEC('table for research'!AB$1))*2,2)</f>
        <v>00</v>
      </c>
      <c r="AC678" t="str">
        <f>MID('paste from garc here'!$C$2,1+(('table for research'!$B678-456)*36+HEX2DEC('table for research'!AC$1))*2,2)</f>
        <v>00</v>
      </c>
      <c r="AD678" t="str">
        <f>MID('paste from garc here'!$C$2,1+(('table for research'!$B678-456)*36+HEX2DEC('table for research'!AD$1))*2,2)</f>
        <v>00</v>
      </c>
      <c r="AE678" t="str">
        <f>MID('paste from garc here'!$C$2,1+(('table for research'!$B678-456)*36+HEX2DEC('table for research'!AE$1))*2,2)</f>
        <v>00</v>
      </c>
      <c r="AF678" t="str">
        <f>MID('paste from garc here'!$C$2,1+(('table for research'!$B678-456)*36+HEX2DEC('table for research'!AF$1))*2,2)</f>
        <v>00</v>
      </c>
      <c r="AG678" t="str">
        <f>MID('paste from garc here'!$C$2,1+(('table for research'!$B678-456)*36+HEX2DEC('table for research'!AG$1))*2,2)</f>
        <v>00</v>
      </c>
      <c r="AH678" t="str">
        <f>MID('paste from garc here'!$C$2,1+(('table for research'!$B678-456)*36+HEX2DEC('table for research'!AH$1))*2,2)</f>
        <v>00</v>
      </c>
      <c r="AI678" t="str">
        <f>MID('paste from garc here'!$C$2,1+(('table for research'!$B678-456)*36+HEX2DEC('table for research'!AI$1))*2,2)</f>
        <v>00</v>
      </c>
      <c r="AJ678" t="str">
        <f>MID('paste from garc here'!$C$2,1+(('table for research'!$B678-456)*36+HEX2DEC('table for research'!AJ$1))*2,2)</f>
        <v>00</v>
      </c>
      <c r="AK678" t="str">
        <f>MID('paste from garc here'!$C$2,1+(('table for research'!$B678-456)*36+HEX2DEC('table for research'!AK$1))*2,2)</f>
        <v>00</v>
      </c>
      <c r="AL678" t="str">
        <f>MID('paste from garc here'!$C$2,1+(('table for research'!$B678-456)*36+HEX2DEC('table for research'!AL$1))*2,2)</f>
        <v>00</v>
      </c>
      <c r="AM678" t="str">
        <f>MID('paste from garc here'!$C$2,1+(('table for research'!$B678-456)*36+HEX2DEC('table for research'!AM$1))*2,2)</f>
        <v>00</v>
      </c>
      <c r="AN678" t="str">
        <f>MID('paste from garc here'!$C$2,1+(('table for research'!$B678-456)*36+HEX2DEC('table for research'!AN$1))*2,2)</f>
        <v>00</v>
      </c>
      <c r="AO678" t="str">
        <f>MID('paste from garc here'!$C$2,1+(('table for research'!$B678-456)*36+HEX2DEC('table for research'!AO$1))*2,2)</f>
        <v>00</v>
      </c>
    </row>
    <row r="679" spans="1:41" x14ac:dyDescent="0.4">
      <c r="A679" t="s">
        <v>678</v>
      </c>
      <c r="B679">
        <f>B678+1</f>
        <v>677</v>
      </c>
      <c r="C679" t="str">
        <f>MID('paste from garc here'!$C$2,1+(('table for research'!$B679-456)*36+HEX2DEC('table for research'!C$1))*2,2)</f>
        <v>00</v>
      </c>
      <c r="D679" t="str">
        <f>MID('paste from garc here'!$C$2,1+(('table for research'!$B679-456)*36+HEX2DEC('table for research'!D$1))*2,2)</f>
        <v>00</v>
      </c>
      <c r="E679" t="str">
        <f>MID('paste from garc here'!$C$2,1+(('table for research'!$B679-456)*36+HEX2DEC('table for research'!E$1))*2,2)</f>
        <v>00</v>
      </c>
      <c r="F679" t="str">
        <f>MID('paste from garc here'!$C$2,1+(('table for research'!$B679-456)*36+HEX2DEC('table for research'!F$1))*2,2)</f>
        <v>00</v>
      </c>
      <c r="G679" t="str">
        <f>MID('paste from garc here'!$C$2,1+(('table for research'!$B679-456)*36+HEX2DEC('table for research'!G$1))*2,2)</f>
        <v>00</v>
      </c>
      <c r="H679" t="str">
        <f>MID('paste from garc here'!$C$2,1+(('table for research'!$B679-456)*36+HEX2DEC('table for research'!H$1))*2,2)</f>
        <v>00</v>
      </c>
      <c r="I679" t="str">
        <f>MID('paste from garc here'!$C$2,1+(('table for research'!$B679-456)*36+HEX2DEC('table for research'!I$1))*2,2)</f>
        <v>50</v>
      </c>
      <c r="J679" t="str">
        <f>MID('paste from garc here'!$C$2,1+(('table for research'!$B679-456)*36+HEX2DEC('table for research'!J$1))*2,2)</f>
        <v>00</v>
      </c>
      <c r="K679" t="str">
        <f>DEC2HEX(_xlfn.BITAND(HEX2DEC(MID('paste from garc here'!$C$1,1+(('table for research'!$B679-1)*36+HEX2DEC(8))*2,2)),31),2)</f>
        <v>00</v>
      </c>
      <c r="L679" t="str">
        <f>DEC2HEX(_xlfn.BITAND(HEX2DEC(MID('paste from garc here'!$C$1,1+(('table for research'!$B679-1)*36+HEX2DEC(8))*2,2)),32),2)</f>
        <v>00</v>
      </c>
      <c r="M679" t="str">
        <f>DEC2HEX(_xlfn.BITAND(HEX2DEC(MID('paste from garc here'!$C$1,1+(('table for research'!$B679-1)*36+HEX2DEC(8))*2,2)),64),2)</f>
        <v>00</v>
      </c>
      <c r="N679" t="str">
        <f>DEC2HEX(_xlfn.BITRSHIFT(_xlfn.BITAND(HEX2DEC(MID('paste from garc here'!$C$1,1+(('table for research'!$B679-1)*36+HEX2DEC(9))*2,2)&amp;MID('paste from garc here'!$C$1,1+(('table for research'!$B679-1)*36+HEX2DEC(8))*2,2)),1920),7),2)</f>
        <v>00</v>
      </c>
      <c r="O679" t="str">
        <f>DEC2HEX(_xlfn.BITRSHIFT(HEX2DEC(MID('paste from garc here'!$C$1,1+(('table for research'!$B679-1)*36+HEX2DEC(9))*2,2)&amp;MID('paste from garc here'!$C$1,1+(('table for research'!$B679-1)*36+HEX2DEC(8))*2,2)),11),2)</f>
        <v>00</v>
      </c>
      <c r="P679" t="str">
        <f>MID('paste from garc here'!$C$2,1+(('table for research'!$B679-456)*36+HEX2DEC('table for research'!P$1))*2,2)</f>
        <v>00</v>
      </c>
      <c r="Q679" t="str">
        <f>MID('paste from garc here'!$C$2,1+(('table for research'!$B679-456)*36+HEX2DEC('table for research'!Q$1))*2,2)</f>
        <v>00</v>
      </c>
      <c r="R679" t="str">
        <f>MID('paste from garc here'!$C$2,1+(('table for research'!$B679-456)*36+HEX2DEC('table for research'!R$1))*2,2)</f>
        <v>00</v>
      </c>
      <c r="S679" t="str">
        <f>MID('paste from garc here'!$C$2,1+(('table for research'!$B679-456)*36+HEX2DEC('table for research'!S$1))*2,2)</f>
        <v>01</v>
      </c>
      <c r="T679" t="str">
        <f>MID('paste from garc here'!$C$2,1+(('table for research'!$B679-456)*36+HEX2DEC('table for research'!T$1))*2,2)</f>
        <v>00</v>
      </c>
      <c r="U679" t="str">
        <f>MID('paste from garc here'!$C$2,1+(('table for research'!$B679-456)*36+HEX2DEC('table for research'!U$1))*2,2)</f>
        <v>BE</v>
      </c>
      <c r="V679" t="str">
        <f>MID('paste from garc here'!$C$2,1+(('table for research'!$B679-456)*36+HEX2DEC('table for research'!V$1))*2,2)</f>
        <v>00</v>
      </c>
      <c r="W679" t="str">
        <f>MID('paste from garc here'!$C$2,1+(('table for research'!$B679-456)*36+HEX2DEC('table for research'!W$1))*2,2)</f>
        <v>00</v>
      </c>
      <c r="X679" t="str">
        <f>MID('paste from garc here'!$C$2,1+(('table for research'!$B679-456)*36+HEX2DEC('table for research'!X$1))*2,2)</f>
        <v>00</v>
      </c>
      <c r="Y679" t="str">
        <f>MID('paste from garc here'!$C$2,1+(('table for research'!$B679-456)*36+HEX2DEC('table for research'!Y$1))*2,2)</f>
        <v>00</v>
      </c>
      <c r="Z679" t="str">
        <f>MID('paste from garc here'!$C$2,1+(('table for research'!$B679-456)*36+HEX2DEC('table for research'!Z$1))*2,2)</f>
        <v>00</v>
      </c>
      <c r="AA679" t="str">
        <f>MID('paste from garc here'!$C$2,1+(('table for research'!$B679-456)*36+HEX2DEC('table for research'!AA$1))*2,2)</f>
        <v>00</v>
      </c>
      <c r="AB679" t="str">
        <f>MID('paste from garc here'!$C$2,1+(('table for research'!$B679-456)*36+HEX2DEC('table for research'!AB$1))*2,2)</f>
        <v>00</v>
      </c>
      <c r="AC679" t="str">
        <f>MID('paste from garc here'!$C$2,1+(('table for research'!$B679-456)*36+HEX2DEC('table for research'!AC$1))*2,2)</f>
        <v>00</v>
      </c>
      <c r="AD679" t="str">
        <f>MID('paste from garc here'!$C$2,1+(('table for research'!$B679-456)*36+HEX2DEC('table for research'!AD$1))*2,2)</f>
        <v>00</v>
      </c>
      <c r="AE679" t="str">
        <f>MID('paste from garc here'!$C$2,1+(('table for research'!$B679-456)*36+HEX2DEC('table for research'!AE$1))*2,2)</f>
        <v>00</v>
      </c>
      <c r="AF679" t="str">
        <f>MID('paste from garc here'!$C$2,1+(('table for research'!$B679-456)*36+HEX2DEC('table for research'!AF$1))*2,2)</f>
        <v>00</v>
      </c>
      <c r="AG679" t="str">
        <f>MID('paste from garc here'!$C$2,1+(('table for research'!$B679-456)*36+HEX2DEC('table for research'!AG$1))*2,2)</f>
        <v>00</v>
      </c>
      <c r="AH679" t="str">
        <f>MID('paste from garc here'!$C$2,1+(('table for research'!$B679-456)*36+HEX2DEC('table for research'!AH$1))*2,2)</f>
        <v>00</v>
      </c>
      <c r="AI679" t="str">
        <f>MID('paste from garc here'!$C$2,1+(('table for research'!$B679-456)*36+HEX2DEC('table for research'!AI$1))*2,2)</f>
        <v>00</v>
      </c>
      <c r="AJ679" t="str">
        <f>MID('paste from garc here'!$C$2,1+(('table for research'!$B679-456)*36+HEX2DEC('table for research'!AJ$1))*2,2)</f>
        <v>00</v>
      </c>
      <c r="AK679" t="str">
        <f>MID('paste from garc here'!$C$2,1+(('table for research'!$B679-456)*36+HEX2DEC('table for research'!AK$1))*2,2)</f>
        <v>00</v>
      </c>
      <c r="AL679" t="str">
        <f>MID('paste from garc here'!$C$2,1+(('table for research'!$B679-456)*36+HEX2DEC('table for research'!AL$1))*2,2)</f>
        <v>00</v>
      </c>
      <c r="AM679" t="str">
        <f>MID('paste from garc here'!$C$2,1+(('table for research'!$B679-456)*36+HEX2DEC('table for research'!AM$1))*2,2)</f>
        <v>00</v>
      </c>
      <c r="AN679" t="str">
        <f>MID('paste from garc here'!$C$2,1+(('table for research'!$B679-456)*36+HEX2DEC('table for research'!AN$1))*2,2)</f>
        <v>00</v>
      </c>
      <c r="AO679" t="str">
        <f>MID('paste from garc here'!$C$2,1+(('table for research'!$B679-456)*36+HEX2DEC('table for research'!AO$1))*2,2)</f>
        <v>00</v>
      </c>
    </row>
    <row r="680" spans="1:41" x14ac:dyDescent="0.4">
      <c r="A680" t="s">
        <v>679</v>
      </c>
      <c r="B680">
        <f>B679+1</f>
        <v>678</v>
      </c>
      <c r="C680" t="str">
        <f>MID('paste from garc here'!$C$2,1+(('table for research'!$B680-456)*36+HEX2DEC('table for research'!C$1))*2,2)</f>
        <v>00</v>
      </c>
      <c r="D680" t="str">
        <f>MID('paste from garc here'!$C$2,1+(('table for research'!$B680-456)*36+HEX2DEC('table for research'!D$1))*2,2)</f>
        <v>00</v>
      </c>
      <c r="E680" t="str">
        <f>MID('paste from garc here'!$C$2,1+(('table for research'!$B680-456)*36+HEX2DEC('table for research'!E$1))*2,2)</f>
        <v>00</v>
      </c>
      <c r="F680" t="str">
        <f>MID('paste from garc here'!$C$2,1+(('table for research'!$B680-456)*36+HEX2DEC('table for research'!F$1))*2,2)</f>
        <v>00</v>
      </c>
      <c r="G680" t="str">
        <f>MID('paste from garc here'!$C$2,1+(('table for research'!$B680-456)*36+HEX2DEC('table for research'!G$1))*2,2)</f>
        <v>00</v>
      </c>
      <c r="H680" t="str">
        <f>MID('paste from garc here'!$C$2,1+(('table for research'!$B680-456)*36+HEX2DEC('table for research'!H$1))*2,2)</f>
        <v>00</v>
      </c>
      <c r="I680" t="str">
        <f>MID('paste from garc here'!$C$2,1+(('table for research'!$B680-456)*36+HEX2DEC('table for research'!I$1))*2,2)</f>
        <v>50</v>
      </c>
      <c r="J680" t="str">
        <f>MID('paste from garc here'!$C$2,1+(('table for research'!$B680-456)*36+HEX2DEC('table for research'!J$1))*2,2)</f>
        <v>00</v>
      </c>
      <c r="K680" t="str">
        <f>DEC2HEX(_xlfn.BITAND(HEX2DEC(MID('paste from garc here'!$C$1,1+(('table for research'!$B680-1)*36+HEX2DEC(8))*2,2)),31),2)</f>
        <v>00</v>
      </c>
      <c r="L680" t="str">
        <f>DEC2HEX(_xlfn.BITAND(HEX2DEC(MID('paste from garc here'!$C$1,1+(('table for research'!$B680-1)*36+HEX2DEC(8))*2,2)),32),2)</f>
        <v>00</v>
      </c>
      <c r="M680" t="str">
        <f>DEC2HEX(_xlfn.BITAND(HEX2DEC(MID('paste from garc here'!$C$1,1+(('table for research'!$B680-1)*36+HEX2DEC(8))*2,2)),64),2)</f>
        <v>00</v>
      </c>
      <c r="N680" t="str">
        <f>DEC2HEX(_xlfn.BITRSHIFT(_xlfn.BITAND(HEX2DEC(MID('paste from garc here'!$C$1,1+(('table for research'!$B680-1)*36+HEX2DEC(9))*2,2)&amp;MID('paste from garc here'!$C$1,1+(('table for research'!$B680-1)*36+HEX2DEC(8))*2,2)),1920),7),2)</f>
        <v>00</v>
      </c>
      <c r="O680" t="str">
        <f>DEC2HEX(_xlfn.BITRSHIFT(HEX2DEC(MID('paste from garc here'!$C$1,1+(('table for research'!$B680-1)*36+HEX2DEC(9))*2,2)&amp;MID('paste from garc here'!$C$1,1+(('table for research'!$B680-1)*36+HEX2DEC(8))*2,2)),11),2)</f>
        <v>00</v>
      </c>
      <c r="P680" t="str">
        <f>MID('paste from garc here'!$C$2,1+(('table for research'!$B680-456)*36+HEX2DEC('table for research'!P$1))*2,2)</f>
        <v>00</v>
      </c>
      <c r="Q680" t="str">
        <f>MID('paste from garc here'!$C$2,1+(('table for research'!$B680-456)*36+HEX2DEC('table for research'!Q$1))*2,2)</f>
        <v>00</v>
      </c>
      <c r="R680" t="str">
        <f>MID('paste from garc here'!$C$2,1+(('table for research'!$B680-456)*36+HEX2DEC('table for research'!R$1))*2,2)</f>
        <v>00</v>
      </c>
      <c r="S680" t="str">
        <f>MID('paste from garc here'!$C$2,1+(('table for research'!$B680-456)*36+HEX2DEC('table for research'!S$1))*2,2)</f>
        <v>01</v>
      </c>
      <c r="T680" t="str">
        <f>MID('paste from garc here'!$C$2,1+(('table for research'!$B680-456)*36+HEX2DEC('table for research'!T$1))*2,2)</f>
        <v>00</v>
      </c>
      <c r="U680" t="str">
        <f>MID('paste from garc here'!$C$2,1+(('table for research'!$B680-456)*36+HEX2DEC('table for research'!U$1))*2,2)</f>
        <v>EB</v>
      </c>
      <c r="V680" t="str">
        <f>MID('paste from garc here'!$C$2,1+(('table for research'!$B680-456)*36+HEX2DEC('table for research'!V$1))*2,2)</f>
        <v>00</v>
      </c>
      <c r="W680" t="str">
        <f>MID('paste from garc here'!$C$2,1+(('table for research'!$B680-456)*36+HEX2DEC('table for research'!W$1))*2,2)</f>
        <v>00</v>
      </c>
      <c r="X680" t="str">
        <f>MID('paste from garc here'!$C$2,1+(('table for research'!$B680-456)*36+HEX2DEC('table for research'!X$1))*2,2)</f>
        <v>00</v>
      </c>
      <c r="Y680" t="str">
        <f>MID('paste from garc here'!$C$2,1+(('table for research'!$B680-456)*36+HEX2DEC('table for research'!Y$1))*2,2)</f>
        <v>00</v>
      </c>
      <c r="Z680" t="str">
        <f>MID('paste from garc here'!$C$2,1+(('table for research'!$B680-456)*36+HEX2DEC('table for research'!Z$1))*2,2)</f>
        <v>00</v>
      </c>
      <c r="AA680" t="str">
        <f>MID('paste from garc here'!$C$2,1+(('table for research'!$B680-456)*36+HEX2DEC('table for research'!AA$1))*2,2)</f>
        <v>00</v>
      </c>
      <c r="AB680" t="str">
        <f>MID('paste from garc here'!$C$2,1+(('table for research'!$B680-456)*36+HEX2DEC('table for research'!AB$1))*2,2)</f>
        <v>00</v>
      </c>
      <c r="AC680" t="str">
        <f>MID('paste from garc here'!$C$2,1+(('table for research'!$B680-456)*36+HEX2DEC('table for research'!AC$1))*2,2)</f>
        <v>00</v>
      </c>
      <c r="AD680" t="str">
        <f>MID('paste from garc here'!$C$2,1+(('table for research'!$B680-456)*36+HEX2DEC('table for research'!AD$1))*2,2)</f>
        <v>00</v>
      </c>
      <c r="AE680" t="str">
        <f>MID('paste from garc here'!$C$2,1+(('table for research'!$B680-456)*36+HEX2DEC('table for research'!AE$1))*2,2)</f>
        <v>00</v>
      </c>
      <c r="AF680" t="str">
        <f>MID('paste from garc here'!$C$2,1+(('table for research'!$B680-456)*36+HEX2DEC('table for research'!AF$1))*2,2)</f>
        <v>00</v>
      </c>
      <c r="AG680" t="str">
        <f>MID('paste from garc here'!$C$2,1+(('table for research'!$B680-456)*36+HEX2DEC('table for research'!AG$1))*2,2)</f>
        <v>00</v>
      </c>
      <c r="AH680" t="str">
        <f>MID('paste from garc here'!$C$2,1+(('table for research'!$B680-456)*36+HEX2DEC('table for research'!AH$1))*2,2)</f>
        <v>00</v>
      </c>
      <c r="AI680" t="str">
        <f>MID('paste from garc here'!$C$2,1+(('table for research'!$B680-456)*36+HEX2DEC('table for research'!AI$1))*2,2)</f>
        <v>00</v>
      </c>
      <c r="AJ680" t="str">
        <f>MID('paste from garc here'!$C$2,1+(('table for research'!$B680-456)*36+HEX2DEC('table for research'!AJ$1))*2,2)</f>
        <v>00</v>
      </c>
      <c r="AK680" t="str">
        <f>MID('paste from garc here'!$C$2,1+(('table for research'!$B680-456)*36+HEX2DEC('table for research'!AK$1))*2,2)</f>
        <v>00</v>
      </c>
      <c r="AL680" t="str">
        <f>MID('paste from garc here'!$C$2,1+(('table for research'!$B680-456)*36+HEX2DEC('table for research'!AL$1))*2,2)</f>
        <v>00</v>
      </c>
      <c r="AM680" t="str">
        <f>MID('paste from garc here'!$C$2,1+(('table for research'!$B680-456)*36+HEX2DEC('table for research'!AM$1))*2,2)</f>
        <v>00</v>
      </c>
      <c r="AN680" t="str">
        <f>MID('paste from garc here'!$C$2,1+(('table for research'!$B680-456)*36+HEX2DEC('table for research'!AN$1))*2,2)</f>
        <v>00</v>
      </c>
      <c r="AO680" t="str">
        <f>MID('paste from garc here'!$C$2,1+(('table for research'!$B680-456)*36+HEX2DEC('table for research'!AO$1))*2,2)</f>
        <v>00</v>
      </c>
    </row>
    <row r="681" spans="1:41" x14ac:dyDescent="0.4">
      <c r="A681" t="s">
        <v>680</v>
      </c>
      <c r="B681">
        <f>B680+1</f>
        <v>679</v>
      </c>
      <c r="C681" t="str">
        <f>MID('paste from garc here'!$C$2,1+(('table for research'!$B681-456)*36+HEX2DEC('table for research'!C$1))*2,2)</f>
        <v>00</v>
      </c>
      <c r="D681" t="str">
        <f>MID('paste from garc here'!$C$2,1+(('table for research'!$B681-456)*36+HEX2DEC('table for research'!D$1))*2,2)</f>
        <v>00</v>
      </c>
      <c r="E681" t="str">
        <f>MID('paste from garc here'!$C$2,1+(('table for research'!$B681-456)*36+HEX2DEC('table for research'!E$1))*2,2)</f>
        <v>00</v>
      </c>
      <c r="F681" t="str">
        <f>MID('paste from garc here'!$C$2,1+(('table for research'!$B681-456)*36+HEX2DEC('table for research'!F$1))*2,2)</f>
        <v>00</v>
      </c>
      <c r="G681" t="str">
        <f>MID('paste from garc here'!$C$2,1+(('table for research'!$B681-456)*36+HEX2DEC('table for research'!G$1))*2,2)</f>
        <v>00</v>
      </c>
      <c r="H681" t="str">
        <f>MID('paste from garc here'!$C$2,1+(('table for research'!$B681-456)*36+HEX2DEC('table for research'!H$1))*2,2)</f>
        <v>00</v>
      </c>
      <c r="I681" t="str">
        <f>MID('paste from garc here'!$C$2,1+(('table for research'!$B681-456)*36+HEX2DEC('table for research'!I$1))*2,2)</f>
        <v>50</v>
      </c>
      <c r="J681" t="str">
        <f>MID('paste from garc here'!$C$2,1+(('table for research'!$B681-456)*36+HEX2DEC('table for research'!J$1))*2,2)</f>
        <v>00</v>
      </c>
      <c r="K681" t="str">
        <f>DEC2HEX(_xlfn.BITAND(HEX2DEC(MID('paste from garc here'!$C$1,1+(('table for research'!$B681-1)*36+HEX2DEC(8))*2,2)),31),2)</f>
        <v>00</v>
      </c>
      <c r="L681" t="str">
        <f>DEC2HEX(_xlfn.BITAND(HEX2DEC(MID('paste from garc here'!$C$1,1+(('table for research'!$B681-1)*36+HEX2DEC(8))*2,2)),32),2)</f>
        <v>00</v>
      </c>
      <c r="M681" t="str">
        <f>DEC2HEX(_xlfn.BITAND(HEX2DEC(MID('paste from garc here'!$C$1,1+(('table for research'!$B681-1)*36+HEX2DEC(8))*2,2)),64),2)</f>
        <v>00</v>
      </c>
      <c r="N681" t="str">
        <f>DEC2HEX(_xlfn.BITRSHIFT(_xlfn.BITAND(HEX2DEC(MID('paste from garc here'!$C$1,1+(('table for research'!$B681-1)*36+HEX2DEC(9))*2,2)&amp;MID('paste from garc here'!$C$1,1+(('table for research'!$B681-1)*36+HEX2DEC(8))*2,2)),1920),7),2)</f>
        <v>00</v>
      </c>
      <c r="O681" t="str">
        <f>DEC2HEX(_xlfn.BITRSHIFT(HEX2DEC(MID('paste from garc here'!$C$1,1+(('table for research'!$B681-1)*36+HEX2DEC(9))*2,2)&amp;MID('paste from garc here'!$C$1,1+(('table for research'!$B681-1)*36+HEX2DEC(8))*2,2)),11),2)</f>
        <v>00</v>
      </c>
      <c r="P681" t="str">
        <f>MID('paste from garc here'!$C$2,1+(('table for research'!$B681-456)*36+HEX2DEC('table for research'!P$1))*2,2)</f>
        <v>00</v>
      </c>
      <c r="Q681" t="str">
        <f>MID('paste from garc here'!$C$2,1+(('table for research'!$B681-456)*36+HEX2DEC('table for research'!Q$1))*2,2)</f>
        <v>00</v>
      </c>
      <c r="R681" t="str">
        <f>MID('paste from garc here'!$C$2,1+(('table for research'!$B681-456)*36+HEX2DEC('table for research'!R$1))*2,2)</f>
        <v>00</v>
      </c>
      <c r="S681" t="str">
        <f>MID('paste from garc here'!$C$2,1+(('table for research'!$B681-456)*36+HEX2DEC('table for research'!S$1))*2,2)</f>
        <v>01</v>
      </c>
      <c r="T681" t="str">
        <f>MID('paste from garc here'!$C$2,1+(('table for research'!$B681-456)*36+HEX2DEC('table for research'!T$1))*2,2)</f>
        <v>00</v>
      </c>
      <c r="U681" t="str">
        <f>MID('paste from garc here'!$C$2,1+(('table for research'!$B681-456)*36+HEX2DEC('table for research'!U$1))*2,2)</f>
        <v>D8</v>
      </c>
      <c r="V681" t="str">
        <f>MID('paste from garc here'!$C$2,1+(('table for research'!$B681-456)*36+HEX2DEC('table for research'!V$1))*2,2)</f>
        <v>00</v>
      </c>
      <c r="W681" t="str">
        <f>MID('paste from garc here'!$C$2,1+(('table for research'!$B681-456)*36+HEX2DEC('table for research'!W$1))*2,2)</f>
        <v>00</v>
      </c>
      <c r="X681" t="str">
        <f>MID('paste from garc here'!$C$2,1+(('table for research'!$B681-456)*36+HEX2DEC('table for research'!X$1))*2,2)</f>
        <v>00</v>
      </c>
      <c r="Y681" t="str">
        <f>MID('paste from garc here'!$C$2,1+(('table for research'!$B681-456)*36+HEX2DEC('table for research'!Y$1))*2,2)</f>
        <v>00</v>
      </c>
      <c r="Z681" t="str">
        <f>MID('paste from garc here'!$C$2,1+(('table for research'!$B681-456)*36+HEX2DEC('table for research'!Z$1))*2,2)</f>
        <v>00</v>
      </c>
      <c r="AA681" t="str">
        <f>MID('paste from garc here'!$C$2,1+(('table for research'!$B681-456)*36+HEX2DEC('table for research'!AA$1))*2,2)</f>
        <v>00</v>
      </c>
      <c r="AB681" t="str">
        <f>MID('paste from garc here'!$C$2,1+(('table for research'!$B681-456)*36+HEX2DEC('table for research'!AB$1))*2,2)</f>
        <v>00</v>
      </c>
      <c r="AC681" t="str">
        <f>MID('paste from garc here'!$C$2,1+(('table for research'!$B681-456)*36+HEX2DEC('table for research'!AC$1))*2,2)</f>
        <v>00</v>
      </c>
      <c r="AD681" t="str">
        <f>MID('paste from garc here'!$C$2,1+(('table for research'!$B681-456)*36+HEX2DEC('table for research'!AD$1))*2,2)</f>
        <v>00</v>
      </c>
      <c r="AE681" t="str">
        <f>MID('paste from garc here'!$C$2,1+(('table for research'!$B681-456)*36+HEX2DEC('table for research'!AE$1))*2,2)</f>
        <v>00</v>
      </c>
      <c r="AF681" t="str">
        <f>MID('paste from garc here'!$C$2,1+(('table for research'!$B681-456)*36+HEX2DEC('table for research'!AF$1))*2,2)</f>
        <v>00</v>
      </c>
      <c r="AG681" t="str">
        <f>MID('paste from garc here'!$C$2,1+(('table for research'!$B681-456)*36+HEX2DEC('table for research'!AG$1))*2,2)</f>
        <v>00</v>
      </c>
      <c r="AH681" t="str">
        <f>MID('paste from garc here'!$C$2,1+(('table for research'!$B681-456)*36+HEX2DEC('table for research'!AH$1))*2,2)</f>
        <v>00</v>
      </c>
      <c r="AI681" t="str">
        <f>MID('paste from garc here'!$C$2,1+(('table for research'!$B681-456)*36+HEX2DEC('table for research'!AI$1))*2,2)</f>
        <v>00</v>
      </c>
      <c r="AJ681" t="str">
        <f>MID('paste from garc here'!$C$2,1+(('table for research'!$B681-456)*36+HEX2DEC('table for research'!AJ$1))*2,2)</f>
        <v>00</v>
      </c>
      <c r="AK681" t="str">
        <f>MID('paste from garc here'!$C$2,1+(('table for research'!$B681-456)*36+HEX2DEC('table for research'!AK$1))*2,2)</f>
        <v>00</v>
      </c>
      <c r="AL681" t="str">
        <f>MID('paste from garc here'!$C$2,1+(('table for research'!$B681-456)*36+HEX2DEC('table for research'!AL$1))*2,2)</f>
        <v>00</v>
      </c>
      <c r="AM681" t="str">
        <f>MID('paste from garc here'!$C$2,1+(('table for research'!$B681-456)*36+HEX2DEC('table for research'!AM$1))*2,2)</f>
        <v>00</v>
      </c>
      <c r="AN681" t="str">
        <f>MID('paste from garc here'!$C$2,1+(('table for research'!$B681-456)*36+HEX2DEC('table for research'!AN$1))*2,2)</f>
        <v>00</v>
      </c>
      <c r="AO681" t="str">
        <f>MID('paste from garc here'!$C$2,1+(('table for research'!$B681-456)*36+HEX2DEC('table for research'!AO$1))*2,2)</f>
        <v>00</v>
      </c>
    </row>
    <row r="682" spans="1:41" x14ac:dyDescent="0.4">
      <c r="A682" t="s">
        <v>681</v>
      </c>
      <c r="B682">
        <f>B681+1</f>
        <v>680</v>
      </c>
      <c r="C682" t="str">
        <f>MID('paste from garc here'!$C$2,1+(('table for research'!$B682-456)*36+HEX2DEC('table for research'!C$1))*2,2)</f>
        <v>00</v>
      </c>
      <c r="D682" t="str">
        <f>MID('paste from garc here'!$C$2,1+(('table for research'!$B682-456)*36+HEX2DEC('table for research'!D$1))*2,2)</f>
        <v>00</v>
      </c>
      <c r="E682" t="str">
        <f>MID('paste from garc here'!$C$2,1+(('table for research'!$B682-456)*36+HEX2DEC('table for research'!E$1))*2,2)</f>
        <v>00</v>
      </c>
      <c r="F682" t="str">
        <f>MID('paste from garc here'!$C$2,1+(('table for research'!$B682-456)*36+HEX2DEC('table for research'!F$1))*2,2)</f>
        <v>00</v>
      </c>
      <c r="G682" t="str">
        <f>MID('paste from garc here'!$C$2,1+(('table for research'!$B682-456)*36+HEX2DEC('table for research'!G$1))*2,2)</f>
        <v>00</v>
      </c>
      <c r="H682" t="str">
        <f>MID('paste from garc here'!$C$2,1+(('table for research'!$B682-456)*36+HEX2DEC('table for research'!H$1))*2,2)</f>
        <v>00</v>
      </c>
      <c r="I682" t="str">
        <f>MID('paste from garc here'!$C$2,1+(('table for research'!$B682-456)*36+HEX2DEC('table for research'!I$1))*2,2)</f>
        <v>50</v>
      </c>
      <c r="J682" t="str">
        <f>MID('paste from garc here'!$C$2,1+(('table for research'!$B682-456)*36+HEX2DEC('table for research'!J$1))*2,2)</f>
        <v>00</v>
      </c>
      <c r="K682" t="str">
        <f>DEC2HEX(_xlfn.BITAND(HEX2DEC(MID('paste from garc here'!$C$1,1+(('table for research'!$B682-1)*36+HEX2DEC(8))*2,2)),31),2)</f>
        <v>00</v>
      </c>
      <c r="L682" t="str">
        <f>DEC2HEX(_xlfn.BITAND(HEX2DEC(MID('paste from garc here'!$C$1,1+(('table for research'!$B682-1)*36+HEX2DEC(8))*2,2)),32),2)</f>
        <v>00</v>
      </c>
      <c r="M682" t="str">
        <f>DEC2HEX(_xlfn.BITAND(HEX2DEC(MID('paste from garc here'!$C$1,1+(('table for research'!$B682-1)*36+HEX2DEC(8))*2,2)),64),2)</f>
        <v>00</v>
      </c>
      <c r="N682" t="str">
        <f>DEC2HEX(_xlfn.BITRSHIFT(_xlfn.BITAND(HEX2DEC(MID('paste from garc here'!$C$1,1+(('table for research'!$B682-1)*36+HEX2DEC(9))*2,2)&amp;MID('paste from garc here'!$C$1,1+(('table for research'!$B682-1)*36+HEX2DEC(8))*2,2)),1920),7),2)</f>
        <v>00</v>
      </c>
      <c r="O682" t="str">
        <f>DEC2HEX(_xlfn.BITRSHIFT(HEX2DEC(MID('paste from garc here'!$C$1,1+(('table for research'!$B682-1)*36+HEX2DEC(9))*2,2)&amp;MID('paste from garc here'!$C$1,1+(('table for research'!$B682-1)*36+HEX2DEC(8))*2,2)),11),2)</f>
        <v>00</v>
      </c>
      <c r="P682" t="str">
        <f>MID('paste from garc here'!$C$2,1+(('table for research'!$B682-456)*36+HEX2DEC('table for research'!P$1))*2,2)</f>
        <v>00</v>
      </c>
      <c r="Q682" t="str">
        <f>MID('paste from garc here'!$C$2,1+(('table for research'!$B682-456)*36+HEX2DEC('table for research'!Q$1))*2,2)</f>
        <v>00</v>
      </c>
      <c r="R682" t="str">
        <f>MID('paste from garc here'!$C$2,1+(('table for research'!$B682-456)*36+HEX2DEC('table for research'!R$1))*2,2)</f>
        <v>00</v>
      </c>
      <c r="S682" t="str">
        <f>MID('paste from garc here'!$C$2,1+(('table for research'!$B682-456)*36+HEX2DEC('table for research'!S$1))*2,2)</f>
        <v>01</v>
      </c>
      <c r="T682" t="str">
        <f>MID('paste from garc here'!$C$2,1+(('table for research'!$B682-456)*36+HEX2DEC('table for research'!T$1))*2,2)</f>
        <v>00</v>
      </c>
      <c r="U682" t="str">
        <f>MID('paste from garc here'!$C$2,1+(('table for research'!$B682-456)*36+HEX2DEC('table for research'!U$1))*2,2)</f>
        <v>DB</v>
      </c>
      <c r="V682" t="str">
        <f>MID('paste from garc here'!$C$2,1+(('table for research'!$B682-456)*36+HEX2DEC('table for research'!V$1))*2,2)</f>
        <v>00</v>
      </c>
      <c r="W682" t="str">
        <f>MID('paste from garc here'!$C$2,1+(('table for research'!$B682-456)*36+HEX2DEC('table for research'!W$1))*2,2)</f>
        <v>00</v>
      </c>
      <c r="X682" t="str">
        <f>MID('paste from garc here'!$C$2,1+(('table for research'!$B682-456)*36+HEX2DEC('table for research'!X$1))*2,2)</f>
        <v>00</v>
      </c>
      <c r="Y682" t="str">
        <f>MID('paste from garc here'!$C$2,1+(('table for research'!$B682-456)*36+HEX2DEC('table for research'!Y$1))*2,2)</f>
        <v>00</v>
      </c>
      <c r="Z682" t="str">
        <f>MID('paste from garc here'!$C$2,1+(('table for research'!$B682-456)*36+HEX2DEC('table for research'!Z$1))*2,2)</f>
        <v>00</v>
      </c>
      <c r="AA682" t="str">
        <f>MID('paste from garc here'!$C$2,1+(('table for research'!$B682-456)*36+HEX2DEC('table for research'!AA$1))*2,2)</f>
        <v>00</v>
      </c>
      <c r="AB682" t="str">
        <f>MID('paste from garc here'!$C$2,1+(('table for research'!$B682-456)*36+HEX2DEC('table for research'!AB$1))*2,2)</f>
        <v>00</v>
      </c>
      <c r="AC682" t="str">
        <f>MID('paste from garc here'!$C$2,1+(('table for research'!$B682-456)*36+HEX2DEC('table for research'!AC$1))*2,2)</f>
        <v>00</v>
      </c>
      <c r="AD682" t="str">
        <f>MID('paste from garc here'!$C$2,1+(('table for research'!$B682-456)*36+HEX2DEC('table for research'!AD$1))*2,2)</f>
        <v>00</v>
      </c>
      <c r="AE682" t="str">
        <f>MID('paste from garc here'!$C$2,1+(('table for research'!$B682-456)*36+HEX2DEC('table for research'!AE$1))*2,2)</f>
        <v>00</v>
      </c>
      <c r="AF682" t="str">
        <f>MID('paste from garc here'!$C$2,1+(('table for research'!$B682-456)*36+HEX2DEC('table for research'!AF$1))*2,2)</f>
        <v>00</v>
      </c>
      <c r="AG682" t="str">
        <f>MID('paste from garc here'!$C$2,1+(('table for research'!$B682-456)*36+HEX2DEC('table for research'!AG$1))*2,2)</f>
        <v>00</v>
      </c>
      <c r="AH682" t="str">
        <f>MID('paste from garc here'!$C$2,1+(('table for research'!$B682-456)*36+HEX2DEC('table for research'!AH$1))*2,2)</f>
        <v>00</v>
      </c>
      <c r="AI682" t="str">
        <f>MID('paste from garc here'!$C$2,1+(('table for research'!$B682-456)*36+HEX2DEC('table for research'!AI$1))*2,2)</f>
        <v>00</v>
      </c>
      <c r="AJ682" t="str">
        <f>MID('paste from garc here'!$C$2,1+(('table for research'!$B682-456)*36+HEX2DEC('table for research'!AJ$1))*2,2)</f>
        <v>00</v>
      </c>
      <c r="AK682" t="str">
        <f>MID('paste from garc here'!$C$2,1+(('table for research'!$B682-456)*36+HEX2DEC('table for research'!AK$1))*2,2)</f>
        <v>00</v>
      </c>
      <c r="AL682" t="str">
        <f>MID('paste from garc here'!$C$2,1+(('table for research'!$B682-456)*36+HEX2DEC('table for research'!AL$1))*2,2)</f>
        <v>00</v>
      </c>
      <c r="AM682" t="str">
        <f>MID('paste from garc here'!$C$2,1+(('table for research'!$B682-456)*36+HEX2DEC('table for research'!AM$1))*2,2)</f>
        <v>00</v>
      </c>
      <c r="AN682" t="str">
        <f>MID('paste from garc here'!$C$2,1+(('table for research'!$B682-456)*36+HEX2DEC('table for research'!AN$1))*2,2)</f>
        <v>00</v>
      </c>
      <c r="AO682" t="str">
        <f>MID('paste from garc here'!$C$2,1+(('table for research'!$B682-456)*36+HEX2DEC('table for research'!AO$1))*2,2)</f>
        <v>00</v>
      </c>
    </row>
    <row r="683" spans="1:41" x14ac:dyDescent="0.4">
      <c r="A683" t="s">
        <v>682</v>
      </c>
      <c r="B683">
        <f>B682+1</f>
        <v>681</v>
      </c>
      <c r="C683" t="str">
        <f>MID('paste from garc here'!$C$2,1+(('table for research'!$B683-456)*36+HEX2DEC('table for research'!C$1))*2,2)</f>
        <v>00</v>
      </c>
      <c r="D683" t="str">
        <f>MID('paste from garc here'!$C$2,1+(('table for research'!$B683-456)*36+HEX2DEC('table for research'!D$1))*2,2)</f>
        <v>00</v>
      </c>
      <c r="E683" t="str">
        <f>MID('paste from garc here'!$C$2,1+(('table for research'!$B683-456)*36+HEX2DEC('table for research'!E$1))*2,2)</f>
        <v>00</v>
      </c>
      <c r="F683" t="str">
        <f>MID('paste from garc here'!$C$2,1+(('table for research'!$B683-456)*36+HEX2DEC('table for research'!F$1))*2,2)</f>
        <v>00</v>
      </c>
      <c r="G683" t="str">
        <f>MID('paste from garc here'!$C$2,1+(('table for research'!$B683-456)*36+HEX2DEC('table for research'!G$1))*2,2)</f>
        <v>00</v>
      </c>
      <c r="H683" t="str">
        <f>MID('paste from garc here'!$C$2,1+(('table for research'!$B683-456)*36+HEX2DEC('table for research'!H$1))*2,2)</f>
        <v>00</v>
      </c>
      <c r="I683" t="str">
        <f>MID('paste from garc here'!$C$2,1+(('table for research'!$B683-456)*36+HEX2DEC('table for research'!I$1))*2,2)</f>
        <v>50</v>
      </c>
      <c r="J683" t="str">
        <f>MID('paste from garc here'!$C$2,1+(('table for research'!$B683-456)*36+HEX2DEC('table for research'!J$1))*2,2)</f>
        <v>00</v>
      </c>
      <c r="K683" t="str">
        <f>DEC2HEX(_xlfn.BITAND(HEX2DEC(MID('paste from garc here'!$C$1,1+(('table for research'!$B683-1)*36+HEX2DEC(8))*2,2)),31),2)</f>
        <v>00</v>
      </c>
      <c r="L683" t="str">
        <f>DEC2HEX(_xlfn.BITAND(HEX2DEC(MID('paste from garc here'!$C$1,1+(('table for research'!$B683-1)*36+HEX2DEC(8))*2,2)),32),2)</f>
        <v>00</v>
      </c>
      <c r="M683" t="str">
        <f>DEC2HEX(_xlfn.BITAND(HEX2DEC(MID('paste from garc here'!$C$1,1+(('table for research'!$B683-1)*36+HEX2DEC(8))*2,2)),64),2)</f>
        <v>00</v>
      </c>
      <c r="N683" t="str">
        <f>DEC2HEX(_xlfn.BITRSHIFT(_xlfn.BITAND(HEX2DEC(MID('paste from garc here'!$C$1,1+(('table for research'!$B683-1)*36+HEX2DEC(9))*2,2)&amp;MID('paste from garc here'!$C$1,1+(('table for research'!$B683-1)*36+HEX2DEC(8))*2,2)),1920),7),2)</f>
        <v>00</v>
      </c>
      <c r="O683" t="str">
        <f>DEC2HEX(_xlfn.BITRSHIFT(HEX2DEC(MID('paste from garc here'!$C$1,1+(('table for research'!$B683-1)*36+HEX2DEC(9))*2,2)&amp;MID('paste from garc here'!$C$1,1+(('table for research'!$B683-1)*36+HEX2DEC(8))*2,2)),11),2)</f>
        <v>00</v>
      </c>
      <c r="P683" t="str">
        <f>MID('paste from garc here'!$C$2,1+(('table for research'!$B683-456)*36+HEX2DEC('table for research'!P$1))*2,2)</f>
        <v>00</v>
      </c>
      <c r="Q683" t="str">
        <f>MID('paste from garc here'!$C$2,1+(('table for research'!$B683-456)*36+HEX2DEC('table for research'!Q$1))*2,2)</f>
        <v>00</v>
      </c>
      <c r="R683" t="str">
        <f>MID('paste from garc here'!$C$2,1+(('table for research'!$B683-456)*36+HEX2DEC('table for research'!R$1))*2,2)</f>
        <v>00</v>
      </c>
      <c r="S683" t="str">
        <f>MID('paste from garc here'!$C$2,1+(('table for research'!$B683-456)*36+HEX2DEC('table for research'!S$1))*2,2)</f>
        <v>01</v>
      </c>
      <c r="T683" t="str">
        <f>MID('paste from garc here'!$C$2,1+(('table for research'!$B683-456)*36+HEX2DEC('table for research'!T$1))*2,2)</f>
        <v>00</v>
      </c>
      <c r="U683" t="str">
        <f>MID('paste from garc here'!$C$2,1+(('table for research'!$B683-456)*36+HEX2DEC('table for research'!U$1))*2,2)</f>
        <v>C6</v>
      </c>
      <c r="V683" t="str">
        <f>MID('paste from garc here'!$C$2,1+(('table for research'!$B683-456)*36+HEX2DEC('table for research'!V$1))*2,2)</f>
        <v>00</v>
      </c>
      <c r="W683" t="str">
        <f>MID('paste from garc here'!$C$2,1+(('table for research'!$B683-456)*36+HEX2DEC('table for research'!W$1))*2,2)</f>
        <v>00</v>
      </c>
      <c r="X683" t="str">
        <f>MID('paste from garc here'!$C$2,1+(('table for research'!$B683-456)*36+HEX2DEC('table for research'!X$1))*2,2)</f>
        <v>00</v>
      </c>
      <c r="Y683" t="str">
        <f>MID('paste from garc here'!$C$2,1+(('table for research'!$B683-456)*36+HEX2DEC('table for research'!Y$1))*2,2)</f>
        <v>00</v>
      </c>
      <c r="Z683" t="str">
        <f>MID('paste from garc here'!$C$2,1+(('table for research'!$B683-456)*36+HEX2DEC('table for research'!Z$1))*2,2)</f>
        <v>00</v>
      </c>
      <c r="AA683" t="str">
        <f>MID('paste from garc here'!$C$2,1+(('table for research'!$B683-456)*36+HEX2DEC('table for research'!AA$1))*2,2)</f>
        <v>00</v>
      </c>
      <c r="AB683" t="str">
        <f>MID('paste from garc here'!$C$2,1+(('table for research'!$B683-456)*36+HEX2DEC('table for research'!AB$1))*2,2)</f>
        <v>00</v>
      </c>
      <c r="AC683" t="str">
        <f>MID('paste from garc here'!$C$2,1+(('table for research'!$B683-456)*36+HEX2DEC('table for research'!AC$1))*2,2)</f>
        <v>00</v>
      </c>
      <c r="AD683" t="str">
        <f>MID('paste from garc here'!$C$2,1+(('table for research'!$B683-456)*36+HEX2DEC('table for research'!AD$1))*2,2)</f>
        <v>00</v>
      </c>
      <c r="AE683" t="str">
        <f>MID('paste from garc here'!$C$2,1+(('table for research'!$B683-456)*36+HEX2DEC('table for research'!AE$1))*2,2)</f>
        <v>00</v>
      </c>
      <c r="AF683" t="str">
        <f>MID('paste from garc here'!$C$2,1+(('table for research'!$B683-456)*36+HEX2DEC('table for research'!AF$1))*2,2)</f>
        <v>00</v>
      </c>
      <c r="AG683" t="str">
        <f>MID('paste from garc here'!$C$2,1+(('table for research'!$B683-456)*36+HEX2DEC('table for research'!AG$1))*2,2)</f>
        <v>00</v>
      </c>
      <c r="AH683" t="str">
        <f>MID('paste from garc here'!$C$2,1+(('table for research'!$B683-456)*36+HEX2DEC('table for research'!AH$1))*2,2)</f>
        <v>00</v>
      </c>
      <c r="AI683" t="str">
        <f>MID('paste from garc here'!$C$2,1+(('table for research'!$B683-456)*36+HEX2DEC('table for research'!AI$1))*2,2)</f>
        <v>00</v>
      </c>
      <c r="AJ683" t="str">
        <f>MID('paste from garc here'!$C$2,1+(('table for research'!$B683-456)*36+HEX2DEC('table for research'!AJ$1))*2,2)</f>
        <v>00</v>
      </c>
      <c r="AK683" t="str">
        <f>MID('paste from garc here'!$C$2,1+(('table for research'!$B683-456)*36+HEX2DEC('table for research'!AK$1))*2,2)</f>
        <v>00</v>
      </c>
      <c r="AL683" t="str">
        <f>MID('paste from garc here'!$C$2,1+(('table for research'!$B683-456)*36+HEX2DEC('table for research'!AL$1))*2,2)</f>
        <v>00</v>
      </c>
      <c r="AM683" t="str">
        <f>MID('paste from garc here'!$C$2,1+(('table for research'!$B683-456)*36+HEX2DEC('table for research'!AM$1))*2,2)</f>
        <v>00</v>
      </c>
      <c r="AN683" t="str">
        <f>MID('paste from garc here'!$C$2,1+(('table for research'!$B683-456)*36+HEX2DEC('table for research'!AN$1))*2,2)</f>
        <v>00</v>
      </c>
      <c r="AO683" t="str">
        <f>MID('paste from garc here'!$C$2,1+(('table for research'!$B683-456)*36+HEX2DEC('table for research'!AO$1))*2,2)</f>
        <v>00</v>
      </c>
    </row>
    <row r="684" spans="1:41" x14ac:dyDescent="0.4">
      <c r="A684" t="s">
        <v>683</v>
      </c>
      <c r="B684">
        <f>B683+1</f>
        <v>682</v>
      </c>
      <c r="C684" t="str">
        <f>MID('paste from garc here'!$C$2,1+(('table for research'!$B684-456)*36+HEX2DEC('table for research'!C$1))*2,2)</f>
        <v>00</v>
      </c>
      <c r="D684" t="str">
        <f>MID('paste from garc here'!$C$2,1+(('table for research'!$B684-456)*36+HEX2DEC('table for research'!D$1))*2,2)</f>
        <v>00</v>
      </c>
      <c r="E684" t="str">
        <f>MID('paste from garc here'!$C$2,1+(('table for research'!$B684-456)*36+HEX2DEC('table for research'!E$1))*2,2)</f>
        <v>00</v>
      </c>
      <c r="F684" t="str">
        <f>MID('paste from garc here'!$C$2,1+(('table for research'!$B684-456)*36+HEX2DEC('table for research'!F$1))*2,2)</f>
        <v>00</v>
      </c>
      <c r="G684" t="str">
        <f>MID('paste from garc here'!$C$2,1+(('table for research'!$B684-456)*36+HEX2DEC('table for research'!G$1))*2,2)</f>
        <v>00</v>
      </c>
      <c r="H684" t="str">
        <f>MID('paste from garc here'!$C$2,1+(('table for research'!$B684-456)*36+HEX2DEC('table for research'!H$1))*2,2)</f>
        <v>00</v>
      </c>
      <c r="I684" t="str">
        <f>MID('paste from garc here'!$C$2,1+(('table for research'!$B684-456)*36+HEX2DEC('table for research'!I$1))*2,2)</f>
        <v>50</v>
      </c>
      <c r="J684" t="str">
        <f>MID('paste from garc here'!$C$2,1+(('table for research'!$B684-456)*36+HEX2DEC('table for research'!J$1))*2,2)</f>
        <v>00</v>
      </c>
      <c r="K684" t="str">
        <f>DEC2HEX(_xlfn.BITAND(HEX2DEC(MID('paste from garc here'!$C$1,1+(('table for research'!$B684-1)*36+HEX2DEC(8))*2,2)),31),2)</f>
        <v>00</v>
      </c>
      <c r="L684" t="str">
        <f>DEC2HEX(_xlfn.BITAND(HEX2DEC(MID('paste from garc here'!$C$1,1+(('table for research'!$B684-1)*36+HEX2DEC(8))*2,2)),32),2)</f>
        <v>00</v>
      </c>
      <c r="M684" t="str">
        <f>DEC2HEX(_xlfn.BITAND(HEX2DEC(MID('paste from garc here'!$C$1,1+(('table for research'!$B684-1)*36+HEX2DEC(8))*2,2)),64),2)</f>
        <v>00</v>
      </c>
      <c r="N684" t="str">
        <f>DEC2HEX(_xlfn.BITRSHIFT(_xlfn.BITAND(HEX2DEC(MID('paste from garc here'!$C$1,1+(('table for research'!$B684-1)*36+HEX2DEC(9))*2,2)&amp;MID('paste from garc here'!$C$1,1+(('table for research'!$B684-1)*36+HEX2DEC(8))*2,2)),1920),7),2)</f>
        <v>00</v>
      </c>
      <c r="O684" t="str">
        <f>DEC2HEX(_xlfn.BITRSHIFT(HEX2DEC(MID('paste from garc here'!$C$1,1+(('table for research'!$B684-1)*36+HEX2DEC(9))*2,2)&amp;MID('paste from garc here'!$C$1,1+(('table for research'!$B684-1)*36+HEX2DEC(8))*2,2)),11),2)</f>
        <v>00</v>
      </c>
      <c r="P684" t="str">
        <f>MID('paste from garc here'!$C$2,1+(('table for research'!$B684-456)*36+HEX2DEC('table for research'!P$1))*2,2)</f>
        <v>00</v>
      </c>
      <c r="Q684" t="str">
        <f>MID('paste from garc here'!$C$2,1+(('table for research'!$B684-456)*36+HEX2DEC('table for research'!Q$1))*2,2)</f>
        <v>00</v>
      </c>
      <c r="R684" t="str">
        <f>MID('paste from garc here'!$C$2,1+(('table for research'!$B684-456)*36+HEX2DEC('table for research'!R$1))*2,2)</f>
        <v>00</v>
      </c>
      <c r="S684" t="str">
        <f>MID('paste from garc here'!$C$2,1+(('table for research'!$B684-456)*36+HEX2DEC('table for research'!S$1))*2,2)</f>
        <v>01</v>
      </c>
      <c r="T684" t="str">
        <f>MID('paste from garc here'!$C$2,1+(('table for research'!$B684-456)*36+HEX2DEC('table for research'!T$1))*2,2)</f>
        <v>00</v>
      </c>
      <c r="U684" t="str">
        <f>MID('paste from garc here'!$C$2,1+(('table for research'!$B684-456)*36+HEX2DEC('table for research'!U$1))*2,2)</f>
        <v>E6</v>
      </c>
      <c r="V684" t="str">
        <f>MID('paste from garc here'!$C$2,1+(('table for research'!$B684-456)*36+HEX2DEC('table for research'!V$1))*2,2)</f>
        <v>00</v>
      </c>
      <c r="W684" t="str">
        <f>MID('paste from garc here'!$C$2,1+(('table for research'!$B684-456)*36+HEX2DEC('table for research'!W$1))*2,2)</f>
        <v>00</v>
      </c>
      <c r="X684" t="str">
        <f>MID('paste from garc here'!$C$2,1+(('table for research'!$B684-456)*36+HEX2DEC('table for research'!X$1))*2,2)</f>
        <v>00</v>
      </c>
      <c r="Y684" t="str">
        <f>MID('paste from garc here'!$C$2,1+(('table for research'!$B684-456)*36+HEX2DEC('table for research'!Y$1))*2,2)</f>
        <v>00</v>
      </c>
      <c r="Z684" t="str">
        <f>MID('paste from garc here'!$C$2,1+(('table for research'!$B684-456)*36+HEX2DEC('table for research'!Z$1))*2,2)</f>
        <v>00</v>
      </c>
      <c r="AA684" t="str">
        <f>MID('paste from garc here'!$C$2,1+(('table for research'!$B684-456)*36+HEX2DEC('table for research'!AA$1))*2,2)</f>
        <v>00</v>
      </c>
      <c r="AB684" t="str">
        <f>MID('paste from garc here'!$C$2,1+(('table for research'!$B684-456)*36+HEX2DEC('table for research'!AB$1))*2,2)</f>
        <v>00</v>
      </c>
      <c r="AC684" t="str">
        <f>MID('paste from garc here'!$C$2,1+(('table for research'!$B684-456)*36+HEX2DEC('table for research'!AC$1))*2,2)</f>
        <v>00</v>
      </c>
      <c r="AD684" t="str">
        <f>MID('paste from garc here'!$C$2,1+(('table for research'!$B684-456)*36+HEX2DEC('table for research'!AD$1))*2,2)</f>
        <v>00</v>
      </c>
      <c r="AE684" t="str">
        <f>MID('paste from garc here'!$C$2,1+(('table for research'!$B684-456)*36+HEX2DEC('table for research'!AE$1))*2,2)</f>
        <v>00</v>
      </c>
      <c r="AF684" t="str">
        <f>MID('paste from garc here'!$C$2,1+(('table for research'!$B684-456)*36+HEX2DEC('table for research'!AF$1))*2,2)</f>
        <v>00</v>
      </c>
      <c r="AG684" t="str">
        <f>MID('paste from garc here'!$C$2,1+(('table for research'!$B684-456)*36+HEX2DEC('table for research'!AG$1))*2,2)</f>
        <v>00</v>
      </c>
      <c r="AH684" t="str">
        <f>MID('paste from garc here'!$C$2,1+(('table for research'!$B684-456)*36+HEX2DEC('table for research'!AH$1))*2,2)</f>
        <v>00</v>
      </c>
      <c r="AI684" t="str">
        <f>MID('paste from garc here'!$C$2,1+(('table for research'!$B684-456)*36+HEX2DEC('table for research'!AI$1))*2,2)</f>
        <v>00</v>
      </c>
      <c r="AJ684" t="str">
        <f>MID('paste from garc here'!$C$2,1+(('table for research'!$B684-456)*36+HEX2DEC('table for research'!AJ$1))*2,2)</f>
        <v>00</v>
      </c>
      <c r="AK684" t="str">
        <f>MID('paste from garc here'!$C$2,1+(('table for research'!$B684-456)*36+HEX2DEC('table for research'!AK$1))*2,2)</f>
        <v>00</v>
      </c>
      <c r="AL684" t="str">
        <f>MID('paste from garc here'!$C$2,1+(('table for research'!$B684-456)*36+HEX2DEC('table for research'!AL$1))*2,2)</f>
        <v>00</v>
      </c>
      <c r="AM684" t="str">
        <f>MID('paste from garc here'!$C$2,1+(('table for research'!$B684-456)*36+HEX2DEC('table for research'!AM$1))*2,2)</f>
        <v>00</v>
      </c>
      <c r="AN684" t="str">
        <f>MID('paste from garc here'!$C$2,1+(('table for research'!$B684-456)*36+HEX2DEC('table for research'!AN$1))*2,2)</f>
        <v>00</v>
      </c>
      <c r="AO684" t="str">
        <f>MID('paste from garc here'!$C$2,1+(('table for research'!$B684-456)*36+HEX2DEC('table for research'!AO$1))*2,2)</f>
        <v>00</v>
      </c>
    </row>
    <row r="685" spans="1:41" x14ac:dyDescent="0.4">
      <c r="A685" t="s">
        <v>684</v>
      </c>
      <c r="B685">
        <f>B684+1</f>
        <v>683</v>
      </c>
      <c r="C685" t="str">
        <f>MID('paste from garc here'!$C$2,1+(('table for research'!$B685-456)*36+HEX2DEC('table for research'!C$1))*2,2)</f>
        <v>00</v>
      </c>
      <c r="D685" t="str">
        <f>MID('paste from garc here'!$C$2,1+(('table for research'!$B685-456)*36+HEX2DEC('table for research'!D$1))*2,2)</f>
        <v>00</v>
      </c>
      <c r="E685" t="str">
        <f>MID('paste from garc here'!$C$2,1+(('table for research'!$B685-456)*36+HEX2DEC('table for research'!E$1))*2,2)</f>
        <v>00</v>
      </c>
      <c r="F685" t="str">
        <f>MID('paste from garc here'!$C$2,1+(('table for research'!$B685-456)*36+HEX2DEC('table for research'!F$1))*2,2)</f>
        <v>00</v>
      </c>
      <c r="G685" t="str">
        <f>MID('paste from garc here'!$C$2,1+(('table for research'!$B685-456)*36+HEX2DEC('table for research'!G$1))*2,2)</f>
        <v>00</v>
      </c>
      <c r="H685" t="str">
        <f>MID('paste from garc here'!$C$2,1+(('table for research'!$B685-456)*36+HEX2DEC('table for research'!H$1))*2,2)</f>
        <v>00</v>
      </c>
      <c r="I685" t="str">
        <f>MID('paste from garc here'!$C$2,1+(('table for research'!$B685-456)*36+HEX2DEC('table for research'!I$1))*2,2)</f>
        <v>50</v>
      </c>
      <c r="J685" t="str">
        <f>MID('paste from garc here'!$C$2,1+(('table for research'!$B685-456)*36+HEX2DEC('table for research'!J$1))*2,2)</f>
        <v>00</v>
      </c>
      <c r="K685" t="str">
        <f>DEC2HEX(_xlfn.BITAND(HEX2DEC(MID('paste from garc here'!$C$1,1+(('table for research'!$B685-1)*36+HEX2DEC(8))*2,2)),31),2)</f>
        <v>00</v>
      </c>
      <c r="L685" t="str">
        <f>DEC2HEX(_xlfn.BITAND(HEX2DEC(MID('paste from garc here'!$C$1,1+(('table for research'!$B685-1)*36+HEX2DEC(8))*2,2)),32),2)</f>
        <v>00</v>
      </c>
      <c r="M685" t="str">
        <f>DEC2HEX(_xlfn.BITAND(HEX2DEC(MID('paste from garc here'!$C$1,1+(('table for research'!$B685-1)*36+HEX2DEC(8))*2,2)),64),2)</f>
        <v>00</v>
      </c>
      <c r="N685" t="str">
        <f>DEC2HEX(_xlfn.BITRSHIFT(_xlfn.BITAND(HEX2DEC(MID('paste from garc here'!$C$1,1+(('table for research'!$B685-1)*36+HEX2DEC(9))*2,2)&amp;MID('paste from garc here'!$C$1,1+(('table for research'!$B685-1)*36+HEX2DEC(8))*2,2)),1920),7),2)</f>
        <v>00</v>
      </c>
      <c r="O685" t="str">
        <f>DEC2HEX(_xlfn.BITRSHIFT(HEX2DEC(MID('paste from garc here'!$C$1,1+(('table for research'!$B685-1)*36+HEX2DEC(9))*2,2)&amp;MID('paste from garc here'!$C$1,1+(('table for research'!$B685-1)*36+HEX2DEC(8))*2,2)),11),2)</f>
        <v>00</v>
      </c>
      <c r="P685" t="str">
        <f>MID('paste from garc here'!$C$2,1+(('table for research'!$B685-456)*36+HEX2DEC('table for research'!P$1))*2,2)</f>
        <v>00</v>
      </c>
      <c r="Q685" t="str">
        <f>MID('paste from garc here'!$C$2,1+(('table for research'!$B685-456)*36+HEX2DEC('table for research'!Q$1))*2,2)</f>
        <v>00</v>
      </c>
      <c r="R685" t="str">
        <f>MID('paste from garc here'!$C$2,1+(('table for research'!$B685-456)*36+HEX2DEC('table for research'!R$1))*2,2)</f>
        <v>00</v>
      </c>
      <c r="S685" t="str">
        <f>MID('paste from garc here'!$C$2,1+(('table for research'!$B685-456)*36+HEX2DEC('table for research'!S$1))*2,2)</f>
        <v>01</v>
      </c>
      <c r="T685" t="str">
        <f>MID('paste from garc here'!$C$2,1+(('table for research'!$B685-456)*36+HEX2DEC('table for research'!T$1))*2,2)</f>
        <v>00</v>
      </c>
      <c r="U685" t="str">
        <f>MID('paste from garc here'!$C$2,1+(('table for research'!$B685-456)*36+HEX2DEC('table for research'!U$1))*2,2)</f>
        <v>C2</v>
      </c>
      <c r="V685" t="str">
        <f>MID('paste from garc here'!$C$2,1+(('table for research'!$B685-456)*36+HEX2DEC('table for research'!V$1))*2,2)</f>
        <v>00</v>
      </c>
      <c r="W685" t="str">
        <f>MID('paste from garc here'!$C$2,1+(('table for research'!$B685-456)*36+HEX2DEC('table for research'!W$1))*2,2)</f>
        <v>00</v>
      </c>
      <c r="X685" t="str">
        <f>MID('paste from garc here'!$C$2,1+(('table for research'!$B685-456)*36+HEX2DEC('table for research'!X$1))*2,2)</f>
        <v>00</v>
      </c>
      <c r="Y685" t="str">
        <f>MID('paste from garc here'!$C$2,1+(('table for research'!$B685-456)*36+HEX2DEC('table for research'!Y$1))*2,2)</f>
        <v>00</v>
      </c>
      <c r="Z685" t="str">
        <f>MID('paste from garc here'!$C$2,1+(('table for research'!$B685-456)*36+HEX2DEC('table for research'!Z$1))*2,2)</f>
        <v>00</v>
      </c>
      <c r="AA685" t="str">
        <f>MID('paste from garc here'!$C$2,1+(('table for research'!$B685-456)*36+HEX2DEC('table for research'!AA$1))*2,2)</f>
        <v>00</v>
      </c>
      <c r="AB685" t="str">
        <f>MID('paste from garc here'!$C$2,1+(('table for research'!$B685-456)*36+HEX2DEC('table for research'!AB$1))*2,2)</f>
        <v>00</v>
      </c>
      <c r="AC685" t="str">
        <f>MID('paste from garc here'!$C$2,1+(('table for research'!$B685-456)*36+HEX2DEC('table for research'!AC$1))*2,2)</f>
        <v>00</v>
      </c>
      <c r="AD685" t="str">
        <f>MID('paste from garc here'!$C$2,1+(('table for research'!$B685-456)*36+HEX2DEC('table for research'!AD$1))*2,2)</f>
        <v>00</v>
      </c>
      <c r="AE685" t="str">
        <f>MID('paste from garc here'!$C$2,1+(('table for research'!$B685-456)*36+HEX2DEC('table for research'!AE$1))*2,2)</f>
        <v>00</v>
      </c>
      <c r="AF685" t="str">
        <f>MID('paste from garc here'!$C$2,1+(('table for research'!$B685-456)*36+HEX2DEC('table for research'!AF$1))*2,2)</f>
        <v>00</v>
      </c>
      <c r="AG685" t="str">
        <f>MID('paste from garc here'!$C$2,1+(('table for research'!$B685-456)*36+HEX2DEC('table for research'!AG$1))*2,2)</f>
        <v>00</v>
      </c>
      <c r="AH685" t="str">
        <f>MID('paste from garc here'!$C$2,1+(('table for research'!$B685-456)*36+HEX2DEC('table for research'!AH$1))*2,2)</f>
        <v>00</v>
      </c>
      <c r="AI685" t="str">
        <f>MID('paste from garc here'!$C$2,1+(('table for research'!$B685-456)*36+HEX2DEC('table for research'!AI$1))*2,2)</f>
        <v>00</v>
      </c>
      <c r="AJ685" t="str">
        <f>MID('paste from garc here'!$C$2,1+(('table for research'!$B685-456)*36+HEX2DEC('table for research'!AJ$1))*2,2)</f>
        <v>00</v>
      </c>
      <c r="AK685" t="str">
        <f>MID('paste from garc here'!$C$2,1+(('table for research'!$B685-456)*36+HEX2DEC('table for research'!AK$1))*2,2)</f>
        <v>00</v>
      </c>
      <c r="AL685" t="str">
        <f>MID('paste from garc here'!$C$2,1+(('table for research'!$B685-456)*36+HEX2DEC('table for research'!AL$1))*2,2)</f>
        <v>00</v>
      </c>
      <c r="AM685" t="str">
        <f>MID('paste from garc here'!$C$2,1+(('table for research'!$B685-456)*36+HEX2DEC('table for research'!AM$1))*2,2)</f>
        <v>00</v>
      </c>
      <c r="AN685" t="str">
        <f>MID('paste from garc here'!$C$2,1+(('table for research'!$B685-456)*36+HEX2DEC('table for research'!AN$1))*2,2)</f>
        <v>00</v>
      </c>
      <c r="AO685" t="str">
        <f>MID('paste from garc here'!$C$2,1+(('table for research'!$B685-456)*36+HEX2DEC('table for research'!AO$1))*2,2)</f>
        <v>00</v>
      </c>
    </row>
    <row r="686" spans="1:41" x14ac:dyDescent="0.4">
      <c r="A686" t="s">
        <v>685</v>
      </c>
      <c r="B686">
        <f>B685+1</f>
        <v>684</v>
      </c>
      <c r="C686" t="str">
        <f>MID('paste from garc here'!$C$2,1+(('table for research'!$B686-456)*36+HEX2DEC('table for research'!C$1))*2,2)</f>
        <v>00</v>
      </c>
      <c r="D686" t="str">
        <f>MID('paste from garc here'!$C$2,1+(('table for research'!$B686-456)*36+HEX2DEC('table for research'!D$1))*2,2)</f>
        <v>00</v>
      </c>
      <c r="E686" t="str">
        <f>MID('paste from garc here'!$C$2,1+(('table for research'!$B686-456)*36+HEX2DEC('table for research'!E$1))*2,2)</f>
        <v>00</v>
      </c>
      <c r="F686" t="str">
        <f>MID('paste from garc here'!$C$2,1+(('table for research'!$B686-456)*36+HEX2DEC('table for research'!F$1))*2,2)</f>
        <v>00</v>
      </c>
      <c r="G686" t="str">
        <f>MID('paste from garc here'!$C$2,1+(('table for research'!$B686-456)*36+HEX2DEC('table for research'!G$1))*2,2)</f>
        <v>00</v>
      </c>
      <c r="H686" t="str">
        <f>MID('paste from garc here'!$C$2,1+(('table for research'!$B686-456)*36+HEX2DEC('table for research'!H$1))*2,2)</f>
        <v>00</v>
      </c>
      <c r="I686" t="str">
        <f>MID('paste from garc here'!$C$2,1+(('table for research'!$B686-456)*36+HEX2DEC('table for research'!I$1))*2,2)</f>
        <v>50</v>
      </c>
      <c r="J686" t="str">
        <f>MID('paste from garc here'!$C$2,1+(('table for research'!$B686-456)*36+HEX2DEC('table for research'!J$1))*2,2)</f>
        <v>00</v>
      </c>
      <c r="K686" t="str">
        <f>DEC2HEX(_xlfn.BITAND(HEX2DEC(MID('paste from garc here'!$C$1,1+(('table for research'!$B686-1)*36+HEX2DEC(8))*2,2)),31),2)</f>
        <v>00</v>
      </c>
      <c r="L686" t="str">
        <f>DEC2HEX(_xlfn.BITAND(HEX2DEC(MID('paste from garc here'!$C$1,1+(('table for research'!$B686-1)*36+HEX2DEC(8))*2,2)),32),2)</f>
        <v>00</v>
      </c>
      <c r="M686" t="str">
        <f>DEC2HEX(_xlfn.BITAND(HEX2DEC(MID('paste from garc here'!$C$1,1+(('table for research'!$B686-1)*36+HEX2DEC(8))*2,2)),64),2)</f>
        <v>00</v>
      </c>
      <c r="N686" t="str">
        <f>DEC2HEX(_xlfn.BITRSHIFT(_xlfn.BITAND(HEX2DEC(MID('paste from garc here'!$C$1,1+(('table for research'!$B686-1)*36+HEX2DEC(9))*2,2)&amp;MID('paste from garc here'!$C$1,1+(('table for research'!$B686-1)*36+HEX2DEC(8))*2,2)),1920),7),2)</f>
        <v>00</v>
      </c>
      <c r="O686" t="str">
        <f>DEC2HEX(_xlfn.BITRSHIFT(HEX2DEC(MID('paste from garc here'!$C$1,1+(('table for research'!$B686-1)*36+HEX2DEC(9))*2,2)&amp;MID('paste from garc here'!$C$1,1+(('table for research'!$B686-1)*36+HEX2DEC(8))*2,2)),11),2)</f>
        <v>00</v>
      </c>
      <c r="P686" t="str">
        <f>MID('paste from garc here'!$C$2,1+(('table for research'!$B686-456)*36+HEX2DEC('table for research'!P$1))*2,2)</f>
        <v>00</v>
      </c>
      <c r="Q686" t="str">
        <f>MID('paste from garc here'!$C$2,1+(('table for research'!$B686-456)*36+HEX2DEC('table for research'!Q$1))*2,2)</f>
        <v>00</v>
      </c>
      <c r="R686" t="str">
        <f>MID('paste from garc here'!$C$2,1+(('table for research'!$B686-456)*36+HEX2DEC('table for research'!R$1))*2,2)</f>
        <v>00</v>
      </c>
      <c r="S686" t="str">
        <f>MID('paste from garc here'!$C$2,1+(('table for research'!$B686-456)*36+HEX2DEC('table for research'!S$1))*2,2)</f>
        <v>01</v>
      </c>
      <c r="T686" t="str">
        <f>MID('paste from garc here'!$C$2,1+(('table for research'!$B686-456)*36+HEX2DEC('table for research'!T$1))*2,2)</f>
        <v>00</v>
      </c>
      <c r="U686" t="str">
        <f>MID('paste from garc here'!$C$2,1+(('table for research'!$B686-456)*36+HEX2DEC('table for research'!U$1))*2,2)</f>
        <v>E8</v>
      </c>
      <c r="V686" t="str">
        <f>MID('paste from garc here'!$C$2,1+(('table for research'!$B686-456)*36+HEX2DEC('table for research'!V$1))*2,2)</f>
        <v>00</v>
      </c>
      <c r="W686" t="str">
        <f>MID('paste from garc here'!$C$2,1+(('table for research'!$B686-456)*36+HEX2DEC('table for research'!W$1))*2,2)</f>
        <v>00</v>
      </c>
      <c r="X686" t="str">
        <f>MID('paste from garc here'!$C$2,1+(('table for research'!$B686-456)*36+HEX2DEC('table for research'!X$1))*2,2)</f>
        <v>00</v>
      </c>
      <c r="Y686" t="str">
        <f>MID('paste from garc here'!$C$2,1+(('table for research'!$B686-456)*36+HEX2DEC('table for research'!Y$1))*2,2)</f>
        <v>00</v>
      </c>
      <c r="Z686" t="str">
        <f>MID('paste from garc here'!$C$2,1+(('table for research'!$B686-456)*36+HEX2DEC('table for research'!Z$1))*2,2)</f>
        <v>00</v>
      </c>
      <c r="AA686" t="str">
        <f>MID('paste from garc here'!$C$2,1+(('table for research'!$B686-456)*36+HEX2DEC('table for research'!AA$1))*2,2)</f>
        <v>00</v>
      </c>
      <c r="AB686" t="str">
        <f>MID('paste from garc here'!$C$2,1+(('table for research'!$B686-456)*36+HEX2DEC('table for research'!AB$1))*2,2)</f>
        <v>00</v>
      </c>
      <c r="AC686" t="str">
        <f>MID('paste from garc here'!$C$2,1+(('table for research'!$B686-456)*36+HEX2DEC('table for research'!AC$1))*2,2)</f>
        <v>00</v>
      </c>
      <c r="AD686" t="str">
        <f>MID('paste from garc here'!$C$2,1+(('table for research'!$B686-456)*36+HEX2DEC('table for research'!AD$1))*2,2)</f>
        <v>00</v>
      </c>
      <c r="AE686" t="str">
        <f>MID('paste from garc here'!$C$2,1+(('table for research'!$B686-456)*36+HEX2DEC('table for research'!AE$1))*2,2)</f>
        <v>00</v>
      </c>
      <c r="AF686" t="str">
        <f>MID('paste from garc here'!$C$2,1+(('table for research'!$B686-456)*36+HEX2DEC('table for research'!AF$1))*2,2)</f>
        <v>00</v>
      </c>
      <c r="AG686" t="str">
        <f>MID('paste from garc here'!$C$2,1+(('table for research'!$B686-456)*36+HEX2DEC('table for research'!AG$1))*2,2)</f>
        <v>00</v>
      </c>
      <c r="AH686" t="str">
        <f>MID('paste from garc here'!$C$2,1+(('table for research'!$B686-456)*36+HEX2DEC('table for research'!AH$1))*2,2)</f>
        <v>00</v>
      </c>
      <c r="AI686" t="str">
        <f>MID('paste from garc here'!$C$2,1+(('table for research'!$B686-456)*36+HEX2DEC('table for research'!AI$1))*2,2)</f>
        <v>00</v>
      </c>
      <c r="AJ686" t="str">
        <f>MID('paste from garc here'!$C$2,1+(('table for research'!$B686-456)*36+HEX2DEC('table for research'!AJ$1))*2,2)</f>
        <v>00</v>
      </c>
      <c r="AK686" t="str">
        <f>MID('paste from garc here'!$C$2,1+(('table for research'!$B686-456)*36+HEX2DEC('table for research'!AK$1))*2,2)</f>
        <v>00</v>
      </c>
      <c r="AL686" t="str">
        <f>MID('paste from garc here'!$C$2,1+(('table for research'!$B686-456)*36+HEX2DEC('table for research'!AL$1))*2,2)</f>
        <v>00</v>
      </c>
      <c r="AM686" t="str">
        <f>MID('paste from garc here'!$C$2,1+(('table for research'!$B686-456)*36+HEX2DEC('table for research'!AM$1))*2,2)</f>
        <v>00</v>
      </c>
      <c r="AN686" t="str">
        <f>MID('paste from garc here'!$C$2,1+(('table for research'!$B686-456)*36+HEX2DEC('table for research'!AN$1))*2,2)</f>
        <v>00</v>
      </c>
      <c r="AO686" t="str">
        <f>MID('paste from garc here'!$C$2,1+(('table for research'!$B686-456)*36+HEX2DEC('table for research'!AO$1))*2,2)</f>
        <v>00</v>
      </c>
    </row>
    <row r="687" spans="1:41" x14ac:dyDescent="0.4">
      <c r="A687" t="s">
        <v>686</v>
      </c>
      <c r="B687">
        <f>B686+1</f>
        <v>685</v>
      </c>
      <c r="C687" t="str">
        <f>MID('paste from garc here'!$C$2,1+(('table for research'!$B687-456)*36+HEX2DEC('table for research'!C$1))*2,2)</f>
        <v>00</v>
      </c>
      <c r="D687" t="str">
        <f>MID('paste from garc here'!$C$2,1+(('table for research'!$B687-456)*36+HEX2DEC('table for research'!D$1))*2,2)</f>
        <v>00</v>
      </c>
      <c r="E687" t="str">
        <f>MID('paste from garc here'!$C$2,1+(('table for research'!$B687-456)*36+HEX2DEC('table for research'!E$1))*2,2)</f>
        <v>00</v>
      </c>
      <c r="F687" t="str">
        <f>MID('paste from garc here'!$C$2,1+(('table for research'!$B687-456)*36+HEX2DEC('table for research'!F$1))*2,2)</f>
        <v>00</v>
      </c>
      <c r="G687" t="str">
        <f>MID('paste from garc here'!$C$2,1+(('table for research'!$B687-456)*36+HEX2DEC('table for research'!G$1))*2,2)</f>
        <v>00</v>
      </c>
      <c r="H687" t="str">
        <f>MID('paste from garc here'!$C$2,1+(('table for research'!$B687-456)*36+HEX2DEC('table for research'!H$1))*2,2)</f>
        <v>00</v>
      </c>
      <c r="I687" t="str">
        <f>MID('paste from garc here'!$C$2,1+(('table for research'!$B687-456)*36+HEX2DEC('table for research'!I$1))*2,2)</f>
        <v>50</v>
      </c>
      <c r="J687" t="str">
        <f>MID('paste from garc here'!$C$2,1+(('table for research'!$B687-456)*36+HEX2DEC('table for research'!J$1))*2,2)</f>
        <v>00</v>
      </c>
      <c r="K687" t="str">
        <f>DEC2HEX(_xlfn.BITAND(HEX2DEC(MID('paste from garc here'!$C$1,1+(('table for research'!$B687-1)*36+HEX2DEC(8))*2,2)),31),2)</f>
        <v>00</v>
      </c>
      <c r="L687" t="str">
        <f>DEC2HEX(_xlfn.BITAND(HEX2DEC(MID('paste from garc here'!$C$1,1+(('table for research'!$B687-1)*36+HEX2DEC(8))*2,2)),32),2)</f>
        <v>00</v>
      </c>
      <c r="M687" t="str">
        <f>DEC2HEX(_xlfn.BITAND(HEX2DEC(MID('paste from garc here'!$C$1,1+(('table for research'!$B687-1)*36+HEX2DEC(8))*2,2)),64),2)</f>
        <v>00</v>
      </c>
      <c r="N687" t="str">
        <f>DEC2HEX(_xlfn.BITRSHIFT(_xlfn.BITAND(HEX2DEC(MID('paste from garc here'!$C$1,1+(('table for research'!$B687-1)*36+HEX2DEC(9))*2,2)&amp;MID('paste from garc here'!$C$1,1+(('table for research'!$B687-1)*36+HEX2DEC(8))*2,2)),1920),7),2)</f>
        <v>00</v>
      </c>
      <c r="O687" t="str">
        <f>DEC2HEX(_xlfn.BITRSHIFT(HEX2DEC(MID('paste from garc here'!$C$1,1+(('table for research'!$B687-1)*36+HEX2DEC(9))*2,2)&amp;MID('paste from garc here'!$C$1,1+(('table for research'!$B687-1)*36+HEX2DEC(8))*2,2)),11),2)</f>
        <v>00</v>
      </c>
      <c r="P687" t="str">
        <f>MID('paste from garc here'!$C$2,1+(('table for research'!$B687-456)*36+HEX2DEC('table for research'!P$1))*2,2)</f>
        <v>00</v>
      </c>
      <c r="Q687" t="str">
        <f>MID('paste from garc here'!$C$2,1+(('table for research'!$B687-456)*36+HEX2DEC('table for research'!Q$1))*2,2)</f>
        <v>00</v>
      </c>
      <c r="R687" t="str">
        <f>MID('paste from garc here'!$C$2,1+(('table for research'!$B687-456)*36+HEX2DEC('table for research'!R$1))*2,2)</f>
        <v>00</v>
      </c>
      <c r="S687" t="str">
        <f>MID('paste from garc here'!$C$2,1+(('table for research'!$B687-456)*36+HEX2DEC('table for research'!S$1))*2,2)</f>
        <v>01</v>
      </c>
      <c r="T687" t="str">
        <f>MID('paste from garc here'!$C$2,1+(('table for research'!$B687-456)*36+HEX2DEC('table for research'!T$1))*2,2)</f>
        <v>00</v>
      </c>
      <c r="U687" t="str">
        <f>MID('paste from garc here'!$C$2,1+(('table for research'!$B687-456)*36+HEX2DEC('table for research'!U$1))*2,2)</f>
        <v>E9</v>
      </c>
      <c r="V687" t="str">
        <f>MID('paste from garc here'!$C$2,1+(('table for research'!$B687-456)*36+HEX2DEC('table for research'!V$1))*2,2)</f>
        <v>00</v>
      </c>
      <c r="W687" t="str">
        <f>MID('paste from garc here'!$C$2,1+(('table for research'!$B687-456)*36+HEX2DEC('table for research'!W$1))*2,2)</f>
        <v>00</v>
      </c>
      <c r="X687" t="str">
        <f>MID('paste from garc here'!$C$2,1+(('table for research'!$B687-456)*36+HEX2DEC('table for research'!X$1))*2,2)</f>
        <v>00</v>
      </c>
      <c r="Y687" t="str">
        <f>MID('paste from garc here'!$C$2,1+(('table for research'!$B687-456)*36+HEX2DEC('table for research'!Y$1))*2,2)</f>
        <v>00</v>
      </c>
      <c r="Z687" t="str">
        <f>MID('paste from garc here'!$C$2,1+(('table for research'!$B687-456)*36+HEX2DEC('table for research'!Z$1))*2,2)</f>
        <v>00</v>
      </c>
      <c r="AA687" t="str">
        <f>MID('paste from garc here'!$C$2,1+(('table for research'!$B687-456)*36+HEX2DEC('table for research'!AA$1))*2,2)</f>
        <v>00</v>
      </c>
      <c r="AB687" t="str">
        <f>MID('paste from garc here'!$C$2,1+(('table for research'!$B687-456)*36+HEX2DEC('table for research'!AB$1))*2,2)</f>
        <v>00</v>
      </c>
      <c r="AC687" t="str">
        <f>MID('paste from garc here'!$C$2,1+(('table for research'!$B687-456)*36+HEX2DEC('table for research'!AC$1))*2,2)</f>
        <v>00</v>
      </c>
      <c r="AD687" t="str">
        <f>MID('paste from garc here'!$C$2,1+(('table for research'!$B687-456)*36+HEX2DEC('table for research'!AD$1))*2,2)</f>
        <v>00</v>
      </c>
      <c r="AE687" t="str">
        <f>MID('paste from garc here'!$C$2,1+(('table for research'!$B687-456)*36+HEX2DEC('table for research'!AE$1))*2,2)</f>
        <v>00</v>
      </c>
      <c r="AF687" t="str">
        <f>MID('paste from garc here'!$C$2,1+(('table for research'!$B687-456)*36+HEX2DEC('table for research'!AF$1))*2,2)</f>
        <v>00</v>
      </c>
      <c r="AG687" t="str">
        <f>MID('paste from garc here'!$C$2,1+(('table for research'!$B687-456)*36+HEX2DEC('table for research'!AG$1))*2,2)</f>
        <v>00</v>
      </c>
      <c r="AH687" t="str">
        <f>MID('paste from garc here'!$C$2,1+(('table for research'!$B687-456)*36+HEX2DEC('table for research'!AH$1))*2,2)</f>
        <v>00</v>
      </c>
      <c r="AI687" t="str">
        <f>MID('paste from garc here'!$C$2,1+(('table for research'!$B687-456)*36+HEX2DEC('table for research'!AI$1))*2,2)</f>
        <v>00</v>
      </c>
      <c r="AJ687" t="str">
        <f>MID('paste from garc here'!$C$2,1+(('table for research'!$B687-456)*36+HEX2DEC('table for research'!AJ$1))*2,2)</f>
        <v>00</v>
      </c>
      <c r="AK687" t="str">
        <f>MID('paste from garc here'!$C$2,1+(('table for research'!$B687-456)*36+HEX2DEC('table for research'!AK$1))*2,2)</f>
        <v>00</v>
      </c>
      <c r="AL687" t="str">
        <f>MID('paste from garc here'!$C$2,1+(('table for research'!$B687-456)*36+HEX2DEC('table for research'!AL$1))*2,2)</f>
        <v>00</v>
      </c>
      <c r="AM687" t="str">
        <f>MID('paste from garc here'!$C$2,1+(('table for research'!$B687-456)*36+HEX2DEC('table for research'!AM$1))*2,2)</f>
        <v>00</v>
      </c>
      <c r="AN687" t="str">
        <f>MID('paste from garc here'!$C$2,1+(('table for research'!$B687-456)*36+HEX2DEC('table for research'!AN$1))*2,2)</f>
        <v>00</v>
      </c>
      <c r="AO687" t="str">
        <f>MID('paste from garc here'!$C$2,1+(('table for research'!$B687-456)*36+HEX2DEC('table for research'!AO$1))*2,2)</f>
        <v>00</v>
      </c>
    </row>
    <row r="688" spans="1:41" x14ac:dyDescent="0.4">
      <c r="A688" t="s">
        <v>687</v>
      </c>
      <c r="B688">
        <f>B687+1</f>
        <v>686</v>
      </c>
      <c r="C688" t="str">
        <f>MID('paste from garc here'!$C$2,1+(('table for research'!$B688-456)*36+HEX2DEC('table for research'!C$1))*2,2)</f>
        <v>02</v>
      </c>
      <c r="D688" t="str">
        <f>MID('paste from garc here'!$C$2,1+(('table for research'!$B688-456)*36+HEX2DEC('table for research'!D$1))*2,2)</f>
        <v>00</v>
      </c>
      <c r="E688" t="str">
        <f>MID('paste from garc here'!$C$2,1+(('table for research'!$B688-456)*36+HEX2DEC('table for research'!E$1))*2,2)</f>
        <v>B3</v>
      </c>
      <c r="F688" t="str">
        <f>MID('paste from garc here'!$C$2,1+(('table for research'!$B688-456)*36+HEX2DEC('table for research'!F$1))*2,2)</f>
        <v>00</v>
      </c>
      <c r="G688" t="str">
        <f>MID('paste from garc here'!$C$2,1+(('table for research'!$B688-456)*36+HEX2DEC('table for research'!G$1))*2,2)</f>
        <v>00</v>
      </c>
      <c r="H688" t="str">
        <f>MID('paste from garc here'!$C$2,1+(('table for research'!$B688-456)*36+HEX2DEC('table for research'!H$1))*2,2)</f>
        <v>00</v>
      </c>
      <c r="I688" t="str">
        <f>MID('paste from garc here'!$C$2,1+(('table for research'!$B688-456)*36+HEX2DEC('table for research'!I$1))*2,2)</f>
        <v>0A</v>
      </c>
      <c r="J688" t="str">
        <f>MID('paste from garc here'!$C$2,1+(('table for research'!$B688-456)*36+HEX2DEC('table for research'!J$1))*2,2)</f>
        <v>50</v>
      </c>
      <c r="K688" t="str">
        <f>DEC2HEX(_xlfn.BITAND(HEX2DEC(MID('paste from garc here'!$C$1,1+(('table for research'!$B688-1)*36+HEX2DEC(8))*2,2)),31),2)</f>
        <v>00</v>
      </c>
      <c r="L688" t="str">
        <f>DEC2HEX(_xlfn.BITAND(HEX2DEC(MID('paste from garc here'!$C$1,1+(('table for research'!$B688-1)*36+HEX2DEC(8))*2,2)),32),2)</f>
        <v>00</v>
      </c>
      <c r="M688" t="str">
        <f>DEC2HEX(_xlfn.BITAND(HEX2DEC(MID('paste from garc here'!$C$1,1+(('table for research'!$B688-1)*36+HEX2DEC(8))*2,2)),64),2)</f>
        <v>00</v>
      </c>
      <c r="N688" t="str">
        <f>DEC2HEX(_xlfn.BITRSHIFT(_xlfn.BITAND(HEX2DEC(MID('paste from garc here'!$C$1,1+(('table for research'!$B688-1)*36+HEX2DEC(9))*2,2)&amp;MID('paste from garc here'!$C$1,1+(('table for research'!$B688-1)*36+HEX2DEC(8))*2,2)),1920),7),2)</f>
        <v>00</v>
      </c>
      <c r="O688" t="str">
        <f>DEC2HEX(_xlfn.BITRSHIFT(HEX2DEC(MID('paste from garc here'!$C$1,1+(('table for research'!$B688-1)*36+HEX2DEC(9))*2,2)&amp;MID('paste from garc here'!$C$1,1+(('table for research'!$B688-1)*36+HEX2DEC(8))*2,2)),11),2)</f>
        <v>00</v>
      </c>
      <c r="P688" t="str">
        <f>MID('paste from garc here'!$C$2,1+(('table for research'!$B688-456)*36+HEX2DEC('table for research'!P$1))*2,2)</f>
        <v>0C</v>
      </c>
      <c r="Q688" t="str">
        <f>MID('paste from garc here'!$C$2,1+(('table for research'!$B688-456)*36+HEX2DEC('table for research'!Q$1))*2,2)</f>
        <v>00</v>
      </c>
      <c r="R688" t="str">
        <f>MID('paste from garc here'!$C$2,1+(('table for research'!$B688-456)*36+HEX2DEC('table for research'!R$1))*2,2)</f>
        <v>01</v>
      </c>
      <c r="S688" t="str">
        <f>MID('paste from garc here'!$C$2,1+(('table for research'!$B688-456)*36+HEX2DEC('table for research'!S$1))*2,2)</f>
        <v>07</v>
      </c>
      <c r="T688" t="str">
        <f>MID('paste from garc here'!$C$2,1+(('table for research'!$B688-456)*36+HEX2DEC('table for research'!T$1))*2,2)</f>
        <v>01</v>
      </c>
      <c r="U688" t="str">
        <f>MID('paste from garc here'!$C$2,1+(('table for research'!$B688-456)*36+HEX2DEC('table for research'!U$1))*2,2)</f>
        <v>40</v>
      </c>
      <c r="V688" t="str">
        <f>MID('paste from garc here'!$C$2,1+(('table for research'!$B688-456)*36+HEX2DEC('table for research'!V$1))*2,2)</f>
        <v>00</v>
      </c>
      <c r="W688" t="str">
        <f>MID('paste from garc here'!$C$2,1+(('table for research'!$B688-456)*36+HEX2DEC('table for research'!W$1))*2,2)</f>
        <v>00</v>
      </c>
      <c r="X688" t="str">
        <f>MID('paste from garc here'!$C$2,1+(('table for research'!$B688-456)*36+HEX2DEC('table for research'!X$1))*2,2)</f>
        <v>00</v>
      </c>
      <c r="Y688" t="str">
        <f>MID('paste from garc here'!$C$2,1+(('table for research'!$B688-456)*36+HEX2DEC('table for research'!Y$1))*2,2)</f>
        <v>00</v>
      </c>
      <c r="Z688" t="str">
        <f>MID('paste from garc here'!$C$2,1+(('table for research'!$B688-456)*36+HEX2DEC('table for research'!Z$1))*2,2)</f>
        <v>00</v>
      </c>
      <c r="AA688" t="str">
        <f>MID('paste from garc here'!$C$2,1+(('table for research'!$B688-456)*36+HEX2DEC('table for research'!AA$1))*2,2)</f>
        <v>00</v>
      </c>
      <c r="AB688" t="str">
        <f>MID('paste from garc here'!$C$2,1+(('table for research'!$B688-456)*36+HEX2DEC('table for research'!AB$1))*2,2)</f>
        <v>00</v>
      </c>
      <c r="AC688" t="str">
        <f>MID('paste from garc here'!$C$2,1+(('table for research'!$B688-456)*36+HEX2DEC('table for research'!AC$1))*2,2)</f>
        <v>00</v>
      </c>
      <c r="AD688" t="str">
        <f>MID('paste from garc here'!$C$2,1+(('table for research'!$B688-456)*36+HEX2DEC('table for research'!AD$1))*2,2)</f>
        <v>00</v>
      </c>
      <c r="AE688" t="str">
        <f>MID('paste from garc here'!$C$2,1+(('table for research'!$B688-456)*36+HEX2DEC('table for research'!AE$1))*2,2)</f>
        <v>00</v>
      </c>
      <c r="AF688" t="str">
        <f>MID('paste from garc here'!$C$2,1+(('table for research'!$B688-456)*36+HEX2DEC('table for research'!AF$1))*2,2)</f>
        <v>00</v>
      </c>
      <c r="AG688" t="str">
        <f>MID('paste from garc here'!$C$2,1+(('table for research'!$B688-456)*36+HEX2DEC('table for research'!AG$1))*2,2)</f>
        <v>00</v>
      </c>
      <c r="AH688" t="str">
        <f>MID('paste from garc here'!$C$2,1+(('table for research'!$B688-456)*36+HEX2DEC('table for research'!AH$1))*2,2)</f>
        <v>00</v>
      </c>
      <c r="AI688" t="str">
        <f>MID('paste from garc here'!$C$2,1+(('table for research'!$B688-456)*36+HEX2DEC('table for research'!AI$1))*2,2)</f>
        <v>00</v>
      </c>
      <c r="AJ688" t="str">
        <f>MID('paste from garc here'!$C$2,1+(('table for research'!$B688-456)*36+HEX2DEC('table for research'!AJ$1))*2,2)</f>
        <v>00</v>
      </c>
      <c r="AK688" t="str">
        <f>MID('paste from garc here'!$C$2,1+(('table for research'!$B688-456)*36+HEX2DEC('table for research'!AK$1))*2,2)</f>
        <v>00</v>
      </c>
      <c r="AL688" t="str">
        <f>MID('paste from garc here'!$C$2,1+(('table for research'!$B688-456)*36+HEX2DEC('table for research'!AL$1))*2,2)</f>
        <v>00</v>
      </c>
      <c r="AM688" t="str">
        <f>MID('paste from garc here'!$C$2,1+(('table for research'!$B688-456)*36+HEX2DEC('table for research'!AM$1))*2,2)</f>
        <v>00</v>
      </c>
      <c r="AN688" t="str">
        <f>MID('paste from garc here'!$C$2,1+(('table for research'!$B688-456)*36+HEX2DEC('table for research'!AN$1))*2,2)</f>
        <v>00</v>
      </c>
      <c r="AO688" t="str">
        <f>MID('paste from garc here'!$C$2,1+(('table for research'!$B688-456)*36+HEX2DEC('table for research'!AO$1))*2,2)</f>
        <v>00</v>
      </c>
    </row>
    <row r="689" spans="1:41" x14ac:dyDescent="0.4">
      <c r="A689" t="s">
        <v>688</v>
      </c>
      <c r="B689">
        <f>B688+1</f>
        <v>687</v>
      </c>
      <c r="C689" t="str">
        <f>MID('paste from garc here'!$C$2,1+(('table for research'!$B689-456)*36+HEX2DEC('table for research'!C$1))*2,2)</f>
        <v>02</v>
      </c>
      <c r="D689" t="str">
        <f>MID('paste from garc here'!$C$2,1+(('table for research'!$B689-456)*36+HEX2DEC('table for research'!D$1))*2,2)</f>
        <v>00</v>
      </c>
      <c r="E689" t="str">
        <f>MID('paste from garc here'!$C$2,1+(('table for research'!$B689-456)*36+HEX2DEC('table for research'!E$1))*2,2)</f>
        <v>B4</v>
      </c>
      <c r="F689" t="str">
        <f>MID('paste from garc here'!$C$2,1+(('table for research'!$B689-456)*36+HEX2DEC('table for research'!F$1))*2,2)</f>
        <v>00</v>
      </c>
      <c r="G689" t="str">
        <f>MID('paste from garc here'!$C$2,1+(('table for research'!$B689-456)*36+HEX2DEC('table for research'!G$1))*2,2)</f>
        <v>00</v>
      </c>
      <c r="H689" t="str">
        <f>MID('paste from garc here'!$C$2,1+(('table for research'!$B689-456)*36+HEX2DEC('table for research'!H$1))*2,2)</f>
        <v>11</v>
      </c>
      <c r="I689" t="str">
        <f>MID('paste from garc here'!$C$2,1+(('table for research'!$B689-456)*36+HEX2DEC('table for research'!I$1))*2,2)</f>
        <v>0A</v>
      </c>
      <c r="J689" t="str">
        <f>MID('paste from garc here'!$C$2,1+(('table for research'!$B689-456)*36+HEX2DEC('table for research'!J$1))*2,2)</f>
        <v>64</v>
      </c>
      <c r="K689" t="str">
        <f>DEC2HEX(_xlfn.BITAND(HEX2DEC(MID('paste from garc here'!$C$1,1+(('table for research'!$B689-1)*36+HEX2DEC(8))*2,2)),31),2)</f>
        <v>00</v>
      </c>
      <c r="L689" t="str">
        <f>DEC2HEX(_xlfn.BITAND(HEX2DEC(MID('paste from garc here'!$C$1,1+(('table for research'!$B689-1)*36+HEX2DEC(8))*2,2)),32),2)</f>
        <v>00</v>
      </c>
      <c r="M689" t="str">
        <f>DEC2HEX(_xlfn.BITAND(HEX2DEC(MID('paste from garc here'!$C$1,1+(('table for research'!$B689-1)*36+HEX2DEC(8))*2,2)),64),2)</f>
        <v>00</v>
      </c>
      <c r="N689" t="str">
        <f>DEC2HEX(_xlfn.BITRSHIFT(_xlfn.BITAND(HEX2DEC(MID('paste from garc here'!$C$1,1+(('table for research'!$B689-1)*36+HEX2DEC(9))*2,2)&amp;MID('paste from garc here'!$C$1,1+(('table for research'!$B689-1)*36+HEX2DEC(8))*2,2)),1920),7),2)</f>
        <v>00</v>
      </c>
      <c r="O689" t="str">
        <f>DEC2HEX(_xlfn.BITRSHIFT(HEX2DEC(MID('paste from garc here'!$C$1,1+(('table for research'!$B689-1)*36+HEX2DEC(9))*2,2)&amp;MID('paste from garc here'!$C$1,1+(('table for research'!$B689-1)*36+HEX2DEC(8))*2,2)),11),2)</f>
        <v>00</v>
      </c>
      <c r="P689" t="str">
        <f>MID('paste from garc here'!$C$2,1+(('table for research'!$B689-456)*36+HEX2DEC('table for research'!P$1))*2,2)</f>
        <v>0C</v>
      </c>
      <c r="Q689" t="str">
        <f>MID('paste from garc here'!$C$2,1+(('table for research'!$B689-456)*36+HEX2DEC('table for research'!Q$1))*2,2)</f>
        <v>00</v>
      </c>
      <c r="R689" t="str">
        <f>MID('paste from garc here'!$C$2,1+(('table for research'!$B689-456)*36+HEX2DEC('table for research'!R$1))*2,2)</f>
        <v>01</v>
      </c>
      <c r="S689" t="str">
        <f>MID('paste from garc here'!$C$2,1+(('table for research'!$B689-456)*36+HEX2DEC('table for research'!S$1))*2,2)</f>
        <v>07</v>
      </c>
      <c r="T689" t="str">
        <f>MID('paste from garc here'!$C$2,1+(('table for research'!$B689-456)*36+HEX2DEC('table for research'!T$1))*2,2)</f>
        <v>01</v>
      </c>
      <c r="U689" t="str">
        <f>MID('paste from garc here'!$C$2,1+(('table for research'!$B689-456)*36+HEX2DEC('table for research'!U$1))*2,2)</f>
        <v>41</v>
      </c>
      <c r="V689" t="str">
        <f>MID('paste from garc here'!$C$2,1+(('table for research'!$B689-456)*36+HEX2DEC('table for research'!V$1))*2,2)</f>
        <v>00</v>
      </c>
      <c r="W689" t="str">
        <f>MID('paste from garc here'!$C$2,1+(('table for research'!$B689-456)*36+HEX2DEC('table for research'!W$1))*2,2)</f>
        <v>00</v>
      </c>
      <c r="X689" t="str">
        <f>MID('paste from garc here'!$C$2,1+(('table for research'!$B689-456)*36+HEX2DEC('table for research'!X$1))*2,2)</f>
        <v>00</v>
      </c>
      <c r="Y689" t="str">
        <f>MID('paste from garc here'!$C$2,1+(('table for research'!$B689-456)*36+HEX2DEC('table for research'!Y$1))*2,2)</f>
        <v>00</v>
      </c>
      <c r="Z689" t="str">
        <f>MID('paste from garc here'!$C$2,1+(('table for research'!$B689-456)*36+HEX2DEC('table for research'!Z$1))*2,2)</f>
        <v>00</v>
      </c>
      <c r="AA689" t="str">
        <f>MID('paste from garc here'!$C$2,1+(('table for research'!$B689-456)*36+HEX2DEC('table for research'!AA$1))*2,2)</f>
        <v>00</v>
      </c>
      <c r="AB689" t="str">
        <f>MID('paste from garc here'!$C$2,1+(('table for research'!$B689-456)*36+HEX2DEC('table for research'!AB$1))*2,2)</f>
        <v>00</v>
      </c>
      <c r="AC689" t="str">
        <f>MID('paste from garc here'!$C$2,1+(('table for research'!$B689-456)*36+HEX2DEC('table for research'!AC$1))*2,2)</f>
        <v>00</v>
      </c>
      <c r="AD689" t="str">
        <f>MID('paste from garc here'!$C$2,1+(('table for research'!$B689-456)*36+HEX2DEC('table for research'!AD$1))*2,2)</f>
        <v>00</v>
      </c>
      <c r="AE689" t="str">
        <f>MID('paste from garc here'!$C$2,1+(('table for research'!$B689-456)*36+HEX2DEC('table for research'!AE$1))*2,2)</f>
        <v>00</v>
      </c>
      <c r="AF689" t="str">
        <f>MID('paste from garc here'!$C$2,1+(('table for research'!$B689-456)*36+HEX2DEC('table for research'!AF$1))*2,2)</f>
        <v>00</v>
      </c>
      <c r="AG689" t="str">
        <f>MID('paste from garc here'!$C$2,1+(('table for research'!$B689-456)*36+HEX2DEC('table for research'!AG$1))*2,2)</f>
        <v>00</v>
      </c>
      <c r="AH689" t="str">
        <f>MID('paste from garc here'!$C$2,1+(('table for research'!$B689-456)*36+HEX2DEC('table for research'!AH$1))*2,2)</f>
        <v>00</v>
      </c>
      <c r="AI689" t="str">
        <f>MID('paste from garc here'!$C$2,1+(('table for research'!$B689-456)*36+HEX2DEC('table for research'!AI$1))*2,2)</f>
        <v>00</v>
      </c>
      <c r="AJ689" t="str">
        <f>MID('paste from garc here'!$C$2,1+(('table for research'!$B689-456)*36+HEX2DEC('table for research'!AJ$1))*2,2)</f>
        <v>00</v>
      </c>
      <c r="AK689" t="str">
        <f>MID('paste from garc here'!$C$2,1+(('table for research'!$B689-456)*36+HEX2DEC('table for research'!AK$1))*2,2)</f>
        <v>00</v>
      </c>
      <c r="AL689" t="str">
        <f>MID('paste from garc here'!$C$2,1+(('table for research'!$B689-456)*36+HEX2DEC('table for research'!AL$1))*2,2)</f>
        <v>00</v>
      </c>
      <c r="AM689" t="str">
        <f>MID('paste from garc here'!$C$2,1+(('table for research'!$B689-456)*36+HEX2DEC('table for research'!AM$1))*2,2)</f>
        <v>00</v>
      </c>
      <c r="AN689" t="str">
        <f>MID('paste from garc here'!$C$2,1+(('table for research'!$B689-456)*36+HEX2DEC('table for research'!AN$1))*2,2)</f>
        <v>00</v>
      </c>
      <c r="AO689" t="str">
        <f>MID('paste from garc here'!$C$2,1+(('table for research'!$B689-456)*36+HEX2DEC('table for research'!AO$1))*2,2)</f>
        <v>00</v>
      </c>
    </row>
    <row r="690" spans="1:41" x14ac:dyDescent="0.4">
      <c r="A690" t="s">
        <v>689</v>
      </c>
      <c r="B690">
        <f>B689+1</f>
        <v>688</v>
      </c>
      <c r="C690" t="str">
        <f>MID('paste from garc here'!$C$2,1+(('table for research'!$B690-456)*36+HEX2DEC('table for research'!C$1))*2,2)</f>
        <v>02</v>
      </c>
      <c r="D690" t="str">
        <f>MID('paste from garc here'!$C$2,1+(('table for research'!$B690-456)*36+HEX2DEC('table for research'!D$1))*2,2)</f>
        <v>00</v>
      </c>
      <c r="E690" t="str">
        <f>MID('paste from garc here'!$C$2,1+(('table for research'!$B690-456)*36+HEX2DEC('table for research'!E$1))*2,2)</f>
        <v>B5</v>
      </c>
      <c r="F690" t="str">
        <f>MID('paste from garc here'!$C$2,1+(('table for research'!$B690-456)*36+HEX2DEC('table for research'!F$1))*2,2)</f>
        <v>00</v>
      </c>
      <c r="G690" t="str">
        <f>MID('paste from garc here'!$C$2,1+(('table for research'!$B690-456)*36+HEX2DEC('table for research'!G$1))*2,2)</f>
        <v>00</v>
      </c>
      <c r="H690" t="str">
        <f>MID('paste from garc here'!$C$2,1+(('table for research'!$B690-456)*36+HEX2DEC('table for research'!H$1))*2,2)</f>
        <v>14</v>
      </c>
      <c r="I690" t="str">
        <f>MID('paste from garc here'!$C$2,1+(('table for research'!$B690-456)*36+HEX2DEC('table for research'!I$1))*2,2)</f>
        <v>0A</v>
      </c>
      <c r="J690" t="str">
        <f>MID('paste from garc here'!$C$2,1+(('table for research'!$B690-456)*36+HEX2DEC('table for research'!J$1))*2,2)</f>
        <v>64</v>
      </c>
      <c r="K690" t="str">
        <f>DEC2HEX(_xlfn.BITAND(HEX2DEC(MID('paste from garc here'!$C$1,1+(('table for research'!$B690-1)*36+HEX2DEC(8))*2,2)),31),2)</f>
        <v>00</v>
      </c>
      <c r="L690" t="str">
        <f>DEC2HEX(_xlfn.BITAND(HEX2DEC(MID('paste from garc here'!$C$1,1+(('table for research'!$B690-1)*36+HEX2DEC(8))*2,2)),32),2)</f>
        <v>00</v>
      </c>
      <c r="M690" t="str">
        <f>DEC2HEX(_xlfn.BITAND(HEX2DEC(MID('paste from garc here'!$C$1,1+(('table for research'!$B690-1)*36+HEX2DEC(8))*2,2)),64),2)</f>
        <v>00</v>
      </c>
      <c r="N690" t="str">
        <f>DEC2HEX(_xlfn.BITRSHIFT(_xlfn.BITAND(HEX2DEC(MID('paste from garc here'!$C$1,1+(('table for research'!$B690-1)*36+HEX2DEC(9))*2,2)&amp;MID('paste from garc here'!$C$1,1+(('table for research'!$B690-1)*36+HEX2DEC(8))*2,2)),1920),7),2)</f>
        <v>00</v>
      </c>
      <c r="O690" t="str">
        <f>DEC2HEX(_xlfn.BITRSHIFT(HEX2DEC(MID('paste from garc here'!$C$1,1+(('table for research'!$B690-1)*36+HEX2DEC(9))*2,2)&amp;MID('paste from garc here'!$C$1,1+(('table for research'!$B690-1)*36+HEX2DEC(8))*2,2)),11),2)</f>
        <v>00</v>
      </c>
      <c r="P690" t="str">
        <f>MID('paste from garc here'!$C$2,1+(('table for research'!$B690-456)*36+HEX2DEC('table for research'!P$1))*2,2)</f>
        <v>0C</v>
      </c>
      <c r="Q690" t="str">
        <f>MID('paste from garc here'!$C$2,1+(('table for research'!$B690-456)*36+HEX2DEC('table for research'!Q$1))*2,2)</f>
        <v>00</v>
      </c>
      <c r="R690" t="str">
        <f>MID('paste from garc here'!$C$2,1+(('table for research'!$B690-456)*36+HEX2DEC('table for research'!R$1))*2,2)</f>
        <v>01</v>
      </c>
      <c r="S690" t="str">
        <f>MID('paste from garc here'!$C$2,1+(('table for research'!$B690-456)*36+HEX2DEC('table for research'!S$1))*2,2)</f>
        <v>07</v>
      </c>
      <c r="T690" t="str">
        <f>MID('paste from garc here'!$C$2,1+(('table for research'!$B690-456)*36+HEX2DEC('table for research'!T$1))*2,2)</f>
        <v>01</v>
      </c>
      <c r="U690" t="str">
        <f>MID('paste from garc here'!$C$2,1+(('table for research'!$B690-456)*36+HEX2DEC('table for research'!U$1))*2,2)</f>
        <v>42</v>
      </c>
      <c r="V690" t="str">
        <f>MID('paste from garc here'!$C$2,1+(('table for research'!$B690-456)*36+HEX2DEC('table for research'!V$1))*2,2)</f>
        <v>00</v>
      </c>
      <c r="W690" t="str">
        <f>MID('paste from garc here'!$C$2,1+(('table for research'!$B690-456)*36+HEX2DEC('table for research'!W$1))*2,2)</f>
        <v>00</v>
      </c>
      <c r="X690" t="str">
        <f>MID('paste from garc here'!$C$2,1+(('table for research'!$B690-456)*36+HEX2DEC('table for research'!X$1))*2,2)</f>
        <v>00</v>
      </c>
      <c r="Y690" t="str">
        <f>MID('paste from garc here'!$C$2,1+(('table for research'!$B690-456)*36+HEX2DEC('table for research'!Y$1))*2,2)</f>
        <v>00</v>
      </c>
      <c r="Z690" t="str">
        <f>MID('paste from garc here'!$C$2,1+(('table for research'!$B690-456)*36+HEX2DEC('table for research'!Z$1))*2,2)</f>
        <v>00</v>
      </c>
      <c r="AA690" t="str">
        <f>MID('paste from garc here'!$C$2,1+(('table for research'!$B690-456)*36+HEX2DEC('table for research'!AA$1))*2,2)</f>
        <v>00</v>
      </c>
      <c r="AB690" t="str">
        <f>MID('paste from garc here'!$C$2,1+(('table for research'!$B690-456)*36+HEX2DEC('table for research'!AB$1))*2,2)</f>
        <v>00</v>
      </c>
      <c r="AC690" t="str">
        <f>MID('paste from garc here'!$C$2,1+(('table for research'!$B690-456)*36+HEX2DEC('table for research'!AC$1))*2,2)</f>
        <v>00</v>
      </c>
      <c r="AD690" t="str">
        <f>MID('paste from garc here'!$C$2,1+(('table for research'!$B690-456)*36+HEX2DEC('table for research'!AD$1))*2,2)</f>
        <v>00</v>
      </c>
      <c r="AE690" t="str">
        <f>MID('paste from garc here'!$C$2,1+(('table for research'!$B690-456)*36+HEX2DEC('table for research'!AE$1))*2,2)</f>
        <v>00</v>
      </c>
      <c r="AF690" t="str">
        <f>MID('paste from garc here'!$C$2,1+(('table for research'!$B690-456)*36+HEX2DEC('table for research'!AF$1))*2,2)</f>
        <v>00</v>
      </c>
      <c r="AG690" t="str">
        <f>MID('paste from garc here'!$C$2,1+(('table for research'!$B690-456)*36+HEX2DEC('table for research'!AG$1))*2,2)</f>
        <v>00</v>
      </c>
      <c r="AH690" t="str">
        <f>MID('paste from garc here'!$C$2,1+(('table for research'!$B690-456)*36+HEX2DEC('table for research'!AH$1))*2,2)</f>
        <v>00</v>
      </c>
      <c r="AI690" t="str">
        <f>MID('paste from garc here'!$C$2,1+(('table for research'!$B690-456)*36+HEX2DEC('table for research'!AI$1))*2,2)</f>
        <v>00</v>
      </c>
      <c r="AJ690" t="str">
        <f>MID('paste from garc here'!$C$2,1+(('table for research'!$B690-456)*36+HEX2DEC('table for research'!AJ$1))*2,2)</f>
        <v>00</v>
      </c>
      <c r="AK690" t="str">
        <f>MID('paste from garc here'!$C$2,1+(('table for research'!$B690-456)*36+HEX2DEC('table for research'!AK$1))*2,2)</f>
        <v>00</v>
      </c>
      <c r="AL690" t="str">
        <f>MID('paste from garc here'!$C$2,1+(('table for research'!$B690-456)*36+HEX2DEC('table for research'!AL$1))*2,2)</f>
        <v>00</v>
      </c>
      <c r="AM690" t="str">
        <f>MID('paste from garc here'!$C$2,1+(('table for research'!$B690-456)*36+HEX2DEC('table for research'!AM$1))*2,2)</f>
        <v>00</v>
      </c>
      <c r="AN690" t="str">
        <f>MID('paste from garc here'!$C$2,1+(('table for research'!$B690-456)*36+HEX2DEC('table for research'!AN$1))*2,2)</f>
        <v>00</v>
      </c>
      <c r="AO690" t="str">
        <f>MID('paste from garc here'!$C$2,1+(('table for research'!$B690-456)*36+HEX2DEC('table for research'!AO$1))*2,2)</f>
        <v>00</v>
      </c>
    </row>
    <row r="691" spans="1:41" x14ac:dyDescent="0.4">
      <c r="A691" t="s">
        <v>690</v>
      </c>
      <c r="B691">
        <f>B690+1</f>
        <v>689</v>
      </c>
      <c r="C691" t="str">
        <f>MID('paste from garc here'!$C$2,1+(('table for research'!$B691-456)*36+HEX2DEC('table for research'!C$1))*2,2)</f>
        <v>00</v>
      </c>
      <c r="D691" t="str">
        <f>MID('paste from garc here'!$C$2,1+(('table for research'!$B691-456)*36+HEX2DEC('table for research'!D$1))*2,2)</f>
        <v>00</v>
      </c>
      <c r="E691" t="str">
        <f>MID('paste from garc here'!$C$2,1+(('table for research'!$B691-456)*36+HEX2DEC('table for research'!E$1))*2,2)</f>
        <v>00</v>
      </c>
      <c r="F691" t="str">
        <f>MID('paste from garc here'!$C$2,1+(('table for research'!$B691-456)*36+HEX2DEC('table for research'!F$1))*2,2)</f>
        <v>00</v>
      </c>
      <c r="G691" t="str">
        <f>MID('paste from garc here'!$C$2,1+(('table for research'!$B691-456)*36+HEX2DEC('table for research'!G$1))*2,2)</f>
        <v>00</v>
      </c>
      <c r="H691" t="str">
        <f>MID('paste from garc here'!$C$2,1+(('table for research'!$B691-456)*36+HEX2DEC('table for research'!H$1))*2,2)</f>
        <v>00</v>
      </c>
      <c r="I691" t="str">
        <f>MID('paste from garc here'!$C$2,1+(('table for research'!$B691-456)*36+HEX2DEC('table for research'!I$1))*2,2)</f>
        <v>00</v>
      </c>
      <c r="J691" t="str">
        <f>MID('paste from garc here'!$C$2,1+(('table for research'!$B691-456)*36+HEX2DEC('table for research'!J$1))*2,2)</f>
        <v>00</v>
      </c>
      <c r="K691" t="str">
        <f>DEC2HEX(_xlfn.BITAND(HEX2DEC(MID('paste from garc here'!$C$1,1+(('table for research'!$B691-1)*36+HEX2DEC(8))*2,2)),31),2)</f>
        <v>00</v>
      </c>
      <c r="L691" t="str">
        <f>DEC2HEX(_xlfn.BITAND(HEX2DEC(MID('paste from garc here'!$C$1,1+(('table for research'!$B691-1)*36+HEX2DEC(8))*2,2)),32),2)</f>
        <v>00</v>
      </c>
      <c r="M691" t="str">
        <f>DEC2HEX(_xlfn.BITAND(HEX2DEC(MID('paste from garc here'!$C$1,1+(('table for research'!$B691-1)*36+HEX2DEC(8))*2,2)),64),2)</f>
        <v>00</v>
      </c>
      <c r="N691" t="str">
        <f>DEC2HEX(_xlfn.BITRSHIFT(_xlfn.BITAND(HEX2DEC(MID('paste from garc here'!$C$1,1+(('table for research'!$B691-1)*36+HEX2DEC(9))*2,2)&amp;MID('paste from garc here'!$C$1,1+(('table for research'!$B691-1)*36+HEX2DEC(8))*2,2)),1920),7),2)</f>
        <v>00</v>
      </c>
      <c r="O691" t="str">
        <f>DEC2HEX(_xlfn.BITRSHIFT(HEX2DEC(MID('paste from garc here'!$C$1,1+(('table for research'!$B691-1)*36+HEX2DEC(9))*2,2)&amp;MID('paste from garc here'!$C$1,1+(('table for research'!$B691-1)*36+HEX2DEC(8))*2,2)),11),2)</f>
        <v>00</v>
      </c>
      <c r="P691" t="str">
        <f>MID('paste from garc here'!$C$2,1+(('table for research'!$B691-456)*36+HEX2DEC('table for research'!P$1))*2,2)</f>
        <v>00</v>
      </c>
      <c r="Q691" t="str">
        <f>MID('paste from garc here'!$C$2,1+(('table for research'!$B691-456)*36+HEX2DEC('table for research'!Q$1))*2,2)</f>
        <v>00</v>
      </c>
      <c r="R691" t="str">
        <f>MID('paste from garc here'!$C$2,1+(('table for research'!$B691-456)*36+HEX2DEC('table for research'!R$1))*2,2)</f>
        <v>00</v>
      </c>
      <c r="S691" t="str">
        <f>MID('paste from garc here'!$C$2,1+(('table for research'!$B691-456)*36+HEX2DEC('table for research'!S$1))*2,2)</f>
        <v>08</v>
      </c>
      <c r="T691" t="str">
        <f>MID('paste from garc here'!$C$2,1+(('table for research'!$B691-456)*36+HEX2DEC('table for research'!T$1))*2,2)</f>
        <v>00</v>
      </c>
      <c r="U691" t="str">
        <f>MID('paste from garc here'!$C$2,1+(('table for research'!$B691-456)*36+HEX2DEC('table for research'!U$1))*2,2)</f>
        <v>FF</v>
      </c>
      <c r="V691" t="str">
        <f>MID('paste from garc here'!$C$2,1+(('table for research'!$B691-456)*36+HEX2DEC('table for research'!V$1))*2,2)</f>
        <v>00</v>
      </c>
      <c r="W691" t="str">
        <f>MID('paste from garc here'!$C$2,1+(('table for research'!$B691-456)*36+HEX2DEC('table for research'!W$1))*2,2)</f>
        <v>00</v>
      </c>
      <c r="X691" t="str">
        <f>MID('paste from garc here'!$C$2,1+(('table for research'!$B691-456)*36+HEX2DEC('table for research'!X$1))*2,2)</f>
        <v>00</v>
      </c>
      <c r="Y691" t="str">
        <f>MID('paste from garc here'!$C$2,1+(('table for research'!$B691-456)*36+HEX2DEC('table for research'!Y$1))*2,2)</f>
        <v>00</v>
      </c>
      <c r="Z691" t="str">
        <f>MID('paste from garc here'!$C$2,1+(('table for research'!$B691-456)*36+HEX2DEC('table for research'!Z$1))*2,2)</f>
        <v>00</v>
      </c>
      <c r="AA691" t="str">
        <f>MID('paste from garc here'!$C$2,1+(('table for research'!$B691-456)*36+HEX2DEC('table for research'!AA$1))*2,2)</f>
        <v>00</v>
      </c>
      <c r="AB691" t="str">
        <f>MID('paste from garc here'!$C$2,1+(('table for research'!$B691-456)*36+HEX2DEC('table for research'!AB$1))*2,2)</f>
        <v>00</v>
      </c>
      <c r="AC691" t="str">
        <f>MID('paste from garc here'!$C$2,1+(('table for research'!$B691-456)*36+HEX2DEC('table for research'!AC$1))*2,2)</f>
        <v>00</v>
      </c>
      <c r="AD691" t="str">
        <f>MID('paste from garc here'!$C$2,1+(('table for research'!$B691-456)*36+HEX2DEC('table for research'!AD$1))*2,2)</f>
        <v>00</v>
      </c>
      <c r="AE691" t="str">
        <f>MID('paste from garc here'!$C$2,1+(('table for research'!$B691-456)*36+HEX2DEC('table for research'!AE$1))*2,2)</f>
        <v>00</v>
      </c>
      <c r="AF691" t="str">
        <f>MID('paste from garc here'!$C$2,1+(('table for research'!$B691-456)*36+HEX2DEC('table for research'!AF$1))*2,2)</f>
        <v>00</v>
      </c>
      <c r="AG691" t="str">
        <f>MID('paste from garc here'!$C$2,1+(('table for research'!$B691-456)*36+HEX2DEC('table for research'!AG$1))*2,2)</f>
        <v>00</v>
      </c>
      <c r="AH691" t="str">
        <f>MID('paste from garc here'!$C$2,1+(('table for research'!$B691-456)*36+HEX2DEC('table for research'!AH$1))*2,2)</f>
        <v>00</v>
      </c>
      <c r="AI691" t="str">
        <f>MID('paste from garc here'!$C$2,1+(('table for research'!$B691-456)*36+HEX2DEC('table for research'!AI$1))*2,2)</f>
        <v>00</v>
      </c>
      <c r="AJ691" t="str">
        <f>MID('paste from garc here'!$C$2,1+(('table for research'!$B691-456)*36+HEX2DEC('table for research'!AJ$1))*2,2)</f>
        <v>00</v>
      </c>
      <c r="AK691" t="str">
        <f>MID('paste from garc here'!$C$2,1+(('table for research'!$B691-456)*36+HEX2DEC('table for research'!AK$1))*2,2)</f>
        <v>00</v>
      </c>
      <c r="AL691" t="str">
        <f>MID('paste from garc here'!$C$2,1+(('table for research'!$B691-456)*36+HEX2DEC('table for research'!AL$1))*2,2)</f>
        <v>00</v>
      </c>
      <c r="AM691" t="str">
        <f>MID('paste from garc here'!$C$2,1+(('table for research'!$B691-456)*36+HEX2DEC('table for research'!AM$1))*2,2)</f>
        <v>00</v>
      </c>
      <c r="AN691" t="str">
        <f>MID('paste from garc here'!$C$2,1+(('table for research'!$B691-456)*36+HEX2DEC('table for research'!AN$1))*2,2)</f>
        <v>00</v>
      </c>
      <c r="AO691" t="str">
        <f>MID('paste from garc here'!$C$2,1+(('table for research'!$B691-456)*36+HEX2DEC('table for research'!AO$1))*2,2)</f>
        <v>00</v>
      </c>
    </row>
    <row r="692" spans="1:41" x14ac:dyDescent="0.4">
      <c r="A692" t="s">
        <v>691</v>
      </c>
      <c r="B692">
        <f>B691+1</f>
        <v>690</v>
      </c>
      <c r="C692" t="str">
        <f>MID('paste from garc here'!$C$2,1+(('table for research'!$B692-456)*36+HEX2DEC('table for research'!C$1))*2,2)</f>
        <v>C4</v>
      </c>
      <c r="D692" t="str">
        <f>MID('paste from garc here'!$C$2,1+(('table for research'!$B692-456)*36+HEX2DEC('table for research'!D$1))*2,2)</f>
        <v>09</v>
      </c>
      <c r="E692" t="str">
        <f>MID('paste from garc here'!$C$2,1+(('table for research'!$B692-456)*36+HEX2DEC('table for research'!E$1))*2,2)</f>
        <v>00</v>
      </c>
      <c r="F692" t="str">
        <f>MID('paste from garc here'!$C$2,1+(('table for research'!$B692-456)*36+HEX2DEC('table for research'!F$1))*2,2)</f>
        <v>00</v>
      </c>
      <c r="G692" t="str">
        <f>MID('paste from garc here'!$C$2,1+(('table for research'!$B692-456)*36+HEX2DEC('table for research'!G$1))*2,2)</f>
        <v>00</v>
      </c>
      <c r="H692" t="str">
        <f>MID('paste from garc here'!$C$2,1+(('table for research'!$B692-456)*36+HEX2DEC('table for research'!H$1))*2,2)</f>
        <v>00</v>
      </c>
      <c r="I692" t="str">
        <f>MID('paste from garc here'!$C$2,1+(('table for research'!$B692-456)*36+HEX2DEC('table for research'!I$1))*2,2)</f>
        <v>00</v>
      </c>
      <c r="J692" t="str">
        <f>MID('paste from garc here'!$C$2,1+(('table for research'!$B692-456)*36+HEX2DEC('table for research'!J$1))*2,2)</f>
        <v>00</v>
      </c>
      <c r="K692" t="str">
        <f>DEC2HEX(_xlfn.BITAND(HEX2DEC(MID('paste from garc here'!$C$1,1+(('table for research'!$B692-1)*36+HEX2DEC(8))*2,2)),31),2)</f>
        <v>00</v>
      </c>
      <c r="L692" t="str">
        <f>DEC2HEX(_xlfn.BITAND(HEX2DEC(MID('paste from garc here'!$C$1,1+(('table for research'!$B692-1)*36+HEX2DEC(8))*2,2)),32),2)</f>
        <v>00</v>
      </c>
      <c r="M692" t="str">
        <f>DEC2HEX(_xlfn.BITAND(HEX2DEC(MID('paste from garc here'!$C$1,1+(('table for research'!$B692-1)*36+HEX2DEC(8))*2,2)),64),2)</f>
        <v>00</v>
      </c>
      <c r="N692" t="str">
        <f>DEC2HEX(_xlfn.BITRSHIFT(_xlfn.BITAND(HEX2DEC(MID('paste from garc here'!$C$1,1+(('table for research'!$B692-1)*36+HEX2DEC(9))*2,2)&amp;MID('paste from garc here'!$C$1,1+(('table for research'!$B692-1)*36+HEX2DEC(8))*2,2)),1920),7),2)</f>
        <v>00</v>
      </c>
      <c r="O692" t="str">
        <f>DEC2HEX(_xlfn.BITRSHIFT(HEX2DEC(MID('paste from garc here'!$C$1,1+(('table for research'!$B692-1)*36+HEX2DEC(9))*2,2)&amp;MID('paste from garc here'!$C$1,1+(('table for research'!$B692-1)*36+HEX2DEC(8))*2,2)),11),2)</f>
        <v>00</v>
      </c>
      <c r="P692" t="str">
        <f>MID('paste from garc here'!$C$2,1+(('table for research'!$B692-456)*36+HEX2DEC('table for research'!P$1))*2,2)</f>
        <v>02</v>
      </c>
      <c r="Q692" t="str">
        <f>MID('paste from garc here'!$C$2,1+(('table for research'!$B692-456)*36+HEX2DEC('table for research'!Q$1))*2,2)</f>
        <v>00</v>
      </c>
      <c r="R692" t="str">
        <f>MID('paste from garc here'!$C$2,1+(('table for research'!$B692-456)*36+HEX2DEC('table for research'!R$1))*2,2)</f>
        <v>00</v>
      </c>
      <c r="S692" t="str">
        <f>MID('paste from garc here'!$C$2,1+(('table for research'!$B692-456)*36+HEX2DEC('table for research'!S$1))*2,2)</f>
        <v>06</v>
      </c>
      <c r="T692" t="str">
        <f>MID('paste from garc here'!$C$2,1+(('table for research'!$B692-456)*36+HEX2DEC('table for research'!T$1))*2,2)</f>
        <v>00</v>
      </c>
      <c r="U692" t="str">
        <f>MID('paste from garc here'!$C$2,1+(('table for research'!$B692-456)*36+HEX2DEC('table for research'!U$1))*2,2)</f>
        <v>5F</v>
      </c>
      <c r="V692" t="str">
        <f>MID('paste from garc here'!$C$2,1+(('table for research'!$B692-456)*36+HEX2DEC('table for research'!V$1))*2,2)</f>
        <v>00</v>
      </c>
      <c r="W692" t="str">
        <f>MID('paste from garc here'!$C$2,1+(('table for research'!$B692-456)*36+HEX2DEC('table for research'!W$1))*2,2)</f>
        <v>00</v>
      </c>
      <c r="X692" t="str">
        <f>MID('paste from garc here'!$C$2,1+(('table for research'!$B692-456)*36+HEX2DEC('table for research'!X$1))*2,2)</f>
        <v>00</v>
      </c>
      <c r="Y692" t="str">
        <f>MID('paste from garc here'!$C$2,1+(('table for research'!$B692-456)*36+HEX2DEC('table for research'!Y$1))*2,2)</f>
        <v>00</v>
      </c>
      <c r="Z692" t="str">
        <f>MID('paste from garc here'!$C$2,1+(('table for research'!$B692-456)*36+HEX2DEC('table for research'!Z$1))*2,2)</f>
        <v>00</v>
      </c>
      <c r="AA692" t="str">
        <f>MID('paste from garc here'!$C$2,1+(('table for research'!$B692-456)*36+HEX2DEC('table for research'!AA$1))*2,2)</f>
        <v>00</v>
      </c>
      <c r="AB692" t="str">
        <f>MID('paste from garc here'!$C$2,1+(('table for research'!$B692-456)*36+HEX2DEC('table for research'!AB$1))*2,2)</f>
        <v>00</v>
      </c>
      <c r="AC692" t="str">
        <f>MID('paste from garc here'!$C$2,1+(('table for research'!$B692-456)*36+HEX2DEC('table for research'!AC$1))*2,2)</f>
        <v>00</v>
      </c>
      <c r="AD692" t="str">
        <f>MID('paste from garc here'!$C$2,1+(('table for research'!$B692-456)*36+HEX2DEC('table for research'!AD$1))*2,2)</f>
        <v>00</v>
      </c>
      <c r="AE692" t="str">
        <f>MID('paste from garc here'!$C$2,1+(('table for research'!$B692-456)*36+HEX2DEC('table for research'!AE$1))*2,2)</f>
        <v>00</v>
      </c>
      <c r="AF692" t="str">
        <f>MID('paste from garc here'!$C$2,1+(('table for research'!$B692-456)*36+HEX2DEC('table for research'!AF$1))*2,2)</f>
        <v>00</v>
      </c>
      <c r="AG692" t="str">
        <f>MID('paste from garc here'!$C$2,1+(('table for research'!$B692-456)*36+HEX2DEC('table for research'!AG$1))*2,2)</f>
        <v>00</v>
      </c>
      <c r="AH692" t="str">
        <f>MID('paste from garc here'!$C$2,1+(('table for research'!$B692-456)*36+HEX2DEC('table for research'!AH$1))*2,2)</f>
        <v>00</v>
      </c>
      <c r="AI692" t="str">
        <f>MID('paste from garc here'!$C$2,1+(('table for research'!$B692-456)*36+HEX2DEC('table for research'!AI$1))*2,2)</f>
        <v>00</v>
      </c>
      <c r="AJ692" t="str">
        <f>MID('paste from garc here'!$C$2,1+(('table for research'!$B692-456)*36+HEX2DEC('table for research'!AJ$1))*2,2)</f>
        <v>00</v>
      </c>
      <c r="AK692" t="str">
        <f>MID('paste from garc here'!$C$2,1+(('table for research'!$B692-456)*36+HEX2DEC('table for research'!AK$1))*2,2)</f>
        <v>00</v>
      </c>
      <c r="AL692" t="str">
        <f>MID('paste from garc here'!$C$2,1+(('table for research'!$B692-456)*36+HEX2DEC('table for research'!AL$1))*2,2)</f>
        <v>00</v>
      </c>
      <c r="AM692" t="str">
        <f>MID('paste from garc here'!$C$2,1+(('table for research'!$B692-456)*36+HEX2DEC('table for research'!AM$1))*2,2)</f>
        <v>00</v>
      </c>
      <c r="AN692" t="str">
        <f>MID('paste from garc here'!$C$2,1+(('table for research'!$B692-456)*36+HEX2DEC('table for research'!AN$1))*2,2)</f>
        <v>00</v>
      </c>
      <c r="AO692" t="str">
        <f>MID('paste from garc here'!$C$2,1+(('table for research'!$B692-456)*36+HEX2DEC('table for research'!AO$1))*2,2)</f>
        <v>00</v>
      </c>
    </row>
    <row r="693" spans="1:41" x14ac:dyDescent="0.4">
      <c r="A693" t="s">
        <v>692</v>
      </c>
      <c r="B693">
        <f>B692+1</f>
        <v>691</v>
      </c>
      <c r="C693" t="str">
        <f>MID('paste from garc here'!$C$2,1+(('table for research'!$B693-456)*36+HEX2DEC('table for research'!C$1))*2,2)</f>
        <v>E8</v>
      </c>
      <c r="D693" t="str">
        <f>MID('paste from garc here'!$C$2,1+(('table for research'!$B693-456)*36+HEX2DEC('table for research'!D$1))*2,2)</f>
        <v>03</v>
      </c>
      <c r="E693" t="str">
        <f>MID('paste from garc here'!$C$2,1+(('table for research'!$B693-456)*36+HEX2DEC('table for research'!E$1))*2,2)</f>
        <v>00</v>
      </c>
      <c r="F693" t="str">
        <f>MID('paste from garc here'!$C$2,1+(('table for research'!$B693-456)*36+HEX2DEC('table for research'!F$1))*2,2)</f>
        <v>00</v>
      </c>
      <c r="G693" t="str">
        <f>MID('paste from garc here'!$C$2,1+(('table for research'!$B693-456)*36+HEX2DEC('table for research'!G$1))*2,2)</f>
        <v>00</v>
      </c>
      <c r="H693" t="str">
        <f>MID('paste from garc here'!$C$2,1+(('table for research'!$B693-456)*36+HEX2DEC('table for research'!H$1))*2,2)</f>
        <v>00</v>
      </c>
      <c r="I693" t="str">
        <f>MID('paste from garc here'!$C$2,1+(('table for research'!$B693-456)*36+HEX2DEC('table for research'!I$1))*2,2)</f>
        <v>00</v>
      </c>
      <c r="J693" t="str">
        <f>MID('paste from garc here'!$C$2,1+(('table for research'!$B693-456)*36+HEX2DEC('table for research'!J$1))*2,2)</f>
        <v>00</v>
      </c>
      <c r="K693" t="str">
        <f>DEC2HEX(_xlfn.BITAND(HEX2DEC(MID('paste from garc here'!$C$1,1+(('table for research'!$B693-1)*36+HEX2DEC(8))*2,2)),31),2)</f>
        <v>00</v>
      </c>
      <c r="L693" t="str">
        <f>DEC2HEX(_xlfn.BITAND(HEX2DEC(MID('paste from garc here'!$C$1,1+(('table for research'!$B693-1)*36+HEX2DEC(8))*2,2)),32),2)</f>
        <v>00</v>
      </c>
      <c r="M693" t="str">
        <f>DEC2HEX(_xlfn.BITAND(HEX2DEC(MID('paste from garc here'!$C$1,1+(('table for research'!$B693-1)*36+HEX2DEC(8))*2,2)),64),2)</f>
        <v>00</v>
      </c>
      <c r="N693" t="str">
        <f>DEC2HEX(_xlfn.BITRSHIFT(_xlfn.BITAND(HEX2DEC(MID('paste from garc here'!$C$1,1+(('table for research'!$B693-1)*36+HEX2DEC(9))*2,2)&amp;MID('paste from garc here'!$C$1,1+(('table for research'!$B693-1)*36+HEX2DEC(8))*2,2)),1920),7),2)</f>
        <v>00</v>
      </c>
      <c r="O693" t="str">
        <f>DEC2HEX(_xlfn.BITRSHIFT(HEX2DEC(MID('paste from garc here'!$C$1,1+(('table for research'!$B693-1)*36+HEX2DEC(9))*2,2)&amp;MID('paste from garc here'!$C$1,1+(('table for research'!$B693-1)*36+HEX2DEC(8))*2,2)),11),2)</f>
        <v>00</v>
      </c>
      <c r="P693" t="str">
        <f>MID('paste from garc here'!$C$2,1+(('table for research'!$B693-456)*36+HEX2DEC('table for research'!P$1))*2,2)</f>
        <v>02</v>
      </c>
      <c r="Q693" t="str">
        <f>MID('paste from garc here'!$C$2,1+(('table for research'!$B693-456)*36+HEX2DEC('table for research'!Q$1))*2,2)</f>
        <v>00</v>
      </c>
      <c r="R693" t="str">
        <f>MID('paste from garc here'!$C$2,1+(('table for research'!$B693-456)*36+HEX2DEC('table for research'!R$1))*2,2)</f>
        <v>00</v>
      </c>
      <c r="S693" t="str">
        <f>MID('paste from garc here'!$C$2,1+(('table for research'!$B693-456)*36+HEX2DEC('table for research'!S$1))*2,2)</f>
        <v>06</v>
      </c>
      <c r="T693" t="str">
        <f>MID('paste from garc here'!$C$2,1+(('table for research'!$B693-456)*36+HEX2DEC('table for research'!T$1))*2,2)</f>
        <v>00</v>
      </c>
      <c r="U693" t="str">
        <f>MID('paste from garc here'!$C$2,1+(('table for research'!$B693-456)*36+HEX2DEC('table for research'!U$1))*2,2)</f>
        <v>60</v>
      </c>
      <c r="V693" t="str">
        <f>MID('paste from garc here'!$C$2,1+(('table for research'!$B693-456)*36+HEX2DEC('table for research'!V$1))*2,2)</f>
        <v>00</v>
      </c>
      <c r="W693" t="str">
        <f>MID('paste from garc here'!$C$2,1+(('table for research'!$B693-456)*36+HEX2DEC('table for research'!W$1))*2,2)</f>
        <v>00</v>
      </c>
      <c r="X693" t="str">
        <f>MID('paste from garc here'!$C$2,1+(('table for research'!$B693-456)*36+HEX2DEC('table for research'!X$1))*2,2)</f>
        <v>00</v>
      </c>
      <c r="Y693" t="str">
        <f>MID('paste from garc here'!$C$2,1+(('table for research'!$B693-456)*36+HEX2DEC('table for research'!Y$1))*2,2)</f>
        <v>00</v>
      </c>
      <c r="Z693" t="str">
        <f>MID('paste from garc here'!$C$2,1+(('table for research'!$B693-456)*36+HEX2DEC('table for research'!Z$1))*2,2)</f>
        <v>00</v>
      </c>
      <c r="AA693" t="str">
        <f>MID('paste from garc here'!$C$2,1+(('table for research'!$B693-456)*36+HEX2DEC('table for research'!AA$1))*2,2)</f>
        <v>00</v>
      </c>
      <c r="AB693" t="str">
        <f>MID('paste from garc here'!$C$2,1+(('table for research'!$B693-456)*36+HEX2DEC('table for research'!AB$1))*2,2)</f>
        <v>00</v>
      </c>
      <c r="AC693" t="str">
        <f>MID('paste from garc here'!$C$2,1+(('table for research'!$B693-456)*36+HEX2DEC('table for research'!AC$1))*2,2)</f>
        <v>00</v>
      </c>
      <c r="AD693" t="str">
        <f>MID('paste from garc here'!$C$2,1+(('table for research'!$B693-456)*36+HEX2DEC('table for research'!AD$1))*2,2)</f>
        <v>00</v>
      </c>
      <c r="AE693" t="str">
        <f>MID('paste from garc here'!$C$2,1+(('table for research'!$B693-456)*36+HEX2DEC('table for research'!AE$1))*2,2)</f>
        <v>00</v>
      </c>
      <c r="AF693" t="str">
        <f>MID('paste from garc here'!$C$2,1+(('table for research'!$B693-456)*36+HEX2DEC('table for research'!AF$1))*2,2)</f>
        <v>00</v>
      </c>
      <c r="AG693" t="str">
        <f>MID('paste from garc here'!$C$2,1+(('table for research'!$B693-456)*36+HEX2DEC('table for research'!AG$1))*2,2)</f>
        <v>00</v>
      </c>
      <c r="AH693" t="str">
        <f>MID('paste from garc here'!$C$2,1+(('table for research'!$B693-456)*36+HEX2DEC('table for research'!AH$1))*2,2)</f>
        <v>00</v>
      </c>
      <c r="AI693" t="str">
        <f>MID('paste from garc here'!$C$2,1+(('table for research'!$B693-456)*36+HEX2DEC('table for research'!AI$1))*2,2)</f>
        <v>00</v>
      </c>
      <c r="AJ693" t="str">
        <f>MID('paste from garc here'!$C$2,1+(('table for research'!$B693-456)*36+HEX2DEC('table for research'!AJ$1))*2,2)</f>
        <v>00</v>
      </c>
      <c r="AK693" t="str">
        <f>MID('paste from garc here'!$C$2,1+(('table for research'!$B693-456)*36+HEX2DEC('table for research'!AK$1))*2,2)</f>
        <v>00</v>
      </c>
      <c r="AL693" t="str">
        <f>MID('paste from garc here'!$C$2,1+(('table for research'!$B693-456)*36+HEX2DEC('table for research'!AL$1))*2,2)</f>
        <v>00</v>
      </c>
      <c r="AM693" t="str">
        <f>MID('paste from garc here'!$C$2,1+(('table for research'!$B693-456)*36+HEX2DEC('table for research'!AM$1))*2,2)</f>
        <v>00</v>
      </c>
      <c r="AN693" t="str">
        <f>MID('paste from garc here'!$C$2,1+(('table for research'!$B693-456)*36+HEX2DEC('table for research'!AN$1))*2,2)</f>
        <v>00</v>
      </c>
      <c r="AO693" t="str">
        <f>MID('paste from garc here'!$C$2,1+(('table for research'!$B693-456)*36+HEX2DEC('table for research'!AO$1))*2,2)</f>
        <v>00</v>
      </c>
    </row>
    <row r="694" spans="1:41" x14ac:dyDescent="0.4">
      <c r="A694" t="s">
        <v>693</v>
      </c>
      <c r="B694">
        <f>B693+1</f>
        <v>692</v>
      </c>
      <c r="C694" t="str">
        <f>MID('paste from garc here'!$C$2,1+(('table for research'!$B694-456)*36+HEX2DEC('table for research'!C$1))*2,2)</f>
        <v>B8</v>
      </c>
      <c r="D694" t="str">
        <f>MID('paste from garc here'!$C$2,1+(('table for research'!$B694-456)*36+HEX2DEC('table for research'!D$1))*2,2)</f>
        <v>0B</v>
      </c>
      <c r="E694" t="str">
        <f>MID('paste from garc here'!$C$2,1+(('table for research'!$B694-456)*36+HEX2DEC('table for research'!E$1))*2,2)</f>
        <v>00</v>
      </c>
      <c r="F694" t="str">
        <f>MID('paste from garc here'!$C$2,1+(('table for research'!$B694-456)*36+HEX2DEC('table for research'!F$1))*2,2)</f>
        <v>00</v>
      </c>
      <c r="G694" t="str">
        <f>MID('paste from garc here'!$C$2,1+(('table for research'!$B694-456)*36+HEX2DEC('table for research'!G$1))*2,2)</f>
        <v>00</v>
      </c>
      <c r="H694" t="str">
        <f>MID('paste from garc here'!$C$2,1+(('table for research'!$B694-456)*36+HEX2DEC('table for research'!H$1))*2,2)</f>
        <v>00</v>
      </c>
      <c r="I694" t="str">
        <f>MID('paste from garc here'!$C$2,1+(('table for research'!$B694-456)*36+HEX2DEC('table for research'!I$1))*2,2)</f>
        <v>00</v>
      </c>
      <c r="J694" t="str">
        <f>MID('paste from garc here'!$C$2,1+(('table for research'!$B694-456)*36+HEX2DEC('table for research'!J$1))*2,2)</f>
        <v>00</v>
      </c>
      <c r="K694" t="str">
        <f>DEC2HEX(_xlfn.BITAND(HEX2DEC(MID('paste from garc here'!$C$1,1+(('table for research'!$B694-1)*36+HEX2DEC(8))*2,2)),31),2)</f>
        <v>00</v>
      </c>
      <c r="L694" t="str">
        <f>DEC2HEX(_xlfn.BITAND(HEX2DEC(MID('paste from garc here'!$C$1,1+(('table for research'!$B694-1)*36+HEX2DEC(8))*2,2)),32),2)</f>
        <v>00</v>
      </c>
      <c r="M694" t="str">
        <f>DEC2HEX(_xlfn.BITAND(HEX2DEC(MID('paste from garc here'!$C$1,1+(('table for research'!$B694-1)*36+HEX2DEC(8))*2,2)),64),2)</f>
        <v>00</v>
      </c>
      <c r="N694" t="str">
        <f>DEC2HEX(_xlfn.BITRSHIFT(_xlfn.BITAND(HEX2DEC(MID('paste from garc here'!$C$1,1+(('table for research'!$B694-1)*36+HEX2DEC(9))*2,2)&amp;MID('paste from garc here'!$C$1,1+(('table for research'!$B694-1)*36+HEX2DEC(8))*2,2)),1920),7),2)</f>
        <v>00</v>
      </c>
      <c r="O694" t="str">
        <f>DEC2HEX(_xlfn.BITRSHIFT(HEX2DEC(MID('paste from garc here'!$C$1,1+(('table for research'!$B694-1)*36+HEX2DEC(9))*2,2)&amp;MID('paste from garc here'!$C$1,1+(('table for research'!$B694-1)*36+HEX2DEC(8))*2,2)),11),2)</f>
        <v>00</v>
      </c>
      <c r="P694" t="str">
        <f>MID('paste from garc here'!$C$2,1+(('table for research'!$B694-456)*36+HEX2DEC('table for research'!P$1))*2,2)</f>
        <v>02</v>
      </c>
      <c r="Q694" t="str">
        <f>MID('paste from garc here'!$C$2,1+(('table for research'!$B694-456)*36+HEX2DEC('table for research'!Q$1))*2,2)</f>
        <v>00</v>
      </c>
      <c r="R694" t="str">
        <f>MID('paste from garc here'!$C$2,1+(('table for research'!$B694-456)*36+HEX2DEC('table for research'!R$1))*2,2)</f>
        <v>00</v>
      </c>
      <c r="S694" t="str">
        <f>MID('paste from garc here'!$C$2,1+(('table for research'!$B694-456)*36+HEX2DEC('table for research'!S$1))*2,2)</f>
        <v>06</v>
      </c>
      <c r="T694" t="str">
        <f>MID('paste from garc here'!$C$2,1+(('table for research'!$B694-456)*36+HEX2DEC('table for research'!T$1))*2,2)</f>
        <v>00</v>
      </c>
      <c r="U694" t="str">
        <f>MID('paste from garc here'!$C$2,1+(('table for research'!$B694-456)*36+HEX2DEC('table for research'!U$1))*2,2)</f>
        <v>61</v>
      </c>
      <c r="V694" t="str">
        <f>MID('paste from garc here'!$C$2,1+(('table for research'!$B694-456)*36+HEX2DEC('table for research'!V$1))*2,2)</f>
        <v>00</v>
      </c>
      <c r="W694" t="str">
        <f>MID('paste from garc here'!$C$2,1+(('table for research'!$B694-456)*36+HEX2DEC('table for research'!W$1))*2,2)</f>
        <v>00</v>
      </c>
      <c r="X694" t="str">
        <f>MID('paste from garc here'!$C$2,1+(('table for research'!$B694-456)*36+HEX2DEC('table for research'!X$1))*2,2)</f>
        <v>00</v>
      </c>
      <c r="Y694" t="str">
        <f>MID('paste from garc here'!$C$2,1+(('table for research'!$B694-456)*36+HEX2DEC('table for research'!Y$1))*2,2)</f>
        <v>00</v>
      </c>
      <c r="Z694" t="str">
        <f>MID('paste from garc here'!$C$2,1+(('table for research'!$B694-456)*36+HEX2DEC('table for research'!Z$1))*2,2)</f>
        <v>00</v>
      </c>
      <c r="AA694" t="str">
        <f>MID('paste from garc here'!$C$2,1+(('table for research'!$B694-456)*36+HEX2DEC('table for research'!AA$1))*2,2)</f>
        <v>00</v>
      </c>
      <c r="AB694" t="str">
        <f>MID('paste from garc here'!$C$2,1+(('table for research'!$B694-456)*36+HEX2DEC('table for research'!AB$1))*2,2)</f>
        <v>00</v>
      </c>
      <c r="AC694" t="str">
        <f>MID('paste from garc here'!$C$2,1+(('table for research'!$B694-456)*36+HEX2DEC('table for research'!AC$1))*2,2)</f>
        <v>00</v>
      </c>
      <c r="AD694" t="str">
        <f>MID('paste from garc here'!$C$2,1+(('table for research'!$B694-456)*36+HEX2DEC('table for research'!AD$1))*2,2)</f>
        <v>00</v>
      </c>
      <c r="AE694" t="str">
        <f>MID('paste from garc here'!$C$2,1+(('table for research'!$B694-456)*36+HEX2DEC('table for research'!AE$1))*2,2)</f>
        <v>00</v>
      </c>
      <c r="AF694" t="str">
        <f>MID('paste from garc here'!$C$2,1+(('table for research'!$B694-456)*36+HEX2DEC('table for research'!AF$1))*2,2)</f>
        <v>00</v>
      </c>
      <c r="AG694" t="str">
        <f>MID('paste from garc here'!$C$2,1+(('table for research'!$B694-456)*36+HEX2DEC('table for research'!AG$1))*2,2)</f>
        <v>00</v>
      </c>
      <c r="AH694" t="str">
        <f>MID('paste from garc here'!$C$2,1+(('table for research'!$B694-456)*36+HEX2DEC('table for research'!AH$1))*2,2)</f>
        <v>00</v>
      </c>
      <c r="AI694" t="str">
        <f>MID('paste from garc here'!$C$2,1+(('table for research'!$B694-456)*36+HEX2DEC('table for research'!AI$1))*2,2)</f>
        <v>00</v>
      </c>
      <c r="AJ694" t="str">
        <f>MID('paste from garc here'!$C$2,1+(('table for research'!$B694-456)*36+HEX2DEC('table for research'!AJ$1))*2,2)</f>
        <v>00</v>
      </c>
      <c r="AK694" t="str">
        <f>MID('paste from garc here'!$C$2,1+(('table for research'!$B694-456)*36+HEX2DEC('table for research'!AK$1))*2,2)</f>
        <v>00</v>
      </c>
      <c r="AL694" t="str">
        <f>MID('paste from garc here'!$C$2,1+(('table for research'!$B694-456)*36+HEX2DEC('table for research'!AL$1))*2,2)</f>
        <v>00</v>
      </c>
      <c r="AM694" t="str">
        <f>MID('paste from garc here'!$C$2,1+(('table for research'!$B694-456)*36+HEX2DEC('table for research'!AM$1))*2,2)</f>
        <v>00</v>
      </c>
      <c r="AN694" t="str">
        <f>MID('paste from garc here'!$C$2,1+(('table for research'!$B694-456)*36+HEX2DEC('table for research'!AN$1))*2,2)</f>
        <v>00</v>
      </c>
      <c r="AO694" t="str">
        <f>MID('paste from garc here'!$C$2,1+(('table for research'!$B694-456)*36+HEX2DEC('table for research'!AO$1))*2,2)</f>
        <v>00</v>
      </c>
    </row>
    <row r="695" spans="1:41" x14ac:dyDescent="0.4">
      <c r="A695" t="s">
        <v>694</v>
      </c>
      <c r="B695">
        <f>B694+1</f>
        <v>693</v>
      </c>
      <c r="C695" t="str">
        <f>MID('paste from garc here'!$C$2,1+(('table for research'!$B695-456)*36+HEX2DEC('table for research'!C$1))*2,2)</f>
        <v>E8</v>
      </c>
      <c r="D695" t="str">
        <f>MID('paste from garc here'!$C$2,1+(('table for research'!$B695-456)*36+HEX2DEC('table for research'!D$1))*2,2)</f>
        <v>03</v>
      </c>
      <c r="E695" t="str">
        <f>MID('paste from garc here'!$C$2,1+(('table for research'!$B695-456)*36+HEX2DEC('table for research'!E$1))*2,2)</f>
        <v>00</v>
      </c>
      <c r="F695" t="str">
        <f>MID('paste from garc here'!$C$2,1+(('table for research'!$B695-456)*36+HEX2DEC('table for research'!F$1))*2,2)</f>
        <v>00</v>
      </c>
      <c r="G695" t="str">
        <f>MID('paste from garc here'!$C$2,1+(('table for research'!$B695-456)*36+HEX2DEC('table for research'!G$1))*2,2)</f>
        <v>00</v>
      </c>
      <c r="H695" t="str">
        <f>MID('paste from garc here'!$C$2,1+(('table for research'!$B695-456)*36+HEX2DEC('table for research'!H$1))*2,2)</f>
        <v>00</v>
      </c>
      <c r="I695" t="str">
        <f>MID('paste from garc here'!$C$2,1+(('table for research'!$B695-456)*36+HEX2DEC('table for research'!I$1))*2,2)</f>
        <v>00</v>
      </c>
      <c r="J695" t="str">
        <f>MID('paste from garc here'!$C$2,1+(('table for research'!$B695-456)*36+HEX2DEC('table for research'!J$1))*2,2)</f>
        <v>00</v>
      </c>
      <c r="K695" t="str">
        <f>DEC2HEX(_xlfn.BITAND(HEX2DEC(MID('paste from garc here'!$C$1,1+(('table for research'!$B695-1)*36+HEX2DEC(8))*2,2)),31),2)</f>
        <v>00</v>
      </c>
      <c r="L695" t="str">
        <f>DEC2HEX(_xlfn.BITAND(HEX2DEC(MID('paste from garc here'!$C$1,1+(('table for research'!$B695-1)*36+HEX2DEC(8))*2,2)),32),2)</f>
        <v>00</v>
      </c>
      <c r="M695" t="str">
        <f>DEC2HEX(_xlfn.BITAND(HEX2DEC(MID('paste from garc here'!$C$1,1+(('table for research'!$B695-1)*36+HEX2DEC(8))*2,2)),64),2)</f>
        <v>00</v>
      </c>
      <c r="N695" t="str">
        <f>DEC2HEX(_xlfn.BITRSHIFT(_xlfn.BITAND(HEX2DEC(MID('paste from garc here'!$C$1,1+(('table for research'!$B695-1)*36+HEX2DEC(9))*2,2)&amp;MID('paste from garc here'!$C$1,1+(('table for research'!$B695-1)*36+HEX2DEC(8))*2,2)),1920),7),2)</f>
        <v>00</v>
      </c>
      <c r="O695" t="str">
        <f>DEC2HEX(_xlfn.BITRSHIFT(HEX2DEC(MID('paste from garc here'!$C$1,1+(('table for research'!$B695-1)*36+HEX2DEC(9))*2,2)&amp;MID('paste from garc here'!$C$1,1+(('table for research'!$B695-1)*36+HEX2DEC(8))*2,2)),11),2)</f>
        <v>00</v>
      </c>
      <c r="P695" t="str">
        <f>MID('paste from garc here'!$C$2,1+(('table for research'!$B695-456)*36+HEX2DEC('table for research'!P$1))*2,2)</f>
        <v>02</v>
      </c>
      <c r="Q695" t="str">
        <f>MID('paste from garc here'!$C$2,1+(('table for research'!$B695-456)*36+HEX2DEC('table for research'!Q$1))*2,2)</f>
        <v>00</v>
      </c>
      <c r="R695" t="str">
        <f>MID('paste from garc here'!$C$2,1+(('table for research'!$B695-456)*36+HEX2DEC('table for research'!R$1))*2,2)</f>
        <v>00</v>
      </c>
      <c r="S695" t="str">
        <f>MID('paste from garc here'!$C$2,1+(('table for research'!$B695-456)*36+HEX2DEC('table for research'!S$1))*2,2)</f>
        <v>06</v>
      </c>
      <c r="T695" t="str">
        <f>MID('paste from garc here'!$C$2,1+(('table for research'!$B695-456)*36+HEX2DEC('table for research'!T$1))*2,2)</f>
        <v>00</v>
      </c>
      <c r="U695" t="str">
        <f>MID('paste from garc here'!$C$2,1+(('table for research'!$B695-456)*36+HEX2DEC('table for research'!U$1))*2,2)</f>
        <v>62</v>
      </c>
      <c r="V695" t="str">
        <f>MID('paste from garc here'!$C$2,1+(('table for research'!$B695-456)*36+HEX2DEC('table for research'!V$1))*2,2)</f>
        <v>00</v>
      </c>
      <c r="W695" t="str">
        <f>MID('paste from garc here'!$C$2,1+(('table for research'!$B695-456)*36+HEX2DEC('table for research'!W$1))*2,2)</f>
        <v>00</v>
      </c>
      <c r="X695" t="str">
        <f>MID('paste from garc here'!$C$2,1+(('table for research'!$B695-456)*36+HEX2DEC('table for research'!X$1))*2,2)</f>
        <v>00</v>
      </c>
      <c r="Y695" t="str">
        <f>MID('paste from garc here'!$C$2,1+(('table for research'!$B695-456)*36+HEX2DEC('table for research'!Y$1))*2,2)</f>
        <v>00</v>
      </c>
      <c r="Z695" t="str">
        <f>MID('paste from garc here'!$C$2,1+(('table for research'!$B695-456)*36+HEX2DEC('table for research'!Z$1))*2,2)</f>
        <v>00</v>
      </c>
      <c r="AA695" t="str">
        <f>MID('paste from garc here'!$C$2,1+(('table for research'!$B695-456)*36+HEX2DEC('table for research'!AA$1))*2,2)</f>
        <v>00</v>
      </c>
      <c r="AB695" t="str">
        <f>MID('paste from garc here'!$C$2,1+(('table for research'!$B695-456)*36+HEX2DEC('table for research'!AB$1))*2,2)</f>
        <v>00</v>
      </c>
      <c r="AC695" t="str">
        <f>MID('paste from garc here'!$C$2,1+(('table for research'!$B695-456)*36+HEX2DEC('table for research'!AC$1))*2,2)</f>
        <v>00</v>
      </c>
      <c r="AD695" t="str">
        <f>MID('paste from garc here'!$C$2,1+(('table for research'!$B695-456)*36+HEX2DEC('table for research'!AD$1))*2,2)</f>
        <v>00</v>
      </c>
      <c r="AE695" t="str">
        <f>MID('paste from garc here'!$C$2,1+(('table for research'!$B695-456)*36+HEX2DEC('table for research'!AE$1))*2,2)</f>
        <v>00</v>
      </c>
      <c r="AF695" t="str">
        <f>MID('paste from garc here'!$C$2,1+(('table for research'!$B695-456)*36+HEX2DEC('table for research'!AF$1))*2,2)</f>
        <v>00</v>
      </c>
      <c r="AG695" t="str">
        <f>MID('paste from garc here'!$C$2,1+(('table for research'!$B695-456)*36+HEX2DEC('table for research'!AG$1))*2,2)</f>
        <v>00</v>
      </c>
      <c r="AH695" t="str">
        <f>MID('paste from garc here'!$C$2,1+(('table for research'!$B695-456)*36+HEX2DEC('table for research'!AH$1))*2,2)</f>
        <v>00</v>
      </c>
      <c r="AI695" t="str">
        <f>MID('paste from garc here'!$C$2,1+(('table for research'!$B695-456)*36+HEX2DEC('table for research'!AI$1))*2,2)</f>
        <v>00</v>
      </c>
      <c r="AJ695" t="str">
        <f>MID('paste from garc here'!$C$2,1+(('table for research'!$B695-456)*36+HEX2DEC('table for research'!AJ$1))*2,2)</f>
        <v>00</v>
      </c>
      <c r="AK695" t="str">
        <f>MID('paste from garc here'!$C$2,1+(('table for research'!$B695-456)*36+HEX2DEC('table for research'!AK$1))*2,2)</f>
        <v>00</v>
      </c>
      <c r="AL695" t="str">
        <f>MID('paste from garc here'!$C$2,1+(('table for research'!$B695-456)*36+HEX2DEC('table for research'!AL$1))*2,2)</f>
        <v>00</v>
      </c>
      <c r="AM695" t="str">
        <f>MID('paste from garc here'!$C$2,1+(('table for research'!$B695-456)*36+HEX2DEC('table for research'!AM$1))*2,2)</f>
        <v>00</v>
      </c>
      <c r="AN695" t="str">
        <f>MID('paste from garc here'!$C$2,1+(('table for research'!$B695-456)*36+HEX2DEC('table for research'!AN$1))*2,2)</f>
        <v>00</v>
      </c>
      <c r="AO695" t="str">
        <f>MID('paste from garc here'!$C$2,1+(('table for research'!$B695-456)*36+HEX2DEC('table for research'!AO$1))*2,2)</f>
        <v>00</v>
      </c>
    </row>
    <row r="696" spans="1:41" x14ac:dyDescent="0.4">
      <c r="A696" t="s">
        <v>695</v>
      </c>
      <c r="B696">
        <f>B695+1</f>
        <v>694</v>
      </c>
      <c r="C696" t="str">
        <f>MID('paste from garc here'!$C$2,1+(('table for research'!$B696-456)*36+HEX2DEC('table for research'!C$1))*2,2)</f>
        <v>C4</v>
      </c>
      <c r="D696" t="str">
        <f>MID('paste from garc here'!$C$2,1+(('table for research'!$B696-456)*36+HEX2DEC('table for research'!D$1))*2,2)</f>
        <v>09</v>
      </c>
      <c r="E696" t="str">
        <f>MID('paste from garc here'!$C$2,1+(('table for research'!$B696-456)*36+HEX2DEC('table for research'!E$1))*2,2)</f>
        <v>00</v>
      </c>
      <c r="F696" t="str">
        <f>MID('paste from garc here'!$C$2,1+(('table for research'!$B696-456)*36+HEX2DEC('table for research'!F$1))*2,2)</f>
        <v>00</v>
      </c>
      <c r="G696" t="str">
        <f>MID('paste from garc here'!$C$2,1+(('table for research'!$B696-456)*36+HEX2DEC('table for research'!G$1))*2,2)</f>
        <v>00</v>
      </c>
      <c r="H696" t="str">
        <f>MID('paste from garc here'!$C$2,1+(('table for research'!$B696-456)*36+HEX2DEC('table for research'!H$1))*2,2)</f>
        <v>00</v>
      </c>
      <c r="I696" t="str">
        <f>MID('paste from garc here'!$C$2,1+(('table for research'!$B696-456)*36+HEX2DEC('table for research'!I$1))*2,2)</f>
        <v>00</v>
      </c>
      <c r="J696" t="str">
        <f>MID('paste from garc here'!$C$2,1+(('table for research'!$B696-456)*36+HEX2DEC('table for research'!J$1))*2,2)</f>
        <v>00</v>
      </c>
      <c r="K696" t="str">
        <f>DEC2HEX(_xlfn.BITAND(HEX2DEC(MID('paste from garc here'!$C$1,1+(('table for research'!$B696-1)*36+HEX2DEC(8))*2,2)),31),2)</f>
        <v>00</v>
      </c>
      <c r="L696" t="str">
        <f>DEC2HEX(_xlfn.BITAND(HEX2DEC(MID('paste from garc here'!$C$1,1+(('table for research'!$B696-1)*36+HEX2DEC(8))*2,2)),32),2)</f>
        <v>00</v>
      </c>
      <c r="M696" t="str">
        <f>DEC2HEX(_xlfn.BITAND(HEX2DEC(MID('paste from garc here'!$C$1,1+(('table for research'!$B696-1)*36+HEX2DEC(8))*2,2)),64),2)</f>
        <v>00</v>
      </c>
      <c r="N696" t="str">
        <f>DEC2HEX(_xlfn.BITRSHIFT(_xlfn.BITAND(HEX2DEC(MID('paste from garc here'!$C$1,1+(('table for research'!$B696-1)*36+HEX2DEC(9))*2,2)&amp;MID('paste from garc here'!$C$1,1+(('table for research'!$B696-1)*36+HEX2DEC(8))*2,2)),1920),7),2)</f>
        <v>00</v>
      </c>
      <c r="O696" t="str">
        <f>DEC2HEX(_xlfn.BITRSHIFT(HEX2DEC(MID('paste from garc here'!$C$1,1+(('table for research'!$B696-1)*36+HEX2DEC(9))*2,2)&amp;MID('paste from garc here'!$C$1,1+(('table for research'!$B696-1)*36+HEX2DEC(8))*2,2)),11),2)</f>
        <v>00</v>
      </c>
      <c r="P696" t="str">
        <f>MID('paste from garc here'!$C$2,1+(('table for research'!$B696-456)*36+HEX2DEC('table for research'!P$1))*2,2)</f>
        <v>02</v>
      </c>
      <c r="Q696" t="str">
        <f>MID('paste from garc here'!$C$2,1+(('table for research'!$B696-456)*36+HEX2DEC('table for research'!Q$1))*2,2)</f>
        <v>00</v>
      </c>
      <c r="R696" t="str">
        <f>MID('paste from garc here'!$C$2,1+(('table for research'!$B696-456)*36+HEX2DEC('table for research'!R$1))*2,2)</f>
        <v>00</v>
      </c>
      <c r="S696" t="str">
        <f>MID('paste from garc here'!$C$2,1+(('table for research'!$B696-456)*36+HEX2DEC('table for research'!S$1))*2,2)</f>
        <v>06</v>
      </c>
      <c r="T696" t="str">
        <f>MID('paste from garc here'!$C$2,1+(('table for research'!$B696-456)*36+HEX2DEC('table for research'!T$1))*2,2)</f>
        <v>00</v>
      </c>
      <c r="U696" t="str">
        <f>MID('paste from garc here'!$C$2,1+(('table for research'!$B696-456)*36+HEX2DEC('table for research'!U$1))*2,2)</f>
        <v>63</v>
      </c>
      <c r="V696" t="str">
        <f>MID('paste from garc here'!$C$2,1+(('table for research'!$B696-456)*36+HEX2DEC('table for research'!V$1))*2,2)</f>
        <v>00</v>
      </c>
      <c r="W696" t="str">
        <f>MID('paste from garc here'!$C$2,1+(('table for research'!$B696-456)*36+HEX2DEC('table for research'!W$1))*2,2)</f>
        <v>00</v>
      </c>
      <c r="X696" t="str">
        <f>MID('paste from garc here'!$C$2,1+(('table for research'!$B696-456)*36+HEX2DEC('table for research'!X$1))*2,2)</f>
        <v>00</v>
      </c>
      <c r="Y696" t="str">
        <f>MID('paste from garc here'!$C$2,1+(('table for research'!$B696-456)*36+HEX2DEC('table for research'!Y$1))*2,2)</f>
        <v>00</v>
      </c>
      <c r="Z696" t="str">
        <f>MID('paste from garc here'!$C$2,1+(('table for research'!$B696-456)*36+HEX2DEC('table for research'!Z$1))*2,2)</f>
        <v>00</v>
      </c>
      <c r="AA696" t="str">
        <f>MID('paste from garc here'!$C$2,1+(('table for research'!$B696-456)*36+HEX2DEC('table for research'!AA$1))*2,2)</f>
        <v>00</v>
      </c>
      <c r="AB696" t="str">
        <f>MID('paste from garc here'!$C$2,1+(('table for research'!$B696-456)*36+HEX2DEC('table for research'!AB$1))*2,2)</f>
        <v>00</v>
      </c>
      <c r="AC696" t="str">
        <f>MID('paste from garc here'!$C$2,1+(('table for research'!$B696-456)*36+HEX2DEC('table for research'!AC$1))*2,2)</f>
        <v>00</v>
      </c>
      <c r="AD696" t="str">
        <f>MID('paste from garc here'!$C$2,1+(('table for research'!$B696-456)*36+HEX2DEC('table for research'!AD$1))*2,2)</f>
        <v>00</v>
      </c>
      <c r="AE696" t="str">
        <f>MID('paste from garc here'!$C$2,1+(('table for research'!$B696-456)*36+HEX2DEC('table for research'!AE$1))*2,2)</f>
        <v>00</v>
      </c>
      <c r="AF696" t="str">
        <f>MID('paste from garc here'!$C$2,1+(('table for research'!$B696-456)*36+HEX2DEC('table for research'!AF$1))*2,2)</f>
        <v>00</v>
      </c>
      <c r="AG696" t="str">
        <f>MID('paste from garc here'!$C$2,1+(('table for research'!$B696-456)*36+HEX2DEC('table for research'!AG$1))*2,2)</f>
        <v>00</v>
      </c>
      <c r="AH696" t="str">
        <f>MID('paste from garc here'!$C$2,1+(('table for research'!$B696-456)*36+HEX2DEC('table for research'!AH$1))*2,2)</f>
        <v>00</v>
      </c>
      <c r="AI696" t="str">
        <f>MID('paste from garc here'!$C$2,1+(('table for research'!$B696-456)*36+HEX2DEC('table for research'!AI$1))*2,2)</f>
        <v>00</v>
      </c>
      <c r="AJ696" t="str">
        <f>MID('paste from garc here'!$C$2,1+(('table for research'!$B696-456)*36+HEX2DEC('table for research'!AJ$1))*2,2)</f>
        <v>00</v>
      </c>
      <c r="AK696" t="str">
        <f>MID('paste from garc here'!$C$2,1+(('table for research'!$B696-456)*36+HEX2DEC('table for research'!AK$1))*2,2)</f>
        <v>00</v>
      </c>
      <c r="AL696" t="str">
        <f>MID('paste from garc here'!$C$2,1+(('table for research'!$B696-456)*36+HEX2DEC('table for research'!AL$1))*2,2)</f>
        <v>00</v>
      </c>
      <c r="AM696" t="str">
        <f>MID('paste from garc here'!$C$2,1+(('table for research'!$B696-456)*36+HEX2DEC('table for research'!AM$1))*2,2)</f>
        <v>00</v>
      </c>
      <c r="AN696" t="str">
        <f>MID('paste from garc here'!$C$2,1+(('table for research'!$B696-456)*36+HEX2DEC('table for research'!AN$1))*2,2)</f>
        <v>00</v>
      </c>
      <c r="AO696" t="str">
        <f>MID('paste from garc here'!$C$2,1+(('table for research'!$B696-456)*36+HEX2DEC('table for research'!AO$1))*2,2)</f>
        <v>00</v>
      </c>
    </row>
    <row r="697" spans="1:41" x14ac:dyDescent="0.4">
      <c r="A697" t="s">
        <v>696</v>
      </c>
      <c r="B697">
        <f>B696+1</f>
        <v>695</v>
      </c>
      <c r="C697" t="str">
        <f>MID('paste from garc here'!$C$2,1+(('table for research'!$B697-456)*36+HEX2DEC('table for research'!C$1))*2,2)</f>
        <v>00</v>
      </c>
      <c r="D697" t="str">
        <f>MID('paste from garc here'!$C$2,1+(('table for research'!$B697-456)*36+HEX2DEC('table for research'!D$1))*2,2)</f>
        <v>00</v>
      </c>
      <c r="E697" t="str">
        <f>MID('paste from garc here'!$C$2,1+(('table for research'!$B697-456)*36+HEX2DEC('table for research'!E$1))*2,2)</f>
        <v>00</v>
      </c>
      <c r="F697" t="str">
        <f>MID('paste from garc here'!$C$2,1+(('table for research'!$B697-456)*36+HEX2DEC('table for research'!F$1))*2,2)</f>
        <v>00</v>
      </c>
      <c r="G697" t="str">
        <f>MID('paste from garc here'!$C$2,1+(('table for research'!$B697-456)*36+HEX2DEC('table for research'!G$1))*2,2)</f>
        <v>00</v>
      </c>
      <c r="H697" t="str">
        <f>MID('paste from garc here'!$C$2,1+(('table for research'!$B697-456)*36+HEX2DEC('table for research'!H$1))*2,2)</f>
        <v>00</v>
      </c>
      <c r="I697" t="str">
        <f>MID('paste from garc here'!$C$2,1+(('table for research'!$B697-456)*36+HEX2DEC('table for research'!I$1))*2,2)</f>
        <v>00</v>
      </c>
      <c r="J697" t="str">
        <f>MID('paste from garc here'!$C$2,1+(('table for research'!$B697-456)*36+HEX2DEC('table for research'!J$1))*2,2)</f>
        <v>00</v>
      </c>
      <c r="K697" t="str">
        <f>DEC2HEX(_xlfn.BITAND(HEX2DEC(MID('paste from garc here'!$C$1,1+(('table for research'!$B697-1)*36+HEX2DEC(8))*2,2)),31),2)</f>
        <v>00</v>
      </c>
      <c r="L697" t="str">
        <f>DEC2HEX(_xlfn.BITAND(HEX2DEC(MID('paste from garc here'!$C$1,1+(('table for research'!$B697-1)*36+HEX2DEC(8))*2,2)),32),2)</f>
        <v>00</v>
      </c>
      <c r="M697" t="str">
        <f>DEC2HEX(_xlfn.BITAND(HEX2DEC(MID('paste from garc here'!$C$1,1+(('table for research'!$B697-1)*36+HEX2DEC(8))*2,2)),64),2)</f>
        <v>00</v>
      </c>
      <c r="N697" t="str">
        <f>DEC2HEX(_xlfn.BITRSHIFT(_xlfn.BITAND(HEX2DEC(MID('paste from garc here'!$C$1,1+(('table for research'!$B697-1)*36+HEX2DEC(9))*2,2)&amp;MID('paste from garc here'!$C$1,1+(('table for research'!$B697-1)*36+HEX2DEC(8))*2,2)),1920),7),2)</f>
        <v>00</v>
      </c>
      <c r="O697" t="str">
        <f>DEC2HEX(_xlfn.BITRSHIFT(HEX2DEC(MID('paste from garc here'!$C$1,1+(('table for research'!$B697-1)*36+HEX2DEC(9))*2,2)&amp;MID('paste from garc here'!$C$1,1+(('table for research'!$B697-1)*36+HEX2DEC(8))*2,2)),11),2)</f>
        <v>00</v>
      </c>
      <c r="P697" t="str">
        <f>MID('paste from garc here'!$C$2,1+(('table for research'!$B697-456)*36+HEX2DEC('table for research'!P$1))*2,2)</f>
        <v>00</v>
      </c>
      <c r="Q697" t="str">
        <f>MID('paste from garc here'!$C$2,1+(('table for research'!$B697-456)*36+HEX2DEC('table for research'!Q$1))*2,2)</f>
        <v>00</v>
      </c>
      <c r="R697" t="str">
        <f>MID('paste from garc here'!$C$2,1+(('table for research'!$B697-456)*36+HEX2DEC('table for research'!R$1))*2,2)</f>
        <v>00</v>
      </c>
      <c r="S697" t="str">
        <f>MID('paste from garc here'!$C$2,1+(('table for research'!$B697-456)*36+HEX2DEC('table for research'!S$1))*2,2)</f>
        <v>08</v>
      </c>
      <c r="T697" t="str">
        <f>MID('paste from garc here'!$C$2,1+(('table for research'!$B697-456)*36+HEX2DEC('table for research'!T$1))*2,2)</f>
        <v>00</v>
      </c>
      <c r="U697" t="str">
        <f>MID('paste from garc here'!$C$2,1+(('table for research'!$B697-456)*36+HEX2DEC('table for research'!U$1))*2,2)</f>
        <v>FF</v>
      </c>
      <c r="V697" t="str">
        <f>MID('paste from garc here'!$C$2,1+(('table for research'!$B697-456)*36+HEX2DEC('table for research'!V$1))*2,2)</f>
        <v>00</v>
      </c>
      <c r="W697" t="str">
        <f>MID('paste from garc here'!$C$2,1+(('table for research'!$B697-456)*36+HEX2DEC('table for research'!W$1))*2,2)</f>
        <v>00</v>
      </c>
      <c r="X697" t="str">
        <f>MID('paste from garc here'!$C$2,1+(('table for research'!$B697-456)*36+HEX2DEC('table for research'!X$1))*2,2)</f>
        <v>00</v>
      </c>
      <c r="Y697" t="str">
        <f>MID('paste from garc here'!$C$2,1+(('table for research'!$B697-456)*36+HEX2DEC('table for research'!Y$1))*2,2)</f>
        <v>00</v>
      </c>
      <c r="Z697" t="str">
        <f>MID('paste from garc here'!$C$2,1+(('table for research'!$B697-456)*36+HEX2DEC('table for research'!Z$1))*2,2)</f>
        <v>00</v>
      </c>
      <c r="AA697" t="str">
        <f>MID('paste from garc here'!$C$2,1+(('table for research'!$B697-456)*36+HEX2DEC('table for research'!AA$1))*2,2)</f>
        <v>00</v>
      </c>
      <c r="AB697" t="str">
        <f>MID('paste from garc here'!$C$2,1+(('table for research'!$B697-456)*36+HEX2DEC('table for research'!AB$1))*2,2)</f>
        <v>00</v>
      </c>
      <c r="AC697" t="str">
        <f>MID('paste from garc here'!$C$2,1+(('table for research'!$B697-456)*36+HEX2DEC('table for research'!AC$1))*2,2)</f>
        <v>00</v>
      </c>
      <c r="AD697" t="str">
        <f>MID('paste from garc here'!$C$2,1+(('table for research'!$B697-456)*36+HEX2DEC('table for research'!AD$1))*2,2)</f>
        <v>00</v>
      </c>
      <c r="AE697" t="str">
        <f>MID('paste from garc here'!$C$2,1+(('table for research'!$B697-456)*36+HEX2DEC('table for research'!AE$1))*2,2)</f>
        <v>00</v>
      </c>
      <c r="AF697" t="str">
        <f>MID('paste from garc here'!$C$2,1+(('table for research'!$B697-456)*36+HEX2DEC('table for research'!AF$1))*2,2)</f>
        <v>00</v>
      </c>
      <c r="AG697" t="str">
        <f>MID('paste from garc here'!$C$2,1+(('table for research'!$B697-456)*36+HEX2DEC('table for research'!AG$1))*2,2)</f>
        <v>00</v>
      </c>
      <c r="AH697" t="str">
        <f>MID('paste from garc here'!$C$2,1+(('table for research'!$B697-456)*36+HEX2DEC('table for research'!AH$1))*2,2)</f>
        <v>00</v>
      </c>
      <c r="AI697" t="str">
        <f>MID('paste from garc here'!$C$2,1+(('table for research'!$B697-456)*36+HEX2DEC('table for research'!AI$1))*2,2)</f>
        <v>00</v>
      </c>
      <c r="AJ697" t="str">
        <f>MID('paste from garc here'!$C$2,1+(('table for research'!$B697-456)*36+HEX2DEC('table for research'!AJ$1))*2,2)</f>
        <v>00</v>
      </c>
      <c r="AK697" t="str">
        <f>MID('paste from garc here'!$C$2,1+(('table for research'!$B697-456)*36+HEX2DEC('table for research'!AK$1))*2,2)</f>
        <v>00</v>
      </c>
      <c r="AL697" t="str">
        <f>MID('paste from garc here'!$C$2,1+(('table for research'!$B697-456)*36+HEX2DEC('table for research'!AL$1))*2,2)</f>
        <v>00</v>
      </c>
      <c r="AM697" t="str">
        <f>MID('paste from garc here'!$C$2,1+(('table for research'!$B697-456)*36+HEX2DEC('table for research'!AM$1))*2,2)</f>
        <v>00</v>
      </c>
      <c r="AN697" t="str">
        <f>MID('paste from garc here'!$C$2,1+(('table for research'!$B697-456)*36+HEX2DEC('table for research'!AN$1))*2,2)</f>
        <v>00</v>
      </c>
      <c r="AO697" t="str">
        <f>MID('paste from garc here'!$C$2,1+(('table for research'!$B697-456)*36+HEX2DEC('table for research'!AO$1))*2,2)</f>
        <v>00</v>
      </c>
    </row>
    <row r="698" spans="1:41" x14ac:dyDescent="0.4">
      <c r="A698" t="s">
        <v>697</v>
      </c>
      <c r="B698">
        <f>B697+1</f>
        <v>696</v>
      </c>
      <c r="C698" t="str">
        <f>MID('paste from garc here'!$C$2,1+(('table for research'!$B698-456)*36+HEX2DEC('table for research'!C$1))*2,2)</f>
        <v>00</v>
      </c>
      <c r="D698" t="str">
        <f>MID('paste from garc here'!$C$2,1+(('table for research'!$B698-456)*36+HEX2DEC('table for research'!D$1))*2,2)</f>
        <v>00</v>
      </c>
      <c r="E698" t="str">
        <f>MID('paste from garc here'!$C$2,1+(('table for research'!$B698-456)*36+HEX2DEC('table for research'!E$1))*2,2)</f>
        <v>00</v>
      </c>
      <c r="F698" t="str">
        <f>MID('paste from garc here'!$C$2,1+(('table for research'!$B698-456)*36+HEX2DEC('table for research'!F$1))*2,2)</f>
        <v>00</v>
      </c>
      <c r="G698" t="str">
        <f>MID('paste from garc here'!$C$2,1+(('table for research'!$B698-456)*36+HEX2DEC('table for research'!G$1))*2,2)</f>
        <v>00</v>
      </c>
      <c r="H698" t="str">
        <f>MID('paste from garc here'!$C$2,1+(('table for research'!$B698-456)*36+HEX2DEC('table for research'!H$1))*2,2)</f>
        <v>00</v>
      </c>
      <c r="I698" t="str">
        <f>MID('paste from garc here'!$C$2,1+(('table for research'!$B698-456)*36+HEX2DEC('table for research'!I$1))*2,2)</f>
        <v>00</v>
      </c>
      <c r="J698" t="str">
        <f>MID('paste from garc here'!$C$2,1+(('table for research'!$B698-456)*36+HEX2DEC('table for research'!J$1))*2,2)</f>
        <v>00</v>
      </c>
      <c r="K698" t="str">
        <f>DEC2HEX(_xlfn.BITAND(HEX2DEC(MID('paste from garc here'!$C$1,1+(('table for research'!$B698-1)*36+HEX2DEC(8))*2,2)),31),2)</f>
        <v>00</v>
      </c>
      <c r="L698" t="str">
        <f>DEC2HEX(_xlfn.BITAND(HEX2DEC(MID('paste from garc here'!$C$1,1+(('table for research'!$B698-1)*36+HEX2DEC(8))*2,2)),32),2)</f>
        <v>00</v>
      </c>
      <c r="M698" t="str">
        <f>DEC2HEX(_xlfn.BITAND(HEX2DEC(MID('paste from garc here'!$C$1,1+(('table for research'!$B698-1)*36+HEX2DEC(8))*2,2)),64),2)</f>
        <v>00</v>
      </c>
      <c r="N698" t="str">
        <f>DEC2HEX(_xlfn.BITRSHIFT(_xlfn.BITAND(HEX2DEC(MID('paste from garc here'!$C$1,1+(('table for research'!$B698-1)*36+HEX2DEC(9))*2,2)&amp;MID('paste from garc here'!$C$1,1+(('table for research'!$B698-1)*36+HEX2DEC(8))*2,2)),1920),7),2)</f>
        <v>00</v>
      </c>
      <c r="O698" t="str">
        <f>DEC2HEX(_xlfn.BITRSHIFT(HEX2DEC(MID('paste from garc here'!$C$1,1+(('table for research'!$B698-1)*36+HEX2DEC(9))*2,2)&amp;MID('paste from garc here'!$C$1,1+(('table for research'!$B698-1)*36+HEX2DEC(8))*2,2)),11),2)</f>
        <v>00</v>
      </c>
      <c r="P698" t="str">
        <f>MID('paste from garc here'!$C$2,1+(('table for research'!$B698-456)*36+HEX2DEC('table for research'!P$1))*2,2)</f>
        <v>00</v>
      </c>
      <c r="Q698" t="str">
        <f>MID('paste from garc here'!$C$2,1+(('table for research'!$B698-456)*36+HEX2DEC('table for research'!Q$1))*2,2)</f>
        <v>00</v>
      </c>
      <c r="R698" t="str">
        <f>MID('paste from garc here'!$C$2,1+(('table for research'!$B698-456)*36+HEX2DEC('table for research'!R$1))*2,2)</f>
        <v>00</v>
      </c>
      <c r="S698" t="str">
        <f>MID('paste from garc here'!$C$2,1+(('table for research'!$B698-456)*36+HEX2DEC('table for research'!S$1))*2,2)</f>
        <v>08</v>
      </c>
      <c r="T698" t="str">
        <f>MID('paste from garc here'!$C$2,1+(('table for research'!$B698-456)*36+HEX2DEC('table for research'!T$1))*2,2)</f>
        <v>00</v>
      </c>
      <c r="U698" t="str">
        <f>MID('paste from garc here'!$C$2,1+(('table for research'!$B698-456)*36+HEX2DEC('table for research'!U$1))*2,2)</f>
        <v>05</v>
      </c>
      <c r="V698" t="str">
        <f>MID('paste from garc here'!$C$2,1+(('table for research'!$B698-456)*36+HEX2DEC('table for research'!V$1))*2,2)</f>
        <v>00</v>
      </c>
      <c r="W698" t="str">
        <f>MID('paste from garc here'!$C$2,1+(('table for research'!$B698-456)*36+HEX2DEC('table for research'!W$1))*2,2)</f>
        <v>00</v>
      </c>
      <c r="X698" t="str">
        <f>MID('paste from garc here'!$C$2,1+(('table for research'!$B698-456)*36+HEX2DEC('table for research'!X$1))*2,2)</f>
        <v>00</v>
      </c>
      <c r="Y698" t="str">
        <f>MID('paste from garc here'!$C$2,1+(('table for research'!$B698-456)*36+HEX2DEC('table for research'!Y$1))*2,2)</f>
        <v>00</v>
      </c>
      <c r="Z698" t="str">
        <f>MID('paste from garc here'!$C$2,1+(('table for research'!$B698-456)*36+HEX2DEC('table for research'!Z$1))*2,2)</f>
        <v>00</v>
      </c>
      <c r="AA698" t="str">
        <f>MID('paste from garc here'!$C$2,1+(('table for research'!$B698-456)*36+HEX2DEC('table for research'!AA$1))*2,2)</f>
        <v>00</v>
      </c>
      <c r="AB698" t="str">
        <f>MID('paste from garc here'!$C$2,1+(('table for research'!$B698-456)*36+HEX2DEC('table for research'!AB$1))*2,2)</f>
        <v>00</v>
      </c>
      <c r="AC698" t="str">
        <f>MID('paste from garc here'!$C$2,1+(('table for research'!$B698-456)*36+HEX2DEC('table for research'!AC$1))*2,2)</f>
        <v>00</v>
      </c>
      <c r="AD698" t="str">
        <f>MID('paste from garc here'!$C$2,1+(('table for research'!$B698-456)*36+HEX2DEC('table for research'!AD$1))*2,2)</f>
        <v>00</v>
      </c>
      <c r="AE698" t="str">
        <f>MID('paste from garc here'!$C$2,1+(('table for research'!$B698-456)*36+HEX2DEC('table for research'!AE$1))*2,2)</f>
        <v>00</v>
      </c>
      <c r="AF698" t="str">
        <f>MID('paste from garc here'!$C$2,1+(('table for research'!$B698-456)*36+HEX2DEC('table for research'!AF$1))*2,2)</f>
        <v>00</v>
      </c>
      <c r="AG698" t="str">
        <f>MID('paste from garc here'!$C$2,1+(('table for research'!$B698-456)*36+HEX2DEC('table for research'!AG$1))*2,2)</f>
        <v>00</v>
      </c>
      <c r="AH698" t="str">
        <f>MID('paste from garc here'!$C$2,1+(('table for research'!$B698-456)*36+HEX2DEC('table for research'!AH$1))*2,2)</f>
        <v>00</v>
      </c>
      <c r="AI698" t="str">
        <f>MID('paste from garc here'!$C$2,1+(('table for research'!$B698-456)*36+HEX2DEC('table for research'!AI$1))*2,2)</f>
        <v>00</v>
      </c>
      <c r="AJ698" t="str">
        <f>MID('paste from garc here'!$C$2,1+(('table for research'!$B698-456)*36+HEX2DEC('table for research'!AJ$1))*2,2)</f>
        <v>00</v>
      </c>
      <c r="AK698" t="str">
        <f>MID('paste from garc here'!$C$2,1+(('table for research'!$B698-456)*36+HEX2DEC('table for research'!AK$1))*2,2)</f>
        <v>00</v>
      </c>
      <c r="AL698" t="str">
        <f>MID('paste from garc here'!$C$2,1+(('table for research'!$B698-456)*36+HEX2DEC('table for research'!AL$1))*2,2)</f>
        <v>00</v>
      </c>
      <c r="AM698" t="str">
        <f>MID('paste from garc here'!$C$2,1+(('table for research'!$B698-456)*36+HEX2DEC('table for research'!AM$1))*2,2)</f>
        <v>00</v>
      </c>
      <c r="AN698" t="str">
        <f>MID('paste from garc here'!$C$2,1+(('table for research'!$B698-456)*36+HEX2DEC('table for research'!AN$1))*2,2)</f>
        <v>00</v>
      </c>
      <c r="AO698" t="str">
        <f>MID('paste from garc here'!$C$2,1+(('table for research'!$B698-456)*36+HEX2DEC('table for research'!AO$1))*2,2)</f>
        <v>00</v>
      </c>
    </row>
    <row r="699" spans="1:41" x14ac:dyDescent="0.4">
      <c r="A699" t="s">
        <v>698</v>
      </c>
      <c r="B699">
        <f>B698+1</f>
        <v>697</v>
      </c>
      <c r="C699" t="str">
        <f>MID('paste from garc here'!$C$2,1+(('table for research'!$B699-456)*36+HEX2DEC('table for research'!C$1))*2,2)</f>
        <v>00</v>
      </c>
      <c r="D699" t="str">
        <f>MID('paste from garc here'!$C$2,1+(('table for research'!$B699-456)*36+HEX2DEC('table for research'!D$1))*2,2)</f>
        <v>00</v>
      </c>
      <c r="E699" t="str">
        <f>MID('paste from garc here'!$C$2,1+(('table for research'!$B699-456)*36+HEX2DEC('table for research'!E$1))*2,2)</f>
        <v>00</v>
      </c>
      <c r="F699" t="str">
        <f>MID('paste from garc here'!$C$2,1+(('table for research'!$B699-456)*36+HEX2DEC('table for research'!F$1))*2,2)</f>
        <v>00</v>
      </c>
      <c r="G699" t="str">
        <f>MID('paste from garc here'!$C$2,1+(('table for research'!$B699-456)*36+HEX2DEC('table for research'!G$1))*2,2)</f>
        <v>00</v>
      </c>
      <c r="H699" t="str">
        <f>MID('paste from garc here'!$C$2,1+(('table for research'!$B699-456)*36+HEX2DEC('table for research'!H$1))*2,2)</f>
        <v>00</v>
      </c>
      <c r="I699" t="str">
        <f>MID('paste from garc here'!$C$2,1+(('table for research'!$B699-456)*36+HEX2DEC('table for research'!I$1))*2,2)</f>
        <v>00</v>
      </c>
      <c r="J699" t="str">
        <f>MID('paste from garc here'!$C$2,1+(('table for research'!$B699-456)*36+HEX2DEC('table for research'!J$1))*2,2)</f>
        <v>00</v>
      </c>
      <c r="K699" t="str">
        <f>DEC2HEX(_xlfn.BITAND(HEX2DEC(MID('paste from garc here'!$C$1,1+(('table for research'!$B699-1)*36+HEX2DEC(8))*2,2)),31),2)</f>
        <v>00</v>
      </c>
      <c r="L699" t="str">
        <f>DEC2HEX(_xlfn.BITAND(HEX2DEC(MID('paste from garc here'!$C$1,1+(('table for research'!$B699-1)*36+HEX2DEC(8))*2,2)),32),2)</f>
        <v>00</v>
      </c>
      <c r="M699" t="str">
        <f>DEC2HEX(_xlfn.BITAND(HEX2DEC(MID('paste from garc here'!$C$1,1+(('table for research'!$B699-1)*36+HEX2DEC(8))*2,2)),64),2)</f>
        <v>00</v>
      </c>
      <c r="N699" t="str">
        <f>DEC2HEX(_xlfn.BITRSHIFT(_xlfn.BITAND(HEX2DEC(MID('paste from garc here'!$C$1,1+(('table for research'!$B699-1)*36+HEX2DEC(9))*2,2)&amp;MID('paste from garc here'!$C$1,1+(('table for research'!$B699-1)*36+HEX2DEC(8))*2,2)),1920),7),2)</f>
        <v>00</v>
      </c>
      <c r="O699" t="str">
        <f>DEC2HEX(_xlfn.BITRSHIFT(HEX2DEC(MID('paste from garc here'!$C$1,1+(('table for research'!$B699-1)*36+HEX2DEC(9))*2,2)&amp;MID('paste from garc here'!$C$1,1+(('table for research'!$B699-1)*36+HEX2DEC(8))*2,2)),11),2)</f>
        <v>00</v>
      </c>
      <c r="P699" t="str">
        <f>MID('paste from garc here'!$C$2,1+(('table for research'!$B699-456)*36+HEX2DEC('table for research'!P$1))*2,2)</f>
        <v>00</v>
      </c>
      <c r="Q699" t="str">
        <f>MID('paste from garc here'!$C$2,1+(('table for research'!$B699-456)*36+HEX2DEC('table for research'!Q$1))*2,2)</f>
        <v>00</v>
      </c>
      <c r="R699" t="str">
        <f>MID('paste from garc here'!$C$2,1+(('table for research'!$B699-456)*36+HEX2DEC('table for research'!R$1))*2,2)</f>
        <v>00</v>
      </c>
      <c r="S699" t="str">
        <f>MID('paste from garc here'!$C$2,1+(('table for research'!$B699-456)*36+HEX2DEC('table for research'!S$1))*2,2)</f>
        <v>08</v>
      </c>
      <c r="T699" t="str">
        <f>MID('paste from garc here'!$C$2,1+(('table for research'!$B699-456)*36+HEX2DEC('table for research'!T$1))*2,2)</f>
        <v>00</v>
      </c>
      <c r="U699" t="str">
        <f>MID('paste from garc here'!$C$2,1+(('table for research'!$B699-456)*36+HEX2DEC('table for research'!U$1))*2,2)</f>
        <v>FF</v>
      </c>
      <c r="V699" t="str">
        <f>MID('paste from garc here'!$C$2,1+(('table for research'!$B699-456)*36+HEX2DEC('table for research'!V$1))*2,2)</f>
        <v>00</v>
      </c>
      <c r="W699" t="str">
        <f>MID('paste from garc here'!$C$2,1+(('table for research'!$B699-456)*36+HEX2DEC('table for research'!W$1))*2,2)</f>
        <v>00</v>
      </c>
      <c r="X699" t="str">
        <f>MID('paste from garc here'!$C$2,1+(('table for research'!$B699-456)*36+HEX2DEC('table for research'!X$1))*2,2)</f>
        <v>00</v>
      </c>
      <c r="Y699" t="str">
        <f>MID('paste from garc here'!$C$2,1+(('table for research'!$B699-456)*36+HEX2DEC('table for research'!Y$1))*2,2)</f>
        <v>00</v>
      </c>
      <c r="Z699" t="str">
        <f>MID('paste from garc here'!$C$2,1+(('table for research'!$B699-456)*36+HEX2DEC('table for research'!Z$1))*2,2)</f>
        <v>00</v>
      </c>
      <c r="AA699" t="str">
        <f>MID('paste from garc here'!$C$2,1+(('table for research'!$B699-456)*36+HEX2DEC('table for research'!AA$1))*2,2)</f>
        <v>00</v>
      </c>
      <c r="AB699" t="str">
        <f>MID('paste from garc here'!$C$2,1+(('table for research'!$B699-456)*36+HEX2DEC('table for research'!AB$1))*2,2)</f>
        <v>00</v>
      </c>
      <c r="AC699" t="str">
        <f>MID('paste from garc here'!$C$2,1+(('table for research'!$B699-456)*36+HEX2DEC('table for research'!AC$1))*2,2)</f>
        <v>00</v>
      </c>
      <c r="AD699" t="str">
        <f>MID('paste from garc here'!$C$2,1+(('table for research'!$B699-456)*36+HEX2DEC('table for research'!AD$1))*2,2)</f>
        <v>00</v>
      </c>
      <c r="AE699" t="str">
        <f>MID('paste from garc here'!$C$2,1+(('table for research'!$B699-456)*36+HEX2DEC('table for research'!AE$1))*2,2)</f>
        <v>00</v>
      </c>
      <c r="AF699" t="str">
        <f>MID('paste from garc here'!$C$2,1+(('table for research'!$B699-456)*36+HEX2DEC('table for research'!AF$1))*2,2)</f>
        <v>00</v>
      </c>
      <c r="AG699" t="str">
        <f>MID('paste from garc here'!$C$2,1+(('table for research'!$B699-456)*36+HEX2DEC('table for research'!AG$1))*2,2)</f>
        <v>00</v>
      </c>
      <c r="AH699" t="str">
        <f>MID('paste from garc here'!$C$2,1+(('table for research'!$B699-456)*36+HEX2DEC('table for research'!AH$1))*2,2)</f>
        <v>00</v>
      </c>
      <c r="AI699" t="str">
        <f>MID('paste from garc here'!$C$2,1+(('table for research'!$B699-456)*36+HEX2DEC('table for research'!AI$1))*2,2)</f>
        <v>00</v>
      </c>
      <c r="AJ699" t="str">
        <f>MID('paste from garc here'!$C$2,1+(('table for research'!$B699-456)*36+HEX2DEC('table for research'!AJ$1))*2,2)</f>
        <v>00</v>
      </c>
      <c r="AK699" t="str">
        <f>MID('paste from garc here'!$C$2,1+(('table for research'!$B699-456)*36+HEX2DEC('table for research'!AK$1))*2,2)</f>
        <v>00</v>
      </c>
      <c r="AL699" t="str">
        <f>MID('paste from garc here'!$C$2,1+(('table for research'!$B699-456)*36+HEX2DEC('table for research'!AL$1))*2,2)</f>
        <v>00</v>
      </c>
      <c r="AM699" t="str">
        <f>MID('paste from garc here'!$C$2,1+(('table for research'!$B699-456)*36+HEX2DEC('table for research'!AM$1))*2,2)</f>
        <v>00</v>
      </c>
      <c r="AN699" t="str">
        <f>MID('paste from garc here'!$C$2,1+(('table for research'!$B699-456)*36+HEX2DEC('table for research'!AN$1))*2,2)</f>
        <v>00</v>
      </c>
      <c r="AO699" t="str">
        <f>MID('paste from garc here'!$C$2,1+(('table for research'!$B699-456)*36+HEX2DEC('table for research'!AO$1))*2,2)</f>
        <v>00</v>
      </c>
    </row>
    <row r="700" spans="1:41" x14ac:dyDescent="0.4">
      <c r="A700" t="s">
        <v>699</v>
      </c>
      <c r="B700">
        <f>B699+1</f>
        <v>698</v>
      </c>
      <c r="C700" t="str">
        <f>MID('paste from garc here'!$C$2,1+(('table for research'!$B700-456)*36+HEX2DEC('table for research'!C$1))*2,2)</f>
        <v>00</v>
      </c>
      <c r="D700" t="str">
        <f>MID('paste from garc here'!$C$2,1+(('table for research'!$B700-456)*36+HEX2DEC('table for research'!D$1))*2,2)</f>
        <v>00</v>
      </c>
      <c r="E700" t="str">
        <f>MID('paste from garc here'!$C$2,1+(('table for research'!$B700-456)*36+HEX2DEC('table for research'!E$1))*2,2)</f>
        <v>00</v>
      </c>
      <c r="F700" t="str">
        <f>MID('paste from garc here'!$C$2,1+(('table for research'!$B700-456)*36+HEX2DEC('table for research'!F$1))*2,2)</f>
        <v>00</v>
      </c>
      <c r="G700" t="str">
        <f>MID('paste from garc here'!$C$2,1+(('table for research'!$B700-456)*36+HEX2DEC('table for research'!G$1))*2,2)</f>
        <v>00</v>
      </c>
      <c r="H700" t="str">
        <f>MID('paste from garc here'!$C$2,1+(('table for research'!$B700-456)*36+HEX2DEC('table for research'!H$1))*2,2)</f>
        <v>00</v>
      </c>
      <c r="I700" t="str">
        <f>MID('paste from garc here'!$C$2,1+(('table for research'!$B700-456)*36+HEX2DEC('table for research'!I$1))*2,2)</f>
        <v>00</v>
      </c>
      <c r="J700" t="str">
        <f>MID('paste from garc here'!$C$2,1+(('table for research'!$B700-456)*36+HEX2DEC('table for research'!J$1))*2,2)</f>
        <v>00</v>
      </c>
      <c r="K700" t="str">
        <f>DEC2HEX(_xlfn.BITAND(HEX2DEC(MID('paste from garc here'!$C$1,1+(('table for research'!$B700-1)*36+HEX2DEC(8))*2,2)),31),2)</f>
        <v>00</v>
      </c>
      <c r="L700" t="str">
        <f>DEC2HEX(_xlfn.BITAND(HEX2DEC(MID('paste from garc here'!$C$1,1+(('table for research'!$B700-1)*36+HEX2DEC(8))*2,2)),32),2)</f>
        <v>00</v>
      </c>
      <c r="M700" t="str">
        <f>DEC2HEX(_xlfn.BITAND(HEX2DEC(MID('paste from garc here'!$C$1,1+(('table for research'!$B700-1)*36+HEX2DEC(8))*2,2)),64),2)</f>
        <v>00</v>
      </c>
      <c r="N700" t="str">
        <f>DEC2HEX(_xlfn.BITRSHIFT(_xlfn.BITAND(HEX2DEC(MID('paste from garc here'!$C$1,1+(('table for research'!$B700-1)*36+HEX2DEC(9))*2,2)&amp;MID('paste from garc here'!$C$1,1+(('table for research'!$B700-1)*36+HEX2DEC(8))*2,2)),1920),7),2)</f>
        <v>00</v>
      </c>
      <c r="O700" t="str">
        <f>DEC2HEX(_xlfn.BITRSHIFT(HEX2DEC(MID('paste from garc here'!$C$1,1+(('table for research'!$B700-1)*36+HEX2DEC(9))*2,2)&amp;MID('paste from garc here'!$C$1,1+(('table for research'!$B700-1)*36+HEX2DEC(8))*2,2)),11),2)</f>
        <v>00</v>
      </c>
      <c r="P700" t="str">
        <f>MID('paste from garc here'!$C$2,1+(('table for research'!$B700-456)*36+HEX2DEC('table for research'!P$1))*2,2)</f>
        <v>00</v>
      </c>
      <c r="Q700" t="str">
        <f>MID('paste from garc here'!$C$2,1+(('table for research'!$B700-456)*36+HEX2DEC('table for research'!Q$1))*2,2)</f>
        <v>00</v>
      </c>
      <c r="R700" t="str">
        <f>MID('paste from garc here'!$C$2,1+(('table for research'!$B700-456)*36+HEX2DEC('table for research'!R$1))*2,2)</f>
        <v>00</v>
      </c>
      <c r="S700" t="str">
        <f>MID('paste from garc here'!$C$2,1+(('table for research'!$B700-456)*36+HEX2DEC('table for research'!S$1))*2,2)</f>
        <v>08</v>
      </c>
      <c r="T700" t="str">
        <f>MID('paste from garc here'!$C$2,1+(('table for research'!$B700-456)*36+HEX2DEC('table for research'!T$1))*2,2)</f>
        <v>00</v>
      </c>
      <c r="U700" t="str">
        <f>MID('paste from garc here'!$C$2,1+(('table for research'!$B700-456)*36+HEX2DEC('table for research'!U$1))*2,2)</f>
        <v>FF</v>
      </c>
      <c r="V700" t="str">
        <f>MID('paste from garc here'!$C$2,1+(('table for research'!$B700-456)*36+HEX2DEC('table for research'!V$1))*2,2)</f>
        <v>00</v>
      </c>
      <c r="W700" t="str">
        <f>MID('paste from garc here'!$C$2,1+(('table for research'!$B700-456)*36+HEX2DEC('table for research'!W$1))*2,2)</f>
        <v>00</v>
      </c>
      <c r="X700" t="str">
        <f>MID('paste from garc here'!$C$2,1+(('table for research'!$B700-456)*36+HEX2DEC('table for research'!X$1))*2,2)</f>
        <v>00</v>
      </c>
      <c r="Y700" t="str">
        <f>MID('paste from garc here'!$C$2,1+(('table for research'!$B700-456)*36+HEX2DEC('table for research'!Y$1))*2,2)</f>
        <v>00</v>
      </c>
      <c r="Z700" t="str">
        <f>MID('paste from garc here'!$C$2,1+(('table for research'!$B700-456)*36+HEX2DEC('table for research'!Z$1))*2,2)</f>
        <v>00</v>
      </c>
      <c r="AA700" t="str">
        <f>MID('paste from garc here'!$C$2,1+(('table for research'!$B700-456)*36+HEX2DEC('table for research'!AA$1))*2,2)</f>
        <v>00</v>
      </c>
      <c r="AB700" t="str">
        <f>MID('paste from garc here'!$C$2,1+(('table for research'!$B700-456)*36+HEX2DEC('table for research'!AB$1))*2,2)</f>
        <v>00</v>
      </c>
      <c r="AC700" t="str">
        <f>MID('paste from garc here'!$C$2,1+(('table for research'!$B700-456)*36+HEX2DEC('table for research'!AC$1))*2,2)</f>
        <v>00</v>
      </c>
      <c r="AD700" t="str">
        <f>MID('paste from garc here'!$C$2,1+(('table for research'!$B700-456)*36+HEX2DEC('table for research'!AD$1))*2,2)</f>
        <v>00</v>
      </c>
      <c r="AE700" t="str">
        <f>MID('paste from garc here'!$C$2,1+(('table for research'!$B700-456)*36+HEX2DEC('table for research'!AE$1))*2,2)</f>
        <v>00</v>
      </c>
      <c r="AF700" t="str">
        <f>MID('paste from garc here'!$C$2,1+(('table for research'!$B700-456)*36+HEX2DEC('table for research'!AF$1))*2,2)</f>
        <v>00</v>
      </c>
      <c r="AG700" t="str">
        <f>MID('paste from garc here'!$C$2,1+(('table for research'!$B700-456)*36+HEX2DEC('table for research'!AG$1))*2,2)</f>
        <v>00</v>
      </c>
      <c r="AH700" t="str">
        <f>MID('paste from garc here'!$C$2,1+(('table for research'!$B700-456)*36+HEX2DEC('table for research'!AH$1))*2,2)</f>
        <v>00</v>
      </c>
      <c r="AI700" t="str">
        <f>MID('paste from garc here'!$C$2,1+(('table for research'!$B700-456)*36+HEX2DEC('table for research'!AI$1))*2,2)</f>
        <v>00</v>
      </c>
      <c r="AJ700" t="str">
        <f>MID('paste from garc here'!$C$2,1+(('table for research'!$B700-456)*36+HEX2DEC('table for research'!AJ$1))*2,2)</f>
        <v>00</v>
      </c>
      <c r="AK700" t="str">
        <f>MID('paste from garc here'!$C$2,1+(('table for research'!$B700-456)*36+HEX2DEC('table for research'!AK$1))*2,2)</f>
        <v>00</v>
      </c>
      <c r="AL700" t="str">
        <f>MID('paste from garc here'!$C$2,1+(('table for research'!$B700-456)*36+HEX2DEC('table for research'!AL$1))*2,2)</f>
        <v>00</v>
      </c>
      <c r="AM700" t="str">
        <f>MID('paste from garc here'!$C$2,1+(('table for research'!$B700-456)*36+HEX2DEC('table for research'!AM$1))*2,2)</f>
        <v>00</v>
      </c>
      <c r="AN700" t="str">
        <f>MID('paste from garc here'!$C$2,1+(('table for research'!$B700-456)*36+HEX2DEC('table for research'!AN$1))*2,2)</f>
        <v>00</v>
      </c>
      <c r="AO700" t="str">
        <f>MID('paste from garc here'!$C$2,1+(('table for research'!$B700-456)*36+HEX2DEC('table for research'!AO$1))*2,2)</f>
        <v>00</v>
      </c>
    </row>
    <row r="701" spans="1:41" x14ac:dyDescent="0.4">
      <c r="A701" t="s">
        <v>700</v>
      </c>
      <c r="B701">
        <f>B700+1</f>
        <v>699</v>
      </c>
      <c r="C701" t="str">
        <f>MID('paste from garc here'!$C$2,1+(('table for research'!$B701-456)*36+HEX2DEC('table for research'!C$1))*2,2)</f>
        <v>02</v>
      </c>
      <c r="D701" t="str">
        <f>MID('paste from garc here'!$C$2,1+(('table for research'!$B701-456)*36+HEX2DEC('table for research'!D$1))*2,2)</f>
        <v>00</v>
      </c>
      <c r="E701" t="str">
        <f>MID('paste from garc here'!$C$2,1+(('table for research'!$B701-456)*36+HEX2DEC('table for research'!E$1))*2,2)</f>
        <v>00</v>
      </c>
      <c r="F701" t="str">
        <f>MID('paste from garc here'!$C$2,1+(('table for research'!$B701-456)*36+HEX2DEC('table for research'!F$1))*2,2)</f>
        <v>00</v>
      </c>
      <c r="G701" t="str">
        <f>MID('paste from garc here'!$C$2,1+(('table for research'!$B701-456)*36+HEX2DEC('table for research'!G$1))*2,2)</f>
        <v>00</v>
      </c>
      <c r="H701" t="str">
        <f>MID('paste from garc here'!$C$2,1+(('table for research'!$B701-456)*36+HEX2DEC('table for research'!H$1))*2,2)</f>
        <v>00</v>
      </c>
      <c r="I701" t="str">
        <f>MID('paste from garc here'!$C$2,1+(('table for research'!$B701-456)*36+HEX2DEC('table for research'!I$1))*2,2)</f>
        <v>0A</v>
      </c>
      <c r="J701" t="str">
        <f>MID('paste from garc here'!$C$2,1+(('table for research'!$B701-456)*36+HEX2DEC('table for research'!J$1))*2,2)</f>
        <v>00</v>
      </c>
      <c r="K701" t="str">
        <f>DEC2HEX(_xlfn.BITAND(HEX2DEC(MID('paste from garc here'!$C$1,1+(('table for research'!$B701-1)*36+HEX2DEC(8))*2,2)),31),2)</f>
        <v>00</v>
      </c>
      <c r="L701" t="str">
        <f>DEC2HEX(_xlfn.BITAND(HEX2DEC(MID('paste from garc here'!$C$1,1+(('table for research'!$B701-1)*36+HEX2DEC(8))*2,2)),32),2)</f>
        <v>00</v>
      </c>
      <c r="M701" t="str">
        <f>DEC2HEX(_xlfn.BITAND(HEX2DEC(MID('paste from garc here'!$C$1,1+(('table for research'!$B701-1)*36+HEX2DEC(8))*2,2)),64),2)</f>
        <v>00</v>
      </c>
      <c r="N701" t="str">
        <f>DEC2HEX(_xlfn.BITRSHIFT(_xlfn.BITAND(HEX2DEC(MID('paste from garc here'!$C$1,1+(('table for research'!$B701-1)*36+HEX2DEC(9))*2,2)&amp;MID('paste from garc here'!$C$1,1+(('table for research'!$B701-1)*36+HEX2DEC(8))*2,2)),1920),7),2)</f>
        <v>00</v>
      </c>
      <c r="O701" t="str">
        <f>DEC2HEX(_xlfn.BITRSHIFT(HEX2DEC(MID('paste from garc here'!$C$1,1+(('table for research'!$B701-1)*36+HEX2DEC(9))*2,2)&amp;MID('paste from garc here'!$C$1,1+(('table for research'!$B701-1)*36+HEX2DEC(8))*2,2)),11),2)</f>
        <v>00</v>
      </c>
      <c r="P701" t="str">
        <f>MID('paste from garc here'!$C$2,1+(('table for research'!$B701-456)*36+HEX2DEC('table for research'!P$1))*2,2)</f>
        <v>00</v>
      </c>
      <c r="Q701" t="str">
        <f>MID('paste from garc here'!$C$2,1+(('table for research'!$B701-456)*36+HEX2DEC('table for research'!Q$1))*2,2)</f>
        <v>00</v>
      </c>
      <c r="R701" t="str">
        <f>MID('paste from garc here'!$C$2,1+(('table for research'!$B701-456)*36+HEX2DEC('table for research'!R$1))*2,2)</f>
        <v>00</v>
      </c>
      <c r="S701" t="str">
        <f>MID('paste from garc here'!$C$2,1+(('table for research'!$B701-456)*36+HEX2DEC('table for research'!S$1))*2,2)</f>
        <v>02</v>
      </c>
      <c r="T701" t="str">
        <f>MID('paste from garc here'!$C$2,1+(('table for research'!$B701-456)*36+HEX2DEC('table for research'!T$1))*2,2)</f>
        <v>00</v>
      </c>
      <c r="U701" t="str">
        <f>MID('paste from garc here'!$C$2,1+(('table for research'!$B701-456)*36+HEX2DEC('table for research'!U$1))*2,2)</f>
        <v>08</v>
      </c>
      <c r="V701" t="str">
        <f>MID('paste from garc here'!$C$2,1+(('table for research'!$B701-456)*36+HEX2DEC('table for research'!V$1))*2,2)</f>
        <v>00</v>
      </c>
      <c r="W701" t="str">
        <f>MID('paste from garc here'!$C$2,1+(('table for research'!$B701-456)*36+HEX2DEC('table for research'!W$1))*2,2)</f>
        <v>00</v>
      </c>
      <c r="X701" t="str">
        <f>MID('paste from garc here'!$C$2,1+(('table for research'!$B701-456)*36+HEX2DEC('table for research'!X$1))*2,2)</f>
        <v>00</v>
      </c>
      <c r="Y701" t="str">
        <f>MID('paste from garc here'!$C$2,1+(('table for research'!$B701-456)*36+HEX2DEC('table for research'!Y$1))*2,2)</f>
        <v>00</v>
      </c>
      <c r="Z701" t="str">
        <f>MID('paste from garc here'!$C$2,1+(('table for research'!$B701-456)*36+HEX2DEC('table for research'!Z$1))*2,2)</f>
        <v>00</v>
      </c>
      <c r="AA701" t="str">
        <f>MID('paste from garc here'!$C$2,1+(('table for research'!$B701-456)*36+HEX2DEC('table for research'!AA$1))*2,2)</f>
        <v>00</v>
      </c>
      <c r="AB701" t="str">
        <f>MID('paste from garc here'!$C$2,1+(('table for research'!$B701-456)*36+HEX2DEC('table for research'!AB$1))*2,2)</f>
        <v>00</v>
      </c>
      <c r="AC701" t="str">
        <f>MID('paste from garc here'!$C$2,1+(('table for research'!$B701-456)*36+HEX2DEC('table for research'!AC$1))*2,2)</f>
        <v>00</v>
      </c>
      <c r="AD701" t="str">
        <f>MID('paste from garc here'!$C$2,1+(('table for research'!$B701-456)*36+HEX2DEC('table for research'!AD$1))*2,2)</f>
        <v>00</v>
      </c>
      <c r="AE701" t="str">
        <f>MID('paste from garc here'!$C$2,1+(('table for research'!$B701-456)*36+HEX2DEC('table for research'!AE$1))*2,2)</f>
        <v>00</v>
      </c>
      <c r="AF701" t="str">
        <f>MID('paste from garc here'!$C$2,1+(('table for research'!$B701-456)*36+HEX2DEC('table for research'!AF$1))*2,2)</f>
        <v>00</v>
      </c>
      <c r="AG701" t="str">
        <f>MID('paste from garc here'!$C$2,1+(('table for research'!$B701-456)*36+HEX2DEC('table for research'!AG$1))*2,2)</f>
        <v>00</v>
      </c>
      <c r="AH701" t="str">
        <f>MID('paste from garc here'!$C$2,1+(('table for research'!$B701-456)*36+HEX2DEC('table for research'!AH$1))*2,2)</f>
        <v>00</v>
      </c>
      <c r="AI701" t="str">
        <f>MID('paste from garc here'!$C$2,1+(('table for research'!$B701-456)*36+HEX2DEC('table for research'!AI$1))*2,2)</f>
        <v>00</v>
      </c>
      <c r="AJ701" t="str">
        <f>MID('paste from garc here'!$C$2,1+(('table for research'!$B701-456)*36+HEX2DEC('table for research'!AJ$1))*2,2)</f>
        <v>00</v>
      </c>
      <c r="AK701" t="str">
        <f>MID('paste from garc here'!$C$2,1+(('table for research'!$B701-456)*36+HEX2DEC('table for research'!AK$1))*2,2)</f>
        <v>00</v>
      </c>
      <c r="AL701" t="str">
        <f>MID('paste from garc here'!$C$2,1+(('table for research'!$B701-456)*36+HEX2DEC('table for research'!AL$1))*2,2)</f>
        <v>00</v>
      </c>
      <c r="AM701" t="str">
        <f>MID('paste from garc here'!$C$2,1+(('table for research'!$B701-456)*36+HEX2DEC('table for research'!AM$1))*2,2)</f>
        <v>00</v>
      </c>
      <c r="AN701" t="str">
        <f>MID('paste from garc here'!$C$2,1+(('table for research'!$B701-456)*36+HEX2DEC('table for research'!AN$1))*2,2)</f>
        <v>00</v>
      </c>
      <c r="AO701" t="str">
        <f>MID('paste from garc here'!$C$2,1+(('table for research'!$B701-456)*36+HEX2DEC('table for research'!AO$1))*2,2)</f>
        <v>00</v>
      </c>
    </row>
    <row r="702" spans="1:41" x14ac:dyDescent="0.4">
      <c r="A702" t="s">
        <v>701</v>
      </c>
      <c r="B702">
        <f>B701+1</f>
        <v>700</v>
      </c>
      <c r="C702" t="str">
        <f>MID('paste from garc here'!$C$2,1+(('table for research'!$B702-456)*36+HEX2DEC('table for research'!C$1))*2,2)</f>
        <v>00</v>
      </c>
      <c r="D702" t="str">
        <f>MID('paste from garc here'!$C$2,1+(('table for research'!$B702-456)*36+HEX2DEC('table for research'!D$1))*2,2)</f>
        <v>00</v>
      </c>
      <c r="E702" t="str">
        <f>MID('paste from garc here'!$C$2,1+(('table for research'!$B702-456)*36+HEX2DEC('table for research'!E$1))*2,2)</f>
        <v>00</v>
      </c>
      <c r="F702" t="str">
        <f>MID('paste from garc here'!$C$2,1+(('table for research'!$B702-456)*36+HEX2DEC('table for research'!F$1))*2,2)</f>
        <v>00</v>
      </c>
      <c r="G702" t="str">
        <f>MID('paste from garc here'!$C$2,1+(('table for research'!$B702-456)*36+HEX2DEC('table for research'!G$1))*2,2)</f>
        <v>00</v>
      </c>
      <c r="H702" t="str">
        <f>MID('paste from garc here'!$C$2,1+(('table for research'!$B702-456)*36+HEX2DEC('table for research'!H$1))*2,2)</f>
        <v>00</v>
      </c>
      <c r="I702" t="str">
        <f>MID('paste from garc here'!$C$2,1+(('table for research'!$B702-456)*36+HEX2DEC('table for research'!I$1))*2,2)</f>
        <v>00</v>
      </c>
      <c r="J702" t="str">
        <f>MID('paste from garc here'!$C$2,1+(('table for research'!$B702-456)*36+HEX2DEC('table for research'!J$1))*2,2)</f>
        <v>00</v>
      </c>
      <c r="K702" t="str">
        <f>DEC2HEX(_xlfn.BITAND(HEX2DEC(MID('paste from garc here'!$C$1,1+(('table for research'!$B702-1)*36+HEX2DEC(8))*2,2)),31),2)</f>
        <v>00</v>
      </c>
      <c r="L702" t="str">
        <f>DEC2HEX(_xlfn.BITAND(HEX2DEC(MID('paste from garc here'!$C$1,1+(('table for research'!$B702-1)*36+HEX2DEC(8))*2,2)),32),2)</f>
        <v>00</v>
      </c>
      <c r="M702" t="str">
        <f>DEC2HEX(_xlfn.BITAND(HEX2DEC(MID('paste from garc here'!$C$1,1+(('table for research'!$B702-1)*36+HEX2DEC(8))*2,2)),64),2)</f>
        <v>00</v>
      </c>
      <c r="N702" t="str">
        <f>DEC2HEX(_xlfn.BITRSHIFT(_xlfn.BITAND(HEX2DEC(MID('paste from garc here'!$C$1,1+(('table for research'!$B702-1)*36+HEX2DEC(9))*2,2)&amp;MID('paste from garc here'!$C$1,1+(('table for research'!$B702-1)*36+HEX2DEC(8))*2,2)),1920),7),2)</f>
        <v>00</v>
      </c>
      <c r="O702" t="str">
        <f>DEC2HEX(_xlfn.BITRSHIFT(HEX2DEC(MID('paste from garc here'!$C$1,1+(('table for research'!$B702-1)*36+HEX2DEC(9))*2,2)&amp;MID('paste from garc here'!$C$1,1+(('table for research'!$B702-1)*36+HEX2DEC(8))*2,2)),11),2)</f>
        <v>00</v>
      </c>
      <c r="P702" t="str">
        <f>MID('paste from garc here'!$C$2,1+(('table for research'!$B702-456)*36+HEX2DEC('table for research'!P$1))*2,2)</f>
        <v>00</v>
      </c>
      <c r="Q702" t="str">
        <f>MID('paste from garc here'!$C$2,1+(('table for research'!$B702-456)*36+HEX2DEC('table for research'!Q$1))*2,2)</f>
        <v>00</v>
      </c>
      <c r="R702" t="str">
        <f>MID('paste from garc here'!$C$2,1+(('table for research'!$B702-456)*36+HEX2DEC('table for research'!R$1))*2,2)</f>
        <v>00</v>
      </c>
      <c r="S702" t="str">
        <f>MID('paste from garc here'!$C$2,1+(('table for research'!$B702-456)*36+HEX2DEC('table for research'!S$1))*2,2)</f>
        <v>08</v>
      </c>
      <c r="T702" t="str">
        <f>MID('paste from garc here'!$C$2,1+(('table for research'!$B702-456)*36+HEX2DEC('table for research'!T$1))*2,2)</f>
        <v>00</v>
      </c>
      <c r="U702" t="str">
        <f>MID('paste from garc here'!$C$2,1+(('table for research'!$B702-456)*36+HEX2DEC('table for research'!U$1))*2,2)</f>
        <v>FF</v>
      </c>
      <c r="V702" t="str">
        <f>MID('paste from garc here'!$C$2,1+(('table for research'!$B702-456)*36+HEX2DEC('table for research'!V$1))*2,2)</f>
        <v>00</v>
      </c>
      <c r="W702" t="str">
        <f>MID('paste from garc here'!$C$2,1+(('table for research'!$B702-456)*36+HEX2DEC('table for research'!W$1))*2,2)</f>
        <v>00</v>
      </c>
      <c r="X702" t="str">
        <f>MID('paste from garc here'!$C$2,1+(('table for research'!$B702-456)*36+HEX2DEC('table for research'!X$1))*2,2)</f>
        <v>00</v>
      </c>
      <c r="Y702" t="str">
        <f>MID('paste from garc here'!$C$2,1+(('table for research'!$B702-456)*36+HEX2DEC('table for research'!Y$1))*2,2)</f>
        <v>00</v>
      </c>
      <c r="Z702" t="str">
        <f>MID('paste from garc here'!$C$2,1+(('table for research'!$B702-456)*36+HEX2DEC('table for research'!Z$1))*2,2)</f>
        <v>00</v>
      </c>
      <c r="AA702" t="str">
        <f>MID('paste from garc here'!$C$2,1+(('table for research'!$B702-456)*36+HEX2DEC('table for research'!AA$1))*2,2)</f>
        <v>00</v>
      </c>
      <c r="AB702" t="str">
        <f>MID('paste from garc here'!$C$2,1+(('table for research'!$B702-456)*36+HEX2DEC('table for research'!AB$1))*2,2)</f>
        <v>00</v>
      </c>
      <c r="AC702" t="str">
        <f>MID('paste from garc here'!$C$2,1+(('table for research'!$B702-456)*36+HEX2DEC('table for research'!AC$1))*2,2)</f>
        <v>00</v>
      </c>
      <c r="AD702" t="str">
        <f>MID('paste from garc here'!$C$2,1+(('table for research'!$B702-456)*36+HEX2DEC('table for research'!AD$1))*2,2)</f>
        <v>00</v>
      </c>
      <c r="AE702" t="str">
        <f>MID('paste from garc here'!$C$2,1+(('table for research'!$B702-456)*36+HEX2DEC('table for research'!AE$1))*2,2)</f>
        <v>00</v>
      </c>
      <c r="AF702" t="str">
        <f>MID('paste from garc here'!$C$2,1+(('table for research'!$B702-456)*36+HEX2DEC('table for research'!AF$1))*2,2)</f>
        <v>00</v>
      </c>
      <c r="AG702" t="str">
        <f>MID('paste from garc here'!$C$2,1+(('table for research'!$B702-456)*36+HEX2DEC('table for research'!AG$1))*2,2)</f>
        <v>00</v>
      </c>
      <c r="AH702" t="str">
        <f>MID('paste from garc here'!$C$2,1+(('table for research'!$B702-456)*36+HEX2DEC('table for research'!AH$1))*2,2)</f>
        <v>00</v>
      </c>
      <c r="AI702" t="str">
        <f>MID('paste from garc here'!$C$2,1+(('table for research'!$B702-456)*36+HEX2DEC('table for research'!AI$1))*2,2)</f>
        <v>00</v>
      </c>
      <c r="AJ702" t="str">
        <f>MID('paste from garc here'!$C$2,1+(('table for research'!$B702-456)*36+HEX2DEC('table for research'!AJ$1))*2,2)</f>
        <v>00</v>
      </c>
      <c r="AK702" t="str">
        <f>MID('paste from garc here'!$C$2,1+(('table for research'!$B702-456)*36+HEX2DEC('table for research'!AK$1))*2,2)</f>
        <v>00</v>
      </c>
      <c r="AL702" t="str">
        <f>MID('paste from garc here'!$C$2,1+(('table for research'!$B702-456)*36+HEX2DEC('table for research'!AL$1))*2,2)</f>
        <v>00</v>
      </c>
      <c r="AM702" t="str">
        <f>MID('paste from garc here'!$C$2,1+(('table for research'!$B702-456)*36+HEX2DEC('table for research'!AM$1))*2,2)</f>
        <v>00</v>
      </c>
      <c r="AN702" t="str">
        <f>MID('paste from garc here'!$C$2,1+(('table for research'!$B702-456)*36+HEX2DEC('table for research'!AN$1))*2,2)</f>
        <v>00</v>
      </c>
      <c r="AO702" t="str">
        <f>MID('paste from garc here'!$C$2,1+(('table for research'!$B702-456)*36+HEX2DEC('table for research'!AO$1))*2,2)</f>
        <v>00</v>
      </c>
    </row>
    <row r="703" spans="1:41" x14ac:dyDescent="0.4">
      <c r="A703" t="s">
        <v>702</v>
      </c>
      <c r="B703">
        <f>B702+1</f>
        <v>701</v>
      </c>
      <c r="C703" t="str">
        <f>MID('paste from garc here'!$C$2,1+(('table for research'!$B703-456)*36+HEX2DEC('table for research'!C$1))*2,2)</f>
        <v>00</v>
      </c>
      <c r="D703" t="str">
        <f>MID('paste from garc here'!$C$2,1+(('table for research'!$B703-456)*36+HEX2DEC('table for research'!D$1))*2,2)</f>
        <v>00</v>
      </c>
      <c r="E703" t="str">
        <f>MID('paste from garc here'!$C$2,1+(('table for research'!$B703-456)*36+HEX2DEC('table for research'!E$1))*2,2)</f>
        <v>00</v>
      </c>
      <c r="F703" t="str">
        <f>MID('paste from garc here'!$C$2,1+(('table for research'!$B703-456)*36+HEX2DEC('table for research'!F$1))*2,2)</f>
        <v>00</v>
      </c>
      <c r="G703" t="str">
        <f>MID('paste from garc here'!$C$2,1+(('table for research'!$B703-456)*36+HEX2DEC('table for research'!G$1))*2,2)</f>
        <v>00</v>
      </c>
      <c r="H703" t="str">
        <f>MID('paste from garc here'!$C$2,1+(('table for research'!$B703-456)*36+HEX2DEC('table for research'!H$1))*2,2)</f>
        <v>00</v>
      </c>
      <c r="I703" t="str">
        <f>MID('paste from garc here'!$C$2,1+(('table for research'!$B703-456)*36+HEX2DEC('table for research'!I$1))*2,2)</f>
        <v>00</v>
      </c>
      <c r="J703" t="str">
        <f>MID('paste from garc here'!$C$2,1+(('table for research'!$B703-456)*36+HEX2DEC('table for research'!J$1))*2,2)</f>
        <v>00</v>
      </c>
      <c r="K703" t="str">
        <f>DEC2HEX(_xlfn.BITAND(HEX2DEC(MID('paste from garc here'!$C$1,1+(('table for research'!$B703-1)*36+HEX2DEC(8))*2,2)),31),2)</f>
        <v>00</v>
      </c>
      <c r="L703" t="str">
        <f>DEC2HEX(_xlfn.BITAND(HEX2DEC(MID('paste from garc here'!$C$1,1+(('table for research'!$B703-1)*36+HEX2DEC(8))*2,2)),32),2)</f>
        <v>00</v>
      </c>
      <c r="M703" t="str">
        <f>DEC2HEX(_xlfn.BITAND(HEX2DEC(MID('paste from garc here'!$C$1,1+(('table for research'!$B703-1)*36+HEX2DEC(8))*2,2)),64),2)</f>
        <v>00</v>
      </c>
      <c r="N703" t="str">
        <f>DEC2HEX(_xlfn.BITRSHIFT(_xlfn.BITAND(HEX2DEC(MID('paste from garc here'!$C$1,1+(('table for research'!$B703-1)*36+HEX2DEC(9))*2,2)&amp;MID('paste from garc here'!$C$1,1+(('table for research'!$B703-1)*36+HEX2DEC(8))*2,2)),1920),7),2)</f>
        <v>00</v>
      </c>
      <c r="O703" t="str">
        <f>DEC2HEX(_xlfn.BITRSHIFT(HEX2DEC(MID('paste from garc here'!$C$1,1+(('table for research'!$B703-1)*36+HEX2DEC(9))*2,2)&amp;MID('paste from garc here'!$C$1,1+(('table for research'!$B703-1)*36+HEX2DEC(8))*2,2)),11),2)</f>
        <v>00</v>
      </c>
      <c r="P703" t="str">
        <f>MID('paste from garc here'!$C$2,1+(('table for research'!$B703-456)*36+HEX2DEC('table for research'!P$1))*2,2)</f>
        <v>00</v>
      </c>
      <c r="Q703" t="str">
        <f>MID('paste from garc here'!$C$2,1+(('table for research'!$B703-456)*36+HEX2DEC('table for research'!Q$1))*2,2)</f>
        <v>00</v>
      </c>
      <c r="R703" t="str">
        <f>MID('paste from garc here'!$C$2,1+(('table for research'!$B703-456)*36+HEX2DEC('table for research'!R$1))*2,2)</f>
        <v>00</v>
      </c>
      <c r="S703" t="str">
        <f>MID('paste from garc here'!$C$2,1+(('table for research'!$B703-456)*36+HEX2DEC('table for research'!S$1))*2,2)</f>
        <v>08</v>
      </c>
      <c r="T703" t="str">
        <f>MID('paste from garc here'!$C$2,1+(('table for research'!$B703-456)*36+HEX2DEC('table for research'!T$1))*2,2)</f>
        <v>00</v>
      </c>
      <c r="U703" t="str">
        <f>MID('paste from garc here'!$C$2,1+(('table for research'!$B703-456)*36+HEX2DEC('table for research'!U$1))*2,2)</f>
        <v>FF</v>
      </c>
      <c r="V703" t="str">
        <f>MID('paste from garc here'!$C$2,1+(('table for research'!$B703-456)*36+HEX2DEC('table for research'!V$1))*2,2)</f>
        <v>00</v>
      </c>
      <c r="W703" t="str">
        <f>MID('paste from garc here'!$C$2,1+(('table for research'!$B703-456)*36+HEX2DEC('table for research'!W$1))*2,2)</f>
        <v>00</v>
      </c>
      <c r="X703" t="str">
        <f>MID('paste from garc here'!$C$2,1+(('table for research'!$B703-456)*36+HEX2DEC('table for research'!X$1))*2,2)</f>
        <v>00</v>
      </c>
      <c r="Y703" t="str">
        <f>MID('paste from garc here'!$C$2,1+(('table for research'!$B703-456)*36+HEX2DEC('table for research'!Y$1))*2,2)</f>
        <v>00</v>
      </c>
      <c r="Z703" t="str">
        <f>MID('paste from garc here'!$C$2,1+(('table for research'!$B703-456)*36+HEX2DEC('table for research'!Z$1))*2,2)</f>
        <v>00</v>
      </c>
      <c r="AA703" t="str">
        <f>MID('paste from garc here'!$C$2,1+(('table for research'!$B703-456)*36+HEX2DEC('table for research'!AA$1))*2,2)</f>
        <v>00</v>
      </c>
      <c r="AB703" t="str">
        <f>MID('paste from garc here'!$C$2,1+(('table for research'!$B703-456)*36+HEX2DEC('table for research'!AB$1))*2,2)</f>
        <v>00</v>
      </c>
      <c r="AC703" t="str">
        <f>MID('paste from garc here'!$C$2,1+(('table for research'!$B703-456)*36+HEX2DEC('table for research'!AC$1))*2,2)</f>
        <v>00</v>
      </c>
      <c r="AD703" t="str">
        <f>MID('paste from garc here'!$C$2,1+(('table for research'!$B703-456)*36+HEX2DEC('table for research'!AD$1))*2,2)</f>
        <v>00</v>
      </c>
      <c r="AE703" t="str">
        <f>MID('paste from garc here'!$C$2,1+(('table for research'!$B703-456)*36+HEX2DEC('table for research'!AE$1))*2,2)</f>
        <v>00</v>
      </c>
      <c r="AF703" t="str">
        <f>MID('paste from garc here'!$C$2,1+(('table for research'!$B703-456)*36+HEX2DEC('table for research'!AF$1))*2,2)</f>
        <v>00</v>
      </c>
      <c r="AG703" t="str">
        <f>MID('paste from garc here'!$C$2,1+(('table for research'!$B703-456)*36+HEX2DEC('table for research'!AG$1))*2,2)</f>
        <v>00</v>
      </c>
      <c r="AH703" t="str">
        <f>MID('paste from garc here'!$C$2,1+(('table for research'!$B703-456)*36+HEX2DEC('table for research'!AH$1))*2,2)</f>
        <v>00</v>
      </c>
      <c r="AI703" t="str">
        <f>MID('paste from garc here'!$C$2,1+(('table for research'!$B703-456)*36+HEX2DEC('table for research'!AI$1))*2,2)</f>
        <v>00</v>
      </c>
      <c r="AJ703" t="str">
        <f>MID('paste from garc here'!$C$2,1+(('table for research'!$B703-456)*36+HEX2DEC('table for research'!AJ$1))*2,2)</f>
        <v>00</v>
      </c>
      <c r="AK703" t="str">
        <f>MID('paste from garc here'!$C$2,1+(('table for research'!$B703-456)*36+HEX2DEC('table for research'!AK$1))*2,2)</f>
        <v>00</v>
      </c>
      <c r="AL703" t="str">
        <f>MID('paste from garc here'!$C$2,1+(('table for research'!$B703-456)*36+HEX2DEC('table for research'!AL$1))*2,2)</f>
        <v>00</v>
      </c>
      <c r="AM703" t="str">
        <f>MID('paste from garc here'!$C$2,1+(('table for research'!$B703-456)*36+HEX2DEC('table for research'!AM$1))*2,2)</f>
        <v>00</v>
      </c>
      <c r="AN703" t="str">
        <f>MID('paste from garc here'!$C$2,1+(('table for research'!$B703-456)*36+HEX2DEC('table for research'!AN$1))*2,2)</f>
        <v>00</v>
      </c>
      <c r="AO703" t="str">
        <f>MID('paste from garc here'!$C$2,1+(('table for research'!$B703-456)*36+HEX2DEC('table for research'!AO$1))*2,2)</f>
        <v>00</v>
      </c>
    </row>
    <row r="704" spans="1:41" x14ac:dyDescent="0.4">
      <c r="A704" t="s">
        <v>703</v>
      </c>
      <c r="B704">
        <f>B703+1</f>
        <v>702</v>
      </c>
      <c r="C704" t="str">
        <f>MID('paste from garc here'!$C$2,1+(('table for research'!$B704-456)*36+HEX2DEC('table for research'!C$1))*2,2)</f>
        <v>00</v>
      </c>
      <c r="D704" t="str">
        <f>MID('paste from garc here'!$C$2,1+(('table for research'!$B704-456)*36+HEX2DEC('table for research'!D$1))*2,2)</f>
        <v>00</v>
      </c>
      <c r="E704" t="str">
        <f>MID('paste from garc here'!$C$2,1+(('table for research'!$B704-456)*36+HEX2DEC('table for research'!E$1))*2,2)</f>
        <v>00</v>
      </c>
      <c r="F704" t="str">
        <f>MID('paste from garc here'!$C$2,1+(('table for research'!$B704-456)*36+HEX2DEC('table for research'!F$1))*2,2)</f>
        <v>00</v>
      </c>
      <c r="G704" t="str">
        <f>MID('paste from garc here'!$C$2,1+(('table for research'!$B704-456)*36+HEX2DEC('table for research'!G$1))*2,2)</f>
        <v>00</v>
      </c>
      <c r="H704" t="str">
        <f>MID('paste from garc here'!$C$2,1+(('table for research'!$B704-456)*36+HEX2DEC('table for research'!H$1))*2,2)</f>
        <v>00</v>
      </c>
      <c r="I704" t="str">
        <f>MID('paste from garc here'!$C$2,1+(('table for research'!$B704-456)*36+HEX2DEC('table for research'!I$1))*2,2)</f>
        <v>00</v>
      </c>
      <c r="J704" t="str">
        <f>MID('paste from garc here'!$C$2,1+(('table for research'!$B704-456)*36+HEX2DEC('table for research'!J$1))*2,2)</f>
        <v>00</v>
      </c>
      <c r="K704" t="str">
        <f>DEC2HEX(_xlfn.BITAND(HEX2DEC(MID('paste from garc here'!$C$1,1+(('table for research'!$B704-1)*36+HEX2DEC(8))*2,2)),31),2)</f>
        <v>00</v>
      </c>
      <c r="L704" t="str">
        <f>DEC2HEX(_xlfn.BITAND(HEX2DEC(MID('paste from garc here'!$C$1,1+(('table for research'!$B704-1)*36+HEX2DEC(8))*2,2)),32),2)</f>
        <v>00</v>
      </c>
      <c r="M704" t="str">
        <f>DEC2HEX(_xlfn.BITAND(HEX2DEC(MID('paste from garc here'!$C$1,1+(('table for research'!$B704-1)*36+HEX2DEC(8))*2,2)),64),2)</f>
        <v>00</v>
      </c>
      <c r="N704" t="str">
        <f>DEC2HEX(_xlfn.BITRSHIFT(_xlfn.BITAND(HEX2DEC(MID('paste from garc here'!$C$1,1+(('table for research'!$B704-1)*36+HEX2DEC(9))*2,2)&amp;MID('paste from garc here'!$C$1,1+(('table for research'!$B704-1)*36+HEX2DEC(8))*2,2)),1920),7),2)</f>
        <v>00</v>
      </c>
      <c r="O704" t="str">
        <f>DEC2HEX(_xlfn.BITRSHIFT(HEX2DEC(MID('paste from garc here'!$C$1,1+(('table for research'!$B704-1)*36+HEX2DEC(9))*2,2)&amp;MID('paste from garc here'!$C$1,1+(('table for research'!$B704-1)*36+HEX2DEC(8))*2,2)),11),2)</f>
        <v>00</v>
      </c>
      <c r="P704" t="str">
        <f>MID('paste from garc here'!$C$2,1+(('table for research'!$B704-456)*36+HEX2DEC('table for research'!P$1))*2,2)</f>
        <v>00</v>
      </c>
      <c r="Q704" t="str">
        <f>MID('paste from garc here'!$C$2,1+(('table for research'!$B704-456)*36+HEX2DEC('table for research'!Q$1))*2,2)</f>
        <v>00</v>
      </c>
      <c r="R704" t="str">
        <f>MID('paste from garc here'!$C$2,1+(('table for research'!$B704-456)*36+HEX2DEC('table for research'!R$1))*2,2)</f>
        <v>00</v>
      </c>
      <c r="S704" t="str">
        <f>MID('paste from garc here'!$C$2,1+(('table for research'!$B704-456)*36+HEX2DEC('table for research'!S$1))*2,2)</f>
        <v>08</v>
      </c>
      <c r="T704" t="str">
        <f>MID('paste from garc here'!$C$2,1+(('table for research'!$B704-456)*36+HEX2DEC('table for research'!T$1))*2,2)</f>
        <v>00</v>
      </c>
      <c r="U704" t="str">
        <f>MID('paste from garc here'!$C$2,1+(('table for research'!$B704-456)*36+HEX2DEC('table for research'!U$1))*2,2)</f>
        <v>FF</v>
      </c>
      <c r="V704" t="str">
        <f>MID('paste from garc here'!$C$2,1+(('table for research'!$B704-456)*36+HEX2DEC('table for research'!V$1))*2,2)</f>
        <v>00</v>
      </c>
      <c r="W704" t="str">
        <f>MID('paste from garc here'!$C$2,1+(('table for research'!$B704-456)*36+HEX2DEC('table for research'!W$1))*2,2)</f>
        <v>00</v>
      </c>
      <c r="X704" t="str">
        <f>MID('paste from garc here'!$C$2,1+(('table for research'!$B704-456)*36+HEX2DEC('table for research'!X$1))*2,2)</f>
        <v>00</v>
      </c>
      <c r="Y704" t="str">
        <f>MID('paste from garc here'!$C$2,1+(('table for research'!$B704-456)*36+HEX2DEC('table for research'!Y$1))*2,2)</f>
        <v>00</v>
      </c>
      <c r="Z704" t="str">
        <f>MID('paste from garc here'!$C$2,1+(('table for research'!$B704-456)*36+HEX2DEC('table for research'!Z$1))*2,2)</f>
        <v>00</v>
      </c>
      <c r="AA704" t="str">
        <f>MID('paste from garc here'!$C$2,1+(('table for research'!$B704-456)*36+HEX2DEC('table for research'!AA$1))*2,2)</f>
        <v>00</v>
      </c>
      <c r="AB704" t="str">
        <f>MID('paste from garc here'!$C$2,1+(('table for research'!$B704-456)*36+HEX2DEC('table for research'!AB$1))*2,2)</f>
        <v>00</v>
      </c>
      <c r="AC704" t="str">
        <f>MID('paste from garc here'!$C$2,1+(('table for research'!$B704-456)*36+HEX2DEC('table for research'!AC$1))*2,2)</f>
        <v>00</v>
      </c>
      <c r="AD704" t="str">
        <f>MID('paste from garc here'!$C$2,1+(('table for research'!$B704-456)*36+HEX2DEC('table for research'!AD$1))*2,2)</f>
        <v>00</v>
      </c>
      <c r="AE704" t="str">
        <f>MID('paste from garc here'!$C$2,1+(('table for research'!$B704-456)*36+HEX2DEC('table for research'!AE$1))*2,2)</f>
        <v>00</v>
      </c>
      <c r="AF704" t="str">
        <f>MID('paste from garc here'!$C$2,1+(('table for research'!$B704-456)*36+HEX2DEC('table for research'!AF$1))*2,2)</f>
        <v>00</v>
      </c>
      <c r="AG704" t="str">
        <f>MID('paste from garc here'!$C$2,1+(('table for research'!$B704-456)*36+HEX2DEC('table for research'!AG$1))*2,2)</f>
        <v>00</v>
      </c>
      <c r="AH704" t="str">
        <f>MID('paste from garc here'!$C$2,1+(('table for research'!$B704-456)*36+HEX2DEC('table for research'!AH$1))*2,2)</f>
        <v>00</v>
      </c>
      <c r="AI704" t="str">
        <f>MID('paste from garc here'!$C$2,1+(('table for research'!$B704-456)*36+HEX2DEC('table for research'!AI$1))*2,2)</f>
        <v>00</v>
      </c>
      <c r="AJ704" t="str">
        <f>MID('paste from garc here'!$C$2,1+(('table for research'!$B704-456)*36+HEX2DEC('table for research'!AJ$1))*2,2)</f>
        <v>00</v>
      </c>
      <c r="AK704" t="str">
        <f>MID('paste from garc here'!$C$2,1+(('table for research'!$B704-456)*36+HEX2DEC('table for research'!AK$1))*2,2)</f>
        <v>00</v>
      </c>
      <c r="AL704" t="str">
        <f>MID('paste from garc here'!$C$2,1+(('table for research'!$B704-456)*36+HEX2DEC('table for research'!AL$1))*2,2)</f>
        <v>00</v>
      </c>
      <c r="AM704" t="str">
        <f>MID('paste from garc here'!$C$2,1+(('table for research'!$B704-456)*36+HEX2DEC('table for research'!AM$1))*2,2)</f>
        <v>00</v>
      </c>
      <c r="AN704" t="str">
        <f>MID('paste from garc here'!$C$2,1+(('table for research'!$B704-456)*36+HEX2DEC('table for research'!AN$1))*2,2)</f>
        <v>00</v>
      </c>
      <c r="AO704" t="str">
        <f>MID('paste from garc here'!$C$2,1+(('table for research'!$B704-456)*36+HEX2DEC('table for research'!AO$1))*2,2)</f>
        <v>00</v>
      </c>
    </row>
    <row r="705" spans="1:41" x14ac:dyDescent="0.4">
      <c r="A705" t="s">
        <v>704</v>
      </c>
      <c r="B705">
        <f>B704+1</f>
        <v>703</v>
      </c>
      <c r="C705" t="str">
        <f>MID('paste from garc here'!$C$2,1+(('table for research'!$B705-456)*36+HEX2DEC('table for research'!C$1))*2,2)</f>
        <v>00</v>
      </c>
      <c r="D705" t="str">
        <f>MID('paste from garc here'!$C$2,1+(('table for research'!$B705-456)*36+HEX2DEC('table for research'!D$1))*2,2)</f>
        <v>00</v>
      </c>
      <c r="E705" t="str">
        <f>MID('paste from garc here'!$C$2,1+(('table for research'!$B705-456)*36+HEX2DEC('table for research'!E$1))*2,2)</f>
        <v>00</v>
      </c>
      <c r="F705" t="str">
        <f>MID('paste from garc here'!$C$2,1+(('table for research'!$B705-456)*36+HEX2DEC('table for research'!F$1))*2,2)</f>
        <v>00</v>
      </c>
      <c r="G705" t="str">
        <f>MID('paste from garc here'!$C$2,1+(('table for research'!$B705-456)*36+HEX2DEC('table for research'!G$1))*2,2)</f>
        <v>00</v>
      </c>
      <c r="H705" t="str">
        <f>MID('paste from garc here'!$C$2,1+(('table for research'!$B705-456)*36+HEX2DEC('table for research'!H$1))*2,2)</f>
        <v>00</v>
      </c>
      <c r="I705" t="str">
        <f>MID('paste from garc here'!$C$2,1+(('table for research'!$B705-456)*36+HEX2DEC('table for research'!I$1))*2,2)</f>
        <v>00</v>
      </c>
      <c r="J705" t="str">
        <f>MID('paste from garc here'!$C$2,1+(('table for research'!$B705-456)*36+HEX2DEC('table for research'!J$1))*2,2)</f>
        <v>00</v>
      </c>
      <c r="K705" t="str">
        <f>DEC2HEX(_xlfn.BITAND(HEX2DEC(MID('paste from garc here'!$C$1,1+(('table for research'!$B705-1)*36+HEX2DEC(8))*2,2)),31),2)</f>
        <v>00</v>
      </c>
      <c r="L705" t="str">
        <f>DEC2HEX(_xlfn.BITAND(HEX2DEC(MID('paste from garc here'!$C$1,1+(('table for research'!$B705-1)*36+HEX2DEC(8))*2,2)),32),2)</f>
        <v>00</v>
      </c>
      <c r="M705" t="str">
        <f>DEC2HEX(_xlfn.BITAND(HEX2DEC(MID('paste from garc here'!$C$1,1+(('table for research'!$B705-1)*36+HEX2DEC(8))*2,2)),64),2)</f>
        <v>00</v>
      </c>
      <c r="N705" t="str">
        <f>DEC2HEX(_xlfn.BITRSHIFT(_xlfn.BITAND(HEX2DEC(MID('paste from garc here'!$C$1,1+(('table for research'!$B705-1)*36+HEX2DEC(9))*2,2)&amp;MID('paste from garc here'!$C$1,1+(('table for research'!$B705-1)*36+HEX2DEC(8))*2,2)),1920),7),2)</f>
        <v>00</v>
      </c>
      <c r="O705" t="str">
        <f>DEC2HEX(_xlfn.BITRSHIFT(HEX2DEC(MID('paste from garc here'!$C$1,1+(('table for research'!$B705-1)*36+HEX2DEC(9))*2,2)&amp;MID('paste from garc here'!$C$1,1+(('table for research'!$B705-1)*36+HEX2DEC(8))*2,2)),11),2)</f>
        <v>00</v>
      </c>
      <c r="P705" t="str">
        <f>MID('paste from garc here'!$C$2,1+(('table for research'!$B705-456)*36+HEX2DEC('table for research'!P$1))*2,2)</f>
        <v>00</v>
      </c>
      <c r="Q705" t="str">
        <f>MID('paste from garc here'!$C$2,1+(('table for research'!$B705-456)*36+HEX2DEC('table for research'!Q$1))*2,2)</f>
        <v>00</v>
      </c>
      <c r="R705" t="str">
        <f>MID('paste from garc here'!$C$2,1+(('table for research'!$B705-456)*36+HEX2DEC('table for research'!R$1))*2,2)</f>
        <v>00</v>
      </c>
      <c r="S705" t="str">
        <f>MID('paste from garc here'!$C$2,1+(('table for research'!$B705-456)*36+HEX2DEC('table for research'!S$1))*2,2)</f>
        <v>08</v>
      </c>
      <c r="T705" t="str">
        <f>MID('paste from garc here'!$C$2,1+(('table for research'!$B705-456)*36+HEX2DEC('table for research'!T$1))*2,2)</f>
        <v>00</v>
      </c>
      <c r="U705" t="str">
        <f>MID('paste from garc here'!$C$2,1+(('table for research'!$B705-456)*36+HEX2DEC('table for research'!U$1))*2,2)</f>
        <v>FF</v>
      </c>
      <c r="V705" t="str">
        <f>MID('paste from garc here'!$C$2,1+(('table for research'!$B705-456)*36+HEX2DEC('table for research'!V$1))*2,2)</f>
        <v>00</v>
      </c>
      <c r="W705" t="str">
        <f>MID('paste from garc here'!$C$2,1+(('table for research'!$B705-456)*36+HEX2DEC('table for research'!W$1))*2,2)</f>
        <v>00</v>
      </c>
      <c r="X705" t="str">
        <f>MID('paste from garc here'!$C$2,1+(('table for research'!$B705-456)*36+HEX2DEC('table for research'!X$1))*2,2)</f>
        <v>00</v>
      </c>
      <c r="Y705" t="str">
        <f>MID('paste from garc here'!$C$2,1+(('table for research'!$B705-456)*36+HEX2DEC('table for research'!Y$1))*2,2)</f>
        <v>00</v>
      </c>
      <c r="Z705" t="str">
        <f>MID('paste from garc here'!$C$2,1+(('table for research'!$B705-456)*36+HEX2DEC('table for research'!Z$1))*2,2)</f>
        <v>00</v>
      </c>
      <c r="AA705" t="str">
        <f>MID('paste from garc here'!$C$2,1+(('table for research'!$B705-456)*36+HEX2DEC('table for research'!AA$1))*2,2)</f>
        <v>00</v>
      </c>
      <c r="AB705" t="str">
        <f>MID('paste from garc here'!$C$2,1+(('table for research'!$B705-456)*36+HEX2DEC('table for research'!AB$1))*2,2)</f>
        <v>00</v>
      </c>
      <c r="AC705" t="str">
        <f>MID('paste from garc here'!$C$2,1+(('table for research'!$B705-456)*36+HEX2DEC('table for research'!AC$1))*2,2)</f>
        <v>00</v>
      </c>
      <c r="AD705" t="str">
        <f>MID('paste from garc here'!$C$2,1+(('table for research'!$B705-456)*36+HEX2DEC('table for research'!AD$1))*2,2)</f>
        <v>00</v>
      </c>
      <c r="AE705" t="str">
        <f>MID('paste from garc here'!$C$2,1+(('table for research'!$B705-456)*36+HEX2DEC('table for research'!AE$1))*2,2)</f>
        <v>00</v>
      </c>
      <c r="AF705" t="str">
        <f>MID('paste from garc here'!$C$2,1+(('table for research'!$B705-456)*36+HEX2DEC('table for research'!AF$1))*2,2)</f>
        <v>00</v>
      </c>
      <c r="AG705" t="str">
        <f>MID('paste from garc here'!$C$2,1+(('table for research'!$B705-456)*36+HEX2DEC('table for research'!AG$1))*2,2)</f>
        <v>00</v>
      </c>
      <c r="AH705" t="str">
        <f>MID('paste from garc here'!$C$2,1+(('table for research'!$B705-456)*36+HEX2DEC('table for research'!AH$1))*2,2)</f>
        <v>00</v>
      </c>
      <c r="AI705" t="str">
        <f>MID('paste from garc here'!$C$2,1+(('table for research'!$B705-456)*36+HEX2DEC('table for research'!AI$1))*2,2)</f>
        <v>00</v>
      </c>
      <c r="AJ705" t="str">
        <f>MID('paste from garc here'!$C$2,1+(('table for research'!$B705-456)*36+HEX2DEC('table for research'!AJ$1))*2,2)</f>
        <v>00</v>
      </c>
      <c r="AK705" t="str">
        <f>MID('paste from garc here'!$C$2,1+(('table for research'!$B705-456)*36+HEX2DEC('table for research'!AK$1))*2,2)</f>
        <v>00</v>
      </c>
      <c r="AL705" t="str">
        <f>MID('paste from garc here'!$C$2,1+(('table for research'!$B705-456)*36+HEX2DEC('table for research'!AL$1))*2,2)</f>
        <v>00</v>
      </c>
      <c r="AM705" t="str">
        <f>MID('paste from garc here'!$C$2,1+(('table for research'!$B705-456)*36+HEX2DEC('table for research'!AM$1))*2,2)</f>
        <v>00</v>
      </c>
      <c r="AN705" t="str">
        <f>MID('paste from garc here'!$C$2,1+(('table for research'!$B705-456)*36+HEX2DEC('table for research'!AN$1))*2,2)</f>
        <v>00</v>
      </c>
      <c r="AO705" t="str">
        <f>MID('paste from garc here'!$C$2,1+(('table for research'!$B705-456)*36+HEX2DEC('table for research'!AO$1))*2,2)</f>
        <v>00</v>
      </c>
    </row>
    <row r="706" spans="1:41" x14ac:dyDescent="0.4">
      <c r="A706" t="s">
        <v>705</v>
      </c>
      <c r="B706">
        <f>B705+1</f>
        <v>704</v>
      </c>
      <c r="C706" t="str">
        <f>MID('paste from garc here'!$C$2,1+(('table for research'!$B706-456)*36+HEX2DEC('table for research'!C$1))*2,2)</f>
        <v>2C</v>
      </c>
      <c r="D706" t="str">
        <f>MID('paste from garc here'!$C$2,1+(('table for research'!$B706-456)*36+HEX2DEC('table for research'!D$1))*2,2)</f>
        <v>01</v>
      </c>
      <c r="E706" t="str">
        <f>MID('paste from garc here'!$C$2,1+(('table for research'!$B706-456)*36+HEX2DEC('table for research'!E$1))*2,2)</f>
        <v>00</v>
      </c>
      <c r="F706" t="str">
        <f>MID('paste from garc here'!$C$2,1+(('table for research'!$B706-456)*36+HEX2DEC('table for research'!F$1))*2,2)</f>
        <v>00</v>
      </c>
      <c r="G706" t="str">
        <f>MID('paste from garc here'!$C$2,1+(('table for research'!$B706-456)*36+HEX2DEC('table for research'!G$1))*2,2)</f>
        <v>00</v>
      </c>
      <c r="H706" t="str">
        <f>MID('paste from garc here'!$C$2,1+(('table for research'!$B706-456)*36+HEX2DEC('table for research'!H$1))*2,2)</f>
        <v>00</v>
      </c>
      <c r="I706" t="str">
        <f>MID('paste from garc here'!$C$2,1+(('table for research'!$B706-456)*36+HEX2DEC('table for research'!I$1))*2,2)</f>
        <v>1E</v>
      </c>
      <c r="J706" t="str">
        <f>MID('paste from garc here'!$C$2,1+(('table for research'!$B706-456)*36+HEX2DEC('table for research'!J$1))*2,2)</f>
        <v>00</v>
      </c>
      <c r="K706" t="str">
        <f>DEC2HEX(_xlfn.BITAND(HEX2DEC(MID('paste from garc here'!$C$1,1+(('table for research'!$B706-1)*36+HEX2DEC(8))*2,2)),31),2)</f>
        <v>00</v>
      </c>
      <c r="L706" t="str">
        <f>DEC2HEX(_xlfn.BITAND(HEX2DEC(MID('paste from garc here'!$C$1,1+(('table for research'!$B706-1)*36+HEX2DEC(8))*2,2)),32),2)</f>
        <v>00</v>
      </c>
      <c r="M706" t="str">
        <f>DEC2HEX(_xlfn.BITAND(HEX2DEC(MID('paste from garc here'!$C$1,1+(('table for research'!$B706-1)*36+HEX2DEC(8))*2,2)),64),2)</f>
        <v>00</v>
      </c>
      <c r="N706" t="str">
        <f>DEC2HEX(_xlfn.BITRSHIFT(_xlfn.BITAND(HEX2DEC(MID('paste from garc here'!$C$1,1+(('table for research'!$B706-1)*36+HEX2DEC(9))*2,2)&amp;MID('paste from garc here'!$C$1,1+(('table for research'!$B706-1)*36+HEX2DEC(8))*2,2)),1920),7),2)</f>
        <v>00</v>
      </c>
      <c r="O706" t="str">
        <f>DEC2HEX(_xlfn.BITRSHIFT(HEX2DEC(MID('paste from garc here'!$C$1,1+(('table for research'!$B706-1)*36+HEX2DEC(9))*2,2)&amp;MID('paste from garc here'!$C$1,1+(('table for research'!$B706-1)*36+HEX2DEC(8))*2,2)),11),2)</f>
        <v>00</v>
      </c>
      <c r="P706" t="str">
        <f>MID('paste from garc here'!$C$2,1+(('table for research'!$B706-456)*36+HEX2DEC('table for research'!P$1))*2,2)</f>
        <v>00</v>
      </c>
      <c r="Q706" t="str">
        <f>MID('paste from garc here'!$C$2,1+(('table for research'!$B706-456)*36+HEX2DEC('table for research'!Q$1))*2,2)</f>
        <v>00</v>
      </c>
      <c r="R706" t="str">
        <f>MID('paste from garc here'!$C$2,1+(('table for research'!$B706-456)*36+HEX2DEC('table for research'!R$1))*2,2)</f>
        <v>01</v>
      </c>
      <c r="S706" t="str">
        <f>MID('paste from garc here'!$C$2,1+(('table for research'!$B706-456)*36+HEX2DEC('table for research'!S$1))*2,2)</f>
        <v>02</v>
      </c>
      <c r="T706" t="str">
        <f>MID('paste from garc here'!$C$2,1+(('table for research'!$B706-456)*36+HEX2DEC('table for research'!T$1))*2,2)</f>
        <v>00</v>
      </c>
      <c r="U706" t="str">
        <f>MID('paste from garc here'!$C$2,1+(('table for research'!$B706-456)*36+HEX2DEC('table for research'!U$1))*2,2)</f>
        <v>B4</v>
      </c>
      <c r="V706" t="str">
        <f>MID('paste from garc here'!$C$2,1+(('table for research'!$B706-456)*36+HEX2DEC('table for research'!V$1))*2,2)</f>
        <v>00</v>
      </c>
      <c r="W706" t="str">
        <f>MID('paste from garc here'!$C$2,1+(('table for research'!$B706-456)*36+HEX2DEC('table for research'!W$1))*2,2)</f>
        <v>00</v>
      </c>
      <c r="X706" t="str">
        <f>MID('paste from garc here'!$C$2,1+(('table for research'!$B706-456)*36+HEX2DEC('table for research'!X$1))*2,2)</f>
        <v>00</v>
      </c>
      <c r="Y706" t="str">
        <f>MID('paste from garc here'!$C$2,1+(('table for research'!$B706-456)*36+HEX2DEC('table for research'!Y$1))*2,2)</f>
        <v>00</v>
      </c>
      <c r="Z706" t="str">
        <f>MID('paste from garc here'!$C$2,1+(('table for research'!$B706-456)*36+HEX2DEC('table for research'!Z$1))*2,2)</f>
        <v>00</v>
      </c>
      <c r="AA706" t="str">
        <f>MID('paste from garc here'!$C$2,1+(('table for research'!$B706-456)*36+HEX2DEC('table for research'!AA$1))*2,2)</f>
        <v>00</v>
      </c>
      <c r="AB706" t="str">
        <f>MID('paste from garc here'!$C$2,1+(('table for research'!$B706-456)*36+HEX2DEC('table for research'!AB$1))*2,2)</f>
        <v>00</v>
      </c>
      <c r="AC706" t="str">
        <f>MID('paste from garc here'!$C$2,1+(('table for research'!$B706-456)*36+HEX2DEC('table for research'!AC$1))*2,2)</f>
        <v>00</v>
      </c>
      <c r="AD706" t="str">
        <f>MID('paste from garc here'!$C$2,1+(('table for research'!$B706-456)*36+HEX2DEC('table for research'!AD$1))*2,2)</f>
        <v>00</v>
      </c>
      <c r="AE706" t="str">
        <f>MID('paste from garc here'!$C$2,1+(('table for research'!$B706-456)*36+HEX2DEC('table for research'!AE$1))*2,2)</f>
        <v>00</v>
      </c>
      <c r="AF706" t="str">
        <f>MID('paste from garc here'!$C$2,1+(('table for research'!$B706-456)*36+HEX2DEC('table for research'!AF$1))*2,2)</f>
        <v>00</v>
      </c>
      <c r="AG706" t="str">
        <f>MID('paste from garc here'!$C$2,1+(('table for research'!$B706-456)*36+HEX2DEC('table for research'!AG$1))*2,2)</f>
        <v>00</v>
      </c>
      <c r="AH706" t="str">
        <f>MID('paste from garc here'!$C$2,1+(('table for research'!$B706-456)*36+HEX2DEC('table for research'!AH$1))*2,2)</f>
        <v>00</v>
      </c>
      <c r="AI706" t="str">
        <f>MID('paste from garc here'!$C$2,1+(('table for research'!$B706-456)*36+HEX2DEC('table for research'!AI$1))*2,2)</f>
        <v>00</v>
      </c>
      <c r="AJ706" t="str">
        <f>MID('paste from garc here'!$C$2,1+(('table for research'!$B706-456)*36+HEX2DEC('table for research'!AJ$1))*2,2)</f>
        <v>00</v>
      </c>
      <c r="AK706" t="str">
        <f>MID('paste from garc here'!$C$2,1+(('table for research'!$B706-456)*36+HEX2DEC('table for research'!AK$1))*2,2)</f>
        <v>00</v>
      </c>
      <c r="AL706" t="str">
        <f>MID('paste from garc here'!$C$2,1+(('table for research'!$B706-456)*36+HEX2DEC('table for research'!AL$1))*2,2)</f>
        <v>00</v>
      </c>
      <c r="AM706" t="str">
        <f>MID('paste from garc here'!$C$2,1+(('table for research'!$B706-456)*36+HEX2DEC('table for research'!AM$1))*2,2)</f>
        <v>00</v>
      </c>
      <c r="AN706" t="str">
        <f>MID('paste from garc here'!$C$2,1+(('table for research'!$B706-456)*36+HEX2DEC('table for research'!AN$1))*2,2)</f>
        <v>00</v>
      </c>
      <c r="AO706" t="str">
        <f>MID('paste from garc here'!$C$2,1+(('table for research'!$B706-456)*36+HEX2DEC('table for research'!AO$1))*2,2)</f>
        <v>00</v>
      </c>
    </row>
    <row r="707" spans="1:41" x14ac:dyDescent="0.4">
      <c r="A707" t="s">
        <v>706</v>
      </c>
      <c r="B707">
        <f>B706+1</f>
        <v>705</v>
      </c>
      <c r="C707" t="str">
        <f>MID('paste from garc here'!$C$2,1+(('table for research'!$B707-456)*36+HEX2DEC('table for research'!C$1))*2,2)</f>
        <v>00</v>
      </c>
      <c r="D707" t="str">
        <f>MID('paste from garc here'!$C$2,1+(('table for research'!$B707-456)*36+HEX2DEC('table for research'!D$1))*2,2)</f>
        <v>00</v>
      </c>
      <c r="E707" t="str">
        <f>MID('paste from garc here'!$C$2,1+(('table for research'!$B707-456)*36+HEX2DEC('table for research'!E$1))*2,2)</f>
        <v>00</v>
      </c>
      <c r="F707" t="str">
        <f>MID('paste from garc here'!$C$2,1+(('table for research'!$B707-456)*36+HEX2DEC('table for research'!F$1))*2,2)</f>
        <v>00</v>
      </c>
      <c r="G707" t="str">
        <f>MID('paste from garc here'!$C$2,1+(('table for research'!$B707-456)*36+HEX2DEC('table for research'!G$1))*2,2)</f>
        <v>00</v>
      </c>
      <c r="H707" t="str">
        <f>MID('paste from garc here'!$C$2,1+(('table for research'!$B707-456)*36+HEX2DEC('table for research'!H$1))*2,2)</f>
        <v>00</v>
      </c>
      <c r="I707" t="str">
        <f>MID('paste from garc here'!$C$2,1+(('table for research'!$B707-456)*36+HEX2DEC('table for research'!I$1))*2,2)</f>
        <v>00</v>
      </c>
      <c r="J707" t="str">
        <f>MID('paste from garc here'!$C$2,1+(('table for research'!$B707-456)*36+HEX2DEC('table for research'!J$1))*2,2)</f>
        <v>00</v>
      </c>
      <c r="K707" t="str">
        <f>DEC2HEX(_xlfn.BITAND(HEX2DEC(MID('paste from garc here'!$C$1,1+(('table for research'!$B707-1)*36+HEX2DEC(8))*2,2)),31),2)</f>
        <v>00</v>
      </c>
      <c r="L707" t="str">
        <f>DEC2HEX(_xlfn.BITAND(HEX2DEC(MID('paste from garc here'!$C$1,1+(('table for research'!$B707-1)*36+HEX2DEC(8))*2,2)),32),2)</f>
        <v>00</v>
      </c>
      <c r="M707" t="str">
        <f>DEC2HEX(_xlfn.BITAND(HEX2DEC(MID('paste from garc here'!$C$1,1+(('table for research'!$B707-1)*36+HEX2DEC(8))*2,2)),64),2)</f>
        <v>00</v>
      </c>
      <c r="N707" t="str">
        <f>DEC2HEX(_xlfn.BITRSHIFT(_xlfn.BITAND(HEX2DEC(MID('paste from garc here'!$C$1,1+(('table for research'!$B707-1)*36+HEX2DEC(9))*2,2)&amp;MID('paste from garc here'!$C$1,1+(('table for research'!$B707-1)*36+HEX2DEC(8))*2,2)),1920),7),2)</f>
        <v>00</v>
      </c>
      <c r="O707" t="str">
        <f>DEC2HEX(_xlfn.BITRSHIFT(HEX2DEC(MID('paste from garc here'!$C$1,1+(('table for research'!$B707-1)*36+HEX2DEC(9))*2,2)&amp;MID('paste from garc here'!$C$1,1+(('table for research'!$B707-1)*36+HEX2DEC(8))*2,2)),11),2)</f>
        <v>00</v>
      </c>
      <c r="P707" t="str">
        <f>MID('paste from garc here'!$C$2,1+(('table for research'!$B707-456)*36+HEX2DEC('table for research'!P$1))*2,2)</f>
        <v>00</v>
      </c>
      <c r="Q707" t="str">
        <f>MID('paste from garc here'!$C$2,1+(('table for research'!$B707-456)*36+HEX2DEC('table for research'!Q$1))*2,2)</f>
        <v>00</v>
      </c>
      <c r="R707" t="str">
        <f>MID('paste from garc here'!$C$2,1+(('table for research'!$B707-456)*36+HEX2DEC('table for research'!R$1))*2,2)</f>
        <v>00</v>
      </c>
      <c r="S707" t="str">
        <f>MID('paste from garc here'!$C$2,1+(('table for research'!$B707-456)*36+HEX2DEC('table for research'!S$1))*2,2)</f>
        <v>08</v>
      </c>
      <c r="T707" t="str">
        <f>MID('paste from garc here'!$C$2,1+(('table for research'!$B707-456)*36+HEX2DEC('table for research'!T$1))*2,2)</f>
        <v>00</v>
      </c>
      <c r="U707" t="str">
        <f>MID('paste from garc here'!$C$2,1+(('table for research'!$B707-456)*36+HEX2DEC('table for research'!U$1))*2,2)</f>
        <v>14</v>
      </c>
      <c r="V707" t="str">
        <f>MID('paste from garc here'!$C$2,1+(('table for research'!$B707-456)*36+HEX2DEC('table for research'!V$1))*2,2)</f>
        <v>00</v>
      </c>
      <c r="W707" t="str">
        <f>MID('paste from garc here'!$C$2,1+(('table for research'!$B707-456)*36+HEX2DEC('table for research'!W$1))*2,2)</f>
        <v>00</v>
      </c>
      <c r="X707" t="str">
        <f>MID('paste from garc here'!$C$2,1+(('table for research'!$B707-456)*36+HEX2DEC('table for research'!X$1))*2,2)</f>
        <v>00</v>
      </c>
      <c r="Y707" t="str">
        <f>MID('paste from garc here'!$C$2,1+(('table for research'!$B707-456)*36+HEX2DEC('table for research'!Y$1))*2,2)</f>
        <v>00</v>
      </c>
      <c r="Z707" t="str">
        <f>MID('paste from garc here'!$C$2,1+(('table for research'!$B707-456)*36+HEX2DEC('table for research'!Z$1))*2,2)</f>
        <v>00</v>
      </c>
      <c r="AA707" t="str">
        <f>MID('paste from garc here'!$C$2,1+(('table for research'!$B707-456)*36+HEX2DEC('table for research'!AA$1))*2,2)</f>
        <v>00</v>
      </c>
      <c r="AB707" t="str">
        <f>MID('paste from garc here'!$C$2,1+(('table for research'!$B707-456)*36+HEX2DEC('table for research'!AB$1))*2,2)</f>
        <v>00</v>
      </c>
      <c r="AC707" t="str">
        <f>MID('paste from garc here'!$C$2,1+(('table for research'!$B707-456)*36+HEX2DEC('table for research'!AC$1))*2,2)</f>
        <v>00</v>
      </c>
      <c r="AD707" t="str">
        <f>MID('paste from garc here'!$C$2,1+(('table for research'!$B707-456)*36+HEX2DEC('table for research'!AD$1))*2,2)</f>
        <v>00</v>
      </c>
      <c r="AE707" t="str">
        <f>MID('paste from garc here'!$C$2,1+(('table for research'!$B707-456)*36+HEX2DEC('table for research'!AE$1))*2,2)</f>
        <v>00</v>
      </c>
      <c r="AF707" t="str">
        <f>MID('paste from garc here'!$C$2,1+(('table for research'!$B707-456)*36+HEX2DEC('table for research'!AF$1))*2,2)</f>
        <v>00</v>
      </c>
      <c r="AG707" t="str">
        <f>MID('paste from garc here'!$C$2,1+(('table for research'!$B707-456)*36+HEX2DEC('table for research'!AG$1))*2,2)</f>
        <v>00</v>
      </c>
      <c r="AH707" t="str">
        <f>MID('paste from garc here'!$C$2,1+(('table for research'!$B707-456)*36+HEX2DEC('table for research'!AH$1))*2,2)</f>
        <v>00</v>
      </c>
      <c r="AI707" t="str">
        <f>MID('paste from garc here'!$C$2,1+(('table for research'!$B707-456)*36+HEX2DEC('table for research'!AI$1))*2,2)</f>
        <v>00</v>
      </c>
      <c r="AJ707" t="str">
        <f>MID('paste from garc here'!$C$2,1+(('table for research'!$B707-456)*36+HEX2DEC('table for research'!AJ$1))*2,2)</f>
        <v>00</v>
      </c>
      <c r="AK707" t="str">
        <f>MID('paste from garc here'!$C$2,1+(('table for research'!$B707-456)*36+HEX2DEC('table for research'!AK$1))*2,2)</f>
        <v>00</v>
      </c>
      <c r="AL707" t="str">
        <f>MID('paste from garc here'!$C$2,1+(('table for research'!$B707-456)*36+HEX2DEC('table for research'!AL$1))*2,2)</f>
        <v>00</v>
      </c>
      <c r="AM707" t="str">
        <f>MID('paste from garc here'!$C$2,1+(('table for research'!$B707-456)*36+HEX2DEC('table for research'!AM$1))*2,2)</f>
        <v>00</v>
      </c>
      <c r="AN707" t="str">
        <f>MID('paste from garc here'!$C$2,1+(('table for research'!$B707-456)*36+HEX2DEC('table for research'!AN$1))*2,2)</f>
        <v>00</v>
      </c>
      <c r="AO707" t="str">
        <f>MID('paste from garc here'!$C$2,1+(('table for research'!$B707-456)*36+HEX2DEC('table for research'!AO$1))*2,2)</f>
        <v>00</v>
      </c>
    </row>
    <row r="708" spans="1:41" x14ac:dyDescent="0.4">
      <c r="A708" t="s">
        <v>707</v>
      </c>
      <c r="B708">
        <f>B707+1</f>
        <v>706</v>
      </c>
      <c r="C708" t="str">
        <f>MID('paste from garc here'!$C$2,1+(('table for research'!$B708-456)*36+HEX2DEC('table for research'!C$1))*2,2)</f>
        <v>00</v>
      </c>
      <c r="D708" t="str">
        <f>MID('paste from garc here'!$C$2,1+(('table for research'!$B708-456)*36+HEX2DEC('table for research'!D$1))*2,2)</f>
        <v>00</v>
      </c>
      <c r="E708" t="str">
        <f>MID('paste from garc here'!$C$2,1+(('table for research'!$B708-456)*36+HEX2DEC('table for research'!E$1))*2,2)</f>
        <v>00</v>
      </c>
      <c r="F708" t="str">
        <f>MID('paste from garc here'!$C$2,1+(('table for research'!$B708-456)*36+HEX2DEC('table for research'!F$1))*2,2)</f>
        <v>00</v>
      </c>
      <c r="G708" t="str">
        <f>MID('paste from garc here'!$C$2,1+(('table for research'!$B708-456)*36+HEX2DEC('table for research'!G$1))*2,2)</f>
        <v>00</v>
      </c>
      <c r="H708" t="str">
        <f>MID('paste from garc here'!$C$2,1+(('table for research'!$B708-456)*36+HEX2DEC('table for research'!H$1))*2,2)</f>
        <v>00</v>
      </c>
      <c r="I708" t="str">
        <f>MID('paste from garc here'!$C$2,1+(('table for research'!$B708-456)*36+HEX2DEC('table for research'!I$1))*2,2)</f>
        <v>00</v>
      </c>
      <c r="J708" t="str">
        <f>MID('paste from garc here'!$C$2,1+(('table for research'!$B708-456)*36+HEX2DEC('table for research'!J$1))*2,2)</f>
        <v>00</v>
      </c>
      <c r="K708" t="str">
        <f>DEC2HEX(_xlfn.BITAND(HEX2DEC(MID('paste from garc here'!$C$1,1+(('table for research'!$B708-1)*36+HEX2DEC(8))*2,2)),31),2)</f>
        <v>00</v>
      </c>
      <c r="L708" t="str">
        <f>DEC2HEX(_xlfn.BITAND(HEX2DEC(MID('paste from garc here'!$C$1,1+(('table for research'!$B708-1)*36+HEX2DEC(8))*2,2)),32),2)</f>
        <v>00</v>
      </c>
      <c r="M708" t="str">
        <f>DEC2HEX(_xlfn.BITAND(HEX2DEC(MID('paste from garc here'!$C$1,1+(('table for research'!$B708-1)*36+HEX2DEC(8))*2,2)),64),2)</f>
        <v>00</v>
      </c>
      <c r="N708" t="str">
        <f>DEC2HEX(_xlfn.BITRSHIFT(_xlfn.BITAND(HEX2DEC(MID('paste from garc here'!$C$1,1+(('table for research'!$B708-1)*36+HEX2DEC(9))*2,2)&amp;MID('paste from garc here'!$C$1,1+(('table for research'!$B708-1)*36+HEX2DEC(8))*2,2)),1920),7),2)</f>
        <v>00</v>
      </c>
      <c r="O708" t="str">
        <f>DEC2HEX(_xlfn.BITRSHIFT(HEX2DEC(MID('paste from garc here'!$C$1,1+(('table for research'!$B708-1)*36+HEX2DEC(9))*2,2)&amp;MID('paste from garc here'!$C$1,1+(('table for research'!$B708-1)*36+HEX2DEC(8))*2,2)),11),2)</f>
        <v>00</v>
      </c>
      <c r="P708" t="str">
        <f>MID('paste from garc here'!$C$2,1+(('table for research'!$B708-456)*36+HEX2DEC('table for research'!P$1))*2,2)</f>
        <v>00</v>
      </c>
      <c r="Q708" t="str">
        <f>MID('paste from garc here'!$C$2,1+(('table for research'!$B708-456)*36+HEX2DEC('table for research'!Q$1))*2,2)</f>
        <v>00</v>
      </c>
      <c r="R708" t="str">
        <f>MID('paste from garc here'!$C$2,1+(('table for research'!$B708-456)*36+HEX2DEC('table for research'!R$1))*2,2)</f>
        <v>00</v>
      </c>
      <c r="S708" t="str">
        <f>MID('paste from garc here'!$C$2,1+(('table for research'!$B708-456)*36+HEX2DEC('table for research'!S$1))*2,2)</f>
        <v>08</v>
      </c>
      <c r="T708" t="str">
        <f>MID('paste from garc here'!$C$2,1+(('table for research'!$B708-456)*36+HEX2DEC('table for research'!T$1))*2,2)</f>
        <v>00</v>
      </c>
      <c r="U708" t="str">
        <f>MID('paste from garc here'!$C$2,1+(('table for research'!$B708-456)*36+HEX2DEC('table for research'!U$1))*2,2)</f>
        <v>15</v>
      </c>
      <c r="V708" t="str">
        <f>MID('paste from garc here'!$C$2,1+(('table for research'!$B708-456)*36+HEX2DEC('table for research'!V$1))*2,2)</f>
        <v>00</v>
      </c>
      <c r="W708" t="str">
        <f>MID('paste from garc here'!$C$2,1+(('table for research'!$B708-456)*36+HEX2DEC('table for research'!W$1))*2,2)</f>
        <v>00</v>
      </c>
      <c r="X708" t="str">
        <f>MID('paste from garc here'!$C$2,1+(('table for research'!$B708-456)*36+HEX2DEC('table for research'!X$1))*2,2)</f>
        <v>00</v>
      </c>
      <c r="Y708" t="str">
        <f>MID('paste from garc here'!$C$2,1+(('table for research'!$B708-456)*36+HEX2DEC('table for research'!Y$1))*2,2)</f>
        <v>00</v>
      </c>
      <c r="Z708" t="str">
        <f>MID('paste from garc here'!$C$2,1+(('table for research'!$B708-456)*36+HEX2DEC('table for research'!Z$1))*2,2)</f>
        <v>00</v>
      </c>
      <c r="AA708" t="str">
        <f>MID('paste from garc here'!$C$2,1+(('table for research'!$B708-456)*36+HEX2DEC('table for research'!AA$1))*2,2)</f>
        <v>00</v>
      </c>
      <c r="AB708" t="str">
        <f>MID('paste from garc here'!$C$2,1+(('table for research'!$B708-456)*36+HEX2DEC('table for research'!AB$1))*2,2)</f>
        <v>00</v>
      </c>
      <c r="AC708" t="str">
        <f>MID('paste from garc here'!$C$2,1+(('table for research'!$B708-456)*36+HEX2DEC('table for research'!AC$1))*2,2)</f>
        <v>00</v>
      </c>
      <c r="AD708" t="str">
        <f>MID('paste from garc here'!$C$2,1+(('table for research'!$B708-456)*36+HEX2DEC('table for research'!AD$1))*2,2)</f>
        <v>00</v>
      </c>
      <c r="AE708" t="str">
        <f>MID('paste from garc here'!$C$2,1+(('table for research'!$B708-456)*36+HEX2DEC('table for research'!AE$1))*2,2)</f>
        <v>00</v>
      </c>
      <c r="AF708" t="str">
        <f>MID('paste from garc here'!$C$2,1+(('table for research'!$B708-456)*36+HEX2DEC('table for research'!AF$1))*2,2)</f>
        <v>00</v>
      </c>
      <c r="AG708" t="str">
        <f>MID('paste from garc here'!$C$2,1+(('table for research'!$B708-456)*36+HEX2DEC('table for research'!AG$1))*2,2)</f>
        <v>00</v>
      </c>
      <c r="AH708" t="str">
        <f>MID('paste from garc here'!$C$2,1+(('table for research'!$B708-456)*36+HEX2DEC('table for research'!AH$1))*2,2)</f>
        <v>00</v>
      </c>
      <c r="AI708" t="str">
        <f>MID('paste from garc here'!$C$2,1+(('table for research'!$B708-456)*36+HEX2DEC('table for research'!AI$1))*2,2)</f>
        <v>00</v>
      </c>
      <c r="AJ708" t="str">
        <f>MID('paste from garc here'!$C$2,1+(('table for research'!$B708-456)*36+HEX2DEC('table for research'!AJ$1))*2,2)</f>
        <v>00</v>
      </c>
      <c r="AK708" t="str">
        <f>MID('paste from garc here'!$C$2,1+(('table for research'!$B708-456)*36+HEX2DEC('table for research'!AK$1))*2,2)</f>
        <v>00</v>
      </c>
      <c r="AL708" t="str">
        <f>MID('paste from garc here'!$C$2,1+(('table for research'!$B708-456)*36+HEX2DEC('table for research'!AL$1))*2,2)</f>
        <v>00</v>
      </c>
      <c r="AM708" t="str">
        <f>MID('paste from garc here'!$C$2,1+(('table for research'!$B708-456)*36+HEX2DEC('table for research'!AM$1))*2,2)</f>
        <v>00</v>
      </c>
      <c r="AN708" t="str">
        <f>MID('paste from garc here'!$C$2,1+(('table for research'!$B708-456)*36+HEX2DEC('table for research'!AN$1))*2,2)</f>
        <v>00</v>
      </c>
      <c r="AO708" t="str">
        <f>MID('paste from garc here'!$C$2,1+(('table for research'!$B708-456)*36+HEX2DEC('table for research'!AO$1))*2,2)</f>
        <v>00</v>
      </c>
    </row>
    <row r="709" spans="1:41" x14ac:dyDescent="0.4">
      <c r="A709" t="s">
        <v>708</v>
      </c>
      <c r="B709">
        <f>B708+1</f>
        <v>707</v>
      </c>
      <c r="C709" t="str">
        <f>MID('paste from garc here'!$C$2,1+(('table for research'!$B709-456)*36+HEX2DEC('table for research'!C$1))*2,2)</f>
        <v>00</v>
      </c>
      <c r="D709" t="str">
        <f>MID('paste from garc here'!$C$2,1+(('table for research'!$B709-456)*36+HEX2DEC('table for research'!D$1))*2,2)</f>
        <v>00</v>
      </c>
      <c r="E709" t="str">
        <f>MID('paste from garc here'!$C$2,1+(('table for research'!$B709-456)*36+HEX2DEC('table for research'!E$1))*2,2)</f>
        <v>00</v>
      </c>
      <c r="F709" t="str">
        <f>MID('paste from garc here'!$C$2,1+(('table for research'!$B709-456)*36+HEX2DEC('table for research'!F$1))*2,2)</f>
        <v>00</v>
      </c>
      <c r="G709" t="str">
        <f>MID('paste from garc here'!$C$2,1+(('table for research'!$B709-456)*36+HEX2DEC('table for research'!G$1))*2,2)</f>
        <v>00</v>
      </c>
      <c r="H709" t="str">
        <f>MID('paste from garc here'!$C$2,1+(('table for research'!$B709-456)*36+HEX2DEC('table for research'!H$1))*2,2)</f>
        <v>00</v>
      </c>
      <c r="I709" t="str">
        <f>MID('paste from garc here'!$C$2,1+(('table for research'!$B709-456)*36+HEX2DEC('table for research'!I$1))*2,2)</f>
        <v>00</v>
      </c>
      <c r="J709" t="str">
        <f>MID('paste from garc here'!$C$2,1+(('table for research'!$B709-456)*36+HEX2DEC('table for research'!J$1))*2,2)</f>
        <v>00</v>
      </c>
      <c r="K709" t="str">
        <f>DEC2HEX(_xlfn.BITAND(HEX2DEC(MID('paste from garc here'!$C$1,1+(('table for research'!$B709-1)*36+HEX2DEC(8))*2,2)),31),2)</f>
        <v>00</v>
      </c>
      <c r="L709" t="str">
        <f>DEC2HEX(_xlfn.BITAND(HEX2DEC(MID('paste from garc here'!$C$1,1+(('table for research'!$B709-1)*36+HEX2DEC(8))*2,2)),32),2)</f>
        <v>00</v>
      </c>
      <c r="M709" t="str">
        <f>DEC2HEX(_xlfn.BITAND(HEX2DEC(MID('paste from garc here'!$C$1,1+(('table for research'!$B709-1)*36+HEX2DEC(8))*2,2)),64),2)</f>
        <v>00</v>
      </c>
      <c r="N709" t="str">
        <f>DEC2HEX(_xlfn.BITRSHIFT(_xlfn.BITAND(HEX2DEC(MID('paste from garc here'!$C$1,1+(('table for research'!$B709-1)*36+HEX2DEC(9))*2,2)&amp;MID('paste from garc here'!$C$1,1+(('table for research'!$B709-1)*36+HEX2DEC(8))*2,2)),1920),7),2)</f>
        <v>00</v>
      </c>
      <c r="O709" t="str">
        <f>DEC2HEX(_xlfn.BITRSHIFT(HEX2DEC(MID('paste from garc here'!$C$1,1+(('table for research'!$B709-1)*36+HEX2DEC(9))*2,2)&amp;MID('paste from garc here'!$C$1,1+(('table for research'!$B709-1)*36+HEX2DEC(8))*2,2)),11),2)</f>
        <v>00</v>
      </c>
      <c r="P709" t="str">
        <f>MID('paste from garc here'!$C$2,1+(('table for research'!$B709-456)*36+HEX2DEC('table for research'!P$1))*2,2)</f>
        <v>00</v>
      </c>
      <c r="Q709" t="str">
        <f>MID('paste from garc here'!$C$2,1+(('table for research'!$B709-456)*36+HEX2DEC('table for research'!Q$1))*2,2)</f>
        <v>00</v>
      </c>
      <c r="R709" t="str">
        <f>MID('paste from garc here'!$C$2,1+(('table for research'!$B709-456)*36+HEX2DEC('table for research'!R$1))*2,2)</f>
        <v>00</v>
      </c>
      <c r="S709" t="str">
        <f>MID('paste from garc here'!$C$2,1+(('table for research'!$B709-456)*36+HEX2DEC('table for research'!S$1))*2,2)</f>
        <v>08</v>
      </c>
      <c r="T709" t="str">
        <f>MID('paste from garc here'!$C$2,1+(('table for research'!$B709-456)*36+HEX2DEC('table for research'!T$1))*2,2)</f>
        <v>00</v>
      </c>
      <c r="U709" t="str">
        <f>MID('paste from garc here'!$C$2,1+(('table for research'!$B709-456)*36+HEX2DEC('table for research'!U$1))*2,2)</f>
        <v>FF</v>
      </c>
      <c r="V709" t="str">
        <f>MID('paste from garc here'!$C$2,1+(('table for research'!$B709-456)*36+HEX2DEC('table for research'!V$1))*2,2)</f>
        <v>00</v>
      </c>
      <c r="W709" t="str">
        <f>MID('paste from garc here'!$C$2,1+(('table for research'!$B709-456)*36+HEX2DEC('table for research'!W$1))*2,2)</f>
        <v>00</v>
      </c>
      <c r="X709" t="str">
        <f>MID('paste from garc here'!$C$2,1+(('table for research'!$B709-456)*36+HEX2DEC('table for research'!X$1))*2,2)</f>
        <v>00</v>
      </c>
      <c r="Y709" t="str">
        <f>MID('paste from garc here'!$C$2,1+(('table for research'!$B709-456)*36+HEX2DEC('table for research'!Y$1))*2,2)</f>
        <v>00</v>
      </c>
      <c r="Z709" t="str">
        <f>MID('paste from garc here'!$C$2,1+(('table for research'!$B709-456)*36+HEX2DEC('table for research'!Z$1))*2,2)</f>
        <v>00</v>
      </c>
      <c r="AA709" t="str">
        <f>MID('paste from garc here'!$C$2,1+(('table for research'!$B709-456)*36+HEX2DEC('table for research'!AA$1))*2,2)</f>
        <v>00</v>
      </c>
      <c r="AB709" t="str">
        <f>MID('paste from garc here'!$C$2,1+(('table for research'!$B709-456)*36+HEX2DEC('table for research'!AB$1))*2,2)</f>
        <v>00</v>
      </c>
      <c r="AC709" t="str">
        <f>MID('paste from garc here'!$C$2,1+(('table for research'!$B709-456)*36+HEX2DEC('table for research'!AC$1))*2,2)</f>
        <v>00</v>
      </c>
      <c r="AD709" t="str">
        <f>MID('paste from garc here'!$C$2,1+(('table for research'!$B709-456)*36+HEX2DEC('table for research'!AD$1))*2,2)</f>
        <v>00</v>
      </c>
      <c r="AE709" t="str">
        <f>MID('paste from garc here'!$C$2,1+(('table for research'!$B709-456)*36+HEX2DEC('table for research'!AE$1))*2,2)</f>
        <v>00</v>
      </c>
      <c r="AF709" t="str">
        <f>MID('paste from garc here'!$C$2,1+(('table for research'!$B709-456)*36+HEX2DEC('table for research'!AF$1))*2,2)</f>
        <v>00</v>
      </c>
      <c r="AG709" t="str">
        <f>MID('paste from garc here'!$C$2,1+(('table for research'!$B709-456)*36+HEX2DEC('table for research'!AG$1))*2,2)</f>
        <v>00</v>
      </c>
      <c r="AH709" t="str">
        <f>MID('paste from garc here'!$C$2,1+(('table for research'!$B709-456)*36+HEX2DEC('table for research'!AH$1))*2,2)</f>
        <v>00</v>
      </c>
      <c r="AI709" t="str">
        <f>MID('paste from garc here'!$C$2,1+(('table for research'!$B709-456)*36+HEX2DEC('table for research'!AI$1))*2,2)</f>
        <v>00</v>
      </c>
      <c r="AJ709" t="str">
        <f>MID('paste from garc here'!$C$2,1+(('table for research'!$B709-456)*36+HEX2DEC('table for research'!AJ$1))*2,2)</f>
        <v>00</v>
      </c>
      <c r="AK709" t="str">
        <f>MID('paste from garc here'!$C$2,1+(('table for research'!$B709-456)*36+HEX2DEC('table for research'!AK$1))*2,2)</f>
        <v>00</v>
      </c>
      <c r="AL709" t="str">
        <f>MID('paste from garc here'!$C$2,1+(('table for research'!$B709-456)*36+HEX2DEC('table for research'!AL$1))*2,2)</f>
        <v>00</v>
      </c>
      <c r="AM709" t="str">
        <f>MID('paste from garc here'!$C$2,1+(('table for research'!$B709-456)*36+HEX2DEC('table for research'!AM$1))*2,2)</f>
        <v>00</v>
      </c>
      <c r="AN709" t="str">
        <f>MID('paste from garc here'!$C$2,1+(('table for research'!$B709-456)*36+HEX2DEC('table for research'!AN$1))*2,2)</f>
        <v>00</v>
      </c>
      <c r="AO709" t="str">
        <f>MID('paste from garc here'!$C$2,1+(('table for research'!$B709-456)*36+HEX2DEC('table for research'!AO$1))*2,2)</f>
        <v>00</v>
      </c>
    </row>
    <row r="710" spans="1:41" x14ac:dyDescent="0.4">
      <c r="A710" t="s">
        <v>709</v>
      </c>
      <c r="B710">
        <f>B709+1</f>
        <v>708</v>
      </c>
      <c r="C710" t="str">
        <f>MID('paste from garc here'!$C$2,1+(('table for research'!$B710-456)*36+HEX2DEC('table for research'!C$1))*2,2)</f>
        <v>23</v>
      </c>
      <c r="D710" t="str">
        <f>MID('paste from garc here'!$C$2,1+(('table for research'!$B710-456)*36+HEX2DEC('table for research'!D$1))*2,2)</f>
        <v>00</v>
      </c>
      <c r="E710" t="str">
        <f>MID('paste from garc here'!$C$2,1+(('table for research'!$B710-456)*36+HEX2DEC('table for research'!E$1))*2,2)</f>
        <v>00</v>
      </c>
      <c r="F710" t="str">
        <f>MID('paste from garc here'!$C$2,1+(('table for research'!$B710-456)*36+HEX2DEC('table for research'!F$1))*2,2)</f>
        <v>00</v>
      </c>
      <c r="G710" t="str">
        <f>MID('paste from garc here'!$C$2,1+(('table for research'!$B710-456)*36+HEX2DEC('table for research'!G$1))*2,2)</f>
        <v>00</v>
      </c>
      <c r="H710" t="str">
        <f>MID('paste from garc here'!$C$2,1+(('table for research'!$B710-456)*36+HEX2DEC('table for research'!H$1))*2,2)</f>
        <v>00</v>
      </c>
      <c r="I710" t="str">
        <f>MID('paste from garc here'!$C$2,1+(('table for research'!$B710-456)*36+HEX2DEC('table for research'!I$1))*2,2)</f>
        <v>1E</v>
      </c>
      <c r="J710" t="str">
        <f>MID('paste from garc here'!$C$2,1+(('table for research'!$B710-456)*36+HEX2DEC('table for research'!J$1))*2,2)</f>
        <v>00</v>
      </c>
      <c r="K710" t="str">
        <f>DEC2HEX(_xlfn.BITAND(HEX2DEC(MID('paste from garc here'!$C$1,1+(('table for research'!$B710-1)*36+HEX2DEC(8))*2,2)),31),2)</f>
        <v>00</v>
      </c>
      <c r="L710" t="str">
        <f>DEC2HEX(_xlfn.BITAND(HEX2DEC(MID('paste from garc here'!$C$1,1+(('table for research'!$B710-1)*36+HEX2DEC(8))*2,2)),32),2)</f>
        <v>00</v>
      </c>
      <c r="M710" t="str">
        <f>DEC2HEX(_xlfn.BITAND(HEX2DEC(MID('paste from garc here'!$C$1,1+(('table for research'!$B710-1)*36+HEX2DEC(8))*2,2)),64),2)</f>
        <v>00</v>
      </c>
      <c r="N710" t="str">
        <f>DEC2HEX(_xlfn.BITRSHIFT(_xlfn.BITAND(HEX2DEC(MID('paste from garc here'!$C$1,1+(('table for research'!$B710-1)*36+HEX2DEC(9))*2,2)&amp;MID('paste from garc here'!$C$1,1+(('table for research'!$B710-1)*36+HEX2DEC(8))*2,2)),1920),7),2)</f>
        <v>00</v>
      </c>
      <c r="O710" t="str">
        <f>DEC2HEX(_xlfn.BITRSHIFT(HEX2DEC(MID('paste from garc here'!$C$1,1+(('table for research'!$B710-1)*36+HEX2DEC(9))*2,2)&amp;MID('paste from garc here'!$C$1,1+(('table for research'!$B710-1)*36+HEX2DEC(8))*2,2)),11),2)</f>
        <v>00</v>
      </c>
      <c r="P710" t="str">
        <f>MID('paste from garc here'!$C$2,1+(('table for research'!$B710-456)*36+HEX2DEC('table for research'!P$1))*2,2)</f>
        <v>01</v>
      </c>
      <c r="Q710" t="str">
        <f>MID('paste from garc here'!$C$2,1+(('table for research'!$B710-456)*36+HEX2DEC('table for research'!Q$1))*2,2)</f>
        <v>02</v>
      </c>
      <c r="R710" t="str">
        <f>MID('paste from garc here'!$C$2,1+(('table for research'!$B710-456)*36+HEX2DEC('table for research'!R$1))*2,2)</f>
        <v>01</v>
      </c>
      <c r="S710" t="str">
        <f>MID('paste from garc here'!$C$2,1+(('table for research'!$B710-456)*36+HEX2DEC('table for research'!S$1))*2,2)</f>
        <v>00</v>
      </c>
      <c r="T710" t="str">
        <f>MID('paste from garc here'!$C$2,1+(('table for research'!$B710-456)*36+HEX2DEC('table for research'!T$1))*2,2)</f>
        <v>00</v>
      </c>
      <c r="U710" t="str">
        <f>MID('paste from garc here'!$C$2,1+(('table for research'!$B710-456)*36+HEX2DEC('table for research'!U$1))*2,2)</f>
        <v>1F</v>
      </c>
      <c r="V710" t="str">
        <f>MID('paste from garc here'!$C$2,1+(('table for research'!$B710-456)*36+HEX2DEC('table for research'!V$1))*2,2)</f>
        <v>3F</v>
      </c>
      <c r="W710" t="str">
        <f>MID('paste from garc here'!$C$2,1+(('table for research'!$B710-456)*36+HEX2DEC('table for research'!W$1))*2,2)</f>
        <v>00</v>
      </c>
      <c r="X710" t="str">
        <f>MID('paste from garc here'!$C$2,1+(('table for research'!$B710-456)*36+HEX2DEC('table for research'!X$1))*2,2)</f>
        <v>00</v>
      </c>
      <c r="Y710" t="str">
        <f>MID('paste from garc here'!$C$2,1+(('table for research'!$B710-456)*36+HEX2DEC('table for research'!Y$1))*2,2)</f>
        <v>00</v>
      </c>
      <c r="Z710" t="str">
        <f>MID('paste from garc here'!$C$2,1+(('table for research'!$B710-456)*36+HEX2DEC('table for research'!Z$1))*2,2)</f>
        <v>00</v>
      </c>
      <c r="AA710" t="str">
        <f>MID('paste from garc here'!$C$2,1+(('table for research'!$B710-456)*36+HEX2DEC('table for research'!AA$1))*2,2)</f>
        <v>00</v>
      </c>
      <c r="AB710" t="str">
        <f>MID('paste from garc here'!$C$2,1+(('table for research'!$B710-456)*36+HEX2DEC('table for research'!AB$1))*2,2)</f>
        <v>00</v>
      </c>
      <c r="AC710" t="str">
        <f>MID('paste from garc here'!$C$2,1+(('table for research'!$B710-456)*36+HEX2DEC('table for research'!AC$1))*2,2)</f>
        <v>00</v>
      </c>
      <c r="AD710" t="str">
        <f>MID('paste from garc here'!$C$2,1+(('table for research'!$B710-456)*36+HEX2DEC('table for research'!AD$1))*2,2)</f>
        <v>00</v>
      </c>
      <c r="AE710" t="str">
        <f>MID('paste from garc here'!$C$2,1+(('table for research'!$B710-456)*36+HEX2DEC('table for research'!AE$1))*2,2)</f>
        <v>00</v>
      </c>
      <c r="AF710" t="str">
        <f>MID('paste from garc here'!$C$2,1+(('table for research'!$B710-456)*36+HEX2DEC('table for research'!AF$1))*2,2)</f>
        <v>00</v>
      </c>
      <c r="AG710" t="str">
        <f>MID('paste from garc here'!$C$2,1+(('table for research'!$B710-456)*36+HEX2DEC('table for research'!AG$1))*2,2)</f>
        <v>00</v>
      </c>
      <c r="AH710" t="str">
        <f>MID('paste from garc here'!$C$2,1+(('table for research'!$B710-456)*36+HEX2DEC('table for research'!AH$1))*2,2)</f>
        <v>00</v>
      </c>
      <c r="AI710" t="str">
        <f>MID('paste from garc here'!$C$2,1+(('table for research'!$B710-456)*36+HEX2DEC('table for research'!AI$1))*2,2)</f>
        <v>00</v>
      </c>
      <c r="AJ710" t="str">
        <f>MID('paste from garc here'!$C$2,1+(('table for research'!$B710-456)*36+HEX2DEC('table for research'!AJ$1))*2,2)</f>
        <v>00</v>
      </c>
      <c r="AK710" t="str">
        <f>MID('paste from garc here'!$C$2,1+(('table for research'!$B710-456)*36+HEX2DEC('table for research'!AK$1))*2,2)</f>
        <v>00</v>
      </c>
      <c r="AL710" t="str">
        <f>MID('paste from garc here'!$C$2,1+(('table for research'!$B710-456)*36+HEX2DEC('table for research'!AL$1))*2,2)</f>
        <v>00</v>
      </c>
      <c r="AM710" t="str">
        <f>MID('paste from garc here'!$C$2,1+(('table for research'!$B710-456)*36+HEX2DEC('table for research'!AM$1))*2,2)</f>
        <v>00</v>
      </c>
      <c r="AN710" t="str">
        <f>MID('paste from garc here'!$C$2,1+(('table for research'!$B710-456)*36+HEX2DEC('table for research'!AN$1))*2,2)</f>
        <v>00</v>
      </c>
      <c r="AO710" t="str">
        <f>MID('paste from garc here'!$C$2,1+(('table for research'!$B710-456)*36+HEX2DEC('table for research'!AO$1))*2,2)</f>
        <v>00</v>
      </c>
    </row>
    <row r="711" spans="1:41" x14ac:dyDescent="0.4">
      <c r="A711" t="s">
        <v>710</v>
      </c>
      <c r="B711">
        <f>B710+1</f>
        <v>709</v>
      </c>
      <c r="C711" t="str">
        <f>MID('paste from garc here'!$C$2,1+(('table for research'!$B711-456)*36+HEX2DEC('table for research'!C$1))*2,2)</f>
        <v>23</v>
      </c>
      <c r="D711" t="str">
        <f>MID('paste from garc here'!$C$2,1+(('table for research'!$B711-456)*36+HEX2DEC('table for research'!D$1))*2,2)</f>
        <v>00</v>
      </c>
      <c r="E711" t="str">
        <f>MID('paste from garc here'!$C$2,1+(('table for research'!$B711-456)*36+HEX2DEC('table for research'!E$1))*2,2)</f>
        <v>00</v>
      </c>
      <c r="F711" t="str">
        <f>MID('paste from garc here'!$C$2,1+(('table for research'!$B711-456)*36+HEX2DEC('table for research'!F$1))*2,2)</f>
        <v>00</v>
      </c>
      <c r="G711" t="str">
        <f>MID('paste from garc here'!$C$2,1+(('table for research'!$B711-456)*36+HEX2DEC('table for research'!G$1))*2,2)</f>
        <v>00</v>
      </c>
      <c r="H711" t="str">
        <f>MID('paste from garc here'!$C$2,1+(('table for research'!$B711-456)*36+HEX2DEC('table for research'!H$1))*2,2)</f>
        <v>00</v>
      </c>
      <c r="I711" t="str">
        <f>MID('paste from garc here'!$C$2,1+(('table for research'!$B711-456)*36+HEX2DEC('table for research'!I$1))*2,2)</f>
        <v>1E</v>
      </c>
      <c r="J711" t="str">
        <f>MID('paste from garc here'!$C$2,1+(('table for research'!$B711-456)*36+HEX2DEC('table for research'!J$1))*2,2)</f>
        <v>00</v>
      </c>
      <c r="K711" t="str">
        <f>DEC2HEX(_xlfn.BITAND(HEX2DEC(MID('paste from garc here'!$C$1,1+(('table for research'!$B711-1)*36+HEX2DEC(8))*2,2)),31),2)</f>
        <v>00</v>
      </c>
      <c r="L711" t="str">
        <f>DEC2HEX(_xlfn.BITAND(HEX2DEC(MID('paste from garc here'!$C$1,1+(('table for research'!$B711-1)*36+HEX2DEC(8))*2,2)),32),2)</f>
        <v>00</v>
      </c>
      <c r="M711" t="str">
        <f>DEC2HEX(_xlfn.BITAND(HEX2DEC(MID('paste from garc here'!$C$1,1+(('table for research'!$B711-1)*36+HEX2DEC(8))*2,2)),64),2)</f>
        <v>00</v>
      </c>
      <c r="N711" t="str">
        <f>DEC2HEX(_xlfn.BITRSHIFT(_xlfn.BITAND(HEX2DEC(MID('paste from garc here'!$C$1,1+(('table for research'!$B711-1)*36+HEX2DEC(9))*2,2)&amp;MID('paste from garc here'!$C$1,1+(('table for research'!$B711-1)*36+HEX2DEC(8))*2,2)),1920),7),2)</f>
        <v>00</v>
      </c>
      <c r="O711" t="str">
        <f>DEC2HEX(_xlfn.BITRSHIFT(HEX2DEC(MID('paste from garc here'!$C$1,1+(('table for research'!$B711-1)*36+HEX2DEC(9))*2,2)&amp;MID('paste from garc here'!$C$1,1+(('table for research'!$B711-1)*36+HEX2DEC(8))*2,2)),11),2)</f>
        <v>00</v>
      </c>
      <c r="P711" t="str">
        <f>MID('paste from garc here'!$C$2,1+(('table for research'!$B711-456)*36+HEX2DEC('table for research'!P$1))*2,2)</f>
        <v>01</v>
      </c>
      <c r="Q711" t="str">
        <f>MID('paste from garc here'!$C$2,1+(('table for research'!$B711-456)*36+HEX2DEC('table for research'!Q$1))*2,2)</f>
        <v>02</v>
      </c>
      <c r="R711" t="str">
        <f>MID('paste from garc here'!$C$2,1+(('table for research'!$B711-456)*36+HEX2DEC('table for research'!R$1))*2,2)</f>
        <v>01</v>
      </c>
      <c r="S711" t="str">
        <f>MID('paste from garc here'!$C$2,1+(('table for research'!$B711-456)*36+HEX2DEC('table for research'!S$1))*2,2)</f>
        <v>00</v>
      </c>
      <c r="T711" t="str">
        <f>MID('paste from garc here'!$C$2,1+(('table for research'!$B711-456)*36+HEX2DEC('table for research'!T$1))*2,2)</f>
        <v>00</v>
      </c>
      <c r="U711" t="str">
        <f>MID('paste from garc here'!$C$2,1+(('table for research'!$B711-456)*36+HEX2DEC('table for research'!U$1))*2,2)</f>
        <v>20</v>
      </c>
      <c r="V711" t="str">
        <f>MID('paste from garc here'!$C$2,1+(('table for research'!$B711-456)*36+HEX2DEC('table for research'!V$1))*2,2)</f>
        <v>3F</v>
      </c>
      <c r="W711" t="str">
        <f>MID('paste from garc here'!$C$2,1+(('table for research'!$B711-456)*36+HEX2DEC('table for research'!W$1))*2,2)</f>
        <v>00</v>
      </c>
      <c r="X711" t="str">
        <f>MID('paste from garc here'!$C$2,1+(('table for research'!$B711-456)*36+HEX2DEC('table for research'!X$1))*2,2)</f>
        <v>00</v>
      </c>
      <c r="Y711" t="str">
        <f>MID('paste from garc here'!$C$2,1+(('table for research'!$B711-456)*36+HEX2DEC('table for research'!Y$1))*2,2)</f>
        <v>00</v>
      </c>
      <c r="Z711" t="str">
        <f>MID('paste from garc here'!$C$2,1+(('table for research'!$B711-456)*36+HEX2DEC('table for research'!Z$1))*2,2)</f>
        <v>00</v>
      </c>
      <c r="AA711" t="str">
        <f>MID('paste from garc here'!$C$2,1+(('table for research'!$B711-456)*36+HEX2DEC('table for research'!AA$1))*2,2)</f>
        <v>00</v>
      </c>
      <c r="AB711" t="str">
        <f>MID('paste from garc here'!$C$2,1+(('table for research'!$B711-456)*36+HEX2DEC('table for research'!AB$1))*2,2)</f>
        <v>00</v>
      </c>
      <c r="AC711" t="str">
        <f>MID('paste from garc here'!$C$2,1+(('table for research'!$B711-456)*36+HEX2DEC('table for research'!AC$1))*2,2)</f>
        <v>00</v>
      </c>
      <c r="AD711" t="str">
        <f>MID('paste from garc here'!$C$2,1+(('table for research'!$B711-456)*36+HEX2DEC('table for research'!AD$1))*2,2)</f>
        <v>00</v>
      </c>
      <c r="AE711" t="str">
        <f>MID('paste from garc here'!$C$2,1+(('table for research'!$B711-456)*36+HEX2DEC('table for research'!AE$1))*2,2)</f>
        <v>00</v>
      </c>
      <c r="AF711" t="str">
        <f>MID('paste from garc here'!$C$2,1+(('table for research'!$B711-456)*36+HEX2DEC('table for research'!AF$1))*2,2)</f>
        <v>00</v>
      </c>
      <c r="AG711" t="str">
        <f>MID('paste from garc here'!$C$2,1+(('table for research'!$B711-456)*36+HEX2DEC('table for research'!AG$1))*2,2)</f>
        <v>00</v>
      </c>
      <c r="AH711" t="str">
        <f>MID('paste from garc here'!$C$2,1+(('table for research'!$B711-456)*36+HEX2DEC('table for research'!AH$1))*2,2)</f>
        <v>00</v>
      </c>
      <c r="AI711" t="str">
        <f>MID('paste from garc here'!$C$2,1+(('table for research'!$B711-456)*36+HEX2DEC('table for research'!AI$1))*2,2)</f>
        <v>00</v>
      </c>
      <c r="AJ711" t="str">
        <f>MID('paste from garc here'!$C$2,1+(('table for research'!$B711-456)*36+HEX2DEC('table for research'!AJ$1))*2,2)</f>
        <v>00</v>
      </c>
      <c r="AK711" t="str">
        <f>MID('paste from garc here'!$C$2,1+(('table for research'!$B711-456)*36+HEX2DEC('table for research'!AK$1))*2,2)</f>
        <v>00</v>
      </c>
      <c r="AL711" t="str">
        <f>MID('paste from garc here'!$C$2,1+(('table for research'!$B711-456)*36+HEX2DEC('table for research'!AL$1))*2,2)</f>
        <v>00</v>
      </c>
      <c r="AM711" t="str">
        <f>MID('paste from garc here'!$C$2,1+(('table for research'!$B711-456)*36+HEX2DEC('table for research'!AM$1))*2,2)</f>
        <v>00</v>
      </c>
      <c r="AN711" t="str">
        <f>MID('paste from garc here'!$C$2,1+(('table for research'!$B711-456)*36+HEX2DEC('table for research'!AN$1))*2,2)</f>
        <v>00</v>
      </c>
      <c r="AO711" t="str">
        <f>MID('paste from garc here'!$C$2,1+(('table for research'!$B711-456)*36+HEX2DEC('table for research'!AO$1))*2,2)</f>
        <v>00</v>
      </c>
    </row>
    <row r="712" spans="1:41" x14ac:dyDescent="0.4">
      <c r="A712" t="s">
        <v>711</v>
      </c>
      <c r="B712">
        <f>B711+1</f>
        <v>710</v>
      </c>
      <c r="C712" t="str">
        <f>MID('paste from garc here'!$C$2,1+(('table for research'!$B712-456)*36+HEX2DEC('table for research'!C$1))*2,2)</f>
        <v>BC</v>
      </c>
      <c r="D712" t="str">
        <f>MID('paste from garc here'!$C$2,1+(('table for research'!$B712-456)*36+HEX2DEC('table for research'!D$1))*2,2)</f>
        <v>02</v>
      </c>
      <c r="E712" t="str">
        <f>MID('paste from garc here'!$C$2,1+(('table for research'!$B712-456)*36+HEX2DEC('table for research'!E$1))*2,2)</f>
        <v>00</v>
      </c>
      <c r="F712" t="str">
        <f>MID('paste from garc here'!$C$2,1+(('table for research'!$B712-456)*36+HEX2DEC('table for research'!F$1))*2,2)</f>
        <v>00</v>
      </c>
      <c r="G712" t="str">
        <f>MID('paste from garc here'!$C$2,1+(('table for research'!$B712-456)*36+HEX2DEC('table for research'!G$1))*2,2)</f>
        <v>00</v>
      </c>
      <c r="H712" t="str">
        <f>MID('paste from garc here'!$C$2,1+(('table for research'!$B712-456)*36+HEX2DEC('table for research'!H$1))*2,2)</f>
        <v>00</v>
      </c>
      <c r="I712" t="str">
        <f>MID('paste from garc here'!$C$2,1+(('table for research'!$B712-456)*36+HEX2DEC('table for research'!I$1))*2,2)</f>
        <v>64</v>
      </c>
      <c r="J712" t="str">
        <f>MID('paste from garc here'!$C$2,1+(('table for research'!$B712-456)*36+HEX2DEC('table for research'!J$1))*2,2)</f>
        <v>00</v>
      </c>
      <c r="K712" t="str">
        <f>DEC2HEX(_xlfn.BITAND(HEX2DEC(MID('paste from garc here'!$C$1,1+(('table for research'!$B712-1)*36+HEX2DEC(8))*2,2)),31),2)</f>
        <v>00</v>
      </c>
      <c r="L712" t="str">
        <f>DEC2HEX(_xlfn.BITAND(HEX2DEC(MID('paste from garc here'!$C$1,1+(('table for research'!$B712-1)*36+HEX2DEC(8))*2,2)),32),2)</f>
        <v>00</v>
      </c>
      <c r="M712" t="str">
        <f>DEC2HEX(_xlfn.BITAND(HEX2DEC(MID('paste from garc here'!$C$1,1+(('table for research'!$B712-1)*36+HEX2DEC(8))*2,2)),64),2)</f>
        <v>00</v>
      </c>
      <c r="N712" t="str">
        <f>DEC2HEX(_xlfn.BITRSHIFT(_xlfn.BITAND(HEX2DEC(MID('paste from garc here'!$C$1,1+(('table for research'!$B712-1)*36+HEX2DEC(9))*2,2)&amp;MID('paste from garc here'!$C$1,1+(('table for research'!$B712-1)*36+HEX2DEC(8))*2,2)),1920),7),2)</f>
        <v>00</v>
      </c>
      <c r="O712" t="str">
        <f>DEC2HEX(_xlfn.BITRSHIFT(HEX2DEC(MID('paste from garc here'!$C$1,1+(('table for research'!$B712-1)*36+HEX2DEC(9))*2,2)&amp;MID('paste from garc here'!$C$1,1+(('table for research'!$B712-1)*36+HEX2DEC(8))*2,2)),11),2)</f>
        <v>00</v>
      </c>
      <c r="P712" t="str">
        <f>MID('paste from garc here'!$C$2,1+(('table for research'!$B712-456)*36+HEX2DEC('table for research'!P$1))*2,2)</f>
        <v>00</v>
      </c>
      <c r="Q712" t="str">
        <f>MID('paste from garc here'!$C$2,1+(('table for research'!$B712-456)*36+HEX2DEC('table for research'!Q$1))*2,2)</f>
        <v>00</v>
      </c>
      <c r="R712" t="str">
        <f>MID('paste from garc here'!$C$2,1+(('table for research'!$B712-456)*36+HEX2DEC('table for research'!R$1))*2,2)</f>
        <v>00</v>
      </c>
      <c r="S712" t="str">
        <f>MID('paste from garc here'!$C$2,1+(('table for research'!$B712-456)*36+HEX2DEC('table for research'!S$1))*2,2)</f>
        <v>02</v>
      </c>
      <c r="T712" t="str">
        <f>MID('paste from garc here'!$C$2,1+(('table for research'!$B712-456)*36+HEX2DEC('table for research'!T$1))*2,2)</f>
        <v>00</v>
      </c>
      <c r="U712" t="str">
        <f>MID('paste from garc here'!$C$2,1+(('table for research'!$B712-456)*36+HEX2DEC('table for research'!U$1))*2,2)</f>
        <v>9F</v>
      </c>
      <c r="V712" t="str">
        <f>MID('paste from garc here'!$C$2,1+(('table for research'!$B712-456)*36+HEX2DEC('table for research'!V$1))*2,2)</f>
        <v>00</v>
      </c>
      <c r="W712" t="str">
        <f>MID('paste from garc here'!$C$2,1+(('table for research'!$B712-456)*36+HEX2DEC('table for research'!W$1))*2,2)</f>
        <v>00</v>
      </c>
      <c r="X712" t="str">
        <f>MID('paste from garc here'!$C$2,1+(('table for research'!$B712-456)*36+HEX2DEC('table for research'!X$1))*2,2)</f>
        <v>00</v>
      </c>
      <c r="Y712" t="str">
        <f>MID('paste from garc here'!$C$2,1+(('table for research'!$B712-456)*36+HEX2DEC('table for research'!Y$1))*2,2)</f>
        <v>00</v>
      </c>
      <c r="Z712" t="str">
        <f>MID('paste from garc here'!$C$2,1+(('table for research'!$B712-456)*36+HEX2DEC('table for research'!Z$1))*2,2)</f>
        <v>00</v>
      </c>
      <c r="AA712" t="str">
        <f>MID('paste from garc here'!$C$2,1+(('table for research'!$B712-456)*36+HEX2DEC('table for research'!AA$1))*2,2)</f>
        <v>00</v>
      </c>
      <c r="AB712" t="str">
        <f>MID('paste from garc here'!$C$2,1+(('table for research'!$B712-456)*36+HEX2DEC('table for research'!AB$1))*2,2)</f>
        <v>00</v>
      </c>
      <c r="AC712" t="str">
        <f>MID('paste from garc here'!$C$2,1+(('table for research'!$B712-456)*36+HEX2DEC('table for research'!AC$1))*2,2)</f>
        <v>00</v>
      </c>
      <c r="AD712" t="str">
        <f>MID('paste from garc here'!$C$2,1+(('table for research'!$B712-456)*36+HEX2DEC('table for research'!AD$1))*2,2)</f>
        <v>00</v>
      </c>
      <c r="AE712" t="str">
        <f>MID('paste from garc here'!$C$2,1+(('table for research'!$B712-456)*36+HEX2DEC('table for research'!AE$1))*2,2)</f>
        <v>00</v>
      </c>
      <c r="AF712" t="str">
        <f>MID('paste from garc here'!$C$2,1+(('table for research'!$B712-456)*36+HEX2DEC('table for research'!AF$1))*2,2)</f>
        <v>00</v>
      </c>
      <c r="AG712" t="str">
        <f>MID('paste from garc here'!$C$2,1+(('table for research'!$B712-456)*36+HEX2DEC('table for research'!AG$1))*2,2)</f>
        <v>00</v>
      </c>
      <c r="AH712" t="str">
        <f>MID('paste from garc here'!$C$2,1+(('table for research'!$B712-456)*36+HEX2DEC('table for research'!AH$1))*2,2)</f>
        <v>00</v>
      </c>
      <c r="AI712" t="str">
        <f>MID('paste from garc here'!$C$2,1+(('table for research'!$B712-456)*36+HEX2DEC('table for research'!AI$1))*2,2)</f>
        <v>00</v>
      </c>
      <c r="AJ712" t="str">
        <f>MID('paste from garc here'!$C$2,1+(('table for research'!$B712-456)*36+HEX2DEC('table for research'!AJ$1))*2,2)</f>
        <v>00</v>
      </c>
      <c r="AK712" t="str">
        <f>MID('paste from garc here'!$C$2,1+(('table for research'!$B712-456)*36+HEX2DEC('table for research'!AK$1))*2,2)</f>
        <v>00</v>
      </c>
      <c r="AL712" t="str">
        <f>MID('paste from garc here'!$C$2,1+(('table for research'!$B712-456)*36+HEX2DEC('table for research'!AL$1))*2,2)</f>
        <v>00</v>
      </c>
      <c r="AM712" t="str">
        <f>MID('paste from garc here'!$C$2,1+(('table for research'!$B712-456)*36+HEX2DEC('table for research'!AM$1))*2,2)</f>
        <v>00</v>
      </c>
      <c r="AN712" t="str">
        <f>MID('paste from garc here'!$C$2,1+(('table for research'!$B712-456)*36+HEX2DEC('table for research'!AN$1))*2,2)</f>
        <v>00</v>
      </c>
      <c r="AO712" t="str">
        <f>MID('paste from garc here'!$C$2,1+(('table for research'!$B712-456)*36+HEX2DEC('table for research'!AO$1))*2,2)</f>
        <v>00</v>
      </c>
    </row>
    <row r="713" spans="1:41" x14ac:dyDescent="0.4">
      <c r="A713" t="s">
        <v>712</v>
      </c>
      <c r="B713">
        <f>B712+1</f>
        <v>711</v>
      </c>
      <c r="C713" t="str">
        <f>MID('paste from garc here'!$C$2,1+(('table for research'!$B713-456)*36+HEX2DEC('table for research'!C$1))*2,2)</f>
        <v>BC</v>
      </c>
      <c r="D713" t="str">
        <f>MID('paste from garc here'!$C$2,1+(('table for research'!$B713-456)*36+HEX2DEC('table for research'!D$1))*2,2)</f>
        <v>02</v>
      </c>
      <c r="E713" t="str">
        <f>MID('paste from garc here'!$C$2,1+(('table for research'!$B713-456)*36+HEX2DEC('table for research'!E$1))*2,2)</f>
        <v>00</v>
      </c>
      <c r="F713" t="str">
        <f>MID('paste from garc here'!$C$2,1+(('table for research'!$B713-456)*36+HEX2DEC('table for research'!F$1))*2,2)</f>
        <v>00</v>
      </c>
      <c r="G713" t="str">
        <f>MID('paste from garc here'!$C$2,1+(('table for research'!$B713-456)*36+HEX2DEC('table for research'!G$1))*2,2)</f>
        <v>00</v>
      </c>
      <c r="H713" t="str">
        <f>MID('paste from garc here'!$C$2,1+(('table for research'!$B713-456)*36+HEX2DEC('table for research'!H$1))*2,2)</f>
        <v>00</v>
      </c>
      <c r="I713" t="str">
        <f>MID('paste from garc here'!$C$2,1+(('table for research'!$B713-456)*36+HEX2DEC('table for research'!I$1))*2,2)</f>
        <v>64</v>
      </c>
      <c r="J713" t="str">
        <f>MID('paste from garc here'!$C$2,1+(('table for research'!$B713-456)*36+HEX2DEC('table for research'!J$1))*2,2)</f>
        <v>00</v>
      </c>
      <c r="K713" t="str">
        <f>DEC2HEX(_xlfn.BITAND(HEX2DEC(MID('paste from garc here'!$C$1,1+(('table for research'!$B713-1)*36+HEX2DEC(8))*2,2)),31),2)</f>
        <v>00</v>
      </c>
      <c r="L713" t="str">
        <f>DEC2HEX(_xlfn.BITAND(HEX2DEC(MID('paste from garc here'!$C$1,1+(('table for research'!$B713-1)*36+HEX2DEC(8))*2,2)),32),2)</f>
        <v>00</v>
      </c>
      <c r="M713" t="str">
        <f>DEC2HEX(_xlfn.BITAND(HEX2DEC(MID('paste from garc here'!$C$1,1+(('table for research'!$B713-1)*36+HEX2DEC(8))*2,2)),64),2)</f>
        <v>00</v>
      </c>
      <c r="N713" t="str">
        <f>DEC2HEX(_xlfn.BITRSHIFT(_xlfn.BITAND(HEX2DEC(MID('paste from garc here'!$C$1,1+(('table for research'!$B713-1)*36+HEX2DEC(9))*2,2)&amp;MID('paste from garc here'!$C$1,1+(('table for research'!$B713-1)*36+HEX2DEC(8))*2,2)),1920),7),2)</f>
        <v>00</v>
      </c>
      <c r="O713" t="str">
        <f>DEC2HEX(_xlfn.BITRSHIFT(HEX2DEC(MID('paste from garc here'!$C$1,1+(('table for research'!$B713-1)*36+HEX2DEC(9))*2,2)&amp;MID('paste from garc here'!$C$1,1+(('table for research'!$B713-1)*36+HEX2DEC(8))*2,2)),11),2)</f>
        <v>00</v>
      </c>
      <c r="P713" t="str">
        <f>MID('paste from garc here'!$C$2,1+(('table for research'!$B713-456)*36+HEX2DEC('table for research'!P$1))*2,2)</f>
        <v>00</v>
      </c>
      <c r="Q713" t="str">
        <f>MID('paste from garc here'!$C$2,1+(('table for research'!$B713-456)*36+HEX2DEC('table for research'!Q$1))*2,2)</f>
        <v>00</v>
      </c>
      <c r="R713" t="str">
        <f>MID('paste from garc here'!$C$2,1+(('table for research'!$B713-456)*36+HEX2DEC('table for research'!R$1))*2,2)</f>
        <v>00</v>
      </c>
      <c r="S713" t="str">
        <f>MID('paste from garc here'!$C$2,1+(('table for research'!$B713-456)*36+HEX2DEC('table for research'!S$1))*2,2)</f>
        <v>02</v>
      </c>
      <c r="T713" t="str">
        <f>MID('paste from garc here'!$C$2,1+(('table for research'!$B713-456)*36+HEX2DEC('table for research'!T$1))*2,2)</f>
        <v>00</v>
      </c>
      <c r="U713" t="str">
        <f>MID('paste from garc here'!$C$2,1+(('table for research'!$B713-456)*36+HEX2DEC('table for research'!U$1))*2,2)</f>
        <v>A0</v>
      </c>
      <c r="V713" t="str">
        <f>MID('paste from garc here'!$C$2,1+(('table for research'!$B713-456)*36+HEX2DEC('table for research'!V$1))*2,2)</f>
        <v>00</v>
      </c>
      <c r="W713" t="str">
        <f>MID('paste from garc here'!$C$2,1+(('table for research'!$B713-456)*36+HEX2DEC('table for research'!W$1))*2,2)</f>
        <v>00</v>
      </c>
      <c r="X713" t="str">
        <f>MID('paste from garc here'!$C$2,1+(('table for research'!$B713-456)*36+HEX2DEC('table for research'!X$1))*2,2)</f>
        <v>00</v>
      </c>
      <c r="Y713" t="str">
        <f>MID('paste from garc here'!$C$2,1+(('table for research'!$B713-456)*36+HEX2DEC('table for research'!Y$1))*2,2)</f>
        <v>00</v>
      </c>
      <c r="Z713" t="str">
        <f>MID('paste from garc here'!$C$2,1+(('table for research'!$B713-456)*36+HEX2DEC('table for research'!Z$1))*2,2)</f>
        <v>00</v>
      </c>
      <c r="AA713" t="str">
        <f>MID('paste from garc here'!$C$2,1+(('table for research'!$B713-456)*36+HEX2DEC('table for research'!AA$1))*2,2)</f>
        <v>00</v>
      </c>
      <c r="AB713" t="str">
        <f>MID('paste from garc here'!$C$2,1+(('table for research'!$B713-456)*36+HEX2DEC('table for research'!AB$1))*2,2)</f>
        <v>00</v>
      </c>
      <c r="AC713" t="str">
        <f>MID('paste from garc here'!$C$2,1+(('table for research'!$B713-456)*36+HEX2DEC('table for research'!AC$1))*2,2)</f>
        <v>00</v>
      </c>
      <c r="AD713" t="str">
        <f>MID('paste from garc here'!$C$2,1+(('table for research'!$B713-456)*36+HEX2DEC('table for research'!AD$1))*2,2)</f>
        <v>00</v>
      </c>
      <c r="AE713" t="str">
        <f>MID('paste from garc here'!$C$2,1+(('table for research'!$B713-456)*36+HEX2DEC('table for research'!AE$1))*2,2)</f>
        <v>00</v>
      </c>
      <c r="AF713" t="str">
        <f>MID('paste from garc here'!$C$2,1+(('table for research'!$B713-456)*36+HEX2DEC('table for research'!AF$1))*2,2)</f>
        <v>00</v>
      </c>
      <c r="AG713" t="str">
        <f>MID('paste from garc here'!$C$2,1+(('table for research'!$B713-456)*36+HEX2DEC('table for research'!AG$1))*2,2)</f>
        <v>00</v>
      </c>
      <c r="AH713" t="str">
        <f>MID('paste from garc here'!$C$2,1+(('table for research'!$B713-456)*36+HEX2DEC('table for research'!AH$1))*2,2)</f>
        <v>00</v>
      </c>
      <c r="AI713" t="str">
        <f>MID('paste from garc here'!$C$2,1+(('table for research'!$B713-456)*36+HEX2DEC('table for research'!AI$1))*2,2)</f>
        <v>00</v>
      </c>
      <c r="AJ713" t="str">
        <f>MID('paste from garc here'!$C$2,1+(('table for research'!$B713-456)*36+HEX2DEC('table for research'!AJ$1))*2,2)</f>
        <v>00</v>
      </c>
      <c r="AK713" t="str">
        <f>MID('paste from garc here'!$C$2,1+(('table for research'!$B713-456)*36+HEX2DEC('table for research'!AK$1))*2,2)</f>
        <v>00</v>
      </c>
      <c r="AL713" t="str">
        <f>MID('paste from garc here'!$C$2,1+(('table for research'!$B713-456)*36+HEX2DEC('table for research'!AL$1))*2,2)</f>
        <v>00</v>
      </c>
      <c r="AM713" t="str">
        <f>MID('paste from garc here'!$C$2,1+(('table for research'!$B713-456)*36+HEX2DEC('table for research'!AM$1))*2,2)</f>
        <v>00</v>
      </c>
      <c r="AN713" t="str">
        <f>MID('paste from garc here'!$C$2,1+(('table for research'!$B713-456)*36+HEX2DEC('table for research'!AN$1))*2,2)</f>
        <v>00</v>
      </c>
      <c r="AO713" t="str">
        <f>MID('paste from garc here'!$C$2,1+(('table for research'!$B713-456)*36+HEX2DEC('table for research'!AO$1))*2,2)</f>
        <v>00</v>
      </c>
    </row>
    <row r="714" spans="1:41" x14ac:dyDescent="0.4">
      <c r="A714" t="s">
        <v>713</v>
      </c>
      <c r="B714">
        <f>B713+1</f>
        <v>712</v>
      </c>
      <c r="C714" t="str">
        <f>MID('paste from garc here'!$C$2,1+(('table for research'!$B714-456)*36+HEX2DEC('table for research'!C$1))*2,2)</f>
        <v>00</v>
      </c>
      <c r="D714" t="str">
        <f>MID('paste from garc here'!$C$2,1+(('table for research'!$B714-456)*36+HEX2DEC('table for research'!D$1))*2,2)</f>
        <v>00</v>
      </c>
      <c r="E714" t="str">
        <f>MID('paste from garc here'!$C$2,1+(('table for research'!$B714-456)*36+HEX2DEC('table for research'!E$1))*2,2)</f>
        <v>00</v>
      </c>
      <c r="F714" t="str">
        <f>MID('paste from garc here'!$C$2,1+(('table for research'!$B714-456)*36+HEX2DEC('table for research'!F$1))*2,2)</f>
        <v>00</v>
      </c>
      <c r="G714" t="str">
        <f>MID('paste from garc here'!$C$2,1+(('table for research'!$B714-456)*36+HEX2DEC('table for research'!G$1))*2,2)</f>
        <v>00</v>
      </c>
      <c r="H714" t="str">
        <f>MID('paste from garc here'!$C$2,1+(('table for research'!$B714-456)*36+HEX2DEC('table for research'!H$1))*2,2)</f>
        <v>00</v>
      </c>
      <c r="I714" t="str">
        <f>MID('paste from garc here'!$C$2,1+(('table for research'!$B714-456)*36+HEX2DEC('table for research'!I$1))*2,2)</f>
        <v>00</v>
      </c>
      <c r="J714" t="str">
        <f>MID('paste from garc here'!$C$2,1+(('table for research'!$B714-456)*36+HEX2DEC('table for research'!J$1))*2,2)</f>
        <v>00</v>
      </c>
      <c r="K714" t="str">
        <f>DEC2HEX(_xlfn.BITAND(HEX2DEC(MID('paste from garc here'!$C$1,1+(('table for research'!$B714-1)*36+HEX2DEC(8))*2,2)),31),2)</f>
        <v>00</v>
      </c>
      <c r="L714" t="str">
        <f>DEC2HEX(_xlfn.BITAND(HEX2DEC(MID('paste from garc here'!$C$1,1+(('table for research'!$B714-1)*36+HEX2DEC(8))*2,2)),32),2)</f>
        <v>00</v>
      </c>
      <c r="M714" t="str">
        <f>DEC2HEX(_xlfn.BITAND(HEX2DEC(MID('paste from garc here'!$C$1,1+(('table for research'!$B714-1)*36+HEX2DEC(8))*2,2)),64),2)</f>
        <v>00</v>
      </c>
      <c r="N714" t="str">
        <f>DEC2HEX(_xlfn.BITRSHIFT(_xlfn.BITAND(HEX2DEC(MID('paste from garc here'!$C$1,1+(('table for research'!$B714-1)*36+HEX2DEC(9))*2,2)&amp;MID('paste from garc here'!$C$1,1+(('table for research'!$B714-1)*36+HEX2DEC(8))*2,2)),1920),7),2)</f>
        <v>00</v>
      </c>
      <c r="O714" t="str">
        <f>DEC2HEX(_xlfn.BITRSHIFT(HEX2DEC(MID('paste from garc here'!$C$1,1+(('table for research'!$B714-1)*36+HEX2DEC(9))*2,2)&amp;MID('paste from garc here'!$C$1,1+(('table for research'!$B714-1)*36+HEX2DEC(8))*2,2)),11),2)</f>
        <v>00</v>
      </c>
      <c r="P714" t="str">
        <f>MID('paste from garc here'!$C$2,1+(('table for research'!$B714-456)*36+HEX2DEC('table for research'!P$1))*2,2)</f>
        <v>00</v>
      </c>
      <c r="Q714" t="str">
        <f>MID('paste from garc here'!$C$2,1+(('table for research'!$B714-456)*36+HEX2DEC('table for research'!Q$1))*2,2)</f>
        <v>00</v>
      </c>
      <c r="R714" t="str">
        <f>MID('paste from garc here'!$C$2,1+(('table for research'!$B714-456)*36+HEX2DEC('table for research'!R$1))*2,2)</f>
        <v>00</v>
      </c>
      <c r="S714" t="str">
        <f>MID('paste from garc here'!$C$2,1+(('table for research'!$B714-456)*36+HEX2DEC('table for research'!S$1))*2,2)</f>
        <v>08</v>
      </c>
      <c r="T714" t="str">
        <f>MID('paste from garc here'!$C$2,1+(('table for research'!$B714-456)*36+HEX2DEC('table for research'!T$1))*2,2)</f>
        <v>00</v>
      </c>
      <c r="U714" t="str">
        <f>MID('paste from garc here'!$C$2,1+(('table for research'!$B714-456)*36+HEX2DEC('table for research'!U$1))*2,2)</f>
        <v>FF</v>
      </c>
      <c r="V714" t="str">
        <f>MID('paste from garc here'!$C$2,1+(('table for research'!$B714-456)*36+HEX2DEC('table for research'!V$1))*2,2)</f>
        <v>00</v>
      </c>
      <c r="W714" t="str">
        <f>MID('paste from garc here'!$C$2,1+(('table for research'!$B714-456)*36+HEX2DEC('table for research'!W$1))*2,2)</f>
        <v>00</v>
      </c>
      <c r="X714" t="str">
        <f>MID('paste from garc here'!$C$2,1+(('table for research'!$B714-456)*36+HEX2DEC('table for research'!X$1))*2,2)</f>
        <v>00</v>
      </c>
      <c r="Y714" t="str">
        <f>MID('paste from garc here'!$C$2,1+(('table for research'!$B714-456)*36+HEX2DEC('table for research'!Y$1))*2,2)</f>
        <v>00</v>
      </c>
      <c r="Z714" t="str">
        <f>MID('paste from garc here'!$C$2,1+(('table for research'!$B714-456)*36+HEX2DEC('table for research'!Z$1))*2,2)</f>
        <v>00</v>
      </c>
      <c r="AA714" t="str">
        <f>MID('paste from garc here'!$C$2,1+(('table for research'!$B714-456)*36+HEX2DEC('table for research'!AA$1))*2,2)</f>
        <v>00</v>
      </c>
      <c r="AB714" t="str">
        <f>MID('paste from garc here'!$C$2,1+(('table for research'!$B714-456)*36+HEX2DEC('table for research'!AB$1))*2,2)</f>
        <v>00</v>
      </c>
      <c r="AC714" t="str">
        <f>MID('paste from garc here'!$C$2,1+(('table for research'!$B714-456)*36+HEX2DEC('table for research'!AC$1))*2,2)</f>
        <v>00</v>
      </c>
      <c r="AD714" t="str">
        <f>MID('paste from garc here'!$C$2,1+(('table for research'!$B714-456)*36+HEX2DEC('table for research'!AD$1))*2,2)</f>
        <v>00</v>
      </c>
      <c r="AE714" t="str">
        <f>MID('paste from garc here'!$C$2,1+(('table for research'!$B714-456)*36+HEX2DEC('table for research'!AE$1))*2,2)</f>
        <v>00</v>
      </c>
      <c r="AF714" t="str">
        <f>MID('paste from garc here'!$C$2,1+(('table for research'!$B714-456)*36+HEX2DEC('table for research'!AF$1))*2,2)</f>
        <v>00</v>
      </c>
      <c r="AG714" t="str">
        <f>MID('paste from garc here'!$C$2,1+(('table for research'!$B714-456)*36+HEX2DEC('table for research'!AG$1))*2,2)</f>
        <v>00</v>
      </c>
      <c r="AH714" t="str">
        <f>MID('paste from garc here'!$C$2,1+(('table for research'!$B714-456)*36+HEX2DEC('table for research'!AH$1))*2,2)</f>
        <v>00</v>
      </c>
      <c r="AI714" t="str">
        <f>MID('paste from garc here'!$C$2,1+(('table for research'!$B714-456)*36+HEX2DEC('table for research'!AI$1))*2,2)</f>
        <v>00</v>
      </c>
      <c r="AJ714" t="str">
        <f>MID('paste from garc here'!$C$2,1+(('table for research'!$B714-456)*36+HEX2DEC('table for research'!AJ$1))*2,2)</f>
        <v>00</v>
      </c>
      <c r="AK714" t="str">
        <f>MID('paste from garc here'!$C$2,1+(('table for research'!$B714-456)*36+HEX2DEC('table for research'!AK$1))*2,2)</f>
        <v>00</v>
      </c>
      <c r="AL714" t="str">
        <f>MID('paste from garc here'!$C$2,1+(('table for research'!$B714-456)*36+HEX2DEC('table for research'!AL$1))*2,2)</f>
        <v>00</v>
      </c>
      <c r="AM714" t="str">
        <f>MID('paste from garc here'!$C$2,1+(('table for research'!$B714-456)*36+HEX2DEC('table for research'!AM$1))*2,2)</f>
        <v>00</v>
      </c>
      <c r="AN714" t="str">
        <f>MID('paste from garc here'!$C$2,1+(('table for research'!$B714-456)*36+HEX2DEC('table for research'!AN$1))*2,2)</f>
        <v>00</v>
      </c>
      <c r="AO714" t="str">
        <f>MID('paste from garc here'!$C$2,1+(('table for research'!$B714-456)*36+HEX2DEC('table for research'!AO$1))*2,2)</f>
        <v>00</v>
      </c>
    </row>
    <row r="715" spans="1:41" x14ac:dyDescent="0.4">
      <c r="A715" t="s">
        <v>454</v>
      </c>
      <c r="B715">
        <f>B714+1</f>
        <v>713</v>
      </c>
      <c r="C715" t="str">
        <f>MID('paste from garc here'!$C$2,1+(('table for research'!$B715-456)*36+HEX2DEC('table for research'!C$1))*2,2)</f>
        <v>00</v>
      </c>
      <c r="D715" t="str">
        <f>MID('paste from garc here'!$C$2,1+(('table for research'!$B715-456)*36+HEX2DEC('table for research'!D$1))*2,2)</f>
        <v>00</v>
      </c>
      <c r="E715" t="str">
        <f>MID('paste from garc here'!$C$2,1+(('table for research'!$B715-456)*36+HEX2DEC('table for research'!E$1))*2,2)</f>
        <v>00</v>
      </c>
      <c r="F715" t="str">
        <f>MID('paste from garc here'!$C$2,1+(('table for research'!$B715-456)*36+HEX2DEC('table for research'!F$1))*2,2)</f>
        <v>00</v>
      </c>
      <c r="G715" t="str">
        <f>MID('paste from garc here'!$C$2,1+(('table for research'!$B715-456)*36+HEX2DEC('table for research'!G$1))*2,2)</f>
        <v>00</v>
      </c>
      <c r="H715" t="str">
        <f>MID('paste from garc here'!$C$2,1+(('table for research'!$B715-456)*36+HEX2DEC('table for research'!H$1))*2,2)</f>
        <v>00</v>
      </c>
      <c r="I715" t="str">
        <f>MID('paste from garc here'!$C$2,1+(('table for research'!$B715-456)*36+HEX2DEC('table for research'!I$1))*2,2)</f>
        <v>00</v>
      </c>
      <c r="J715" t="str">
        <f>MID('paste from garc here'!$C$2,1+(('table for research'!$B715-456)*36+HEX2DEC('table for research'!J$1))*2,2)</f>
        <v>00</v>
      </c>
      <c r="K715" t="str">
        <f>DEC2HEX(_xlfn.BITAND(HEX2DEC(MID('paste from garc here'!$C$1,1+(('table for research'!$B715-1)*36+HEX2DEC(8))*2,2)),31),2)</f>
        <v>00</v>
      </c>
      <c r="L715" t="str">
        <f>DEC2HEX(_xlfn.BITAND(HEX2DEC(MID('paste from garc here'!$C$1,1+(('table for research'!$B715-1)*36+HEX2DEC(8))*2,2)),32),2)</f>
        <v>00</v>
      </c>
      <c r="M715" t="str">
        <f>DEC2HEX(_xlfn.BITAND(HEX2DEC(MID('paste from garc here'!$C$1,1+(('table for research'!$B715-1)*36+HEX2DEC(8))*2,2)),64),2)</f>
        <v>00</v>
      </c>
      <c r="N715" t="str">
        <f>DEC2HEX(_xlfn.BITRSHIFT(_xlfn.BITAND(HEX2DEC(MID('paste from garc here'!$C$1,1+(('table for research'!$B715-1)*36+HEX2DEC(9))*2,2)&amp;MID('paste from garc here'!$C$1,1+(('table for research'!$B715-1)*36+HEX2DEC(8))*2,2)),1920),7),2)</f>
        <v>00</v>
      </c>
      <c r="O715" t="str">
        <f>DEC2HEX(_xlfn.BITRSHIFT(HEX2DEC(MID('paste from garc here'!$C$1,1+(('table for research'!$B715-1)*36+HEX2DEC(9))*2,2)&amp;MID('paste from garc here'!$C$1,1+(('table for research'!$B715-1)*36+HEX2DEC(8))*2,2)),11),2)</f>
        <v>00</v>
      </c>
      <c r="P715" t="str">
        <f>MID('paste from garc here'!$C$2,1+(('table for research'!$B715-456)*36+HEX2DEC('table for research'!P$1))*2,2)</f>
        <v>00</v>
      </c>
      <c r="Q715" t="str">
        <f>MID('paste from garc here'!$C$2,1+(('table for research'!$B715-456)*36+HEX2DEC('table for research'!Q$1))*2,2)</f>
        <v>00</v>
      </c>
      <c r="R715" t="str">
        <f>MID('paste from garc here'!$C$2,1+(('table for research'!$B715-456)*36+HEX2DEC('table for research'!R$1))*2,2)</f>
        <v>00</v>
      </c>
      <c r="S715" t="str">
        <f>MID('paste from garc here'!$C$2,1+(('table for research'!$B715-456)*36+HEX2DEC('table for research'!S$1))*2,2)</f>
        <v>08</v>
      </c>
      <c r="T715" t="str">
        <f>MID('paste from garc here'!$C$2,1+(('table for research'!$B715-456)*36+HEX2DEC('table for research'!T$1))*2,2)</f>
        <v>00</v>
      </c>
      <c r="U715" t="str">
        <f>MID('paste from garc here'!$C$2,1+(('table for research'!$B715-456)*36+HEX2DEC('table for research'!U$1))*2,2)</f>
        <v>FF</v>
      </c>
      <c r="V715" t="str">
        <f>MID('paste from garc here'!$C$2,1+(('table for research'!$B715-456)*36+HEX2DEC('table for research'!V$1))*2,2)</f>
        <v>00</v>
      </c>
      <c r="W715" t="str">
        <f>MID('paste from garc here'!$C$2,1+(('table for research'!$B715-456)*36+HEX2DEC('table for research'!W$1))*2,2)</f>
        <v>00</v>
      </c>
      <c r="X715" t="str">
        <f>MID('paste from garc here'!$C$2,1+(('table for research'!$B715-456)*36+HEX2DEC('table for research'!X$1))*2,2)</f>
        <v>00</v>
      </c>
      <c r="Y715" t="str">
        <f>MID('paste from garc here'!$C$2,1+(('table for research'!$B715-456)*36+HEX2DEC('table for research'!Y$1))*2,2)</f>
        <v>00</v>
      </c>
      <c r="Z715" t="str">
        <f>MID('paste from garc here'!$C$2,1+(('table for research'!$B715-456)*36+HEX2DEC('table for research'!Z$1))*2,2)</f>
        <v>00</v>
      </c>
      <c r="AA715" t="str">
        <f>MID('paste from garc here'!$C$2,1+(('table for research'!$B715-456)*36+HEX2DEC('table for research'!AA$1))*2,2)</f>
        <v>00</v>
      </c>
      <c r="AB715" t="str">
        <f>MID('paste from garc here'!$C$2,1+(('table for research'!$B715-456)*36+HEX2DEC('table for research'!AB$1))*2,2)</f>
        <v>00</v>
      </c>
      <c r="AC715" t="str">
        <f>MID('paste from garc here'!$C$2,1+(('table for research'!$B715-456)*36+HEX2DEC('table for research'!AC$1))*2,2)</f>
        <v>00</v>
      </c>
      <c r="AD715" t="str">
        <f>MID('paste from garc here'!$C$2,1+(('table for research'!$B715-456)*36+HEX2DEC('table for research'!AD$1))*2,2)</f>
        <v>00</v>
      </c>
      <c r="AE715" t="str">
        <f>MID('paste from garc here'!$C$2,1+(('table for research'!$B715-456)*36+HEX2DEC('table for research'!AE$1))*2,2)</f>
        <v>00</v>
      </c>
      <c r="AF715" t="str">
        <f>MID('paste from garc here'!$C$2,1+(('table for research'!$B715-456)*36+HEX2DEC('table for research'!AF$1))*2,2)</f>
        <v>00</v>
      </c>
      <c r="AG715" t="str">
        <f>MID('paste from garc here'!$C$2,1+(('table for research'!$B715-456)*36+HEX2DEC('table for research'!AG$1))*2,2)</f>
        <v>00</v>
      </c>
      <c r="AH715" t="str">
        <f>MID('paste from garc here'!$C$2,1+(('table for research'!$B715-456)*36+HEX2DEC('table for research'!AH$1))*2,2)</f>
        <v>00</v>
      </c>
      <c r="AI715" t="str">
        <f>MID('paste from garc here'!$C$2,1+(('table for research'!$B715-456)*36+HEX2DEC('table for research'!AI$1))*2,2)</f>
        <v>00</v>
      </c>
      <c r="AJ715" t="str">
        <f>MID('paste from garc here'!$C$2,1+(('table for research'!$B715-456)*36+HEX2DEC('table for research'!AJ$1))*2,2)</f>
        <v>00</v>
      </c>
      <c r="AK715" t="str">
        <f>MID('paste from garc here'!$C$2,1+(('table for research'!$B715-456)*36+HEX2DEC('table for research'!AK$1))*2,2)</f>
        <v>00</v>
      </c>
      <c r="AL715" t="str">
        <f>MID('paste from garc here'!$C$2,1+(('table for research'!$B715-456)*36+HEX2DEC('table for research'!AL$1))*2,2)</f>
        <v>00</v>
      </c>
      <c r="AM715" t="str">
        <f>MID('paste from garc here'!$C$2,1+(('table for research'!$B715-456)*36+HEX2DEC('table for research'!AM$1))*2,2)</f>
        <v>00</v>
      </c>
      <c r="AN715" t="str">
        <f>MID('paste from garc here'!$C$2,1+(('table for research'!$B715-456)*36+HEX2DEC('table for research'!AN$1))*2,2)</f>
        <v>00</v>
      </c>
      <c r="AO715" t="str">
        <f>MID('paste from garc here'!$C$2,1+(('table for research'!$B715-456)*36+HEX2DEC('table for research'!AO$1))*2,2)</f>
        <v>00</v>
      </c>
    </row>
    <row r="716" spans="1:41" x14ac:dyDescent="0.4">
      <c r="A716" t="s">
        <v>642</v>
      </c>
      <c r="B716">
        <f>B715+1</f>
        <v>714</v>
      </c>
      <c r="C716" t="str">
        <f>MID('paste from garc here'!$C$2,1+(('table for research'!$B716-456)*36+HEX2DEC('table for research'!C$1))*2,2)</f>
        <v>00</v>
      </c>
      <c r="D716" t="str">
        <f>MID('paste from garc here'!$C$2,1+(('table for research'!$B716-456)*36+HEX2DEC('table for research'!D$1))*2,2)</f>
        <v>00</v>
      </c>
      <c r="E716" t="str">
        <f>MID('paste from garc here'!$C$2,1+(('table for research'!$B716-456)*36+HEX2DEC('table for research'!E$1))*2,2)</f>
        <v>00</v>
      </c>
      <c r="F716" t="str">
        <f>MID('paste from garc here'!$C$2,1+(('table for research'!$B716-456)*36+HEX2DEC('table for research'!F$1))*2,2)</f>
        <v>00</v>
      </c>
      <c r="G716" t="str">
        <f>MID('paste from garc here'!$C$2,1+(('table for research'!$B716-456)*36+HEX2DEC('table for research'!G$1))*2,2)</f>
        <v>00</v>
      </c>
      <c r="H716" t="str">
        <f>MID('paste from garc here'!$C$2,1+(('table for research'!$B716-456)*36+HEX2DEC('table for research'!H$1))*2,2)</f>
        <v>00</v>
      </c>
      <c r="I716" t="str">
        <f>MID('paste from garc here'!$C$2,1+(('table for research'!$B716-456)*36+HEX2DEC('table for research'!I$1))*2,2)</f>
        <v>00</v>
      </c>
      <c r="J716" t="str">
        <f>MID('paste from garc here'!$C$2,1+(('table for research'!$B716-456)*36+HEX2DEC('table for research'!J$1))*2,2)</f>
        <v>00</v>
      </c>
      <c r="K716" t="str">
        <f>DEC2HEX(_xlfn.BITAND(HEX2DEC(MID('paste from garc here'!$C$1,1+(('table for research'!$B716-1)*36+HEX2DEC(8))*2,2)),31),2)</f>
        <v>00</v>
      </c>
      <c r="L716" t="str">
        <f>DEC2HEX(_xlfn.BITAND(HEX2DEC(MID('paste from garc here'!$C$1,1+(('table for research'!$B716-1)*36+HEX2DEC(8))*2,2)),32),2)</f>
        <v>00</v>
      </c>
      <c r="M716" t="str">
        <f>DEC2HEX(_xlfn.BITAND(HEX2DEC(MID('paste from garc here'!$C$1,1+(('table for research'!$B716-1)*36+HEX2DEC(8))*2,2)),64),2)</f>
        <v>00</v>
      </c>
      <c r="N716" t="str">
        <f>DEC2HEX(_xlfn.BITRSHIFT(_xlfn.BITAND(HEX2DEC(MID('paste from garc here'!$C$1,1+(('table for research'!$B716-1)*36+HEX2DEC(9))*2,2)&amp;MID('paste from garc here'!$C$1,1+(('table for research'!$B716-1)*36+HEX2DEC(8))*2,2)),1920),7),2)</f>
        <v>00</v>
      </c>
      <c r="O716" t="str">
        <f>DEC2HEX(_xlfn.BITRSHIFT(HEX2DEC(MID('paste from garc here'!$C$1,1+(('table for research'!$B716-1)*36+HEX2DEC(9))*2,2)&amp;MID('paste from garc here'!$C$1,1+(('table for research'!$B716-1)*36+HEX2DEC(8))*2,2)),11),2)</f>
        <v>00</v>
      </c>
      <c r="P716" t="str">
        <f>MID('paste from garc here'!$C$2,1+(('table for research'!$B716-456)*36+HEX2DEC('table for research'!P$1))*2,2)</f>
        <v>00</v>
      </c>
      <c r="Q716" t="str">
        <f>MID('paste from garc here'!$C$2,1+(('table for research'!$B716-456)*36+HEX2DEC('table for research'!Q$1))*2,2)</f>
        <v>00</v>
      </c>
      <c r="R716" t="str">
        <f>MID('paste from garc here'!$C$2,1+(('table for research'!$B716-456)*36+HEX2DEC('table for research'!R$1))*2,2)</f>
        <v>00</v>
      </c>
      <c r="S716" t="str">
        <f>MID('paste from garc here'!$C$2,1+(('table for research'!$B716-456)*36+HEX2DEC('table for research'!S$1))*2,2)</f>
        <v>08</v>
      </c>
      <c r="T716" t="str">
        <f>MID('paste from garc here'!$C$2,1+(('table for research'!$B716-456)*36+HEX2DEC('table for research'!T$1))*2,2)</f>
        <v>00</v>
      </c>
      <c r="U716" t="str">
        <f>MID('paste from garc here'!$C$2,1+(('table for research'!$B716-456)*36+HEX2DEC('table for research'!U$1))*2,2)</f>
        <v>FF</v>
      </c>
      <c r="V716" t="str">
        <f>MID('paste from garc here'!$C$2,1+(('table for research'!$B716-456)*36+HEX2DEC('table for research'!V$1))*2,2)</f>
        <v>00</v>
      </c>
      <c r="W716" t="str">
        <f>MID('paste from garc here'!$C$2,1+(('table for research'!$B716-456)*36+HEX2DEC('table for research'!W$1))*2,2)</f>
        <v>00</v>
      </c>
      <c r="X716" t="str">
        <f>MID('paste from garc here'!$C$2,1+(('table for research'!$B716-456)*36+HEX2DEC('table for research'!X$1))*2,2)</f>
        <v>00</v>
      </c>
      <c r="Y716" t="str">
        <f>MID('paste from garc here'!$C$2,1+(('table for research'!$B716-456)*36+HEX2DEC('table for research'!Y$1))*2,2)</f>
        <v>00</v>
      </c>
      <c r="Z716" t="str">
        <f>MID('paste from garc here'!$C$2,1+(('table for research'!$B716-456)*36+HEX2DEC('table for research'!Z$1))*2,2)</f>
        <v>00</v>
      </c>
      <c r="AA716" t="str">
        <f>MID('paste from garc here'!$C$2,1+(('table for research'!$B716-456)*36+HEX2DEC('table for research'!AA$1))*2,2)</f>
        <v>00</v>
      </c>
      <c r="AB716" t="str">
        <f>MID('paste from garc here'!$C$2,1+(('table for research'!$B716-456)*36+HEX2DEC('table for research'!AB$1))*2,2)</f>
        <v>00</v>
      </c>
      <c r="AC716" t="str">
        <f>MID('paste from garc here'!$C$2,1+(('table for research'!$B716-456)*36+HEX2DEC('table for research'!AC$1))*2,2)</f>
        <v>00</v>
      </c>
      <c r="AD716" t="str">
        <f>MID('paste from garc here'!$C$2,1+(('table for research'!$B716-456)*36+HEX2DEC('table for research'!AD$1))*2,2)</f>
        <v>00</v>
      </c>
      <c r="AE716" t="str">
        <f>MID('paste from garc here'!$C$2,1+(('table for research'!$B716-456)*36+HEX2DEC('table for research'!AE$1))*2,2)</f>
        <v>00</v>
      </c>
      <c r="AF716" t="str">
        <f>MID('paste from garc here'!$C$2,1+(('table for research'!$B716-456)*36+HEX2DEC('table for research'!AF$1))*2,2)</f>
        <v>00</v>
      </c>
      <c r="AG716" t="str">
        <f>MID('paste from garc here'!$C$2,1+(('table for research'!$B716-456)*36+HEX2DEC('table for research'!AG$1))*2,2)</f>
        <v>00</v>
      </c>
      <c r="AH716" t="str">
        <f>MID('paste from garc here'!$C$2,1+(('table for research'!$B716-456)*36+HEX2DEC('table for research'!AH$1))*2,2)</f>
        <v>00</v>
      </c>
      <c r="AI716" t="str">
        <f>MID('paste from garc here'!$C$2,1+(('table for research'!$B716-456)*36+HEX2DEC('table for research'!AI$1))*2,2)</f>
        <v>00</v>
      </c>
      <c r="AJ716" t="str">
        <f>MID('paste from garc here'!$C$2,1+(('table for research'!$B716-456)*36+HEX2DEC('table for research'!AJ$1))*2,2)</f>
        <v>00</v>
      </c>
      <c r="AK716" t="str">
        <f>MID('paste from garc here'!$C$2,1+(('table for research'!$B716-456)*36+HEX2DEC('table for research'!AK$1))*2,2)</f>
        <v>00</v>
      </c>
      <c r="AL716" t="str">
        <f>MID('paste from garc here'!$C$2,1+(('table for research'!$B716-456)*36+HEX2DEC('table for research'!AL$1))*2,2)</f>
        <v>00</v>
      </c>
      <c r="AM716" t="str">
        <f>MID('paste from garc here'!$C$2,1+(('table for research'!$B716-456)*36+HEX2DEC('table for research'!AM$1))*2,2)</f>
        <v>00</v>
      </c>
      <c r="AN716" t="str">
        <f>MID('paste from garc here'!$C$2,1+(('table for research'!$B716-456)*36+HEX2DEC('table for research'!AN$1))*2,2)</f>
        <v>00</v>
      </c>
      <c r="AO716" t="str">
        <f>MID('paste from garc here'!$C$2,1+(('table for research'!$B716-456)*36+HEX2DEC('table for research'!AO$1))*2,2)</f>
        <v>00</v>
      </c>
    </row>
    <row r="717" spans="1:41" x14ac:dyDescent="0.4">
      <c r="A717" t="s">
        <v>714</v>
      </c>
      <c r="B717">
        <f>B716+1</f>
        <v>715</v>
      </c>
      <c r="C717" t="str">
        <f>MID('paste from garc here'!$C$2,1+(('table for research'!$B717-456)*36+HEX2DEC('table for research'!C$1))*2,2)</f>
        <v>14</v>
      </c>
      <c r="D717" t="str">
        <f>MID('paste from garc here'!$C$2,1+(('table for research'!$B717-456)*36+HEX2DEC('table for research'!D$1))*2,2)</f>
        <v>00</v>
      </c>
      <c r="E717" t="str">
        <f>MID('paste from garc here'!$C$2,1+(('table for research'!$B717-456)*36+HEX2DEC('table for research'!E$1))*2,2)</f>
        <v>B6</v>
      </c>
      <c r="F717" t="str">
        <f>MID('paste from garc here'!$C$2,1+(('table for research'!$B717-456)*36+HEX2DEC('table for research'!F$1))*2,2)</f>
        <v>00</v>
      </c>
      <c r="G717" t="str">
        <f>MID('paste from garc here'!$C$2,1+(('table for research'!$B717-456)*36+HEX2DEC('table for research'!G$1))*2,2)</f>
        <v>00</v>
      </c>
      <c r="H717" t="str">
        <f>MID('paste from garc here'!$C$2,1+(('table for research'!$B717-456)*36+HEX2DEC('table for research'!H$1))*2,2)</f>
        <v>00</v>
      </c>
      <c r="I717" t="str">
        <f>MID('paste from garc here'!$C$2,1+(('table for research'!$B717-456)*36+HEX2DEC('table for research'!I$1))*2,2)</f>
        <v>00</v>
      </c>
      <c r="J717" t="str">
        <f>MID('paste from garc here'!$C$2,1+(('table for research'!$B717-456)*36+HEX2DEC('table for research'!J$1))*2,2)</f>
        <v>00</v>
      </c>
      <c r="K717" t="str">
        <f>DEC2HEX(_xlfn.BITAND(HEX2DEC(MID('paste from garc here'!$C$1,1+(('table for research'!$B717-1)*36+HEX2DEC(8))*2,2)),31),2)</f>
        <v>00</v>
      </c>
      <c r="L717" t="str">
        <f>DEC2HEX(_xlfn.BITAND(HEX2DEC(MID('paste from garc here'!$C$1,1+(('table for research'!$B717-1)*36+HEX2DEC(8))*2,2)),32),2)</f>
        <v>00</v>
      </c>
      <c r="M717" t="str">
        <f>DEC2HEX(_xlfn.BITAND(HEX2DEC(MID('paste from garc here'!$C$1,1+(('table for research'!$B717-1)*36+HEX2DEC(8))*2,2)),64),2)</f>
        <v>00</v>
      </c>
      <c r="N717" t="str">
        <f>DEC2HEX(_xlfn.BITRSHIFT(_xlfn.BITAND(HEX2DEC(MID('paste from garc here'!$C$1,1+(('table for research'!$B717-1)*36+HEX2DEC(9))*2,2)&amp;MID('paste from garc here'!$C$1,1+(('table for research'!$B717-1)*36+HEX2DEC(8))*2,2)),1920),7),2)</f>
        <v>00</v>
      </c>
      <c r="O717" t="str">
        <f>DEC2HEX(_xlfn.BITRSHIFT(HEX2DEC(MID('paste from garc here'!$C$1,1+(('table for research'!$B717-1)*36+HEX2DEC(9))*2,2)&amp;MID('paste from garc here'!$C$1,1+(('table for research'!$B717-1)*36+HEX2DEC(8))*2,2)),11),2)</f>
        <v>00</v>
      </c>
      <c r="P717" t="str">
        <f>MID('paste from garc here'!$C$2,1+(('table for research'!$B717-456)*36+HEX2DEC('table for research'!P$1))*2,2)</f>
        <v>00</v>
      </c>
      <c r="Q717" t="str">
        <f>MID('paste from garc here'!$C$2,1+(('table for research'!$B717-456)*36+HEX2DEC('table for research'!Q$1))*2,2)</f>
        <v>00</v>
      </c>
      <c r="R717" t="str">
        <f>MID('paste from garc here'!$C$2,1+(('table for research'!$B717-456)*36+HEX2DEC('table for research'!R$1))*2,2)</f>
        <v>00</v>
      </c>
      <c r="S717" t="str">
        <f>MID('paste from garc here'!$C$2,1+(('table for research'!$B717-456)*36+HEX2DEC('table for research'!S$1))*2,2)</f>
        <v>01</v>
      </c>
      <c r="T717" t="str">
        <f>MID('paste from garc here'!$C$2,1+(('table for research'!$B717-456)*36+HEX2DEC('table for research'!T$1))*2,2)</f>
        <v>01</v>
      </c>
      <c r="U717" t="str">
        <f>MID('paste from garc here'!$C$2,1+(('table for research'!$B717-456)*36+HEX2DEC('table for research'!U$1))*2,2)</f>
        <v>93</v>
      </c>
      <c r="V717" t="str">
        <f>MID('paste from garc here'!$C$2,1+(('table for research'!$B717-456)*36+HEX2DEC('table for research'!V$1))*2,2)</f>
        <v>00</v>
      </c>
      <c r="W717" t="str">
        <f>MID('paste from garc here'!$C$2,1+(('table for research'!$B717-456)*36+HEX2DEC('table for research'!W$1))*2,2)</f>
        <v>00</v>
      </c>
      <c r="X717" t="str">
        <f>MID('paste from garc here'!$C$2,1+(('table for research'!$B717-456)*36+HEX2DEC('table for research'!X$1))*2,2)</f>
        <v>00</v>
      </c>
      <c r="Y717" t="str">
        <f>MID('paste from garc here'!$C$2,1+(('table for research'!$B717-456)*36+HEX2DEC('table for research'!Y$1))*2,2)</f>
        <v>00</v>
      </c>
      <c r="Z717" t="str">
        <f>MID('paste from garc here'!$C$2,1+(('table for research'!$B717-456)*36+HEX2DEC('table for research'!Z$1))*2,2)</f>
        <v>00</v>
      </c>
      <c r="AA717" t="str">
        <f>MID('paste from garc here'!$C$2,1+(('table for research'!$B717-456)*36+HEX2DEC('table for research'!AA$1))*2,2)</f>
        <v>00</v>
      </c>
      <c r="AB717" t="str">
        <f>MID('paste from garc here'!$C$2,1+(('table for research'!$B717-456)*36+HEX2DEC('table for research'!AB$1))*2,2)</f>
        <v>00</v>
      </c>
      <c r="AC717" t="str">
        <f>MID('paste from garc here'!$C$2,1+(('table for research'!$B717-456)*36+HEX2DEC('table for research'!AC$1))*2,2)</f>
        <v>00</v>
      </c>
      <c r="AD717" t="str">
        <f>MID('paste from garc here'!$C$2,1+(('table for research'!$B717-456)*36+HEX2DEC('table for research'!AD$1))*2,2)</f>
        <v>00</v>
      </c>
      <c r="AE717" t="str">
        <f>MID('paste from garc here'!$C$2,1+(('table for research'!$B717-456)*36+HEX2DEC('table for research'!AE$1))*2,2)</f>
        <v>00</v>
      </c>
      <c r="AF717" t="str">
        <f>MID('paste from garc here'!$C$2,1+(('table for research'!$B717-456)*36+HEX2DEC('table for research'!AF$1))*2,2)</f>
        <v>00</v>
      </c>
      <c r="AG717" t="str">
        <f>MID('paste from garc here'!$C$2,1+(('table for research'!$B717-456)*36+HEX2DEC('table for research'!AG$1))*2,2)</f>
        <v>00</v>
      </c>
      <c r="AH717" t="str">
        <f>MID('paste from garc here'!$C$2,1+(('table for research'!$B717-456)*36+HEX2DEC('table for research'!AH$1))*2,2)</f>
        <v>00</v>
      </c>
      <c r="AI717" t="str">
        <f>MID('paste from garc here'!$C$2,1+(('table for research'!$B717-456)*36+HEX2DEC('table for research'!AI$1))*2,2)</f>
        <v>00</v>
      </c>
      <c r="AJ717" t="str">
        <f>MID('paste from garc here'!$C$2,1+(('table for research'!$B717-456)*36+HEX2DEC('table for research'!AJ$1))*2,2)</f>
        <v>00</v>
      </c>
      <c r="AK717" t="str">
        <f>MID('paste from garc here'!$C$2,1+(('table for research'!$B717-456)*36+HEX2DEC('table for research'!AK$1))*2,2)</f>
        <v>00</v>
      </c>
      <c r="AL717" t="str">
        <f>MID('paste from garc here'!$C$2,1+(('table for research'!$B717-456)*36+HEX2DEC('table for research'!AL$1))*2,2)</f>
        <v>00</v>
      </c>
      <c r="AM717" t="str">
        <f>MID('paste from garc here'!$C$2,1+(('table for research'!$B717-456)*36+HEX2DEC('table for research'!AM$1))*2,2)</f>
        <v>00</v>
      </c>
      <c r="AN717" t="str">
        <f>MID('paste from garc here'!$C$2,1+(('table for research'!$B717-456)*36+HEX2DEC('table for research'!AN$1))*2,2)</f>
        <v>00</v>
      </c>
      <c r="AO717" t="str">
        <f>MID('paste from garc here'!$C$2,1+(('table for research'!$B717-456)*36+HEX2DEC('table for research'!AO$1))*2,2)</f>
        <v>00</v>
      </c>
    </row>
    <row r="718" spans="1:41" x14ac:dyDescent="0.4">
      <c r="A718" t="s">
        <v>715</v>
      </c>
      <c r="B718">
        <f>B717+1</f>
        <v>716</v>
      </c>
      <c r="C718" t="str">
        <f>MID('paste from garc here'!$C$2,1+(('table for research'!$B718-456)*36+HEX2DEC('table for research'!C$1))*2,2)</f>
        <v>00</v>
      </c>
      <c r="D718" t="str">
        <f>MID('paste from garc here'!$C$2,1+(('table for research'!$B718-456)*36+HEX2DEC('table for research'!D$1))*2,2)</f>
        <v>00</v>
      </c>
      <c r="E718" t="str">
        <f>MID('paste from garc here'!$C$2,1+(('table for research'!$B718-456)*36+HEX2DEC('table for research'!E$1))*2,2)</f>
        <v>00</v>
      </c>
      <c r="F718" t="str">
        <f>MID('paste from garc here'!$C$2,1+(('table for research'!$B718-456)*36+HEX2DEC('table for research'!F$1))*2,2)</f>
        <v>00</v>
      </c>
      <c r="G718" t="str">
        <f>MID('paste from garc here'!$C$2,1+(('table for research'!$B718-456)*36+HEX2DEC('table for research'!G$1))*2,2)</f>
        <v>00</v>
      </c>
      <c r="H718" t="str">
        <f>MID('paste from garc here'!$C$2,1+(('table for research'!$B718-456)*36+HEX2DEC('table for research'!H$1))*2,2)</f>
        <v>00</v>
      </c>
      <c r="I718" t="str">
        <f>MID('paste from garc here'!$C$2,1+(('table for research'!$B718-456)*36+HEX2DEC('table for research'!I$1))*2,2)</f>
        <v>00</v>
      </c>
      <c r="J718" t="str">
        <f>MID('paste from garc here'!$C$2,1+(('table for research'!$B718-456)*36+HEX2DEC('table for research'!J$1))*2,2)</f>
        <v>00</v>
      </c>
      <c r="K718" t="str">
        <f>DEC2HEX(_xlfn.BITAND(HEX2DEC(MID('paste from garc here'!$C$1,1+(('table for research'!$B718-1)*36+HEX2DEC(8))*2,2)),31),2)</f>
        <v>00</v>
      </c>
      <c r="L718" t="str">
        <f>DEC2HEX(_xlfn.BITAND(HEX2DEC(MID('paste from garc here'!$C$1,1+(('table for research'!$B718-1)*36+HEX2DEC(8))*2,2)),32),2)</f>
        <v>00</v>
      </c>
      <c r="M718" t="str">
        <f>DEC2HEX(_xlfn.BITAND(HEX2DEC(MID('paste from garc here'!$C$1,1+(('table for research'!$B718-1)*36+HEX2DEC(8))*2,2)),64),2)</f>
        <v>00</v>
      </c>
      <c r="N718" t="str">
        <f>DEC2HEX(_xlfn.BITRSHIFT(_xlfn.BITAND(HEX2DEC(MID('paste from garc here'!$C$1,1+(('table for research'!$B718-1)*36+HEX2DEC(9))*2,2)&amp;MID('paste from garc here'!$C$1,1+(('table for research'!$B718-1)*36+HEX2DEC(8))*2,2)),1920),7),2)</f>
        <v>00</v>
      </c>
      <c r="O718" t="str">
        <f>DEC2HEX(_xlfn.BITRSHIFT(HEX2DEC(MID('paste from garc here'!$C$1,1+(('table for research'!$B718-1)*36+HEX2DEC(9))*2,2)&amp;MID('paste from garc here'!$C$1,1+(('table for research'!$B718-1)*36+HEX2DEC(8))*2,2)),11),2)</f>
        <v>00</v>
      </c>
      <c r="P718" t="str">
        <f>MID('paste from garc here'!$C$2,1+(('table for research'!$B718-456)*36+HEX2DEC('table for research'!P$1))*2,2)</f>
        <v>00</v>
      </c>
      <c r="Q718" t="str">
        <f>MID('paste from garc here'!$C$2,1+(('table for research'!$B718-456)*36+HEX2DEC('table for research'!Q$1))*2,2)</f>
        <v>00</v>
      </c>
      <c r="R718" t="str">
        <f>MID('paste from garc here'!$C$2,1+(('table for research'!$B718-456)*36+HEX2DEC('table for research'!R$1))*2,2)</f>
        <v>00</v>
      </c>
      <c r="S718" t="str">
        <f>MID('paste from garc here'!$C$2,1+(('table for research'!$B718-456)*36+HEX2DEC('table for research'!S$1))*2,2)</f>
        <v>08</v>
      </c>
      <c r="T718" t="str">
        <f>MID('paste from garc here'!$C$2,1+(('table for research'!$B718-456)*36+HEX2DEC('table for research'!T$1))*2,2)</f>
        <v>00</v>
      </c>
      <c r="U718" t="str">
        <f>MID('paste from garc here'!$C$2,1+(('table for research'!$B718-456)*36+HEX2DEC('table for research'!U$1))*2,2)</f>
        <v>FF</v>
      </c>
      <c r="V718" t="str">
        <f>MID('paste from garc here'!$C$2,1+(('table for research'!$B718-456)*36+HEX2DEC('table for research'!V$1))*2,2)</f>
        <v>00</v>
      </c>
      <c r="W718" t="str">
        <f>MID('paste from garc here'!$C$2,1+(('table for research'!$B718-456)*36+HEX2DEC('table for research'!W$1))*2,2)</f>
        <v>00</v>
      </c>
      <c r="X718" t="str">
        <f>MID('paste from garc here'!$C$2,1+(('table for research'!$B718-456)*36+HEX2DEC('table for research'!X$1))*2,2)</f>
        <v>00</v>
      </c>
      <c r="Y718" t="str">
        <f>MID('paste from garc here'!$C$2,1+(('table for research'!$B718-456)*36+HEX2DEC('table for research'!Y$1))*2,2)</f>
        <v>00</v>
      </c>
      <c r="Z718" t="str">
        <f>MID('paste from garc here'!$C$2,1+(('table for research'!$B718-456)*36+HEX2DEC('table for research'!Z$1))*2,2)</f>
        <v>00</v>
      </c>
      <c r="AA718" t="str">
        <f>MID('paste from garc here'!$C$2,1+(('table for research'!$B718-456)*36+HEX2DEC('table for research'!AA$1))*2,2)</f>
        <v>00</v>
      </c>
      <c r="AB718" t="str">
        <f>MID('paste from garc here'!$C$2,1+(('table for research'!$B718-456)*36+HEX2DEC('table for research'!AB$1))*2,2)</f>
        <v>00</v>
      </c>
      <c r="AC718" t="str">
        <f>MID('paste from garc here'!$C$2,1+(('table for research'!$B718-456)*36+HEX2DEC('table for research'!AC$1))*2,2)</f>
        <v>00</v>
      </c>
      <c r="AD718" t="str">
        <f>MID('paste from garc here'!$C$2,1+(('table for research'!$B718-456)*36+HEX2DEC('table for research'!AD$1))*2,2)</f>
        <v>00</v>
      </c>
      <c r="AE718" t="str">
        <f>MID('paste from garc here'!$C$2,1+(('table for research'!$B718-456)*36+HEX2DEC('table for research'!AE$1))*2,2)</f>
        <v>00</v>
      </c>
      <c r="AF718" t="str">
        <f>MID('paste from garc here'!$C$2,1+(('table for research'!$B718-456)*36+HEX2DEC('table for research'!AF$1))*2,2)</f>
        <v>00</v>
      </c>
      <c r="AG718" t="str">
        <f>MID('paste from garc here'!$C$2,1+(('table for research'!$B718-456)*36+HEX2DEC('table for research'!AG$1))*2,2)</f>
        <v>00</v>
      </c>
      <c r="AH718" t="str">
        <f>MID('paste from garc here'!$C$2,1+(('table for research'!$B718-456)*36+HEX2DEC('table for research'!AH$1))*2,2)</f>
        <v>00</v>
      </c>
      <c r="AI718" t="str">
        <f>MID('paste from garc here'!$C$2,1+(('table for research'!$B718-456)*36+HEX2DEC('table for research'!AI$1))*2,2)</f>
        <v>00</v>
      </c>
      <c r="AJ718" t="str">
        <f>MID('paste from garc here'!$C$2,1+(('table for research'!$B718-456)*36+HEX2DEC('table for research'!AJ$1))*2,2)</f>
        <v>00</v>
      </c>
      <c r="AK718" t="str">
        <f>MID('paste from garc here'!$C$2,1+(('table for research'!$B718-456)*36+HEX2DEC('table for research'!AK$1))*2,2)</f>
        <v>00</v>
      </c>
      <c r="AL718" t="str">
        <f>MID('paste from garc here'!$C$2,1+(('table for research'!$B718-456)*36+HEX2DEC('table for research'!AL$1))*2,2)</f>
        <v>00</v>
      </c>
      <c r="AM718" t="str">
        <f>MID('paste from garc here'!$C$2,1+(('table for research'!$B718-456)*36+HEX2DEC('table for research'!AM$1))*2,2)</f>
        <v>00</v>
      </c>
      <c r="AN718" t="str">
        <f>MID('paste from garc here'!$C$2,1+(('table for research'!$B718-456)*36+HEX2DEC('table for research'!AN$1))*2,2)</f>
        <v>00</v>
      </c>
      <c r="AO718" t="str">
        <f>MID('paste from garc here'!$C$2,1+(('table for research'!$B718-456)*36+HEX2DEC('table for research'!AO$1))*2,2)</f>
        <v>00</v>
      </c>
    </row>
    <row r="719" spans="1:41" x14ac:dyDescent="0.4">
      <c r="A719" t="s">
        <v>716</v>
      </c>
      <c r="B719">
        <f>B718+1</f>
        <v>717</v>
      </c>
      <c r="C719" t="str">
        <f>MID('paste from garc here'!$C$2,1+(('table for research'!$B719-456)*36+HEX2DEC('table for research'!C$1))*2,2)</f>
        <v>00</v>
      </c>
      <c r="D719" t="str">
        <f>MID('paste from garc here'!$C$2,1+(('table for research'!$B719-456)*36+HEX2DEC('table for research'!D$1))*2,2)</f>
        <v>00</v>
      </c>
      <c r="E719" t="str">
        <f>MID('paste from garc here'!$C$2,1+(('table for research'!$B719-456)*36+HEX2DEC('table for research'!E$1))*2,2)</f>
        <v>00</v>
      </c>
      <c r="F719" t="str">
        <f>MID('paste from garc here'!$C$2,1+(('table for research'!$B719-456)*36+HEX2DEC('table for research'!F$1))*2,2)</f>
        <v>00</v>
      </c>
      <c r="G719" t="str">
        <f>MID('paste from garc here'!$C$2,1+(('table for research'!$B719-456)*36+HEX2DEC('table for research'!G$1))*2,2)</f>
        <v>00</v>
      </c>
      <c r="H719" t="str">
        <f>MID('paste from garc here'!$C$2,1+(('table for research'!$B719-456)*36+HEX2DEC('table for research'!H$1))*2,2)</f>
        <v>00</v>
      </c>
      <c r="I719" t="str">
        <f>MID('paste from garc here'!$C$2,1+(('table for research'!$B719-456)*36+HEX2DEC('table for research'!I$1))*2,2)</f>
        <v>00</v>
      </c>
      <c r="J719" t="str">
        <f>MID('paste from garc here'!$C$2,1+(('table for research'!$B719-456)*36+HEX2DEC('table for research'!J$1))*2,2)</f>
        <v>00</v>
      </c>
      <c r="K719" t="str">
        <f>DEC2HEX(_xlfn.BITAND(HEX2DEC(MID('paste from garc here'!$C$1,1+(('table for research'!$B719-1)*36+HEX2DEC(8))*2,2)),31),2)</f>
        <v>00</v>
      </c>
      <c r="L719" t="str">
        <f>DEC2HEX(_xlfn.BITAND(HEX2DEC(MID('paste from garc here'!$C$1,1+(('table for research'!$B719-1)*36+HEX2DEC(8))*2,2)),32),2)</f>
        <v>00</v>
      </c>
      <c r="M719" t="str">
        <f>DEC2HEX(_xlfn.BITAND(HEX2DEC(MID('paste from garc here'!$C$1,1+(('table for research'!$B719-1)*36+HEX2DEC(8))*2,2)),64),2)</f>
        <v>00</v>
      </c>
      <c r="N719" t="str">
        <f>DEC2HEX(_xlfn.BITRSHIFT(_xlfn.BITAND(HEX2DEC(MID('paste from garc here'!$C$1,1+(('table for research'!$B719-1)*36+HEX2DEC(9))*2,2)&amp;MID('paste from garc here'!$C$1,1+(('table for research'!$B719-1)*36+HEX2DEC(8))*2,2)),1920),7),2)</f>
        <v>00</v>
      </c>
      <c r="O719" t="str">
        <f>DEC2HEX(_xlfn.BITRSHIFT(HEX2DEC(MID('paste from garc here'!$C$1,1+(('table for research'!$B719-1)*36+HEX2DEC(9))*2,2)&amp;MID('paste from garc here'!$C$1,1+(('table for research'!$B719-1)*36+HEX2DEC(8))*2,2)),11),2)</f>
        <v>00</v>
      </c>
      <c r="P719" t="str">
        <f>MID('paste from garc here'!$C$2,1+(('table for research'!$B719-456)*36+HEX2DEC('table for research'!P$1))*2,2)</f>
        <v>00</v>
      </c>
      <c r="Q719" t="str">
        <f>MID('paste from garc here'!$C$2,1+(('table for research'!$B719-456)*36+HEX2DEC('table for research'!Q$1))*2,2)</f>
        <v>00</v>
      </c>
      <c r="R719" t="str">
        <f>MID('paste from garc here'!$C$2,1+(('table for research'!$B719-456)*36+HEX2DEC('table for research'!R$1))*2,2)</f>
        <v>00</v>
      </c>
      <c r="S719" t="str">
        <f>MID('paste from garc here'!$C$2,1+(('table for research'!$B719-456)*36+HEX2DEC('table for research'!S$1))*2,2)</f>
        <v>08</v>
      </c>
      <c r="T719" t="str">
        <f>MID('paste from garc here'!$C$2,1+(('table for research'!$B719-456)*36+HEX2DEC('table for research'!T$1))*2,2)</f>
        <v>00</v>
      </c>
      <c r="U719" t="str">
        <f>MID('paste from garc here'!$C$2,1+(('table for research'!$B719-456)*36+HEX2DEC('table for research'!U$1))*2,2)</f>
        <v>FF</v>
      </c>
      <c r="V719" t="str">
        <f>MID('paste from garc here'!$C$2,1+(('table for research'!$B719-456)*36+HEX2DEC('table for research'!V$1))*2,2)</f>
        <v>00</v>
      </c>
      <c r="W719" t="str">
        <f>MID('paste from garc here'!$C$2,1+(('table for research'!$B719-456)*36+HEX2DEC('table for research'!W$1))*2,2)</f>
        <v>00</v>
      </c>
      <c r="X719" t="str">
        <f>MID('paste from garc here'!$C$2,1+(('table for research'!$B719-456)*36+HEX2DEC('table for research'!X$1))*2,2)</f>
        <v>00</v>
      </c>
      <c r="Y719" t="str">
        <f>MID('paste from garc here'!$C$2,1+(('table for research'!$B719-456)*36+HEX2DEC('table for research'!Y$1))*2,2)</f>
        <v>00</v>
      </c>
      <c r="Z719" t="str">
        <f>MID('paste from garc here'!$C$2,1+(('table for research'!$B719-456)*36+HEX2DEC('table for research'!Z$1))*2,2)</f>
        <v>00</v>
      </c>
      <c r="AA719" t="str">
        <f>MID('paste from garc here'!$C$2,1+(('table for research'!$B719-456)*36+HEX2DEC('table for research'!AA$1))*2,2)</f>
        <v>00</v>
      </c>
      <c r="AB719" t="str">
        <f>MID('paste from garc here'!$C$2,1+(('table for research'!$B719-456)*36+HEX2DEC('table for research'!AB$1))*2,2)</f>
        <v>00</v>
      </c>
      <c r="AC719" t="str">
        <f>MID('paste from garc here'!$C$2,1+(('table for research'!$B719-456)*36+HEX2DEC('table for research'!AC$1))*2,2)</f>
        <v>00</v>
      </c>
      <c r="AD719" t="str">
        <f>MID('paste from garc here'!$C$2,1+(('table for research'!$B719-456)*36+HEX2DEC('table for research'!AD$1))*2,2)</f>
        <v>00</v>
      </c>
      <c r="AE719" t="str">
        <f>MID('paste from garc here'!$C$2,1+(('table for research'!$B719-456)*36+HEX2DEC('table for research'!AE$1))*2,2)</f>
        <v>00</v>
      </c>
      <c r="AF719" t="str">
        <f>MID('paste from garc here'!$C$2,1+(('table for research'!$B719-456)*36+HEX2DEC('table for research'!AF$1))*2,2)</f>
        <v>00</v>
      </c>
      <c r="AG719" t="str">
        <f>MID('paste from garc here'!$C$2,1+(('table for research'!$B719-456)*36+HEX2DEC('table for research'!AG$1))*2,2)</f>
        <v>00</v>
      </c>
      <c r="AH719" t="str">
        <f>MID('paste from garc here'!$C$2,1+(('table for research'!$B719-456)*36+HEX2DEC('table for research'!AH$1))*2,2)</f>
        <v>00</v>
      </c>
      <c r="AI719" t="str">
        <f>MID('paste from garc here'!$C$2,1+(('table for research'!$B719-456)*36+HEX2DEC('table for research'!AI$1))*2,2)</f>
        <v>00</v>
      </c>
      <c r="AJ719" t="str">
        <f>MID('paste from garc here'!$C$2,1+(('table for research'!$B719-456)*36+HEX2DEC('table for research'!AJ$1))*2,2)</f>
        <v>00</v>
      </c>
      <c r="AK719" t="str">
        <f>MID('paste from garc here'!$C$2,1+(('table for research'!$B719-456)*36+HEX2DEC('table for research'!AK$1))*2,2)</f>
        <v>00</v>
      </c>
      <c r="AL719" t="str">
        <f>MID('paste from garc here'!$C$2,1+(('table for research'!$B719-456)*36+HEX2DEC('table for research'!AL$1))*2,2)</f>
        <v>00</v>
      </c>
      <c r="AM719" t="str">
        <f>MID('paste from garc here'!$C$2,1+(('table for research'!$B719-456)*36+HEX2DEC('table for research'!AM$1))*2,2)</f>
        <v>00</v>
      </c>
      <c r="AN719" t="str">
        <f>MID('paste from garc here'!$C$2,1+(('table for research'!$B719-456)*36+HEX2DEC('table for research'!AN$1))*2,2)</f>
        <v>00</v>
      </c>
      <c r="AO719" t="str">
        <f>MID('paste from garc here'!$C$2,1+(('table for research'!$B719-456)*36+HEX2DEC('table for research'!AO$1))*2,2)</f>
        <v>00</v>
      </c>
    </row>
    <row r="720" spans="1:41" x14ac:dyDescent="0.4">
      <c r="A720" t="s">
        <v>717</v>
      </c>
      <c r="B720">
        <f>B719+1</f>
        <v>718</v>
      </c>
      <c r="C720" t="str">
        <f>MID('paste from garc here'!$C$2,1+(('table for research'!$B720-456)*36+HEX2DEC('table for research'!C$1))*2,2)</f>
        <v>00</v>
      </c>
      <c r="D720" t="str">
        <f>MID('paste from garc here'!$C$2,1+(('table for research'!$B720-456)*36+HEX2DEC('table for research'!D$1))*2,2)</f>
        <v>00</v>
      </c>
      <c r="E720" t="str">
        <f>MID('paste from garc here'!$C$2,1+(('table for research'!$B720-456)*36+HEX2DEC('table for research'!E$1))*2,2)</f>
        <v>00</v>
      </c>
      <c r="F720" t="str">
        <f>MID('paste from garc here'!$C$2,1+(('table for research'!$B720-456)*36+HEX2DEC('table for research'!F$1))*2,2)</f>
        <v>00</v>
      </c>
      <c r="G720" t="str">
        <f>MID('paste from garc here'!$C$2,1+(('table for research'!$B720-456)*36+HEX2DEC('table for research'!G$1))*2,2)</f>
        <v>00</v>
      </c>
      <c r="H720" t="str">
        <f>MID('paste from garc here'!$C$2,1+(('table for research'!$B720-456)*36+HEX2DEC('table for research'!H$1))*2,2)</f>
        <v>00</v>
      </c>
      <c r="I720" t="str">
        <f>MID('paste from garc here'!$C$2,1+(('table for research'!$B720-456)*36+HEX2DEC('table for research'!I$1))*2,2)</f>
        <v>00</v>
      </c>
      <c r="J720" t="str">
        <f>MID('paste from garc here'!$C$2,1+(('table for research'!$B720-456)*36+HEX2DEC('table for research'!J$1))*2,2)</f>
        <v>00</v>
      </c>
      <c r="K720" t="str">
        <f>DEC2HEX(_xlfn.BITAND(HEX2DEC(MID('paste from garc here'!$C$1,1+(('table for research'!$B720-1)*36+HEX2DEC(8))*2,2)),31),2)</f>
        <v>00</v>
      </c>
      <c r="L720" t="str">
        <f>DEC2HEX(_xlfn.BITAND(HEX2DEC(MID('paste from garc here'!$C$1,1+(('table for research'!$B720-1)*36+HEX2DEC(8))*2,2)),32),2)</f>
        <v>00</v>
      </c>
      <c r="M720" t="str">
        <f>DEC2HEX(_xlfn.BITAND(HEX2DEC(MID('paste from garc here'!$C$1,1+(('table for research'!$B720-1)*36+HEX2DEC(8))*2,2)),64),2)</f>
        <v>00</v>
      </c>
      <c r="N720" t="str">
        <f>DEC2HEX(_xlfn.BITRSHIFT(_xlfn.BITAND(HEX2DEC(MID('paste from garc here'!$C$1,1+(('table for research'!$B720-1)*36+HEX2DEC(9))*2,2)&amp;MID('paste from garc here'!$C$1,1+(('table for research'!$B720-1)*36+HEX2DEC(8))*2,2)),1920),7),2)</f>
        <v>00</v>
      </c>
      <c r="O720" t="str">
        <f>DEC2HEX(_xlfn.BITRSHIFT(HEX2DEC(MID('paste from garc here'!$C$1,1+(('table for research'!$B720-1)*36+HEX2DEC(9))*2,2)&amp;MID('paste from garc here'!$C$1,1+(('table for research'!$B720-1)*36+HEX2DEC(8))*2,2)),11),2)</f>
        <v>00</v>
      </c>
      <c r="P720" t="str">
        <f>MID('paste from garc here'!$C$2,1+(('table for research'!$B720-456)*36+HEX2DEC('table for research'!P$1))*2,2)</f>
        <v>03</v>
      </c>
      <c r="Q720" t="str">
        <f>MID('paste from garc here'!$C$2,1+(('table for research'!$B720-456)*36+HEX2DEC('table for research'!Q$1))*2,2)</f>
        <v>00</v>
      </c>
      <c r="R720" t="str">
        <f>MID('paste from garc here'!$C$2,1+(('table for research'!$B720-456)*36+HEX2DEC('table for research'!R$1))*2,2)</f>
        <v>00</v>
      </c>
      <c r="S720" t="str">
        <f>MID('paste from garc here'!$C$2,1+(('table for research'!$B720-456)*36+HEX2DEC('table for research'!S$1))*2,2)</f>
        <v>08</v>
      </c>
      <c r="T720" t="str">
        <f>MID('paste from garc here'!$C$2,1+(('table for research'!$B720-456)*36+HEX2DEC('table for research'!T$1))*2,2)</f>
        <v>00</v>
      </c>
      <c r="U720" t="str">
        <f>MID('paste from garc here'!$C$2,1+(('table for research'!$B720-456)*36+HEX2DEC('table for research'!U$1))*2,2)</f>
        <v>FF</v>
      </c>
      <c r="V720" t="str">
        <f>MID('paste from garc here'!$C$2,1+(('table for research'!$B720-456)*36+HEX2DEC('table for research'!V$1))*2,2)</f>
        <v>00</v>
      </c>
      <c r="W720" t="str">
        <f>MID('paste from garc here'!$C$2,1+(('table for research'!$B720-456)*36+HEX2DEC('table for research'!W$1))*2,2)</f>
        <v>00</v>
      </c>
      <c r="X720" t="str">
        <f>MID('paste from garc here'!$C$2,1+(('table for research'!$B720-456)*36+HEX2DEC('table for research'!X$1))*2,2)</f>
        <v>00</v>
      </c>
      <c r="Y720" t="str">
        <f>MID('paste from garc here'!$C$2,1+(('table for research'!$B720-456)*36+HEX2DEC('table for research'!Y$1))*2,2)</f>
        <v>00</v>
      </c>
      <c r="Z720" t="str">
        <f>MID('paste from garc here'!$C$2,1+(('table for research'!$B720-456)*36+HEX2DEC('table for research'!Z$1))*2,2)</f>
        <v>00</v>
      </c>
      <c r="AA720" t="str">
        <f>MID('paste from garc here'!$C$2,1+(('table for research'!$B720-456)*36+HEX2DEC('table for research'!AA$1))*2,2)</f>
        <v>00</v>
      </c>
      <c r="AB720" t="str">
        <f>MID('paste from garc here'!$C$2,1+(('table for research'!$B720-456)*36+HEX2DEC('table for research'!AB$1))*2,2)</f>
        <v>00</v>
      </c>
      <c r="AC720" t="str">
        <f>MID('paste from garc here'!$C$2,1+(('table for research'!$B720-456)*36+HEX2DEC('table for research'!AC$1))*2,2)</f>
        <v>00</v>
      </c>
      <c r="AD720" t="str">
        <f>MID('paste from garc here'!$C$2,1+(('table for research'!$B720-456)*36+HEX2DEC('table for research'!AD$1))*2,2)</f>
        <v>00</v>
      </c>
      <c r="AE720" t="str">
        <f>MID('paste from garc here'!$C$2,1+(('table for research'!$B720-456)*36+HEX2DEC('table for research'!AE$1))*2,2)</f>
        <v>00</v>
      </c>
      <c r="AF720" t="str">
        <f>MID('paste from garc here'!$C$2,1+(('table for research'!$B720-456)*36+HEX2DEC('table for research'!AF$1))*2,2)</f>
        <v>00</v>
      </c>
      <c r="AG720" t="str">
        <f>MID('paste from garc here'!$C$2,1+(('table for research'!$B720-456)*36+HEX2DEC('table for research'!AG$1))*2,2)</f>
        <v>00</v>
      </c>
      <c r="AH720" t="str">
        <f>MID('paste from garc here'!$C$2,1+(('table for research'!$B720-456)*36+HEX2DEC('table for research'!AH$1))*2,2)</f>
        <v>00</v>
      </c>
      <c r="AI720" t="str">
        <f>MID('paste from garc here'!$C$2,1+(('table for research'!$B720-456)*36+HEX2DEC('table for research'!AI$1))*2,2)</f>
        <v>00</v>
      </c>
      <c r="AJ720" t="str">
        <f>MID('paste from garc here'!$C$2,1+(('table for research'!$B720-456)*36+HEX2DEC('table for research'!AJ$1))*2,2)</f>
        <v>00</v>
      </c>
      <c r="AK720" t="str">
        <f>MID('paste from garc here'!$C$2,1+(('table for research'!$B720-456)*36+HEX2DEC('table for research'!AK$1))*2,2)</f>
        <v>00</v>
      </c>
      <c r="AL720" t="str">
        <f>MID('paste from garc here'!$C$2,1+(('table for research'!$B720-456)*36+HEX2DEC('table for research'!AL$1))*2,2)</f>
        <v>00</v>
      </c>
      <c r="AM720" t="str">
        <f>MID('paste from garc here'!$C$2,1+(('table for research'!$B720-456)*36+HEX2DEC('table for research'!AM$1))*2,2)</f>
        <v>00</v>
      </c>
      <c r="AN720" t="str">
        <f>MID('paste from garc here'!$C$2,1+(('table for research'!$B720-456)*36+HEX2DEC('table for research'!AN$1))*2,2)</f>
        <v>00</v>
      </c>
      <c r="AO720" t="str">
        <f>MID('paste from garc here'!$C$2,1+(('table for research'!$B720-456)*36+HEX2DEC('table for research'!AO$1))*2,2)</f>
        <v>00</v>
      </c>
    </row>
    <row r="721" spans="1:41" x14ac:dyDescent="0.4">
      <c r="A721" t="s">
        <v>718</v>
      </c>
      <c r="B721">
        <f>B720+1</f>
        <v>719</v>
      </c>
      <c r="C721" t="str">
        <f>MID('paste from garc here'!$C$2,1+(('table for research'!$B721-456)*36+HEX2DEC('table for research'!C$1))*2,2)</f>
        <v>00</v>
      </c>
      <c r="D721" t="str">
        <f>MID('paste from garc here'!$C$2,1+(('table for research'!$B721-456)*36+HEX2DEC('table for research'!D$1))*2,2)</f>
        <v>00</v>
      </c>
      <c r="E721" t="str">
        <f>MID('paste from garc here'!$C$2,1+(('table for research'!$B721-456)*36+HEX2DEC('table for research'!E$1))*2,2)</f>
        <v>00</v>
      </c>
      <c r="F721" t="str">
        <f>MID('paste from garc here'!$C$2,1+(('table for research'!$B721-456)*36+HEX2DEC('table for research'!F$1))*2,2)</f>
        <v>00</v>
      </c>
      <c r="G721" t="str">
        <f>MID('paste from garc here'!$C$2,1+(('table for research'!$B721-456)*36+HEX2DEC('table for research'!G$1))*2,2)</f>
        <v>00</v>
      </c>
      <c r="H721" t="str">
        <f>MID('paste from garc here'!$C$2,1+(('table for research'!$B721-456)*36+HEX2DEC('table for research'!H$1))*2,2)</f>
        <v>00</v>
      </c>
      <c r="I721" t="str">
        <f>MID('paste from garc here'!$C$2,1+(('table for research'!$B721-456)*36+HEX2DEC('table for research'!I$1))*2,2)</f>
        <v>00</v>
      </c>
      <c r="J721" t="str">
        <f>MID('paste from garc here'!$C$2,1+(('table for research'!$B721-456)*36+HEX2DEC('table for research'!J$1))*2,2)</f>
        <v>00</v>
      </c>
      <c r="K721" t="str">
        <f>DEC2HEX(_xlfn.BITAND(HEX2DEC(MID('paste from garc here'!$C$1,1+(('table for research'!$B721-1)*36+HEX2DEC(8))*2,2)),31),2)</f>
        <v>00</v>
      </c>
      <c r="L721" t="str">
        <f>DEC2HEX(_xlfn.BITAND(HEX2DEC(MID('paste from garc here'!$C$1,1+(('table for research'!$B721-1)*36+HEX2DEC(8))*2,2)),32),2)</f>
        <v>00</v>
      </c>
      <c r="M721" t="str">
        <f>DEC2HEX(_xlfn.BITAND(HEX2DEC(MID('paste from garc here'!$C$1,1+(('table for research'!$B721-1)*36+HEX2DEC(8))*2,2)),64),2)</f>
        <v>00</v>
      </c>
      <c r="N721" t="str">
        <f>DEC2HEX(_xlfn.BITRSHIFT(_xlfn.BITAND(HEX2DEC(MID('paste from garc here'!$C$1,1+(('table for research'!$B721-1)*36+HEX2DEC(9))*2,2)&amp;MID('paste from garc here'!$C$1,1+(('table for research'!$B721-1)*36+HEX2DEC(8))*2,2)),1920),7),2)</f>
        <v>00</v>
      </c>
      <c r="O721" t="str">
        <f>DEC2HEX(_xlfn.BITRSHIFT(HEX2DEC(MID('paste from garc here'!$C$1,1+(('table for research'!$B721-1)*36+HEX2DEC(9))*2,2)&amp;MID('paste from garc here'!$C$1,1+(('table for research'!$B721-1)*36+HEX2DEC(8))*2,2)),11),2)</f>
        <v>00</v>
      </c>
      <c r="P721" t="str">
        <f>MID('paste from garc here'!$C$2,1+(('table for research'!$B721-456)*36+HEX2DEC('table for research'!P$1))*2,2)</f>
        <v>03</v>
      </c>
      <c r="Q721" t="str">
        <f>MID('paste from garc here'!$C$2,1+(('table for research'!$B721-456)*36+HEX2DEC('table for research'!Q$1))*2,2)</f>
        <v>00</v>
      </c>
      <c r="R721" t="str">
        <f>MID('paste from garc here'!$C$2,1+(('table for research'!$B721-456)*36+HEX2DEC('table for research'!R$1))*2,2)</f>
        <v>00</v>
      </c>
      <c r="S721" t="str">
        <f>MID('paste from garc here'!$C$2,1+(('table for research'!$B721-456)*36+HEX2DEC('table for research'!S$1))*2,2)</f>
        <v>08</v>
      </c>
      <c r="T721" t="str">
        <f>MID('paste from garc here'!$C$2,1+(('table for research'!$B721-456)*36+HEX2DEC('table for research'!T$1))*2,2)</f>
        <v>00</v>
      </c>
      <c r="U721" t="str">
        <f>MID('paste from garc here'!$C$2,1+(('table for research'!$B721-456)*36+HEX2DEC('table for research'!U$1))*2,2)</f>
        <v>FF</v>
      </c>
      <c r="V721" t="str">
        <f>MID('paste from garc here'!$C$2,1+(('table for research'!$B721-456)*36+HEX2DEC('table for research'!V$1))*2,2)</f>
        <v>00</v>
      </c>
      <c r="W721" t="str">
        <f>MID('paste from garc here'!$C$2,1+(('table for research'!$B721-456)*36+HEX2DEC('table for research'!W$1))*2,2)</f>
        <v>00</v>
      </c>
      <c r="X721" t="str">
        <f>MID('paste from garc here'!$C$2,1+(('table for research'!$B721-456)*36+HEX2DEC('table for research'!X$1))*2,2)</f>
        <v>00</v>
      </c>
      <c r="Y721" t="str">
        <f>MID('paste from garc here'!$C$2,1+(('table for research'!$B721-456)*36+HEX2DEC('table for research'!Y$1))*2,2)</f>
        <v>00</v>
      </c>
      <c r="Z721" t="str">
        <f>MID('paste from garc here'!$C$2,1+(('table for research'!$B721-456)*36+HEX2DEC('table for research'!Z$1))*2,2)</f>
        <v>00</v>
      </c>
      <c r="AA721" t="str">
        <f>MID('paste from garc here'!$C$2,1+(('table for research'!$B721-456)*36+HEX2DEC('table for research'!AA$1))*2,2)</f>
        <v>00</v>
      </c>
      <c r="AB721" t="str">
        <f>MID('paste from garc here'!$C$2,1+(('table for research'!$B721-456)*36+HEX2DEC('table for research'!AB$1))*2,2)</f>
        <v>00</v>
      </c>
      <c r="AC721" t="str">
        <f>MID('paste from garc here'!$C$2,1+(('table for research'!$B721-456)*36+HEX2DEC('table for research'!AC$1))*2,2)</f>
        <v>00</v>
      </c>
      <c r="AD721" t="str">
        <f>MID('paste from garc here'!$C$2,1+(('table for research'!$B721-456)*36+HEX2DEC('table for research'!AD$1))*2,2)</f>
        <v>00</v>
      </c>
      <c r="AE721" t="str">
        <f>MID('paste from garc here'!$C$2,1+(('table for research'!$B721-456)*36+HEX2DEC('table for research'!AE$1))*2,2)</f>
        <v>00</v>
      </c>
      <c r="AF721" t="str">
        <f>MID('paste from garc here'!$C$2,1+(('table for research'!$B721-456)*36+HEX2DEC('table for research'!AF$1))*2,2)</f>
        <v>00</v>
      </c>
      <c r="AG721" t="str">
        <f>MID('paste from garc here'!$C$2,1+(('table for research'!$B721-456)*36+HEX2DEC('table for research'!AG$1))*2,2)</f>
        <v>00</v>
      </c>
      <c r="AH721" t="str">
        <f>MID('paste from garc here'!$C$2,1+(('table for research'!$B721-456)*36+HEX2DEC('table for research'!AH$1))*2,2)</f>
        <v>00</v>
      </c>
      <c r="AI721" t="str">
        <f>MID('paste from garc here'!$C$2,1+(('table for research'!$B721-456)*36+HEX2DEC('table for research'!AI$1))*2,2)</f>
        <v>00</v>
      </c>
      <c r="AJ721" t="str">
        <f>MID('paste from garc here'!$C$2,1+(('table for research'!$B721-456)*36+HEX2DEC('table for research'!AJ$1))*2,2)</f>
        <v>00</v>
      </c>
      <c r="AK721" t="str">
        <f>MID('paste from garc here'!$C$2,1+(('table for research'!$B721-456)*36+HEX2DEC('table for research'!AK$1))*2,2)</f>
        <v>00</v>
      </c>
      <c r="AL721" t="str">
        <f>MID('paste from garc here'!$C$2,1+(('table for research'!$B721-456)*36+HEX2DEC('table for research'!AL$1))*2,2)</f>
        <v>00</v>
      </c>
      <c r="AM721" t="str">
        <f>MID('paste from garc here'!$C$2,1+(('table for research'!$B721-456)*36+HEX2DEC('table for research'!AM$1))*2,2)</f>
        <v>00</v>
      </c>
      <c r="AN721" t="str">
        <f>MID('paste from garc here'!$C$2,1+(('table for research'!$B721-456)*36+HEX2DEC('table for research'!AN$1))*2,2)</f>
        <v>00</v>
      </c>
      <c r="AO721" t="str">
        <f>MID('paste from garc here'!$C$2,1+(('table for research'!$B721-456)*36+HEX2DEC('table for research'!AO$1))*2,2)</f>
        <v>00</v>
      </c>
    </row>
    <row r="722" spans="1:41" x14ac:dyDescent="0.4">
      <c r="A722" t="s">
        <v>719</v>
      </c>
      <c r="B722">
        <f>B721+1</f>
        <v>720</v>
      </c>
      <c r="C722" t="str">
        <f>MID('paste from garc here'!$C$2,1+(('table for research'!$B722-456)*36+HEX2DEC('table for research'!C$1))*2,2)</f>
        <v>00</v>
      </c>
      <c r="D722" t="str">
        <f>MID('paste from garc here'!$C$2,1+(('table for research'!$B722-456)*36+HEX2DEC('table for research'!D$1))*2,2)</f>
        <v>00</v>
      </c>
      <c r="E722" t="str">
        <f>MID('paste from garc here'!$C$2,1+(('table for research'!$B722-456)*36+HEX2DEC('table for research'!E$1))*2,2)</f>
        <v>00</v>
      </c>
      <c r="F722" t="str">
        <f>MID('paste from garc here'!$C$2,1+(('table for research'!$B722-456)*36+HEX2DEC('table for research'!F$1))*2,2)</f>
        <v>00</v>
      </c>
      <c r="G722" t="str">
        <f>MID('paste from garc here'!$C$2,1+(('table for research'!$B722-456)*36+HEX2DEC('table for research'!G$1))*2,2)</f>
        <v>00</v>
      </c>
      <c r="H722" t="str">
        <f>MID('paste from garc here'!$C$2,1+(('table for research'!$B722-456)*36+HEX2DEC('table for research'!H$1))*2,2)</f>
        <v>00</v>
      </c>
      <c r="I722" t="str">
        <f>MID('paste from garc here'!$C$2,1+(('table for research'!$B722-456)*36+HEX2DEC('table for research'!I$1))*2,2)</f>
        <v>00</v>
      </c>
      <c r="J722" t="str">
        <f>MID('paste from garc here'!$C$2,1+(('table for research'!$B722-456)*36+HEX2DEC('table for research'!J$1))*2,2)</f>
        <v>00</v>
      </c>
      <c r="K722" t="str">
        <f>DEC2HEX(_xlfn.BITAND(HEX2DEC(MID('paste from garc here'!$C$1,1+(('table for research'!$B722-1)*36+HEX2DEC(8))*2,2)),31),2)</f>
        <v>00</v>
      </c>
      <c r="L722" t="str">
        <f>DEC2HEX(_xlfn.BITAND(HEX2DEC(MID('paste from garc here'!$C$1,1+(('table for research'!$B722-1)*36+HEX2DEC(8))*2,2)),32),2)</f>
        <v>00</v>
      </c>
      <c r="M722" t="str">
        <f>DEC2HEX(_xlfn.BITAND(HEX2DEC(MID('paste from garc here'!$C$1,1+(('table for research'!$B722-1)*36+HEX2DEC(8))*2,2)),64),2)</f>
        <v>00</v>
      </c>
      <c r="N722" t="str">
        <f>DEC2HEX(_xlfn.BITRSHIFT(_xlfn.BITAND(HEX2DEC(MID('paste from garc here'!$C$1,1+(('table for research'!$B722-1)*36+HEX2DEC(9))*2,2)&amp;MID('paste from garc here'!$C$1,1+(('table for research'!$B722-1)*36+HEX2DEC(8))*2,2)),1920),7),2)</f>
        <v>00</v>
      </c>
      <c r="O722" t="str">
        <f>DEC2HEX(_xlfn.BITRSHIFT(HEX2DEC(MID('paste from garc here'!$C$1,1+(('table for research'!$B722-1)*36+HEX2DEC(9))*2,2)&amp;MID('paste from garc here'!$C$1,1+(('table for research'!$B722-1)*36+HEX2DEC(8))*2,2)),11),2)</f>
        <v>00</v>
      </c>
      <c r="P722" t="str">
        <f>MID('paste from garc here'!$C$2,1+(('table for research'!$B722-456)*36+HEX2DEC('table for research'!P$1))*2,2)</f>
        <v>00</v>
      </c>
      <c r="Q722" t="str">
        <f>MID('paste from garc here'!$C$2,1+(('table for research'!$B722-456)*36+HEX2DEC('table for research'!Q$1))*2,2)</f>
        <v>00</v>
      </c>
      <c r="R722" t="str">
        <f>MID('paste from garc here'!$C$2,1+(('table for research'!$B722-456)*36+HEX2DEC('table for research'!R$1))*2,2)</f>
        <v>00</v>
      </c>
      <c r="S722" t="str">
        <f>MID('paste from garc here'!$C$2,1+(('table for research'!$B722-456)*36+HEX2DEC('table for research'!S$1))*2,2)</f>
        <v>08</v>
      </c>
      <c r="T722" t="str">
        <f>MID('paste from garc here'!$C$2,1+(('table for research'!$B722-456)*36+HEX2DEC('table for research'!T$1))*2,2)</f>
        <v>00</v>
      </c>
      <c r="U722" t="str">
        <f>MID('paste from garc here'!$C$2,1+(('table for research'!$B722-456)*36+HEX2DEC('table for research'!U$1))*2,2)</f>
        <v>FF</v>
      </c>
      <c r="V722" t="str">
        <f>MID('paste from garc here'!$C$2,1+(('table for research'!$B722-456)*36+HEX2DEC('table for research'!V$1))*2,2)</f>
        <v>00</v>
      </c>
      <c r="W722" t="str">
        <f>MID('paste from garc here'!$C$2,1+(('table for research'!$B722-456)*36+HEX2DEC('table for research'!W$1))*2,2)</f>
        <v>00</v>
      </c>
      <c r="X722" t="str">
        <f>MID('paste from garc here'!$C$2,1+(('table for research'!$B722-456)*36+HEX2DEC('table for research'!X$1))*2,2)</f>
        <v>00</v>
      </c>
      <c r="Y722" t="str">
        <f>MID('paste from garc here'!$C$2,1+(('table for research'!$B722-456)*36+HEX2DEC('table for research'!Y$1))*2,2)</f>
        <v>00</v>
      </c>
      <c r="Z722" t="str">
        <f>MID('paste from garc here'!$C$2,1+(('table for research'!$B722-456)*36+HEX2DEC('table for research'!Z$1))*2,2)</f>
        <v>00</v>
      </c>
      <c r="AA722" t="str">
        <f>MID('paste from garc here'!$C$2,1+(('table for research'!$B722-456)*36+HEX2DEC('table for research'!AA$1))*2,2)</f>
        <v>00</v>
      </c>
      <c r="AB722" t="str">
        <f>MID('paste from garc here'!$C$2,1+(('table for research'!$B722-456)*36+HEX2DEC('table for research'!AB$1))*2,2)</f>
        <v>00</v>
      </c>
      <c r="AC722" t="str">
        <f>MID('paste from garc here'!$C$2,1+(('table for research'!$B722-456)*36+HEX2DEC('table for research'!AC$1))*2,2)</f>
        <v>00</v>
      </c>
      <c r="AD722" t="str">
        <f>MID('paste from garc here'!$C$2,1+(('table for research'!$B722-456)*36+HEX2DEC('table for research'!AD$1))*2,2)</f>
        <v>00</v>
      </c>
      <c r="AE722" t="str">
        <f>MID('paste from garc here'!$C$2,1+(('table for research'!$B722-456)*36+HEX2DEC('table for research'!AE$1))*2,2)</f>
        <v>00</v>
      </c>
      <c r="AF722" t="str">
        <f>MID('paste from garc here'!$C$2,1+(('table for research'!$B722-456)*36+HEX2DEC('table for research'!AF$1))*2,2)</f>
        <v>00</v>
      </c>
      <c r="AG722" t="str">
        <f>MID('paste from garc here'!$C$2,1+(('table for research'!$B722-456)*36+HEX2DEC('table for research'!AG$1))*2,2)</f>
        <v>00</v>
      </c>
      <c r="AH722" t="str">
        <f>MID('paste from garc here'!$C$2,1+(('table for research'!$B722-456)*36+HEX2DEC('table for research'!AH$1))*2,2)</f>
        <v>00</v>
      </c>
      <c r="AI722" t="str">
        <f>MID('paste from garc here'!$C$2,1+(('table for research'!$B722-456)*36+HEX2DEC('table for research'!AI$1))*2,2)</f>
        <v>00</v>
      </c>
      <c r="AJ722" t="str">
        <f>MID('paste from garc here'!$C$2,1+(('table for research'!$B722-456)*36+HEX2DEC('table for research'!AJ$1))*2,2)</f>
        <v>00</v>
      </c>
      <c r="AK722" t="str">
        <f>MID('paste from garc here'!$C$2,1+(('table for research'!$B722-456)*36+HEX2DEC('table for research'!AK$1))*2,2)</f>
        <v>00</v>
      </c>
      <c r="AL722" t="str">
        <f>MID('paste from garc here'!$C$2,1+(('table for research'!$B722-456)*36+HEX2DEC('table for research'!AL$1))*2,2)</f>
        <v>00</v>
      </c>
      <c r="AM722" t="str">
        <f>MID('paste from garc here'!$C$2,1+(('table for research'!$B722-456)*36+HEX2DEC('table for research'!AM$1))*2,2)</f>
        <v>00</v>
      </c>
      <c r="AN722" t="str">
        <f>MID('paste from garc here'!$C$2,1+(('table for research'!$B722-456)*36+HEX2DEC('table for research'!AN$1))*2,2)</f>
        <v>00</v>
      </c>
      <c r="AO722" t="str">
        <f>MID('paste from garc here'!$C$2,1+(('table for research'!$B722-456)*36+HEX2DEC('table for research'!AO$1))*2,2)</f>
        <v>00</v>
      </c>
    </row>
    <row r="723" spans="1:41" x14ac:dyDescent="0.4">
      <c r="A723" t="s">
        <v>720</v>
      </c>
      <c r="B723">
        <f>B722+1</f>
        <v>721</v>
      </c>
      <c r="C723" t="str">
        <f>MID('paste from garc here'!$C$2,1+(('table for research'!$B723-456)*36+HEX2DEC('table for research'!C$1))*2,2)</f>
        <v>00</v>
      </c>
      <c r="D723" t="str">
        <f>MID('paste from garc here'!$C$2,1+(('table for research'!$B723-456)*36+HEX2DEC('table for research'!D$1))*2,2)</f>
        <v>00</v>
      </c>
      <c r="E723" t="str">
        <f>MID('paste from garc here'!$C$2,1+(('table for research'!$B723-456)*36+HEX2DEC('table for research'!E$1))*2,2)</f>
        <v>00</v>
      </c>
      <c r="F723" t="str">
        <f>MID('paste from garc here'!$C$2,1+(('table for research'!$B723-456)*36+HEX2DEC('table for research'!F$1))*2,2)</f>
        <v>00</v>
      </c>
      <c r="G723" t="str">
        <f>MID('paste from garc here'!$C$2,1+(('table for research'!$B723-456)*36+HEX2DEC('table for research'!G$1))*2,2)</f>
        <v>00</v>
      </c>
      <c r="H723" t="str">
        <f>MID('paste from garc here'!$C$2,1+(('table for research'!$B723-456)*36+HEX2DEC('table for research'!H$1))*2,2)</f>
        <v>00</v>
      </c>
      <c r="I723" t="str">
        <f>MID('paste from garc here'!$C$2,1+(('table for research'!$B723-456)*36+HEX2DEC('table for research'!I$1))*2,2)</f>
        <v>00</v>
      </c>
      <c r="J723" t="str">
        <f>MID('paste from garc here'!$C$2,1+(('table for research'!$B723-456)*36+HEX2DEC('table for research'!J$1))*2,2)</f>
        <v>00</v>
      </c>
      <c r="K723" t="str">
        <f>DEC2HEX(_xlfn.BITAND(HEX2DEC(MID('paste from garc here'!$C$1,1+(('table for research'!$B723-1)*36+HEX2DEC(8))*2,2)),31),2)</f>
        <v>00</v>
      </c>
      <c r="L723" t="str">
        <f>DEC2HEX(_xlfn.BITAND(HEX2DEC(MID('paste from garc here'!$C$1,1+(('table for research'!$B723-1)*36+HEX2DEC(8))*2,2)),32),2)</f>
        <v>00</v>
      </c>
      <c r="M723" t="str">
        <f>DEC2HEX(_xlfn.BITAND(HEX2DEC(MID('paste from garc here'!$C$1,1+(('table for research'!$B723-1)*36+HEX2DEC(8))*2,2)),64),2)</f>
        <v>00</v>
      </c>
      <c r="N723" t="str">
        <f>DEC2HEX(_xlfn.BITRSHIFT(_xlfn.BITAND(HEX2DEC(MID('paste from garc here'!$C$1,1+(('table for research'!$B723-1)*36+HEX2DEC(9))*2,2)&amp;MID('paste from garc here'!$C$1,1+(('table for research'!$B723-1)*36+HEX2DEC(8))*2,2)),1920),7),2)</f>
        <v>00</v>
      </c>
      <c r="O723" t="str">
        <f>DEC2HEX(_xlfn.BITRSHIFT(HEX2DEC(MID('paste from garc here'!$C$1,1+(('table for research'!$B723-1)*36+HEX2DEC(9))*2,2)&amp;MID('paste from garc here'!$C$1,1+(('table for research'!$B723-1)*36+HEX2DEC(8))*2,2)),11),2)</f>
        <v>00</v>
      </c>
      <c r="P723" t="str">
        <f>MID('paste from garc here'!$C$2,1+(('table for research'!$B723-456)*36+HEX2DEC('table for research'!P$1))*2,2)</f>
        <v>00</v>
      </c>
      <c r="Q723" t="str">
        <f>MID('paste from garc here'!$C$2,1+(('table for research'!$B723-456)*36+HEX2DEC('table for research'!Q$1))*2,2)</f>
        <v>00</v>
      </c>
      <c r="R723" t="str">
        <f>MID('paste from garc here'!$C$2,1+(('table for research'!$B723-456)*36+HEX2DEC('table for research'!R$1))*2,2)</f>
        <v>00</v>
      </c>
      <c r="S723" t="str">
        <f>MID('paste from garc here'!$C$2,1+(('table for research'!$B723-456)*36+HEX2DEC('table for research'!S$1))*2,2)</f>
        <v>08</v>
      </c>
      <c r="T723" t="str">
        <f>MID('paste from garc here'!$C$2,1+(('table for research'!$B723-456)*36+HEX2DEC('table for research'!T$1))*2,2)</f>
        <v>00</v>
      </c>
      <c r="U723" t="str">
        <f>MID('paste from garc here'!$C$2,1+(('table for research'!$B723-456)*36+HEX2DEC('table for research'!U$1))*2,2)</f>
        <v>FF</v>
      </c>
      <c r="V723" t="str">
        <f>MID('paste from garc here'!$C$2,1+(('table for research'!$B723-456)*36+HEX2DEC('table for research'!V$1))*2,2)</f>
        <v>00</v>
      </c>
      <c r="W723" t="str">
        <f>MID('paste from garc here'!$C$2,1+(('table for research'!$B723-456)*36+HEX2DEC('table for research'!W$1))*2,2)</f>
        <v>00</v>
      </c>
      <c r="X723" t="str">
        <f>MID('paste from garc here'!$C$2,1+(('table for research'!$B723-456)*36+HEX2DEC('table for research'!X$1))*2,2)</f>
        <v>00</v>
      </c>
      <c r="Y723" t="str">
        <f>MID('paste from garc here'!$C$2,1+(('table for research'!$B723-456)*36+HEX2DEC('table for research'!Y$1))*2,2)</f>
        <v>00</v>
      </c>
      <c r="Z723" t="str">
        <f>MID('paste from garc here'!$C$2,1+(('table for research'!$B723-456)*36+HEX2DEC('table for research'!Z$1))*2,2)</f>
        <v>00</v>
      </c>
      <c r="AA723" t="str">
        <f>MID('paste from garc here'!$C$2,1+(('table for research'!$B723-456)*36+HEX2DEC('table for research'!AA$1))*2,2)</f>
        <v>00</v>
      </c>
      <c r="AB723" t="str">
        <f>MID('paste from garc here'!$C$2,1+(('table for research'!$B723-456)*36+HEX2DEC('table for research'!AB$1))*2,2)</f>
        <v>00</v>
      </c>
      <c r="AC723" t="str">
        <f>MID('paste from garc here'!$C$2,1+(('table for research'!$B723-456)*36+HEX2DEC('table for research'!AC$1))*2,2)</f>
        <v>00</v>
      </c>
      <c r="AD723" t="str">
        <f>MID('paste from garc here'!$C$2,1+(('table for research'!$B723-456)*36+HEX2DEC('table for research'!AD$1))*2,2)</f>
        <v>00</v>
      </c>
      <c r="AE723" t="str">
        <f>MID('paste from garc here'!$C$2,1+(('table for research'!$B723-456)*36+HEX2DEC('table for research'!AE$1))*2,2)</f>
        <v>00</v>
      </c>
      <c r="AF723" t="str">
        <f>MID('paste from garc here'!$C$2,1+(('table for research'!$B723-456)*36+HEX2DEC('table for research'!AF$1))*2,2)</f>
        <v>00</v>
      </c>
      <c r="AG723" t="str">
        <f>MID('paste from garc here'!$C$2,1+(('table for research'!$B723-456)*36+HEX2DEC('table for research'!AG$1))*2,2)</f>
        <v>00</v>
      </c>
      <c r="AH723" t="str">
        <f>MID('paste from garc here'!$C$2,1+(('table for research'!$B723-456)*36+HEX2DEC('table for research'!AH$1))*2,2)</f>
        <v>00</v>
      </c>
      <c r="AI723" t="str">
        <f>MID('paste from garc here'!$C$2,1+(('table for research'!$B723-456)*36+HEX2DEC('table for research'!AI$1))*2,2)</f>
        <v>00</v>
      </c>
      <c r="AJ723" t="str">
        <f>MID('paste from garc here'!$C$2,1+(('table for research'!$B723-456)*36+HEX2DEC('table for research'!AJ$1))*2,2)</f>
        <v>00</v>
      </c>
      <c r="AK723" t="str">
        <f>MID('paste from garc here'!$C$2,1+(('table for research'!$B723-456)*36+HEX2DEC('table for research'!AK$1))*2,2)</f>
        <v>00</v>
      </c>
      <c r="AL723" t="str">
        <f>MID('paste from garc here'!$C$2,1+(('table for research'!$B723-456)*36+HEX2DEC('table for research'!AL$1))*2,2)</f>
        <v>00</v>
      </c>
      <c r="AM723" t="str">
        <f>MID('paste from garc here'!$C$2,1+(('table for research'!$B723-456)*36+HEX2DEC('table for research'!AM$1))*2,2)</f>
        <v>00</v>
      </c>
      <c r="AN723" t="str">
        <f>MID('paste from garc here'!$C$2,1+(('table for research'!$B723-456)*36+HEX2DEC('table for research'!AN$1))*2,2)</f>
        <v>00</v>
      </c>
      <c r="AO723" t="str">
        <f>MID('paste from garc here'!$C$2,1+(('table for research'!$B723-456)*36+HEX2DEC('table for research'!AO$1))*2,2)</f>
        <v>00</v>
      </c>
    </row>
    <row r="724" spans="1:41" x14ac:dyDescent="0.4">
      <c r="A724" t="s">
        <v>721</v>
      </c>
      <c r="B724">
        <f>B723+1</f>
        <v>722</v>
      </c>
      <c r="C724" t="str">
        <f>MID('paste from garc here'!$C$2,1+(('table for research'!$B724-456)*36+HEX2DEC('table for research'!C$1))*2,2)</f>
        <v>00</v>
      </c>
      <c r="D724" t="str">
        <f>MID('paste from garc here'!$C$2,1+(('table for research'!$B724-456)*36+HEX2DEC('table for research'!D$1))*2,2)</f>
        <v>00</v>
      </c>
      <c r="E724" t="str">
        <f>MID('paste from garc here'!$C$2,1+(('table for research'!$B724-456)*36+HEX2DEC('table for research'!E$1))*2,2)</f>
        <v>00</v>
      </c>
      <c r="F724" t="str">
        <f>MID('paste from garc here'!$C$2,1+(('table for research'!$B724-456)*36+HEX2DEC('table for research'!F$1))*2,2)</f>
        <v>00</v>
      </c>
      <c r="G724" t="str">
        <f>MID('paste from garc here'!$C$2,1+(('table for research'!$B724-456)*36+HEX2DEC('table for research'!G$1))*2,2)</f>
        <v>00</v>
      </c>
      <c r="H724" t="str">
        <f>MID('paste from garc here'!$C$2,1+(('table for research'!$B724-456)*36+HEX2DEC('table for research'!H$1))*2,2)</f>
        <v>00</v>
      </c>
      <c r="I724" t="str">
        <f>MID('paste from garc here'!$C$2,1+(('table for research'!$B724-456)*36+HEX2DEC('table for research'!I$1))*2,2)</f>
        <v>00</v>
      </c>
      <c r="J724" t="str">
        <f>MID('paste from garc here'!$C$2,1+(('table for research'!$B724-456)*36+HEX2DEC('table for research'!J$1))*2,2)</f>
        <v>00</v>
      </c>
      <c r="K724" t="str">
        <f>DEC2HEX(_xlfn.BITAND(HEX2DEC(MID('paste from garc here'!$C$1,1+(('table for research'!$B724-1)*36+HEX2DEC(8))*2,2)),31),2)</f>
        <v>00</v>
      </c>
      <c r="L724" t="str">
        <f>DEC2HEX(_xlfn.BITAND(HEX2DEC(MID('paste from garc here'!$C$1,1+(('table for research'!$B724-1)*36+HEX2DEC(8))*2,2)),32),2)</f>
        <v>00</v>
      </c>
      <c r="M724" t="str">
        <f>DEC2HEX(_xlfn.BITAND(HEX2DEC(MID('paste from garc here'!$C$1,1+(('table for research'!$B724-1)*36+HEX2DEC(8))*2,2)),64),2)</f>
        <v>00</v>
      </c>
      <c r="N724" t="str">
        <f>DEC2HEX(_xlfn.BITRSHIFT(_xlfn.BITAND(HEX2DEC(MID('paste from garc here'!$C$1,1+(('table for research'!$B724-1)*36+HEX2DEC(9))*2,2)&amp;MID('paste from garc here'!$C$1,1+(('table for research'!$B724-1)*36+HEX2DEC(8))*2,2)),1920),7),2)</f>
        <v>00</v>
      </c>
      <c r="O724" t="str">
        <f>DEC2HEX(_xlfn.BITRSHIFT(HEX2DEC(MID('paste from garc here'!$C$1,1+(('table for research'!$B724-1)*36+HEX2DEC(9))*2,2)&amp;MID('paste from garc here'!$C$1,1+(('table for research'!$B724-1)*36+HEX2DEC(8))*2,2)),11),2)</f>
        <v>00</v>
      </c>
      <c r="P724" t="str">
        <f>MID('paste from garc here'!$C$2,1+(('table for research'!$B724-456)*36+HEX2DEC('table for research'!P$1))*2,2)</f>
        <v>00</v>
      </c>
      <c r="Q724" t="str">
        <f>MID('paste from garc here'!$C$2,1+(('table for research'!$B724-456)*36+HEX2DEC('table for research'!Q$1))*2,2)</f>
        <v>00</v>
      </c>
      <c r="R724" t="str">
        <f>MID('paste from garc here'!$C$2,1+(('table for research'!$B724-456)*36+HEX2DEC('table for research'!R$1))*2,2)</f>
        <v>00</v>
      </c>
      <c r="S724" t="str">
        <f>MID('paste from garc here'!$C$2,1+(('table for research'!$B724-456)*36+HEX2DEC('table for research'!S$1))*2,2)</f>
        <v>08</v>
      </c>
      <c r="T724" t="str">
        <f>MID('paste from garc here'!$C$2,1+(('table for research'!$B724-456)*36+HEX2DEC('table for research'!T$1))*2,2)</f>
        <v>00</v>
      </c>
      <c r="U724" t="str">
        <f>MID('paste from garc here'!$C$2,1+(('table for research'!$B724-456)*36+HEX2DEC('table for research'!U$1))*2,2)</f>
        <v>FF</v>
      </c>
      <c r="V724" t="str">
        <f>MID('paste from garc here'!$C$2,1+(('table for research'!$B724-456)*36+HEX2DEC('table for research'!V$1))*2,2)</f>
        <v>00</v>
      </c>
      <c r="W724" t="str">
        <f>MID('paste from garc here'!$C$2,1+(('table for research'!$B724-456)*36+HEX2DEC('table for research'!W$1))*2,2)</f>
        <v>00</v>
      </c>
      <c r="X724" t="str">
        <f>MID('paste from garc here'!$C$2,1+(('table for research'!$B724-456)*36+HEX2DEC('table for research'!X$1))*2,2)</f>
        <v>00</v>
      </c>
      <c r="Y724" t="str">
        <f>MID('paste from garc here'!$C$2,1+(('table for research'!$B724-456)*36+HEX2DEC('table for research'!Y$1))*2,2)</f>
        <v>00</v>
      </c>
      <c r="Z724" t="str">
        <f>MID('paste from garc here'!$C$2,1+(('table for research'!$B724-456)*36+HEX2DEC('table for research'!Z$1))*2,2)</f>
        <v>00</v>
      </c>
      <c r="AA724" t="str">
        <f>MID('paste from garc here'!$C$2,1+(('table for research'!$B724-456)*36+HEX2DEC('table for research'!AA$1))*2,2)</f>
        <v>00</v>
      </c>
      <c r="AB724" t="str">
        <f>MID('paste from garc here'!$C$2,1+(('table for research'!$B724-456)*36+HEX2DEC('table for research'!AB$1))*2,2)</f>
        <v>00</v>
      </c>
      <c r="AC724" t="str">
        <f>MID('paste from garc here'!$C$2,1+(('table for research'!$B724-456)*36+HEX2DEC('table for research'!AC$1))*2,2)</f>
        <v>00</v>
      </c>
      <c r="AD724" t="str">
        <f>MID('paste from garc here'!$C$2,1+(('table for research'!$B724-456)*36+HEX2DEC('table for research'!AD$1))*2,2)</f>
        <v>00</v>
      </c>
      <c r="AE724" t="str">
        <f>MID('paste from garc here'!$C$2,1+(('table for research'!$B724-456)*36+HEX2DEC('table for research'!AE$1))*2,2)</f>
        <v>00</v>
      </c>
      <c r="AF724" t="str">
        <f>MID('paste from garc here'!$C$2,1+(('table for research'!$B724-456)*36+HEX2DEC('table for research'!AF$1))*2,2)</f>
        <v>00</v>
      </c>
      <c r="AG724" t="str">
        <f>MID('paste from garc here'!$C$2,1+(('table for research'!$B724-456)*36+HEX2DEC('table for research'!AG$1))*2,2)</f>
        <v>00</v>
      </c>
      <c r="AH724" t="str">
        <f>MID('paste from garc here'!$C$2,1+(('table for research'!$B724-456)*36+HEX2DEC('table for research'!AH$1))*2,2)</f>
        <v>00</v>
      </c>
      <c r="AI724" t="str">
        <f>MID('paste from garc here'!$C$2,1+(('table for research'!$B724-456)*36+HEX2DEC('table for research'!AI$1))*2,2)</f>
        <v>00</v>
      </c>
      <c r="AJ724" t="str">
        <f>MID('paste from garc here'!$C$2,1+(('table for research'!$B724-456)*36+HEX2DEC('table for research'!AJ$1))*2,2)</f>
        <v>00</v>
      </c>
      <c r="AK724" t="str">
        <f>MID('paste from garc here'!$C$2,1+(('table for research'!$B724-456)*36+HEX2DEC('table for research'!AK$1))*2,2)</f>
        <v>00</v>
      </c>
      <c r="AL724" t="str">
        <f>MID('paste from garc here'!$C$2,1+(('table for research'!$B724-456)*36+HEX2DEC('table for research'!AL$1))*2,2)</f>
        <v>00</v>
      </c>
      <c r="AM724" t="str">
        <f>MID('paste from garc here'!$C$2,1+(('table for research'!$B724-456)*36+HEX2DEC('table for research'!AM$1))*2,2)</f>
        <v>00</v>
      </c>
      <c r="AN724" t="str">
        <f>MID('paste from garc here'!$C$2,1+(('table for research'!$B724-456)*36+HEX2DEC('table for research'!AN$1))*2,2)</f>
        <v>00</v>
      </c>
      <c r="AO724" t="str">
        <f>MID('paste from garc here'!$C$2,1+(('table for research'!$B724-456)*36+HEX2DEC('table for research'!AO$1))*2,2)</f>
        <v>00</v>
      </c>
    </row>
    <row r="725" spans="1:41" x14ac:dyDescent="0.4">
      <c r="A725" t="s">
        <v>480</v>
      </c>
      <c r="B725">
        <f>B724+1</f>
        <v>723</v>
      </c>
      <c r="C725" t="str">
        <f>MID('paste from garc here'!$C$2,1+(('table for research'!$B725-456)*36+HEX2DEC('table for research'!C$1))*2,2)</f>
        <v>00</v>
      </c>
      <c r="D725" t="str">
        <f>MID('paste from garc here'!$C$2,1+(('table for research'!$B725-456)*36+HEX2DEC('table for research'!D$1))*2,2)</f>
        <v>00</v>
      </c>
      <c r="E725" t="str">
        <f>MID('paste from garc here'!$C$2,1+(('table for research'!$B725-456)*36+HEX2DEC('table for research'!E$1))*2,2)</f>
        <v>00</v>
      </c>
      <c r="F725" t="str">
        <f>MID('paste from garc here'!$C$2,1+(('table for research'!$B725-456)*36+HEX2DEC('table for research'!F$1))*2,2)</f>
        <v>00</v>
      </c>
      <c r="G725" t="str">
        <f>MID('paste from garc here'!$C$2,1+(('table for research'!$B725-456)*36+HEX2DEC('table for research'!G$1))*2,2)</f>
        <v>00</v>
      </c>
      <c r="H725" t="str">
        <f>MID('paste from garc here'!$C$2,1+(('table for research'!$B725-456)*36+HEX2DEC('table for research'!H$1))*2,2)</f>
        <v>00</v>
      </c>
      <c r="I725" t="str">
        <f>MID('paste from garc here'!$C$2,1+(('table for research'!$B725-456)*36+HEX2DEC('table for research'!I$1))*2,2)</f>
        <v>00</v>
      </c>
      <c r="J725" t="str">
        <f>MID('paste from garc here'!$C$2,1+(('table for research'!$B725-456)*36+HEX2DEC('table for research'!J$1))*2,2)</f>
        <v>00</v>
      </c>
      <c r="K725" t="str">
        <f>DEC2HEX(_xlfn.BITAND(HEX2DEC(MID('paste from garc here'!$C$1,1+(('table for research'!$B725-1)*36+HEX2DEC(8))*2,2)),31),2)</f>
        <v>00</v>
      </c>
      <c r="L725" t="str">
        <f>DEC2HEX(_xlfn.BITAND(HEX2DEC(MID('paste from garc here'!$C$1,1+(('table for research'!$B725-1)*36+HEX2DEC(8))*2,2)),32),2)</f>
        <v>00</v>
      </c>
      <c r="M725" t="str">
        <f>DEC2HEX(_xlfn.BITAND(HEX2DEC(MID('paste from garc here'!$C$1,1+(('table for research'!$B725-1)*36+HEX2DEC(8))*2,2)),64),2)</f>
        <v>00</v>
      </c>
      <c r="N725" t="str">
        <f>DEC2HEX(_xlfn.BITRSHIFT(_xlfn.BITAND(HEX2DEC(MID('paste from garc here'!$C$1,1+(('table for research'!$B725-1)*36+HEX2DEC(9))*2,2)&amp;MID('paste from garc here'!$C$1,1+(('table for research'!$B725-1)*36+HEX2DEC(8))*2,2)),1920),7),2)</f>
        <v>00</v>
      </c>
      <c r="O725" t="str">
        <f>DEC2HEX(_xlfn.BITRSHIFT(HEX2DEC(MID('paste from garc here'!$C$1,1+(('table for research'!$B725-1)*36+HEX2DEC(9))*2,2)&amp;MID('paste from garc here'!$C$1,1+(('table for research'!$B725-1)*36+HEX2DEC(8))*2,2)),11),2)</f>
        <v>00</v>
      </c>
      <c r="P725" t="str">
        <f>MID('paste from garc here'!$C$2,1+(('table for research'!$B725-456)*36+HEX2DEC('table for research'!P$1))*2,2)</f>
        <v>00</v>
      </c>
      <c r="Q725" t="str">
        <f>MID('paste from garc here'!$C$2,1+(('table for research'!$B725-456)*36+HEX2DEC('table for research'!Q$1))*2,2)</f>
        <v>00</v>
      </c>
      <c r="R725" t="str">
        <f>MID('paste from garc here'!$C$2,1+(('table for research'!$B725-456)*36+HEX2DEC('table for research'!R$1))*2,2)</f>
        <v>00</v>
      </c>
      <c r="S725" t="str">
        <f>MID('paste from garc here'!$C$2,1+(('table for research'!$B725-456)*36+HEX2DEC('table for research'!S$1))*2,2)</f>
        <v>08</v>
      </c>
      <c r="T725" t="str">
        <f>MID('paste from garc here'!$C$2,1+(('table for research'!$B725-456)*36+HEX2DEC('table for research'!T$1))*2,2)</f>
        <v>00</v>
      </c>
      <c r="U725" t="str">
        <f>MID('paste from garc here'!$C$2,1+(('table for research'!$B725-456)*36+HEX2DEC('table for research'!U$1))*2,2)</f>
        <v>FF</v>
      </c>
      <c r="V725" t="str">
        <f>MID('paste from garc here'!$C$2,1+(('table for research'!$B725-456)*36+HEX2DEC('table for research'!V$1))*2,2)</f>
        <v>00</v>
      </c>
      <c r="W725" t="str">
        <f>MID('paste from garc here'!$C$2,1+(('table for research'!$B725-456)*36+HEX2DEC('table for research'!W$1))*2,2)</f>
        <v>00</v>
      </c>
      <c r="X725" t="str">
        <f>MID('paste from garc here'!$C$2,1+(('table for research'!$B725-456)*36+HEX2DEC('table for research'!X$1))*2,2)</f>
        <v>00</v>
      </c>
      <c r="Y725" t="str">
        <f>MID('paste from garc here'!$C$2,1+(('table for research'!$B725-456)*36+HEX2DEC('table for research'!Y$1))*2,2)</f>
        <v>00</v>
      </c>
      <c r="Z725" t="str">
        <f>MID('paste from garc here'!$C$2,1+(('table for research'!$B725-456)*36+HEX2DEC('table for research'!Z$1))*2,2)</f>
        <v>00</v>
      </c>
      <c r="AA725" t="str">
        <f>MID('paste from garc here'!$C$2,1+(('table for research'!$B725-456)*36+HEX2DEC('table for research'!AA$1))*2,2)</f>
        <v>00</v>
      </c>
      <c r="AB725" t="str">
        <f>MID('paste from garc here'!$C$2,1+(('table for research'!$B725-456)*36+HEX2DEC('table for research'!AB$1))*2,2)</f>
        <v>00</v>
      </c>
      <c r="AC725" t="str">
        <f>MID('paste from garc here'!$C$2,1+(('table for research'!$B725-456)*36+HEX2DEC('table for research'!AC$1))*2,2)</f>
        <v>00</v>
      </c>
      <c r="AD725" t="str">
        <f>MID('paste from garc here'!$C$2,1+(('table for research'!$B725-456)*36+HEX2DEC('table for research'!AD$1))*2,2)</f>
        <v>00</v>
      </c>
      <c r="AE725" t="str">
        <f>MID('paste from garc here'!$C$2,1+(('table for research'!$B725-456)*36+HEX2DEC('table for research'!AE$1))*2,2)</f>
        <v>00</v>
      </c>
      <c r="AF725" t="str">
        <f>MID('paste from garc here'!$C$2,1+(('table for research'!$B725-456)*36+HEX2DEC('table for research'!AF$1))*2,2)</f>
        <v>00</v>
      </c>
      <c r="AG725" t="str">
        <f>MID('paste from garc here'!$C$2,1+(('table for research'!$B725-456)*36+HEX2DEC('table for research'!AG$1))*2,2)</f>
        <v>00</v>
      </c>
      <c r="AH725" t="str">
        <f>MID('paste from garc here'!$C$2,1+(('table for research'!$B725-456)*36+HEX2DEC('table for research'!AH$1))*2,2)</f>
        <v>00</v>
      </c>
      <c r="AI725" t="str">
        <f>MID('paste from garc here'!$C$2,1+(('table for research'!$B725-456)*36+HEX2DEC('table for research'!AI$1))*2,2)</f>
        <v>00</v>
      </c>
      <c r="AJ725" t="str">
        <f>MID('paste from garc here'!$C$2,1+(('table for research'!$B725-456)*36+HEX2DEC('table for research'!AJ$1))*2,2)</f>
        <v>00</v>
      </c>
      <c r="AK725" t="str">
        <f>MID('paste from garc here'!$C$2,1+(('table for research'!$B725-456)*36+HEX2DEC('table for research'!AK$1))*2,2)</f>
        <v>00</v>
      </c>
      <c r="AL725" t="str">
        <f>MID('paste from garc here'!$C$2,1+(('table for research'!$B725-456)*36+HEX2DEC('table for research'!AL$1))*2,2)</f>
        <v>00</v>
      </c>
      <c r="AM725" t="str">
        <f>MID('paste from garc here'!$C$2,1+(('table for research'!$B725-456)*36+HEX2DEC('table for research'!AM$1))*2,2)</f>
        <v>00</v>
      </c>
      <c r="AN725" t="str">
        <f>MID('paste from garc here'!$C$2,1+(('table for research'!$B725-456)*36+HEX2DEC('table for research'!AN$1))*2,2)</f>
        <v>00</v>
      </c>
      <c r="AO725" t="str">
        <f>MID('paste from garc here'!$C$2,1+(('table for research'!$B725-456)*36+HEX2DEC('table for research'!AO$1))*2,2)</f>
        <v>00</v>
      </c>
    </row>
    <row r="726" spans="1:41" x14ac:dyDescent="0.4">
      <c r="A726" t="s">
        <v>722</v>
      </c>
      <c r="B726">
        <f>B725+1</f>
        <v>724</v>
      </c>
      <c r="C726" t="str">
        <f>MID('paste from garc here'!$C$2,1+(('table for research'!$B726-456)*36+HEX2DEC('table for research'!C$1))*2,2)</f>
        <v>00</v>
      </c>
      <c r="D726" t="str">
        <f>MID('paste from garc here'!$C$2,1+(('table for research'!$B726-456)*36+HEX2DEC('table for research'!D$1))*2,2)</f>
        <v>00</v>
      </c>
      <c r="E726" t="str">
        <f>MID('paste from garc here'!$C$2,1+(('table for research'!$B726-456)*36+HEX2DEC('table for research'!E$1))*2,2)</f>
        <v>00</v>
      </c>
      <c r="F726" t="str">
        <f>MID('paste from garc here'!$C$2,1+(('table for research'!$B726-456)*36+HEX2DEC('table for research'!F$1))*2,2)</f>
        <v>00</v>
      </c>
      <c r="G726" t="str">
        <f>MID('paste from garc here'!$C$2,1+(('table for research'!$B726-456)*36+HEX2DEC('table for research'!G$1))*2,2)</f>
        <v>00</v>
      </c>
      <c r="H726" t="str">
        <f>MID('paste from garc here'!$C$2,1+(('table for research'!$B726-456)*36+HEX2DEC('table for research'!H$1))*2,2)</f>
        <v>00</v>
      </c>
      <c r="I726" t="str">
        <f>MID('paste from garc here'!$C$2,1+(('table for research'!$B726-456)*36+HEX2DEC('table for research'!I$1))*2,2)</f>
        <v>00</v>
      </c>
      <c r="J726" t="str">
        <f>MID('paste from garc here'!$C$2,1+(('table for research'!$B726-456)*36+HEX2DEC('table for research'!J$1))*2,2)</f>
        <v>00</v>
      </c>
      <c r="K726" t="str">
        <f>DEC2HEX(_xlfn.BITAND(HEX2DEC(MID('paste from garc here'!$C$1,1+(('table for research'!$B726-1)*36+HEX2DEC(8))*2,2)),31),2)</f>
        <v>00</v>
      </c>
      <c r="L726" t="str">
        <f>DEC2HEX(_xlfn.BITAND(HEX2DEC(MID('paste from garc here'!$C$1,1+(('table for research'!$B726-1)*36+HEX2DEC(8))*2,2)),32),2)</f>
        <v>00</v>
      </c>
      <c r="M726" t="str">
        <f>DEC2HEX(_xlfn.BITAND(HEX2DEC(MID('paste from garc here'!$C$1,1+(('table for research'!$B726-1)*36+HEX2DEC(8))*2,2)),64),2)</f>
        <v>00</v>
      </c>
      <c r="N726" t="str">
        <f>DEC2HEX(_xlfn.BITRSHIFT(_xlfn.BITAND(HEX2DEC(MID('paste from garc here'!$C$1,1+(('table for research'!$B726-1)*36+HEX2DEC(9))*2,2)&amp;MID('paste from garc here'!$C$1,1+(('table for research'!$B726-1)*36+HEX2DEC(8))*2,2)),1920),7),2)</f>
        <v>00</v>
      </c>
      <c r="O726" t="str">
        <f>DEC2HEX(_xlfn.BITRSHIFT(HEX2DEC(MID('paste from garc here'!$C$1,1+(('table for research'!$B726-1)*36+HEX2DEC(9))*2,2)&amp;MID('paste from garc here'!$C$1,1+(('table for research'!$B726-1)*36+HEX2DEC(8))*2,2)),11),2)</f>
        <v>00</v>
      </c>
      <c r="P726" t="str">
        <f>MID('paste from garc here'!$C$2,1+(('table for research'!$B726-456)*36+HEX2DEC('table for research'!P$1))*2,2)</f>
        <v>08</v>
      </c>
      <c r="Q726" t="str">
        <f>MID('paste from garc here'!$C$2,1+(('table for research'!$B726-456)*36+HEX2DEC('table for research'!Q$1))*2,2)</f>
        <v>00</v>
      </c>
      <c r="R726" t="str">
        <f>MID('paste from garc here'!$C$2,1+(('table for research'!$B726-456)*36+HEX2DEC('table for research'!R$1))*2,2)</f>
        <v>00</v>
      </c>
      <c r="S726" t="str">
        <f>MID('paste from garc here'!$C$2,1+(('table for research'!$B726-456)*36+HEX2DEC('table for research'!S$1))*2,2)</f>
        <v>08</v>
      </c>
      <c r="T726" t="str">
        <f>MID('paste from garc here'!$C$2,1+(('table for research'!$B726-456)*36+HEX2DEC('table for research'!T$1))*2,2)</f>
        <v>00</v>
      </c>
      <c r="U726" t="str">
        <f>MID('paste from garc here'!$C$2,1+(('table for research'!$B726-456)*36+HEX2DEC('table for research'!U$1))*2,2)</f>
        <v>FF</v>
      </c>
      <c r="V726" t="str">
        <f>MID('paste from garc here'!$C$2,1+(('table for research'!$B726-456)*36+HEX2DEC('table for research'!V$1))*2,2)</f>
        <v>00</v>
      </c>
      <c r="W726" t="str">
        <f>MID('paste from garc here'!$C$2,1+(('table for research'!$B726-456)*36+HEX2DEC('table for research'!W$1))*2,2)</f>
        <v>00</v>
      </c>
      <c r="X726" t="str">
        <f>MID('paste from garc here'!$C$2,1+(('table for research'!$B726-456)*36+HEX2DEC('table for research'!X$1))*2,2)</f>
        <v>00</v>
      </c>
      <c r="Y726" t="str">
        <f>MID('paste from garc here'!$C$2,1+(('table for research'!$B726-456)*36+HEX2DEC('table for research'!Y$1))*2,2)</f>
        <v>00</v>
      </c>
      <c r="Z726" t="str">
        <f>MID('paste from garc here'!$C$2,1+(('table for research'!$B726-456)*36+HEX2DEC('table for research'!Z$1))*2,2)</f>
        <v>00</v>
      </c>
      <c r="AA726" t="str">
        <f>MID('paste from garc here'!$C$2,1+(('table for research'!$B726-456)*36+HEX2DEC('table for research'!AA$1))*2,2)</f>
        <v>00</v>
      </c>
      <c r="AB726" t="str">
        <f>MID('paste from garc here'!$C$2,1+(('table for research'!$B726-456)*36+HEX2DEC('table for research'!AB$1))*2,2)</f>
        <v>00</v>
      </c>
      <c r="AC726" t="str">
        <f>MID('paste from garc here'!$C$2,1+(('table for research'!$B726-456)*36+HEX2DEC('table for research'!AC$1))*2,2)</f>
        <v>00</v>
      </c>
      <c r="AD726" t="str">
        <f>MID('paste from garc here'!$C$2,1+(('table for research'!$B726-456)*36+HEX2DEC('table for research'!AD$1))*2,2)</f>
        <v>00</v>
      </c>
      <c r="AE726" t="str">
        <f>MID('paste from garc here'!$C$2,1+(('table for research'!$B726-456)*36+HEX2DEC('table for research'!AE$1))*2,2)</f>
        <v>00</v>
      </c>
      <c r="AF726" t="str">
        <f>MID('paste from garc here'!$C$2,1+(('table for research'!$B726-456)*36+HEX2DEC('table for research'!AF$1))*2,2)</f>
        <v>00</v>
      </c>
      <c r="AG726" t="str">
        <f>MID('paste from garc here'!$C$2,1+(('table for research'!$B726-456)*36+HEX2DEC('table for research'!AG$1))*2,2)</f>
        <v>00</v>
      </c>
      <c r="AH726" t="str">
        <f>MID('paste from garc here'!$C$2,1+(('table for research'!$B726-456)*36+HEX2DEC('table for research'!AH$1))*2,2)</f>
        <v>00</v>
      </c>
      <c r="AI726" t="str">
        <f>MID('paste from garc here'!$C$2,1+(('table for research'!$B726-456)*36+HEX2DEC('table for research'!AI$1))*2,2)</f>
        <v>00</v>
      </c>
      <c r="AJ726" t="str">
        <f>MID('paste from garc here'!$C$2,1+(('table for research'!$B726-456)*36+HEX2DEC('table for research'!AJ$1))*2,2)</f>
        <v>00</v>
      </c>
      <c r="AK726" t="str">
        <f>MID('paste from garc here'!$C$2,1+(('table for research'!$B726-456)*36+HEX2DEC('table for research'!AK$1))*2,2)</f>
        <v>00</v>
      </c>
      <c r="AL726" t="str">
        <f>MID('paste from garc here'!$C$2,1+(('table for research'!$B726-456)*36+HEX2DEC('table for research'!AL$1))*2,2)</f>
        <v>00</v>
      </c>
      <c r="AM726" t="str">
        <f>MID('paste from garc here'!$C$2,1+(('table for research'!$B726-456)*36+HEX2DEC('table for research'!AM$1))*2,2)</f>
        <v>00</v>
      </c>
      <c r="AN726" t="str">
        <f>MID('paste from garc here'!$C$2,1+(('table for research'!$B726-456)*36+HEX2DEC('table for research'!AN$1))*2,2)</f>
        <v>00</v>
      </c>
      <c r="AO726" t="str">
        <f>MID('paste from garc here'!$C$2,1+(('table for research'!$B726-456)*36+HEX2DEC('table for research'!AO$1))*2,2)</f>
        <v>00</v>
      </c>
    </row>
    <row r="727" spans="1:41" x14ac:dyDescent="0.4">
      <c r="A727" t="s">
        <v>723</v>
      </c>
      <c r="B727">
        <f>B726+1</f>
        <v>725</v>
      </c>
      <c r="C727" t="str">
        <f>MID('paste from garc here'!$C$2,1+(('table for research'!$B727-456)*36+HEX2DEC('table for research'!C$1))*2,2)</f>
        <v>00</v>
      </c>
      <c r="D727" t="str">
        <f>MID('paste from garc here'!$C$2,1+(('table for research'!$B727-456)*36+HEX2DEC('table for research'!D$1))*2,2)</f>
        <v>00</v>
      </c>
      <c r="E727" t="str">
        <f>MID('paste from garc here'!$C$2,1+(('table for research'!$B727-456)*36+HEX2DEC('table for research'!E$1))*2,2)</f>
        <v>00</v>
      </c>
      <c r="F727" t="str">
        <f>MID('paste from garc here'!$C$2,1+(('table for research'!$B727-456)*36+HEX2DEC('table for research'!F$1))*2,2)</f>
        <v>00</v>
      </c>
      <c r="G727" t="str">
        <f>MID('paste from garc here'!$C$2,1+(('table for research'!$B727-456)*36+HEX2DEC('table for research'!G$1))*2,2)</f>
        <v>00</v>
      </c>
      <c r="H727" t="str">
        <f>MID('paste from garc here'!$C$2,1+(('table for research'!$B727-456)*36+HEX2DEC('table for research'!H$1))*2,2)</f>
        <v>00</v>
      </c>
      <c r="I727" t="str">
        <f>MID('paste from garc here'!$C$2,1+(('table for research'!$B727-456)*36+HEX2DEC('table for research'!I$1))*2,2)</f>
        <v>00</v>
      </c>
      <c r="J727" t="str">
        <f>MID('paste from garc here'!$C$2,1+(('table for research'!$B727-456)*36+HEX2DEC('table for research'!J$1))*2,2)</f>
        <v>00</v>
      </c>
      <c r="K727" t="str">
        <f>DEC2HEX(_xlfn.BITAND(HEX2DEC(MID('paste from garc here'!$C$1,1+(('table for research'!$B727-1)*36+HEX2DEC(8))*2,2)),31),2)</f>
        <v>00</v>
      </c>
      <c r="L727" t="str">
        <f>DEC2HEX(_xlfn.BITAND(HEX2DEC(MID('paste from garc here'!$C$1,1+(('table for research'!$B727-1)*36+HEX2DEC(8))*2,2)),32),2)</f>
        <v>00</v>
      </c>
      <c r="M727" t="str">
        <f>DEC2HEX(_xlfn.BITAND(HEX2DEC(MID('paste from garc here'!$C$1,1+(('table for research'!$B727-1)*36+HEX2DEC(8))*2,2)),64),2)</f>
        <v>00</v>
      </c>
      <c r="N727" t="str">
        <f>DEC2HEX(_xlfn.BITRSHIFT(_xlfn.BITAND(HEX2DEC(MID('paste from garc here'!$C$1,1+(('table for research'!$B727-1)*36+HEX2DEC(9))*2,2)&amp;MID('paste from garc here'!$C$1,1+(('table for research'!$B727-1)*36+HEX2DEC(8))*2,2)),1920),7),2)</f>
        <v>00</v>
      </c>
      <c r="O727" t="str">
        <f>DEC2HEX(_xlfn.BITRSHIFT(HEX2DEC(MID('paste from garc here'!$C$1,1+(('table for research'!$B727-1)*36+HEX2DEC(9))*2,2)&amp;MID('paste from garc here'!$C$1,1+(('table for research'!$B727-1)*36+HEX2DEC(8))*2,2)),11),2)</f>
        <v>00</v>
      </c>
      <c r="P727" t="str">
        <f>MID('paste from garc here'!$C$2,1+(('table for research'!$B727-456)*36+HEX2DEC('table for research'!P$1))*2,2)</f>
        <v>00</v>
      </c>
      <c r="Q727" t="str">
        <f>MID('paste from garc here'!$C$2,1+(('table for research'!$B727-456)*36+HEX2DEC('table for research'!Q$1))*2,2)</f>
        <v>00</v>
      </c>
      <c r="R727" t="str">
        <f>MID('paste from garc here'!$C$2,1+(('table for research'!$B727-456)*36+HEX2DEC('table for research'!R$1))*2,2)</f>
        <v>00</v>
      </c>
      <c r="S727" t="str">
        <f>MID('paste from garc here'!$C$2,1+(('table for research'!$B727-456)*36+HEX2DEC('table for research'!S$1))*2,2)</f>
        <v>08</v>
      </c>
      <c r="T727" t="str">
        <f>MID('paste from garc here'!$C$2,1+(('table for research'!$B727-456)*36+HEX2DEC('table for research'!T$1))*2,2)</f>
        <v>00</v>
      </c>
      <c r="U727" t="str">
        <f>MID('paste from garc here'!$C$2,1+(('table for research'!$B727-456)*36+HEX2DEC('table for research'!U$1))*2,2)</f>
        <v>FF</v>
      </c>
      <c r="V727" t="str">
        <f>MID('paste from garc here'!$C$2,1+(('table for research'!$B727-456)*36+HEX2DEC('table for research'!V$1))*2,2)</f>
        <v>00</v>
      </c>
      <c r="W727" t="str">
        <f>MID('paste from garc here'!$C$2,1+(('table for research'!$B727-456)*36+HEX2DEC('table for research'!W$1))*2,2)</f>
        <v>00</v>
      </c>
      <c r="X727" t="str">
        <f>MID('paste from garc here'!$C$2,1+(('table for research'!$B727-456)*36+HEX2DEC('table for research'!X$1))*2,2)</f>
        <v>00</v>
      </c>
      <c r="Y727" t="str">
        <f>MID('paste from garc here'!$C$2,1+(('table for research'!$B727-456)*36+HEX2DEC('table for research'!Y$1))*2,2)</f>
        <v>00</v>
      </c>
      <c r="Z727" t="str">
        <f>MID('paste from garc here'!$C$2,1+(('table for research'!$B727-456)*36+HEX2DEC('table for research'!Z$1))*2,2)</f>
        <v>00</v>
      </c>
      <c r="AA727" t="str">
        <f>MID('paste from garc here'!$C$2,1+(('table for research'!$B727-456)*36+HEX2DEC('table for research'!AA$1))*2,2)</f>
        <v>00</v>
      </c>
      <c r="AB727" t="str">
        <f>MID('paste from garc here'!$C$2,1+(('table for research'!$B727-456)*36+HEX2DEC('table for research'!AB$1))*2,2)</f>
        <v>00</v>
      </c>
      <c r="AC727" t="str">
        <f>MID('paste from garc here'!$C$2,1+(('table for research'!$B727-456)*36+HEX2DEC('table for research'!AC$1))*2,2)</f>
        <v>00</v>
      </c>
      <c r="AD727" t="str">
        <f>MID('paste from garc here'!$C$2,1+(('table for research'!$B727-456)*36+HEX2DEC('table for research'!AD$1))*2,2)</f>
        <v>00</v>
      </c>
      <c r="AE727" t="str">
        <f>MID('paste from garc here'!$C$2,1+(('table for research'!$B727-456)*36+HEX2DEC('table for research'!AE$1))*2,2)</f>
        <v>00</v>
      </c>
      <c r="AF727" t="str">
        <f>MID('paste from garc here'!$C$2,1+(('table for research'!$B727-456)*36+HEX2DEC('table for research'!AF$1))*2,2)</f>
        <v>00</v>
      </c>
      <c r="AG727" t="str">
        <f>MID('paste from garc here'!$C$2,1+(('table for research'!$B727-456)*36+HEX2DEC('table for research'!AG$1))*2,2)</f>
        <v>00</v>
      </c>
      <c r="AH727" t="str">
        <f>MID('paste from garc here'!$C$2,1+(('table for research'!$B727-456)*36+HEX2DEC('table for research'!AH$1))*2,2)</f>
        <v>00</v>
      </c>
      <c r="AI727" t="str">
        <f>MID('paste from garc here'!$C$2,1+(('table for research'!$B727-456)*36+HEX2DEC('table for research'!AI$1))*2,2)</f>
        <v>00</v>
      </c>
      <c r="AJ727" t="str">
        <f>MID('paste from garc here'!$C$2,1+(('table for research'!$B727-456)*36+HEX2DEC('table for research'!AJ$1))*2,2)</f>
        <v>00</v>
      </c>
      <c r="AK727" t="str">
        <f>MID('paste from garc here'!$C$2,1+(('table for research'!$B727-456)*36+HEX2DEC('table for research'!AK$1))*2,2)</f>
        <v>00</v>
      </c>
      <c r="AL727" t="str">
        <f>MID('paste from garc here'!$C$2,1+(('table for research'!$B727-456)*36+HEX2DEC('table for research'!AL$1))*2,2)</f>
        <v>00</v>
      </c>
      <c r="AM727" t="str">
        <f>MID('paste from garc here'!$C$2,1+(('table for research'!$B727-456)*36+HEX2DEC('table for research'!AM$1))*2,2)</f>
        <v>00</v>
      </c>
      <c r="AN727" t="str">
        <f>MID('paste from garc here'!$C$2,1+(('table for research'!$B727-456)*36+HEX2DEC('table for research'!AN$1))*2,2)</f>
        <v>00</v>
      </c>
      <c r="AO727" t="str">
        <f>MID('paste from garc here'!$C$2,1+(('table for research'!$B727-456)*36+HEX2DEC('table for research'!AO$1))*2,2)</f>
        <v>00</v>
      </c>
    </row>
    <row r="728" spans="1:41" x14ac:dyDescent="0.4">
      <c r="A728" t="s">
        <v>724</v>
      </c>
      <c r="B728">
        <f>B727+1</f>
        <v>726</v>
      </c>
      <c r="C728" t="str">
        <f>MID('paste from garc here'!$C$2,1+(('table for research'!$B728-456)*36+HEX2DEC('table for research'!C$1))*2,2)</f>
        <v>00</v>
      </c>
      <c r="D728" t="str">
        <f>MID('paste from garc here'!$C$2,1+(('table for research'!$B728-456)*36+HEX2DEC('table for research'!D$1))*2,2)</f>
        <v>00</v>
      </c>
      <c r="E728" t="str">
        <f>MID('paste from garc here'!$C$2,1+(('table for research'!$B728-456)*36+HEX2DEC('table for research'!E$1))*2,2)</f>
        <v>00</v>
      </c>
      <c r="F728" t="str">
        <f>MID('paste from garc here'!$C$2,1+(('table for research'!$B728-456)*36+HEX2DEC('table for research'!F$1))*2,2)</f>
        <v>00</v>
      </c>
      <c r="G728" t="str">
        <f>MID('paste from garc here'!$C$2,1+(('table for research'!$B728-456)*36+HEX2DEC('table for research'!G$1))*2,2)</f>
        <v>00</v>
      </c>
      <c r="H728" t="str">
        <f>MID('paste from garc here'!$C$2,1+(('table for research'!$B728-456)*36+HEX2DEC('table for research'!H$1))*2,2)</f>
        <v>00</v>
      </c>
      <c r="I728" t="str">
        <f>MID('paste from garc here'!$C$2,1+(('table for research'!$B728-456)*36+HEX2DEC('table for research'!I$1))*2,2)</f>
        <v>00</v>
      </c>
      <c r="J728" t="str">
        <f>MID('paste from garc here'!$C$2,1+(('table for research'!$B728-456)*36+HEX2DEC('table for research'!J$1))*2,2)</f>
        <v>00</v>
      </c>
      <c r="K728" t="str">
        <f>DEC2HEX(_xlfn.BITAND(HEX2DEC(MID('paste from garc here'!$C$1,1+(('table for research'!$B728-1)*36+HEX2DEC(8))*2,2)),31),2)</f>
        <v>00</v>
      </c>
      <c r="L728" t="str">
        <f>DEC2HEX(_xlfn.BITAND(HEX2DEC(MID('paste from garc here'!$C$1,1+(('table for research'!$B728-1)*36+HEX2DEC(8))*2,2)),32),2)</f>
        <v>00</v>
      </c>
      <c r="M728" t="str">
        <f>DEC2HEX(_xlfn.BITAND(HEX2DEC(MID('paste from garc here'!$C$1,1+(('table for research'!$B728-1)*36+HEX2DEC(8))*2,2)),64),2)</f>
        <v>00</v>
      </c>
      <c r="N728" t="str">
        <f>DEC2HEX(_xlfn.BITRSHIFT(_xlfn.BITAND(HEX2DEC(MID('paste from garc here'!$C$1,1+(('table for research'!$B728-1)*36+HEX2DEC(9))*2,2)&amp;MID('paste from garc here'!$C$1,1+(('table for research'!$B728-1)*36+HEX2DEC(8))*2,2)),1920),7),2)</f>
        <v>00</v>
      </c>
      <c r="O728" t="str">
        <f>DEC2HEX(_xlfn.BITRSHIFT(HEX2DEC(MID('paste from garc here'!$C$1,1+(('table for research'!$B728-1)*36+HEX2DEC(9))*2,2)&amp;MID('paste from garc here'!$C$1,1+(('table for research'!$B728-1)*36+HEX2DEC(8))*2,2)),11),2)</f>
        <v>00</v>
      </c>
      <c r="P728" t="str">
        <f>MID('paste from garc here'!$C$2,1+(('table for research'!$B728-456)*36+HEX2DEC('table for research'!P$1))*2,2)</f>
        <v>00</v>
      </c>
      <c r="Q728" t="str">
        <f>MID('paste from garc here'!$C$2,1+(('table for research'!$B728-456)*36+HEX2DEC('table for research'!Q$1))*2,2)</f>
        <v>00</v>
      </c>
      <c r="R728" t="str">
        <f>MID('paste from garc here'!$C$2,1+(('table for research'!$B728-456)*36+HEX2DEC('table for research'!R$1))*2,2)</f>
        <v>00</v>
      </c>
      <c r="S728" t="str">
        <f>MID('paste from garc here'!$C$2,1+(('table for research'!$B728-456)*36+HEX2DEC('table for research'!S$1))*2,2)</f>
        <v>08</v>
      </c>
      <c r="T728" t="str">
        <f>MID('paste from garc here'!$C$2,1+(('table for research'!$B728-456)*36+HEX2DEC('table for research'!T$1))*2,2)</f>
        <v>00</v>
      </c>
      <c r="U728" t="str">
        <f>MID('paste from garc here'!$C$2,1+(('table for research'!$B728-456)*36+HEX2DEC('table for research'!U$1))*2,2)</f>
        <v>FF</v>
      </c>
      <c r="V728" t="str">
        <f>MID('paste from garc here'!$C$2,1+(('table for research'!$B728-456)*36+HEX2DEC('table for research'!V$1))*2,2)</f>
        <v>00</v>
      </c>
      <c r="W728" t="str">
        <f>MID('paste from garc here'!$C$2,1+(('table for research'!$B728-456)*36+HEX2DEC('table for research'!W$1))*2,2)</f>
        <v>00</v>
      </c>
      <c r="X728" t="str">
        <f>MID('paste from garc here'!$C$2,1+(('table for research'!$B728-456)*36+HEX2DEC('table for research'!X$1))*2,2)</f>
        <v>00</v>
      </c>
      <c r="Y728" t="str">
        <f>MID('paste from garc here'!$C$2,1+(('table for research'!$B728-456)*36+HEX2DEC('table for research'!Y$1))*2,2)</f>
        <v>00</v>
      </c>
      <c r="Z728" t="str">
        <f>MID('paste from garc here'!$C$2,1+(('table for research'!$B728-456)*36+HEX2DEC('table for research'!Z$1))*2,2)</f>
        <v>00</v>
      </c>
      <c r="AA728" t="str">
        <f>MID('paste from garc here'!$C$2,1+(('table for research'!$B728-456)*36+HEX2DEC('table for research'!AA$1))*2,2)</f>
        <v>00</v>
      </c>
      <c r="AB728" t="str">
        <f>MID('paste from garc here'!$C$2,1+(('table for research'!$B728-456)*36+HEX2DEC('table for research'!AB$1))*2,2)</f>
        <v>00</v>
      </c>
      <c r="AC728" t="str">
        <f>MID('paste from garc here'!$C$2,1+(('table for research'!$B728-456)*36+HEX2DEC('table for research'!AC$1))*2,2)</f>
        <v>00</v>
      </c>
      <c r="AD728" t="str">
        <f>MID('paste from garc here'!$C$2,1+(('table for research'!$B728-456)*36+HEX2DEC('table for research'!AD$1))*2,2)</f>
        <v>00</v>
      </c>
      <c r="AE728" t="str">
        <f>MID('paste from garc here'!$C$2,1+(('table for research'!$B728-456)*36+HEX2DEC('table for research'!AE$1))*2,2)</f>
        <v>00</v>
      </c>
      <c r="AF728" t="str">
        <f>MID('paste from garc here'!$C$2,1+(('table for research'!$B728-456)*36+HEX2DEC('table for research'!AF$1))*2,2)</f>
        <v>00</v>
      </c>
      <c r="AG728" t="str">
        <f>MID('paste from garc here'!$C$2,1+(('table for research'!$B728-456)*36+HEX2DEC('table for research'!AG$1))*2,2)</f>
        <v>00</v>
      </c>
      <c r="AH728" t="str">
        <f>MID('paste from garc here'!$C$2,1+(('table for research'!$B728-456)*36+HEX2DEC('table for research'!AH$1))*2,2)</f>
        <v>00</v>
      </c>
      <c r="AI728" t="str">
        <f>MID('paste from garc here'!$C$2,1+(('table for research'!$B728-456)*36+HEX2DEC('table for research'!AI$1))*2,2)</f>
        <v>00</v>
      </c>
      <c r="AJ728" t="str">
        <f>MID('paste from garc here'!$C$2,1+(('table for research'!$B728-456)*36+HEX2DEC('table for research'!AJ$1))*2,2)</f>
        <v>00</v>
      </c>
      <c r="AK728" t="str">
        <f>MID('paste from garc here'!$C$2,1+(('table for research'!$B728-456)*36+HEX2DEC('table for research'!AK$1))*2,2)</f>
        <v>00</v>
      </c>
      <c r="AL728" t="str">
        <f>MID('paste from garc here'!$C$2,1+(('table for research'!$B728-456)*36+HEX2DEC('table for research'!AL$1))*2,2)</f>
        <v>00</v>
      </c>
      <c r="AM728" t="str">
        <f>MID('paste from garc here'!$C$2,1+(('table for research'!$B728-456)*36+HEX2DEC('table for research'!AM$1))*2,2)</f>
        <v>00</v>
      </c>
      <c r="AN728" t="str">
        <f>MID('paste from garc here'!$C$2,1+(('table for research'!$B728-456)*36+HEX2DEC('table for research'!AN$1))*2,2)</f>
        <v>00</v>
      </c>
      <c r="AO728" t="str">
        <f>MID('paste from garc here'!$C$2,1+(('table for research'!$B728-456)*36+HEX2DEC('table for research'!AO$1))*2,2)</f>
        <v>00</v>
      </c>
    </row>
    <row r="729" spans="1:41" x14ac:dyDescent="0.4">
      <c r="A729" t="s">
        <v>725</v>
      </c>
      <c r="B729">
        <f>B728+1</f>
        <v>727</v>
      </c>
      <c r="C729" t="str">
        <f>MID('paste from garc here'!$C$2,1+(('table for research'!$B729-456)*36+HEX2DEC('table for research'!C$1))*2,2)</f>
        <v>00</v>
      </c>
      <c r="D729" t="str">
        <f>MID('paste from garc here'!$C$2,1+(('table for research'!$B729-456)*36+HEX2DEC('table for research'!D$1))*2,2)</f>
        <v>00</v>
      </c>
      <c r="E729" t="str">
        <f>MID('paste from garc here'!$C$2,1+(('table for research'!$B729-456)*36+HEX2DEC('table for research'!E$1))*2,2)</f>
        <v>00</v>
      </c>
      <c r="F729" t="str">
        <f>MID('paste from garc here'!$C$2,1+(('table for research'!$B729-456)*36+HEX2DEC('table for research'!F$1))*2,2)</f>
        <v>00</v>
      </c>
      <c r="G729" t="str">
        <f>MID('paste from garc here'!$C$2,1+(('table for research'!$B729-456)*36+HEX2DEC('table for research'!G$1))*2,2)</f>
        <v>00</v>
      </c>
      <c r="H729" t="str">
        <f>MID('paste from garc here'!$C$2,1+(('table for research'!$B729-456)*36+HEX2DEC('table for research'!H$1))*2,2)</f>
        <v>00</v>
      </c>
      <c r="I729" t="str">
        <f>MID('paste from garc here'!$C$2,1+(('table for research'!$B729-456)*36+HEX2DEC('table for research'!I$1))*2,2)</f>
        <v>00</v>
      </c>
      <c r="J729" t="str">
        <f>MID('paste from garc here'!$C$2,1+(('table for research'!$B729-456)*36+HEX2DEC('table for research'!J$1))*2,2)</f>
        <v>00</v>
      </c>
      <c r="K729" t="str">
        <f>DEC2HEX(_xlfn.BITAND(HEX2DEC(MID('paste from garc here'!$C$1,1+(('table for research'!$B729-1)*36+HEX2DEC(8))*2,2)),31),2)</f>
        <v>00</v>
      </c>
      <c r="L729" t="str">
        <f>DEC2HEX(_xlfn.BITAND(HEX2DEC(MID('paste from garc here'!$C$1,1+(('table for research'!$B729-1)*36+HEX2DEC(8))*2,2)),32),2)</f>
        <v>00</v>
      </c>
      <c r="M729" t="str">
        <f>DEC2HEX(_xlfn.BITAND(HEX2DEC(MID('paste from garc here'!$C$1,1+(('table for research'!$B729-1)*36+HEX2DEC(8))*2,2)),64),2)</f>
        <v>00</v>
      </c>
      <c r="N729" t="str">
        <f>DEC2HEX(_xlfn.BITRSHIFT(_xlfn.BITAND(HEX2DEC(MID('paste from garc here'!$C$1,1+(('table for research'!$B729-1)*36+HEX2DEC(9))*2,2)&amp;MID('paste from garc here'!$C$1,1+(('table for research'!$B729-1)*36+HEX2DEC(8))*2,2)),1920),7),2)</f>
        <v>00</v>
      </c>
      <c r="O729" t="str">
        <f>DEC2HEX(_xlfn.BITRSHIFT(HEX2DEC(MID('paste from garc here'!$C$1,1+(('table for research'!$B729-1)*36+HEX2DEC(9))*2,2)&amp;MID('paste from garc here'!$C$1,1+(('table for research'!$B729-1)*36+HEX2DEC(8))*2,2)),11),2)</f>
        <v>00</v>
      </c>
      <c r="P729" t="str">
        <f>MID('paste from garc here'!$C$2,1+(('table for research'!$B729-456)*36+HEX2DEC('table for research'!P$1))*2,2)</f>
        <v>00</v>
      </c>
      <c r="Q729" t="str">
        <f>MID('paste from garc here'!$C$2,1+(('table for research'!$B729-456)*36+HEX2DEC('table for research'!Q$1))*2,2)</f>
        <v>00</v>
      </c>
      <c r="R729" t="str">
        <f>MID('paste from garc here'!$C$2,1+(('table for research'!$B729-456)*36+HEX2DEC('table for research'!R$1))*2,2)</f>
        <v>00</v>
      </c>
      <c r="S729" t="str">
        <f>MID('paste from garc here'!$C$2,1+(('table for research'!$B729-456)*36+HEX2DEC('table for research'!S$1))*2,2)</f>
        <v>08</v>
      </c>
      <c r="T729" t="str">
        <f>MID('paste from garc here'!$C$2,1+(('table for research'!$B729-456)*36+HEX2DEC('table for research'!T$1))*2,2)</f>
        <v>00</v>
      </c>
      <c r="U729" t="str">
        <f>MID('paste from garc here'!$C$2,1+(('table for research'!$B729-456)*36+HEX2DEC('table for research'!U$1))*2,2)</f>
        <v>FF</v>
      </c>
      <c r="V729" t="str">
        <f>MID('paste from garc here'!$C$2,1+(('table for research'!$B729-456)*36+HEX2DEC('table for research'!V$1))*2,2)</f>
        <v>00</v>
      </c>
      <c r="W729" t="str">
        <f>MID('paste from garc here'!$C$2,1+(('table for research'!$B729-456)*36+HEX2DEC('table for research'!W$1))*2,2)</f>
        <v>00</v>
      </c>
      <c r="X729" t="str">
        <f>MID('paste from garc here'!$C$2,1+(('table for research'!$B729-456)*36+HEX2DEC('table for research'!X$1))*2,2)</f>
        <v>00</v>
      </c>
      <c r="Y729" t="str">
        <f>MID('paste from garc here'!$C$2,1+(('table for research'!$B729-456)*36+HEX2DEC('table for research'!Y$1))*2,2)</f>
        <v>00</v>
      </c>
      <c r="Z729" t="str">
        <f>MID('paste from garc here'!$C$2,1+(('table for research'!$B729-456)*36+HEX2DEC('table for research'!Z$1))*2,2)</f>
        <v>00</v>
      </c>
      <c r="AA729" t="str">
        <f>MID('paste from garc here'!$C$2,1+(('table for research'!$B729-456)*36+HEX2DEC('table for research'!AA$1))*2,2)</f>
        <v>00</v>
      </c>
      <c r="AB729" t="str">
        <f>MID('paste from garc here'!$C$2,1+(('table for research'!$B729-456)*36+HEX2DEC('table for research'!AB$1))*2,2)</f>
        <v>00</v>
      </c>
      <c r="AC729" t="str">
        <f>MID('paste from garc here'!$C$2,1+(('table for research'!$B729-456)*36+HEX2DEC('table for research'!AC$1))*2,2)</f>
        <v>00</v>
      </c>
      <c r="AD729" t="str">
        <f>MID('paste from garc here'!$C$2,1+(('table for research'!$B729-456)*36+HEX2DEC('table for research'!AD$1))*2,2)</f>
        <v>00</v>
      </c>
      <c r="AE729" t="str">
        <f>MID('paste from garc here'!$C$2,1+(('table for research'!$B729-456)*36+HEX2DEC('table for research'!AE$1))*2,2)</f>
        <v>00</v>
      </c>
      <c r="AF729" t="str">
        <f>MID('paste from garc here'!$C$2,1+(('table for research'!$B729-456)*36+HEX2DEC('table for research'!AF$1))*2,2)</f>
        <v>00</v>
      </c>
      <c r="AG729" t="str">
        <f>MID('paste from garc here'!$C$2,1+(('table for research'!$B729-456)*36+HEX2DEC('table for research'!AG$1))*2,2)</f>
        <v>00</v>
      </c>
      <c r="AH729" t="str">
        <f>MID('paste from garc here'!$C$2,1+(('table for research'!$B729-456)*36+HEX2DEC('table for research'!AH$1))*2,2)</f>
        <v>00</v>
      </c>
      <c r="AI729" t="str">
        <f>MID('paste from garc here'!$C$2,1+(('table for research'!$B729-456)*36+HEX2DEC('table for research'!AI$1))*2,2)</f>
        <v>00</v>
      </c>
      <c r="AJ729" t="str">
        <f>MID('paste from garc here'!$C$2,1+(('table for research'!$B729-456)*36+HEX2DEC('table for research'!AJ$1))*2,2)</f>
        <v>00</v>
      </c>
      <c r="AK729" t="str">
        <f>MID('paste from garc here'!$C$2,1+(('table for research'!$B729-456)*36+HEX2DEC('table for research'!AK$1))*2,2)</f>
        <v>00</v>
      </c>
      <c r="AL729" t="str">
        <f>MID('paste from garc here'!$C$2,1+(('table for research'!$B729-456)*36+HEX2DEC('table for research'!AL$1))*2,2)</f>
        <v>00</v>
      </c>
      <c r="AM729" t="str">
        <f>MID('paste from garc here'!$C$2,1+(('table for research'!$B729-456)*36+HEX2DEC('table for research'!AM$1))*2,2)</f>
        <v>00</v>
      </c>
      <c r="AN729" t="str">
        <f>MID('paste from garc here'!$C$2,1+(('table for research'!$B729-456)*36+HEX2DEC('table for research'!AN$1))*2,2)</f>
        <v>00</v>
      </c>
      <c r="AO729" t="str">
        <f>MID('paste from garc here'!$C$2,1+(('table for research'!$B729-456)*36+HEX2DEC('table for research'!AO$1))*2,2)</f>
        <v>00</v>
      </c>
    </row>
    <row r="730" spans="1:41" x14ac:dyDescent="0.4">
      <c r="A730" t="s">
        <v>726</v>
      </c>
      <c r="B730">
        <f>B729+1</f>
        <v>728</v>
      </c>
      <c r="C730" t="str">
        <f>MID('paste from garc here'!$C$2,1+(('table for research'!$B730-456)*36+HEX2DEC('table for research'!C$1))*2,2)</f>
        <v>00</v>
      </c>
      <c r="D730" t="str">
        <f>MID('paste from garc here'!$C$2,1+(('table for research'!$B730-456)*36+HEX2DEC('table for research'!D$1))*2,2)</f>
        <v>00</v>
      </c>
      <c r="E730" t="str">
        <f>MID('paste from garc here'!$C$2,1+(('table for research'!$B730-456)*36+HEX2DEC('table for research'!E$1))*2,2)</f>
        <v>00</v>
      </c>
      <c r="F730" t="str">
        <f>MID('paste from garc here'!$C$2,1+(('table for research'!$B730-456)*36+HEX2DEC('table for research'!F$1))*2,2)</f>
        <v>00</v>
      </c>
      <c r="G730" t="str">
        <f>MID('paste from garc here'!$C$2,1+(('table for research'!$B730-456)*36+HEX2DEC('table for research'!G$1))*2,2)</f>
        <v>00</v>
      </c>
      <c r="H730" t="str">
        <f>MID('paste from garc here'!$C$2,1+(('table for research'!$B730-456)*36+HEX2DEC('table for research'!H$1))*2,2)</f>
        <v>00</v>
      </c>
      <c r="I730" t="str">
        <f>MID('paste from garc here'!$C$2,1+(('table for research'!$B730-456)*36+HEX2DEC('table for research'!I$1))*2,2)</f>
        <v>00</v>
      </c>
      <c r="J730" t="str">
        <f>MID('paste from garc here'!$C$2,1+(('table for research'!$B730-456)*36+HEX2DEC('table for research'!J$1))*2,2)</f>
        <v>00</v>
      </c>
      <c r="K730" t="str">
        <f>DEC2HEX(_xlfn.BITAND(HEX2DEC(MID('paste from garc here'!$C$1,1+(('table for research'!$B730-1)*36+HEX2DEC(8))*2,2)),31),2)</f>
        <v>00</v>
      </c>
      <c r="L730" t="str">
        <f>DEC2HEX(_xlfn.BITAND(HEX2DEC(MID('paste from garc here'!$C$1,1+(('table for research'!$B730-1)*36+HEX2DEC(8))*2,2)),32),2)</f>
        <v>00</v>
      </c>
      <c r="M730" t="str">
        <f>DEC2HEX(_xlfn.BITAND(HEX2DEC(MID('paste from garc here'!$C$1,1+(('table for research'!$B730-1)*36+HEX2DEC(8))*2,2)),64),2)</f>
        <v>00</v>
      </c>
      <c r="N730" t="str">
        <f>DEC2HEX(_xlfn.BITRSHIFT(_xlfn.BITAND(HEX2DEC(MID('paste from garc here'!$C$1,1+(('table for research'!$B730-1)*36+HEX2DEC(9))*2,2)&amp;MID('paste from garc here'!$C$1,1+(('table for research'!$B730-1)*36+HEX2DEC(8))*2,2)),1920),7),2)</f>
        <v>00</v>
      </c>
      <c r="O730" t="str">
        <f>DEC2HEX(_xlfn.BITRSHIFT(HEX2DEC(MID('paste from garc here'!$C$1,1+(('table for research'!$B730-1)*36+HEX2DEC(9))*2,2)&amp;MID('paste from garc here'!$C$1,1+(('table for research'!$B730-1)*36+HEX2DEC(8))*2,2)),11),2)</f>
        <v>00</v>
      </c>
      <c r="P730" t="str">
        <f>MID('paste from garc here'!$C$2,1+(('table for research'!$B730-456)*36+HEX2DEC('table for research'!P$1))*2,2)</f>
        <v>00</v>
      </c>
      <c r="Q730" t="str">
        <f>MID('paste from garc here'!$C$2,1+(('table for research'!$B730-456)*36+HEX2DEC('table for research'!Q$1))*2,2)</f>
        <v>00</v>
      </c>
      <c r="R730" t="str">
        <f>MID('paste from garc here'!$C$2,1+(('table for research'!$B730-456)*36+HEX2DEC('table for research'!R$1))*2,2)</f>
        <v>00</v>
      </c>
      <c r="S730" t="str">
        <f>MID('paste from garc here'!$C$2,1+(('table for research'!$B730-456)*36+HEX2DEC('table for research'!S$1))*2,2)</f>
        <v>08</v>
      </c>
      <c r="T730" t="str">
        <f>MID('paste from garc here'!$C$2,1+(('table for research'!$B730-456)*36+HEX2DEC('table for research'!T$1))*2,2)</f>
        <v>00</v>
      </c>
      <c r="U730" t="str">
        <f>MID('paste from garc here'!$C$2,1+(('table for research'!$B730-456)*36+HEX2DEC('table for research'!U$1))*2,2)</f>
        <v>FF</v>
      </c>
      <c r="V730" t="str">
        <f>MID('paste from garc here'!$C$2,1+(('table for research'!$B730-456)*36+HEX2DEC('table for research'!V$1))*2,2)</f>
        <v>00</v>
      </c>
      <c r="W730" t="str">
        <f>MID('paste from garc here'!$C$2,1+(('table for research'!$B730-456)*36+HEX2DEC('table for research'!W$1))*2,2)</f>
        <v>00</v>
      </c>
      <c r="X730" t="str">
        <f>MID('paste from garc here'!$C$2,1+(('table for research'!$B730-456)*36+HEX2DEC('table for research'!X$1))*2,2)</f>
        <v>00</v>
      </c>
      <c r="Y730" t="str">
        <f>MID('paste from garc here'!$C$2,1+(('table for research'!$B730-456)*36+HEX2DEC('table for research'!Y$1))*2,2)</f>
        <v>00</v>
      </c>
      <c r="Z730" t="str">
        <f>MID('paste from garc here'!$C$2,1+(('table for research'!$B730-456)*36+HEX2DEC('table for research'!Z$1))*2,2)</f>
        <v>00</v>
      </c>
      <c r="AA730" t="str">
        <f>MID('paste from garc here'!$C$2,1+(('table for research'!$B730-456)*36+HEX2DEC('table for research'!AA$1))*2,2)</f>
        <v>00</v>
      </c>
      <c r="AB730" t="str">
        <f>MID('paste from garc here'!$C$2,1+(('table for research'!$B730-456)*36+HEX2DEC('table for research'!AB$1))*2,2)</f>
        <v>00</v>
      </c>
      <c r="AC730" t="str">
        <f>MID('paste from garc here'!$C$2,1+(('table for research'!$B730-456)*36+HEX2DEC('table for research'!AC$1))*2,2)</f>
        <v>00</v>
      </c>
      <c r="AD730" t="str">
        <f>MID('paste from garc here'!$C$2,1+(('table for research'!$B730-456)*36+HEX2DEC('table for research'!AD$1))*2,2)</f>
        <v>00</v>
      </c>
      <c r="AE730" t="str">
        <f>MID('paste from garc here'!$C$2,1+(('table for research'!$B730-456)*36+HEX2DEC('table for research'!AE$1))*2,2)</f>
        <v>00</v>
      </c>
      <c r="AF730" t="str">
        <f>MID('paste from garc here'!$C$2,1+(('table for research'!$B730-456)*36+HEX2DEC('table for research'!AF$1))*2,2)</f>
        <v>00</v>
      </c>
      <c r="AG730" t="str">
        <f>MID('paste from garc here'!$C$2,1+(('table for research'!$B730-456)*36+HEX2DEC('table for research'!AG$1))*2,2)</f>
        <v>00</v>
      </c>
      <c r="AH730" t="str">
        <f>MID('paste from garc here'!$C$2,1+(('table for research'!$B730-456)*36+HEX2DEC('table for research'!AH$1))*2,2)</f>
        <v>00</v>
      </c>
      <c r="AI730" t="str">
        <f>MID('paste from garc here'!$C$2,1+(('table for research'!$B730-456)*36+HEX2DEC('table for research'!AI$1))*2,2)</f>
        <v>00</v>
      </c>
      <c r="AJ730" t="str">
        <f>MID('paste from garc here'!$C$2,1+(('table for research'!$B730-456)*36+HEX2DEC('table for research'!AJ$1))*2,2)</f>
        <v>00</v>
      </c>
      <c r="AK730" t="str">
        <f>MID('paste from garc here'!$C$2,1+(('table for research'!$B730-456)*36+HEX2DEC('table for research'!AK$1))*2,2)</f>
        <v>00</v>
      </c>
      <c r="AL730" t="str">
        <f>MID('paste from garc here'!$C$2,1+(('table for research'!$B730-456)*36+HEX2DEC('table for research'!AL$1))*2,2)</f>
        <v>00</v>
      </c>
      <c r="AM730" t="str">
        <f>MID('paste from garc here'!$C$2,1+(('table for research'!$B730-456)*36+HEX2DEC('table for research'!AM$1))*2,2)</f>
        <v>00</v>
      </c>
      <c r="AN730" t="str">
        <f>MID('paste from garc here'!$C$2,1+(('table for research'!$B730-456)*36+HEX2DEC('table for research'!AN$1))*2,2)</f>
        <v>00</v>
      </c>
      <c r="AO730" t="str">
        <f>MID('paste from garc here'!$C$2,1+(('table for research'!$B730-456)*36+HEX2DEC('table for research'!AO$1))*2,2)</f>
        <v>00</v>
      </c>
    </row>
    <row r="731" spans="1:41" x14ac:dyDescent="0.4">
      <c r="A731" t="s">
        <v>727</v>
      </c>
      <c r="B731">
        <f>B730+1</f>
        <v>729</v>
      </c>
      <c r="C731" t="str">
        <f>MID('paste from garc here'!$C$2,1+(('table for research'!$B731-456)*36+HEX2DEC('table for research'!C$1))*2,2)</f>
        <v>00</v>
      </c>
      <c r="D731" t="str">
        <f>MID('paste from garc here'!$C$2,1+(('table for research'!$B731-456)*36+HEX2DEC('table for research'!D$1))*2,2)</f>
        <v>00</v>
      </c>
      <c r="E731" t="str">
        <f>MID('paste from garc here'!$C$2,1+(('table for research'!$B731-456)*36+HEX2DEC('table for research'!E$1))*2,2)</f>
        <v>00</v>
      </c>
      <c r="F731" t="str">
        <f>MID('paste from garc here'!$C$2,1+(('table for research'!$B731-456)*36+HEX2DEC('table for research'!F$1))*2,2)</f>
        <v>00</v>
      </c>
      <c r="G731" t="str">
        <f>MID('paste from garc here'!$C$2,1+(('table for research'!$B731-456)*36+HEX2DEC('table for research'!G$1))*2,2)</f>
        <v>00</v>
      </c>
      <c r="H731" t="str">
        <f>MID('paste from garc here'!$C$2,1+(('table for research'!$B731-456)*36+HEX2DEC('table for research'!H$1))*2,2)</f>
        <v>00</v>
      </c>
      <c r="I731" t="str">
        <f>MID('paste from garc here'!$C$2,1+(('table for research'!$B731-456)*36+HEX2DEC('table for research'!I$1))*2,2)</f>
        <v>00</v>
      </c>
      <c r="J731" t="str">
        <f>MID('paste from garc here'!$C$2,1+(('table for research'!$B731-456)*36+HEX2DEC('table for research'!J$1))*2,2)</f>
        <v>00</v>
      </c>
      <c r="K731" t="str">
        <f>DEC2HEX(_xlfn.BITAND(HEX2DEC(MID('paste from garc here'!$C$1,1+(('table for research'!$B731-1)*36+HEX2DEC(8))*2,2)),31),2)</f>
        <v>00</v>
      </c>
      <c r="L731" t="str">
        <f>DEC2HEX(_xlfn.BITAND(HEX2DEC(MID('paste from garc here'!$C$1,1+(('table for research'!$B731-1)*36+HEX2DEC(8))*2,2)),32),2)</f>
        <v>00</v>
      </c>
      <c r="M731" t="str">
        <f>DEC2HEX(_xlfn.BITAND(HEX2DEC(MID('paste from garc here'!$C$1,1+(('table for research'!$B731-1)*36+HEX2DEC(8))*2,2)),64),2)</f>
        <v>00</v>
      </c>
      <c r="N731" t="str">
        <f>DEC2HEX(_xlfn.BITRSHIFT(_xlfn.BITAND(HEX2DEC(MID('paste from garc here'!$C$1,1+(('table for research'!$B731-1)*36+HEX2DEC(9))*2,2)&amp;MID('paste from garc here'!$C$1,1+(('table for research'!$B731-1)*36+HEX2DEC(8))*2,2)),1920),7),2)</f>
        <v>00</v>
      </c>
      <c r="O731" t="str">
        <f>DEC2HEX(_xlfn.BITRSHIFT(HEX2DEC(MID('paste from garc here'!$C$1,1+(('table for research'!$B731-1)*36+HEX2DEC(9))*2,2)&amp;MID('paste from garc here'!$C$1,1+(('table for research'!$B731-1)*36+HEX2DEC(8))*2,2)),11),2)</f>
        <v>00</v>
      </c>
      <c r="P731" t="str">
        <f>MID('paste from garc here'!$C$2,1+(('table for research'!$B731-456)*36+HEX2DEC('table for research'!P$1))*2,2)</f>
        <v>00</v>
      </c>
      <c r="Q731" t="str">
        <f>MID('paste from garc here'!$C$2,1+(('table for research'!$B731-456)*36+HEX2DEC('table for research'!Q$1))*2,2)</f>
        <v>00</v>
      </c>
      <c r="R731" t="str">
        <f>MID('paste from garc here'!$C$2,1+(('table for research'!$B731-456)*36+HEX2DEC('table for research'!R$1))*2,2)</f>
        <v>00</v>
      </c>
      <c r="S731" t="str">
        <f>MID('paste from garc here'!$C$2,1+(('table for research'!$B731-456)*36+HEX2DEC('table for research'!S$1))*2,2)</f>
        <v>08</v>
      </c>
      <c r="T731" t="str">
        <f>MID('paste from garc here'!$C$2,1+(('table for research'!$B731-456)*36+HEX2DEC('table for research'!T$1))*2,2)</f>
        <v>00</v>
      </c>
      <c r="U731" t="str">
        <f>MID('paste from garc here'!$C$2,1+(('table for research'!$B731-456)*36+HEX2DEC('table for research'!U$1))*2,2)</f>
        <v>FF</v>
      </c>
      <c r="V731" t="str">
        <f>MID('paste from garc here'!$C$2,1+(('table for research'!$B731-456)*36+HEX2DEC('table for research'!V$1))*2,2)</f>
        <v>00</v>
      </c>
      <c r="W731" t="str">
        <f>MID('paste from garc here'!$C$2,1+(('table for research'!$B731-456)*36+HEX2DEC('table for research'!W$1))*2,2)</f>
        <v>00</v>
      </c>
      <c r="X731" t="str">
        <f>MID('paste from garc here'!$C$2,1+(('table for research'!$B731-456)*36+HEX2DEC('table for research'!X$1))*2,2)</f>
        <v>00</v>
      </c>
      <c r="Y731" t="str">
        <f>MID('paste from garc here'!$C$2,1+(('table for research'!$B731-456)*36+HEX2DEC('table for research'!Y$1))*2,2)</f>
        <v>00</v>
      </c>
      <c r="Z731" t="str">
        <f>MID('paste from garc here'!$C$2,1+(('table for research'!$B731-456)*36+HEX2DEC('table for research'!Z$1))*2,2)</f>
        <v>00</v>
      </c>
      <c r="AA731" t="str">
        <f>MID('paste from garc here'!$C$2,1+(('table for research'!$B731-456)*36+HEX2DEC('table for research'!AA$1))*2,2)</f>
        <v>00</v>
      </c>
      <c r="AB731" t="str">
        <f>MID('paste from garc here'!$C$2,1+(('table for research'!$B731-456)*36+HEX2DEC('table for research'!AB$1))*2,2)</f>
        <v>00</v>
      </c>
      <c r="AC731" t="str">
        <f>MID('paste from garc here'!$C$2,1+(('table for research'!$B731-456)*36+HEX2DEC('table for research'!AC$1))*2,2)</f>
        <v>00</v>
      </c>
      <c r="AD731" t="str">
        <f>MID('paste from garc here'!$C$2,1+(('table for research'!$B731-456)*36+HEX2DEC('table for research'!AD$1))*2,2)</f>
        <v>00</v>
      </c>
      <c r="AE731" t="str">
        <f>MID('paste from garc here'!$C$2,1+(('table for research'!$B731-456)*36+HEX2DEC('table for research'!AE$1))*2,2)</f>
        <v>00</v>
      </c>
      <c r="AF731" t="str">
        <f>MID('paste from garc here'!$C$2,1+(('table for research'!$B731-456)*36+HEX2DEC('table for research'!AF$1))*2,2)</f>
        <v>00</v>
      </c>
      <c r="AG731" t="str">
        <f>MID('paste from garc here'!$C$2,1+(('table for research'!$B731-456)*36+HEX2DEC('table for research'!AG$1))*2,2)</f>
        <v>00</v>
      </c>
      <c r="AH731" t="str">
        <f>MID('paste from garc here'!$C$2,1+(('table for research'!$B731-456)*36+HEX2DEC('table for research'!AH$1))*2,2)</f>
        <v>00</v>
      </c>
      <c r="AI731" t="str">
        <f>MID('paste from garc here'!$C$2,1+(('table for research'!$B731-456)*36+HEX2DEC('table for research'!AI$1))*2,2)</f>
        <v>00</v>
      </c>
      <c r="AJ731" t="str">
        <f>MID('paste from garc here'!$C$2,1+(('table for research'!$B731-456)*36+HEX2DEC('table for research'!AJ$1))*2,2)</f>
        <v>00</v>
      </c>
      <c r="AK731" t="str">
        <f>MID('paste from garc here'!$C$2,1+(('table for research'!$B731-456)*36+HEX2DEC('table for research'!AK$1))*2,2)</f>
        <v>00</v>
      </c>
      <c r="AL731" t="str">
        <f>MID('paste from garc here'!$C$2,1+(('table for research'!$B731-456)*36+HEX2DEC('table for research'!AL$1))*2,2)</f>
        <v>00</v>
      </c>
      <c r="AM731" t="str">
        <f>MID('paste from garc here'!$C$2,1+(('table for research'!$B731-456)*36+HEX2DEC('table for research'!AM$1))*2,2)</f>
        <v>00</v>
      </c>
      <c r="AN731" t="str">
        <f>MID('paste from garc here'!$C$2,1+(('table for research'!$B731-456)*36+HEX2DEC('table for research'!AN$1))*2,2)</f>
        <v>00</v>
      </c>
      <c r="AO731" t="str">
        <f>MID('paste from garc here'!$C$2,1+(('table for research'!$B731-456)*36+HEX2DEC('table for research'!AO$1))*2,2)</f>
        <v>00</v>
      </c>
    </row>
    <row r="732" spans="1:41" x14ac:dyDescent="0.4">
      <c r="A732" t="s">
        <v>728</v>
      </c>
      <c r="B732">
        <f>B731+1</f>
        <v>730</v>
      </c>
      <c r="C732" t="str">
        <f>MID('paste from garc here'!$C$2,1+(('table for research'!$B732-456)*36+HEX2DEC('table for research'!C$1))*2,2)</f>
        <v>00</v>
      </c>
      <c r="D732" t="str">
        <f>MID('paste from garc here'!$C$2,1+(('table for research'!$B732-456)*36+HEX2DEC('table for research'!D$1))*2,2)</f>
        <v>00</v>
      </c>
      <c r="E732" t="str">
        <f>MID('paste from garc here'!$C$2,1+(('table for research'!$B732-456)*36+HEX2DEC('table for research'!E$1))*2,2)</f>
        <v>00</v>
      </c>
      <c r="F732" t="str">
        <f>MID('paste from garc here'!$C$2,1+(('table for research'!$B732-456)*36+HEX2DEC('table for research'!F$1))*2,2)</f>
        <v>00</v>
      </c>
      <c r="G732" t="str">
        <f>MID('paste from garc here'!$C$2,1+(('table for research'!$B732-456)*36+HEX2DEC('table for research'!G$1))*2,2)</f>
        <v>00</v>
      </c>
      <c r="H732" t="str">
        <f>MID('paste from garc here'!$C$2,1+(('table for research'!$B732-456)*36+HEX2DEC('table for research'!H$1))*2,2)</f>
        <v>00</v>
      </c>
      <c r="I732" t="str">
        <f>MID('paste from garc here'!$C$2,1+(('table for research'!$B732-456)*36+HEX2DEC('table for research'!I$1))*2,2)</f>
        <v>00</v>
      </c>
      <c r="J732" t="str">
        <f>MID('paste from garc here'!$C$2,1+(('table for research'!$B732-456)*36+HEX2DEC('table for research'!J$1))*2,2)</f>
        <v>00</v>
      </c>
      <c r="K732" t="str">
        <f>DEC2HEX(_xlfn.BITAND(HEX2DEC(MID('paste from garc here'!$C$1,1+(('table for research'!$B732-1)*36+HEX2DEC(8))*2,2)),31),2)</f>
        <v>00</v>
      </c>
      <c r="L732" t="str">
        <f>DEC2HEX(_xlfn.BITAND(HEX2DEC(MID('paste from garc here'!$C$1,1+(('table for research'!$B732-1)*36+HEX2DEC(8))*2,2)),32),2)</f>
        <v>00</v>
      </c>
      <c r="M732" t="str">
        <f>DEC2HEX(_xlfn.BITAND(HEX2DEC(MID('paste from garc here'!$C$1,1+(('table for research'!$B732-1)*36+HEX2DEC(8))*2,2)),64),2)</f>
        <v>00</v>
      </c>
      <c r="N732" t="str">
        <f>DEC2HEX(_xlfn.BITRSHIFT(_xlfn.BITAND(HEX2DEC(MID('paste from garc here'!$C$1,1+(('table for research'!$B732-1)*36+HEX2DEC(9))*2,2)&amp;MID('paste from garc here'!$C$1,1+(('table for research'!$B732-1)*36+HEX2DEC(8))*2,2)),1920),7),2)</f>
        <v>00</v>
      </c>
      <c r="O732" t="str">
        <f>DEC2HEX(_xlfn.BITRSHIFT(HEX2DEC(MID('paste from garc here'!$C$1,1+(('table for research'!$B732-1)*36+HEX2DEC(9))*2,2)&amp;MID('paste from garc here'!$C$1,1+(('table for research'!$B732-1)*36+HEX2DEC(8))*2,2)),11),2)</f>
        <v>00</v>
      </c>
      <c r="P732" t="str">
        <f>MID('paste from garc here'!$C$2,1+(('table for research'!$B732-456)*36+HEX2DEC('table for research'!P$1))*2,2)</f>
        <v>00</v>
      </c>
      <c r="Q732" t="str">
        <f>MID('paste from garc here'!$C$2,1+(('table for research'!$B732-456)*36+HEX2DEC('table for research'!Q$1))*2,2)</f>
        <v>00</v>
      </c>
      <c r="R732" t="str">
        <f>MID('paste from garc here'!$C$2,1+(('table for research'!$B732-456)*36+HEX2DEC('table for research'!R$1))*2,2)</f>
        <v>00</v>
      </c>
      <c r="S732" t="str">
        <f>MID('paste from garc here'!$C$2,1+(('table for research'!$B732-456)*36+HEX2DEC('table for research'!S$1))*2,2)</f>
        <v>08</v>
      </c>
      <c r="T732" t="str">
        <f>MID('paste from garc here'!$C$2,1+(('table for research'!$B732-456)*36+HEX2DEC('table for research'!T$1))*2,2)</f>
        <v>00</v>
      </c>
      <c r="U732" t="str">
        <f>MID('paste from garc here'!$C$2,1+(('table for research'!$B732-456)*36+HEX2DEC('table for research'!U$1))*2,2)</f>
        <v>FF</v>
      </c>
      <c r="V732" t="str">
        <f>MID('paste from garc here'!$C$2,1+(('table for research'!$B732-456)*36+HEX2DEC('table for research'!V$1))*2,2)</f>
        <v>00</v>
      </c>
      <c r="W732" t="str">
        <f>MID('paste from garc here'!$C$2,1+(('table for research'!$B732-456)*36+HEX2DEC('table for research'!W$1))*2,2)</f>
        <v>00</v>
      </c>
      <c r="X732" t="str">
        <f>MID('paste from garc here'!$C$2,1+(('table for research'!$B732-456)*36+HEX2DEC('table for research'!X$1))*2,2)</f>
        <v>00</v>
      </c>
      <c r="Y732" t="str">
        <f>MID('paste from garc here'!$C$2,1+(('table for research'!$B732-456)*36+HEX2DEC('table for research'!Y$1))*2,2)</f>
        <v>00</v>
      </c>
      <c r="Z732" t="str">
        <f>MID('paste from garc here'!$C$2,1+(('table for research'!$B732-456)*36+HEX2DEC('table for research'!Z$1))*2,2)</f>
        <v>00</v>
      </c>
      <c r="AA732" t="str">
        <f>MID('paste from garc here'!$C$2,1+(('table for research'!$B732-456)*36+HEX2DEC('table for research'!AA$1))*2,2)</f>
        <v>00</v>
      </c>
      <c r="AB732" t="str">
        <f>MID('paste from garc here'!$C$2,1+(('table for research'!$B732-456)*36+HEX2DEC('table for research'!AB$1))*2,2)</f>
        <v>00</v>
      </c>
      <c r="AC732" t="str">
        <f>MID('paste from garc here'!$C$2,1+(('table for research'!$B732-456)*36+HEX2DEC('table for research'!AC$1))*2,2)</f>
        <v>00</v>
      </c>
      <c r="AD732" t="str">
        <f>MID('paste from garc here'!$C$2,1+(('table for research'!$B732-456)*36+HEX2DEC('table for research'!AD$1))*2,2)</f>
        <v>00</v>
      </c>
      <c r="AE732" t="str">
        <f>MID('paste from garc here'!$C$2,1+(('table for research'!$B732-456)*36+HEX2DEC('table for research'!AE$1))*2,2)</f>
        <v>00</v>
      </c>
      <c r="AF732" t="str">
        <f>MID('paste from garc here'!$C$2,1+(('table for research'!$B732-456)*36+HEX2DEC('table for research'!AF$1))*2,2)</f>
        <v>00</v>
      </c>
      <c r="AG732" t="str">
        <f>MID('paste from garc here'!$C$2,1+(('table for research'!$B732-456)*36+HEX2DEC('table for research'!AG$1))*2,2)</f>
        <v>00</v>
      </c>
      <c r="AH732" t="str">
        <f>MID('paste from garc here'!$C$2,1+(('table for research'!$B732-456)*36+HEX2DEC('table for research'!AH$1))*2,2)</f>
        <v>00</v>
      </c>
      <c r="AI732" t="str">
        <f>MID('paste from garc here'!$C$2,1+(('table for research'!$B732-456)*36+HEX2DEC('table for research'!AI$1))*2,2)</f>
        <v>00</v>
      </c>
      <c r="AJ732" t="str">
        <f>MID('paste from garc here'!$C$2,1+(('table for research'!$B732-456)*36+HEX2DEC('table for research'!AJ$1))*2,2)</f>
        <v>00</v>
      </c>
      <c r="AK732" t="str">
        <f>MID('paste from garc here'!$C$2,1+(('table for research'!$B732-456)*36+HEX2DEC('table for research'!AK$1))*2,2)</f>
        <v>00</v>
      </c>
      <c r="AL732" t="str">
        <f>MID('paste from garc here'!$C$2,1+(('table for research'!$B732-456)*36+HEX2DEC('table for research'!AL$1))*2,2)</f>
        <v>00</v>
      </c>
      <c r="AM732" t="str">
        <f>MID('paste from garc here'!$C$2,1+(('table for research'!$B732-456)*36+HEX2DEC('table for research'!AM$1))*2,2)</f>
        <v>00</v>
      </c>
      <c r="AN732" t="str">
        <f>MID('paste from garc here'!$C$2,1+(('table for research'!$B732-456)*36+HEX2DEC('table for research'!AN$1))*2,2)</f>
        <v>00</v>
      </c>
      <c r="AO732" t="str">
        <f>MID('paste from garc here'!$C$2,1+(('table for research'!$B732-456)*36+HEX2DEC('table for research'!AO$1))*2,2)</f>
        <v>00</v>
      </c>
    </row>
    <row r="733" spans="1:41" x14ac:dyDescent="0.4">
      <c r="A733" t="s">
        <v>729</v>
      </c>
      <c r="B733">
        <f>B732+1</f>
        <v>731</v>
      </c>
      <c r="C733" t="str">
        <f>MID('paste from garc here'!$C$2,1+(('table for research'!$B733-456)*36+HEX2DEC('table for research'!C$1))*2,2)</f>
        <v>00</v>
      </c>
      <c r="D733" t="str">
        <f>MID('paste from garc here'!$C$2,1+(('table for research'!$B733-456)*36+HEX2DEC('table for research'!D$1))*2,2)</f>
        <v>00</v>
      </c>
      <c r="E733" t="str">
        <f>MID('paste from garc here'!$C$2,1+(('table for research'!$B733-456)*36+HEX2DEC('table for research'!E$1))*2,2)</f>
        <v>00</v>
      </c>
      <c r="F733" t="str">
        <f>MID('paste from garc here'!$C$2,1+(('table for research'!$B733-456)*36+HEX2DEC('table for research'!F$1))*2,2)</f>
        <v>00</v>
      </c>
      <c r="G733" t="str">
        <f>MID('paste from garc here'!$C$2,1+(('table for research'!$B733-456)*36+HEX2DEC('table for research'!G$1))*2,2)</f>
        <v>00</v>
      </c>
      <c r="H733" t="str">
        <f>MID('paste from garc here'!$C$2,1+(('table for research'!$B733-456)*36+HEX2DEC('table for research'!H$1))*2,2)</f>
        <v>00</v>
      </c>
      <c r="I733" t="str">
        <f>MID('paste from garc here'!$C$2,1+(('table for research'!$B733-456)*36+HEX2DEC('table for research'!I$1))*2,2)</f>
        <v>00</v>
      </c>
      <c r="J733" t="str">
        <f>MID('paste from garc here'!$C$2,1+(('table for research'!$B733-456)*36+HEX2DEC('table for research'!J$1))*2,2)</f>
        <v>00</v>
      </c>
      <c r="K733" t="str">
        <f>DEC2HEX(_xlfn.BITAND(HEX2DEC(MID('paste from garc here'!$C$1,1+(('table for research'!$B733-1)*36+HEX2DEC(8))*2,2)),31),2)</f>
        <v>00</v>
      </c>
      <c r="L733" t="str">
        <f>DEC2HEX(_xlfn.BITAND(HEX2DEC(MID('paste from garc here'!$C$1,1+(('table for research'!$B733-1)*36+HEX2DEC(8))*2,2)),32),2)</f>
        <v>00</v>
      </c>
      <c r="M733" t="str">
        <f>DEC2HEX(_xlfn.BITAND(HEX2DEC(MID('paste from garc here'!$C$1,1+(('table for research'!$B733-1)*36+HEX2DEC(8))*2,2)),64),2)</f>
        <v>00</v>
      </c>
      <c r="N733" t="str">
        <f>DEC2HEX(_xlfn.BITRSHIFT(_xlfn.BITAND(HEX2DEC(MID('paste from garc here'!$C$1,1+(('table for research'!$B733-1)*36+HEX2DEC(9))*2,2)&amp;MID('paste from garc here'!$C$1,1+(('table for research'!$B733-1)*36+HEX2DEC(8))*2,2)),1920),7),2)</f>
        <v>00</v>
      </c>
      <c r="O733" t="str">
        <f>DEC2HEX(_xlfn.BITRSHIFT(HEX2DEC(MID('paste from garc here'!$C$1,1+(('table for research'!$B733-1)*36+HEX2DEC(9))*2,2)&amp;MID('paste from garc here'!$C$1,1+(('table for research'!$B733-1)*36+HEX2DEC(8))*2,2)),11),2)</f>
        <v>00</v>
      </c>
      <c r="P733" t="str">
        <f>MID('paste from garc here'!$C$2,1+(('table for research'!$B733-456)*36+HEX2DEC('table for research'!P$1))*2,2)</f>
        <v>00</v>
      </c>
      <c r="Q733" t="str">
        <f>MID('paste from garc here'!$C$2,1+(('table for research'!$B733-456)*36+HEX2DEC('table for research'!Q$1))*2,2)</f>
        <v>00</v>
      </c>
      <c r="R733" t="str">
        <f>MID('paste from garc here'!$C$2,1+(('table for research'!$B733-456)*36+HEX2DEC('table for research'!R$1))*2,2)</f>
        <v>00</v>
      </c>
      <c r="S733" t="str">
        <f>MID('paste from garc here'!$C$2,1+(('table for research'!$B733-456)*36+HEX2DEC('table for research'!S$1))*2,2)</f>
        <v>08</v>
      </c>
      <c r="T733" t="str">
        <f>MID('paste from garc here'!$C$2,1+(('table for research'!$B733-456)*36+HEX2DEC('table for research'!T$1))*2,2)</f>
        <v>00</v>
      </c>
      <c r="U733" t="str">
        <f>MID('paste from garc here'!$C$2,1+(('table for research'!$B733-456)*36+HEX2DEC('table for research'!U$1))*2,2)</f>
        <v>FF</v>
      </c>
      <c r="V733" t="str">
        <f>MID('paste from garc here'!$C$2,1+(('table for research'!$B733-456)*36+HEX2DEC('table for research'!V$1))*2,2)</f>
        <v>00</v>
      </c>
      <c r="W733" t="str">
        <f>MID('paste from garc here'!$C$2,1+(('table for research'!$B733-456)*36+HEX2DEC('table for research'!W$1))*2,2)</f>
        <v>00</v>
      </c>
      <c r="X733" t="str">
        <f>MID('paste from garc here'!$C$2,1+(('table for research'!$B733-456)*36+HEX2DEC('table for research'!X$1))*2,2)</f>
        <v>00</v>
      </c>
      <c r="Y733" t="str">
        <f>MID('paste from garc here'!$C$2,1+(('table for research'!$B733-456)*36+HEX2DEC('table for research'!Y$1))*2,2)</f>
        <v>00</v>
      </c>
      <c r="Z733" t="str">
        <f>MID('paste from garc here'!$C$2,1+(('table for research'!$B733-456)*36+HEX2DEC('table for research'!Z$1))*2,2)</f>
        <v>00</v>
      </c>
      <c r="AA733" t="str">
        <f>MID('paste from garc here'!$C$2,1+(('table for research'!$B733-456)*36+HEX2DEC('table for research'!AA$1))*2,2)</f>
        <v>00</v>
      </c>
      <c r="AB733" t="str">
        <f>MID('paste from garc here'!$C$2,1+(('table for research'!$B733-456)*36+HEX2DEC('table for research'!AB$1))*2,2)</f>
        <v>00</v>
      </c>
      <c r="AC733" t="str">
        <f>MID('paste from garc here'!$C$2,1+(('table for research'!$B733-456)*36+HEX2DEC('table for research'!AC$1))*2,2)</f>
        <v>00</v>
      </c>
      <c r="AD733" t="str">
        <f>MID('paste from garc here'!$C$2,1+(('table for research'!$B733-456)*36+HEX2DEC('table for research'!AD$1))*2,2)</f>
        <v>00</v>
      </c>
      <c r="AE733" t="str">
        <f>MID('paste from garc here'!$C$2,1+(('table for research'!$B733-456)*36+HEX2DEC('table for research'!AE$1))*2,2)</f>
        <v>00</v>
      </c>
      <c r="AF733" t="str">
        <f>MID('paste from garc here'!$C$2,1+(('table for research'!$B733-456)*36+HEX2DEC('table for research'!AF$1))*2,2)</f>
        <v>00</v>
      </c>
      <c r="AG733" t="str">
        <f>MID('paste from garc here'!$C$2,1+(('table for research'!$B733-456)*36+HEX2DEC('table for research'!AG$1))*2,2)</f>
        <v>00</v>
      </c>
      <c r="AH733" t="str">
        <f>MID('paste from garc here'!$C$2,1+(('table for research'!$B733-456)*36+HEX2DEC('table for research'!AH$1))*2,2)</f>
        <v>00</v>
      </c>
      <c r="AI733" t="str">
        <f>MID('paste from garc here'!$C$2,1+(('table for research'!$B733-456)*36+HEX2DEC('table for research'!AI$1))*2,2)</f>
        <v>00</v>
      </c>
      <c r="AJ733" t="str">
        <f>MID('paste from garc here'!$C$2,1+(('table for research'!$B733-456)*36+HEX2DEC('table for research'!AJ$1))*2,2)</f>
        <v>00</v>
      </c>
      <c r="AK733" t="str">
        <f>MID('paste from garc here'!$C$2,1+(('table for research'!$B733-456)*36+HEX2DEC('table for research'!AK$1))*2,2)</f>
        <v>00</v>
      </c>
      <c r="AL733" t="str">
        <f>MID('paste from garc here'!$C$2,1+(('table for research'!$B733-456)*36+HEX2DEC('table for research'!AL$1))*2,2)</f>
        <v>00</v>
      </c>
      <c r="AM733" t="str">
        <f>MID('paste from garc here'!$C$2,1+(('table for research'!$B733-456)*36+HEX2DEC('table for research'!AM$1))*2,2)</f>
        <v>00</v>
      </c>
      <c r="AN733" t="str">
        <f>MID('paste from garc here'!$C$2,1+(('table for research'!$B733-456)*36+HEX2DEC('table for research'!AN$1))*2,2)</f>
        <v>00</v>
      </c>
      <c r="AO733" t="str">
        <f>MID('paste from garc here'!$C$2,1+(('table for research'!$B733-456)*36+HEX2DEC('table for research'!AO$1))*2,2)</f>
        <v>00</v>
      </c>
    </row>
    <row r="734" spans="1:41" x14ac:dyDescent="0.4">
      <c r="A734" t="s">
        <v>730</v>
      </c>
      <c r="B734">
        <f>B733+1</f>
        <v>732</v>
      </c>
      <c r="C734" t="str">
        <f>MID('paste from garc here'!$C$2,1+(('table for research'!$B734-456)*36+HEX2DEC('table for research'!C$1))*2,2)</f>
        <v>00</v>
      </c>
      <c r="D734" t="str">
        <f>MID('paste from garc here'!$C$2,1+(('table for research'!$B734-456)*36+HEX2DEC('table for research'!D$1))*2,2)</f>
        <v>00</v>
      </c>
      <c r="E734" t="str">
        <f>MID('paste from garc here'!$C$2,1+(('table for research'!$B734-456)*36+HEX2DEC('table for research'!E$1))*2,2)</f>
        <v>00</v>
      </c>
      <c r="F734" t="str">
        <f>MID('paste from garc here'!$C$2,1+(('table for research'!$B734-456)*36+HEX2DEC('table for research'!F$1))*2,2)</f>
        <v>00</v>
      </c>
      <c r="G734" t="str">
        <f>MID('paste from garc here'!$C$2,1+(('table for research'!$B734-456)*36+HEX2DEC('table for research'!G$1))*2,2)</f>
        <v>00</v>
      </c>
      <c r="H734" t="str">
        <f>MID('paste from garc here'!$C$2,1+(('table for research'!$B734-456)*36+HEX2DEC('table for research'!H$1))*2,2)</f>
        <v>00</v>
      </c>
      <c r="I734" t="str">
        <f>MID('paste from garc here'!$C$2,1+(('table for research'!$B734-456)*36+HEX2DEC('table for research'!I$1))*2,2)</f>
        <v>00</v>
      </c>
      <c r="J734" t="str">
        <f>MID('paste from garc here'!$C$2,1+(('table for research'!$B734-456)*36+HEX2DEC('table for research'!J$1))*2,2)</f>
        <v>00</v>
      </c>
      <c r="K734" t="str">
        <f>DEC2HEX(_xlfn.BITAND(HEX2DEC(MID('paste from garc here'!$C$1,1+(('table for research'!$B734-1)*36+HEX2DEC(8))*2,2)),31),2)</f>
        <v>00</v>
      </c>
      <c r="L734" t="str">
        <f>DEC2HEX(_xlfn.BITAND(HEX2DEC(MID('paste from garc here'!$C$1,1+(('table for research'!$B734-1)*36+HEX2DEC(8))*2,2)),32),2)</f>
        <v>00</v>
      </c>
      <c r="M734" t="str">
        <f>DEC2HEX(_xlfn.BITAND(HEX2DEC(MID('paste from garc here'!$C$1,1+(('table for research'!$B734-1)*36+HEX2DEC(8))*2,2)),64),2)</f>
        <v>00</v>
      </c>
      <c r="N734" t="str">
        <f>DEC2HEX(_xlfn.BITRSHIFT(_xlfn.BITAND(HEX2DEC(MID('paste from garc here'!$C$1,1+(('table for research'!$B734-1)*36+HEX2DEC(9))*2,2)&amp;MID('paste from garc here'!$C$1,1+(('table for research'!$B734-1)*36+HEX2DEC(8))*2,2)),1920),7),2)</f>
        <v>00</v>
      </c>
      <c r="O734" t="str">
        <f>DEC2HEX(_xlfn.BITRSHIFT(HEX2DEC(MID('paste from garc here'!$C$1,1+(('table for research'!$B734-1)*36+HEX2DEC(9))*2,2)&amp;MID('paste from garc here'!$C$1,1+(('table for research'!$B734-1)*36+HEX2DEC(8))*2,2)),11),2)</f>
        <v>00</v>
      </c>
      <c r="P734" t="str">
        <f>MID('paste from garc here'!$C$2,1+(('table for research'!$B734-456)*36+HEX2DEC('table for research'!P$1))*2,2)</f>
        <v>00</v>
      </c>
      <c r="Q734" t="str">
        <f>MID('paste from garc here'!$C$2,1+(('table for research'!$B734-456)*36+HEX2DEC('table for research'!Q$1))*2,2)</f>
        <v>00</v>
      </c>
      <c r="R734" t="str">
        <f>MID('paste from garc here'!$C$2,1+(('table for research'!$B734-456)*36+HEX2DEC('table for research'!R$1))*2,2)</f>
        <v>00</v>
      </c>
      <c r="S734" t="str">
        <f>MID('paste from garc here'!$C$2,1+(('table for research'!$B734-456)*36+HEX2DEC('table for research'!S$1))*2,2)</f>
        <v>08</v>
      </c>
      <c r="T734" t="str">
        <f>MID('paste from garc here'!$C$2,1+(('table for research'!$B734-456)*36+HEX2DEC('table for research'!T$1))*2,2)</f>
        <v>00</v>
      </c>
      <c r="U734" t="str">
        <f>MID('paste from garc here'!$C$2,1+(('table for research'!$B734-456)*36+HEX2DEC('table for research'!U$1))*2,2)</f>
        <v>FF</v>
      </c>
      <c r="V734" t="str">
        <f>MID('paste from garc here'!$C$2,1+(('table for research'!$B734-456)*36+HEX2DEC('table for research'!V$1))*2,2)</f>
        <v>00</v>
      </c>
      <c r="W734" t="str">
        <f>MID('paste from garc here'!$C$2,1+(('table for research'!$B734-456)*36+HEX2DEC('table for research'!W$1))*2,2)</f>
        <v>00</v>
      </c>
      <c r="X734" t="str">
        <f>MID('paste from garc here'!$C$2,1+(('table for research'!$B734-456)*36+HEX2DEC('table for research'!X$1))*2,2)</f>
        <v>00</v>
      </c>
      <c r="Y734" t="str">
        <f>MID('paste from garc here'!$C$2,1+(('table for research'!$B734-456)*36+HEX2DEC('table for research'!Y$1))*2,2)</f>
        <v>00</v>
      </c>
      <c r="Z734" t="str">
        <f>MID('paste from garc here'!$C$2,1+(('table for research'!$B734-456)*36+HEX2DEC('table for research'!Z$1))*2,2)</f>
        <v>00</v>
      </c>
      <c r="AA734" t="str">
        <f>MID('paste from garc here'!$C$2,1+(('table for research'!$B734-456)*36+HEX2DEC('table for research'!AA$1))*2,2)</f>
        <v>00</v>
      </c>
      <c r="AB734" t="str">
        <f>MID('paste from garc here'!$C$2,1+(('table for research'!$B734-456)*36+HEX2DEC('table for research'!AB$1))*2,2)</f>
        <v>00</v>
      </c>
      <c r="AC734" t="str">
        <f>MID('paste from garc here'!$C$2,1+(('table for research'!$B734-456)*36+HEX2DEC('table for research'!AC$1))*2,2)</f>
        <v>00</v>
      </c>
      <c r="AD734" t="str">
        <f>MID('paste from garc here'!$C$2,1+(('table for research'!$B734-456)*36+HEX2DEC('table for research'!AD$1))*2,2)</f>
        <v>00</v>
      </c>
      <c r="AE734" t="str">
        <f>MID('paste from garc here'!$C$2,1+(('table for research'!$B734-456)*36+HEX2DEC('table for research'!AE$1))*2,2)</f>
        <v>00</v>
      </c>
      <c r="AF734" t="str">
        <f>MID('paste from garc here'!$C$2,1+(('table for research'!$B734-456)*36+HEX2DEC('table for research'!AF$1))*2,2)</f>
        <v>00</v>
      </c>
      <c r="AG734" t="str">
        <f>MID('paste from garc here'!$C$2,1+(('table for research'!$B734-456)*36+HEX2DEC('table for research'!AG$1))*2,2)</f>
        <v>00</v>
      </c>
      <c r="AH734" t="str">
        <f>MID('paste from garc here'!$C$2,1+(('table for research'!$B734-456)*36+HEX2DEC('table for research'!AH$1))*2,2)</f>
        <v>00</v>
      </c>
      <c r="AI734" t="str">
        <f>MID('paste from garc here'!$C$2,1+(('table for research'!$B734-456)*36+HEX2DEC('table for research'!AI$1))*2,2)</f>
        <v>00</v>
      </c>
      <c r="AJ734" t="str">
        <f>MID('paste from garc here'!$C$2,1+(('table for research'!$B734-456)*36+HEX2DEC('table for research'!AJ$1))*2,2)</f>
        <v>00</v>
      </c>
      <c r="AK734" t="str">
        <f>MID('paste from garc here'!$C$2,1+(('table for research'!$B734-456)*36+HEX2DEC('table for research'!AK$1))*2,2)</f>
        <v>00</v>
      </c>
      <c r="AL734" t="str">
        <f>MID('paste from garc here'!$C$2,1+(('table for research'!$B734-456)*36+HEX2DEC('table for research'!AL$1))*2,2)</f>
        <v>00</v>
      </c>
      <c r="AM734" t="str">
        <f>MID('paste from garc here'!$C$2,1+(('table for research'!$B734-456)*36+HEX2DEC('table for research'!AM$1))*2,2)</f>
        <v>00</v>
      </c>
      <c r="AN734" t="str">
        <f>MID('paste from garc here'!$C$2,1+(('table for research'!$B734-456)*36+HEX2DEC('table for research'!AN$1))*2,2)</f>
        <v>00</v>
      </c>
      <c r="AO734" t="str">
        <f>MID('paste from garc here'!$C$2,1+(('table for research'!$B734-456)*36+HEX2DEC('table for research'!AO$1))*2,2)</f>
        <v>00</v>
      </c>
    </row>
    <row r="735" spans="1:41" x14ac:dyDescent="0.4">
      <c r="A735" t="s">
        <v>731</v>
      </c>
      <c r="B735">
        <f>B734+1</f>
        <v>733</v>
      </c>
      <c r="C735" t="str">
        <f>MID('paste from garc here'!$C$2,1+(('table for research'!$B735-456)*36+HEX2DEC('table for research'!C$1))*2,2)</f>
        <v>00</v>
      </c>
      <c r="D735" t="str">
        <f>MID('paste from garc here'!$C$2,1+(('table for research'!$B735-456)*36+HEX2DEC('table for research'!D$1))*2,2)</f>
        <v>00</v>
      </c>
      <c r="E735" t="str">
        <f>MID('paste from garc here'!$C$2,1+(('table for research'!$B735-456)*36+HEX2DEC('table for research'!E$1))*2,2)</f>
        <v>00</v>
      </c>
      <c r="F735" t="str">
        <f>MID('paste from garc here'!$C$2,1+(('table for research'!$B735-456)*36+HEX2DEC('table for research'!F$1))*2,2)</f>
        <v>00</v>
      </c>
      <c r="G735" t="str">
        <f>MID('paste from garc here'!$C$2,1+(('table for research'!$B735-456)*36+HEX2DEC('table for research'!G$1))*2,2)</f>
        <v>00</v>
      </c>
      <c r="H735" t="str">
        <f>MID('paste from garc here'!$C$2,1+(('table for research'!$B735-456)*36+HEX2DEC('table for research'!H$1))*2,2)</f>
        <v>00</v>
      </c>
      <c r="I735" t="str">
        <f>MID('paste from garc here'!$C$2,1+(('table for research'!$B735-456)*36+HEX2DEC('table for research'!I$1))*2,2)</f>
        <v>00</v>
      </c>
      <c r="J735" t="str">
        <f>MID('paste from garc here'!$C$2,1+(('table for research'!$B735-456)*36+HEX2DEC('table for research'!J$1))*2,2)</f>
        <v>00</v>
      </c>
      <c r="K735" t="str">
        <f>DEC2HEX(_xlfn.BITAND(HEX2DEC(MID('paste from garc here'!$C$1,1+(('table for research'!$B735-1)*36+HEX2DEC(8))*2,2)),31),2)</f>
        <v>00</v>
      </c>
      <c r="L735" t="str">
        <f>DEC2HEX(_xlfn.BITAND(HEX2DEC(MID('paste from garc here'!$C$1,1+(('table for research'!$B735-1)*36+HEX2DEC(8))*2,2)),32),2)</f>
        <v>00</v>
      </c>
      <c r="M735" t="str">
        <f>DEC2HEX(_xlfn.BITAND(HEX2DEC(MID('paste from garc here'!$C$1,1+(('table for research'!$B735-1)*36+HEX2DEC(8))*2,2)),64),2)</f>
        <v>00</v>
      </c>
      <c r="N735" t="str">
        <f>DEC2HEX(_xlfn.BITRSHIFT(_xlfn.BITAND(HEX2DEC(MID('paste from garc here'!$C$1,1+(('table for research'!$B735-1)*36+HEX2DEC(9))*2,2)&amp;MID('paste from garc here'!$C$1,1+(('table for research'!$B735-1)*36+HEX2DEC(8))*2,2)),1920),7),2)</f>
        <v>00</v>
      </c>
      <c r="O735" t="str">
        <f>DEC2HEX(_xlfn.BITRSHIFT(HEX2DEC(MID('paste from garc here'!$C$1,1+(('table for research'!$B735-1)*36+HEX2DEC(9))*2,2)&amp;MID('paste from garc here'!$C$1,1+(('table for research'!$B735-1)*36+HEX2DEC(8))*2,2)),11),2)</f>
        <v>00</v>
      </c>
      <c r="P735" t="str">
        <f>MID('paste from garc here'!$C$2,1+(('table for research'!$B735-456)*36+HEX2DEC('table for research'!P$1))*2,2)</f>
        <v>00</v>
      </c>
      <c r="Q735" t="str">
        <f>MID('paste from garc here'!$C$2,1+(('table for research'!$B735-456)*36+HEX2DEC('table for research'!Q$1))*2,2)</f>
        <v>00</v>
      </c>
      <c r="R735" t="str">
        <f>MID('paste from garc here'!$C$2,1+(('table for research'!$B735-456)*36+HEX2DEC('table for research'!R$1))*2,2)</f>
        <v>00</v>
      </c>
      <c r="S735" t="str">
        <f>MID('paste from garc here'!$C$2,1+(('table for research'!$B735-456)*36+HEX2DEC('table for research'!S$1))*2,2)</f>
        <v>08</v>
      </c>
      <c r="T735" t="str">
        <f>MID('paste from garc here'!$C$2,1+(('table for research'!$B735-456)*36+HEX2DEC('table for research'!T$1))*2,2)</f>
        <v>00</v>
      </c>
      <c r="U735" t="str">
        <f>MID('paste from garc here'!$C$2,1+(('table for research'!$B735-456)*36+HEX2DEC('table for research'!U$1))*2,2)</f>
        <v>FF</v>
      </c>
      <c r="V735" t="str">
        <f>MID('paste from garc here'!$C$2,1+(('table for research'!$B735-456)*36+HEX2DEC('table for research'!V$1))*2,2)</f>
        <v>00</v>
      </c>
      <c r="W735" t="str">
        <f>MID('paste from garc here'!$C$2,1+(('table for research'!$B735-456)*36+HEX2DEC('table for research'!W$1))*2,2)</f>
        <v>00</v>
      </c>
      <c r="X735" t="str">
        <f>MID('paste from garc here'!$C$2,1+(('table for research'!$B735-456)*36+HEX2DEC('table for research'!X$1))*2,2)</f>
        <v>00</v>
      </c>
      <c r="Y735" t="str">
        <f>MID('paste from garc here'!$C$2,1+(('table for research'!$B735-456)*36+HEX2DEC('table for research'!Y$1))*2,2)</f>
        <v>00</v>
      </c>
      <c r="Z735" t="str">
        <f>MID('paste from garc here'!$C$2,1+(('table for research'!$B735-456)*36+HEX2DEC('table for research'!Z$1))*2,2)</f>
        <v>00</v>
      </c>
      <c r="AA735" t="str">
        <f>MID('paste from garc here'!$C$2,1+(('table for research'!$B735-456)*36+HEX2DEC('table for research'!AA$1))*2,2)</f>
        <v>00</v>
      </c>
      <c r="AB735" t="str">
        <f>MID('paste from garc here'!$C$2,1+(('table for research'!$B735-456)*36+HEX2DEC('table for research'!AB$1))*2,2)</f>
        <v>00</v>
      </c>
      <c r="AC735" t="str">
        <f>MID('paste from garc here'!$C$2,1+(('table for research'!$B735-456)*36+HEX2DEC('table for research'!AC$1))*2,2)</f>
        <v>00</v>
      </c>
      <c r="AD735" t="str">
        <f>MID('paste from garc here'!$C$2,1+(('table for research'!$B735-456)*36+HEX2DEC('table for research'!AD$1))*2,2)</f>
        <v>00</v>
      </c>
      <c r="AE735" t="str">
        <f>MID('paste from garc here'!$C$2,1+(('table for research'!$B735-456)*36+HEX2DEC('table for research'!AE$1))*2,2)</f>
        <v>00</v>
      </c>
      <c r="AF735" t="str">
        <f>MID('paste from garc here'!$C$2,1+(('table for research'!$B735-456)*36+HEX2DEC('table for research'!AF$1))*2,2)</f>
        <v>00</v>
      </c>
      <c r="AG735" t="str">
        <f>MID('paste from garc here'!$C$2,1+(('table for research'!$B735-456)*36+HEX2DEC('table for research'!AG$1))*2,2)</f>
        <v>00</v>
      </c>
      <c r="AH735" t="str">
        <f>MID('paste from garc here'!$C$2,1+(('table for research'!$B735-456)*36+HEX2DEC('table for research'!AH$1))*2,2)</f>
        <v>00</v>
      </c>
      <c r="AI735" t="str">
        <f>MID('paste from garc here'!$C$2,1+(('table for research'!$B735-456)*36+HEX2DEC('table for research'!AI$1))*2,2)</f>
        <v>00</v>
      </c>
      <c r="AJ735" t="str">
        <f>MID('paste from garc here'!$C$2,1+(('table for research'!$B735-456)*36+HEX2DEC('table for research'!AJ$1))*2,2)</f>
        <v>00</v>
      </c>
      <c r="AK735" t="str">
        <f>MID('paste from garc here'!$C$2,1+(('table for research'!$B735-456)*36+HEX2DEC('table for research'!AK$1))*2,2)</f>
        <v>00</v>
      </c>
      <c r="AL735" t="str">
        <f>MID('paste from garc here'!$C$2,1+(('table for research'!$B735-456)*36+HEX2DEC('table for research'!AL$1))*2,2)</f>
        <v>00</v>
      </c>
      <c r="AM735" t="str">
        <f>MID('paste from garc here'!$C$2,1+(('table for research'!$B735-456)*36+HEX2DEC('table for research'!AM$1))*2,2)</f>
        <v>00</v>
      </c>
      <c r="AN735" t="str">
        <f>MID('paste from garc here'!$C$2,1+(('table for research'!$B735-456)*36+HEX2DEC('table for research'!AN$1))*2,2)</f>
        <v>00</v>
      </c>
      <c r="AO735" t="str">
        <f>MID('paste from garc here'!$C$2,1+(('table for research'!$B735-456)*36+HEX2DEC('table for research'!AO$1))*2,2)</f>
        <v>00</v>
      </c>
    </row>
    <row r="736" spans="1:41" x14ac:dyDescent="0.4">
      <c r="A736" t="s">
        <v>467</v>
      </c>
      <c r="B736">
        <f>B735+1</f>
        <v>734</v>
      </c>
      <c r="C736" t="str">
        <f>MID('paste from garc here'!$C$2,1+(('table for research'!$B736-456)*36+HEX2DEC('table for research'!C$1))*2,2)</f>
        <v>00</v>
      </c>
      <c r="D736" t="str">
        <f>MID('paste from garc here'!$C$2,1+(('table for research'!$B736-456)*36+HEX2DEC('table for research'!D$1))*2,2)</f>
        <v>00</v>
      </c>
      <c r="E736" t="str">
        <f>MID('paste from garc here'!$C$2,1+(('table for research'!$B736-456)*36+HEX2DEC('table for research'!E$1))*2,2)</f>
        <v>00</v>
      </c>
      <c r="F736" t="str">
        <f>MID('paste from garc here'!$C$2,1+(('table for research'!$B736-456)*36+HEX2DEC('table for research'!F$1))*2,2)</f>
        <v>00</v>
      </c>
      <c r="G736" t="str">
        <f>MID('paste from garc here'!$C$2,1+(('table for research'!$B736-456)*36+HEX2DEC('table for research'!G$1))*2,2)</f>
        <v>00</v>
      </c>
      <c r="H736" t="str">
        <f>MID('paste from garc here'!$C$2,1+(('table for research'!$B736-456)*36+HEX2DEC('table for research'!H$1))*2,2)</f>
        <v>00</v>
      </c>
      <c r="I736" t="str">
        <f>MID('paste from garc here'!$C$2,1+(('table for research'!$B736-456)*36+HEX2DEC('table for research'!I$1))*2,2)</f>
        <v>00</v>
      </c>
      <c r="J736" t="str">
        <f>MID('paste from garc here'!$C$2,1+(('table for research'!$B736-456)*36+HEX2DEC('table for research'!J$1))*2,2)</f>
        <v>00</v>
      </c>
      <c r="K736" t="str">
        <f>DEC2HEX(_xlfn.BITAND(HEX2DEC(MID('paste from garc here'!$C$1,1+(('table for research'!$B736-1)*36+HEX2DEC(8))*2,2)),31),2)</f>
        <v>00</v>
      </c>
      <c r="L736" t="str">
        <f>DEC2HEX(_xlfn.BITAND(HEX2DEC(MID('paste from garc here'!$C$1,1+(('table for research'!$B736-1)*36+HEX2DEC(8))*2,2)),32),2)</f>
        <v>00</v>
      </c>
      <c r="M736" t="str">
        <f>DEC2HEX(_xlfn.BITAND(HEX2DEC(MID('paste from garc here'!$C$1,1+(('table for research'!$B736-1)*36+HEX2DEC(8))*2,2)),64),2)</f>
        <v>00</v>
      </c>
      <c r="N736" t="str">
        <f>DEC2HEX(_xlfn.BITRSHIFT(_xlfn.BITAND(HEX2DEC(MID('paste from garc here'!$C$1,1+(('table for research'!$B736-1)*36+HEX2DEC(9))*2,2)&amp;MID('paste from garc here'!$C$1,1+(('table for research'!$B736-1)*36+HEX2DEC(8))*2,2)),1920),7),2)</f>
        <v>00</v>
      </c>
      <c r="O736" t="str">
        <f>DEC2HEX(_xlfn.BITRSHIFT(HEX2DEC(MID('paste from garc here'!$C$1,1+(('table for research'!$B736-1)*36+HEX2DEC(9))*2,2)&amp;MID('paste from garc here'!$C$1,1+(('table for research'!$B736-1)*36+HEX2DEC(8))*2,2)),11),2)</f>
        <v>00</v>
      </c>
      <c r="P736" t="str">
        <f>MID('paste from garc here'!$C$2,1+(('table for research'!$B736-456)*36+HEX2DEC('table for research'!P$1))*2,2)</f>
        <v>00</v>
      </c>
      <c r="Q736" t="str">
        <f>MID('paste from garc here'!$C$2,1+(('table for research'!$B736-456)*36+HEX2DEC('table for research'!Q$1))*2,2)</f>
        <v>00</v>
      </c>
      <c r="R736" t="str">
        <f>MID('paste from garc here'!$C$2,1+(('table for research'!$B736-456)*36+HEX2DEC('table for research'!R$1))*2,2)</f>
        <v>00</v>
      </c>
      <c r="S736" t="str">
        <f>MID('paste from garc here'!$C$2,1+(('table for research'!$B736-456)*36+HEX2DEC('table for research'!S$1))*2,2)</f>
        <v>08</v>
      </c>
      <c r="T736" t="str">
        <f>MID('paste from garc here'!$C$2,1+(('table for research'!$B736-456)*36+HEX2DEC('table for research'!T$1))*2,2)</f>
        <v>00</v>
      </c>
      <c r="U736" t="str">
        <f>MID('paste from garc here'!$C$2,1+(('table for research'!$B736-456)*36+HEX2DEC('table for research'!U$1))*2,2)</f>
        <v>FF</v>
      </c>
      <c r="V736" t="str">
        <f>MID('paste from garc here'!$C$2,1+(('table for research'!$B736-456)*36+HEX2DEC('table for research'!V$1))*2,2)</f>
        <v>00</v>
      </c>
      <c r="W736" t="str">
        <f>MID('paste from garc here'!$C$2,1+(('table for research'!$B736-456)*36+HEX2DEC('table for research'!W$1))*2,2)</f>
        <v>00</v>
      </c>
      <c r="X736" t="str">
        <f>MID('paste from garc here'!$C$2,1+(('table for research'!$B736-456)*36+HEX2DEC('table for research'!X$1))*2,2)</f>
        <v>00</v>
      </c>
      <c r="Y736" t="str">
        <f>MID('paste from garc here'!$C$2,1+(('table for research'!$B736-456)*36+HEX2DEC('table for research'!Y$1))*2,2)</f>
        <v>00</v>
      </c>
      <c r="Z736" t="str">
        <f>MID('paste from garc here'!$C$2,1+(('table for research'!$B736-456)*36+HEX2DEC('table for research'!Z$1))*2,2)</f>
        <v>00</v>
      </c>
      <c r="AA736" t="str">
        <f>MID('paste from garc here'!$C$2,1+(('table for research'!$B736-456)*36+HEX2DEC('table for research'!AA$1))*2,2)</f>
        <v>00</v>
      </c>
      <c r="AB736" t="str">
        <f>MID('paste from garc here'!$C$2,1+(('table for research'!$B736-456)*36+HEX2DEC('table for research'!AB$1))*2,2)</f>
        <v>00</v>
      </c>
      <c r="AC736" t="str">
        <f>MID('paste from garc here'!$C$2,1+(('table for research'!$B736-456)*36+HEX2DEC('table for research'!AC$1))*2,2)</f>
        <v>00</v>
      </c>
      <c r="AD736" t="str">
        <f>MID('paste from garc here'!$C$2,1+(('table for research'!$B736-456)*36+HEX2DEC('table for research'!AD$1))*2,2)</f>
        <v>00</v>
      </c>
      <c r="AE736" t="str">
        <f>MID('paste from garc here'!$C$2,1+(('table for research'!$B736-456)*36+HEX2DEC('table for research'!AE$1))*2,2)</f>
        <v>00</v>
      </c>
      <c r="AF736" t="str">
        <f>MID('paste from garc here'!$C$2,1+(('table for research'!$B736-456)*36+HEX2DEC('table for research'!AF$1))*2,2)</f>
        <v>00</v>
      </c>
      <c r="AG736" t="str">
        <f>MID('paste from garc here'!$C$2,1+(('table for research'!$B736-456)*36+HEX2DEC('table for research'!AG$1))*2,2)</f>
        <v>00</v>
      </c>
      <c r="AH736" t="str">
        <f>MID('paste from garc here'!$C$2,1+(('table for research'!$B736-456)*36+HEX2DEC('table for research'!AH$1))*2,2)</f>
        <v>00</v>
      </c>
      <c r="AI736" t="str">
        <f>MID('paste from garc here'!$C$2,1+(('table for research'!$B736-456)*36+HEX2DEC('table for research'!AI$1))*2,2)</f>
        <v>00</v>
      </c>
      <c r="AJ736" t="str">
        <f>MID('paste from garc here'!$C$2,1+(('table for research'!$B736-456)*36+HEX2DEC('table for research'!AJ$1))*2,2)</f>
        <v>00</v>
      </c>
      <c r="AK736" t="str">
        <f>MID('paste from garc here'!$C$2,1+(('table for research'!$B736-456)*36+HEX2DEC('table for research'!AK$1))*2,2)</f>
        <v>00</v>
      </c>
      <c r="AL736" t="str">
        <f>MID('paste from garc here'!$C$2,1+(('table for research'!$B736-456)*36+HEX2DEC('table for research'!AL$1))*2,2)</f>
        <v>00</v>
      </c>
      <c r="AM736" t="str">
        <f>MID('paste from garc here'!$C$2,1+(('table for research'!$B736-456)*36+HEX2DEC('table for research'!AM$1))*2,2)</f>
        <v>00</v>
      </c>
      <c r="AN736" t="str">
        <f>MID('paste from garc here'!$C$2,1+(('table for research'!$B736-456)*36+HEX2DEC('table for research'!AN$1))*2,2)</f>
        <v>00</v>
      </c>
      <c r="AO736" t="str">
        <f>MID('paste from garc here'!$C$2,1+(('table for research'!$B736-456)*36+HEX2DEC('table for research'!AO$1))*2,2)</f>
        <v>00</v>
      </c>
    </row>
    <row r="737" spans="1:41" x14ac:dyDescent="0.4">
      <c r="A737" t="s">
        <v>732</v>
      </c>
      <c r="B737">
        <f>B736+1</f>
        <v>735</v>
      </c>
      <c r="C737" t="str">
        <f>MID('paste from garc here'!$C$2,1+(('table for research'!$B737-456)*36+HEX2DEC('table for research'!C$1))*2,2)</f>
        <v>00</v>
      </c>
      <c r="D737" t="str">
        <f>MID('paste from garc here'!$C$2,1+(('table for research'!$B737-456)*36+HEX2DEC('table for research'!D$1))*2,2)</f>
        <v>00</v>
      </c>
      <c r="E737" t="str">
        <f>MID('paste from garc here'!$C$2,1+(('table for research'!$B737-456)*36+HEX2DEC('table for research'!E$1))*2,2)</f>
        <v>00</v>
      </c>
      <c r="F737" t="str">
        <f>MID('paste from garc here'!$C$2,1+(('table for research'!$B737-456)*36+HEX2DEC('table for research'!F$1))*2,2)</f>
        <v>00</v>
      </c>
      <c r="G737" t="str">
        <f>MID('paste from garc here'!$C$2,1+(('table for research'!$B737-456)*36+HEX2DEC('table for research'!G$1))*2,2)</f>
        <v>00</v>
      </c>
      <c r="H737" t="str">
        <f>MID('paste from garc here'!$C$2,1+(('table for research'!$B737-456)*36+HEX2DEC('table for research'!H$1))*2,2)</f>
        <v>00</v>
      </c>
      <c r="I737" t="str">
        <f>MID('paste from garc here'!$C$2,1+(('table for research'!$B737-456)*36+HEX2DEC('table for research'!I$1))*2,2)</f>
        <v>00</v>
      </c>
      <c r="J737" t="str">
        <f>MID('paste from garc here'!$C$2,1+(('table for research'!$B737-456)*36+HEX2DEC('table for research'!J$1))*2,2)</f>
        <v>00</v>
      </c>
      <c r="K737" t="str">
        <f>DEC2HEX(_xlfn.BITAND(HEX2DEC(MID('paste from garc here'!$C$1,1+(('table for research'!$B737-1)*36+HEX2DEC(8))*2,2)),31),2)</f>
        <v>00</v>
      </c>
      <c r="L737" t="str">
        <f>DEC2HEX(_xlfn.BITAND(HEX2DEC(MID('paste from garc here'!$C$1,1+(('table for research'!$B737-1)*36+HEX2DEC(8))*2,2)),32),2)</f>
        <v>00</v>
      </c>
      <c r="M737" t="str">
        <f>DEC2HEX(_xlfn.BITAND(HEX2DEC(MID('paste from garc here'!$C$1,1+(('table for research'!$B737-1)*36+HEX2DEC(8))*2,2)),64),2)</f>
        <v>00</v>
      </c>
      <c r="N737" t="str">
        <f>DEC2HEX(_xlfn.BITRSHIFT(_xlfn.BITAND(HEX2DEC(MID('paste from garc here'!$C$1,1+(('table for research'!$B737-1)*36+HEX2DEC(9))*2,2)&amp;MID('paste from garc here'!$C$1,1+(('table for research'!$B737-1)*36+HEX2DEC(8))*2,2)),1920),7),2)</f>
        <v>00</v>
      </c>
      <c r="O737" t="str">
        <f>DEC2HEX(_xlfn.BITRSHIFT(HEX2DEC(MID('paste from garc here'!$C$1,1+(('table for research'!$B737-1)*36+HEX2DEC(9))*2,2)&amp;MID('paste from garc here'!$C$1,1+(('table for research'!$B737-1)*36+HEX2DEC(8))*2,2)),11),2)</f>
        <v>00</v>
      </c>
      <c r="P737" t="str">
        <f>MID('paste from garc here'!$C$2,1+(('table for research'!$B737-456)*36+HEX2DEC('table for research'!P$1))*2,2)</f>
        <v>00</v>
      </c>
      <c r="Q737" t="str">
        <f>MID('paste from garc here'!$C$2,1+(('table for research'!$B737-456)*36+HEX2DEC('table for research'!Q$1))*2,2)</f>
        <v>00</v>
      </c>
      <c r="R737" t="str">
        <f>MID('paste from garc here'!$C$2,1+(('table for research'!$B737-456)*36+HEX2DEC('table for research'!R$1))*2,2)</f>
        <v>00</v>
      </c>
      <c r="S737" t="str">
        <f>MID('paste from garc here'!$C$2,1+(('table for research'!$B737-456)*36+HEX2DEC('table for research'!S$1))*2,2)</f>
        <v>08</v>
      </c>
      <c r="T737" t="str">
        <f>MID('paste from garc here'!$C$2,1+(('table for research'!$B737-456)*36+HEX2DEC('table for research'!T$1))*2,2)</f>
        <v>00</v>
      </c>
      <c r="U737" t="str">
        <f>MID('paste from garc here'!$C$2,1+(('table for research'!$B737-456)*36+HEX2DEC('table for research'!U$1))*2,2)</f>
        <v>FF</v>
      </c>
      <c r="V737" t="str">
        <f>MID('paste from garc here'!$C$2,1+(('table for research'!$B737-456)*36+HEX2DEC('table for research'!V$1))*2,2)</f>
        <v>00</v>
      </c>
      <c r="W737" t="str">
        <f>MID('paste from garc here'!$C$2,1+(('table for research'!$B737-456)*36+HEX2DEC('table for research'!W$1))*2,2)</f>
        <v>00</v>
      </c>
      <c r="X737" t="str">
        <f>MID('paste from garc here'!$C$2,1+(('table for research'!$B737-456)*36+HEX2DEC('table for research'!X$1))*2,2)</f>
        <v>00</v>
      </c>
      <c r="Y737" t="str">
        <f>MID('paste from garc here'!$C$2,1+(('table for research'!$B737-456)*36+HEX2DEC('table for research'!Y$1))*2,2)</f>
        <v>00</v>
      </c>
      <c r="Z737" t="str">
        <f>MID('paste from garc here'!$C$2,1+(('table for research'!$B737-456)*36+HEX2DEC('table for research'!Z$1))*2,2)</f>
        <v>00</v>
      </c>
      <c r="AA737" t="str">
        <f>MID('paste from garc here'!$C$2,1+(('table for research'!$B737-456)*36+HEX2DEC('table for research'!AA$1))*2,2)</f>
        <v>00</v>
      </c>
      <c r="AB737" t="str">
        <f>MID('paste from garc here'!$C$2,1+(('table for research'!$B737-456)*36+HEX2DEC('table for research'!AB$1))*2,2)</f>
        <v>00</v>
      </c>
      <c r="AC737" t="str">
        <f>MID('paste from garc here'!$C$2,1+(('table for research'!$B737-456)*36+HEX2DEC('table for research'!AC$1))*2,2)</f>
        <v>00</v>
      </c>
      <c r="AD737" t="str">
        <f>MID('paste from garc here'!$C$2,1+(('table for research'!$B737-456)*36+HEX2DEC('table for research'!AD$1))*2,2)</f>
        <v>00</v>
      </c>
      <c r="AE737" t="str">
        <f>MID('paste from garc here'!$C$2,1+(('table for research'!$B737-456)*36+HEX2DEC('table for research'!AE$1))*2,2)</f>
        <v>00</v>
      </c>
      <c r="AF737" t="str">
        <f>MID('paste from garc here'!$C$2,1+(('table for research'!$B737-456)*36+HEX2DEC('table for research'!AF$1))*2,2)</f>
        <v>00</v>
      </c>
      <c r="AG737" t="str">
        <f>MID('paste from garc here'!$C$2,1+(('table for research'!$B737-456)*36+HEX2DEC('table for research'!AG$1))*2,2)</f>
        <v>00</v>
      </c>
      <c r="AH737" t="str">
        <f>MID('paste from garc here'!$C$2,1+(('table for research'!$B737-456)*36+HEX2DEC('table for research'!AH$1))*2,2)</f>
        <v>00</v>
      </c>
      <c r="AI737" t="str">
        <f>MID('paste from garc here'!$C$2,1+(('table for research'!$B737-456)*36+HEX2DEC('table for research'!AI$1))*2,2)</f>
        <v>00</v>
      </c>
      <c r="AJ737" t="str">
        <f>MID('paste from garc here'!$C$2,1+(('table for research'!$B737-456)*36+HEX2DEC('table for research'!AJ$1))*2,2)</f>
        <v>00</v>
      </c>
      <c r="AK737" t="str">
        <f>MID('paste from garc here'!$C$2,1+(('table for research'!$B737-456)*36+HEX2DEC('table for research'!AK$1))*2,2)</f>
        <v>00</v>
      </c>
      <c r="AL737" t="str">
        <f>MID('paste from garc here'!$C$2,1+(('table for research'!$B737-456)*36+HEX2DEC('table for research'!AL$1))*2,2)</f>
        <v>00</v>
      </c>
      <c r="AM737" t="str">
        <f>MID('paste from garc here'!$C$2,1+(('table for research'!$B737-456)*36+HEX2DEC('table for research'!AM$1))*2,2)</f>
        <v>00</v>
      </c>
      <c r="AN737" t="str">
        <f>MID('paste from garc here'!$C$2,1+(('table for research'!$B737-456)*36+HEX2DEC('table for research'!AN$1))*2,2)</f>
        <v>00</v>
      </c>
      <c r="AO737" t="str">
        <f>MID('paste from garc here'!$C$2,1+(('table for research'!$B737-456)*36+HEX2DEC('table for research'!AO$1))*2,2)</f>
        <v>00</v>
      </c>
    </row>
    <row r="738" spans="1:41" x14ac:dyDescent="0.4">
      <c r="A738" t="s">
        <v>460</v>
      </c>
      <c r="B738">
        <f>B737+1</f>
        <v>736</v>
      </c>
      <c r="C738" t="str">
        <f>MID('paste from garc here'!$C$2,1+(('table for research'!$B738-456)*36+HEX2DEC('table for research'!C$1))*2,2)</f>
        <v>00</v>
      </c>
      <c r="D738" t="str">
        <f>MID('paste from garc here'!$C$2,1+(('table for research'!$B738-456)*36+HEX2DEC('table for research'!D$1))*2,2)</f>
        <v>00</v>
      </c>
      <c r="E738" t="str">
        <f>MID('paste from garc here'!$C$2,1+(('table for research'!$B738-456)*36+HEX2DEC('table for research'!E$1))*2,2)</f>
        <v>00</v>
      </c>
      <c r="F738" t="str">
        <f>MID('paste from garc here'!$C$2,1+(('table for research'!$B738-456)*36+HEX2DEC('table for research'!F$1))*2,2)</f>
        <v>00</v>
      </c>
      <c r="G738" t="str">
        <f>MID('paste from garc here'!$C$2,1+(('table for research'!$B738-456)*36+HEX2DEC('table for research'!G$1))*2,2)</f>
        <v>00</v>
      </c>
      <c r="H738" t="str">
        <f>MID('paste from garc here'!$C$2,1+(('table for research'!$B738-456)*36+HEX2DEC('table for research'!H$1))*2,2)</f>
        <v>00</v>
      </c>
      <c r="I738" t="str">
        <f>MID('paste from garc here'!$C$2,1+(('table for research'!$B738-456)*36+HEX2DEC('table for research'!I$1))*2,2)</f>
        <v>00</v>
      </c>
      <c r="J738" t="str">
        <f>MID('paste from garc here'!$C$2,1+(('table for research'!$B738-456)*36+HEX2DEC('table for research'!J$1))*2,2)</f>
        <v>00</v>
      </c>
      <c r="K738" t="str">
        <f>DEC2HEX(_xlfn.BITAND(HEX2DEC(MID('paste from garc here'!$C$1,1+(('table for research'!$B738-1)*36+HEX2DEC(8))*2,2)),31),2)</f>
        <v>00</v>
      </c>
      <c r="L738" t="str">
        <f>DEC2HEX(_xlfn.BITAND(HEX2DEC(MID('paste from garc here'!$C$1,1+(('table for research'!$B738-1)*36+HEX2DEC(8))*2,2)),32),2)</f>
        <v>00</v>
      </c>
      <c r="M738" t="str">
        <f>DEC2HEX(_xlfn.BITAND(HEX2DEC(MID('paste from garc here'!$C$1,1+(('table for research'!$B738-1)*36+HEX2DEC(8))*2,2)),64),2)</f>
        <v>00</v>
      </c>
      <c r="N738" t="str">
        <f>DEC2HEX(_xlfn.BITRSHIFT(_xlfn.BITAND(HEX2DEC(MID('paste from garc here'!$C$1,1+(('table for research'!$B738-1)*36+HEX2DEC(9))*2,2)&amp;MID('paste from garc here'!$C$1,1+(('table for research'!$B738-1)*36+HEX2DEC(8))*2,2)),1920),7),2)</f>
        <v>00</v>
      </c>
      <c r="O738" t="str">
        <f>DEC2HEX(_xlfn.BITRSHIFT(HEX2DEC(MID('paste from garc here'!$C$1,1+(('table for research'!$B738-1)*36+HEX2DEC(9))*2,2)&amp;MID('paste from garc here'!$C$1,1+(('table for research'!$B738-1)*36+HEX2DEC(8))*2,2)),11),2)</f>
        <v>00</v>
      </c>
      <c r="P738" t="str">
        <f>MID('paste from garc here'!$C$2,1+(('table for research'!$B738-456)*36+HEX2DEC('table for research'!P$1))*2,2)</f>
        <v>00</v>
      </c>
      <c r="Q738" t="str">
        <f>MID('paste from garc here'!$C$2,1+(('table for research'!$B738-456)*36+HEX2DEC('table for research'!Q$1))*2,2)</f>
        <v>00</v>
      </c>
      <c r="R738" t="str">
        <f>MID('paste from garc here'!$C$2,1+(('table for research'!$B738-456)*36+HEX2DEC('table for research'!R$1))*2,2)</f>
        <v>00</v>
      </c>
      <c r="S738" t="str">
        <f>MID('paste from garc here'!$C$2,1+(('table for research'!$B738-456)*36+HEX2DEC('table for research'!S$1))*2,2)</f>
        <v>08</v>
      </c>
      <c r="T738" t="str">
        <f>MID('paste from garc here'!$C$2,1+(('table for research'!$B738-456)*36+HEX2DEC('table for research'!T$1))*2,2)</f>
        <v>00</v>
      </c>
      <c r="U738" t="str">
        <f>MID('paste from garc here'!$C$2,1+(('table for research'!$B738-456)*36+HEX2DEC('table for research'!U$1))*2,2)</f>
        <v>FF</v>
      </c>
      <c r="V738" t="str">
        <f>MID('paste from garc here'!$C$2,1+(('table for research'!$B738-456)*36+HEX2DEC('table for research'!V$1))*2,2)</f>
        <v>00</v>
      </c>
      <c r="W738" t="str">
        <f>MID('paste from garc here'!$C$2,1+(('table for research'!$B738-456)*36+HEX2DEC('table for research'!W$1))*2,2)</f>
        <v>00</v>
      </c>
      <c r="X738" t="str">
        <f>MID('paste from garc here'!$C$2,1+(('table for research'!$B738-456)*36+HEX2DEC('table for research'!X$1))*2,2)</f>
        <v>00</v>
      </c>
      <c r="Y738" t="str">
        <f>MID('paste from garc here'!$C$2,1+(('table for research'!$B738-456)*36+HEX2DEC('table for research'!Y$1))*2,2)</f>
        <v>00</v>
      </c>
      <c r="Z738" t="str">
        <f>MID('paste from garc here'!$C$2,1+(('table for research'!$B738-456)*36+HEX2DEC('table for research'!Z$1))*2,2)</f>
        <v>00</v>
      </c>
      <c r="AA738" t="str">
        <f>MID('paste from garc here'!$C$2,1+(('table for research'!$B738-456)*36+HEX2DEC('table for research'!AA$1))*2,2)</f>
        <v>00</v>
      </c>
      <c r="AB738" t="str">
        <f>MID('paste from garc here'!$C$2,1+(('table for research'!$B738-456)*36+HEX2DEC('table for research'!AB$1))*2,2)</f>
        <v>00</v>
      </c>
      <c r="AC738" t="str">
        <f>MID('paste from garc here'!$C$2,1+(('table for research'!$B738-456)*36+HEX2DEC('table for research'!AC$1))*2,2)</f>
        <v>00</v>
      </c>
      <c r="AD738" t="str">
        <f>MID('paste from garc here'!$C$2,1+(('table for research'!$B738-456)*36+HEX2DEC('table for research'!AD$1))*2,2)</f>
        <v>00</v>
      </c>
      <c r="AE738" t="str">
        <f>MID('paste from garc here'!$C$2,1+(('table for research'!$B738-456)*36+HEX2DEC('table for research'!AE$1))*2,2)</f>
        <v>00</v>
      </c>
      <c r="AF738" t="str">
        <f>MID('paste from garc here'!$C$2,1+(('table for research'!$B738-456)*36+HEX2DEC('table for research'!AF$1))*2,2)</f>
        <v>00</v>
      </c>
      <c r="AG738" t="str">
        <f>MID('paste from garc here'!$C$2,1+(('table for research'!$B738-456)*36+HEX2DEC('table for research'!AG$1))*2,2)</f>
        <v>00</v>
      </c>
      <c r="AH738" t="str">
        <f>MID('paste from garc here'!$C$2,1+(('table for research'!$B738-456)*36+HEX2DEC('table for research'!AH$1))*2,2)</f>
        <v>00</v>
      </c>
      <c r="AI738" t="str">
        <f>MID('paste from garc here'!$C$2,1+(('table for research'!$B738-456)*36+HEX2DEC('table for research'!AI$1))*2,2)</f>
        <v>00</v>
      </c>
      <c r="AJ738" t="str">
        <f>MID('paste from garc here'!$C$2,1+(('table for research'!$B738-456)*36+HEX2DEC('table for research'!AJ$1))*2,2)</f>
        <v>00</v>
      </c>
      <c r="AK738" t="str">
        <f>MID('paste from garc here'!$C$2,1+(('table for research'!$B738-456)*36+HEX2DEC('table for research'!AK$1))*2,2)</f>
        <v>00</v>
      </c>
      <c r="AL738" t="str">
        <f>MID('paste from garc here'!$C$2,1+(('table for research'!$B738-456)*36+HEX2DEC('table for research'!AL$1))*2,2)</f>
        <v>00</v>
      </c>
      <c r="AM738" t="str">
        <f>MID('paste from garc here'!$C$2,1+(('table for research'!$B738-456)*36+HEX2DEC('table for research'!AM$1))*2,2)</f>
        <v>00</v>
      </c>
      <c r="AN738" t="str">
        <f>MID('paste from garc here'!$C$2,1+(('table for research'!$B738-456)*36+HEX2DEC('table for research'!AN$1))*2,2)</f>
        <v>00</v>
      </c>
      <c r="AO738" t="str">
        <f>MID('paste from garc here'!$C$2,1+(('table for research'!$B738-456)*36+HEX2DEC('table for research'!AO$1))*2,2)</f>
        <v>00</v>
      </c>
    </row>
    <row r="739" spans="1:41" x14ac:dyDescent="0.4">
      <c r="A739" t="s">
        <v>733</v>
      </c>
      <c r="B739">
        <f>B738+1</f>
        <v>737</v>
      </c>
      <c r="C739" t="str">
        <f>MID('paste from garc here'!$C$2,1+(('table for research'!$B739-456)*36+HEX2DEC('table for research'!C$1))*2,2)</f>
        <v>00</v>
      </c>
      <c r="D739" t="str">
        <f>MID('paste from garc here'!$C$2,1+(('table for research'!$B739-456)*36+HEX2DEC('table for research'!D$1))*2,2)</f>
        <v>00</v>
      </c>
      <c r="E739" t="str">
        <f>MID('paste from garc here'!$C$2,1+(('table for research'!$B739-456)*36+HEX2DEC('table for research'!E$1))*2,2)</f>
        <v>00</v>
      </c>
      <c r="F739" t="str">
        <f>MID('paste from garc here'!$C$2,1+(('table for research'!$B739-456)*36+HEX2DEC('table for research'!F$1))*2,2)</f>
        <v>00</v>
      </c>
      <c r="G739" t="str">
        <f>MID('paste from garc here'!$C$2,1+(('table for research'!$B739-456)*36+HEX2DEC('table for research'!G$1))*2,2)</f>
        <v>00</v>
      </c>
      <c r="H739" t="str">
        <f>MID('paste from garc here'!$C$2,1+(('table for research'!$B739-456)*36+HEX2DEC('table for research'!H$1))*2,2)</f>
        <v>00</v>
      </c>
      <c r="I739" t="str">
        <f>MID('paste from garc here'!$C$2,1+(('table for research'!$B739-456)*36+HEX2DEC('table for research'!I$1))*2,2)</f>
        <v>00</v>
      </c>
      <c r="J739" t="str">
        <f>MID('paste from garc here'!$C$2,1+(('table for research'!$B739-456)*36+HEX2DEC('table for research'!J$1))*2,2)</f>
        <v>00</v>
      </c>
      <c r="K739" t="str">
        <f>DEC2HEX(_xlfn.BITAND(HEX2DEC(MID('paste from garc here'!$C$1,1+(('table for research'!$B739-1)*36+HEX2DEC(8))*2,2)),31),2)</f>
        <v>00</v>
      </c>
      <c r="L739" t="str">
        <f>DEC2HEX(_xlfn.BITAND(HEX2DEC(MID('paste from garc here'!$C$1,1+(('table for research'!$B739-1)*36+HEX2DEC(8))*2,2)),32),2)</f>
        <v>00</v>
      </c>
      <c r="M739" t="str">
        <f>DEC2HEX(_xlfn.BITAND(HEX2DEC(MID('paste from garc here'!$C$1,1+(('table for research'!$B739-1)*36+HEX2DEC(8))*2,2)),64),2)</f>
        <v>00</v>
      </c>
      <c r="N739" t="str">
        <f>DEC2HEX(_xlfn.BITRSHIFT(_xlfn.BITAND(HEX2DEC(MID('paste from garc here'!$C$1,1+(('table for research'!$B739-1)*36+HEX2DEC(9))*2,2)&amp;MID('paste from garc here'!$C$1,1+(('table for research'!$B739-1)*36+HEX2DEC(8))*2,2)),1920),7),2)</f>
        <v>00</v>
      </c>
      <c r="O739" t="str">
        <f>DEC2HEX(_xlfn.BITRSHIFT(HEX2DEC(MID('paste from garc here'!$C$1,1+(('table for research'!$B739-1)*36+HEX2DEC(9))*2,2)&amp;MID('paste from garc here'!$C$1,1+(('table for research'!$B739-1)*36+HEX2DEC(8))*2,2)),11),2)</f>
        <v>00</v>
      </c>
      <c r="P739" t="str">
        <f>MID('paste from garc here'!$C$2,1+(('table for research'!$B739-456)*36+HEX2DEC('table for research'!P$1))*2,2)</f>
        <v>02</v>
      </c>
      <c r="Q739" t="str">
        <f>MID('paste from garc here'!$C$2,1+(('table for research'!$B739-456)*36+HEX2DEC('table for research'!Q$1))*2,2)</f>
        <v>00</v>
      </c>
      <c r="R739" t="str">
        <f>MID('paste from garc here'!$C$2,1+(('table for research'!$B739-456)*36+HEX2DEC('table for research'!R$1))*2,2)</f>
        <v>00</v>
      </c>
      <c r="S739" t="str">
        <f>MID('paste from garc here'!$C$2,1+(('table for research'!$B739-456)*36+HEX2DEC('table for research'!S$1))*2,2)</f>
        <v>06</v>
      </c>
      <c r="T739" t="str">
        <f>MID('paste from garc here'!$C$2,1+(('table for research'!$B739-456)*36+HEX2DEC('table for research'!T$1))*2,2)</f>
        <v>00</v>
      </c>
      <c r="U739" t="str">
        <f>MID('paste from garc here'!$C$2,1+(('table for research'!$B739-456)*36+HEX2DEC('table for research'!U$1))*2,2)</f>
        <v>6A</v>
      </c>
      <c r="V739" t="str">
        <f>MID('paste from garc here'!$C$2,1+(('table for research'!$B739-456)*36+HEX2DEC('table for research'!V$1))*2,2)</f>
        <v>00</v>
      </c>
      <c r="W739" t="str">
        <f>MID('paste from garc here'!$C$2,1+(('table for research'!$B739-456)*36+HEX2DEC('table for research'!W$1))*2,2)</f>
        <v>00</v>
      </c>
      <c r="X739" t="str">
        <f>MID('paste from garc here'!$C$2,1+(('table for research'!$B739-456)*36+HEX2DEC('table for research'!X$1))*2,2)</f>
        <v>00</v>
      </c>
      <c r="Y739" t="str">
        <f>MID('paste from garc here'!$C$2,1+(('table for research'!$B739-456)*36+HEX2DEC('table for research'!Y$1))*2,2)</f>
        <v>00</v>
      </c>
      <c r="Z739" t="str">
        <f>MID('paste from garc here'!$C$2,1+(('table for research'!$B739-456)*36+HEX2DEC('table for research'!Z$1))*2,2)</f>
        <v>00</v>
      </c>
      <c r="AA739" t="str">
        <f>MID('paste from garc here'!$C$2,1+(('table for research'!$B739-456)*36+HEX2DEC('table for research'!AA$1))*2,2)</f>
        <v>00</v>
      </c>
      <c r="AB739" t="str">
        <f>MID('paste from garc here'!$C$2,1+(('table for research'!$B739-456)*36+HEX2DEC('table for research'!AB$1))*2,2)</f>
        <v>00</v>
      </c>
      <c r="AC739" t="str">
        <f>MID('paste from garc here'!$C$2,1+(('table for research'!$B739-456)*36+HEX2DEC('table for research'!AC$1))*2,2)</f>
        <v>00</v>
      </c>
      <c r="AD739" t="str">
        <f>MID('paste from garc here'!$C$2,1+(('table for research'!$B739-456)*36+HEX2DEC('table for research'!AD$1))*2,2)</f>
        <v>00</v>
      </c>
      <c r="AE739" t="str">
        <f>MID('paste from garc here'!$C$2,1+(('table for research'!$B739-456)*36+HEX2DEC('table for research'!AE$1))*2,2)</f>
        <v>00</v>
      </c>
      <c r="AF739" t="str">
        <f>MID('paste from garc here'!$C$2,1+(('table for research'!$B739-456)*36+HEX2DEC('table for research'!AF$1))*2,2)</f>
        <v>00</v>
      </c>
      <c r="AG739" t="str">
        <f>MID('paste from garc here'!$C$2,1+(('table for research'!$B739-456)*36+HEX2DEC('table for research'!AG$1))*2,2)</f>
        <v>00</v>
      </c>
      <c r="AH739" t="str">
        <f>MID('paste from garc here'!$C$2,1+(('table for research'!$B739-456)*36+HEX2DEC('table for research'!AH$1))*2,2)</f>
        <v>00</v>
      </c>
      <c r="AI739" t="str">
        <f>MID('paste from garc here'!$C$2,1+(('table for research'!$B739-456)*36+HEX2DEC('table for research'!AI$1))*2,2)</f>
        <v>00</v>
      </c>
      <c r="AJ739" t="str">
        <f>MID('paste from garc here'!$C$2,1+(('table for research'!$B739-456)*36+HEX2DEC('table for research'!AJ$1))*2,2)</f>
        <v>00</v>
      </c>
      <c r="AK739" t="str">
        <f>MID('paste from garc here'!$C$2,1+(('table for research'!$B739-456)*36+HEX2DEC('table for research'!AK$1))*2,2)</f>
        <v>00</v>
      </c>
      <c r="AL739" t="str">
        <f>MID('paste from garc here'!$C$2,1+(('table for research'!$B739-456)*36+HEX2DEC('table for research'!AL$1))*2,2)</f>
        <v>00</v>
      </c>
      <c r="AM739" t="str">
        <f>MID('paste from garc here'!$C$2,1+(('table for research'!$B739-456)*36+HEX2DEC('table for research'!AM$1))*2,2)</f>
        <v>00</v>
      </c>
      <c r="AN739" t="str">
        <f>MID('paste from garc here'!$C$2,1+(('table for research'!$B739-456)*36+HEX2DEC('table for research'!AN$1))*2,2)</f>
        <v>00</v>
      </c>
      <c r="AO739" t="str">
        <f>MID('paste from garc here'!$C$2,1+(('table for research'!$B739-456)*36+HEX2DEC('table for research'!AO$1))*2,2)</f>
        <v>00</v>
      </c>
    </row>
    <row r="740" spans="1:41" x14ac:dyDescent="0.4">
      <c r="A740" t="s">
        <v>734</v>
      </c>
      <c r="B740">
        <f>B739+1</f>
        <v>738</v>
      </c>
      <c r="C740" t="str">
        <f>MID('paste from garc here'!$C$2,1+(('table for research'!$B740-456)*36+HEX2DEC('table for research'!C$1))*2,2)</f>
        <v>00</v>
      </c>
      <c r="D740" t="str">
        <f>MID('paste from garc here'!$C$2,1+(('table for research'!$B740-456)*36+HEX2DEC('table for research'!D$1))*2,2)</f>
        <v>00</v>
      </c>
      <c r="E740" t="str">
        <f>MID('paste from garc here'!$C$2,1+(('table for research'!$B740-456)*36+HEX2DEC('table for research'!E$1))*2,2)</f>
        <v>00</v>
      </c>
      <c r="F740" t="str">
        <f>MID('paste from garc here'!$C$2,1+(('table for research'!$B740-456)*36+HEX2DEC('table for research'!F$1))*2,2)</f>
        <v>00</v>
      </c>
      <c r="G740" t="str">
        <f>MID('paste from garc here'!$C$2,1+(('table for research'!$B740-456)*36+HEX2DEC('table for research'!G$1))*2,2)</f>
        <v>00</v>
      </c>
      <c r="H740" t="str">
        <f>MID('paste from garc here'!$C$2,1+(('table for research'!$B740-456)*36+HEX2DEC('table for research'!H$1))*2,2)</f>
        <v>00</v>
      </c>
      <c r="I740" t="str">
        <f>MID('paste from garc here'!$C$2,1+(('table for research'!$B740-456)*36+HEX2DEC('table for research'!I$1))*2,2)</f>
        <v>00</v>
      </c>
      <c r="J740" t="str">
        <f>MID('paste from garc here'!$C$2,1+(('table for research'!$B740-456)*36+HEX2DEC('table for research'!J$1))*2,2)</f>
        <v>00</v>
      </c>
      <c r="K740" t="str">
        <f>DEC2HEX(_xlfn.BITAND(HEX2DEC(MID('paste from garc here'!$C$1,1+(('table for research'!$B740-1)*36+HEX2DEC(8))*2,2)),31),2)</f>
        <v>00</v>
      </c>
      <c r="L740" t="str">
        <f>DEC2HEX(_xlfn.BITAND(HEX2DEC(MID('paste from garc here'!$C$1,1+(('table for research'!$B740-1)*36+HEX2DEC(8))*2,2)),32),2)</f>
        <v>00</v>
      </c>
      <c r="M740" t="str">
        <f>DEC2HEX(_xlfn.BITAND(HEX2DEC(MID('paste from garc here'!$C$1,1+(('table for research'!$B740-1)*36+HEX2DEC(8))*2,2)),64),2)</f>
        <v>00</v>
      </c>
      <c r="N740" t="str">
        <f>DEC2HEX(_xlfn.BITRSHIFT(_xlfn.BITAND(HEX2DEC(MID('paste from garc here'!$C$1,1+(('table for research'!$B740-1)*36+HEX2DEC(9))*2,2)&amp;MID('paste from garc here'!$C$1,1+(('table for research'!$B740-1)*36+HEX2DEC(8))*2,2)),1920),7),2)</f>
        <v>00</v>
      </c>
      <c r="O740" t="str">
        <f>DEC2HEX(_xlfn.BITRSHIFT(HEX2DEC(MID('paste from garc here'!$C$1,1+(('table for research'!$B740-1)*36+HEX2DEC(9))*2,2)&amp;MID('paste from garc here'!$C$1,1+(('table for research'!$B740-1)*36+HEX2DEC(8))*2,2)),11),2)</f>
        <v>00</v>
      </c>
      <c r="P740" t="str">
        <f>MID('paste from garc here'!$C$2,1+(('table for research'!$B740-456)*36+HEX2DEC('table for research'!P$1))*2,2)</f>
        <v>00</v>
      </c>
      <c r="Q740" t="str">
        <f>MID('paste from garc here'!$C$2,1+(('table for research'!$B740-456)*36+HEX2DEC('table for research'!Q$1))*2,2)</f>
        <v>00</v>
      </c>
      <c r="R740" t="str">
        <f>MID('paste from garc here'!$C$2,1+(('table for research'!$B740-456)*36+HEX2DEC('table for research'!R$1))*2,2)</f>
        <v>00</v>
      </c>
      <c r="S740" t="str">
        <f>MID('paste from garc here'!$C$2,1+(('table for research'!$B740-456)*36+HEX2DEC('table for research'!S$1))*2,2)</f>
        <v>08</v>
      </c>
      <c r="T740" t="str">
        <f>MID('paste from garc here'!$C$2,1+(('table for research'!$B740-456)*36+HEX2DEC('table for research'!T$1))*2,2)</f>
        <v>00</v>
      </c>
      <c r="U740" t="str">
        <f>MID('paste from garc here'!$C$2,1+(('table for research'!$B740-456)*36+HEX2DEC('table for research'!U$1))*2,2)</f>
        <v>FF</v>
      </c>
      <c r="V740" t="str">
        <f>MID('paste from garc here'!$C$2,1+(('table for research'!$B740-456)*36+HEX2DEC('table for research'!V$1))*2,2)</f>
        <v>00</v>
      </c>
      <c r="W740" t="str">
        <f>MID('paste from garc here'!$C$2,1+(('table for research'!$B740-456)*36+HEX2DEC('table for research'!W$1))*2,2)</f>
        <v>00</v>
      </c>
      <c r="X740" t="str">
        <f>MID('paste from garc here'!$C$2,1+(('table for research'!$B740-456)*36+HEX2DEC('table for research'!X$1))*2,2)</f>
        <v>00</v>
      </c>
      <c r="Y740" t="str">
        <f>MID('paste from garc here'!$C$2,1+(('table for research'!$B740-456)*36+HEX2DEC('table for research'!Y$1))*2,2)</f>
        <v>00</v>
      </c>
      <c r="Z740" t="str">
        <f>MID('paste from garc here'!$C$2,1+(('table for research'!$B740-456)*36+HEX2DEC('table for research'!Z$1))*2,2)</f>
        <v>00</v>
      </c>
      <c r="AA740" t="str">
        <f>MID('paste from garc here'!$C$2,1+(('table for research'!$B740-456)*36+HEX2DEC('table for research'!AA$1))*2,2)</f>
        <v>00</v>
      </c>
      <c r="AB740" t="str">
        <f>MID('paste from garc here'!$C$2,1+(('table for research'!$B740-456)*36+HEX2DEC('table for research'!AB$1))*2,2)</f>
        <v>00</v>
      </c>
      <c r="AC740" t="str">
        <f>MID('paste from garc here'!$C$2,1+(('table for research'!$B740-456)*36+HEX2DEC('table for research'!AC$1))*2,2)</f>
        <v>00</v>
      </c>
      <c r="AD740" t="str">
        <f>MID('paste from garc here'!$C$2,1+(('table for research'!$B740-456)*36+HEX2DEC('table for research'!AD$1))*2,2)</f>
        <v>00</v>
      </c>
      <c r="AE740" t="str">
        <f>MID('paste from garc here'!$C$2,1+(('table for research'!$B740-456)*36+HEX2DEC('table for research'!AE$1))*2,2)</f>
        <v>00</v>
      </c>
      <c r="AF740" t="str">
        <f>MID('paste from garc here'!$C$2,1+(('table for research'!$B740-456)*36+HEX2DEC('table for research'!AF$1))*2,2)</f>
        <v>00</v>
      </c>
      <c r="AG740" t="str">
        <f>MID('paste from garc here'!$C$2,1+(('table for research'!$B740-456)*36+HEX2DEC('table for research'!AG$1))*2,2)</f>
        <v>00</v>
      </c>
      <c r="AH740" t="str">
        <f>MID('paste from garc here'!$C$2,1+(('table for research'!$B740-456)*36+HEX2DEC('table for research'!AH$1))*2,2)</f>
        <v>00</v>
      </c>
      <c r="AI740" t="str">
        <f>MID('paste from garc here'!$C$2,1+(('table for research'!$B740-456)*36+HEX2DEC('table for research'!AI$1))*2,2)</f>
        <v>00</v>
      </c>
      <c r="AJ740" t="str">
        <f>MID('paste from garc here'!$C$2,1+(('table for research'!$B740-456)*36+HEX2DEC('table for research'!AJ$1))*2,2)</f>
        <v>00</v>
      </c>
      <c r="AK740" t="str">
        <f>MID('paste from garc here'!$C$2,1+(('table for research'!$B740-456)*36+HEX2DEC('table for research'!AK$1))*2,2)</f>
        <v>00</v>
      </c>
      <c r="AL740" t="str">
        <f>MID('paste from garc here'!$C$2,1+(('table for research'!$B740-456)*36+HEX2DEC('table for research'!AL$1))*2,2)</f>
        <v>00</v>
      </c>
      <c r="AM740" t="str">
        <f>MID('paste from garc here'!$C$2,1+(('table for research'!$B740-456)*36+HEX2DEC('table for research'!AM$1))*2,2)</f>
        <v>00</v>
      </c>
      <c r="AN740" t="str">
        <f>MID('paste from garc here'!$C$2,1+(('table for research'!$B740-456)*36+HEX2DEC('table for research'!AN$1))*2,2)</f>
        <v>00</v>
      </c>
      <c r="AO740" t="str">
        <f>MID('paste from garc here'!$C$2,1+(('table for research'!$B740-456)*36+HEX2DEC('table for research'!AO$1))*2,2)</f>
        <v>00</v>
      </c>
    </row>
    <row r="741" spans="1:41" x14ac:dyDescent="0.4">
      <c r="A741" t="s">
        <v>735</v>
      </c>
      <c r="B741">
        <f>B740+1</f>
        <v>739</v>
      </c>
      <c r="C741" t="str">
        <f>MID('paste from garc here'!$C$2,1+(('table for research'!$B741-456)*36+HEX2DEC('table for research'!C$1))*2,2)</f>
        <v>00</v>
      </c>
      <c r="D741" t="str">
        <f>MID('paste from garc here'!$C$2,1+(('table for research'!$B741-456)*36+HEX2DEC('table for research'!D$1))*2,2)</f>
        <v>00</v>
      </c>
      <c r="E741" t="str">
        <f>MID('paste from garc here'!$C$2,1+(('table for research'!$B741-456)*36+HEX2DEC('table for research'!E$1))*2,2)</f>
        <v>00</v>
      </c>
      <c r="F741" t="str">
        <f>MID('paste from garc here'!$C$2,1+(('table for research'!$B741-456)*36+HEX2DEC('table for research'!F$1))*2,2)</f>
        <v>00</v>
      </c>
      <c r="G741" t="str">
        <f>MID('paste from garc here'!$C$2,1+(('table for research'!$B741-456)*36+HEX2DEC('table for research'!G$1))*2,2)</f>
        <v>00</v>
      </c>
      <c r="H741" t="str">
        <f>MID('paste from garc here'!$C$2,1+(('table for research'!$B741-456)*36+HEX2DEC('table for research'!H$1))*2,2)</f>
        <v>00</v>
      </c>
      <c r="I741" t="str">
        <f>MID('paste from garc here'!$C$2,1+(('table for research'!$B741-456)*36+HEX2DEC('table for research'!I$1))*2,2)</f>
        <v>00</v>
      </c>
      <c r="J741" t="str">
        <f>MID('paste from garc here'!$C$2,1+(('table for research'!$B741-456)*36+HEX2DEC('table for research'!J$1))*2,2)</f>
        <v>00</v>
      </c>
      <c r="K741" t="str">
        <f>DEC2HEX(_xlfn.BITAND(HEX2DEC(MID('paste from garc here'!$C$1,1+(('table for research'!$B741-1)*36+HEX2DEC(8))*2,2)),31),2)</f>
        <v>00</v>
      </c>
      <c r="L741" t="str">
        <f>DEC2HEX(_xlfn.BITAND(HEX2DEC(MID('paste from garc here'!$C$1,1+(('table for research'!$B741-1)*36+HEX2DEC(8))*2,2)),32),2)</f>
        <v>00</v>
      </c>
      <c r="M741" t="str">
        <f>DEC2HEX(_xlfn.BITAND(HEX2DEC(MID('paste from garc here'!$C$1,1+(('table for research'!$B741-1)*36+HEX2DEC(8))*2,2)),64),2)</f>
        <v>00</v>
      </c>
      <c r="N741" t="str">
        <f>DEC2HEX(_xlfn.BITRSHIFT(_xlfn.BITAND(HEX2DEC(MID('paste from garc here'!$C$1,1+(('table for research'!$B741-1)*36+HEX2DEC(9))*2,2)&amp;MID('paste from garc here'!$C$1,1+(('table for research'!$B741-1)*36+HEX2DEC(8))*2,2)),1920),7),2)</f>
        <v>00</v>
      </c>
      <c r="O741" t="str">
        <f>DEC2HEX(_xlfn.BITRSHIFT(HEX2DEC(MID('paste from garc here'!$C$1,1+(('table for research'!$B741-1)*36+HEX2DEC(9))*2,2)&amp;MID('paste from garc here'!$C$1,1+(('table for research'!$B741-1)*36+HEX2DEC(8))*2,2)),11),2)</f>
        <v>00</v>
      </c>
      <c r="P741" t="str">
        <f>MID('paste from garc here'!$C$2,1+(('table for research'!$B741-456)*36+HEX2DEC('table for research'!P$1))*2,2)</f>
        <v>00</v>
      </c>
      <c r="Q741" t="str">
        <f>MID('paste from garc here'!$C$2,1+(('table for research'!$B741-456)*36+HEX2DEC('table for research'!Q$1))*2,2)</f>
        <v>00</v>
      </c>
      <c r="R741" t="str">
        <f>MID('paste from garc here'!$C$2,1+(('table for research'!$B741-456)*36+HEX2DEC('table for research'!R$1))*2,2)</f>
        <v>00</v>
      </c>
      <c r="S741" t="str">
        <f>MID('paste from garc here'!$C$2,1+(('table for research'!$B741-456)*36+HEX2DEC('table for research'!S$1))*2,2)</f>
        <v>08</v>
      </c>
      <c r="T741" t="str">
        <f>MID('paste from garc here'!$C$2,1+(('table for research'!$B741-456)*36+HEX2DEC('table for research'!T$1))*2,2)</f>
        <v>00</v>
      </c>
      <c r="U741" t="str">
        <f>MID('paste from garc here'!$C$2,1+(('table for research'!$B741-456)*36+HEX2DEC('table for research'!U$1))*2,2)</f>
        <v>FF</v>
      </c>
      <c r="V741" t="str">
        <f>MID('paste from garc here'!$C$2,1+(('table for research'!$B741-456)*36+HEX2DEC('table for research'!V$1))*2,2)</f>
        <v>00</v>
      </c>
      <c r="W741" t="str">
        <f>MID('paste from garc here'!$C$2,1+(('table for research'!$B741-456)*36+HEX2DEC('table for research'!W$1))*2,2)</f>
        <v>00</v>
      </c>
      <c r="X741" t="str">
        <f>MID('paste from garc here'!$C$2,1+(('table for research'!$B741-456)*36+HEX2DEC('table for research'!X$1))*2,2)</f>
        <v>00</v>
      </c>
      <c r="Y741" t="str">
        <f>MID('paste from garc here'!$C$2,1+(('table for research'!$B741-456)*36+HEX2DEC('table for research'!Y$1))*2,2)</f>
        <v>00</v>
      </c>
      <c r="Z741" t="str">
        <f>MID('paste from garc here'!$C$2,1+(('table for research'!$B741-456)*36+HEX2DEC('table for research'!Z$1))*2,2)</f>
        <v>00</v>
      </c>
      <c r="AA741" t="str">
        <f>MID('paste from garc here'!$C$2,1+(('table for research'!$B741-456)*36+HEX2DEC('table for research'!AA$1))*2,2)</f>
        <v>00</v>
      </c>
      <c r="AB741" t="str">
        <f>MID('paste from garc here'!$C$2,1+(('table for research'!$B741-456)*36+HEX2DEC('table for research'!AB$1))*2,2)</f>
        <v>00</v>
      </c>
      <c r="AC741" t="str">
        <f>MID('paste from garc here'!$C$2,1+(('table for research'!$B741-456)*36+HEX2DEC('table for research'!AC$1))*2,2)</f>
        <v>00</v>
      </c>
      <c r="AD741" t="str">
        <f>MID('paste from garc here'!$C$2,1+(('table for research'!$B741-456)*36+HEX2DEC('table for research'!AD$1))*2,2)</f>
        <v>00</v>
      </c>
      <c r="AE741" t="str">
        <f>MID('paste from garc here'!$C$2,1+(('table for research'!$B741-456)*36+HEX2DEC('table for research'!AE$1))*2,2)</f>
        <v>00</v>
      </c>
      <c r="AF741" t="str">
        <f>MID('paste from garc here'!$C$2,1+(('table for research'!$B741-456)*36+HEX2DEC('table for research'!AF$1))*2,2)</f>
        <v>00</v>
      </c>
      <c r="AG741" t="str">
        <f>MID('paste from garc here'!$C$2,1+(('table for research'!$B741-456)*36+HEX2DEC('table for research'!AG$1))*2,2)</f>
        <v>00</v>
      </c>
      <c r="AH741" t="str">
        <f>MID('paste from garc here'!$C$2,1+(('table for research'!$B741-456)*36+HEX2DEC('table for research'!AH$1))*2,2)</f>
        <v>00</v>
      </c>
      <c r="AI741" t="str">
        <f>MID('paste from garc here'!$C$2,1+(('table for research'!$B741-456)*36+HEX2DEC('table for research'!AI$1))*2,2)</f>
        <v>00</v>
      </c>
      <c r="AJ741" t="str">
        <f>MID('paste from garc here'!$C$2,1+(('table for research'!$B741-456)*36+HEX2DEC('table for research'!AJ$1))*2,2)</f>
        <v>00</v>
      </c>
      <c r="AK741" t="str">
        <f>MID('paste from garc here'!$C$2,1+(('table for research'!$B741-456)*36+HEX2DEC('table for research'!AK$1))*2,2)</f>
        <v>00</v>
      </c>
      <c r="AL741" t="str">
        <f>MID('paste from garc here'!$C$2,1+(('table for research'!$B741-456)*36+HEX2DEC('table for research'!AL$1))*2,2)</f>
        <v>00</v>
      </c>
      <c r="AM741" t="str">
        <f>MID('paste from garc here'!$C$2,1+(('table for research'!$B741-456)*36+HEX2DEC('table for research'!AM$1))*2,2)</f>
        <v>00</v>
      </c>
      <c r="AN741" t="str">
        <f>MID('paste from garc here'!$C$2,1+(('table for research'!$B741-456)*36+HEX2DEC('table for research'!AN$1))*2,2)</f>
        <v>00</v>
      </c>
      <c r="AO741" t="str">
        <f>MID('paste from garc here'!$C$2,1+(('table for research'!$B741-456)*36+HEX2DEC('table for research'!AO$1))*2,2)</f>
        <v>00</v>
      </c>
    </row>
    <row r="742" spans="1:41" x14ac:dyDescent="0.4">
      <c r="A742" t="s">
        <v>735</v>
      </c>
      <c r="B742">
        <f>B741+1</f>
        <v>740</v>
      </c>
      <c r="C742" t="str">
        <f>MID('paste from garc here'!$C$2,1+(('table for research'!$B742-456)*36+HEX2DEC('table for research'!C$1))*2,2)</f>
        <v>00</v>
      </c>
      <c r="D742" t="str">
        <f>MID('paste from garc here'!$C$2,1+(('table for research'!$B742-456)*36+HEX2DEC('table for research'!D$1))*2,2)</f>
        <v>00</v>
      </c>
      <c r="E742" t="str">
        <f>MID('paste from garc here'!$C$2,1+(('table for research'!$B742-456)*36+HEX2DEC('table for research'!E$1))*2,2)</f>
        <v>00</v>
      </c>
      <c r="F742" t="str">
        <f>MID('paste from garc here'!$C$2,1+(('table for research'!$B742-456)*36+HEX2DEC('table for research'!F$1))*2,2)</f>
        <v>00</v>
      </c>
      <c r="G742" t="str">
        <f>MID('paste from garc here'!$C$2,1+(('table for research'!$B742-456)*36+HEX2DEC('table for research'!G$1))*2,2)</f>
        <v>00</v>
      </c>
      <c r="H742" t="str">
        <f>MID('paste from garc here'!$C$2,1+(('table for research'!$B742-456)*36+HEX2DEC('table for research'!H$1))*2,2)</f>
        <v>00</v>
      </c>
      <c r="I742" t="str">
        <f>MID('paste from garc here'!$C$2,1+(('table for research'!$B742-456)*36+HEX2DEC('table for research'!I$1))*2,2)</f>
        <v>00</v>
      </c>
      <c r="J742" t="str">
        <f>MID('paste from garc here'!$C$2,1+(('table for research'!$B742-456)*36+HEX2DEC('table for research'!J$1))*2,2)</f>
        <v>00</v>
      </c>
      <c r="K742" t="str">
        <f>DEC2HEX(_xlfn.BITAND(HEX2DEC(MID('paste from garc here'!$C$1,1+(('table for research'!$B742-1)*36+HEX2DEC(8))*2,2)),31),2)</f>
        <v>00</v>
      </c>
      <c r="L742" t="str">
        <f>DEC2HEX(_xlfn.BITAND(HEX2DEC(MID('paste from garc here'!$C$1,1+(('table for research'!$B742-1)*36+HEX2DEC(8))*2,2)),32),2)</f>
        <v>00</v>
      </c>
      <c r="M742" t="str">
        <f>DEC2HEX(_xlfn.BITAND(HEX2DEC(MID('paste from garc here'!$C$1,1+(('table for research'!$B742-1)*36+HEX2DEC(8))*2,2)),64),2)</f>
        <v>00</v>
      </c>
      <c r="N742" t="str">
        <f>DEC2HEX(_xlfn.BITRSHIFT(_xlfn.BITAND(HEX2DEC(MID('paste from garc here'!$C$1,1+(('table for research'!$B742-1)*36+HEX2DEC(9))*2,2)&amp;MID('paste from garc here'!$C$1,1+(('table for research'!$B742-1)*36+HEX2DEC(8))*2,2)),1920),7),2)</f>
        <v>00</v>
      </c>
      <c r="O742" t="str">
        <f>DEC2HEX(_xlfn.BITRSHIFT(HEX2DEC(MID('paste from garc here'!$C$1,1+(('table for research'!$B742-1)*36+HEX2DEC(9))*2,2)&amp;MID('paste from garc here'!$C$1,1+(('table for research'!$B742-1)*36+HEX2DEC(8))*2,2)),11),2)</f>
        <v>00</v>
      </c>
      <c r="P742" t="str">
        <f>MID('paste from garc here'!$C$2,1+(('table for research'!$B742-456)*36+HEX2DEC('table for research'!P$1))*2,2)</f>
        <v>00</v>
      </c>
      <c r="Q742" t="str">
        <f>MID('paste from garc here'!$C$2,1+(('table for research'!$B742-456)*36+HEX2DEC('table for research'!Q$1))*2,2)</f>
        <v>00</v>
      </c>
      <c r="R742" t="str">
        <f>MID('paste from garc here'!$C$2,1+(('table for research'!$B742-456)*36+HEX2DEC('table for research'!R$1))*2,2)</f>
        <v>00</v>
      </c>
      <c r="S742" t="str">
        <f>MID('paste from garc here'!$C$2,1+(('table for research'!$B742-456)*36+HEX2DEC('table for research'!S$1))*2,2)</f>
        <v>08</v>
      </c>
      <c r="T742" t="str">
        <f>MID('paste from garc here'!$C$2,1+(('table for research'!$B742-456)*36+HEX2DEC('table for research'!T$1))*2,2)</f>
        <v>00</v>
      </c>
      <c r="U742" t="str">
        <f>MID('paste from garc here'!$C$2,1+(('table for research'!$B742-456)*36+HEX2DEC('table for research'!U$1))*2,2)</f>
        <v>FF</v>
      </c>
      <c r="V742" t="str">
        <f>MID('paste from garc here'!$C$2,1+(('table for research'!$B742-456)*36+HEX2DEC('table for research'!V$1))*2,2)</f>
        <v>00</v>
      </c>
      <c r="W742" t="str">
        <f>MID('paste from garc here'!$C$2,1+(('table for research'!$B742-456)*36+HEX2DEC('table for research'!W$1))*2,2)</f>
        <v>00</v>
      </c>
      <c r="X742" t="str">
        <f>MID('paste from garc here'!$C$2,1+(('table for research'!$B742-456)*36+HEX2DEC('table for research'!X$1))*2,2)</f>
        <v>00</v>
      </c>
      <c r="Y742" t="str">
        <f>MID('paste from garc here'!$C$2,1+(('table for research'!$B742-456)*36+HEX2DEC('table for research'!Y$1))*2,2)</f>
        <v>00</v>
      </c>
      <c r="Z742" t="str">
        <f>MID('paste from garc here'!$C$2,1+(('table for research'!$B742-456)*36+HEX2DEC('table for research'!Z$1))*2,2)</f>
        <v>00</v>
      </c>
      <c r="AA742" t="str">
        <f>MID('paste from garc here'!$C$2,1+(('table for research'!$B742-456)*36+HEX2DEC('table for research'!AA$1))*2,2)</f>
        <v>00</v>
      </c>
      <c r="AB742" t="str">
        <f>MID('paste from garc here'!$C$2,1+(('table for research'!$B742-456)*36+HEX2DEC('table for research'!AB$1))*2,2)</f>
        <v>00</v>
      </c>
      <c r="AC742" t="str">
        <f>MID('paste from garc here'!$C$2,1+(('table for research'!$B742-456)*36+HEX2DEC('table for research'!AC$1))*2,2)</f>
        <v>00</v>
      </c>
      <c r="AD742" t="str">
        <f>MID('paste from garc here'!$C$2,1+(('table for research'!$B742-456)*36+HEX2DEC('table for research'!AD$1))*2,2)</f>
        <v>00</v>
      </c>
      <c r="AE742" t="str">
        <f>MID('paste from garc here'!$C$2,1+(('table for research'!$B742-456)*36+HEX2DEC('table for research'!AE$1))*2,2)</f>
        <v>00</v>
      </c>
      <c r="AF742" t="str">
        <f>MID('paste from garc here'!$C$2,1+(('table for research'!$B742-456)*36+HEX2DEC('table for research'!AF$1))*2,2)</f>
        <v>00</v>
      </c>
      <c r="AG742" t="str">
        <f>MID('paste from garc here'!$C$2,1+(('table for research'!$B742-456)*36+HEX2DEC('table for research'!AG$1))*2,2)</f>
        <v>00</v>
      </c>
      <c r="AH742" t="str">
        <f>MID('paste from garc here'!$C$2,1+(('table for research'!$B742-456)*36+HEX2DEC('table for research'!AH$1))*2,2)</f>
        <v>00</v>
      </c>
      <c r="AI742" t="str">
        <f>MID('paste from garc here'!$C$2,1+(('table for research'!$B742-456)*36+HEX2DEC('table for research'!AI$1))*2,2)</f>
        <v>00</v>
      </c>
      <c r="AJ742" t="str">
        <f>MID('paste from garc here'!$C$2,1+(('table for research'!$B742-456)*36+HEX2DEC('table for research'!AJ$1))*2,2)</f>
        <v>00</v>
      </c>
      <c r="AK742" t="str">
        <f>MID('paste from garc here'!$C$2,1+(('table for research'!$B742-456)*36+HEX2DEC('table for research'!AK$1))*2,2)</f>
        <v>00</v>
      </c>
      <c r="AL742" t="str">
        <f>MID('paste from garc here'!$C$2,1+(('table for research'!$B742-456)*36+HEX2DEC('table for research'!AL$1))*2,2)</f>
        <v>00</v>
      </c>
      <c r="AM742" t="str">
        <f>MID('paste from garc here'!$C$2,1+(('table for research'!$B742-456)*36+HEX2DEC('table for research'!AM$1))*2,2)</f>
        <v>00</v>
      </c>
      <c r="AN742" t="str">
        <f>MID('paste from garc here'!$C$2,1+(('table for research'!$B742-456)*36+HEX2DEC('table for research'!AN$1))*2,2)</f>
        <v>00</v>
      </c>
      <c r="AO742" t="str">
        <f>MID('paste from garc here'!$C$2,1+(('table for research'!$B742-456)*36+HEX2DEC('table for research'!AO$1))*2,2)</f>
        <v>00</v>
      </c>
    </row>
    <row r="743" spans="1:41" x14ac:dyDescent="0.4">
      <c r="A743" t="s">
        <v>736</v>
      </c>
      <c r="B743">
        <f>B742+1</f>
        <v>741</v>
      </c>
      <c r="C743" t="str">
        <f>MID('paste from garc here'!$C$2,1+(('table for research'!$B743-456)*36+HEX2DEC('table for research'!C$1))*2,2)</f>
        <v>00</v>
      </c>
      <c r="D743" t="str">
        <f>MID('paste from garc here'!$C$2,1+(('table for research'!$B743-456)*36+HEX2DEC('table for research'!D$1))*2,2)</f>
        <v>00</v>
      </c>
      <c r="E743" t="str">
        <f>MID('paste from garc here'!$C$2,1+(('table for research'!$B743-456)*36+HEX2DEC('table for research'!E$1))*2,2)</f>
        <v>00</v>
      </c>
      <c r="F743" t="str">
        <f>MID('paste from garc here'!$C$2,1+(('table for research'!$B743-456)*36+HEX2DEC('table for research'!F$1))*2,2)</f>
        <v>00</v>
      </c>
      <c r="G743" t="str">
        <f>MID('paste from garc here'!$C$2,1+(('table for research'!$B743-456)*36+HEX2DEC('table for research'!G$1))*2,2)</f>
        <v>00</v>
      </c>
      <c r="H743" t="str">
        <f>MID('paste from garc here'!$C$2,1+(('table for research'!$B743-456)*36+HEX2DEC('table for research'!H$1))*2,2)</f>
        <v>00</v>
      </c>
      <c r="I743" t="str">
        <f>MID('paste from garc here'!$C$2,1+(('table for research'!$B743-456)*36+HEX2DEC('table for research'!I$1))*2,2)</f>
        <v>00</v>
      </c>
      <c r="J743" t="str">
        <f>MID('paste from garc here'!$C$2,1+(('table for research'!$B743-456)*36+HEX2DEC('table for research'!J$1))*2,2)</f>
        <v>00</v>
      </c>
      <c r="K743" t="str">
        <f>DEC2HEX(_xlfn.BITAND(HEX2DEC(MID('paste from garc here'!$C$1,1+(('table for research'!$B743-1)*36+HEX2DEC(8))*2,2)),31),2)</f>
        <v>00</v>
      </c>
      <c r="L743" t="str">
        <f>DEC2HEX(_xlfn.BITAND(HEX2DEC(MID('paste from garc here'!$C$1,1+(('table for research'!$B743-1)*36+HEX2DEC(8))*2,2)),32),2)</f>
        <v>00</v>
      </c>
      <c r="M743" t="str">
        <f>DEC2HEX(_xlfn.BITAND(HEX2DEC(MID('paste from garc here'!$C$1,1+(('table for research'!$B743-1)*36+HEX2DEC(8))*2,2)),64),2)</f>
        <v>00</v>
      </c>
      <c r="N743" t="str">
        <f>DEC2HEX(_xlfn.BITRSHIFT(_xlfn.BITAND(HEX2DEC(MID('paste from garc here'!$C$1,1+(('table for research'!$B743-1)*36+HEX2DEC(9))*2,2)&amp;MID('paste from garc here'!$C$1,1+(('table for research'!$B743-1)*36+HEX2DEC(8))*2,2)),1920),7),2)</f>
        <v>00</v>
      </c>
      <c r="O743" t="str">
        <f>DEC2HEX(_xlfn.BITRSHIFT(HEX2DEC(MID('paste from garc here'!$C$1,1+(('table for research'!$B743-1)*36+HEX2DEC(9))*2,2)&amp;MID('paste from garc here'!$C$1,1+(('table for research'!$B743-1)*36+HEX2DEC(8))*2,2)),11),2)</f>
        <v>00</v>
      </c>
      <c r="P743" t="str">
        <f>MID('paste from garc here'!$C$2,1+(('table for research'!$B743-456)*36+HEX2DEC('table for research'!P$1))*2,2)</f>
        <v>00</v>
      </c>
      <c r="Q743" t="str">
        <f>MID('paste from garc here'!$C$2,1+(('table for research'!$B743-456)*36+HEX2DEC('table for research'!Q$1))*2,2)</f>
        <v>00</v>
      </c>
      <c r="R743" t="str">
        <f>MID('paste from garc here'!$C$2,1+(('table for research'!$B743-456)*36+HEX2DEC('table for research'!R$1))*2,2)</f>
        <v>00</v>
      </c>
      <c r="S743" t="str">
        <f>MID('paste from garc here'!$C$2,1+(('table for research'!$B743-456)*36+HEX2DEC('table for research'!S$1))*2,2)</f>
        <v>08</v>
      </c>
      <c r="T743" t="str">
        <f>MID('paste from garc here'!$C$2,1+(('table for research'!$B743-456)*36+HEX2DEC('table for research'!T$1))*2,2)</f>
        <v>00</v>
      </c>
      <c r="U743" t="str">
        <f>MID('paste from garc here'!$C$2,1+(('table for research'!$B743-456)*36+HEX2DEC('table for research'!U$1))*2,2)</f>
        <v>FF</v>
      </c>
      <c r="V743" t="str">
        <f>MID('paste from garc here'!$C$2,1+(('table for research'!$B743-456)*36+HEX2DEC('table for research'!V$1))*2,2)</f>
        <v>00</v>
      </c>
      <c r="W743" t="str">
        <f>MID('paste from garc here'!$C$2,1+(('table for research'!$B743-456)*36+HEX2DEC('table for research'!W$1))*2,2)</f>
        <v>00</v>
      </c>
      <c r="X743" t="str">
        <f>MID('paste from garc here'!$C$2,1+(('table for research'!$B743-456)*36+HEX2DEC('table for research'!X$1))*2,2)</f>
        <v>00</v>
      </c>
      <c r="Y743" t="str">
        <f>MID('paste from garc here'!$C$2,1+(('table for research'!$B743-456)*36+HEX2DEC('table for research'!Y$1))*2,2)</f>
        <v>00</v>
      </c>
      <c r="Z743" t="str">
        <f>MID('paste from garc here'!$C$2,1+(('table for research'!$B743-456)*36+HEX2DEC('table for research'!Z$1))*2,2)</f>
        <v>00</v>
      </c>
      <c r="AA743" t="str">
        <f>MID('paste from garc here'!$C$2,1+(('table for research'!$B743-456)*36+HEX2DEC('table for research'!AA$1))*2,2)</f>
        <v>00</v>
      </c>
      <c r="AB743" t="str">
        <f>MID('paste from garc here'!$C$2,1+(('table for research'!$B743-456)*36+HEX2DEC('table for research'!AB$1))*2,2)</f>
        <v>00</v>
      </c>
      <c r="AC743" t="str">
        <f>MID('paste from garc here'!$C$2,1+(('table for research'!$B743-456)*36+HEX2DEC('table for research'!AC$1))*2,2)</f>
        <v>00</v>
      </c>
      <c r="AD743" t="str">
        <f>MID('paste from garc here'!$C$2,1+(('table for research'!$B743-456)*36+HEX2DEC('table for research'!AD$1))*2,2)</f>
        <v>00</v>
      </c>
      <c r="AE743" t="str">
        <f>MID('paste from garc here'!$C$2,1+(('table for research'!$B743-456)*36+HEX2DEC('table for research'!AE$1))*2,2)</f>
        <v>00</v>
      </c>
      <c r="AF743" t="str">
        <f>MID('paste from garc here'!$C$2,1+(('table for research'!$B743-456)*36+HEX2DEC('table for research'!AF$1))*2,2)</f>
        <v>00</v>
      </c>
      <c r="AG743" t="str">
        <f>MID('paste from garc here'!$C$2,1+(('table for research'!$B743-456)*36+HEX2DEC('table for research'!AG$1))*2,2)</f>
        <v>00</v>
      </c>
      <c r="AH743" t="str">
        <f>MID('paste from garc here'!$C$2,1+(('table for research'!$B743-456)*36+HEX2DEC('table for research'!AH$1))*2,2)</f>
        <v>00</v>
      </c>
      <c r="AI743" t="str">
        <f>MID('paste from garc here'!$C$2,1+(('table for research'!$B743-456)*36+HEX2DEC('table for research'!AI$1))*2,2)</f>
        <v>00</v>
      </c>
      <c r="AJ743" t="str">
        <f>MID('paste from garc here'!$C$2,1+(('table for research'!$B743-456)*36+HEX2DEC('table for research'!AJ$1))*2,2)</f>
        <v>00</v>
      </c>
      <c r="AK743" t="str">
        <f>MID('paste from garc here'!$C$2,1+(('table for research'!$B743-456)*36+HEX2DEC('table for research'!AK$1))*2,2)</f>
        <v>00</v>
      </c>
      <c r="AL743" t="str">
        <f>MID('paste from garc here'!$C$2,1+(('table for research'!$B743-456)*36+HEX2DEC('table for research'!AL$1))*2,2)</f>
        <v>00</v>
      </c>
      <c r="AM743" t="str">
        <f>MID('paste from garc here'!$C$2,1+(('table for research'!$B743-456)*36+HEX2DEC('table for research'!AM$1))*2,2)</f>
        <v>00</v>
      </c>
      <c r="AN743" t="str">
        <f>MID('paste from garc here'!$C$2,1+(('table for research'!$B743-456)*36+HEX2DEC('table for research'!AN$1))*2,2)</f>
        <v>00</v>
      </c>
      <c r="AO743" t="str">
        <f>MID('paste from garc here'!$C$2,1+(('table for research'!$B743-456)*36+HEX2DEC('table for research'!AO$1))*2,2)</f>
        <v>00</v>
      </c>
    </row>
    <row r="744" spans="1:41" x14ac:dyDescent="0.4">
      <c r="A744" t="s">
        <v>737</v>
      </c>
      <c r="B744">
        <f>B743+1</f>
        <v>742</v>
      </c>
      <c r="C744" t="str">
        <f>MID('paste from garc here'!$C$2,1+(('table for research'!$B744-456)*36+HEX2DEC('table for research'!C$1))*2,2)</f>
        <v>00</v>
      </c>
      <c r="D744" t="str">
        <f>MID('paste from garc here'!$C$2,1+(('table for research'!$B744-456)*36+HEX2DEC('table for research'!D$1))*2,2)</f>
        <v>00</v>
      </c>
      <c r="E744" t="str">
        <f>MID('paste from garc here'!$C$2,1+(('table for research'!$B744-456)*36+HEX2DEC('table for research'!E$1))*2,2)</f>
        <v>00</v>
      </c>
      <c r="F744" t="str">
        <f>MID('paste from garc here'!$C$2,1+(('table for research'!$B744-456)*36+HEX2DEC('table for research'!F$1))*2,2)</f>
        <v>00</v>
      </c>
      <c r="G744" t="str">
        <f>MID('paste from garc here'!$C$2,1+(('table for research'!$B744-456)*36+HEX2DEC('table for research'!G$1))*2,2)</f>
        <v>00</v>
      </c>
      <c r="H744" t="str">
        <f>MID('paste from garc here'!$C$2,1+(('table for research'!$B744-456)*36+HEX2DEC('table for research'!H$1))*2,2)</f>
        <v>00</v>
      </c>
      <c r="I744" t="str">
        <f>MID('paste from garc here'!$C$2,1+(('table for research'!$B744-456)*36+HEX2DEC('table for research'!I$1))*2,2)</f>
        <v>00</v>
      </c>
      <c r="J744" t="str">
        <f>MID('paste from garc here'!$C$2,1+(('table for research'!$B744-456)*36+HEX2DEC('table for research'!J$1))*2,2)</f>
        <v>00</v>
      </c>
      <c r="K744" t="str">
        <f>DEC2HEX(_xlfn.BITAND(HEX2DEC(MID('paste from garc here'!$C$1,1+(('table for research'!$B744-1)*36+HEX2DEC(8))*2,2)),31),2)</f>
        <v>00</v>
      </c>
      <c r="L744" t="str">
        <f>DEC2HEX(_xlfn.BITAND(HEX2DEC(MID('paste from garc here'!$C$1,1+(('table for research'!$B744-1)*36+HEX2DEC(8))*2,2)),32),2)</f>
        <v>00</v>
      </c>
      <c r="M744" t="str">
        <f>DEC2HEX(_xlfn.BITAND(HEX2DEC(MID('paste from garc here'!$C$1,1+(('table for research'!$B744-1)*36+HEX2DEC(8))*2,2)),64),2)</f>
        <v>00</v>
      </c>
      <c r="N744" t="str">
        <f>DEC2HEX(_xlfn.BITRSHIFT(_xlfn.BITAND(HEX2DEC(MID('paste from garc here'!$C$1,1+(('table for research'!$B744-1)*36+HEX2DEC(9))*2,2)&amp;MID('paste from garc here'!$C$1,1+(('table for research'!$B744-1)*36+HEX2DEC(8))*2,2)),1920),7),2)</f>
        <v>00</v>
      </c>
      <c r="O744" t="str">
        <f>DEC2HEX(_xlfn.BITRSHIFT(HEX2DEC(MID('paste from garc here'!$C$1,1+(('table for research'!$B744-1)*36+HEX2DEC(9))*2,2)&amp;MID('paste from garc here'!$C$1,1+(('table for research'!$B744-1)*36+HEX2DEC(8))*2,2)),11),2)</f>
        <v>00</v>
      </c>
      <c r="P744" t="str">
        <f>MID('paste from garc here'!$C$2,1+(('table for research'!$B744-456)*36+HEX2DEC('table for research'!P$1))*2,2)</f>
        <v>00</v>
      </c>
      <c r="Q744" t="str">
        <f>MID('paste from garc here'!$C$2,1+(('table for research'!$B744-456)*36+HEX2DEC('table for research'!Q$1))*2,2)</f>
        <v>00</v>
      </c>
      <c r="R744" t="str">
        <f>MID('paste from garc here'!$C$2,1+(('table for research'!$B744-456)*36+HEX2DEC('table for research'!R$1))*2,2)</f>
        <v>00</v>
      </c>
      <c r="S744" t="str">
        <f>MID('paste from garc here'!$C$2,1+(('table for research'!$B744-456)*36+HEX2DEC('table for research'!S$1))*2,2)</f>
        <v>08</v>
      </c>
      <c r="T744" t="str">
        <f>MID('paste from garc here'!$C$2,1+(('table for research'!$B744-456)*36+HEX2DEC('table for research'!T$1))*2,2)</f>
        <v>00</v>
      </c>
      <c r="U744" t="str">
        <f>MID('paste from garc here'!$C$2,1+(('table for research'!$B744-456)*36+HEX2DEC('table for research'!U$1))*2,2)</f>
        <v>FF</v>
      </c>
      <c r="V744" t="str">
        <f>MID('paste from garc here'!$C$2,1+(('table for research'!$B744-456)*36+HEX2DEC('table for research'!V$1))*2,2)</f>
        <v>00</v>
      </c>
      <c r="W744" t="str">
        <f>MID('paste from garc here'!$C$2,1+(('table for research'!$B744-456)*36+HEX2DEC('table for research'!W$1))*2,2)</f>
        <v>00</v>
      </c>
      <c r="X744" t="str">
        <f>MID('paste from garc here'!$C$2,1+(('table for research'!$B744-456)*36+HEX2DEC('table for research'!X$1))*2,2)</f>
        <v>00</v>
      </c>
      <c r="Y744" t="str">
        <f>MID('paste from garc here'!$C$2,1+(('table for research'!$B744-456)*36+HEX2DEC('table for research'!Y$1))*2,2)</f>
        <v>00</v>
      </c>
      <c r="Z744" t="str">
        <f>MID('paste from garc here'!$C$2,1+(('table for research'!$B744-456)*36+HEX2DEC('table for research'!Z$1))*2,2)</f>
        <v>00</v>
      </c>
      <c r="AA744" t="str">
        <f>MID('paste from garc here'!$C$2,1+(('table for research'!$B744-456)*36+HEX2DEC('table for research'!AA$1))*2,2)</f>
        <v>00</v>
      </c>
      <c r="AB744" t="str">
        <f>MID('paste from garc here'!$C$2,1+(('table for research'!$B744-456)*36+HEX2DEC('table for research'!AB$1))*2,2)</f>
        <v>00</v>
      </c>
      <c r="AC744" t="str">
        <f>MID('paste from garc here'!$C$2,1+(('table for research'!$B744-456)*36+HEX2DEC('table for research'!AC$1))*2,2)</f>
        <v>00</v>
      </c>
      <c r="AD744" t="str">
        <f>MID('paste from garc here'!$C$2,1+(('table for research'!$B744-456)*36+HEX2DEC('table for research'!AD$1))*2,2)</f>
        <v>00</v>
      </c>
      <c r="AE744" t="str">
        <f>MID('paste from garc here'!$C$2,1+(('table for research'!$B744-456)*36+HEX2DEC('table for research'!AE$1))*2,2)</f>
        <v>00</v>
      </c>
      <c r="AF744" t="str">
        <f>MID('paste from garc here'!$C$2,1+(('table for research'!$B744-456)*36+HEX2DEC('table for research'!AF$1))*2,2)</f>
        <v>00</v>
      </c>
      <c r="AG744" t="str">
        <f>MID('paste from garc here'!$C$2,1+(('table for research'!$B744-456)*36+HEX2DEC('table for research'!AG$1))*2,2)</f>
        <v>00</v>
      </c>
      <c r="AH744" t="str">
        <f>MID('paste from garc here'!$C$2,1+(('table for research'!$B744-456)*36+HEX2DEC('table for research'!AH$1))*2,2)</f>
        <v>00</v>
      </c>
      <c r="AI744" t="str">
        <f>MID('paste from garc here'!$C$2,1+(('table for research'!$B744-456)*36+HEX2DEC('table for research'!AI$1))*2,2)</f>
        <v>00</v>
      </c>
      <c r="AJ744" t="str">
        <f>MID('paste from garc here'!$C$2,1+(('table for research'!$B744-456)*36+HEX2DEC('table for research'!AJ$1))*2,2)</f>
        <v>00</v>
      </c>
      <c r="AK744" t="str">
        <f>MID('paste from garc here'!$C$2,1+(('table for research'!$B744-456)*36+HEX2DEC('table for research'!AK$1))*2,2)</f>
        <v>00</v>
      </c>
      <c r="AL744" t="str">
        <f>MID('paste from garc here'!$C$2,1+(('table for research'!$B744-456)*36+HEX2DEC('table for research'!AL$1))*2,2)</f>
        <v>00</v>
      </c>
      <c r="AM744" t="str">
        <f>MID('paste from garc here'!$C$2,1+(('table for research'!$B744-456)*36+HEX2DEC('table for research'!AM$1))*2,2)</f>
        <v>00</v>
      </c>
      <c r="AN744" t="str">
        <f>MID('paste from garc here'!$C$2,1+(('table for research'!$B744-456)*36+HEX2DEC('table for research'!AN$1))*2,2)</f>
        <v>00</v>
      </c>
      <c r="AO744" t="str">
        <f>MID('paste from garc here'!$C$2,1+(('table for research'!$B744-456)*36+HEX2DEC('table for research'!AO$1))*2,2)</f>
        <v>00</v>
      </c>
    </row>
    <row r="745" spans="1:41" x14ac:dyDescent="0.4">
      <c r="A745" t="s">
        <v>738</v>
      </c>
      <c r="B745">
        <f>B744+1</f>
        <v>743</v>
      </c>
      <c r="C745" t="str">
        <f>MID('paste from garc here'!$C$2,1+(('table for research'!$B745-456)*36+HEX2DEC('table for research'!C$1))*2,2)</f>
        <v>00</v>
      </c>
      <c r="D745" t="str">
        <f>MID('paste from garc here'!$C$2,1+(('table for research'!$B745-456)*36+HEX2DEC('table for research'!D$1))*2,2)</f>
        <v>00</v>
      </c>
      <c r="E745" t="str">
        <f>MID('paste from garc here'!$C$2,1+(('table for research'!$B745-456)*36+HEX2DEC('table for research'!E$1))*2,2)</f>
        <v>00</v>
      </c>
      <c r="F745" t="str">
        <f>MID('paste from garc here'!$C$2,1+(('table for research'!$B745-456)*36+HEX2DEC('table for research'!F$1))*2,2)</f>
        <v>00</v>
      </c>
      <c r="G745" t="str">
        <f>MID('paste from garc here'!$C$2,1+(('table for research'!$B745-456)*36+HEX2DEC('table for research'!G$1))*2,2)</f>
        <v>00</v>
      </c>
      <c r="H745" t="str">
        <f>MID('paste from garc here'!$C$2,1+(('table for research'!$B745-456)*36+HEX2DEC('table for research'!H$1))*2,2)</f>
        <v>00</v>
      </c>
      <c r="I745" t="str">
        <f>MID('paste from garc here'!$C$2,1+(('table for research'!$B745-456)*36+HEX2DEC('table for research'!I$1))*2,2)</f>
        <v>00</v>
      </c>
      <c r="J745" t="str">
        <f>MID('paste from garc here'!$C$2,1+(('table for research'!$B745-456)*36+HEX2DEC('table for research'!J$1))*2,2)</f>
        <v>00</v>
      </c>
      <c r="K745" t="str">
        <f>DEC2HEX(_xlfn.BITAND(HEX2DEC(MID('paste from garc here'!$C$1,1+(('table for research'!$B745-1)*36+HEX2DEC(8))*2,2)),31),2)</f>
        <v>00</v>
      </c>
      <c r="L745" t="str">
        <f>DEC2HEX(_xlfn.BITAND(HEX2DEC(MID('paste from garc here'!$C$1,1+(('table for research'!$B745-1)*36+HEX2DEC(8))*2,2)),32),2)</f>
        <v>00</v>
      </c>
      <c r="M745" t="str">
        <f>DEC2HEX(_xlfn.BITAND(HEX2DEC(MID('paste from garc here'!$C$1,1+(('table for research'!$B745-1)*36+HEX2DEC(8))*2,2)),64),2)</f>
        <v>00</v>
      </c>
      <c r="N745" t="str">
        <f>DEC2HEX(_xlfn.BITRSHIFT(_xlfn.BITAND(HEX2DEC(MID('paste from garc here'!$C$1,1+(('table for research'!$B745-1)*36+HEX2DEC(9))*2,2)&amp;MID('paste from garc here'!$C$1,1+(('table for research'!$B745-1)*36+HEX2DEC(8))*2,2)),1920),7),2)</f>
        <v>00</v>
      </c>
      <c r="O745" t="str">
        <f>DEC2HEX(_xlfn.BITRSHIFT(HEX2DEC(MID('paste from garc here'!$C$1,1+(('table for research'!$B745-1)*36+HEX2DEC(9))*2,2)&amp;MID('paste from garc here'!$C$1,1+(('table for research'!$B745-1)*36+HEX2DEC(8))*2,2)),11),2)</f>
        <v>00</v>
      </c>
      <c r="P745" t="str">
        <f>MID('paste from garc here'!$C$2,1+(('table for research'!$B745-456)*36+HEX2DEC('table for research'!P$1))*2,2)</f>
        <v>00</v>
      </c>
      <c r="Q745" t="str">
        <f>MID('paste from garc here'!$C$2,1+(('table for research'!$B745-456)*36+HEX2DEC('table for research'!Q$1))*2,2)</f>
        <v>00</v>
      </c>
      <c r="R745" t="str">
        <f>MID('paste from garc here'!$C$2,1+(('table for research'!$B745-456)*36+HEX2DEC('table for research'!R$1))*2,2)</f>
        <v>00</v>
      </c>
      <c r="S745" t="str">
        <f>MID('paste from garc here'!$C$2,1+(('table for research'!$B745-456)*36+HEX2DEC('table for research'!S$1))*2,2)</f>
        <v>08</v>
      </c>
      <c r="T745" t="str">
        <f>MID('paste from garc here'!$C$2,1+(('table for research'!$B745-456)*36+HEX2DEC('table for research'!T$1))*2,2)</f>
        <v>00</v>
      </c>
      <c r="U745" t="str">
        <f>MID('paste from garc here'!$C$2,1+(('table for research'!$B745-456)*36+HEX2DEC('table for research'!U$1))*2,2)</f>
        <v>FF</v>
      </c>
      <c r="V745" t="str">
        <f>MID('paste from garc here'!$C$2,1+(('table for research'!$B745-456)*36+HEX2DEC('table for research'!V$1))*2,2)</f>
        <v>00</v>
      </c>
      <c r="W745" t="str">
        <f>MID('paste from garc here'!$C$2,1+(('table for research'!$B745-456)*36+HEX2DEC('table for research'!W$1))*2,2)</f>
        <v>00</v>
      </c>
      <c r="X745" t="str">
        <f>MID('paste from garc here'!$C$2,1+(('table for research'!$B745-456)*36+HEX2DEC('table for research'!X$1))*2,2)</f>
        <v>00</v>
      </c>
      <c r="Y745" t="str">
        <f>MID('paste from garc here'!$C$2,1+(('table for research'!$B745-456)*36+HEX2DEC('table for research'!Y$1))*2,2)</f>
        <v>00</v>
      </c>
      <c r="Z745" t="str">
        <f>MID('paste from garc here'!$C$2,1+(('table for research'!$B745-456)*36+HEX2DEC('table for research'!Z$1))*2,2)</f>
        <v>00</v>
      </c>
      <c r="AA745" t="str">
        <f>MID('paste from garc here'!$C$2,1+(('table for research'!$B745-456)*36+HEX2DEC('table for research'!AA$1))*2,2)</f>
        <v>00</v>
      </c>
      <c r="AB745" t="str">
        <f>MID('paste from garc here'!$C$2,1+(('table for research'!$B745-456)*36+HEX2DEC('table for research'!AB$1))*2,2)</f>
        <v>00</v>
      </c>
      <c r="AC745" t="str">
        <f>MID('paste from garc here'!$C$2,1+(('table for research'!$B745-456)*36+HEX2DEC('table for research'!AC$1))*2,2)</f>
        <v>00</v>
      </c>
      <c r="AD745" t="str">
        <f>MID('paste from garc here'!$C$2,1+(('table for research'!$B745-456)*36+HEX2DEC('table for research'!AD$1))*2,2)</f>
        <v>00</v>
      </c>
      <c r="AE745" t="str">
        <f>MID('paste from garc here'!$C$2,1+(('table for research'!$B745-456)*36+HEX2DEC('table for research'!AE$1))*2,2)</f>
        <v>00</v>
      </c>
      <c r="AF745" t="str">
        <f>MID('paste from garc here'!$C$2,1+(('table for research'!$B745-456)*36+HEX2DEC('table for research'!AF$1))*2,2)</f>
        <v>00</v>
      </c>
      <c r="AG745" t="str">
        <f>MID('paste from garc here'!$C$2,1+(('table for research'!$B745-456)*36+HEX2DEC('table for research'!AG$1))*2,2)</f>
        <v>00</v>
      </c>
      <c r="AH745" t="str">
        <f>MID('paste from garc here'!$C$2,1+(('table for research'!$B745-456)*36+HEX2DEC('table for research'!AH$1))*2,2)</f>
        <v>00</v>
      </c>
      <c r="AI745" t="str">
        <f>MID('paste from garc here'!$C$2,1+(('table for research'!$B745-456)*36+HEX2DEC('table for research'!AI$1))*2,2)</f>
        <v>00</v>
      </c>
      <c r="AJ745" t="str">
        <f>MID('paste from garc here'!$C$2,1+(('table for research'!$B745-456)*36+HEX2DEC('table for research'!AJ$1))*2,2)</f>
        <v>00</v>
      </c>
      <c r="AK745" t="str">
        <f>MID('paste from garc here'!$C$2,1+(('table for research'!$B745-456)*36+HEX2DEC('table for research'!AK$1))*2,2)</f>
        <v>00</v>
      </c>
      <c r="AL745" t="str">
        <f>MID('paste from garc here'!$C$2,1+(('table for research'!$B745-456)*36+HEX2DEC('table for research'!AL$1))*2,2)</f>
        <v>00</v>
      </c>
      <c r="AM745" t="str">
        <f>MID('paste from garc here'!$C$2,1+(('table for research'!$B745-456)*36+HEX2DEC('table for research'!AM$1))*2,2)</f>
        <v>00</v>
      </c>
      <c r="AN745" t="str">
        <f>MID('paste from garc here'!$C$2,1+(('table for research'!$B745-456)*36+HEX2DEC('table for research'!AN$1))*2,2)</f>
        <v>00</v>
      </c>
      <c r="AO745" t="str">
        <f>MID('paste from garc here'!$C$2,1+(('table for research'!$B745-456)*36+HEX2DEC('table for research'!AO$1))*2,2)</f>
        <v>00</v>
      </c>
    </row>
    <row r="746" spans="1:41" x14ac:dyDescent="0.4">
      <c r="A746" t="s">
        <v>739</v>
      </c>
      <c r="B746">
        <f>B745+1</f>
        <v>744</v>
      </c>
      <c r="C746" t="str">
        <f>MID('paste from garc here'!$C$2,1+(('table for research'!$B746-456)*36+HEX2DEC('table for research'!C$1))*2,2)</f>
        <v>00</v>
      </c>
      <c r="D746" t="str">
        <f>MID('paste from garc here'!$C$2,1+(('table for research'!$B746-456)*36+HEX2DEC('table for research'!D$1))*2,2)</f>
        <v>00</v>
      </c>
      <c r="E746" t="str">
        <f>MID('paste from garc here'!$C$2,1+(('table for research'!$B746-456)*36+HEX2DEC('table for research'!E$1))*2,2)</f>
        <v>00</v>
      </c>
      <c r="F746" t="str">
        <f>MID('paste from garc here'!$C$2,1+(('table for research'!$B746-456)*36+HEX2DEC('table for research'!F$1))*2,2)</f>
        <v>00</v>
      </c>
      <c r="G746" t="str">
        <f>MID('paste from garc here'!$C$2,1+(('table for research'!$B746-456)*36+HEX2DEC('table for research'!G$1))*2,2)</f>
        <v>00</v>
      </c>
      <c r="H746" t="str">
        <f>MID('paste from garc here'!$C$2,1+(('table for research'!$B746-456)*36+HEX2DEC('table for research'!H$1))*2,2)</f>
        <v>00</v>
      </c>
      <c r="I746" t="str">
        <f>MID('paste from garc here'!$C$2,1+(('table for research'!$B746-456)*36+HEX2DEC('table for research'!I$1))*2,2)</f>
        <v>00</v>
      </c>
      <c r="J746" t="str">
        <f>MID('paste from garc here'!$C$2,1+(('table for research'!$B746-456)*36+HEX2DEC('table for research'!J$1))*2,2)</f>
        <v>00</v>
      </c>
      <c r="K746" t="str">
        <f>DEC2HEX(_xlfn.BITAND(HEX2DEC(MID('paste from garc here'!$C$1,1+(('table for research'!$B746-1)*36+HEX2DEC(8))*2,2)),31),2)</f>
        <v>00</v>
      </c>
      <c r="L746" t="str">
        <f>DEC2HEX(_xlfn.BITAND(HEX2DEC(MID('paste from garc here'!$C$1,1+(('table for research'!$B746-1)*36+HEX2DEC(8))*2,2)),32),2)</f>
        <v>00</v>
      </c>
      <c r="M746" t="str">
        <f>DEC2HEX(_xlfn.BITAND(HEX2DEC(MID('paste from garc here'!$C$1,1+(('table for research'!$B746-1)*36+HEX2DEC(8))*2,2)),64),2)</f>
        <v>00</v>
      </c>
      <c r="N746" t="str">
        <f>DEC2HEX(_xlfn.BITRSHIFT(_xlfn.BITAND(HEX2DEC(MID('paste from garc here'!$C$1,1+(('table for research'!$B746-1)*36+HEX2DEC(9))*2,2)&amp;MID('paste from garc here'!$C$1,1+(('table for research'!$B746-1)*36+HEX2DEC(8))*2,2)),1920),7),2)</f>
        <v>00</v>
      </c>
      <c r="O746" t="str">
        <f>DEC2HEX(_xlfn.BITRSHIFT(HEX2DEC(MID('paste from garc here'!$C$1,1+(('table for research'!$B746-1)*36+HEX2DEC(9))*2,2)&amp;MID('paste from garc here'!$C$1,1+(('table for research'!$B746-1)*36+HEX2DEC(8))*2,2)),11),2)</f>
        <v>00</v>
      </c>
      <c r="P746" t="str">
        <f>MID('paste from garc here'!$C$2,1+(('table for research'!$B746-456)*36+HEX2DEC('table for research'!P$1))*2,2)</f>
        <v>00</v>
      </c>
      <c r="Q746" t="str">
        <f>MID('paste from garc here'!$C$2,1+(('table for research'!$B746-456)*36+HEX2DEC('table for research'!Q$1))*2,2)</f>
        <v>00</v>
      </c>
      <c r="R746" t="str">
        <f>MID('paste from garc here'!$C$2,1+(('table for research'!$B746-456)*36+HEX2DEC('table for research'!R$1))*2,2)</f>
        <v>00</v>
      </c>
      <c r="S746" t="str">
        <f>MID('paste from garc here'!$C$2,1+(('table for research'!$B746-456)*36+HEX2DEC('table for research'!S$1))*2,2)</f>
        <v>08</v>
      </c>
      <c r="T746" t="str">
        <f>MID('paste from garc here'!$C$2,1+(('table for research'!$B746-456)*36+HEX2DEC('table for research'!T$1))*2,2)</f>
        <v>00</v>
      </c>
      <c r="U746" t="str">
        <f>MID('paste from garc here'!$C$2,1+(('table for research'!$B746-456)*36+HEX2DEC('table for research'!U$1))*2,2)</f>
        <v>FF</v>
      </c>
      <c r="V746" t="str">
        <f>MID('paste from garc here'!$C$2,1+(('table for research'!$B746-456)*36+HEX2DEC('table for research'!V$1))*2,2)</f>
        <v>00</v>
      </c>
      <c r="W746" t="str">
        <f>MID('paste from garc here'!$C$2,1+(('table for research'!$B746-456)*36+HEX2DEC('table for research'!W$1))*2,2)</f>
        <v>00</v>
      </c>
      <c r="X746" t="str">
        <f>MID('paste from garc here'!$C$2,1+(('table for research'!$B746-456)*36+HEX2DEC('table for research'!X$1))*2,2)</f>
        <v>00</v>
      </c>
      <c r="Y746" t="str">
        <f>MID('paste from garc here'!$C$2,1+(('table for research'!$B746-456)*36+HEX2DEC('table for research'!Y$1))*2,2)</f>
        <v>00</v>
      </c>
      <c r="Z746" t="str">
        <f>MID('paste from garc here'!$C$2,1+(('table for research'!$B746-456)*36+HEX2DEC('table for research'!Z$1))*2,2)</f>
        <v>00</v>
      </c>
      <c r="AA746" t="str">
        <f>MID('paste from garc here'!$C$2,1+(('table for research'!$B746-456)*36+HEX2DEC('table for research'!AA$1))*2,2)</f>
        <v>00</v>
      </c>
      <c r="AB746" t="str">
        <f>MID('paste from garc here'!$C$2,1+(('table for research'!$B746-456)*36+HEX2DEC('table for research'!AB$1))*2,2)</f>
        <v>00</v>
      </c>
      <c r="AC746" t="str">
        <f>MID('paste from garc here'!$C$2,1+(('table for research'!$B746-456)*36+HEX2DEC('table for research'!AC$1))*2,2)</f>
        <v>00</v>
      </c>
      <c r="AD746" t="str">
        <f>MID('paste from garc here'!$C$2,1+(('table for research'!$B746-456)*36+HEX2DEC('table for research'!AD$1))*2,2)</f>
        <v>00</v>
      </c>
      <c r="AE746" t="str">
        <f>MID('paste from garc here'!$C$2,1+(('table for research'!$B746-456)*36+HEX2DEC('table for research'!AE$1))*2,2)</f>
        <v>00</v>
      </c>
      <c r="AF746" t="str">
        <f>MID('paste from garc here'!$C$2,1+(('table for research'!$B746-456)*36+HEX2DEC('table for research'!AF$1))*2,2)</f>
        <v>00</v>
      </c>
      <c r="AG746" t="str">
        <f>MID('paste from garc here'!$C$2,1+(('table for research'!$B746-456)*36+HEX2DEC('table for research'!AG$1))*2,2)</f>
        <v>00</v>
      </c>
      <c r="AH746" t="str">
        <f>MID('paste from garc here'!$C$2,1+(('table for research'!$B746-456)*36+HEX2DEC('table for research'!AH$1))*2,2)</f>
        <v>00</v>
      </c>
      <c r="AI746" t="str">
        <f>MID('paste from garc here'!$C$2,1+(('table for research'!$B746-456)*36+HEX2DEC('table for research'!AI$1))*2,2)</f>
        <v>00</v>
      </c>
      <c r="AJ746" t="str">
        <f>MID('paste from garc here'!$C$2,1+(('table for research'!$B746-456)*36+HEX2DEC('table for research'!AJ$1))*2,2)</f>
        <v>00</v>
      </c>
      <c r="AK746" t="str">
        <f>MID('paste from garc here'!$C$2,1+(('table for research'!$B746-456)*36+HEX2DEC('table for research'!AK$1))*2,2)</f>
        <v>00</v>
      </c>
      <c r="AL746" t="str">
        <f>MID('paste from garc here'!$C$2,1+(('table for research'!$B746-456)*36+HEX2DEC('table for research'!AL$1))*2,2)</f>
        <v>00</v>
      </c>
      <c r="AM746" t="str">
        <f>MID('paste from garc here'!$C$2,1+(('table for research'!$B746-456)*36+HEX2DEC('table for research'!AM$1))*2,2)</f>
        <v>00</v>
      </c>
      <c r="AN746" t="str">
        <f>MID('paste from garc here'!$C$2,1+(('table for research'!$B746-456)*36+HEX2DEC('table for research'!AN$1))*2,2)</f>
        <v>00</v>
      </c>
      <c r="AO746" t="str">
        <f>MID('paste from garc here'!$C$2,1+(('table for research'!$B746-456)*36+HEX2DEC('table for research'!AO$1))*2,2)</f>
        <v>00</v>
      </c>
    </row>
    <row r="747" spans="1:41" x14ac:dyDescent="0.4">
      <c r="A747" t="s">
        <v>740</v>
      </c>
      <c r="B747">
        <f>B746+1</f>
        <v>745</v>
      </c>
      <c r="C747" t="str">
        <f>MID('paste from garc here'!$C$2,1+(('table for research'!$B747-456)*36+HEX2DEC('table for research'!C$1))*2,2)</f>
        <v>00</v>
      </c>
      <c r="D747" t="str">
        <f>MID('paste from garc here'!$C$2,1+(('table for research'!$B747-456)*36+HEX2DEC('table for research'!D$1))*2,2)</f>
        <v>00</v>
      </c>
      <c r="E747" t="str">
        <f>MID('paste from garc here'!$C$2,1+(('table for research'!$B747-456)*36+HEX2DEC('table for research'!E$1))*2,2)</f>
        <v>00</v>
      </c>
      <c r="F747" t="str">
        <f>MID('paste from garc here'!$C$2,1+(('table for research'!$B747-456)*36+HEX2DEC('table for research'!F$1))*2,2)</f>
        <v>00</v>
      </c>
      <c r="G747" t="str">
        <f>MID('paste from garc here'!$C$2,1+(('table for research'!$B747-456)*36+HEX2DEC('table for research'!G$1))*2,2)</f>
        <v>00</v>
      </c>
      <c r="H747" t="str">
        <f>MID('paste from garc here'!$C$2,1+(('table for research'!$B747-456)*36+HEX2DEC('table for research'!H$1))*2,2)</f>
        <v>00</v>
      </c>
      <c r="I747" t="str">
        <f>MID('paste from garc here'!$C$2,1+(('table for research'!$B747-456)*36+HEX2DEC('table for research'!I$1))*2,2)</f>
        <v>00</v>
      </c>
      <c r="J747" t="str">
        <f>MID('paste from garc here'!$C$2,1+(('table for research'!$B747-456)*36+HEX2DEC('table for research'!J$1))*2,2)</f>
        <v>00</v>
      </c>
      <c r="K747" t="str">
        <f>DEC2HEX(_xlfn.BITAND(HEX2DEC(MID('paste from garc here'!$C$1,1+(('table for research'!$B747-1)*36+HEX2DEC(8))*2,2)),31),2)</f>
        <v>00</v>
      </c>
      <c r="L747" t="str">
        <f>DEC2HEX(_xlfn.BITAND(HEX2DEC(MID('paste from garc here'!$C$1,1+(('table for research'!$B747-1)*36+HEX2DEC(8))*2,2)),32),2)</f>
        <v>00</v>
      </c>
      <c r="M747" t="str">
        <f>DEC2HEX(_xlfn.BITAND(HEX2DEC(MID('paste from garc here'!$C$1,1+(('table for research'!$B747-1)*36+HEX2DEC(8))*2,2)),64),2)</f>
        <v>00</v>
      </c>
      <c r="N747" t="str">
        <f>DEC2HEX(_xlfn.BITRSHIFT(_xlfn.BITAND(HEX2DEC(MID('paste from garc here'!$C$1,1+(('table for research'!$B747-1)*36+HEX2DEC(9))*2,2)&amp;MID('paste from garc here'!$C$1,1+(('table for research'!$B747-1)*36+HEX2DEC(8))*2,2)),1920),7),2)</f>
        <v>00</v>
      </c>
      <c r="O747" t="str">
        <f>DEC2HEX(_xlfn.BITRSHIFT(HEX2DEC(MID('paste from garc here'!$C$1,1+(('table for research'!$B747-1)*36+HEX2DEC(9))*2,2)&amp;MID('paste from garc here'!$C$1,1+(('table for research'!$B747-1)*36+HEX2DEC(8))*2,2)),11),2)</f>
        <v>00</v>
      </c>
      <c r="P747" t="str">
        <f>MID('paste from garc here'!$C$2,1+(('table for research'!$B747-456)*36+HEX2DEC('table for research'!P$1))*2,2)</f>
        <v>00</v>
      </c>
      <c r="Q747" t="str">
        <f>MID('paste from garc here'!$C$2,1+(('table for research'!$B747-456)*36+HEX2DEC('table for research'!Q$1))*2,2)</f>
        <v>00</v>
      </c>
      <c r="R747" t="str">
        <f>MID('paste from garc here'!$C$2,1+(('table for research'!$B747-456)*36+HEX2DEC('table for research'!R$1))*2,2)</f>
        <v>00</v>
      </c>
      <c r="S747" t="str">
        <f>MID('paste from garc here'!$C$2,1+(('table for research'!$B747-456)*36+HEX2DEC('table for research'!S$1))*2,2)</f>
        <v>08</v>
      </c>
      <c r="T747" t="str">
        <f>MID('paste from garc here'!$C$2,1+(('table for research'!$B747-456)*36+HEX2DEC('table for research'!T$1))*2,2)</f>
        <v>00</v>
      </c>
      <c r="U747" t="str">
        <f>MID('paste from garc here'!$C$2,1+(('table for research'!$B747-456)*36+HEX2DEC('table for research'!U$1))*2,2)</f>
        <v>FF</v>
      </c>
      <c r="V747" t="str">
        <f>MID('paste from garc here'!$C$2,1+(('table for research'!$B747-456)*36+HEX2DEC('table for research'!V$1))*2,2)</f>
        <v>00</v>
      </c>
      <c r="W747" t="str">
        <f>MID('paste from garc here'!$C$2,1+(('table for research'!$B747-456)*36+HEX2DEC('table for research'!W$1))*2,2)</f>
        <v>00</v>
      </c>
      <c r="X747" t="str">
        <f>MID('paste from garc here'!$C$2,1+(('table for research'!$B747-456)*36+HEX2DEC('table for research'!X$1))*2,2)</f>
        <v>00</v>
      </c>
      <c r="Y747" t="str">
        <f>MID('paste from garc here'!$C$2,1+(('table for research'!$B747-456)*36+HEX2DEC('table for research'!Y$1))*2,2)</f>
        <v>00</v>
      </c>
      <c r="Z747" t="str">
        <f>MID('paste from garc here'!$C$2,1+(('table for research'!$B747-456)*36+HEX2DEC('table for research'!Z$1))*2,2)</f>
        <v>00</v>
      </c>
      <c r="AA747" t="str">
        <f>MID('paste from garc here'!$C$2,1+(('table for research'!$B747-456)*36+HEX2DEC('table for research'!AA$1))*2,2)</f>
        <v>00</v>
      </c>
      <c r="AB747" t="str">
        <f>MID('paste from garc here'!$C$2,1+(('table for research'!$B747-456)*36+HEX2DEC('table for research'!AB$1))*2,2)</f>
        <v>00</v>
      </c>
      <c r="AC747" t="str">
        <f>MID('paste from garc here'!$C$2,1+(('table for research'!$B747-456)*36+HEX2DEC('table for research'!AC$1))*2,2)</f>
        <v>00</v>
      </c>
      <c r="AD747" t="str">
        <f>MID('paste from garc here'!$C$2,1+(('table for research'!$B747-456)*36+HEX2DEC('table for research'!AD$1))*2,2)</f>
        <v>00</v>
      </c>
      <c r="AE747" t="str">
        <f>MID('paste from garc here'!$C$2,1+(('table for research'!$B747-456)*36+HEX2DEC('table for research'!AE$1))*2,2)</f>
        <v>00</v>
      </c>
      <c r="AF747" t="str">
        <f>MID('paste from garc here'!$C$2,1+(('table for research'!$B747-456)*36+HEX2DEC('table for research'!AF$1))*2,2)</f>
        <v>00</v>
      </c>
      <c r="AG747" t="str">
        <f>MID('paste from garc here'!$C$2,1+(('table for research'!$B747-456)*36+HEX2DEC('table for research'!AG$1))*2,2)</f>
        <v>00</v>
      </c>
      <c r="AH747" t="str">
        <f>MID('paste from garc here'!$C$2,1+(('table for research'!$B747-456)*36+HEX2DEC('table for research'!AH$1))*2,2)</f>
        <v>00</v>
      </c>
      <c r="AI747" t="str">
        <f>MID('paste from garc here'!$C$2,1+(('table for research'!$B747-456)*36+HEX2DEC('table for research'!AI$1))*2,2)</f>
        <v>00</v>
      </c>
      <c r="AJ747" t="str">
        <f>MID('paste from garc here'!$C$2,1+(('table for research'!$B747-456)*36+HEX2DEC('table for research'!AJ$1))*2,2)</f>
        <v>00</v>
      </c>
      <c r="AK747" t="str">
        <f>MID('paste from garc here'!$C$2,1+(('table for research'!$B747-456)*36+HEX2DEC('table for research'!AK$1))*2,2)</f>
        <v>00</v>
      </c>
      <c r="AL747" t="str">
        <f>MID('paste from garc here'!$C$2,1+(('table for research'!$B747-456)*36+HEX2DEC('table for research'!AL$1))*2,2)</f>
        <v>00</v>
      </c>
      <c r="AM747" t="str">
        <f>MID('paste from garc here'!$C$2,1+(('table for research'!$B747-456)*36+HEX2DEC('table for research'!AM$1))*2,2)</f>
        <v>00</v>
      </c>
      <c r="AN747" t="str">
        <f>MID('paste from garc here'!$C$2,1+(('table for research'!$B747-456)*36+HEX2DEC('table for research'!AN$1))*2,2)</f>
        <v>00</v>
      </c>
      <c r="AO747" t="str">
        <f>MID('paste from garc here'!$C$2,1+(('table for research'!$B747-456)*36+HEX2DEC('table for research'!AO$1))*2,2)</f>
        <v>00</v>
      </c>
    </row>
    <row r="748" spans="1:41" x14ac:dyDescent="0.4">
      <c r="A748" t="s">
        <v>741</v>
      </c>
      <c r="B748">
        <f>B747+1</f>
        <v>746</v>
      </c>
      <c r="C748" t="str">
        <f>MID('paste from garc here'!$C$2,1+(('table for research'!$B748-456)*36+HEX2DEC('table for research'!C$1))*2,2)</f>
        <v>00</v>
      </c>
      <c r="D748" t="str">
        <f>MID('paste from garc here'!$C$2,1+(('table for research'!$B748-456)*36+HEX2DEC('table for research'!D$1))*2,2)</f>
        <v>00</v>
      </c>
      <c r="E748" t="str">
        <f>MID('paste from garc here'!$C$2,1+(('table for research'!$B748-456)*36+HEX2DEC('table for research'!E$1))*2,2)</f>
        <v>00</v>
      </c>
      <c r="F748" t="str">
        <f>MID('paste from garc here'!$C$2,1+(('table for research'!$B748-456)*36+HEX2DEC('table for research'!F$1))*2,2)</f>
        <v>00</v>
      </c>
      <c r="G748" t="str">
        <f>MID('paste from garc here'!$C$2,1+(('table for research'!$B748-456)*36+HEX2DEC('table for research'!G$1))*2,2)</f>
        <v>00</v>
      </c>
      <c r="H748" t="str">
        <f>MID('paste from garc here'!$C$2,1+(('table for research'!$B748-456)*36+HEX2DEC('table for research'!H$1))*2,2)</f>
        <v>00</v>
      </c>
      <c r="I748" t="str">
        <f>MID('paste from garc here'!$C$2,1+(('table for research'!$B748-456)*36+HEX2DEC('table for research'!I$1))*2,2)</f>
        <v>00</v>
      </c>
      <c r="J748" t="str">
        <f>MID('paste from garc here'!$C$2,1+(('table for research'!$B748-456)*36+HEX2DEC('table for research'!J$1))*2,2)</f>
        <v>00</v>
      </c>
      <c r="K748" t="str">
        <f>DEC2HEX(_xlfn.BITAND(HEX2DEC(MID('paste from garc here'!$C$1,1+(('table for research'!$B748-1)*36+HEX2DEC(8))*2,2)),31),2)</f>
        <v>00</v>
      </c>
      <c r="L748" t="str">
        <f>DEC2HEX(_xlfn.BITAND(HEX2DEC(MID('paste from garc here'!$C$1,1+(('table for research'!$B748-1)*36+HEX2DEC(8))*2,2)),32),2)</f>
        <v>00</v>
      </c>
      <c r="M748" t="str">
        <f>DEC2HEX(_xlfn.BITAND(HEX2DEC(MID('paste from garc here'!$C$1,1+(('table for research'!$B748-1)*36+HEX2DEC(8))*2,2)),64),2)</f>
        <v>00</v>
      </c>
      <c r="N748" t="str">
        <f>DEC2HEX(_xlfn.BITRSHIFT(_xlfn.BITAND(HEX2DEC(MID('paste from garc here'!$C$1,1+(('table for research'!$B748-1)*36+HEX2DEC(9))*2,2)&amp;MID('paste from garc here'!$C$1,1+(('table for research'!$B748-1)*36+HEX2DEC(8))*2,2)),1920),7),2)</f>
        <v>00</v>
      </c>
      <c r="O748" t="str">
        <f>DEC2HEX(_xlfn.BITRSHIFT(HEX2DEC(MID('paste from garc here'!$C$1,1+(('table for research'!$B748-1)*36+HEX2DEC(9))*2,2)&amp;MID('paste from garc here'!$C$1,1+(('table for research'!$B748-1)*36+HEX2DEC(8))*2,2)),11),2)</f>
        <v>00</v>
      </c>
      <c r="P748" t="str">
        <f>MID('paste from garc here'!$C$2,1+(('table for research'!$B748-456)*36+HEX2DEC('table for research'!P$1))*2,2)</f>
        <v>00</v>
      </c>
      <c r="Q748" t="str">
        <f>MID('paste from garc here'!$C$2,1+(('table for research'!$B748-456)*36+HEX2DEC('table for research'!Q$1))*2,2)</f>
        <v>00</v>
      </c>
      <c r="R748" t="str">
        <f>MID('paste from garc here'!$C$2,1+(('table for research'!$B748-456)*36+HEX2DEC('table for research'!R$1))*2,2)</f>
        <v>00</v>
      </c>
      <c r="S748" t="str">
        <f>MID('paste from garc here'!$C$2,1+(('table for research'!$B748-456)*36+HEX2DEC('table for research'!S$1))*2,2)</f>
        <v>08</v>
      </c>
      <c r="T748" t="str">
        <f>MID('paste from garc here'!$C$2,1+(('table for research'!$B748-456)*36+HEX2DEC('table for research'!T$1))*2,2)</f>
        <v>00</v>
      </c>
      <c r="U748" t="str">
        <f>MID('paste from garc here'!$C$2,1+(('table for research'!$B748-456)*36+HEX2DEC('table for research'!U$1))*2,2)</f>
        <v>FF</v>
      </c>
      <c r="V748" t="str">
        <f>MID('paste from garc here'!$C$2,1+(('table for research'!$B748-456)*36+HEX2DEC('table for research'!V$1))*2,2)</f>
        <v>00</v>
      </c>
      <c r="W748" t="str">
        <f>MID('paste from garc here'!$C$2,1+(('table for research'!$B748-456)*36+HEX2DEC('table for research'!W$1))*2,2)</f>
        <v>00</v>
      </c>
      <c r="X748" t="str">
        <f>MID('paste from garc here'!$C$2,1+(('table for research'!$B748-456)*36+HEX2DEC('table for research'!X$1))*2,2)</f>
        <v>00</v>
      </c>
      <c r="Y748" t="str">
        <f>MID('paste from garc here'!$C$2,1+(('table for research'!$B748-456)*36+HEX2DEC('table for research'!Y$1))*2,2)</f>
        <v>00</v>
      </c>
      <c r="Z748" t="str">
        <f>MID('paste from garc here'!$C$2,1+(('table for research'!$B748-456)*36+HEX2DEC('table for research'!Z$1))*2,2)</f>
        <v>00</v>
      </c>
      <c r="AA748" t="str">
        <f>MID('paste from garc here'!$C$2,1+(('table for research'!$B748-456)*36+HEX2DEC('table for research'!AA$1))*2,2)</f>
        <v>00</v>
      </c>
      <c r="AB748" t="str">
        <f>MID('paste from garc here'!$C$2,1+(('table for research'!$B748-456)*36+HEX2DEC('table for research'!AB$1))*2,2)</f>
        <v>00</v>
      </c>
      <c r="AC748" t="str">
        <f>MID('paste from garc here'!$C$2,1+(('table for research'!$B748-456)*36+HEX2DEC('table for research'!AC$1))*2,2)</f>
        <v>00</v>
      </c>
      <c r="AD748" t="str">
        <f>MID('paste from garc here'!$C$2,1+(('table for research'!$B748-456)*36+HEX2DEC('table for research'!AD$1))*2,2)</f>
        <v>00</v>
      </c>
      <c r="AE748" t="str">
        <f>MID('paste from garc here'!$C$2,1+(('table for research'!$B748-456)*36+HEX2DEC('table for research'!AE$1))*2,2)</f>
        <v>00</v>
      </c>
      <c r="AF748" t="str">
        <f>MID('paste from garc here'!$C$2,1+(('table for research'!$B748-456)*36+HEX2DEC('table for research'!AF$1))*2,2)</f>
        <v>00</v>
      </c>
      <c r="AG748" t="str">
        <f>MID('paste from garc here'!$C$2,1+(('table for research'!$B748-456)*36+HEX2DEC('table for research'!AG$1))*2,2)</f>
        <v>00</v>
      </c>
      <c r="AH748" t="str">
        <f>MID('paste from garc here'!$C$2,1+(('table for research'!$B748-456)*36+HEX2DEC('table for research'!AH$1))*2,2)</f>
        <v>00</v>
      </c>
      <c r="AI748" t="str">
        <f>MID('paste from garc here'!$C$2,1+(('table for research'!$B748-456)*36+HEX2DEC('table for research'!AI$1))*2,2)</f>
        <v>00</v>
      </c>
      <c r="AJ748" t="str">
        <f>MID('paste from garc here'!$C$2,1+(('table for research'!$B748-456)*36+HEX2DEC('table for research'!AJ$1))*2,2)</f>
        <v>00</v>
      </c>
      <c r="AK748" t="str">
        <f>MID('paste from garc here'!$C$2,1+(('table for research'!$B748-456)*36+HEX2DEC('table for research'!AK$1))*2,2)</f>
        <v>00</v>
      </c>
      <c r="AL748" t="str">
        <f>MID('paste from garc here'!$C$2,1+(('table for research'!$B748-456)*36+HEX2DEC('table for research'!AL$1))*2,2)</f>
        <v>00</v>
      </c>
      <c r="AM748" t="str">
        <f>MID('paste from garc here'!$C$2,1+(('table for research'!$B748-456)*36+HEX2DEC('table for research'!AM$1))*2,2)</f>
        <v>00</v>
      </c>
      <c r="AN748" t="str">
        <f>MID('paste from garc here'!$C$2,1+(('table for research'!$B748-456)*36+HEX2DEC('table for research'!AN$1))*2,2)</f>
        <v>00</v>
      </c>
      <c r="AO748" t="str">
        <f>MID('paste from garc here'!$C$2,1+(('table for research'!$B748-456)*36+HEX2DEC('table for research'!AO$1))*2,2)</f>
        <v>00</v>
      </c>
    </row>
    <row r="749" spans="1:41" x14ac:dyDescent="0.4">
      <c r="A749" t="s">
        <v>742</v>
      </c>
      <c r="B749">
        <f>B748+1</f>
        <v>747</v>
      </c>
      <c r="C749" t="str">
        <f>MID('paste from garc here'!$C$2,1+(('table for research'!$B749-456)*36+HEX2DEC('table for research'!C$1))*2,2)</f>
        <v>00</v>
      </c>
      <c r="D749" t="str">
        <f>MID('paste from garc here'!$C$2,1+(('table for research'!$B749-456)*36+HEX2DEC('table for research'!D$1))*2,2)</f>
        <v>00</v>
      </c>
      <c r="E749" t="str">
        <f>MID('paste from garc here'!$C$2,1+(('table for research'!$B749-456)*36+HEX2DEC('table for research'!E$1))*2,2)</f>
        <v>00</v>
      </c>
      <c r="F749" t="str">
        <f>MID('paste from garc here'!$C$2,1+(('table for research'!$B749-456)*36+HEX2DEC('table for research'!F$1))*2,2)</f>
        <v>00</v>
      </c>
      <c r="G749" t="str">
        <f>MID('paste from garc here'!$C$2,1+(('table for research'!$B749-456)*36+HEX2DEC('table for research'!G$1))*2,2)</f>
        <v>00</v>
      </c>
      <c r="H749" t="str">
        <f>MID('paste from garc here'!$C$2,1+(('table for research'!$B749-456)*36+HEX2DEC('table for research'!H$1))*2,2)</f>
        <v>00</v>
      </c>
      <c r="I749" t="str">
        <f>MID('paste from garc here'!$C$2,1+(('table for research'!$B749-456)*36+HEX2DEC('table for research'!I$1))*2,2)</f>
        <v>00</v>
      </c>
      <c r="J749" t="str">
        <f>MID('paste from garc here'!$C$2,1+(('table for research'!$B749-456)*36+HEX2DEC('table for research'!J$1))*2,2)</f>
        <v>00</v>
      </c>
      <c r="K749" t="str">
        <f>DEC2HEX(_xlfn.BITAND(HEX2DEC(MID('paste from garc here'!$C$1,1+(('table for research'!$B749-1)*36+HEX2DEC(8))*2,2)),31),2)</f>
        <v>00</v>
      </c>
      <c r="L749" t="str">
        <f>DEC2HEX(_xlfn.BITAND(HEX2DEC(MID('paste from garc here'!$C$1,1+(('table for research'!$B749-1)*36+HEX2DEC(8))*2,2)),32),2)</f>
        <v>00</v>
      </c>
      <c r="M749" t="str">
        <f>DEC2HEX(_xlfn.BITAND(HEX2DEC(MID('paste from garc here'!$C$1,1+(('table for research'!$B749-1)*36+HEX2DEC(8))*2,2)),64),2)</f>
        <v>00</v>
      </c>
      <c r="N749" t="str">
        <f>DEC2HEX(_xlfn.BITRSHIFT(_xlfn.BITAND(HEX2DEC(MID('paste from garc here'!$C$1,1+(('table for research'!$B749-1)*36+HEX2DEC(9))*2,2)&amp;MID('paste from garc here'!$C$1,1+(('table for research'!$B749-1)*36+HEX2DEC(8))*2,2)),1920),7),2)</f>
        <v>00</v>
      </c>
      <c r="O749" t="str">
        <f>DEC2HEX(_xlfn.BITRSHIFT(HEX2DEC(MID('paste from garc here'!$C$1,1+(('table for research'!$B749-1)*36+HEX2DEC(9))*2,2)&amp;MID('paste from garc here'!$C$1,1+(('table for research'!$B749-1)*36+HEX2DEC(8))*2,2)),11),2)</f>
        <v>00</v>
      </c>
      <c r="P749" t="str">
        <f>MID('paste from garc here'!$C$2,1+(('table for research'!$B749-456)*36+HEX2DEC('table for research'!P$1))*2,2)</f>
        <v>00</v>
      </c>
      <c r="Q749" t="str">
        <f>MID('paste from garc here'!$C$2,1+(('table for research'!$B749-456)*36+HEX2DEC('table for research'!Q$1))*2,2)</f>
        <v>00</v>
      </c>
      <c r="R749" t="str">
        <f>MID('paste from garc here'!$C$2,1+(('table for research'!$B749-456)*36+HEX2DEC('table for research'!R$1))*2,2)</f>
        <v>00</v>
      </c>
      <c r="S749" t="str">
        <f>MID('paste from garc here'!$C$2,1+(('table for research'!$B749-456)*36+HEX2DEC('table for research'!S$1))*2,2)</f>
        <v>08</v>
      </c>
      <c r="T749" t="str">
        <f>MID('paste from garc here'!$C$2,1+(('table for research'!$B749-456)*36+HEX2DEC('table for research'!T$1))*2,2)</f>
        <v>00</v>
      </c>
      <c r="U749" t="str">
        <f>MID('paste from garc here'!$C$2,1+(('table for research'!$B749-456)*36+HEX2DEC('table for research'!U$1))*2,2)</f>
        <v>FF</v>
      </c>
      <c r="V749" t="str">
        <f>MID('paste from garc here'!$C$2,1+(('table for research'!$B749-456)*36+HEX2DEC('table for research'!V$1))*2,2)</f>
        <v>00</v>
      </c>
      <c r="W749" t="str">
        <f>MID('paste from garc here'!$C$2,1+(('table for research'!$B749-456)*36+HEX2DEC('table for research'!W$1))*2,2)</f>
        <v>00</v>
      </c>
      <c r="X749" t="str">
        <f>MID('paste from garc here'!$C$2,1+(('table for research'!$B749-456)*36+HEX2DEC('table for research'!X$1))*2,2)</f>
        <v>00</v>
      </c>
      <c r="Y749" t="str">
        <f>MID('paste from garc here'!$C$2,1+(('table for research'!$B749-456)*36+HEX2DEC('table for research'!Y$1))*2,2)</f>
        <v>00</v>
      </c>
      <c r="Z749" t="str">
        <f>MID('paste from garc here'!$C$2,1+(('table for research'!$B749-456)*36+HEX2DEC('table for research'!Z$1))*2,2)</f>
        <v>00</v>
      </c>
      <c r="AA749" t="str">
        <f>MID('paste from garc here'!$C$2,1+(('table for research'!$B749-456)*36+HEX2DEC('table for research'!AA$1))*2,2)</f>
        <v>00</v>
      </c>
      <c r="AB749" t="str">
        <f>MID('paste from garc here'!$C$2,1+(('table for research'!$B749-456)*36+HEX2DEC('table for research'!AB$1))*2,2)</f>
        <v>00</v>
      </c>
      <c r="AC749" t="str">
        <f>MID('paste from garc here'!$C$2,1+(('table for research'!$B749-456)*36+HEX2DEC('table for research'!AC$1))*2,2)</f>
        <v>00</v>
      </c>
      <c r="AD749" t="str">
        <f>MID('paste from garc here'!$C$2,1+(('table for research'!$B749-456)*36+HEX2DEC('table for research'!AD$1))*2,2)</f>
        <v>00</v>
      </c>
      <c r="AE749" t="str">
        <f>MID('paste from garc here'!$C$2,1+(('table for research'!$B749-456)*36+HEX2DEC('table for research'!AE$1))*2,2)</f>
        <v>00</v>
      </c>
      <c r="AF749" t="str">
        <f>MID('paste from garc here'!$C$2,1+(('table for research'!$B749-456)*36+HEX2DEC('table for research'!AF$1))*2,2)</f>
        <v>00</v>
      </c>
      <c r="AG749" t="str">
        <f>MID('paste from garc here'!$C$2,1+(('table for research'!$B749-456)*36+HEX2DEC('table for research'!AG$1))*2,2)</f>
        <v>00</v>
      </c>
      <c r="AH749" t="str">
        <f>MID('paste from garc here'!$C$2,1+(('table for research'!$B749-456)*36+HEX2DEC('table for research'!AH$1))*2,2)</f>
        <v>00</v>
      </c>
      <c r="AI749" t="str">
        <f>MID('paste from garc here'!$C$2,1+(('table for research'!$B749-456)*36+HEX2DEC('table for research'!AI$1))*2,2)</f>
        <v>00</v>
      </c>
      <c r="AJ749" t="str">
        <f>MID('paste from garc here'!$C$2,1+(('table for research'!$B749-456)*36+HEX2DEC('table for research'!AJ$1))*2,2)</f>
        <v>00</v>
      </c>
      <c r="AK749" t="str">
        <f>MID('paste from garc here'!$C$2,1+(('table for research'!$B749-456)*36+HEX2DEC('table for research'!AK$1))*2,2)</f>
        <v>00</v>
      </c>
      <c r="AL749" t="str">
        <f>MID('paste from garc here'!$C$2,1+(('table for research'!$B749-456)*36+HEX2DEC('table for research'!AL$1))*2,2)</f>
        <v>00</v>
      </c>
      <c r="AM749" t="str">
        <f>MID('paste from garc here'!$C$2,1+(('table for research'!$B749-456)*36+HEX2DEC('table for research'!AM$1))*2,2)</f>
        <v>00</v>
      </c>
      <c r="AN749" t="str">
        <f>MID('paste from garc here'!$C$2,1+(('table for research'!$B749-456)*36+HEX2DEC('table for research'!AN$1))*2,2)</f>
        <v>00</v>
      </c>
      <c r="AO749" t="str">
        <f>MID('paste from garc here'!$C$2,1+(('table for research'!$B749-456)*36+HEX2DEC('table for research'!AO$1))*2,2)</f>
        <v>00</v>
      </c>
    </row>
    <row r="750" spans="1:41" x14ac:dyDescent="0.4">
      <c r="A750" t="s">
        <v>743</v>
      </c>
      <c r="B750">
        <f>B749+1</f>
        <v>748</v>
      </c>
      <c r="C750" t="str">
        <f>MID('paste from garc here'!$C$2,1+(('table for research'!$B750-456)*36+HEX2DEC('table for research'!C$1))*2,2)</f>
        <v>00</v>
      </c>
      <c r="D750" t="str">
        <f>MID('paste from garc here'!$C$2,1+(('table for research'!$B750-456)*36+HEX2DEC('table for research'!D$1))*2,2)</f>
        <v>00</v>
      </c>
      <c r="E750" t="str">
        <f>MID('paste from garc here'!$C$2,1+(('table for research'!$B750-456)*36+HEX2DEC('table for research'!E$1))*2,2)</f>
        <v>00</v>
      </c>
      <c r="F750" t="str">
        <f>MID('paste from garc here'!$C$2,1+(('table for research'!$B750-456)*36+HEX2DEC('table for research'!F$1))*2,2)</f>
        <v>00</v>
      </c>
      <c r="G750" t="str">
        <f>MID('paste from garc here'!$C$2,1+(('table for research'!$B750-456)*36+HEX2DEC('table for research'!G$1))*2,2)</f>
        <v>00</v>
      </c>
      <c r="H750" t="str">
        <f>MID('paste from garc here'!$C$2,1+(('table for research'!$B750-456)*36+HEX2DEC('table for research'!H$1))*2,2)</f>
        <v>00</v>
      </c>
      <c r="I750" t="str">
        <f>MID('paste from garc here'!$C$2,1+(('table for research'!$B750-456)*36+HEX2DEC('table for research'!I$1))*2,2)</f>
        <v>00</v>
      </c>
      <c r="J750" t="str">
        <f>MID('paste from garc here'!$C$2,1+(('table for research'!$B750-456)*36+HEX2DEC('table for research'!J$1))*2,2)</f>
        <v>00</v>
      </c>
      <c r="K750" t="str">
        <f>DEC2HEX(_xlfn.BITAND(HEX2DEC(MID('paste from garc here'!$C$1,1+(('table for research'!$B750-1)*36+HEX2DEC(8))*2,2)),31),2)</f>
        <v>00</v>
      </c>
      <c r="L750" t="str">
        <f>DEC2HEX(_xlfn.BITAND(HEX2DEC(MID('paste from garc here'!$C$1,1+(('table for research'!$B750-1)*36+HEX2DEC(8))*2,2)),32),2)</f>
        <v>00</v>
      </c>
      <c r="M750" t="str">
        <f>DEC2HEX(_xlfn.BITAND(HEX2DEC(MID('paste from garc here'!$C$1,1+(('table for research'!$B750-1)*36+HEX2DEC(8))*2,2)),64),2)</f>
        <v>00</v>
      </c>
      <c r="N750" t="str">
        <f>DEC2HEX(_xlfn.BITRSHIFT(_xlfn.BITAND(HEX2DEC(MID('paste from garc here'!$C$1,1+(('table for research'!$B750-1)*36+HEX2DEC(9))*2,2)&amp;MID('paste from garc here'!$C$1,1+(('table for research'!$B750-1)*36+HEX2DEC(8))*2,2)),1920),7),2)</f>
        <v>00</v>
      </c>
      <c r="O750" t="str">
        <f>DEC2HEX(_xlfn.BITRSHIFT(HEX2DEC(MID('paste from garc here'!$C$1,1+(('table for research'!$B750-1)*36+HEX2DEC(9))*2,2)&amp;MID('paste from garc here'!$C$1,1+(('table for research'!$B750-1)*36+HEX2DEC(8))*2,2)),11),2)</f>
        <v>00</v>
      </c>
      <c r="P750" t="str">
        <f>MID('paste from garc here'!$C$2,1+(('table for research'!$B750-456)*36+HEX2DEC('table for research'!P$1))*2,2)</f>
        <v>00</v>
      </c>
      <c r="Q750" t="str">
        <f>MID('paste from garc here'!$C$2,1+(('table for research'!$B750-456)*36+HEX2DEC('table for research'!Q$1))*2,2)</f>
        <v>00</v>
      </c>
      <c r="R750" t="str">
        <f>MID('paste from garc here'!$C$2,1+(('table for research'!$B750-456)*36+HEX2DEC('table for research'!R$1))*2,2)</f>
        <v>00</v>
      </c>
      <c r="S750" t="str">
        <f>MID('paste from garc here'!$C$2,1+(('table for research'!$B750-456)*36+HEX2DEC('table for research'!S$1))*2,2)</f>
        <v>08</v>
      </c>
      <c r="T750" t="str">
        <f>MID('paste from garc here'!$C$2,1+(('table for research'!$B750-456)*36+HEX2DEC('table for research'!T$1))*2,2)</f>
        <v>00</v>
      </c>
      <c r="U750" t="str">
        <f>MID('paste from garc here'!$C$2,1+(('table for research'!$B750-456)*36+HEX2DEC('table for research'!U$1))*2,2)</f>
        <v>FF</v>
      </c>
      <c r="V750" t="str">
        <f>MID('paste from garc here'!$C$2,1+(('table for research'!$B750-456)*36+HEX2DEC('table for research'!V$1))*2,2)</f>
        <v>00</v>
      </c>
      <c r="W750" t="str">
        <f>MID('paste from garc here'!$C$2,1+(('table for research'!$B750-456)*36+HEX2DEC('table for research'!W$1))*2,2)</f>
        <v>00</v>
      </c>
      <c r="X750" t="str">
        <f>MID('paste from garc here'!$C$2,1+(('table for research'!$B750-456)*36+HEX2DEC('table for research'!X$1))*2,2)</f>
        <v>00</v>
      </c>
      <c r="Y750" t="str">
        <f>MID('paste from garc here'!$C$2,1+(('table for research'!$B750-456)*36+HEX2DEC('table for research'!Y$1))*2,2)</f>
        <v>00</v>
      </c>
      <c r="Z750" t="str">
        <f>MID('paste from garc here'!$C$2,1+(('table for research'!$B750-456)*36+HEX2DEC('table for research'!Z$1))*2,2)</f>
        <v>00</v>
      </c>
      <c r="AA750" t="str">
        <f>MID('paste from garc here'!$C$2,1+(('table for research'!$B750-456)*36+HEX2DEC('table for research'!AA$1))*2,2)</f>
        <v>00</v>
      </c>
      <c r="AB750" t="str">
        <f>MID('paste from garc here'!$C$2,1+(('table for research'!$B750-456)*36+HEX2DEC('table for research'!AB$1))*2,2)</f>
        <v>00</v>
      </c>
      <c r="AC750" t="str">
        <f>MID('paste from garc here'!$C$2,1+(('table for research'!$B750-456)*36+HEX2DEC('table for research'!AC$1))*2,2)</f>
        <v>00</v>
      </c>
      <c r="AD750" t="str">
        <f>MID('paste from garc here'!$C$2,1+(('table for research'!$B750-456)*36+HEX2DEC('table for research'!AD$1))*2,2)</f>
        <v>00</v>
      </c>
      <c r="AE750" t="str">
        <f>MID('paste from garc here'!$C$2,1+(('table for research'!$B750-456)*36+HEX2DEC('table for research'!AE$1))*2,2)</f>
        <v>00</v>
      </c>
      <c r="AF750" t="str">
        <f>MID('paste from garc here'!$C$2,1+(('table for research'!$B750-456)*36+HEX2DEC('table for research'!AF$1))*2,2)</f>
        <v>00</v>
      </c>
      <c r="AG750" t="str">
        <f>MID('paste from garc here'!$C$2,1+(('table for research'!$B750-456)*36+HEX2DEC('table for research'!AG$1))*2,2)</f>
        <v>00</v>
      </c>
      <c r="AH750" t="str">
        <f>MID('paste from garc here'!$C$2,1+(('table for research'!$B750-456)*36+HEX2DEC('table for research'!AH$1))*2,2)</f>
        <v>00</v>
      </c>
      <c r="AI750" t="str">
        <f>MID('paste from garc here'!$C$2,1+(('table for research'!$B750-456)*36+HEX2DEC('table for research'!AI$1))*2,2)</f>
        <v>00</v>
      </c>
      <c r="AJ750" t="str">
        <f>MID('paste from garc here'!$C$2,1+(('table for research'!$B750-456)*36+HEX2DEC('table for research'!AJ$1))*2,2)</f>
        <v>00</v>
      </c>
      <c r="AK750" t="str">
        <f>MID('paste from garc here'!$C$2,1+(('table for research'!$B750-456)*36+HEX2DEC('table for research'!AK$1))*2,2)</f>
        <v>00</v>
      </c>
      <c r="AL750" t="str">
        <f>MID('paste from garc here'!$C$2,1+(('table for research'!$B750-456)*36+HEX2DEC('table for research'!AL$1))*2,2)</f>
        <v>00</v>
      </c>
      <c r="AM750" t="str">
        <f>MID('paste from garc here'!$C$2,1+(('table for research'!$B750-456)*36+HEX2DEC('table for research'!AM$1))*2,2)</f>
        <v>00</v>
      </c>
      <c r="AN750" t="str">
        <f>MID('paste from garc here'!$C$2,1+(('table for research'!$B750-456)*36+HEX2DEC('table for research'!AN$1))*2,2)</f>
        <v>00</v>
      </c>
      <c r="AO750" t="str">
        <f>MID('paste from garc here'!$C$2,1+(('table for research'!$B750-456)*36+HEX2DEC('table for research'!AO$1))*2,2)</f>
        <v>00</v>
      </c>
    </row>
    <row r="751" spans="1:41" x14ac:dyDescent="0.4">
      <c r="A751" t="s">
        <v>744</v>
      </c>
      <c r="B751">
        <f>B750+1</f>
        <v>749</v>
      </c>
      <c r="C751" t="str">
        <f>MID('paste from garc here'!$C$2,1+(('table for research'!$B751-456)*36+HEX2DEC('table for research'!C$1))*2,2)</f>
        <v>00</v>
      </c>
      <c r="D751" t="str">
        <f>MID('paste from garc here'!$C$2,1+(('table for research'!$B751-456)*36+HEX2DEC('table for research'!D$1))*2,2)</f>
        <v>00</v>
      </c>
      <c r="E751" t="str">
        <f>MID('paste from garc here'!$C$2,1+(('table for research'!$B751-456)*36+HEX2DEC('table for research'!E$1))*2,2)</f>
        <v>00</v>
      </c>
      <c r="F751" t="str">
        <f>MID('paste from garc here'!$C$2,1+(('table for research'!$B751-456)*36+HEX2DEC('table for research'!F$1))*2,2)</f>
        <v>00</v>
      </c>
      <c r="G751" t="str">
        <f>MID('paste from garc here'!$C$2,1+(('table for research'!$B751-456)*36+HEX2DEC('table for research'!G$1))*2,2)</f>
        <v>00</v>
      </c>
      <c r="H751" t="str">
        <f>MID('paste from garc here'!$C$2,1+(('table for research'!$B751-456)*36+HEX2DEC('table for research'!H$1))*2,2)</f>
        <v>00</v>
      </c>
      <c r="I751" t="str">
        <f>MID('paste from garc here'!$C$2,1+(('table for research'!$B751-456)*36+HEX2DEC('table for research'!I$1))*2,2)</f>
        <v>00</v>
      </c>
      <c r="J751" t="str">
        <f>MID('paste from garc here'!$C$2,1+(('table for research'!$B751-456)*36+HEX2DEC('table for research'!J$1))*2,2)</f>
        <v>00</v>
      </c>
      <c r="K751" t="str">
        <f>DEC2HEX(_xlfn.BITAND(HEX2DEC(MID('paste from garc here'!$C$1,1+(('table for research'!$B751-1)*36+HEX2DEC(8))*2,2)),31),2)</f>
        <v>00</v>
      </c>
      <c r="L751" t="str">
        <f>DEC2HEX(_xlfn.BITAND(HEX2DEC(MID('paste from garc here'!$C$1,1+(('table for research'!$B751-1)*36+HEX2DEC(8))*2,2)),32),2)</f>
        <v>00</v>
      </c>
      <c r="M751" t="str">
        <f>DEC2HEX(_xlfn.BITAND(HEX2DEC(MID('paste from garc here'!$C$1,1+(('table for research'!$B751-1)*36+HEX2DEC(8))*2,2)),64),2)</f>
        <v>00</v>
      </c>
      <c r="N751" t="str">
        <f>DEC2HEX(_xlfn.BITRSHIFT(_xlfn.BITAND(HEX2DEC(MID('paste from garc here'!$C$1,1+(('table for research'!$B751-1)*36+HEX2DEC(9))*2,2)&amp;MID('paste from garc here'!$C$1,1+(('table for research'!$B751-1)*36+HEX2DEC(8))*2,2)),1920),7),2)</f>
        <v>00</v>
      </c>
      <c r="O751" t="str">
        <f>DEC2HEX(_xlfn.BITRSHIFT(HEX2DEC(MID('paste from garc here'!$C$1,1+(('table for research'!$B751-1)*36+HEX2DEC(9))*2,2)&amp;MID('paste from garc here'!$C$1,1+(('table for research'!$B751-1)*36+HEX2DEC(8))*2,2)),11),2)</f>
        <v>00</v>
      </c>
      <c r="P751" t="str">
        <f>MID('paste from garc here'!$C$2,1+(('table for research'!$B751-456)*36+HEX2DEC('table for research'!P$1))*2,2)</f>
        <v>00</v>
      </c>
      <c r="Q751" t="str">
        <f>MID('paste from garc here'!$C$2,1+(('table for research'!$B751-456)*36+HEX2DEC('table for research'!Q$1))*2,2)</f>
        <v>00</v>
      </c>
      <c r="R751" t="str">
        <f>MID('paste from garc here'!$C$2,1+(('table for research'!$B751-456)*36+HEX2DEC('table for research'!R$1))*2,2)</f>
        <v>00</v>
      </c>
      <c r="S751" t="str">
        <f>MID('paste from garc here'!$C$2,1+(('table for research'!$B751-456)*36+HEX2DEC('table for research'!S$1))*2,2)</f>
        <v>08</v>
      </c>
      <c r="T751" t="str">
        <f>MID('paste from garc here'!$C$2,1+(('table for research'!$B751-456)*36+HEX2DEC('table for research'!T$1))*2,2)</f>
        <v>00</v>
      </c>
      <c r="U751" t="str">
        <f>MID('paste from garc here'!$C$2,1+(('table for research'!$B751-456)*36+HEX2DEC('table for research'!U$1))*2,2)</f>
        <v>FF</v>
      </c>
      <c r="V751" t="str">
        <f>MID('paste from garc here'!$C$2,1+(('table for research'!$B751-456)*36+HEX2DEC('table for research'!V$1))*2,2)</f>
        <v>00</v>
      </c>
      <c r="W751" t="str">
        <f>MID('paste from garc here'!$C$2,1+(('table for research'!$B751-456)*36+HEX2DEC('table for research'!W$1))*2,2)</f>
        <v>00</v>
      </c>
      <c r="X751" t="str">
        <f>MID('paste from garc here'!$C$2,1+(('table for research'!$B751-456)*36+HEX2DEC('table for research'!X$1))*2,2)</f>
        <v>00</v>
      </c>
      <c r="Y751" t="str">
        <f>MID('paste from garc here'!$C$2,1+(('table for research'!$B751-456)*36+HEX2DEC('table for research'!Y$1))*2,2)</f>
        <v>00</v>
      </c>
      <c r="Z751" t="str">
        <f>MID('paste from garc here'!$C$2,1+(('table for research'!$B751-456)*36+HEX2DEC('table for research'!Z$1))*2,2)</f>
        <v>00</v>
      </c>
      <c r="AA751" t="str">
        <f>MID('paste from garc here'!$C$2,1+(('table for research'!$B751-456)*36+HEX2DEC('table for research'!AA$1))*2,2)</f>
        <v>00</v>
      </c>
      <c r="AB751" t="str">
        <f>MID('paste from garc here'!$C$2,1+(('table for research'!$B751-456)*36+HEX2DEC('table for research'!AB$1))*2,2)</f>
        <v>00</v>
      </c>
      <c r="AC751" t="str">
        <f>MID('paste from garc here'!$C$2,1+(('table for research'!$B751-456)*36+HEX2DEC('table for research'!AC$1))*2,2)</f>
        <v>00</v>
      </c>
      <c r="AD751" t="str">
        <f>MID('paste from garc here'!$C$2,1+(('table for research'!$B751-456)*36+HEX2DEC('table for research'!AD$1))*2,2)</f>
        <v>00</v>
      </c>
      <c r="AE751" t="str">
        <f>MID('paste from garc here'!$C$2,1+(('table for research'!$B751-456)*36+HEX2DEC('table for research'!AE$1))*2,2)</f>
        <v>00</v>
      </c>
      <c r="AF751" t="str">
        <f>MID('paste from garc here'!$C$2,1+(('table for research'!$B751-456)*36+HEX2DEC('table for research'!AF$1))*2,2)</f>
        <v>00</v>
      </c>
      <c r="AG751" t="str">
        <f>MID('paste from garc here'!$C$2,1+(('table for research'!$B751-456)*36+HEX2DEC('table for research'!AG$1))*2,2)</f>
        <v>00</v>
      </c>
      <c r="AH751" t="str">
        <f>MID('paste from garc here'!$C$2,1+(('table for research'!$B751-456)*36+HEX2DEC('table for research'!AH$1))*2,2)</f>
        <v>00</v>
      </c>
      <c r="AI751" t="str">
        <f>MID('paste from garc here'!$C$2,1+(('table for research'!$B751-456)*36+HEX2DEC('table for research'!AI$1))*2,2)</f>
        <v>00</v>
      </c>
      <c r="AJ751" t="str">
        <f>MID('paste from garc here'!$C$2,1+(('table for research'!$B751-456)*36+HEX2DEC('table for research'!AJ$1))*2,2)</f>
        <v>00</v>
      </c>
      <c r="AK751" t="str">
        <f>MID('paste from garc here'!$C$2,1+(('table for research'!$B751-456)*36+HEX2DEC('table for research'!AK$1))*2,2)</f>
        <v>00</v>
      </c>
      <c r="AL751" t="str">
        <f>MID('paste from garc here'!$C$2,1+(('table for research'!$B751-456)*36+HEX2DEC('table for research'!AL$1))*2,2)</f>
        <v>00</v>
      </c>
      <c r="AM751" t="str">
        <f>MID('paste from garc here'!$C$2,1+(('table for research'!$B751-456)*36+HEX2DEC('table for research'!AM$1))*2,2)</f>
        <v>00</v>
      </c>
      <c r="AN751" t="str">
        <f>MID('paste from garc here'!$C$2,1+(('table for research'!$B751-456)*36+HEX2DEC('table for research'!AN$1))*2,2)</f>
        <v>00</v>
      </c>
      <c r="AO751" t="str">
        <f>MID('paste from garc here'!$C$2,1+(('table for research'!$B751-456)*36+HEX2DEC('table for research'!AO$1))*2,2)</f>
        <v>00</v>
      </c>
    </row>
    <row r="752" spans="1:41" x14ac:dyDescent="0.4">
      <c r="A752" t="s">
        <v>745</v>
      </c>
      <c r="B752">
        <f>B751+1</f>
        <v>750</v>
      </c>
      <c r="C752" t="str">
        <f>MID('paste from garc here'!$C$2,1+(('table for research'!$B752-456)*36+HEX2DEC('table for research'!C$1))*2,2)</f>
        <v>00</v>
      </c>
      <c r="D752" t="str">
        <f>MID('paste from garc here'!$C$2,1+(('table for research'!$B752-456)*36+HEX2DEC('table for research'!D$1))*2,2)</f>
        <v>00</v>
      </c>
      <c r="E752" t="str">
        <f>MID('paste from garc here'!$C$2,1+(('table for research'!$B752-456)*36+HEX2DEC('table for research'!E$1))*2,2)</f>
        <v>00</v>
      </c>
      <c r="F752" t="str">
        <f>MID('paste from garc here'!$C$2,1+(('table for research'!$B752-456)*36+HEX2DEC('table for research'!F$1))*2,2)</f>
        <v>00</v>
      </c>
      <c r="G752" t="str">
        <f>MID('paste from garc here'!$C$2,1+(('table for research'!$B752-456)*36+HEX2DEC('table for research'!G$1))*2,2)</f>
        <v>00</v>
      </c>
      <c r="H752" t="str">
        <f>MID('paste from garc here'!$C$2,1+(('table for research'!$B752-456)*36+HEX2DEC('table for research'!H$1))*2,2)</f>
        <v>00</v>
      </c>
      <c r="I752" t="str">
        <f>MID('paste from garc here'!$C$2,1+(('table for research'!$B752-456)*36+HEX2DEC('table for research'!I$1))*2,2)</f>
        <v>00</v>
      </c>
      <c r="J752" t="str">
        <f>MID('paste from garc here'!$C$2,1+(('table for research'!$B752-456)*36+HEX2DEC('table for research'!J$1))*2,2)</f>
        <v>00</v>
      </c>
      <c r="K752" t="str">
        <f>DEC2HEX(_xlfn.BITAND(HEX2DEC(MID('paste from garc here'!$C$1,1+(('table for research'!$B752-1)*36+HEX2DEC(8))*2,2)),31),2)</f>
        <v>00</v>
      </c>
      <c r="L752" t="str">
        <f>DEC2HEX(_xlfn.BITAND(HEX2DEC(MID('paste from garc here'!$C$1,1+(('table for research'!$B752-1)*36+HEX2DEC(8))*2,2)),32),2)</f>
        <v>00</v>
      </c>
      <c r="M752" t="str">
        <f>DEC2HEX(_xlfn.BITAND(HEX2DEC(MID('paste from garc here'!$C$1,1+(('table for research'!$B752-1)*36+HEX2DEC(8))*2,2)),64),2)</f>
        <v>00</v>
      </c>
      <c r="N752" t="str">
        <f>DEC2HEX(_xlfn.BITRSHIFT(_xlfn.BITAND(HEX2DEC(MID('paste from garc here'!$C$1,1+(('table for research'!$B752-1)*36+HEX2DEC(9))*2,2)&amp;MID('paste from garc here'!$C$1,1+(('table for research'!$B752-1)*36+HEX2DEC(8))*2,2)),1920),7),2)</f>
        <v>00</v>
      </c>
      <c r="O752" t="str">
        <f>DEC2HEX(_xlfn.BITRSHIFT(HEX2DEC(MID('paste from garc here'!$C$1,1+(('table for research'!$B752-1)*36+HEX2DEC(9))*2,2)&amp;MID('paste from garc here'!$C$1,1+(('table for research'!$B752-1)*36+HEX2DEC(8))*2,2)),11),2)</f>
        <v>00</v>
      </c>
      <c r="P752" t="str">
        <f>MID('paste from garc here'!$C$2,1+(('table for research'!$B752-456)*36+HEX2DEC('table for research'!P$1))*2,2)</f>
        <v>00</v>
      </c>
      <c r="Q752" t="str">
        <f>MID('paste from garc here'!$C$2,1+(('table for research'!$B752-456)*36+HEX2DEC('table for research'!Q$1))*2,2)</f>
        <v>00</v>
      </c>
      <c r="R752" t="str">
        <f>MID('paste from garc here'!$C$2,1+(('table for research'!$B752-456)*36+HEX2DEC('table for research'!R$1))*2,2)</f>
        <v>00</v>
      </c>
      <c r="S752" t="str">
        <f>MID('paste from garc here'!$C$2,1+(('table for research'!$B752-456)*36+HEX2DEC('table for research'!S$1))*2,2)</f>
        <v>08</v>
      </c>
      <c r="T752" t="str">
        <f>MID('paste from garc here'!$C$2,1+(('table for research'!$B752-456)*36+HEX2DEC('table for research'!T$1))*2,2)</f>
        <v>00</v>
      </c>
      <c r="U752" t="str">
        <f>MID('paste from garc here'!$C$2,1+(('table for research'!$B752-456)*36+HEX2DEC('table for research'!U$1))*2,2)</f>
        <v>FF</v>
      </c>
      <c r="V752" t="str">
        <f>MID('paste from garc here'!$C$2,1+(('table for research'!$B752-456)*36+HEX2DEC('table for research'!V$1))*2,2)</f>
        <v>00</v>
      </c>
      <c r="W752" t="str">
        <f>MID('paste from garc here'!$C$2,1+(('table for research'!$B752-456)*36+HEX2DEC('table for research'!W$1))*2,2)</f>
        <v>00</v>
      </c>
      <c r="X752" t="str">
        <f>MID('paste from garc here'!$C$2,1+(('table for research'!$B752-456)*36+HEX2DEC('table for research'!X$1))*2,2)</f>
        <v>00</v>
      </c>
      <c r="Y752" t="str">
        <f>MID('paste from garc here'!$C$2,1+(('table for research'!$B752-456)*36+HEX2DEC('table for research'!Y$1))*2,2)</f>
        <v>00</v>
      </c>
      <c r="Z752" t="str">
        <f>MID('paste from garc here'!$C$2,1+(('table for research'!$B752-456)*36+HEX2DEC('table for research'!Z$1))*2,2)</f>
        <v>00</v>
      </c>
      <c r="AA752" t="str">
        <f>MID('paste from garc here'!$C$2,1+(('table for research'!$B752-456)*36+HEX2DEC('table for research'!AA$1))*2,2)</f>
        <v>00</v>
      </c>
      <c r="AB752" t="str">
        <f>MID('paste from garc here'!$C$2,1+(('table for research'!$B752-456)*36+HEX2DEC('table for research'!AB$1))*2,2)</f>
        <v>00</v>
      </c>
      <c r="AC752" t="str">
        <f>MID('paste from garc here'!$C$2,1+(('table for research'!$B752-456)*36+HEX2DEC('table for research'!AC$1))*2,2)</f>
        <v>00</v>
      </c>
      <c r="AD752" t="str">
        <f>MID('paste from garc here'!$C$2,1+(('table for research'!$B752-456)*36+HEX2DEC('table for research'!AD$1))*2,2)</f>
        <v>00</v>
      </c>
      <c r="AE752" t="str">
        <f>MID('paste from garc here'!$C$2,1+(('table for research'!$B752-456)*36+HEX2DEC('table for research'!AE$1))*2,2)</f>
        <v>00</v>
      </c>
      <c r="AF752" t="str">
        <f>MID('paste from garc here'!$C$2,1+(('table for research'!$B752-456)*36+HEX2DEC('table for research'!AF$1))*2,2)</f>
        <v>00</v>
      </c>
      <c r="AG752" t="str">
        <f>MID('paste from garc here'!$C$2,1+(('table for research'!$B752-456)*36+HEX2DEC('table for research'!AG$1))*2,2)</f>
        <v>00</v>
      </c>
      <c r="AH752" t="str">
        <f>MID('paste from garc here'!$C$2,1+(('table for research'!$B752-456)*36+HEX2DEC('table for research'!AH$1))*2,2)</f>
        <v>00</v>
      </c>
      <c r="AI752" t="str">
        <f>MID('paste from garc here'!$C$2,1+(('table for research'!$B752-456)*36+HEX2DEC('table for research'!AI$1))*2,2)</f>
        <v>00</v>
      </c>
      <c r="AJ752" t="str">
        <f>MID('paste from garc here'!$C$2,1+(('table for research'!$B752-456)*36+HEX2DEC('table for research'!AJ$1))*2,2)</f>
        <v>00</v>
      </c>
      <c r="AK752" t="str">
        <f>MID('paste from garc here'!$C$2,1+(('table for research'!$B752-456)*36+HEX2DEC('table for research'!AK$1))*2,2)</f>
        <v>00</v>
      </c>
      <c r="AL752" t="str">
        <f>MID('paste from garc here'!$C$2,1+(('table for research'!$B752-456)*36+HEX2DEC('table for research'!AL$1))*2,2)</f>
        <v>00</v>
      </c>
      <c r="AM752" t="str">
        <f>MID('paste from garc here'!$C$2,1+(('table for research'!$B752-456)*36+HEX2DEC('table for research'!AM$1))*2,2)</f>
        <v>00</v>
      </c>
      <c r="AN752" t="str">
        <f>MID('paste from garc here'!$C$2,1+(('table for research'!$B752-456)*36+HEX2DEC('table for research'!AN$1))*2,2)</f>
        <v>00</v>
      </c>
      <c r="AO752" t="str">
        <f>MID('paste from garc here'!$C$2,1+(('table for research'!$B752-456)*36+HEX2DEC('table for research'!AO$1))*2,2)</f>
        <v>00</v>
      </c>
    </row>
    <row r="753" spans="1:41" x14ac:dyDescent="0.4">
      <c r="A753" t="s">
        <v>727</v>
      </c>
      <c r="B753">
        <f>B752+1</f>
        <v>751</v>
      </c>
      <c r="C753" t="str">
        <f>MID('paste from garc here'!$C$2,1+(('table for research'!$B753-456)*36+HEX2DEC('table for research'!C$1))*2,2)</f>
        <v>00</v>
      </c>
      <c r="D753" t="str">
        <f>MID('paste from garc here'!$C$2,1+(('table for research'!$B753-456)*36+HEX2DEC('table for research'!D$1))*2,2)</f>
        <v>00</v>
      </c>
      <c r="E753" t="str">
        <f>MID('paste from garc here'!$C$2,1+(('table for research'!$B753-456)*36+HEX2DEC('table for research'!E$1))*2,2)</f>
        <v>00</v>
      </c>
      <c r="F753" t="str">
        <f>MID('paste from garc here'!$C$2,1+(('table for research'!$B753-456)*36+HEX2DEC('table for research'!F$1))*2,2)</f>
        <v>00</v>
      </c>
      <c r="G753" t="str">
        <f>MID('paste from garc here'!$C$2,1+(('table for research'!$B753-456)*36+HEX2DEC('table for research'!G$1))*2,2)</f>
        <v>00</v>
      </c>
      <c r="H753" t="str">
        <f>MID('paste from garc here'!$C$2,1+(('table for research'!$B753-456)*36+HEX2DEC('table for research'!H$1))*2,2)</f>
        <v>00</v>
      </c>
      <c r="I753" t="str">
        <f>MID('paste from garc here'!$C$2,1+(('table for research'!$B753-456)*36+HEX2DEC('table for research'!I$1))*2,2)</f>
        <v>00</v>
      </c>
      <c r="J753" t="str">
        <f>MID('paste from garc here'!$C$2,1+(('table for research'!$B753-456)*36+HEX2DEC('table for research'!J$1))*2,2)</f>
        <v>00</v>
      </c>
      <c r="K753" t="str">
        <f>DEC2HEX(_xlfn.BITAND(HEX2DEC(MID('paste from garc here'!$C$1,1+(('table for research'!$B753-1)*36+HEX2DEC(8))*2,2)),31),2)</f>
        <v>00</v>
      </c>
      <c r="L753" t="str">
        <f>DEC2HEX(_xlfn.BITAND(HEX2DEC(MID('paste from garc here'!$C$1,1+(('table for research'!$B753-1)*36+HEX2DEC(8))*2,2)),32),2)</f>
        <v>00</v>
      </c>
      <c r="M753" t="str">
        <f>DEC2HEX(_xlfn.BITAND(HEX2DEC(MID('paste from garc here'!$C$1,1+(('table for research'!$B753-1)*36+HEX2DEC(8))*2,2)),64),2)</f>
        <v>00</v>
      </c>
      <c r="N753" t="str">
        <f>DEC2HEX(_xlfn.BITRSHIFT(_xlfn.BITAND(HEX2DEC(MID('paste from garc here'!$C$1,1+(('table for research'!$B753-1)*36+HEX2DEC(9))*2,2)&amp;MID('paste from garc here'!$C$1,1+(('table for research'!$B753-1)*36+HEX2DEC(8))*2,2)),1920),7),2)</f>
        <v>00</v>
      </c>
      <c r="O753" t="str">
        <f>DEC2HEX(_xlfn.BITRSHIFT(HEX2DEC(MID('paste from garc here'!$C$1,1+(('table for research'!$B753-1)*36+HEX2DEC(9))*2,2)&amp;MID('paste from garc here'!$C$1,1+(('table for research'!$B753-1)*36+HEX2DEC(8))*2,2)),11),2)</f>
        <v>00</v>
      </c>
      <c r="P753" t="str">
        <f>MID('paste from garc here'!$C$2,1+(('table for research'!$B753-456)*36+HEX2DEC('table for research'!P$1))*2,2)</f>
        <v>00</v>
      </c>
      <c r="Q753" t="str">
        <f>MID('paste from garc here'!$C$2,1+(('table for research'!$B753-456)*36+HEX2DEC('table for research'!Q$1))*2,2)</f>
        <v>00</v>
      </c>
      <c r="R753" t="str">
        <f>MID('paste from garc here'!$C$2,1+(('table for research'!$B753-456)*36+HEX2DEC('table for research'!R$1))*2,2)</f>
        <v>00</v>
      </c>
      <c r="S753" t="str">
        <f>MID('paste from garc here'!$C$2,1+(('table for research'!$B753-456)*36+HEX2DEC('table for research'!S$1))*2,2)</f>
        <v>08</v>
      </c>
      <c r="T753" t="str">
        <f>MID('paste from garc here'!$C$2,1+(('table for research'!$B753-456)*36+HEX2DEC('table for research'!T$1))*2,2)</f>
        <v>00</v>
      </c>
      <c r="U753" t="str">
        <f>MID('paste from garc here'!$C$2,1+(('table for research'!$B753-456)*36+HEX2DEC('table for research'!U$1))*2,2)</f>
        <v>FF</v>
      </c>
      <c r="V753" t="str">
        <f>MID('paste from garc here'!$C$2,1+(('table for research'!$B753-456)*36+HEX2DEC('table for research'!V$1))*2,2)</f>
        <v>00</v>
      </c>
      <c r="W753" t="str">
        <f>MID('paste from garc here'!$C$2,1+(('table for research'!$B753-456)*36+HEX2DEC('table for research'!W$1))*2,2)</f>
        <v>00</v>
      </c>
      <c r="X753" t="str">
        <f>MID('paste from garc here'!$C$2,1+(('table for research'!$B753-456)*36+HEX2DEC('table for research'!X$1))*2,2)</f>
        <v>00</v>
      </c>
      <c r="Y753" t="str">
        <f>MID('paste from garc here'!$C$2,1+(('table for research'!$B753-456)*36+HEX2DEC('table for research'!Y$1))*2,2)</f>
        <v>00</v>
      </c>
      <c r="Z753" t="str">
        <f>MID('paste from garc here'!$C$2,1+(('table for research'!$B753-456)*36+HEX2DEC('table for research'!Z$1))*2,2)</f>
        <v>00</v>
      </c>
      <c r="AA753" t="str">
        <f>MID('paste from garc here'!$C$2,1+(('table for research'!$B753-456)*36+HEX2DEC('table for research'!AA$1))*2,2)</f>
        <v>00</v>
      </c>
      <c r="AB753" t="str">
        <f>MID('paste from garc here'!$C$2,1+(('table for research'!$B753-456)*36+HEX2DEC('table for research'!AB$1))*2,2)</f>
        <v>00</v>
      </c>
      <c r="AC753" t="str">
        <f>MID('paste from garc here'!$C$2,1+(('table for research'!$B753-456)*36+HEX2DEC('table for research'!AC$1))*2,2)</f>
        <v>00</v>
      </c>
      <c r="AD753" t="str">
        <f>MID('paste from garc here'!$C$2,1+(('table for research'!$B753-456)*36+HEX2DEC('table for research'!AD$1))*2,2)</f>
        <v>00</v>
      </c>
      <c r="AE753" t="str">
        <f>MID('paste from garc here'!$C$2,1+(('table for research'!$B753-456)*36+HEX2DEC('table for research'!AE$1))*2,2)</f>
        <v>00</v>
      </c>
      <c r="AF753" t="str">
        <f>MID('paste from garc here'!$C$2,1+(('table for research'!$B753-456)*36+HEX2DEC('table for research'!AF$1))*2,2)</f>
        <v>00</v>
      </c>
      <c r="AG753" t="str">
        <f>MID('paste from garc here'!$C$2,1+(('table for research'!$B753-456)*36+HEX2DEC('table for research'!AG$1))*2,2)</f>
        <v>00</v>
      </c>
      <c r="AH753" t="str">
        <f>MID('paste from garc here'!$C$2,1+(('table for research'!$B753-456)*36+HEX2DEC('table for research'!AH$1))*2,2)</f>
        <v>00</v>
      </c>
      <c r="AI753" t="str">
        <f>MID('paste from garc here'!$C$2,1+(('table for research'!$B753-456)*36+HEX2DEC('table for research'!AI$1))*2,2)</f>
        <v>00</v>
      </c>
      <c r="AJ753" t="str">
        <f>MID('paste from garc here'!$C$2,1+(('table for research'!$B753-456)*36+HEX2DEC('table for research'!AJ$1))*2,2)</f>
        <v>00</v>
      </c>
      <c r="AK753" t="str">
        <f>MID('paste from garc here'!$C$2,1+(('table for research'!$B753-456)*36+HEX2DEC('table for research'!AK$1))*2,2)</f>
        <v>00</v>
      </c>
      <c r="AL753" t="str">
        <f>MID('paste from garc here'!$C$2,1+(('table for research'!$B753-456)*36+HEX2DEC('table for research'!AL$1))*2,2)</f>
        <v>00</v>
      </c>
      <c r="AM753" t="str">
        <f>MID('paste from garc here'!$C$2,1+(('table for research'!$B753-456)*36+HEX2DEC('table for research'!AM$1))*2,2)</f>
        <v>00</v>
      </c>
      <c r="AN753" t="str">
        <f>MID('paste from garc here'!$C$2,1+(('table for research'!$B753-456)*36+HEX2DEC('table for research'!AN$1))*2,2)</f>
        <v>00</v>
      </c>
      <c r="AO753" t="str">
        <f>MID('paste from garc here'!$C$2,1+(('table for research'!$B753-456)*36+HEX2DEC('table for research'!AO$1))*2,2)</f>
        <v>00</v>
      </c>
    </row>
    <row r="754" spans="1:41" x14ac:dyDescent="0.4">
      <c r="A754" t="s">
        <v>746</v>
      </c>
      <c r="B754">
        <f>B753+1</f>
        <v>752</v>
      </c>
      <c r="C754" t="str">
        <f>MID('paste from garc here'!$C$2,1+(('table for research'!$B754-456)*36+HEX2DEC('table for research'!C$1))*2,2)</f>
        <v>00</v>
      </c>
      <c r="D754" t="str">
        <f>MID('paste from garc here'!$C$2,1+(('table for research'!$B754-456)*36+HEX2DEC('table for research'!D$1))*2,2)</f>
        <v>00</v>
      </c>
      <c r="E754" t="str">
        <f>MID('paste from garc here'!$C$2,1+(('table for research'!$B754-456)*36+HEX2DEC('table for research'!E$1))*2,2)</f>
        <v>00</v>
      </c>
      <c r="F754" t="str">
        <f>MID('paste from garc here'!$C$2,1+(('table for research'!$B754-456)*36+HEX2DEC('table for research'!F$1))*2,2)</f>
        <v>00</v>
      </c>
      <c r="G754" t="str">
        <f>MID('paste from garc here'!$C$2,1+(('table for research'!$B754-456)*36+HEX2DEC('table for research'!G$1))*2,2)</f>
        <v>00</v>
      </c>
      <c r="H754" t="str">
        <f>MID('paste from garc here'!$C$2,1+(('table for research'!$B754-456)*36+HEX2DEC('table for research'!H$1))*2,2)</f>
        <v>00</v>
      </c>
      <c r="I754" t="str">
        <f>MID('paste from garc here'!$C$2,1+(('table for research'!$B754-456)*36+HEX2DEC('table for research'!I$1))*2,2)</f>
        <v>50</v>
      </c>
      <c r="J754" t="str">
        <f>MID('paste from garc here'!$C$2,1+(('table for research'!$B754-456)*36+HEX2DEC('table for research'!J$1))*2,2)</f>
        <v>00</v>
      </c>
      <c r="K754" t="str">
        <f>DEC2HEX(_xlfn.BITAND(HEX2DEC(MID('paste from garc here'!$C$1,1+(('table for research'!$B754-1)*36+HEX2DEC(8))*2,2)),31),2)</f>
        <v>00</v>
      </c>
      <c r="L754" t="str">
        <f>DEC2HEX(_xlfn.BITAND(HEX2DEC(MID('paste from garc here'!$C$1,1+(('table for research'!$B754-1)*36+HEX2DEC(8))*2,2)),32),2)</f>
        <v>00</v>
      </c>
      <c r="M754" t="str">
        <f>DEC2HEX(_xlfn.BITAND(HEX2DEC(MID('paste from garc here'!$C$1,1+(('table for research'!$B754-1)*36+HEX2DEC(8))*2,2)),64),2)</f>
        <v>00</v>
      </c>
      <c r="N754" t="str">
        <f>DEC2HEX(_xlfn.BITRSHIFT(_xlfn.BITAND(HEX2DEC(MID('paste from garc here'!$C$1,1+(('table for research'!$B754-1)*36+HEX2DEC(9))*2,2)&amp;MID('paste from garc here'!$C$1,1+(('table for research'!$B754-1)*36+HEX2DEC(8))*2,2)),1920),7),2)</f>
        <v>00</v>
      </c>
      <c r="O754" t="str">
        <f>DEC2HEX(_xlfn.BITRSHIFT(HEX2DEC(MID('paste from garc here'!$C$1,1+(('table for research'!$B754-1)*36+HEX2DEC(9))*2,2)&amp;MID('paste from garc here'!$C$1,1+(('table for research'!$B754-1)*36+HEX2DEC(8))*2,2)),11),2)</f>
        <v>00</v>
      </c>
      <c r="P754" t="str">
        <f>MID('paste from garc here'!$C$2,1+(('table for research'!$B754-456)*36+HEX2DEC('table for research'!P$1))*2,2)</f>
        <v>00</v>
      </c>
      <c r="Q754" t="str">
        <f>MID('paste from garc here'!$C$2,1+(('table for research'!$B754-456)*36+HEX2DEC('table for research'!Q$1))*2,2)</f>
        <v>00</v>
      </c>
      <c r="R754" t="str">
        <f>MID('paste from garc here'!$C$2,1+(('table for research'!$B754-456)*36+HEX2DEC('table for research'!R$1))*2,2)</f>
        <v>00</v>
      </c>
      <c r="S754" t="str">
        <f>MID('paste from garc here'!$C$2,1+(('table for research'!$B754-456)*36+HEX2DEC('table for research'!S$1))*2,2)</f>
        <v>01</v>
      </c>
      <c r="T754" t="str">
        <f>MID('paste from garc here'!$C$2,1+(('table for research'!$B754-456)*36+HEX2DEC('table for research'!T$1))*2,2)</f>
        <v>00</v>
      </c>
      <c r="U754" t="str">
        <f>MID('paste from garc here'!$C$2,1+(('table for research'!$B754-456)*36+HEX2DEC('table for research'!U$1))*2,2)</f>
        <v>E7</v>
      </c>
      <c r="V754" t="str">
        <f>MID('paste from garc here'!$C$2,1+(('table for research'!$B754-456)*36+HEX2DEC('table for research'!V$1))*2,2)</f>
        <v>00</v>
      </c>
      <c r="W754" t="str">
        <f>MID('paste from garc here'!$C$2,1+(('table for research'!$B754-456)*36+HEX2DEC('table for research'!W$1))*2,2)</f>
        <v>00</v>
      </c>
      <c r="X754" t="str">
        <f>MID('paste from garc here'!$C$2,1+(('table for research'!$B754-456)*36+HEX2DEC('table for research'!X$1))*2,2)</f>
        <v>00</v>
      </c>
      <c r="Y754" t="str">
        <f>MID('paste from garc here'!$C$2,1+(('table for research'!$B754-456)*36+HEX2DEC('table for research'!Y$1))*2,2)</f>
        <v>00</v>
      </c>
      <c r="Z754" t="str">
        <f>MID('paste from garc here'!$C$2,1+(('table for research'!$B754-456)*36+HEX2DEC('table for research'!Z$1))*2,2)</f>
        <v>00</v>
      </c>
      <c r="AA754" t="str">
        <f>MID('paste from garc here'!$C$2,1+(('table for research'!$B754-456)*36+HEX2DEC('table for research'!AA$1))*2,2)</f>
        <v>00</v>
      </c>
      <c r="AB754" t="str">
        <f>MID('paste from garc here'!$C$2,1+(('table for research'!$B754-456)*36+HEX2DEC('table for research'!AB$1))*2,2)</f>
        <v>00</v>
      </c>
      <c r="AC754" t="str">
        <f>MID('paste from garc here'!$C$2,1+(('table for research'!$B754-456)*36+HEX2DEC('table for research'!AC$1))*2,2)</f>
        <v>00</v>
      </c>
      <c r="AD754" t="str">
        <f>MID('paste from garc here'!$C$2,1+(('table for research'!$B754-456)*36+HEX2DEC('table for research'!AD$1))*2,2)</f>
        <v>00</v>
      </c>
      <c r="AE754" t="str">
        <f>MID('paste from garc here'!$C$2,1+(('table for research'!$B754-456)*36+HEX2DEC('table for research'!AE$1))*2,2)</f>
        <v>00</v>
      </c>
      <c r="AF754" t="str">
        <f>MID('paste from garc here'!$C$2,1+(('table for research'!$B754-456)*36+HEX2DEC('table for research'!AF$1))*2,2)</f>
        <v>00</v>
      </c>
      <c r="AG754" t="str">
        <f>MID('paste from garc here'!$C$2,1+(('table for research'!$B754-456)*36+HEX2DEC('table for research'!AG$1))*2,2)</f>
        <v>00</v>
      </c>
      <c r="AH754" t="str">
        <f>MID('paste from garc here'!$C$2,1+(('table for research'!$B754-456)*36+HEX2DEC('table for research'!AH$1))*2,2)</f>
        <v>00</v>
      </c>
      <c r="AI754" t="str">
        <f>MID('paste from garc here'!$C$2,1+(('table for research'!$B754-456)*36+HEX2DEC('table for research'!AI$1))*2,2)</f>
        <v>00</v>
      </c>
      <c r="AJ754" t="str">
        <f>MID('paste from garc here'!$C$2,1+(('table for research'!$B754-456)*36+HEX2DEC('table for research'!AJ$1))*2,2)</f>
        <v>00</v>
      </c>
      <c r="AK754" t="str">
        <f>MID('paste from garc here'!$C$2,1+(('table for research'!$B754-456)*36+HEX2DEC('table for research'!AK$1))*2,2)</f>
        <v>00</v>
      </c>
      <c r="AL754" t="str">
        <f>MID('paste from garc here'!$C$2,1+(('table for research'!$B754-456)*36+HEX2DEC('table for research'!AL$1))*2,2)</f>
        <v>00</v>
      </c>
      <c r="AM754" t="str">
        <f>MID('paste from garc here'!$C$2,1+(('table for research'!$B754-456)*36+HEX2DEC('table for research'!AM$1))*2,2)</f>
        <v>00</v>
      </c>
      <c r="AN754" t="str">
        <f>MID('paste from garc here'!$C$2,1+(('table for research'!$B754-456)*36+HEX2DEC('table for research'!AN$1))*2,2)</f>
        <v>00</v>
      </c>
      <c r="AO754" t="str">
        <f>MID('paste from garc here'!$C$2,1+(('table for research'!$B754-456)*36+HEX2DEC('table for research'!AO$1))*2,2)</f>
        <v>00</v>
      </c>
    </row>
    <row r="755" spans="1:41" x14ac:dyDescent="0.4">
      <c r="A755" t="s">
        <v>747</v>
      </c>
      <c r="B755">
        <f>B754+1</f>
        <v>753</v>
      </c>
      <c r="C755" t="str">
        <f>MID('paste from garc here'!$C$2,1+(('table for research'!$B755-456)*36+HEX2DEC('table for research'!C$1))*2,2)</f>
        <v>00</v>
      </c>
      <c r="D755" t="str">
        <f>MID('paste from garc here'!$C$2,1+(('table for research'!$B755-456)*36+HEX2DEC('table for research'!D$1))*2,2)</f>
        <v>00</v>
      </c>
      <c r="E755" t="str">
        <f>MID('paste from garc here'!$C$2,1+(('table for research'!$B755-456)*36+HEX2DEC('table for research'!E$1))*2,2)</f>
        <v>00</v>
      </c>
      <c r="F755" t="str">
        <f>MID('paste from garc here'!$C$2,1+(('table for research'!$B755-456)*36+HEX2DEC('table for research'!F$1))*2,2)</f>
        <v>00</v>
      </c>
      <c r="G755" t="str">
        <f>MID('paste from garc here'!$C$2,1+(('table for research'!$B755-456)*36+HEX2DEC('table for research'!G$1))*2,2)</f>
        <v>00</v>
      </c>
      <c r="H755" t="str">
        <f>MID('paste from garc here'!$C$2,1+(('table for research'!$B755-456)*36+HEX2DEC('table for research'!H$1))*2,2)</f>
        <v>00</v>
      </c>
      <c r="I755" t="str">
        <f>MID('paste from garc here'!$C$2,1+(('table for research'!$B755-456)*36+HEX2DEC('table for research'!I$1))*2,2)</f>
        <v>50</v>
      </c>
      <c r="J755" t="str">
        <f>MID('paste from garc here'!$C$2,1+(('table for research'!$B755-456)*36+HEX2DEC('table for research'!J$1))*2,2)</f>
        <v>00</v>
      </c>
      <c r="K755" t="str">
        <f>DEC2HEX(_xlfn.BITAND(HEX2DEC(MID('paste from garc here'!$C$1,1+(('table for research'!$B755-1)*36+HEX2DEC(8))*2,2)),31),2)</f>
        <v>00</v>
      </c>
      <c r="L755" t="str">
        <f>DEC2HEX(_xlfn.BITAND(HEX2DEC(MID('paste from garc here'!$C$1,1+(('table for research'!$B755-1)*36+HEX2DEC(8))*2,2)),32),2)</f>
        <v>00</v>
      </c>
      <c r="M755" t="str">
        <f>DEC2HEX(_xlfn.BITAND(HEX2DEC(MID('paste from garc here'!$C$1,1+(('table for research'!$B755-1)*36+HEX2DEC(8))*2,2)),64),2)</f>
        <v>00</v>
      </c>
      <c r="N755" t="str">
        <f>DEC2HEX(_xlfn.BITRSHIFT(_xlfn.BITAND(HEX2DEC(MID('paste from garc here'!$C$1,1+(('table for research'!$B755-1)*36+HEX2DEC(9))*2,2)&amp;MID('paste from garc here'!$C$1,1+(('table for research'!$B755-1)*36+HEX2DEC(8))*2,2)),1920),7),2)</f>
        <v>00</v>
      </c>
      <c r="O755" t="str">
        <f>DEC2HEX(_xlfn.BITRSHIFT(HEX2DEC(MID('paste from garc here'!$C$1,1+(('table for research'!$B755-1)*36+HEX2DEC(9))*2,2)&amp;MID('paste from garc here'!$C$1,1+(('table for research'!$B755-1)*36+HEX2DEC(8))*2,2)),11),2)</f>
        <v>00</v>
      </c>
      <c r="P755" t="str">
        <f>MID('paste from garc here'!$C$2,1+(('table for research'!$B755-456)*36+HEX2DEC('table for research'!P$1))*2,2)</f>
        <v>00</v>
      </c>
      <c r="Q755" t="str">
        <f>MID('paste from garc here'!$C$2,1+(('table for research'!$B755-456)*36+HEX2DEC('table for research'!Q$1))*2,2)</f>
        <v>00</v>
      </c>
      <c r="R755" t="str">
        <f>MID('paste from garc here'!$C$2,1+(('table for research'!$B755-456)*36+HEX2DEC('table for research'!R$1))*2,2)</f>
        <v>00</v>
      </c>
      <c r="S755" t="str">
        <f>MID('paste from garc here'!$C$2,1+(('table for research'!$B755-456)*36+HEX2DEC('table for research'!S$1))*2,2)</f>
        <v>01</v>
      </c>
      <c r="T755" t="str">
        <f>MID('paste from garc here'!$C$2,1+(('table for research'!$B755-456)*36+HEX2DEC('table for research'!T$1))*2,2)</f>
        <v>00</v>
      </c>
      <c r="U755" t="str">
        <f>MID('paste from garc here'!$C$2,1+(('table for research'!$B755-456)*36+HEX2DEC('table for research'!U$1))*2,2)</f>
        <v>CA</v>
      </c>
      <c r="V755" t="str">
        <f>MID('paste from garc here'!$C$2,1+(('table for research'!$B755-456)*36+HEX2DEC('table for research'!V$1))*2,2)</f>
        <v>00</v>
      </c>
      <c r="W755" t="str">
        <f>MID('paste from garc here'!$C$2,1+(('table for research'!$B755-456)*36+HEX2DEC('table for research'!W$1))*2,2)</f>
        <v>00</v>
      </c>
      <c r="X755" t="str">
        <f>MID('paste from garc here'!$C$2,1+(('table for research'!$B755-456)*36+HEX2DEC('table for research'!X$1))*2,2)</f>
        <v>00</v>
      </c>
      <c r="Y755" t="str">
        <f>MID('paste from garc here'!$C$2,1+(('table for research'!$B755-456)*36+HEX2DEC('table for research'!Y$1))*2,2)</f>
        <v>00</v>
      </c>
      <c r="Z755" t="str">
        <f>MID('paste from garc here'!$C$2,1+(('table for research'!$B755-456)*36+HEX2DEC('table for research'!Z$1))*2,2)</f>
        <v>00</v>
      </c>
      <c r="AA755" t="str">
        <f>MID('paste from garc here'!$C$2,1+(('table for research'!$B755-456)*36+HEX2DEC('table for research'!AA$1))*2,2)</f>
        <v>00</v>
      </c>
      <c r="AB755" t="str">
        <f>MID('paste from garc here'!$C$2,1+(('table for research'!$B755-456)*36+HEX2DEC('table for research'!AB$1))*2,2)</f>
        <v>00</v>
      </c>
      <c r="AC755" t="str">
        <f>MID('paste from garc here'!$C$2,1+(('table for research'!$B755-456)*36+HEX2DEC('table for research'!AC$1))*2,2)</f>
        <v>00</v>
      </c>
      <c r="AD755" t="str">
        <f>MID('paste from garc here'!$C$2,1+(('table for research'!$B755-456)*36+HEX2DEC('table for research'!AD$1))*2,2)</f>
        <v>00</v>
      </c>
      <c r="AE755" t="str">
        <f>MID('paste from garc here'!$C$2,1+(('table for research'!$B755-456)*36+HEX2DEC('table for research'!AE$1))*2,2)</f>
        <v>00</v>
      </c>
      <c r="AF755" t="str">
        <f>MID('paste from garc here'!$C$2,1+(('table for research'!$B755-456)*36+HEX2DEC('table for research'!AF$1))*2,2)</f>
        <v>00</v>
      </c>
      <c r="AG755" t="str">
        <f>MID('paste from garc here'!$C$2,1+(('table for research'!$B755-456)*36+HEX2DEC('table for research'!AG$1))*2,2)</f>
        <v>00</v>
      </c>
      <c r="AH755" t="str">
        <f>MID('paste from garc here'!$C$2,1+(('table for research'!$B755-456)*36+HEX2DEC('table for research'!AH$1))*2,2)</f>
        <v>00</v>
      </c>
      <c r="AI755" t="str">
        <f>MID('paste from garc here'!$C$2,1+(('table for research'!$B755-456)*36+HEX2DEC('table for research'!AI$1))*2,2)</f>
        <v>00</v>
      </c>
      <c r="AJ755" t="str">
        <f>MID('paste from garc here'!$C$2,1+(('table for research'!$B755-456)*36+HEX2DEC('table for research'!AJ$1))*2,2)</f>
        <v>00</v>
      </c>
      <c r="AK755" t="str">
        <f>MID('paste from garc here'!$C$2,1+(('table for research'!$B755-456)*36+HEX2DEC('table for research'!AK$1))*2,2)</f>
        <v>00</v>
      </c>
      <c r="AL755" t="str">
        <f>MID('paste from garc here'!$C$2,1+(('table for research'!$B755-456)*36+HEX2DEC('table for research'!AL$1))*2,2)</f>
        <v>00</v>
      </c>
      <c r="AM755" t="str">
        <f>MID('paste from garc here'!$C$2,1+(('table for research'!$B755-456)*36+HEX2DEC('table for research'!AM$1))*2,2)</f>
        <v>00</v>
      </c>
      <c r="AN755" t="str">
        <f>MID('paste from garc here'!$C$2,1+(('table for research'!$B755-456)*36+HEX2DEC('table for research'!AN$1))*2,2)</f>
        <v>00</v>
      </c>
      <c r="AO755" t="str">
        <f>MID('paste from garc here'!$C$2,1+(('table for research'!$B755-456)*36+HEX2DEC('table for research'!AO$1))*2,2)</f>
        <v>00</v>
      </c>
    </row>
    <row r="756" spans="1:41" x14ac:dyDescent="0.4">
      <c r="A756" t="s">
        <v>748</v>
      </c>
      <c r="B756">
        <f>B755+1</f>
        <v>754</v>
      </c>
      <c r="C756" t="str">
        <f>MID('paste from garc here'!$C$2,1+(('table for research'!$B756-456)*36+HEX2DEC('table for research'!C$1))*2,2)</f>
        <v>00</v>
      </c>
      <c r="D756" t="str">
        <f>MID('paste from garc here'!$C$2,1+(('table for research'!$B756-456)*36+HEX2DEC('table for research'!D$1))*2,2)</f>
        <v>00</v>
      </c>
      <c r="E756" t="str">
        <f>MID('paste from garc here'!$C$2,1+(('table for research'!$B756-456)*36+HEX2DEC('table for research'!E$1))*2,2)</f>
        <v>00</v>
      </c>
      <c r="F756" t="str">
        <f>MID('paste from garc here'!$C$2,1+(('table for research'!$B756-456)*36+HEX2DEC('table for research'!F$1))*2,2)</f>
        <v>00</v>
      </c>
      <c r="G756" t="str">
        <f>MID('paste from garc here'!$C$2,1+(('table for research'!$B756-456)*36+HEX2DEC('table for research'!G$1))*2,2)</f>
        <v>00</v>
      </c>
      <c r="H756" t="str">
        <f>MID('paste from garc here'!$C$2,1+(('table for research'!$B756-456)*36+HEX2DEC('table for research'!H$1))*2,2)</f>
        <v>00</v>
      </c>
      <c r="I756" t="str">
        <f>MID('paste from garc here'!$C$2,1+(('table for research'!$B756-456)*36+HEX2DEC('table for research'!I$1))*2,2)</f>
        <v>50</v>
      </c>
      <c r="J756" t="str">
        <f>MID('paste from garc here'!$C$2,1+(('table for research'!$B756-456)*36+HEX2DEC('table for research'!J$1))*2,2)</f>
        <v>00</v>
      </c>
      <c r="K756" t="str">
        <f>DEC2HEX(_xlfn.BITAND(HEX2DEC(MID('paste from garc here'!$C$1,1+(('table for research'!$B756-1)*36+HEX2DEC(8))*2,2)),31),2)</f>
        <v>00</v>
      </c>
      <c r="L756" t="str">
        <f>DEC2HEX(_xlfn.BITAND(HEX2DEC(MID('paste from garc here'!$C$1,1+(('table for research'!$B756-1)*36+HEX2DEC(8))*2,2)),32),2)</f>
        <v>00</v>
      </c>
      <c r="M756" t="str">
        <f>DEC2HEX(_xlfn.BITAND(HEX2DEC(MID('paste from garc here'!$C$1,1+(('table for research'!$B756-1)*36+HEX2DEC(8))*2,2)),64),2)</f>
        <v>00</v>
      </c>
      <c r="N756" t="str">
        <f>DEC2HEX(_xlfn.BITRSHIFT(_xlfn.BITAND(HEX2DEC(MID('paste from garc here'!$C$1,1+(('table for research'!$B756-1)*36+HEX2DEC(9))*2,2)&amp;MID('paste from garc here'!$C$1,1+(('table for research'!$B756-1)*36+HEX2DEC(8))*2,2)),1920),7),2)</f>
        <v>00</v>
      </c>
      <c r="O756" t="str">
        <f>DEC2HEX(_xlfn.BITRSHIFT(HEX2DEC(MID('paste from garc here'!$C$1,1+(('table for research'!$B756-1)*36+HEX2DEC(9))*2,2)&amp;MID('paste from garc here'!$C$1,1+(('table for research'!$B756-1)*36+HEX2DEC(8))*2,2)),11),2)</f>
        <v>00</v>
      </c>
      <c r="P756" t="str">
        <f>MID('paste from garc here'!$C$2,1+(('table for research'!$B756-456)*36+HEX2DEC('table for research'!P$1))*2,2)</f>
        <v>00</v>
      </c>
      <c r="Q756" t="str">
        <f>MID('paste from garc here'!$C$2,1+(('table for research'!$B756-456)*36+HEX2DEC('table for research'!Q$1))*2,2)</f>
        <v>00</v>
      </c>
      <c r="R756" t="str">
        <f>MID('paste from garc here'!$C$2,1+(('table for research'!$B756-456)*36+HEX2DEC('table for research'!R$1))*2,2)</f>
        <v>00</v>
      </c>
      <c r="S756" t="str">
        <f>MID('paste from garc here'!$C$2,1+(('table for research'!$B756-456)*36+HEX2DEC('table for research'!S$1))*2,2)</f>
        <v>01</v>
      </c>
      <c r="T756" t="str">
        <f>MID('paste from garc here'!$C$2,1+(('table for research'!$B756-456)*36+HEX2DEC('table for research'!T$1))*2,2)</f>
        <v>00</v>
      </c>
      <c r="U756" t="str">
        <f>MID('paste from garc here'!$C$2,1+(('table for research'!$B756-456)*36+HEX2DEC('table for research'!U$1))*2,2)</f>
        <v>E4</v>
      </c>
      <c r="V756" t="str">
        <f>MID('paste from garc here'!$C$2,1+(('table for research'!$B756-456)*36+HEX2DEC('table for research'!V$1))*2,2)</f>
        <v>00</v>
      </c>
      <c r="W756" t="str">
        <f>MID('paste from garc here'!$C$2,1+(('table for research'!$B756-456)*36+HEX2DEC('table for research'!W$1))*2,2)</f>
        <v>00</v>
      </c>
      <c r="X756" t="str">
        <f>MID('paste from garc here'!$C$2,1+(('table for research'!$B756-456)*36+HEX2DEC('table for research'!X$1))*2,2)</f>
        <v>00</v>
      </c>
      <c r="Y756" t="str">
        <f>MID('paste from garc here'!$C$2,1+(('table for research'!$B756-456)*36+HEX2DEC('table for research'!Y$1))*2,2)</f>
        <v>00</v>
      </c>
      <c r="Z756" t="str">
        <f>MID('paste from garc here'!$C$2,1+(('table for research'!$B756-456)*36+HEX2DEC('table for research'!Z$1))*2,2)</f>
        <v>00</v>
      </c>
      <c r="AA756" t="str">
        <f>MID('paste from garc here'!$C$2,1+(('table for research'!$B756-456)*36+HEX2DEC('table for research'!AA$1))*2,2)</f>
        <v>00</v>
      </c>
      <c r="AB756" t="str">
        <f>MID('paste from garc here'!$C$2,1+(('table for research'!$B756-456)*36+HEX2DEC('table for research'!AB$1))*2,2)</f>
        <v>00</v>
      </c>
      <c r="AC756" t="str">
        <f>MID('paste from garc here'!$C$2,1+(('table for research'!$B756-456)*36+HEX2DEC('table for research'!AC$1))*2,2)</f>
        <v>00</v>
      </c>
      <c r="AD756" t="str">
        <f>MID('paste from garc here'!$C$2,1+(('table for research'!$B756-456)*36+HEX2DEC('table for research'!AD$1))*2,2)</f>
        <v>00</v>
      </c>
      <c r="AE756" t="str">
        <f>MID('paste from garc here'!$C$2,1+(('table for research'!$B756-456)*36+HEX2DEC('table for research'!AE$1))*2,2)</f>
        <v>00</v>
      </c>
      <c r="AF756" t="str">
        <f>MID('paste from garc here'!$C$2,1+(('table for research'!$B756-456)*36+HEX2DEC('table for research'!AF$1))*2,2)</f>
        <v>00</v>
      </c>
      <c r="AG756" t="str">
        <f>MID('paste from garc here'!$C$2,1+(('table for research'!$B756-456)*36+HEX2DEC('table for research'!AG$1))*2,2)</f>
        <v>00</v>
      </c>
      <c r="AH756" t="str">
        <f>MID('paste from garc here'!$C$2,1+(('table for research'!$B756-456)*36+HEX2DEC('table for research'!AH$1))*2,2)</f>
        <v>00</v>
      </c>
      <c r="AI756" t="str">
        <f>MID('paste from garc here'!$C$2,1+(('table for research'!$B756-456)*36+HEX2DEC('table for research'!AI$1))*2,2)</f>
        <v>00</v>
      </c>
      <c r="AJ756" t="str">
        <f>MID('paste from garc here'!$C$2,1+(('table for research'!$B756-456)*36+HEX2DEC('table for research'!AJ$1))*2,2)</f>
        <v>00</v>
      </c>
      <c r="AK756" t="str">
        <f>MID('paste from garc here'!$C$2,1+(('table for research'!$B756-456)*36+HEX2DEC('table for research'!AK$1))*2,2)</f>
        <v>00</v>
      </c>
      <c r="AL756" t="str">
        <f>MID('paste from garc here'!$C$2,1+(('table for research'!$B756-456)*36+HEX2DEC('table for research'!AL$1))*2,2)</f>
        <v>00</v>
      </c>
      <c r="AM756" t="str">
        <f>MID('paste from garc here'!$C$2,1+(('table for research'!$B756-456)*36+HEX2DEC('table for research'!AM$1))*2,2)</f>
        <v>00</v>
      </c>
      <c r="AN756" t="str">
        <f>MID('paste from garc here'!$C$2,1+(('table for research'!$B756-456)*36+HEX2DEC('table for research'!AN$1))*2,2)</f>
        <v>00</v>
      </c>
      <c r="AO756" t="str">
        <f>MID('paste from garc here'!$C$2,1+(('table for research'!$B756-456)*36+HEX2DEC('table for research'!AO$1))*2,2)</f>
        <v>00</v>
      </c>
    </row>
    <row r="757" spans="1:41" x14ac:dyDescent="0.4">
      <c r="A757" t="s">
        <v>749</v>
      </c>
      <c r="B757">
        <f>B756+1</f>
        <v>755</v>
      </c>
      <c r="C757" t="str">
        <f>MID('paste from garc here'!$C$2,1+(('table for research'!$B757-456)*36+HEX2DEC('table for research'!C$1))*2,2)</f>
        <v>00</v>
      </c>
      <c r="D757" t="str">
        <f>MID('paste from garc here'!$C$2,1+(('table for research'!$B757-456)*36+HEX2DEC('table for research'!D$1))*2,2)</f>
        <v>00</v>
      </c>
      <c r="E757" t="str">
        <f>MID('paste from garc here'!$C$2,1+(('table for research'!$B757-456)*36+HEX2DEC('table for research'!E$1))*2,2)</f>
        <v>00</v>
      </c>
      <c r="F757" t="str">
        <f>MID('paste from garc here'!$C$2,1+(('table for research'!$B757-456)*36+HEX2DEC('table for research'!F$1))*2,2)</f>
        <v>00</v>
      </c>
      <c r="G757" t="str">
        <f>MID('paste from garc here'!$C$2,1+(('table for research'!$B757-456)*36+HEX2DEC('table for research'!G$1))*2,2)</f>
        <v>00</v>
      </c>
      <c r="H757" t="str">
        <f>MID('paste from garc here'!$C$2,1+(('table for research'!$B757-456)*36+HEX2DEC('table for research'!H$1))*2,2)</f>
        <v>00</v>
      </c>
      <c r="I757" t="str">
        <f>MID('paste from garc here'!$C$2,1+(('table for research'!$B757-456)*36+HEX2DEC('table for research'!I$1))*2,2)</f>
        <v>50</v>
      </c>
      <c r="J757" t="str">
        <f>MID('paste from garc here'!$C$2,1+(('table for research'!$B757-456)*36+HEX2DEC('table for research'!J$1))*2,2)</f>
        <v>00</v>
      </c>
      <c r="K757" t="str">
        <f>DEC2HEX(_xlfn.BITAND(HEX2DEC(MID('paste from garc here'!$C$1,1+(('table for research'!$B757-1)*36+HEX2DEC(8))*2,2)),31),2)</f>
        <v>00</v>
      </c>
      <c r="L757" t="str">
        <f>DEC2HEX(_xlfn.BITAND(HEX2DEC(MID('paste from garc here'!$C$1,1+(('table for research'!$B757-1)*36+HEX2DEC(8))*2,2)),32),2)</f>
        <v>00</v>
      </c>
      <c r="M757" t="str">
        <f>DEC2HEX(_xlfn.BITAND(HEX2DEC(MID('paste from garc here'!$C$1,1+(('table for research'!$B757-1)*36+HEX2DEC(8))*2,2)),64),2)</f>
        <v>00</v>
      </c>
      <c r="N757" t="str">
        <f>DEC2HEX(_xlfn.BITRSHIFT(_xlfn.BITAND(HEX2DEC(MID('paste from garc here'!$C$1,1+(('table for research'!$B757-1)*36+HEX2DEC(9))*2,2)&amp;MID('paste from garc here'!$C$1,1+(('table for research'!$B757-1)*36+HEX2DEC(8))*2,2)),1920),7),2)</f>
        <v>00</v>
      </c>
      <c r="O757" t="str">
        <f>DEC2HEX(_xlfn.BITRSHIFT(HEX2DEC(MID('paste from garc here'!$C$1,1+(('table for research'!$B757-1)*36+HEX2DEC(9))*2,2)&amp;MID('paste from garc here'!$C$1,1+(('table for research'!$B757-1)*36+HEX2DEC(8))*2,2)),11),2)</f>
        <v>00</v>
      </c>
      <c r="P757" t="str">
        <f>MID('paste from garc here'!$C$2,1+(('table for research'!$B757-456)*36+HEX2DEC('table for research'!P$1))*2,2)</f>
        <v>00</v>
      </c>
      <c r="Q757" t="str">
        <f>MID('paste from garc here'!$C$2,1+(('table for research'!$B757-456)*36+HEX2DEC('table for research'!Q$1))*2,2)</f>
        <v>00</v>
      </c>
      <c r="R757" t="str">
        <f>MID('paste from garc here'!$C$2,1+(('table for research'!$B757-456)*36+HEX2DEC('table for research'!R$1))*2,2)</f>
        <v>00</v>
      </c>
      <c r="S757" t="str">
        <f>MID('paste from garc here'!$C$2,1+(('table for research'!$B757-456)*36+HEX2DEC('table for research'!S$1))*2,2)</f>
        <v>01</v>
      </c>
      <c r="T757" t="str">
        <f>MID('paste from garc here'!$C$2,1+(('table for research'!$B757-456)*36+HEX2DEC('table for research'!T$1))*2,2)</f>
        <v>00</v>
      </c>
      <c r="U757" t="str">
        <f>MID('paste from garc here'!$C$2,1+(('table for research'!$B757-456)*36+HEX2DEC('table for research'!U$1))*2,2)</f>
        <v>CF</v>
      </c>
      <c r="V757" t="str">
        <f>MID('paste from garc here'!$C$2,1+(('table for research'!$B757-456)*36+HEX2DEC('table for research'!V$1))*2,2)</f>
        <v>00</v>
      </c>
      <c r="W757" t="str">
        <f>MID('paste from garc here'!$C$2,1+(('table for research'!$B757-456)*36+HEX2DEC('table for research'!W$1))*2,2)</f>
        <v>00</v>
      </c>
      <c r="X757" t="str">
        <f>MID('paste from garc here'!$C$2,1+(('table for research'!$B757-456)*36+HEX2DEC('table for research'!X$1))*2,2)</f>
        <v>00</v>
      </c>
      <c r="Y757" t="str">
        <f>MID('paste from garc here'!$C$2,1+(('table for research'!$B757-456)*36+HEX2DEC('table for research'!Y$1))*2,2)</f>
        <v>00</v>
      </c>
      <c r="Z757" t="str">
        <f>MID('paste from garc here'!$C$2,1+(('table for research'!$B757-456)*36+HEX2DEC('table for research'!Z$1))*2,2)</f>
        <v>00</v>
      </c>
      <c r="AA757" t="str">
        <f>MID('paste from garc here'!$C$2,1+(('table for research'!$B757-456)*36+HEX2DEC('table for research'!AA$1))*2,2)</f>
        <v>00</v>
      </c>
      <c r="AB757" t="str">
        <f>MID('paste from garc here'!$C$2,1+(('table for research'!$B757-456)*36+HEX2DEC('table for research'!AB$1))*2,2)</f>
        <v>00</v>
      </c>
      <c r="AC757" t="str">
        <f>MID('paste from garc here'!$C$2,1+(('table for research'!$B757-456)*36+HEX2DEC('table for research'!AC$1))*2,2)</f>
        <v>00</v>
      </c>
      <c r="AD757" t="str">
        <f>MID('paste from garc here'!$C$2,1+(('table for research'!$B757-456)*36+HEX2DEC('table for research'!AD$1))*2,2)</f>
        <v>00</v>
      </c>
      <c r="AE757" t="str">
        <f>MID('paste from garc here'!$C$2,1+(('table for research'!$B757-456)*36+HEX2DEC('table for research'!AE$1))*2,2)</f>
        <v>00</v>
      </c>
      <c r="AF757" t="str">
        <f>MID('paste from garc here'!$C$2,1+(('table for research'!$B757-456)*36+HEX2DEC('table for research'!AF$1))*2,2)</f>
        <v>00</v>
      </c>
      <c r="AG757" t="str">
        <f>MID('paste from garc here'!$C$2,1+(('table for research'!$B757-456)*36+HEX2DEC('table for research'!AG$1))*2,2)</f>
        <v>00</v>
      </c>
      <c r="AH757" t="str">
        <f>MID('paste from garc here'!$C$2,1+(('table for research'!$B757-456)*36+HEX2DEC('table for research'!AH$1))*2,2)</f>
        <v>00</v>
      </c>
      <c r="AI757" t="str">
        <f>MID('paste from garc here'!$C$2,1+(('table for research'!$B757-456)*36+HEX2DEC('table for research'!AI$1))*2,2)</f>
        <v>00</v>
      </c>
      <c r="AJ757" t="str">
        <f>MID('paste from garc here'!$C$2,1+(('table for research'!$B757-456)*36+HEX2DEC('table for research'!AJ$1))*2,2)</f>
        <v>00</v>
      </c>
      <c r="AK757" t="str">
        <f>MID('paste from garc here'!$C$2,1+(('table for research'!$B757-456)*36+HEX2DEC('table for research'!AK$1))*2,2)</f>
        <v>00</v>
      </c>
      <c r="AL757" t="str">
        <f>MID('paste from garc here'!$C$2,1+(('table for research'!$B757-456)*36+HEX2DEC('table for research'!AL$1))*2,2)</f>
        <v>00</v>
      </c>
      <c r="AM757" t="str">
        <f>MID('paste from garc here'!$C$2,1+(('table for research'!$B757-456)*36+HEX2DEC('table for research'!AM$1))*2,2)</f>
        <v>00</v>
      </c>
      <c r="AN757" t="str">
        <f>MID('paste from garc here'!$C$2,1+(('table for research'!$B757-456)*36+HEX2DEC('table for research'!AN$1))*2,2)</f>
        <v>00</v>
      </c>
      <c r="AO757" t="str">
        <f>MID('paste from garc here'!$C$2,1+(('table for research'!$B757-456)*36+HEX2DEC('table for research'!AO$1))*2,2)</f>
        <v>00</v>
      </c>
    </row>
    <row r="758" spans="1:41" x14ac:dyDescent="0.4">
      <c r="A758" t="s">
        <v>750</v>
      </c>
      <c r="B758">
        <f>B757+1</f>
        <v>756</v>
      </c>
      <c r="C758" t="str">
        <f>MID('paste from garc here'!$C$2,1+(('table for research'!$B758-456)*36+HEX2DEC('table for research'!C$1))*2,2)</f>
        <v>00</v>
      </c>
      <c r="D758" t="str">
        <f>MID('paste from garc here'!$C$2,1+(('table for research'!$B758-456)*36+HEX2DEC('table for research'!D$1))*2,2)</f>
        <v>00</v>
      </c>
      <c r="E758" t="str">
        <f>MID('paste from garc here'!$C$2,1+(('table for research'!$B758-456)*36+HEX2DEC('table for research'!E$1))*2,2)</f>
        <v>00</v>
      </c>
      <c r="F758" t="str">
        <f>MID('paste from garc here'!$C$2,1+(('table for research'!$B758-456)*36+HEX2DEC('table for research'!F$1))*2,2)</f>
        <v>00</v>
      </c>
      <c r="G758" t="str">
        <f>MID('paste from garc here'!$C$2,1+(('table for research'!$B758-456)*36+HEX2DEC('table for research'!G$1))*2,2)</f>
        <v>00</v>
      </c>
      <c r="H758" t="str">
        <f>MID('paste from garc here'!$C$2,1+(('table for research'!$B758-456)*36+HEX2DEC('table for research'!H$1))*2,2)</f>
        <v>00</v>
      </c>
      <c r="I758" t="str">
        <f>MID('paste from garc here'!$C$2,1+(('table for research'!$B758-456)*36+HEX2DEC('table for research'!I$1))*2,2)</f>
        <v>50</v>
      </c>
      <c r="J758" t="str">
        <f>MID('paste from garc here'!$C$2,1+(('table for research'!$B758-456)*36+HEX2DEC('table for research'!J$1))*2,2)</f>
        <v>00</v>
      </c>
      <c r="K758" t="str">
        <f>DEC2HEX(_xlfn.BITAND(HEX2DEC(MID('paste from garc here'!$C$1,1+(('table for research'!$B758-1)*36+HEX2DEC(8))*2,2)),31),2)</f>
        <v>00</v>
      </c>
      <c r="L758" t="str">
        <f>DEC2HEX(_xlfn.BITAND(HEX2DEC(MID('paste from garc here'!$C$1,1+(('table for research'!$B758-1)*36+HEX2DEC(8))*2,2)),32),2)</f>
        <v>00</v>
      </c>
      <c r="M758" t="str">
        <f>DEC2HEX(_xlfn.BITAND(HEX2DEC(MID('paste from garc here'!$C$1,1+(('table for research'!$B758-1)*36+HEX2DEC(8))*2,2)),64),2)</f>
        <v>00</v>
      </c>
      <c r="N758" t="str">
        <f>DEC2HEX(_xlfn.BITRSHIFT(_xlfn.BITAND(HEX2DEC(MID('paste from garc here'!$C$1,1+(('table for research'!$B758-1)*36+HEX2DEC(9))*2,2)&amp;MID('paste from garc here'!$C$1,1+(('table for research'!$B758-1)*36+HEX2DEC(8))*2,2)),1920),7),2)</f>
        <v>00</v>
      </c>
      <c r="O758" t="str">
        <f>DEC2HEX(_xlfn.BITRSHIFT(HEX2DEC(MID('paste from garc here'!$C$1,1+(('table for research'!$B758-1)*36+HEX2DEC(9))*2,2)&amp;MID('paste from garc here'!$C$1,1+(('table for research'!$B758-1)*36+HEX2DEC(8))*2,2)),11),2)</f>
        <v>00</v>
      </c>
      <c r="P758" t="str">
        <f>MID('paste from garc here'!$C$2,1+(('table for research'!$B758-456)*36+HEX2DEC('table for research'!P$1))*2,2)</f>
        <v>00</v>
      </c>
      <c r="Q758" t="str">
        <f>MID('paste from garc here'!$C$2,1+(('table for research'!$B758-456)*36+HEX2DEC('table for research'!Q$1))*2,2)</f>
        <v>00</v>
      </c>
      <c r="R758" t="str">
        <f>MID('paste from garc here'!$C$2,1+(('table for research'!$B758-456)*36+HEX2DEC('table for research'!R$1))*2,2)</f>
        <v>00</v>
      </c>
      <c r="S758" t="str">
        <f>MID('paste from garc here'!$C$2,1+(('table for research'!$B758-456)*36+HEX2DEC('table for research'!S$1))*2,2)</f>
        <v>01</v>
      </c>
      <c r="T758" t="str">
        <f>MID('paste from garc here'!$C$2,1+(('table for research'!$B758-456)*36+HEX2DEC('table for research'!T$1))*2,2)</f>
        <v>00</v>
      </c>
      <c r="U758" t="str">
        <f>MID('paste from garc here'!$C$2,1+(('table for research'!$B758-456)*36+HEX2DEC('table for research'!U$1))*2,2)</f>
        <v>BF</v>
      </c>
      <c r="V758" t="str">
        <f>MID('paste from garc here'!$C$2,1+(('table for research'!$B758-456)*36+HEX2DEC('table for research'!V$1))*2,2)</f>
        <v>00</v>
      </c>
      <c r="W758" t="str">
        <f>MID('paste from garc here'!$C$2,1+(('table for research'!$B758-456)*36+HEX2DEC('table for research'!W$1))*2,2)</f>
        <v>00</v>
      </c>
      <c r="X758" t="str">
        <f>MID('paste from garc here'!$C$2,1+(('table for research'!$B758-456)*36+HEX2DEC('table for research'!X$1))*2,2)</f>
        <v>00</v>
      </c>
      <c r="Y758" t="str">
        <f>MID('paste from garc here'!$C$2,1+(('table for research'!$B758-456)*36+HEX2DEC('table for research'!Y$1))*2,2)</f>
        <v>00</v>
      </c>
      <c r="Z758" t="str">
        <f>MID('paste from garc here'!$C$2,1+(('table for research'!$B758-456)*36+HEX2DEC('table for research'!Z$1))*2,2)</f>
        <v>00</v>
      </c>
      <c r="AA758" t="str">
        <f>MID('paste from garc here'!$C$2,1+(('table for research'!$B758-456)*36+HEX2DEC('table for research'!AA$1))*2,2)</f>
        <v>00</v>
      </c>
      <c r="AB758" t="str">
        <f>MID('paste from garc here'!$C$2,1+(('table for research'!$B758-456)*36+HEX2DEC('table for research'!AB$1))*2,2)</f>
        <v>00</v>
      </c>
      <c r="AC758" t="str">
        <f>MID('paste from garc here'!$C$2,1+(('table for research'!$B758-456)*36+HEX2DEC('table for research'!AC$1))*2,2)</f>
        <v>00</v>
      </c>
      <c r="AD758" t="str">
        <f>MID('paste from garc here'!$C$2,1+(('table for research'!$B758-456)*36+HEX2DEC('table for research'!AD$1))*2,2)</f>
        <v>00</v>
      </c>
      <c r="AE758" t="str">
        <f>MID('paste from garc here'!$C$2,1+(('table for research'!$B758-456)*36+HEX2DEC('table for research'!AE$1))*2,2)</f>
        <v>00</v>
      </c>
      <c r="AF758" t="str">
        <f>MID('paste from garc here'!$C$2,1+(('table for research'!$B758-456)*36+HEX2DEC('table for research'!AF$1))*2,2)</f>
        <v>00</v>
      </c>
      <c r="AG758" t="str">
        <f>MID('paste from garc here'!$C$2,1+(('table for research'!$B758-456)*36+HEX2DEC('table for research'!AG$1))*2,2)</f>
        <v>00</v>
      </c>
      <c r="AH758" t="str">
        <f>MID('paste from garc here'!$C$2,1+(('table for research'!$B758-456)*36+HEX2DEC('table for research'!AH$1))*2,2)</f>
        <v>00</v>
      </c>
      <c r="AI758" t="str">
        <f>MID('paste from garc here'!$C$2,1+(('table for research'!$B758-456)*36+HEX2DEC('table for research'!AI$1))*2,2)</f>
        <v>00</v>
      </c>
      <c r="AJ758" t="str">
        <f>MID('paste from garc here'!$C$2,1+(('table for research'!$B758-456)*36+HEX2DEC('table for research'!AJ$1))*2,2)</f>
        <v>00</v>
      </c>
      <c r="AK758" t="str">
        <f>MID('paste from garc here'!$C$2,1+(('table for research'!$B758-456)*36+HEX2DEC('table for research'!AK$1))*2,2)</f>
        <v>00</v>
      </c>
      <c r="AL758" t="str">
        <f>MID('paste from garc here'!$C$2,1+(('table for research'!$B758-456)*36+HEX2DEC('table for research'!AL$1))*2,2)</f>
        <v>00</v>
      </c>
      <c r="AM758" t="str">
        <f>MID('paste from garc here'!$C$2,1+(('table for research'!$B758-456)*36+HEX2DEC('table for research'!AM$1))*2,2)</f>
        <v>00</v>
      </c>
      <c r="AN758" t="str">
        <f>MID('paste from garc here'!$C$2,1+(('table for research'!$B758-456)*36+HEX2DEC('table for research'!AN$1))*2,2)</f>
        <v>00</v>
      </c>
      <c r="AO758" t="str">
        <f>MID('paste from garc here'!$C$2,1+(('table for research'!$B758-456)*36+HEX2DEC('table for research'!AO$1))*2,2)</f>
        <v>00</v>
      </c>
    </row>
    <row r="759" spans="1:41" x14ac:dyDescent="0.4">
      <c r="A759" t="s">
        <v>751</v>
      </c>
      <c r="B759">
        <f>B758+1</f>
        <v>757</v>
      </c>
      <c r="C759" t="str">
        <f>MID('paste from garc here'!$C$2,1+(('table for research'!$B759-456)*36+HEX2DEC('table for research'!C$1))*2,2)</f>
        <v>00</v>
      </c>
      <c r="D759" t="str">
        <f>MID('paste from garc here'!$C$2,1+(('table for research'!$B759-456)*36+HEX2DEC('table for research'!D$1))*2,2)</f>
        <v>00</v>
      </c>
      <c r="E759" t="str">
        <f>MID('paste from garc here'!$C$2,1+(('table for research'!$B759-456)*36+HEX2DEC('table for research'!E$1))*2,2)</f>
        <v>00</v>
      </c>
      <c r="F759" t="str">
        <f>MID('paste from garc here'!$C$2,1+(('table for research'!$B759-456)*36+HEX2DEC('table for research'!F$1))*2,2)</f>
        <v>00</v>
      </c>
      <c r="G759" t="str">
        <f>MID('paste from garc here'!$C$2,1+(('table for research'!$B759-456)*36+HEX2DEC('table for research'!G$1))*2,2)</f>
        <v>00</v>
      </c>
      <c r="H759" t="str">
        <f>MID('paste from garc here'!$C$2,1+(('table for research'!$B759-456)*36+HEX2DEC('table for research'!H$1))*2,2)</f>
        <v>00</v>
      </c>
      <c r="I759" t="str">
        <f>MID('paste from garc here'!$C$2,1+(('table for research'!$B759-456)*36+HEX2DEC('table for research'!I$1))*2,2)</f>
        <v>50</v>
      </c>
      <c r="J759" t="str">
        <f>MID('paste from garc here'!$C$2,1+(('table for research'!$B759-456)*36+HEX2DEC('table for research'!J$1))*2,2)</f>
        <v>00</v>
      </c>
      <c r="K759" t="str">
        <f>DEC2HEX(_xlfn.BITAND(HEX2DEC(MID('paste from garc here'!$C$1,1+(('table for research'!$B759-1)*36+HEX2DEC(8))*2,2)),31),2)</f>
        <v>00</v>
      </c>
      <c r="L759" t="str">
        <f>DEC2HEX(_xlfn.BITAND(HEX2DEC(MID('paste from garc here'!$C$1,1+(('table for research'!$B759-1)*36+HEX2DEC(8))*2,2)),32),2)</f>
        <v>00</v>
      </c>
      <c r="M759" t="str">
        <f>DEC2HEX(_xlfn.BITAND(HEX2DEC(MID('paste from garc here'!$C$1,1+(('table for research'!$B759-1)*36+HEX2DEC(8))*2,2)),64),2)</f>
        <v>00</v>
      </c>
      <c r="N759" t="str">
        <f>DEC2HEX(_xlfn.BITRSHIFT(_xlfn.BITAND(HEX2DEC(MID('paste from garc here'!$C$1,1+(('table for research'!$B759-1)*36+HEX2DEC(9))*2,2)&amp;MID('paste from garc here'!$C$1,1+(('table for research'!$B759-1)*36+HEX2DEC(8))*2,2)),1920),7),2)</f>
        <v>00</v>
      </c>
      <c r="O759" t="str">
        <f>DEC2HEX(_xlfn.BITRSHIFT(HEX2DEC(MID('paste from garc here'!$C$1,1+(('table for research'!$B759-1)*36+HEX2DEC(9))*2,2)&amp;MID('paste from garc here'!$C$1,1+(('table for research'!$B759-1)*36+HEX2DEC(8))*2,2)),11),2)</f>
        <v>00</v>
      </c>
      <c r="P759" t="str">
        <f>MID('paste from garc here'!$C$2,1+(('table for research'!$B759-456)*36+HEX2DEC('table for research'!P$1))*2,2)</f>
        <v>00</v>
      </c>
      <c r="Q759" t="str">
        <f>MID('paste from garc here'!$C$2,1+(('table for research'!$B759-456)*36+HEX2DEC('table for research'!Q$1))*2,2)</f>
        <v>00</v>
      </c>
      <c r="R759" t="str">
        <f>MID('paste from garc here'!$C$2,1+(('table for research'!$B759-456)*36+HEX2DEC('table for research'!R$1))*2,2)</f>
        <v>00</v>
      </c>
      <c r="S759" t="str">
        <f>MID('paste from garc here'!$C$2,1+(('table for research'!$B759-456)*36+HEX2DEC('table for research'!S$1))*2,2)</f>
        <v>01</v>
      </c>
      <c r="T759" t="str">
        <f>MID('paste from garc here'!$C$2,1+(('table for research'!$B759-456)*36+HEX2DEC('table for research'!T$1))*2,2)</f>
        <v>00</v>
      </c>
      <c r="U759" t="str">
        <f>MID('paste from garc here'!$C$2,1+(('table for research'!$B759-456)*36+HEX2DEC('table for research'!U$1))*2,2)</f>
        <v>CD</v>
      </c>
      <c r="V759" t="str">
        <f>MID('paste from garc here'!$C$2,1+(('table for research'!$B759-456)*36+HEX2DEC('table for research'!V$1))*2,2)</f>
        <v>00</v>
      </c>
      <c r="W759" t="str">
        <f>MID('paste from garc here'!$C$2,1+(('table for research'!$B759-456)*36+HEX2DEC('table for research'!W$1))*2,2)</f>
        <v>00</v>
      </c>
      <c r="X759" t="str">
        <f>MID('paste from garc here'!$C$2,1+(('table for research'!$B759-456)*36+HEX2DEC('table for research'!X$1))*2,2)</f>
        <v>00</v>
      </c>
      <c r="Y759" t="str">
        <f>MID('paste from garc here'!$C$2,1+(('table for research'!$B759-456)*36+HEX2DEC('table for research'!Y$1))*2,2)</f>
        <v>00</v>
      </c>
      <c r="Z759" t="str">
        <f>MID('paste from garc here'!$C$2,1+(('table for research'!$B759-456)*36+HEX2DEC('table for research'!Z$1))*2,2)</f>
        <v>00</v>
      </c>
      <c r="AA759" t="str">
        <f>MID('paste from garc here'!$C$2,1+(('table for research'!$B759-456)*36+HEX2DEC('table for research'!AA$1))*2,2)</f>
        <v>00</v>
      </c>
      <c r="AB759" t="str">
        <f>MID('paste from garc here'!$C$2,1+(('table for research'!$B759-456)*36+HEX2DEC('table for research'!AB$1))*2,2)</f>
        <v>00</v>
      </c>
      <c r="AC759" t="str">
        <f>MID('paste from garc here'!$C$2,1+(('table for research'!$B759-456)*36+HEX2DEC('table for research'!AC$1))*2,2)</f>
        <v>00</v>
      </c>
      <c r="AD759" t="str">
        <f>MID('paste from garc here'!$C$2,1+(('table for research'!$B759-456)*36+HEX2DEC('table for research'!AD$1))*2,2)</f>
        <v>00</v>
      </c>
      <c r="AE759" t="str">
        <f>MID('paste from garc here'!$C$2,1+(('table for research'!$B759-456)*36+HEX2DEC('table for research'!AE$1))*2,2)</f>
        <v>00</v>
      </c>
      <c r="AF759" t="str">
        <f>MID('paste from garc here'!$C$2,1+(('table for research'!$B759-456)*36+HEX2DEC('table for research'!AF$1))*2,2)</f>
        <v>00</v>
      </c>
      <c r="AG759" t="str">
        <f>MID('paste from garc here'!$C$2,1+(('table for research'!$B759-456)*36+HEX2DEC('table for research'!AG$1))*2,2)</f>
        <v>00</v>
      </c>
      <c r="AH759" t="str">
        <f>MID('paste from garc here'!$C$2,1+(('table for research'!$B759-456)*36+HEX2DEC('table for research'!AH$1))*2,2)</f>
        <v>00</v>
      </c>
      <c r="AI759" t="str">
        <f>MID('paste from garc here'!$C$2,1+(('table for research'!$B759-456)*36+HEX2DEC('table for research'!AI$1))*2,2)</f>
        <v>00</v>
      </c>
      <c r="AJ759" t="str">
        <f>MID('paste from garc here'!$C$2,1+(('table for research'!$B759-456)*36+HEX2DEC('table for research'!AJ$1))*2,2)</f>
        <v>00</v>
      </c>
      <c r="AK759" t="str">
        <f>MID('paste from garc here'!$C$2,1+(('table for research'!$B759-456)*36+HEX2DEC('table for research'!AK$1))*2,2)</f>
        <v>00</v>
      </c>
      <c r="AL759" t="str">
        <f>MID('paste from garc here'!$C$2,1+(('table for research'!$B759-456)*36+HEX2DEC('table for research'!AL$1))*2,2)</f>
        <v>00</v>
      </c>
      <c r="AM759" t="str">
        <f>MID('paste from garc here'!$C$2,1+(('table for research'!$B759-456)*36+HEX2DEC('table for research'!AM$1))*2,2)</f>
        <v>00</v>
      </c>
      <c r="AN759" t="str">
        <f>MID('paste from garc here'!$C$2,1+(('table for research'!$B759-456)*36+HEX2DEC('table for research'!AN$1))*2,2)</f>
        <v>00</v>
      </c>
      <c r="AO759" t="str">
        <f>MID('paste from garc here'!$C$2,1+(('table for research'!$B759-456)*36+HEX2DEC('table for research'!AO$1))*2,2)</f>
        <v>00</v>
      </c>
    </row>
    <row r="760" spans="1:41" x14ac:dyDescent="0.4">
      <c r="A760" t="s">
        <v>752</v>
      </c>
      <c r="B760">
        <f>B759+1</f>
        <v>758</v>
      </c>
      <c r="C760" t="str">
        <f>MID('paste from garc here'!$C$2,1+(('table for research'!$B760-456)*36+HEX2DEC('table for research'!C$1))*2,2)</f>
        <v>00</v>
      </c>
      <c r="D760" t="str">
        <f>MID('paste from garc here'!$C$2,1+(('table for research'!$B760-456)*36+HEX2DEC('table for research'!D$1))*2,2)</f>
        <v>00</v>
      </c>
      <c r="E760" t="str">
        <f>MID('paste from garc here'!$C$2,1+(('table for research'!$B760-456)*36+HEX2DEC('table for research'!E$1))*2,2)</f>
        <v>00</v>
      </c>
      <c r="F760" t="str">
        <f>MID('paste from garc here'!$C$2,1+(('table for research'!$B760-456)*36+HEX2DEC('table for research'!F$1))*2,2)</f>
        <v>00</v>
      </c>
      <c r="G760" t="str">
        <f>MID('paste from garc here'!$C$2,1+(('table for research'!$B760-456)*36+HEX2DEC('table for research'!G$1))*2,2)</f>
        <v>00</v>
      </c>
      <c r="H760" t="str">
        <f>MID('paste from garc here'!$C$2,1+(('table for research'!$B760-456)*36+HEX2DEC('table for research'!H$1))*2,2)</f>
        <v>00</v>
      </c>
      <c r="I760" t="str">
        <f>MID('paste from garc here'!$C$2,1+(('table for research'!$B760-456)*36+HEX2DEC('table for research'!I$1))*2,2)</f>
        <v>50</v>
      </c>
      <c r="J760" t="str">
        <f>MID('paste from garc here'!$C$2,1+(('table for research'!$B760-456)*36+HEX2DEC('table for research'!J$1))*2,2)</f>
        <v>00</v>
      </c>
      <c r="K760" t="str">
        <f>DEC2HEX(_xlfn.BITAND(HEX2DEC(MID('paste from garc here'!$C$1,1+(('table for research'!$B760-1)*36+HEX2DEC(8))*2,2)),31),2)</f>
        <v>00</v>
      </c>
      <c r="L760" t="str">
        <f>DEC2HEX(_xlfn.BITAND(HEX2DEC(MID('paste from garc here'!$C$1,1+(('table for research'!$B760-1)*36+HEX2DEC(8))*2,2)),32),2)</f>
        <v>00</v>
      </c>
      <c r="M760" t="str">
        <f>DEC2HEX(_xlfn.BITAND(HEX2DEC(MID('paste from garc here'!$C$1,1+(('table for research'!$B760-1)*36+HEX2DEC(8))*2,2)),64),2)</f>
        <v>00</v>
      </c>
      <c r="N760" t="str">
        <f>DEC2HEX(_xlfn.BITRSHIFT(_xlfn.BITAND(HEX2DEC(MID('paste from garc here'!$C$1,1+(('table for research'!$B760-1)*36+HEX2DEC(9))*2,2)&amp;MID('paste from garc here'!$C$1,1+(('table for research'!$B760-1)*36+HEX2DEC(8))*2,2)),1920),7),2)</f>
        <v>00</v>
      </c>
      <c r="O760" t="str">
        <f>DEC2HEX(_xlfn.BITRSHIFT(HEX2DEC(MID('paste from garc here'!$C$1,1+(('table for research'!$B760-1)*36+HEX2DEC(9))*2,2)&amp;MID('paste from garc here'!$C$1,1+(('table for research'!$B760-1)*36+HEX2DEC(8))*2,2)),11),2)</f>
        <v>00</v>
      </c>
      <c r="P760" t="str">
        <f>MID('paste from garc here'!$C$2,1+(('table for research'!$B760-456)*36+HEX2DEC('table for research'!P$1))*2,2)</f>
        <v>00</v>
      </c>
      <c r="Q760" t="str">
        <f>MID('paste from garc here'!$C$2,1+(('table for research'!$B760-456)*36+HEX2DEC('table for research'!Q$1))*2,2)</f>
        <v>00</v>
      </c>
      <c r="R760" t="str">
        <f>MID('paste from garc here'!$C$2,1+(('table for research'!$B760-456)*36+HEX2DEC('table for research'!R$1))*2,2)</f>
        <v>00</v>
      </c>
      <c r="S760" t="str">
        <f>MID('paste from garc here'!$C$2,1+(('table for research'!$B760-456)*36+HEX2DEC('table for research'!S$1))*2,2)</f>
        <v>01</v>
      </c>
      <c r="T760" t="str">
        <f>MID('paste from garc here'!$C$2,1+(('table for research'!$B760-456)*36+HEX2DEC('table for research'!T$1))*2,2)</f>
        <v>00</v>
      </c>
      <c r="U760" t="str">
        <f>MID('paste from garc here'!$C$2,1+(('table for research'!$B760-456)*36+HEX2DEC('table for research'!U$1))*2,2)</f>
        <v>E2</v>
      </c>
      <c r="V760" t="str">
        <f>MID('paste from garc here'!$C$2,1+(('table for research'!$B760-456)*36+HEX2DEC('table for research'!V$1))*2,2)</f>
        <v>00</v>
      </c>
      <c r="W760" t="str">
        <f>MID('paste from garc here'!$C$2,1+(('table for research'!$B760-456)*36+HEX2DEC('table for research'!W$1))*2,2)</f>
        <v>00</v>
      </c>
      <c r="X760" t="str">
        <f>MID('paste from garc here'!$C$2,1+(('table for research'!$B760-456)*36+HEX2DEC('table for research'!X$1))*2,2)</f>
        <v>00</v>
      </c>
      <c r="Y760" t="str">
        <f>MID('paste from garc here'!$C$2,1+(('table for research'!$B760-456)*36+HEX2DEC('table for research'!Y$1))*2,2)</f>
        <v>00</v>
      </c>
      <c r="Z760" t="str">
        <f>MID('paste from garc here'!$C$2,1+(('table for research'!$B760-456)*36+HEX2DEC('table for research'!Z$1))*2,2)</f>
        <v>00</v>
      </c>
      <c r="AA760" t="str">
        <f>MID('paste from garc here'!$C$2,1+(('table for research'!$B760-456)*36+HEX2DEC('table for research'!AA$1))*2,2)</f>
        <v>00</v>
      </c>
      <c r="AB760" t="str">
        <f>MID('paste from garc here'!$C$2,1+(('table for research'!$B760-456)*36+HEX2DEC('table for research'!AB$1))*2,2)</f>
        <v>00</v>
      </c>
      <c r="AC760" t="str">
        <f>MID('paste from garc here'!$C$2,1+(('table for research'!$B760-456)*36+HEX2DEC('table for research'!AC$1))*2,2)</f>
        <v>00</v>
      </c>
      <c r="AD760" t="str">
        <f>MID('paste from garc here'!$C$2,1+(('table for research'!$B760-456)*36+HEX2DEC('table for research'!AD$1))*2,2)</f>
        <v>00</v>
      </c>
      <c r="AE760" t="str">
        <f>MID('paste from garc here'!$C$2,1+(('table for research'!$B760-456)*36+HEX2DEC('table for research'!AE$1))*2,2)</f>
        <v>00</v>
      </c>
      <c r="AF760" t="str">
        <f>MID('paste from garc here'!$C$2,1+(('table for research'!$B760-456)*36+HEX2DEC('table for research'!AF$1))*2,2)</f>
        <v>00</v>
      </c>
      <c r="AG760" t="str">
        <f>MID('paste from garc here'!$C$2,1+(('table for research'!$B760-456)*36+HEX2DEC('table for research'!AG$1))*2,2)</f>
        <v>00</v>
      </c>
      <c r="AH760" t="str">
        <f>MID('paste from garc here'!$C$2,1+(('table for research'!$B760-456)*36+HEX2DEC('table for research'!AH$1))*2,2)</f>
        <v>00</v>
      </c>
      <c r="AI760" t="str">
        <f>MID('paste from garc here'!$C$2,1+(('table for research'!$B760-456)*36+HEX2DEC('table for research'!AI$1))*2,2)</f>
        <v>00</v>
      </c>
      <c r="AJ760" t="str">
        <f>MID('paste from garc here'!$C$2,1+(('table for research'!$B760-456)*36+HEX2DEC('table for research'!AJ$1))*2,2)</f>
        <v>00</v>
      </c>
      <c r="AK760" t="str">
        <f>MID('paste from garc here'!$C$2,1+(('table for research'!$B760-456)*36+HEX2DEC('table for research'!AK$1))*2,2)</f>
        <v>00</v>
      </c>
      <c r="AL760" t="str">
        <f>MID('paste from garc here'!$C$2,1+(('table for research'!$B760-456)*36+HEX2DEC('table for research'!AL$1))*2,2)</f>
        <v>00</v>
      </c>
      <c r="AM760" t="str">
        <f>MID('paste from garc here'!$C$2,1+(('table for research'!$B760-456)*36+HEX2DEC('table for research'!AM$1))*2,2)</f>
        <v>00</v>
      </c>
      <c r="AN760" t="str">
        <f>MID('paste from garc here'!$C$2,1+(('table for research'!$B760-456)*36+HEX2DEC('table for research'!AN$1))*2,2)</f>
        <v>00</v>
      </c>
      <c r="AO760" t="str">
        <f>MID('paste from garc here'!$C$2,1+(('table for research'!$B760-456)*36+HEX2DEC('table for research'!AO$1))*2,2)</f>
        <v>00</v>
      </c>
    </row>
    <row r="761" spans="1:41" x14ac:dyDescent="0.4">
      <c r="A761" t="s">
        <v>753</v>
      </c>
      <c r="B761">
        <f>B760+1</f>
        <v>759</v>
      </c>
      <c r="C761" t="str">
        <f>MID('paste from garc here'!$C$2,1+(('table for research'!$B761-456)*36+HEX2DEC('table for research'!C$1))*2,2)</f>
        <v>00</v>
      </c>
      <c r="D761" t="str">
        <f>MID('paste from garc here'!$C$2,1+(('table for research'!$B761-456)*36+HEX2DEC('table for research'!D$1))*2,2)</f>
        <v>00</v>
      </c>
      <c r="E761" t="str">
        <f>MID('paste from garc here'!$C$2,1+(('table for research'!$B761-456)*36+HEX2DEC('table for research'!E$1))*2,2)</f>
        <v>00</v>
      </c>
      <c r="F761" t="str">
        <f>MID('paste from garc here'!$C$2,1+(('table for research'!$B761-456)*36+HEX2DEC('table for research'!F$1))*2,2)</f>
        <v>00</v>
      </c>
      <c r="G761" t="str">
        <f>MID('paste from garc here'!$C$2,1+(('table for research'!$B761-456)*36+HEX2DEC('table for research'!G$1))*2,2)</f>
        <v>00</v>
      </c>
      <c r="H761" t="str">
        <f>MID('paste from garc here'!$C$2,1+(('table for research'!$B761-456)*36+HEX2DEC('table for research'!H$1))*2,2)</f>
        <v>00</v>
      </c>
      <c r="I761" t="str">
        <f>MID('paste from garc here'!$C$2,1+(('table for research'!$B761-456)*36+HEX2DEC('table for research'!I$1))*2,2)</f>
        <v>50</v>
      </c>
      <c r="J761" t="str">
        <f>MID('paste from garc here'!$C$2,1+(('table for research'!$B761-456)*36+HEX2DEC('table for research'!J$1))*2,2)</f>
        <v>00</v>
      </c>
      <c r="K761" t="str">
        <f>DEC2HEX(_xlfn.BITAND(HEX2DEC(MID('paste from garc here'!$C$1,1+(('table for research'!$B761-1)*36+HEX2DEC(8))*2,2)),31),2)</f>
        <v>00</v>
      </c>
      <c r="L761" t="str">
        <f>DEC2HEX(_xlfn.BITAND(HEX2DEC(MID('paste from garc here'!$C$1,1+(('table for research'!$B761-1)*36+HEX2DEC(8))*2,2)),32),2)</f>
        <v>00</v>
      </c>
      <c r="M761" t="str">
        <f>DEC2HEX(_xlfn.BITAND(HEX2DEC(MID('paste from garc here'!$C$1,1+(('table for research'!$B761-1)*36+HEX2DEC(8))*2,2)),64),2)</f>
        <v>00</v>
      </c>
      <c r="N761" t="str">
        <f>DEC2HEX(_xlfn.BITRSHIFT(_xlfn.BITAND(HEX2DEC(MID('paste from garc here'!$C$1,1+(('table for research'!$B761-1)*36+HEX2DEC(9))*2,2)&amp;MID('paste from garc here'!$C$1,1+(('table for research'!$B761-1)*36+HEX2DEC(8))*2,2)),1920),7),2)</f>
        <v>00</v>
      </c>
      <c r="O761" t="str">
        <f>DEC2HEX(_xlfn.BITRSHIFT(HEX2DEC(MID('paste from garc here'!$C$1,1+(('table for research'!$B761-1)*36+HEX2DEC(9))*2,2)&amp;MID('paste from garc here'!$C$1,1+(('table for research'!$B761-1)*36+HEX2DEC(8))*2,2)),11),2)</f>
        <v>00</v>
      </c>
      <c r="P761" t="str">
        <f>MID('paste from garc here'!$C$2,1+(('table for research'!$B761-456)*36+HEX2DEC('table for research'!P$1))*2,2)</f>
        <v>00</v>
      </c>
      <c r="Q761" t="str">
        <f>MID('paste from garc here'!$C$2,1+(('table for research'!$B761-456)*36+HEX2DEC('table for research'!Q$1))*2,2)</f>
        <v>00</v>
      </c>
      <c r="R761" t="str">
        <f>MID('paste from garc here'!$C$2,1+(('table for research'!$B761-456)*36+HEX2DEC('table for research'!R$1))*2,2)</f>
        <v>00</v>
      </c>
      <c r="S761" t="str">
        <f>MID('paste from garc here'!$C$2,1+(('table for research'!$B761-456)*36+HEX2DEC('table for research'!S$1))*2,2)</f>
        <v>01</v>
      </c>
      <c r="T761" t="str">
        <f>MID('paste from garc here'!$C$2,1+(('table for research'!$B761-456)*36+HEX2DEC('table for research'!T$1))*2,2)</f>
        <v>00</v>
      </c>
      <c r="U761" t="str">
        <f>MID('paste from garc here'!$C$2,1+(('table for research'!$B761-456)*36+HEX2DEC('table for research'!U$1))*2,2)</f>
        <v>C9</v>
      </c>
      <c r="V761" t="str">
        <f>MID('paste from garc here'!$C$2,1+(('table for research'!$B761-456)*36+HEX2DEC('table for research'!V$1))*2,2)</f>
        <v>00</v>
      </c>
      <c r="W761" t="str">
        <f>MID('paste from garc here'!$C$2,1+(('table for research'!$B761-456)*36+HEX2DEC('table for research'!W$1))*2,2)</f>
        <v>00</v>
      </c>
      <c r="X761" t="str">
        <f>MID('paste from garc here'!$C$2,1+(('table for research'!$B761-456)*36+HEX2DEC('table for research'!X$1))*2,2)</f>
        <v>00</v>
      </c>
      <c r="Y761" t="str">
        <f>MID('paste from garc here'!$C$2,1+(('table for research'!$B761-456)*36+HEX2DEC('table for research'!Y$1))*2,2)</f>
        <v>00</v>
      </c>
      <c r="Z761" t="str">
        <f>MID('paste from garc here'!$C$2,1+(('table for research'!$B761-456)*36+HEX2DEC('table for research'!Z$1))*2,2)</f>
        <v>00</v>
      </c>
      <c r="AA761" t="str">
        <f>MID('paste from garc here'!$C$2,1+(('table for research'!$B761-456)*36+HEX2DEC('table for research'!AA$1))*2,2)</f>
        <v>00</v>
      </c>
      <c r="AB761" t="str">
        <f>MID('paste from garc here'!$C$2,1+(('table for research'!$B761-456)*36+HEX2DEC('table for research'!AB$1))*2,2)</f>
        <v>00</v>
      </c>
      <c r="AC761" t="str">
        <f>MID('paste from garc here'!$C$2,1+(('table for research'!$B761-456)*36+HEX2DEC('table for research'!AC$1))*2,2)</f>
        <v>00</v>
      </c>
      <c r="AD761" t="str">
        <f>MID('paste from garc here'!$C$2,1+(('table for research'!$B761-456)*36+HEX2DEC('table for research'!AD$1))*2,2)</f>
        <v>00</v>
      </c>
      <c r="AE761" t="str">
        <f>MID('paste from garc here'!$C$2,1+(('table for research'!$B761-456)*36+HEX2DEC('table for research'!AE$1))*2,2)</f>
        <v>00</v>
      </c>
      <c r="AF761" t="str">
        <f>MID('paste from garc here'!$C$2,1+(('table for research'!$B761-456)*36+HEX2DEC('table for research'!AF$1))*2,2)</f>
        <v>00</v>
      </c>
      <c r="AG761" t="str">
        <f>MID('paste from garc here'!$C$2,1+(('table for research'!$B761-456)*36+HEX2DEC('table for research'!AG$1))*2,2)</f>
        <v>00</v>
      </c>
      <c r="AH761" t="str">
        <f>MID('paste from garc here'!$C$2,1+(('table for research'!$B761-456)*36+HEX2DEC('table for research'!AH$1))*2,2)</f>
        <v>00</v>
      </c>
      <c r="AI761" t="str">
        <f>MID('paste from garc here'!$C$2,1+(('table for research'!$B761-456)*36+HEX2DEC('table for research'!AI$1))*2,2)</f>
        <v>00</v>
      </c>
      <c r="AJ761" t="str">
        <f>MID('paste from garc here'!$C$2,1+(('table for research'!$B761-456)*36+HEX2DEC('table for research'!AJ$1))*2,2)</f>
        <v>00</v>
      </c>
      <c r="AK761" t="str">
        <f>MID('paste from garc here'!$C$2,1+(('table for research'!$B761-456)*36+HEX2DEC('table for research'!AK$1))*2,2)</f>
        <v>00</v>
      </c>
      <c r="AL761" t="str">
        <f>MID('paste from garc here'!$C$2,1+(('table for research'!$B761-456)*36+HEX2DEC('table for research'!AL$1))*2,2)</f>
        <v>00</v>
      </c>
      <c r="AM761" t="str">
        <f>MID('paste from garc here'!$C$2,1+(('table for research'!$B761-456)*36+HEX2DEC('table for research'!AM$1))*2,2)</f>
        <v>00</v>
      </c>
      <c r="AN761" t="str">
        <f>MID('paste from garc here'!$C$2,1+(('table for research'!$B761-456)*36+HEX2DEC('table for research'!AN$1))*2,2)</f>
        <v>00</v>
      </c>
      <c r="AO761" t="str">
        <f>MID('paste from garc here'!$C$2,1+(('table for research'!$B761-456)*36+HEX2DEC('table for research'!AO$1))*2,2)</f>
        <v>00</v>
      </c>
    </row>
    <row r="762" spans="1:41" x14ac:dyDescent="0.4">
      <c r="A762" t="s">
        <v>754</v>
      </c>
      <c r="B762">
        <f>B761+1</f>
        <v>760</v>
      </c>
      <c r="C762" t="str">
        <f>MID('paste from garc here'!$C$2,1+(('table for research'!$B762-456)*36+HEX2DEC('table for research'!C$1))*2,2)</f>
        <v>00</v>
      </c>
      <c r="D762" t="str">
        <f>MID('paste from garc here'!$C$2,1+(('table for research'!$B762-456)*36+HEX2DEC('table for research'!D$1))*2,2)</f>
        <v>00</v>
      </c>
      <c r="E762" t="str">
        <f>MID('paste from garc here'!$C$2,1+(('table for research'!$B762-456)*36+HEX2DEC('table for research'!E$1))*2,2)</f>
        <v>00</v>
      </c>
      <c r="F762" t="str">
        <f>MID('paste from garc here'!$C$2,1+(('table for research'!$B762-456)*36+HEX2DEC('table for research'!F$1))*2,2)</f>
        <v>00</v>
      </c>
      <c r="G762" t="str">
        <f>MID('paste from garc here'!$C$2,1+(('table for research'!$B762-456)*36+HEX2DEC('table for research'!G$1))*2,2)</f>
        <v>00</v>
      </c>
      <c r="H762" t="str">
        <f>MID('paste from garc here'!$C$2,1+(('table for research'!$B762-456)*36+HEX2DEC('table for research'!H$1))*2,2)</f>
        <v>00</v>
      </c>
      <c r="I762" t="str">
        <f>MID('paste from garc here'!$C$2,1+(('table for research'!$B762-456)*36+HEX2DEC('table for research'!I$1))*2,2)</f>
        <v>50</v>
      </c>
      <c r="J762" t="str">
        <f>MID('paste from garc here'!$C$2,1+(('table for research'!$B762-456)*36+HEX2DEC('table for research'!J$1))*2,2)</f>
        <v>00</v>
      </c>
      <c r="K762" t="str">
        <f>DEC2HEX(_xlfn.BITAND(HEX2DEC(MID('paste from garc here'!$C$1,1+(('table for research'!$B762-1)*36+HEX2DEC(8))*2,2)),31),2)</f>
        <v>00</v>
      </c>
      <c r="L762" t="str">
        <f>DEC2HEX(_xlfn.BITAND(HEX2DEC(MID('paste from garc here'!$C$1,1+(('table for research'!$B762-1)*36+HEX2DEC(8))*2,2)),32),2)</f>
        <v>00</v>
      </c>
      <c r="M762" t="str">
        <f>DEC2HEX(_xlfn.BITAND(HEX2DEC(MID('paste from garc here'!$C$1,1+(('table for research'!$B762-1)*36+HEX2DEC(8))*2,2)),64),2)</f>
        <v>00</v>
      </c>
      <c r="N762" t="str">
        <f>DEC2HEX(_xlfn.BITRSHIFT(_xlfn.BITAND(HEX2DEC(MID('paste from garc here'!$C$1,1+(('table for research'!$B762-1)*36+HEX2DEC(9))*2,2)&amp;MID('paste from garc here'!$C$1,1+(('table for research'!$B762-1)*36+HEX2DEC(8))*2,2)),1920),7),2)</f>
        <v>00</v>
      </c>
      <c r="O762" t="str">
        <f>DEC2HEX(_xlfn.BITRSHIFT(HEX2DEC(MID('paste from garc here'!$C$1,1+(('table for research'!$B762-1)*36+HEX2DEC(9))*2,2)&amp;MID('paste from garc here'!$C$1,1+(('table for research'!$B762-1)*36+HEX2DEC(8))*2,2)),11),2)</f>
        <v>00</v>
      </c>
      <c r="P762" t="str">
        <f>MID('paste from garc here'!$C$2,1+(('table for research'!$B762-456)*36+HEX2DEC('table for research'!P$1))*2,2)</f>
        <v>00</v>
      </c>
      <c r="Q762" t="str">
        <f>MID('paste from garc here'!$C$2,1+(('table for research'!$B762-456)*36+HEX2DEC('table for research'!Q$1))*2,2)</f>
        <v>00</v>
      </c>
      <c r="R762" t="str">
        <f>MID('paste from garc here'!$C$2,1+(('table for research'!$B762-456)*36+HEX2DEC('table for research'!R$1))*2,2)</f>
        <v>00</v>
      </c>
      <c r="S762" t="str">
        <f>MID('paste from garc here'!$C$2,1+(('table for research'!$B762-456)*36+HEX2DEC('table for research'!S$1))*2,2)</f>
        <v>01</v>
      </c>
      <c r="T762" t="str">
        <f>MID('paste from garc here'!$C$2,1+(('table for research'!$B762-456)*36+HEX2DEC('table for research'!T$1))*2,2)</f>
        <v>00</v>
      </c>
      <c r="U762" t="str">
        <f>MID('paste from garc here'!$C$2,1+(('table for research'!$B762-456)*36+HEX2DEC('table for research'!U$1))*2,2)</f>
        <v>E3</v>
      </c>
      <c r="V762" t="str">
        <f>MID('paste from garc here'!$C$2,1+(('table for research'!$B762-456)*36+HEX2DEC('table for research'!V$1))*2,2)</f>
        <v>00</v>
      </c>
      <c r="W762" t="str">
        <f>MID('paste from garc here'!$C$2,1+(('table for research'!$B762-456)*36+HEX2DEC('table for research'!W$1))*2,2)</f>
        <v>00</v>
      </c>
      <c r="X762" t="str">
        <f>MID('paste from garc here'!$C$2,1+(('table for research'!$B762-456)*36+HEX2DEC('table for research'!X$1))*2,2)</f>
        <v>00</v>
      </c>
      <c r="Y762" t="str">
        <f>MID('paste from garc here'!$C$2,1+(('table for research'!$B762-456)*36+HEX2DEC('table for research'!Y$1))*2,2)</f>
        <v>00</v>
      </c>
      <c r="Z762" t="str">
        <f>MID('paste from garc here'!$C$2,1+(('table for research'!$B762-456)*36+HEX2DEC('table for research'!Z$1))*2,2)</f>
        <v>00</v>
      </c>
      <c r="AA762" t="str">
        <f>MID('paste from garc here'!$C$2,1+(('table for research'!$B762-456)*36+HEX2DEC('table for research'!AA$1))*2,2)</f>
        <v>00</v>
      </c>
      <c r="AB762" t="str">
        <f>MID('paste from garc here'!$C$2,1+(('table for research'!$B762-456)*36+HEX2DEC('table for research'!AB$1))*2,2)</f>
        <v>00</v>
      </c>
      <c r="AC762" t="str">
        <f>MID('paste from garc here'!$C$2,1+(('table for research'!$B762-456)*36+HEX2DEC('table for research'!AC$1))*2,2)</f>
        <v>00</v>
      </c>
      <c r="AD762" t="str">
        <f>MID('paste from garc here'!$C$2,1+(('table for research'!$B762-456)*36+HEX2DEC('table for research'!AD$1))*2,2)</f>
        <v>00</v>
      </c>
      <c r="AE762" t="str">
        <f>MID('paste from garc here'!$C$2,1+(('table for research'!$B762-456)*36+HEX2DEC('table for research'!AE$1))*2,2)</f>
        <v>00</v>
      </c>
      <c r="AF762" t="str">
        <f>MID('paste from garc here'!$C$2,1+(('table for research'!$B762-456)*36+HEX2DEC('table for research'!AF$1))*2,2)</f>
        <v>00</v>
      </c>
      <c r="AG762" t="str">
        <f>MID('paste from garc here'!$C$2,1+(('table for research'!$B762-456)*36+HEX2DEC('table for research'!AG$1))*2,2)</f>
        <v>00</v>
      </c>
      <c r="AH762" t="str">
        <f>MID('paste from garc here'!$C$2,1+(('table for research'!$B762-456)*36+HEX2DEC('table for research'!AH$1))*2,2)</f>
        <v>00</v>
      </c>
      <c r="AI762" t="str">
        <f>MID('paste from garc here'!$C$2,1+(('table for research'!$B762-456)*36+HEX2DEC('table for research'!AI$1))*2,2)</f>
        <v>00</v>
      </c>
      <c r="AJ762" t="str">
        <f>MID('paste from garc here'!$C$2,1+(('table for research'!$B762-456)*36+HEX2DEC('table for research'!AJ$1))*2,2)</f>
        <v>00</v>
      </c>
      <c r="AK762" t="str">
        <f>MID('paste from garc here'!$C$2,1+(('table for research'!$B762-456)*36+HEX2DEC('table for research'!AK$1))*2,2)</f>
        <v>00</v>
      </c>
      <c r="AL762" t="str">
        <f>MID('paste from garc here'!$C$2,1+(('table for research'!$B762-456)*36+HEX2DEC('table for research'!AL$1))*2,2)</f>
        <v>00</v>
      </c>
      <c r="AM762" t="str">
        <f>MID('paste from garc here'!$C$2,1+(('table for research'!$B762-456)*36+HEX2DEC('table for research'!AM$1))*2,2)</f>
        <v>00</v>
      </c>
      <c r="AN762" t="str">
        <f>MID('paste from garc here'!$C$2,1+(('table for research'!$B762-456)*36+HEX2DEC('table for research'!AN$1))*2,2)</f>
        <v>00</v>
      </c>
      <c r="AO762" t="str">
        <f>MID('paste from garc here'!$C$2,1+(('table for research'!$B762-456)*36+HEX2DEC('table for research'!AO$1))*2,2)</f>
        <v>00</v>
      </c>
    </row>
    <row r="763" spans="1:41" x14ac:dyDescent="0.4">
      <c r="A763" t="s">
        <v>755</v>
      </c>
      <c r="B763">
        <f>B762+1</f>
        <v>761</v>
      </c>
      <c r="C763" t="str">
        <f>MID('paste from garc here'!$C$2,1+(('table for research'!$B763-456)*36+HEX2DEC('table for research'!C$1))*2,2)</f>
        <v>00</v>
      </c>
      <c r="D763" t="str">
        <f>MID('paste from garc here'!$C$2,1+(('table for research'!$B763-456)*36+HEX2DEC('table for research'!D$1))*2,2)</f>
        <v>00</v>
      </c>
      <c r="E763" t="str">
        <f>MID('paste from garc here'!$C$2,1+(('table for research'!$B763-456)*36+HEX2DEC('table for research'!E$1))*2,2)</f>
        <v>00</v>
      </c>
      <c r="F763" t="str">
        <f>MID('paste from garc here'!$C$2,1+(('table for research'!$B763-456)*36+HEX2DEC('table for research'!F$1))*2,2)</f>
        <v>00</v>
      </c>
      <c r="G763" t="str">
        <f>MID('paste from garc here'!$C$2,1+(('table for research'!$B763-456)*36+HEX2DEC('table for research'!G$1))*2,2)</f>
        <v>00</v>
      </c>
      <c r="H763" t="str">
        <f>MID('paste from garc here'!$C$2,1+(('table for research'!$B763-456)*36+HEX2DEC('table for research'!H$1))*2,2)</f>
        <v>00</v>
      </c>
      <c r="I763" t="str">
        <f>MID('paste from garc here'!$C$2,1+(('table for research'!$B763-456)*36+HEX2DEC('table for research'!I$1))*2,2)</f>
        <v>50</v>
      </c>
      <c r="J763" t="str">
        <f>MID('paste from garc here'!$C$2,1+(('table for research'!$B763-456)*36+HEX2DEC('table for research'!J$1))*2,2)</f>
        <v>00</v>
      </c>
      <c r="K763" t="str">
        <f>DEC2HEX(_xlfn.BITAND(HEX2DEC(MID('paste from garc here'!$C$1,1+(('table for research'!$B763-1)*36+HEX2DEC(8))*2,2)),31),2)</f>
        <v>00</v>
      </c>
      <c r="L763" t="str">
        <f>DEC2HEX(_xlfn.BITAND(HEX2DEC(MID('paste from garc here'!$C$1,1+(('table for research'!$B763-1)*36+HEX2DEC(8))*2,2)),32),2)</f>
        <v>00</v>
      </c>
      <c r="M763" t="str">
        <f>DEC2HEX(_xlfn.BITAND(HEX2DEC(MID('paste from garc here'!$C$1,1+(('table for research'!$B763-1)*36+HEX2DEC(8))*2,2)),64),2)</f>
        <v>00</v>
      </c>
      <c r="N763" t="str">
        <f>DEC2HEX(_xlfn.BITRSHIFT(_xlfn.BITAND(HEX2DEC(MID('paste from garc here'!$C$1,1+(('table for research'!$B763-1)*36+HEX2DEC(9))*2,2)&amp;MID('paste from garc here'!$C$1,1+(('table for research'!$B763-1)*36+HEX2DEC(8))*2,2)),1920),7),2)</f>
        <v>00</v>
      </c>
      <c r="O763" t="str">
        <f>DEC2HEX(_xlfn.BITRSHIFT(HEX2DEC(MID('paste from garc here'!$C$1,1+(('table for research'!$B763-1)*36+HEX2DEC(9))*2,2)&amp;MID('paste from garc here'!$C$1,1+(('table for research'!$B763-1)*36+HEX2DEC(8))*2,2)),11),2)</f>
        <v>00</v>
      </c>
      <c r="P763" t="str">
        <f>MID('paste from garc here'!$C$2,1+(('table for research'!$B763-456)*36+HEX2DEC('table for research'!P$1))*2,2)</f>
        <v>00</v>
      </c>
      <c r="Q763" t="str">
        <f>MID('paste from garc here'!$C$2,1+(('table for research'!$B763-456)*36+HEX2DEC('table for research'!Q$1))*2,2)</f>
        <v>00</v>
      </c>
      <c r="R763" t="str">
        <f>MID('paste from garc here'!$C$2,1+(('table for research'!$B763-456)*36+HEX2DEC('table for research'!R$1))*2,2)</f>
        <v>00</v>
      </c>
      <c r="S763" t="str">
        <f>MID('paste from garc here'!$C$2,1+(('table for research'!$B763-456)*36+HEX2DEC('table for research'!S$1))*2,2)</f>
        <v>01</v>
      </c>
      <c r="T763" t="str">
        <f>MID('paste from garc here'!$C$2,1+(('table for research'!$B763-456)*36+HEX2DEC('table for research'!T$1))*2,2)</f>
        <v>00</v>
      </c>
      <c r="U763" t="str">
        <f>MID('paste from garc here'!$C$2,1+(('table for research'!$B763-456)*36+HEX2DEC('table for research'!U$1))*2,2)</f>
        <v>D2</v>
      </c>
      <c r="V763" t="str">
        <f>MID('paste from garc here'!$C$2,1+(('table for research'!$B763-456)*36+HEX2DEC('table for research'!V$1))*2,2)</f>
        <v>00</v>
      </c>
      <c r="W763" t="str">
        <f>MID('paste from garc here'!$C$2,1+(('table for research'!$B763-456)*36+HEX2DEC('table for research'!W$1))*2,2)</f>
        <v>00</v>
      </c>
      <c r="X763" t="str">
        <f>MID('paste from garc here'!$C$2,1+(('table for research'!$B763-456)*36+HEX2DEC('table for research'!X$1))*2,2)</f>
        <v>00</v>
      </c>
      <c r="Y763" t="str">
        <f>MID('paste from garc here'!$C$2,1+(('table for research'!$B763-456)*36+HEX2DEC('table for research'!Y$1))*2,2)</f>
        <v>00</v>
      </c>
      <c r="Z763" t="str">
        <f>MID('paste from garc here'!$C$2,1+(('table for research'!$B763-456)*36+HEX2DEC('table for research'!Z$1))*2,2)</f>
        <v>00</v>
      </c>
      <c r="AA763" t="str">
        <f>MID('paste from garc here'!$C$2,1+(('table for research'!$B763-456)*36+HEX2DEC('table for research'!AA$1))*2,2)</f>
        <v>00</v>
      </c>
      <c r="AB763" t="str">
        <f>MID('paste from garc here'!$C$2,1+(('table for research'!$B763-456)*36+HEX2DEC('table for research'!AB$1))*2,2)</f>
        <v>00</v>
      </c>
      <c r="AC763" t="str">
        <f>MID('paste from garc here'!$C$2,1+(('table for research'!$B763-456)*36+HEX2DEC('table for research'!AC$1))*2,2)</f>
        <v>00</v>
      </c>
      <c r="AD763" t="str">
        <f>MID('paste from garc here'!$C$2,1+(('table for research'!$B763-456)*36+HEX2DEC('table for research'!AD$1))*2,2)</f>
        <v>00</v>
      </c>
      <c r="AE763" t="str">
        <f>MID('paste from garc here'!$C$2,1+(('table for research'!$B763-456)*36+HEX2DEC('table for research'!AE$1))*2,2)</f>
        <v>00</v>
      </c>
      <c r="AF763" t="str">
        <f>MID('paste from garc here'!$C$2,1+(('table for research'!$B763-456)*36+HEX2DEC('table for research'!AF$1))*2,2)</f>
        <v>00</v>
      </c>
      <c r="AG763" t="str">
        <f>MID('paste from garc here'!$C$2,1+(('table for research'!$B763-456)*36+HEX2DEC('table for research'!AG$1))*2,2)</f>
        <v>00</v>
      </c>
      <c r="AH763" t="str">
        <f>MID('paste from garc here'!$C$2,1+(('table for research'!$B763-456)*36+HEX2DEC('table for research'!AH$1))*2,2)</f>
        <v>00</v>
      </c>
      <c r="AI763" t="str">
        <f>MID('paste from garc here'!$C$2,1+(('table for research'!$B763-456)*36+HEX2DEC('table for research'!AI$1))*2,2)</f>
        <v>00</v>
      </c>
      <c r="AJ763" t="str">
        <f>MID('paste from garc here'!$C$2,1+(('table for research'!$B763-456)*36+HEX2DEC('table for research'!AJ$1))*2,2)</f>
        <v>00</v>
      </c>
      <c r="AK763" t="str">
        <f>MID('paste from garc here'!$C$2,1+(('table for research'!$B763-456)*36+HEX2DEC('table for research'!AK$1))*2,2)</f>
        <v>00</v>
      </c>
      <c r="AL763" t="str">
        <f>MID('paste from garc here'!$C$2,1+(('table for research'!$B763-456)*36+HEX2DEC('table for research'!AL$1))*2,2)</f>
        <v>00</v>
      </c>
      <c r="AM763" t="str">
        <f>MID('paste from garc here'!$C$2,1+(('table for research'!$B763-456)*36+HEX2DEC('table for research'!AM$1))*2,2)</f>
        <v>00</v>
      </c>
      <c r="AN763" t="str">
        <f>MID('paste from garc here'!$C$2,1+(('table for research'!$B763-456)*36+HEX2DEC('table for research'!AN$1))*2,2)</f>
        <v>00</v>
      </c>
      <c r="AO763" t="str">
        <f>MID('paste from garc here'!$C$2,1+(('table for research'!$B763-456)*36+HEX2DEC('table for research'!AO$1))*2,2)</f>
        <v>00</v>
      </c>
    </row>
    <row r="764" spans="1:41" x14ac:dyDescent="0.4">
      <c r="A764" t="s">
        <v>756</v>
      </c>
      <c r="B764">
        <f>B763+1</f>
        <v>762</v>
      </c>
      <c r="C764" t="str">
        <f>MID('paste from garc here'!$C$2,1+(('table for research'!$B764-456)*36+HEX2DEC('table for research'!C$1))*2,2)</f>
        <v>00</v>
      </c>
      <c r="D764" t="str">
        <f>MID('paste from garc here'!$C$2,1+(('table for research'!$B764-456)*36+HEX2DEC('table for research'!D$1))*2,2)</f>
        <v>00</v>
      </c>
      <c r="E764" t="str">
        <f>MID('paste from garc here'!$C$2,1+(('table for research'!$B764-456)*36+HEX2DEC('table for research'!E$1))*2,2)</f>
        <v>00</v>
      </c>
      <c r="F764" t="str">
        <f>MID('paste from garc here'!$C$2,1+(('table for research'!$B764-456)*36+HEX2DEC('table for research'!F$1))*2,2)</f>
        <v>00</v>
      </c>
      <c r="G764" t="str">
        <f>MID('paste from garc here'!$C$2,1+(('table for research'!$B764-456)*36+HEX2DEC('table for research'!G$1))*2,2)</f>
        <v>00</v>
      </c>
      <c r="H764" t="str">
        <f>MID('paste from garc here'!$C$2,1+(('table for research'!$B764-456)*36+HEX2DEC('table for research'!H$1))*2,2)</f>
        <v>00</v>
      </c>
      <c r="I764" t="str">
        <f>MID('paste from garc here'!$C$2,1+(('table for research'!$B764-456)*36+HEX2DEC('table for research'!I$1))*2,2)</f>
        <v>50</v>
      </c>
      <c r="J764" t="str">
        <f>MID('paste from garc here'!$C$2,1+(('table for research'!$B764-456)*36+HEX2DEC('table for research'!J$1))*2,2)</f>
        <v>00</v>
      </c>
      <c r="K764" t="str">
        <f>DEC2HEX(_xlfn.BITAND(HEX2DEC(MID('paste from garc here'!$C$1,1+(('table for research'!$B764-1)*36+HEX2DEC(8))*2,2)),31),2)</f>
        <v>00</v>
      </c>
      <c r="L764" t="str">
        <f>DEC2HEX(_xlfn.BITAND(HEX2DEC(MID('paste from garc here'!$C$1,1+(('table for research'!$B764-1)*36+HEX2DEC(8))*2,2)),32),2)</f>
        <v>00</v>
      </c>
      <c r="M764" t="str">
        <f>DEC2HEX(_xlfn.BITAND(HEX2DEC(MID('paste from garc here'!$C$1,1+(('table for research'!$B764-1)*36+HEX2DEC(8))*2,2)),64),2)</f>
        <v>00</v>
      </c>
      <c r="N764" t="str">
        <f>DEC2HEX(_xlfn.BITRSHIFT(_xlfn.BITAND(HEX2DEC(MID('paste from garc here'!$C$1,1+(('table for research'!$B764-1)*36+HEX2DEC(9))*2,2)&amp;MID('paste from garc here'!$C$1,1+(('table for research'!$B764-1)*36+HEX2DEC(8))*2,2)),1920),7),2)</f>
        <v>00</v>
      </c>
      <c r="O764" t="str">
        <f>DEC2HEX(_xlfn.BITRSHIFT(HEX2DEC(MID('paste from garc here'!$C$1,1+(('table for research'!$B764-1)*36+HEX2DEC(9))*2,2)&amp;MID('paste from garc here'!$C$1,1+(('table for research'!$B764-1)*36+HEX2DEC(8))*2,2)),11),2)</f>
        <v>00</v>
      </c>
      <c r="P764" t="str">
        <f>MID('paste from garc here'!$C$2,1+(('table for research'!$B764-456)*36+HEX2DEC('table for research'!P$1))*2,2)</f>
        <v>00</v>
      </c>
      <c r="Q764" t="str">
        <f>MID('paste from garc here'!$C$2,1+(('table for research'!$B764-456)*36+HEX2DEC('table for research'!Q$1))*2,2)</f>
        <v>00</v>
      </c>
      <c r="R764" t="str">
        <f>MID('paste from garc here'!$C$2,1+(('table for research'!$B764-456)*36+HEX2DEC('table for research'!R$1))*2,2)</f>
        <v>00</v>
      </c>
      <c r="S764" t="str">
        <f>MID('paste from garc here'!$C$2,1+(('table for research'!$B764-456)*36+HEX2DEC('table for research'!S$1))*2,2)</f>
        <v>01</v>
      </c>
      <c r="T764" t="str">
        <f>MID('paste from garc here'!$C$2,1+(('table for research'!$B764-456)*36+HEX2DEC('table for research'!T$1))*2,2)</f>
        <v>00</v>
      </c>
      <c r="U764" t="str">
        <f>MID('paste from garc here'!$C$2,1+(('table for research'!$B764-456)*36+HEX2DEC('table for research'!U$1))*2,2)</f>
        <v>D7</v>
      </c>
      <c r="V764" t="str">
        <f>MID('paste from garc here'!$C$2,1+(('table for research'!$B764-456)*36+HEX2DEC('table for research'!V$1))*2,2)</f>
        <v>00</v>
      </c>
      <c r="W764" t="str">
        <f>MID('paste from garc here'!$C$2,1+(('table for research'!$B764-456)*36+HEX2DEC('table for research'!W$1))*2,2)</f>
        <v>00</v>
      </c>
      <c r="X764" t="str">
        <f>MID('paste from garc here'!$C$2,1+(('table for research'!$B764-456)*36+HEX2DEC('table for research'!X$1))*2,2)</f>
        <v>00</v>
      </c>
      <c r="Y764" t="str">
        <f>MID('paste from garc here'!$C$2,1+(('table for research'!$B764-456)*36+HEX2DEC('table for research'!Y$1))*2,2)</f>
        <v>00</v>
      </c>
      <c r="Z764" t="str">
        <f>MID('paste from garc here'!$C$2,1+(('table for research'!$B764-456)*36+HEX2DEC('table for research'!Z$1))*2,2)</f>
        <v>00</v>
      </c>
      <c r="AA764" t="str">
        <f>MID('paste from garc here'!$C$2,1+(('table for research'!$B764-456)*36+HEX2DEC('table for research'!AA$1))*2,2)</f>
        <v>00</v>
      </c>
      <c r="AB764" t="str">
        <f>MID('paste from garc here'!$C$2,1+(('table for research'!$B764-456)*36+HEX2DEC('table for research'!AB$1))*2,2)</f>
        <v>00</v>
      </c>
      <c r="AC764" t="str">
        <f>MID('paste from garc here'!$C$2,1+(('table for research'!$B764-456)*36+HEX2DEC('table for research'!AC$1))*2,2)</f>
        <v>00</v>
      </c>
      <c r="AD764" t="str">
        <f>MID('paste from garc here'!$C$2,1+(('table for research'!$B764-456)*36+HEX2DEC('table for research'!AD$1))*2,2)</f>
        <v>00</v>
      </c>
      <c r="AE764" t="str">
        <f>MID('paste from garc here'!$C$2,1+(('table for research'!$B764-456)*36+HEX2DEC('table for research'!AE$1))*2,2)</f>
        <v>00</v>
      </c>
      <c r="AF764" t="str">
        <f>MID('paste from garc here'!$C$2,1+(('table for research'!$B764-456)*36+HEX2DEC('table for research'!AF$1))*2,2)</f>
        <v>00</v>
      </c>
      <c r="AG764" t="str">
        <f>MID('paste from garc here'!$C$2,1+(('table for research'!$B764-456)*36+HEX2DEC('table for research'!AG$1))*2,2)</f>
        <v>00</v>
      </c>
      <c r="AH764" t="str">
        <f>MID('paste from garc here'!$C$2,1+(('table for research'!$B764-456)*36+HEX2DEC('table for research'!AH$1))*2,2)</f>
        <v>00</v>
      </c>
      <c r="AI764" t="str">
        <f>MID('paste from garc here'!$C$2,1+(('table for research'!$B764-456)*36+HEX2DEC('table for research'!AI$1))*2,2)</f>
        <v>00</v>
      </c>
      <c r="AJ764" t="str">
        <f>MID('paste from garc here'!$C$2,1+(('table for research'!$B764-456)*36+HEX2DEC('table for research'!AJ$1))*2,2)</f>
        <v>00</v>
      </c>
      <c r="AK764" t="str">
        <f>MID('paste from garc here'!$C$2,1+(('table for research'!$B764-456)*36+HEX2DEC('table for research'!AK$1))*2,2)</f>
        <v>00</v>
      </c>
      <c r="AL764" t="str">
        <f>MID('paste from garc here'!$C$2,1+(('table for research'!$B764-456)*36+HEX2DEC('table for research'!AL$1))*2,2)</f>
        <v>00</v>
      </c>
      <c r="AM764" t="str">
        <f>MID('paste from garc here'!$C$2,1+(('table for research'!$B764-456)*36+HEX2DEC('table for research'!AM$1))*2,2)</f>
        <v>00</v>
      </c>
      <c r="AN764" t="str">
        <f>MID('paste from garc here'!$C$2,1+(('table for research'!$B764-456)*36+HEX2DEC('table for research'!AN$1))*2,2)</f>
        <v>00</v>
      </c>
      <c r="AO764" t="str">
        <f>MID('paste from garc here'!$C$2,1+(('table for research'!$B764-456)*36+HEX2DEC('table for research'!AO$1))*2,2)</f>
        <v>00</v>
      </c>
    </row>
    <row r="765" spans="1:41" x14ac:dyDescent="0.4">
      <c r="A765" t="s">
        <v>757</v>
      </c>
      <c r="B765">
        <f>B764+1</f>
        <v>763</v>
      </c>
      <c r="C765" t="str">
        <f>MID('paste from garc here'!$C$2,1+(('table for research'!$B765-456)*36+HEX2DEC('table for research'!C$1))*2,2)</f>
        <v>00</v>
      </c>
      <c r="D765" t="str">
        <f>MID('paste from garc here'!$C$2,1+(('table for research'!$B765-456)*36+HEX2DEC('table for research'!D$1))*2,2)</f>
        <v>00</v>
      </c>
      <c r="E765" t="str">
        <f>MID('paste from garc here'!$C$2,1+(('table for research'!$B765-456)*36+HEX2DEC('table for research'!E$1))*2,2)</f>
        <v>00</v>
      </c>
      <c r="F765" t="str">
        <f>MID('paste from garc here'!$C$2,1+(('table for research'!$B765-456)*36+HEX2DEC('table for research'!F$1))*2,2)</f>
        <v>00</v>
      </c>
      <c r="G765" t="str">
        <f>MID('paste from garc here'!$C$2,1+(('table for research'!$B765-456)*36+HEX2DEC('table for research'!G$1))*2,2)</f>
        <v>00</v>
      </c>
      <c r="H765" t="str">
        <f>MID('paste from garc here'!$C$2,1+(('table for research'!$B765-456)*36+HEX2DEC('table for research'!H$1))*2,2)</f>
        <v>00</v>
      </c>
      <c r="I765" t="str">
        <f>MID('paste from garc here'!$C$2,1+(('table for research'!$B765-456)*36+HEX2DEC('table for research'!I$1))*2,2)</f>
        <v>50</v>
      </c>
      <c r="J765" t="str">
        <f>MID('paste from garc here'!$C$2,1+(('table for research'!$B765-456)*36+HEX2DEC('table for research'!J$1))*2,2)</f>
        <v>00</v>
      </c>
      <c r="K765" t="str">
        <f>DEC2HEX(_xlfn.BITAND(HEX2DEC(MID('paste from garc here'!$C$1,1+(('table for research'!$B765-1)*36+HEX2DEC(8))*2,2)),31),2)</f>
        <v>00</v>
      </c>
      <c r="L765" t="str">
        <f>DEC2HEX(_xlfn.BITAND(HEX2DEC(MID('paste from garc here'!$C$1,1+(('table for research'!$B765-1)*36+HEX2DEC(8))*2,2)),32),2)</f>
        <v>00</v>
      </c>
      <c r="M765" t="str">
        <f>DEC2HEX(_xlfn.BITAND(HEX2DEC(MID('paste from garc here'!$C$1,1+(('table for research'!$B765-1)*36+HEX2DEC(8))*2,2)),64),2)</f>
        <v>00</v>
      </c>
      <c r="N765" t="str">
        <f>DEC2HEX(_xlfn.BITRSHIFT(_xlfn.BITAND(HEX2DEC(MID('paste from garc here'!$C$1,1+(('table for research'!$B765-1)*36+HEX2DEC(9))*2,2)&amp;MID('paste from garc here'!$C$1,1+(('table for research'!$B765-1)*36+HEX2DEC(8))*2,2)),1920),7),2)</f>
        <v>00</v>
      </c>
      <c r="O765" t="str">
        <f>DEC2HEX(_xlfn.BITRSHIFT(HEX2DEC(MID('paste from garc here'!$C$1,1+(('table for research'!$B765-1)*36+HEX2DEC(9))*2,2)&amp;MID('paste from garc here'!$C$1,1+(('table for research'!$B765-1)*36+HEX2DEC(8))*2,2)),11),2)</f>
        <v>00</v>
      </c>
      <c r="P765" t="str">
        <f>MID('paste from garc here'!$C$2,1+(('table for research'!$B765-456)*36+HEX2DEC('table for research'!P$1))*2,2)</f>
        <v>00</v>
      </c>
      <c r="Q765" t="str">
        <f>MID('paste from garc here'!$C$2,1+(('table for research'!$B765-456)*36+HEX2DEC('table for research'!Q$1))*2,2)</f>
        <v>00</v>
      </c>
      <c r="R765" t="str">
        <f>MID('paste from garc here'!$C$2,1+(('table for research'!$B765-456)*36+HEX2DEC('table for research'!R$1))*2,2)</f>
        <v>00</v>
      </c>
      <c r="S765" t="str">
        <f>MID('paste from garc here'!$C$2,1+(('table for research'!$B765-456)*36+HEX2DEC('table for research'!S$1))*2,2)</f>
        <v>01</v>
      </c>
      <c r="T765" t="str">
        <f>MID('paste from garc here'!$C$2,1+(('table for research'!$B765-456)*36+HEX2DEC('table for research'!T$1))*2,2)</f>
        <v>00</v>
      </c>
      <c r="U765" t="str">
        <f>MID('paste from garc here'!$C$2,1+(('table for research'!$B765-456)*36+HEX2DEC('table for research'!U$1))*2,2)</f>
        <v>C0</v>
      </c>
      <c r="V765" t="str">
        <f>MID('paste from garc here'!$C$2,1+(('table for research'!$B765-456)*36+HEX2DEC('table for research'!V$1))*2,2)</f>
        <v>00</v>
      </c>
      <c r="W765" t="str">
        <f>MID('paste from garc here'!$C$2,1+(('table for research'!$B765-456)*36+HEX2DEC('table for research'!W$1))*2,2)</f>
        <v>00</v>
      </c>
      <c r="X765" t="str">
        <f>MID('paste from garc here'!$C$2,1+(('table for research'!$B765-456)*36+HEX2DEC('table for research'!X$1))*2,2)</f>
        <v>00</v>
      </c>
      <c r="Y765" t="str">
        <f>MID('paste from garc here'!$C$2,1+(('table for research'!$B765-456)*36+HEX2DEC('table for research'!Y$1))*2,2)</f>
        <v>00</v>
      </c>
      <c r="Z765" t="str">
        <f>MID('paste from garc here'!$C$2,1+(('table for research'!$B765-456)*36+HEX2DEC('table for research'!Z$1))*2,2)</f>
        <v>00</v>
      </c>
      <c r="AA765" t="str">
        <f>MID('paste from garc here'!$C$2,1+(('table for research'!$B765-456)*36+HEX2DEC('table for research'!AA$1))*2,2)</f>
        <v>00</v>
      </c>
      <c r="AB765" t="str">
        <f>MID('paste from garc here'!$C$2,1+(('table for research'!$B765-456)*36+HEX2DEC('table for research'!AB$1))*2,2)</f>
        <v>00</v>
      </c>
      <c r="AC765" t="str">
        <f>MID('paste from garc here'!$C$2,1+(('table for research'!$B765-456)*36+HEX2DEC('table for research'!AC$1))*2,2)</f>
        <v>00</v>
      </c>
      <c r="AD765" t="str">
        <f>MID('paste from garc here'!$C$2,1+(('table for research'!$B765-456)*36+HEX2DEC('table for research'!AD$1))*2,2)</f>
        <v>00</v>
      </c>
      <c r="AE765" t="str">
        <f>MID('paste from garc here'!$C$2,1+(('table for research'!$B765-456)*36+HEX2DEC('table for research'!AE$1))*2,2)</f>
        <v>00</v>
      </c>
      <c r="AF765" t="str">
        <f>MID('paste from garc here'!$C$2,1+(('table for research'!$B765-456)*36+HEX2DEC('table for research'!AF$1))*2,2)</f>
        <v>00</v>
      </c>
      <c r="AG765" t="str">
        <f>MID('paste from garc here'!$C$2,1+(('table for research'!$B765-456)*36+HEX2DEC('table for research'!AG$1))*2,2)</f>
        <v>00</v>
      </c>
      <c r="AH765" t="str">
        <f>MID('paste from garc here'!$C$2,1+(('table for research'!$B765-456)*36+HEX2DEC('table for research'!AH$1))*2,2)</f>
        <v>00</v>
      </c>
      <c r="AI765" t="str">
        <f>MID('paste from garc here'!$C$2,1+(('table for research'!$B765-456)*36+HEX2DEC('table for research'!AI$1))*2,2)</f>
        <v>00</v>
      </c>
      <c r="AJ765" t="str">
        <f>MID('paste from garc here'!$C$2,1+(('table for research'!$B765-456)*36+HEX2DEC('table for research'!AJ$1))*2,2)</f>
        <v>00</v>
      </c>
      <c r="AK765" t="str">
        <f>MID('paste from garc here'!$C$2,1+(('table for research'!$B765-456)*36+HEX2DEC('table for research'!AK$1))*2,2)</f>
        <v>00</v>
      </c>
      <c r="AL765" t="str">
        <f>MID('paste from garc here'!$C$2,1+(('table for research'!$B765-456)*36+HEX2DEC('table for research'!AL$1))*2,2)</f>
        <v>00</v>
      </c>
      <c r="AM765" t="str">
        <f>MID('paste from garc here'!$C$2,1+(('table for research'!$B765-456)*36+HEX2DEC('table for research'!AM$1))*2,2)</f>
        <v>00</v>
      </c>
      <c r="AN765" t="str">
        <f>MID('paste from garc here'!$C$2,1+(('table for research'!$B765-456)*36+HEX2DEC('table for research'!AN$1))*2,2)</f>
        <v>00</v>
      </c>
      <c r="AO765" t="str">
        <f>MID('paste from garc here'!$C$2,1+(('table for research'!$B765-456)*36+HEX2DEC('table for research'!AO$1))*2,2)</f>
        <v>00</v>
      </c>
    </row>
    <row r="766" spans="1:41" x14ac:dyDescent="0.4">
      <c r="A766" t="s">
        <v>758</v>
      </c>
      <c r="B766">
        <f>B765+1</f>
        <v>764</v>
      </c>
      <c r="C766" t="str">
        <f>MID('paste from garc here'!$C$2,1+(('table for research'!$B766-456)*36+HEX2DEC('table for research'!C$1))*2,2)</f>
        <v>00</v>
      </c>
      <c r="D766" t="str">
        <f>MID('paste from garc here'!$C$2,1+(('table for research'!$B766-456)*36+HEX2DEC('table for research'!D$1))*2,2)</f>
        <v>00</v>
      </c>
      <c r="E766" t="str">
        <f>MID('paste from garc here'!$C$2,1+(('table for research'!$B766-456)*36+HEX2DEC('table for research'!E$1))*2,2)</f>
        <v>00</v>
      </c>
      <c r="F766" t="str">
        <f>MID('paste from garc here'!$C$2,1+(('table for research'!$B766-456)*36+HEX2DEC('table for research'!F$1))*2,2)</f>
        <v>00</v>
      </c>
      <c r="G766" t="str">
        <f>MID('paste from garc here'!$C$2,1+(('table for research'!$B766-456)*36+HEX2DEC('table for research'!G$1))*2,2)</f>
        <v>00</v>
      </c>
      <c r="H766" t="str">
        <f>MID('paste from garc here'!$C$2,1+(('table for research'!$B766-456)*36+HEX2DEC('table for research'!H$1))*2,2)</f>
        <v>00</v>
      </c>
      <c r="I766" t="str">
        <f>MID('paste from garc here'!$C$2,1+(('table for research'!$B766-456)*36+HEX2DEC('table for research'!I$1))*2,2)</f>
        <v>50</v>
      </c>
      <c r="J766" t="str">
        <f>MID('paste from garc here'!$C$2,1+(('table for research'!$B766-456)*36+HEX2DEC('table for research'!J$1))*2,2)</f>
        <v>00</v>
      </c>
      <c r="K766" t="str">
        <f>DEC2HEX(_xlfn.BITAND(HEX2DEC(MID('paste from garc here'!$C$1,1+(('table for research'!$B766-1)*36+HEX2DEC(8))*2,2)),31),2)</f>
        <v>00</v>
      </c>
      <c r="L766" t="str">
        <f>DEC2HEX(_xlfn.BITAND(HEX2DEC(MID('paste from garc here'!$C$1,1+(('table for research'!$B766-1)*36+HEX2DEC(8))*2,2)),32),2)</f>
        <v>00</v>
      </c>
      <c r="M766" t="str">
        <f>DEC2HEX(_xlfn.BITAND(HEX2DEC(MID('paste from garc here'!$C$1,1+(('table for research'!$B766-1)*36+HEX2DEC(8))*2,2)),64),2)</f>
        <v>00</v>
      </c>
      <c r="N766" t="str">
        <f>DEC2HEX(_xlfn.BITRSHIFT(_xlfn.BITAND(HEX2DEC(MID('paste from garc here'!$C$1,1+(('table for research'!$B766-1)*36+HEX2DEC(9))*2,2)&amp;MID('paste from garc here'!$C$1,1+(('table for research'!$B766-1)*36+HEX2DEC(8))*2,2)),1920),7),2)</f>
        <v>00</v>
      </c>
      <c r="O766" t="str">
        <f>DEC2HEX(_xlfn.BITRSHIFT(HEX2DEC(MID('paste from garc here'!$C$1,1+(('table for research'!$B766-1)*36+HEX2DEC(9))*2,2)&amp;MID('paste from garc here'!$C$1,1+(('table for research'!$B766-1)*36+HEX2DEC(8))*2,2)),11),2)</f>
        <v>00</v>
      </c>
      <c r="P766" t="str">
        <f>MID('paste from garc here'!$C$2,1+(('table for research'!$B766-456)*36+HEX2DEC('table for research'!P$1))*2,2)</f>
        <v>00</v>
      </c>
      <c r="Q766" t="str">
        <f>MID('paste from garc here'!$C$2,1+(('table for research'!$B766-456)*36+HEX2DEC('table for research'!Q$1))*2,2)</f>
        <v>00</v>
      </c>
      <c r="R766" t="str">
        <f>MID('paste from garc here'!$C$2,1+(('table for research'!$B766-456)*36+HEX2DEC('table for research'!R$1))*2,2)</f>
        <v>00</v>
      </c>
      <c r="S766" t="str">
        <f>MID('paste from garc here'!$C$2,1+(('table for research'!$B766-456)*36+HEX2DEC('table for research'!S$1))*2,2)</f>
        <v>01</v>
      </c>
      <c r="T766" t="str">
        <f>MID('paste from garc here'!$C$2,1+(('table for research'!$B766-456)*36+HEX2DEC('table for research'!T$1))*2,2)</f>
        <v>00</v>
      </c>
      <c r="U766" t="str">
        <f>MID('paste from garc here'!$C$2,1+(('table for research'!$B766-456)*36+HEX2DEC('table for research'!U$1))*2,2)</f>
        <v>D0</v>
      </c>
      <c r="V766" t="str">
        <f>MID('paste from garc here'!$C$2,1+(('table for research'!$B766-456)*36+HEX2DEC('table for research'!V$1))*2,2)</f>
        <v>00</v>
      </c>
      <c r="W766" t="str">
        <f>MID('paste from garc here'!$C$2,1+(('table for research'!$B766-456)*36+HEX2DEC('table for research'!W$1))*2,2)</f>
        <v>00</v>
      </c>
      <c r="X766" t="str">
        <f>MID('paste from garc here'!$C$2,1+(('table for research'!$B766-456)*36+HEX2DEC('table for research'!X$1))*2,2)</f>
        <v>00</v>
      </c>
      <c r="Y766" t="str">
        <f>MID('paste from garc here'!$C$2,1+(('table for research'!$B766-456)*36+HEX2DEC('table for research'!Y$1))*2,2)</f>
        <v>00</v>
      </c>
      <c r="Z766" t="str">
        <f>MID('paste from garc here'!$C$2,1+(('table for research'!$B766-456)*36+HEX2DEC('table for research'!Z$1))*2,2)</f>
        <v>00</v>
      </c>
      <c r="AA766" t="str">
        <f>MID('paste from garc here'!$C$2,1+(('table for research'!$B766-456)*36+HEX2DEC('table for research'!AA$1))*2,2)</f>
        <v>00</v>
      </c>
      <c r="AB766" t="str">
        <f>MID('paste from garc here'!$C$2,1+(('table for research'!$B766-456)*36+HEX2DEC('table for research'!AB$1))*2,2)</f>
        <v>00</v>
      </c>
      <c r="AC766" t="str">
        <f>MID('paste from garc here'!$C$2,1+(('table for research'!$B766-456)*36+HEX2DEC('table for research'!AC$1))*2,2)</f>
        <v>00</v>
      </c>
      <c r="AD766" t="str">
        <f>MID('paste from garc here'!$C$2,1+(('table for research'!$B766-456)*36+HEX2DEC('table for research'!AD$1))*2,2)</f>
        <v>00</v>
      </c>
      <c r="AE766" t="str">
        <f>MID('paste from garc here'!$C$2,1+(('table for research'!$B766-456)*36+HEX2DEC('table for research'!AE$1))*2,2)</f>
        <v>00</v>
      </c>
      <c r="AF766" t="str">
        <f>MID('paste from garc here'!$C$2,1+(('table for research'!$B766-456)*36+HEX2DEC('table for research'!AF$1))*2,2)</f>
        <v>00</v>
      </c>
      <c r="AG766" t="str">
        <f>MID('paste from garc here'!$C$2,1+(('table for research'!$B766-456)*36+HEX2DEC('table for research'!AG$1))*2,2)</f>
        <v>00</v>
      </c>
      <c r="AH766" t="str">
        <f>MID('paste from garc here'!$C$2,1+(('table for research'!$B766-456)*36+HEX2DEC('table for research'!AH$1))*2,2)</f>
        <v>00</v>
      </c>
      <c r="AI766" t="str">
        <f>MID('paste from garc here'!$C$2,1+(('table for research'!$B766-456)*36+HEX2DEC('table for research'!AI$1))*2,2)</f>
        <v>00</v>
      </c>
      <c r="AJ766" t="str">
        <f>MID('paste from garc here'!$C$2,1+(('table for research'!$B766-456)*36+HEX2DEC('table for research'!AJ$1))*2,2)</f>
        <v>00</v>
      </c>
      <c r="AK766" t="str">
        <f>MID('paste from garc here'!$C$2,1+(('table for research'!$B766-456)*36+HEX2DEC('table for research'!AK$1))*2,2)</f>
        <v>00</v>
      </c>
      <c r="AL766" t="str">
        <f>MID('paste from garc here'!$C$2,1+(('table for research'!$B766-456)*36+HEX2DEC('table for research'!AL$1))*2,2)</f>
        <v>00</v>
      </c>
      <c r="AM766" t="str">
        <f>MID('paste from garc here'!$C$2,1+(('table for research'!$B766-456)*36+HEX2DEC('table for research'!AM$1))*2,2)</f>
        <v>00</v>
      </c>
      <c r="AN766" t="str">
        <f>MID('paste from garc here'!$C$2,1+(('table for research'!$B766-456)*36+HEX2DEC('table for research'!AN$1))*2,2)</f>
        <v>00</v>
      </c>
      <c r="AO766" t="str">
        <f>MID('paste from garc here'!$C$2,1+(('table for research'!$B766-456)*36+HEX2DEC('table for research'!AO$1))*2,2)</f>
        <v>00</v>
      </c>
    </row>
    <row r="767" spans="1:41" x14ac:dyDescent="0.4">
      <c r="A767" t="s">
        <v>759</v>
      </c>
      <c r="B767">
        <f>B766+1</f>
        <v>765</v>
      </c>
      <c r="C767" t="str">
        <f>MID('paste from garc here'!$C$2,1+(('table for research'!$B767-456)*36+HEX2DEC('table for research'!C$1))*2,2)</f>
        <v>00</v>
      </c>
      <c r="D767" t="str">
        <f>MID('paste from garc here'!$C$2,1+(('table for research'!$B767-456)*36+HEX2DEC('table for research'!D$1))*2,2)</f>
        <v>00</v>
      </c>
      <c r="E767" t="str">
        <f>MID('paste from garc here'!$C$2,1+(('table for research'!$B767-456)*36+HEX2DEC('table for research'!E$1))*2,2)</f>
        <v>00</v>
      </c>
      <c r="F767" t="str">
        <f>MID('paste from garc here'!$C$2,1+(('table for research'!$B767-456)*36+HEX2DEC('table for research'!F$1))*2,2)</f>
        <v>00</v>
      </c>
      <c r="G767" t="str">
        <f>MID('paste from garc here'!$C$2,1+(('table for research'!$B767-456)*36+HEX2DEC('table for research'!G$1))*2,2)</f>
        <v>00</v>
      </c>
      <c r="H767" t="str">
        <f>MID('paste from garc here'!$C$2,1+(('table for research'!$B767-456)*36+HEX2DEC('table for research'!H$1))*2,2)</f>
        <v>00</v>
      </c>
      <c r="I767" t="str">
        <f>MID('paste from garc here'!$C$2,1+(('table for research'!$B767-456)*36+HEX2DEC('table for research'!I$1))*2,2)</f>
        <v>00</v>
      </c>
      <c r="J767" t="str">
        <f>MID('paste from garc here'!$C$2,1+(('table for research'!$B767-456)*36+HEX2DEC('table for research'!J$1))*2,2)</f>
        <v>00</v>
      </c>
      <c r="K767" t="str">
        <f>DEC2HEX(_xlfn.BITAND(HEX2DEC(MID('paste from garc here'!$C$1,1+(('table for research'!$B767-1)*36+HEX2DEC(8))*2,2)),31),2)</f>
        <v>00</v>
      </c>
      <c r="L767" t="str">
        <f>DEC2HEX(_xlfn.BITAND(HEX2DEC(MID('paste from garc here'!$C$1,1+(('table for research'!$B767-1)*36+HEX2DEC(8))*2,2)),32),2)</f>
        <v>00</v>
      </c>
      <c r="M767" t="str">
        <f>DEC2HEX(_xlfn.BITAND(HEX2DEC(MID('paste from garc here'!$C$1,1+(('table for research'!$B767-1)*36+HEX2DEC(8))*2,2)),64),2)</f>
        <v>00</v>
      </c>
      <c r="N767" t="str">
        <f>DEC2HEX(_xlfn.BITRSHIFT(_xlfn.BITAND(HEX2DEC(MID('paste from garc here'!$C$1,1+(('table for research'!$B767-1)*36+HEX2DEC(9))*2,2)&amp;MID('paste from garc here'!$C$1,1+(('table for research'!$B767-1)*36+HEX2DEC(8))*2,2)),1920),7),2)</f>
        <v>00</v>
      </c>
      <c r="O767" t="str">
        <f>DEC2HEX(_xlfn.BITRSHIFT(HEX2DEC(MID('paste from garc here'!$C$1,1+(('table for research'!$B767-1)*36+HEX2DEC(9))*2,2)&amp;MID('paste from garc here'!$C$1,1+(('table for research'!$B767-1)*36+HEX2DEC(8))*2,2)),11),2)</f>
        <v>00</v>
      </c>
      <c r="P767" t="str">
        <f>MID('paste from garc here'!$C$2,1+(('table for research'!$B767-456)*36+HEX2DEC('table for research'!P$1))*2,2)</f>
        <v>0F</v>
      </c>
      <c r="Q767" t="str">
        <f>MID('paste from garc here'!$C$2,1+(('table for research'!$B767-456)*36+HEX2DEC('table for research'!Q$1))*2,2)</f>
        <v>00</v>
      </c>
      <c r="R767" t="str">
        <f>MID('paste from garc here'!$C$2,1+(('table for research'!$B767-456)*36+HEX2DEC('table for research'!R$1))*2,2)</f>
        <v>00</v>
      </c>
      <c r="S767" t="str">
        <f>MID('paste from garc here'!$C$2,1+(('table for research'!$B767-456)*36+HEX2DEC('table for research'!S$1))*2,2)</f>
        <v>08</v>
      </c>
      <c r="T767" t="str">
        <f>MID('paste from garc here'!$C$2,1+(('table for research'!$B767-456)*36+HEX2DEC('table for research'!T$1))*2,2)</f>
        <v>00</v>
      </c>
      <c r="U767" t="str">
        <f>MID('paste from garc here'!$C$2,1+(('table for research'!$B767-456)*36+HEX2DEC('table for research'!U$1))*2,2)</f>
        <v>2C</v>
      </c>
      <c r="V767" t="str">
        <f>MID('paste from garc here'!$C$2,1+(('table for research'!$B767-456)*36+HEX2DEC('table for research'!V$1))*2,2)</f>
        <v>00</v>
      </c>
      <c r="W767" t="str">
        <f>MID('paste from garc here'!$C$2,1+(('table for research'!$B767-456)*36+HEX2DEC('table for research'!W$1))*2,2)</f>
        <v>00</v>
      </c>
      <c r="X767" t="str">
        <f>MID('paste from garc here'!$C$2,1+(('table for research'!$B767-456)*36+HEX2DEC('table for research'!X$1))*2,2)</f>
        <v>00</v>
      </c>
      <c r="Y767" t="str">
        <f>MID('paste from garc here'!$C$2,1+(('table for research'!$B767-456)*36+HEX2DEC('table for research'!Y$1))*2,2)</f>
        <v>00</v>
      </c>
      <c r="Z767" t="str">
        <f>MID('paste from garc here'!$C$2,1+(('table for research'!$B767-456)*36+HEX2DEC('table for research'!Z$1))*2,2)</f>
        <v>00</v>
      </c>
      <c r="AA767" t="str">
        <f>MID('paste from garc here'!$C$2,1+(('table for research'!$B767-456)*36+HEX2DEC('table for research'!AA$1))*2,2)</f>
        <v>00</v>
      </c>
      <c r="AB767" t="str">
        <f>MID('paste from garc here'!$C$2,1+(('table for research'!$B767-456)*36+HEX2DEC('table for research'!AB$1))*2,2)</f>
        <v>00</v>
      </c>
      <c r="AC767" t="str">
        <f>MID('paste from garc here'!$C$2,1+(('table for research'!$B767-456)*36+HEX2DEC('table for research'!AC$1))*2,2)</f>
        <v>00</v>
      </c>
      <c r="AD767" t="str">
        <f>MID('paste from garc here'!$C$2,1+(('table for research'!$B767-456)*36+HEX2DEC('table for research'!AD$1))*2,2)</f>
        <v>00</v>
      </c>
      <c r="AE767" t="str">
        <f>MID('paste from garc here'!$C$2,1+(('table for research'!$B767-456)*36+HEX2DEC('table for research'!AE$1))*2,2)</f>
        <v>00</v>
      </c>
      <c r="AF767" t="str">
        <f>MID('paste from garc here'!$C$2,1+(('table for research'!$B767-456)*36+HEX2DEC('table for research'!AF$1))*2,2)</f>
        <v>00</v>
      </c>
      <c r="AG767" t="str">
        <f>MID('paste from garc here'!$C$2,1+(('table for research'!$B767-456)*36+HEX2DEC('table for research'!AG$1))*2,2)</f>
        <v>00</v>
      </c>
      <c r="AH767" t="str">
        <f>MID('paste from garc here'!$C$2,1+(('table for research'!$B767-456)*36+HEX2DEC('table for research'!AH$1))*2,2)</f>
        <v>00</v>
      </c>
      <c r="AI767" t="str">
        <f>MID('paste from garc here'!$C$2,1+(('table for research'!$B767-456)*36+HEX2DEC('table for research'!AI$1))*2,2)</f>
        <v>00</v>
      </c>
      <c r="AJ767" t="str">
        <f>MID('paste from garc here'!$C$2,1+(('table for research'!$B767-456)*36+HEX2DEC('table for research'!AJ$1))*2,2)</f>
        <v>00</v>
      </c>
      <c r="AK767" t="str">
        <f>MID('paste from garc here'!$C$2,1+(('table for research'!$B767-456)*36+HEX2DEC('table for research'!AK$1))*2,2)</f>
        <v>00</v>
      </c>
      <c r="AL767" t="str">
        <f>MID('paste from garc here'!$C$2,1+(('table for research'!$B767-456)*36+HEX2DEC('table for research'!AL$1))*2,2)</f>
        <v>00</v>
      </c>
      <c r="AM767" t="str">
        <f>MID('paste from garc here'!$C$2,1+(('table for research'!$B767-456)*36+HEX2DEC('table for research'!AM$1))*2,2)</f>
        <v>00</v>
      </c>
      <c r="AN767" t="str">
        <f>MID('paste from garc here'!$C$2,1+(('table for research'!$B767-456)*36+HEX2DEC('table for research'!AN$1))*2,2)</f>
        <v>00</v>
      </c>
      <c r="AO767" t="str">
        <f>MID('paste from garc here'!$C$2,1+(('table for research'!$B767-456)*36+HEX2DEC('table for research'!AO$1))*2,2)</f>
        <v>00</v>
      </c>
    </row>
    <row r="768" spans="1:41" x14ac:dyDescent="0.4">
      <c r="A768" t="s">
        <v>760</v>
      </c>
      <c r="B768">
        <f>B767+1</f>
        <v>766</v>
      </c>
      <c r="C768" t="str">
        <f>MID('paste from garc here'!$C$2,1+(('table for research'!$B768-456)*36+HEX2DEC('table for research'!C$1))*2,2)</f>
        <v>00</v>
      </c>
      <c r="D768" t="str">
        <f>MID('paste from garc here'!$C$2,1+(('table for research'!$B768-456)*36+HEX2DEC('table for research'!D$1))*2,2)</f>
        <v>00</v>
      </c>
      <c r="E768" t="str">
        <f>MID('paste from garc here'!$C$2,1+(('table for research'!$B768-456)*36+HEX2DEC('table for research'!E$1))*2,2)</f>
        <v>00</v>
      </c>
      <c r="F768" t="str">
        <f>MID('paste from garc here'!$C$2,1+(('table for research'!$B768-456)*36+HEX2DEC('table for research'!F$1))*2,2)</f>
        <v>00</v>
      </c>
      <c r="G768" t="str">
        <f>MID('paste from garc here'!$C$2,1+(('table for research'!$B768-456)*36+HEX2DEC('table for research'!G$1))*2,2)</f>
        <v>00</v>
      </c>
      <c r="H768" t="str">
        <f>MID('paste from garc here'!$C$2,1+(('table for research'!$B768-456)*36+HEX2DEC('table for research'!H$1))*2,2)</f>
        <v>00</v>
      </c>
      <c r="I768" t="str">
        <f>MID('paste from garc here'!$C$2,1+(('table for research'!$B768-456)*36+HEX2DEC('table for research'!I$1))*2,2)</f>
        <v>00</v>
      </c>
      <c r="J768" t="str">
        <f>MID('paste from garc here'!$C$2,1+(('table for research'!$B768-456)*36+HEX2DEC('table for research'!J$1))*2,2)</f>
        <v>00</v>
      </c>
      <c r="K768" t="str">
        <f>DEC2HEX(_xlfn.BITAND(HEX2DEC(MID('paste from garc here'!$C$1,1+(('table for research'!$B768-1)*36+HEX2DEC(8))*2,2)),31),2)</f>
        <v>00</v>
      </c>
      <c r="L768" t="str">
        <f>DEC2HEX(_xlfn.BITAND(HEX2DEC(MID('paste from garc here'!$C$1,1+(('table for research'!$B768-1)*36+HEX2DEC(8))*2,2)),32),2)</f>
        <v>00</v>
      </c>
      <c r="M768" t="str">
        <f>DEC2HEX(_xlfn.BITAND(HEX2DEC(MID('paste from garc here'!$C$1,1+(('table for research'!$B768-1)*36+HEX2DEC(8))*2,2)),64),2)</f>
        <v>00</v>
      </c>
      <c r="N768" t="str">
        <f>DEC2HEX(_xlfn.BITRSHIFT(_xlfn.BITAND(HEX2DEC(MID('paste from garc here'!$C$1,1+(('table for research'!$B768-1)*36+HEX2DEC(9))*2,2)&amp;MID('paste from garc here'!$C$1,1+(('table for research'!$B768-1)*36+HEX2DEC(8))*2,2)),1920),7),2)</f>
        <v>00</v>
      </c>
      <c r="O768" t="str">
        <f>DEC2HEX(_xlfn.BITRSHIFT(HEX2DEC(MID('paste from garc here'!$C$1,1+(('table for research'!$B768-1)*36+HEX2DEC(9))*2,2)&amp;MID('paste from garc here'!$C$1,1+(('table for research'!$B768-1)*36+HEX2DEC(8))*2,2)),11),2)</f>
        <v>00</v>
      </c>
      <c r="P768" t="str">
        <f>MID('paste from garc here'!$C$2,1+(('table for research'!$B768-456)*36+HEX2DEC('table for research'!P$1))*2,2)</f>
        <v>00</v>
      </c>
      <c r="Q768" t="str">
        <f>MID('paste from garc here'!$C$2,1+(('table for research'!$B768-456)*36+HEX2DEC('table for research'!Q$1))*2,2)</f>
        <v>00</v>
      </c>
      <c r="R768" t="str">
        <f>MID('paste from garc here'!$C$2,1+(('table for research'!$B768-456)*36+HEX2DEC('table for research'!R$1))*2,2)</f>
        <v>00</v>
      </c>
      <c r="S768" t="str">
        <f>MID('paste from garc here'!$C$2,1+(('table for research'!$B768-456)*36+HEX2DEC('table for research'!S$1))*2,2)</f>
        <v>08</v>
      </c>
      <c r="T768" t="str">
        <f>MID('paste from garc here'!$C$2,1+(('table for research'!$B768-456)*36+HEX2DEC('table for research'!T$1))*2,2)</f>
        <v>00</v>
      </c>
      <c r="U768" t="str">
        <f>MID('paste from garc here'!$C$2,1+(('table for research'!$B768-456)*36+HEX2DEC('table for research'!U$1))*2,2)</f>
        <v>FF</v>
      </c>
      <c r="V768" t="str">
        <f>MID('paste from garc here'!$C$2,1+(('table for research'!$B768-456)*36+HEX2DEC('table for research'!V$1))*2,2)</f>
        <v>00</v>
      </c>
      <c r="W768" t="str">
        <f>MID('paste from garc here'!$C$2,1+(('table for research'!$B768-456)*36+HEX2DEC('table for research'!W$1))*2,2)</f>
        <v>00</v>
      </c>
      <c r="X768" t="str">
        <f>MID('paste from garc here'!$C$2,1+(('table for research'!$B768-456)*36+HEX2DEC('table for research'!X$1))*2,2)</f>
        <v>00</v>
      </c>
      <c r="Y768" t="str">
        <f>MID('paste from garc here'!$C$2,1+(('table for research'!$B768-456)*36+HEX2DEC('table for research'!Y$1))*2,2)</f>
        <v>00</v>
      </c>
      <c r="Z768" t="str">
        <f>MID('paste from garc here'!$C$2,1+(('table for research'!$B768-456)*36+HEX2DEC('table for research'!Z$1))*2,2)</f>
        <v>00</v>
      </c>
      <c r="AA768" t="str">
        <f>MID('paste from garc here'!$C$2,1+(('table for research'!$B768-456)*36+HEX2DEC('table for research'!AA$1))*2,2)</f>
        <v>00</v>
      </c>
      <c r="AB768" t="str">
        <f>MID('paste from garc here'!$C$2,1+(('table for research'!$B768-456)*36+HEX2DEC('table for research'!AB$1))*2,2)</f>
        <v>00</v>
      </c>
      <c r="AC768" t="str">
        <f>MID('paste from garc here'!$C$2,1+(('table for research'!$B768-456)*36+HEX2DEC('table for research'!AC$1))*2,2)</f>
        <v>00</v>
      </c>
      <c r="AD768" t="str">
        <f>MID('paste from garc here'!$C$2,1+(('table for research'!$B768-456)*36+HEX2DEC('table for research'!AD$1))*2,2)</f>
        <v>00</v>
      </c>
      <c r="AE768" t="str">
        <f>MID('paste from garc here'!$C$2,1+(('table for research'!$B768-456)*36+HEX2DEC('table for research'!AE$1))*2,2)</f>
        <v>00</v>
      </c>
      <c r="AF768" t="str">
        <f>MID('paste from garc here'!$C$2,1+(('table for research'!$B768-456)*36+HEX2DEC('table for research'!AF$1))*2,2)</f>
        <v>00</v>
      </c>
      <c r="AG768" t="str">
        <f>MID('paste from garc here'!$C$2,1+(('table for research'!$B768-456)*36+HEX2DEC('table for research'!AG$1))*2,2)</f>
        <v>00</v>
      </c>
      <c r="AH768" t="str">
        <f>MID('paste from garc here'!$C$2,1+(('table for research'!$B768-456)*36+HEX2DEC('table for research'!AH$1))*2,2)</f>
        <v>00</v>
      </c>
      <c r="AI768" t="str">
        <f>MID('paste from garc here'!$C$2,1+(('table for research'!$B768-456)*36+HEX2DEC('table for research'!AI$1))*2,2)</f>
        <v>00</v>
      </c>
      <c r="AJ768" t="str">
        <f>MID('paste from garc here'!$C$2,1+(('table for research'!$B768-456)*36+HEX2DEC('table for research'!AJ$1))*2,2)</f>
        <v>00</v>
      </c>
      <c r="AK768" t="str">
        <f>MID('paste from garc here'!$C$2,1+(('table for research'!$B768-456)*36+HEX2DEC('table for research'!AK$1))*2,2)</f>
        <v>00</v>
      </c>
      <c r="AL768" t="str">
        <f>MID('paste from garc here'!$C$2,1+(('table for research'!$B768-456)*36+HEX2DEC('table for research'!AL$1))*2,2)</f>
        <v>00</v>
      </c>
      <c r="AM768" t="str">
        <f>MID('paste from garc here'!$C$2,1+(('table for research'!$B768-456)*36+HEX2DEC('table for research'!AM$1))*2,2)</f>
        <v>00</v>
      </c>
      <c r="AN768" t="str">
        <f>MID('paste from garc here'!$C$2,1+(('table for research'!$B768-456)*36+HEX2DEC('table for research'!AN$1))*2,2)</f>
        <v>00</v>
      </c>
      <c r="AO768" t="str">
        <f>MID('paste from garc here'!$C$2,1+(('table for research'!$B768-456)*36+HEX2DEC('table for research'!AO$1))*2,2)</f>
        <v>00</v>
      </c>
    </row>
    <row r="769" spans="1:41" x14ac:dyDescent="0.4">
      <c r="A769" t="s">
        <v>761</v>
      </c>
      <c r="B769">
        <f>B768+1</f>
        <v>767</v>
      </c>
      <c r="C769" t="str">
        <f>MID('paste from garc here'!$C$2,1+(('table for research'!$B769-456)*36+HEX2DEC('table for research'!C$1))*2,2)</f>
        <v>00</v>
      </c>
      <c r="D769" t="str">
        <f>MID('paste from garc here'!$C$2,1+(('table for research'!$B769-456)*36+HEX2DEC('table for research'!D$1))*2,2)</f>
        <v>00</v>
      </c>
      <c r="E769" t="str">
        <f>MID('paste from garc here'!$C$2,1+(('table for research'!$B769-456)*36+HEX2DEC('table for research'!E$1))*2,2)</f>
        <v>00</v>
      </c>
      <c r="F769" t="str">
        <f>MID('paste from garc here'!$C$2,1+(('table for research'!$B769-456)*36+HEX2DEC('table for research'!F$1))*2,2)</f>
        <v>00</v>
      </c>
      <c r="G769" t="str">
        <f>MID('paste from garc here'!$C$2,1+(('table for research'!$B769-456)*36+HEX2DEC('table for research'!G$1))*2,2)</f>
        <v>00</v>
      </c>
      <c r="H769" t="str">
        <f>MID('paste from garc here'!$C$2,1+(('table for research'!$B769-456)*36+HEX2DEC('table for research'!H$1))*2,2)</f>
        <v>00</v>
      </c>
      <c r="I769" t="str">
        <f>MID('paste from garc here'!$C$2,1+(('table for research'!$B769-456)*36+HEX2DEC('table for research'!I$1))*2,2)</f>
        <v>50</v>
      </c>
      <c r="J769" t="str">
        <f>MID('paste from garc here'!$C$2,1+(('table for research'!$B769-456)*36+HEX2DEC('table for research'!J$1))*2,2)</f>
        <v>00</v>
      </c>
      <c r="K769" t="str">
        <f>DEC2HEX(_xlfn.BITAND(HEX2DEC(MID('paste from garc here'!$C$1,1+(('table for research'!$B769-1)*36+HEX2DEC(8))*2,2)),31),2)</f>
        <v>00</v>
      </c>
      <c r="L769" t="str">
        <f>DEC2HEX(_xlfn.BITAND(HEX2DEC(MID('paste from garc here'!$C$1,1+(('table for research'!$B769-1)*36+HEX2DEC(8))*2,2)),32),2)</f>
        <v>00</v>
      </c>
      <c r="M769" t="str">
        <f>DEC2HEX(_xlfn.BITAND(HEX2DEC(MID('paste from garc here'!$C$1,1+(('table for research'!$B769-1)*36+HEX2DEC(8))*2,2)),64),2)</f>
        <v>00</v>
      </c>
      <c r="N769" t="str">
        <f>DEC2HEX(_xlfn.BITRSHIFT(_xlfn.BITAND(HEX2DEC(MID('paste from garc here'!$C$1,1+(('table for research'!$B769-1)*36+HEX2DEC(9))*2,2)&amp;MID('paste from garc here'!$C$1,1+(('table for research'!$B769-1)*36+HEX2DEC(8))*2,2)),1920),7),2)</f>
        <v>00</v>
      </c>
      <c r="O769" t="str">
        <f>DEC2HEX(_xlfn.BITRSHIFT(HEX2DEC(MID('paste from garc here'!$C$1,1+(('table for research'!$B769-1)*36+HEX2DEC(9))*2,2)&amp;MID('paste from garc here'!$C$1,1+(('table for research'!$B769-1)*36+HEX2DEC(8))*2,2)),11),2)</f>
        <v>00</v>
      </c>
      <c r="P769" t="str">
        <f>MID('paste from garc here'!$C$2,1+(('table for research'!$B769-456)*36+HEX2DEC('table for research'!P$1))*2,2)</f>
        <v>00</v>
      </c>
      <c r="Q769" t="str">
        <f>MID('paste from garc here'!$C$2,1+(('table for research'!$B769-456)*36+HEX2DEC('table for research'!Q$1))*2,2)</f>
        <v>00</v>
      </c>
      <c r="R769" t="str">
        <f>MID('paste from garc here'!$C$2,1+(('table for research'!$B769-456)*36+HEX2DEC('table for research'!R$1))*2,2)</f>
        <v>00</v>
      </c>
      <c r="S769" t="str">
        <f>MID('paste from garc here'!$C$2,1+(('table for research'!$B769-456)*36+HEX2DEC('table for research'!S$1))*2,2)</f>
        <v>01</v>
      </c>
      <c r="T769" t="str">
        <f>MID('paste from garc here'!$C$2,1+(('table for research'!$B769-456)*36+HEX2DEC('table for research'!T$1))*2,2)</f>
        <v>00</v>
      </c>
      <c r="U769" t="str">
        <f>MID('paste from garc here'!$C$2,1+(('table for research'!$B769-456)*36+HEX2DEC('table for research'!U$1))*2,2)</f>
        <v>D3</v>
      </c>
      <c r="V769" t="str">
        <f>MID('paste from garc here'!$C$2,1+(('table for research'!$B769-456)*36+HEX2DEC('table for research'!V$1))*2,2)</f>
        <v>00</v>
      </c>
      <c r="W769" t="str">
        <f>MID('paste from garc here'!$C$2,1+(('table for research'!$B769-456)*36+HEX2DEC('table for research'!W$1))*2,2)</f>
        <v>00</v>
      </c>
      <c r="X769" t="str">
        <f>MID('paste from garc here'!$C$2,1+(('table for research'!$B769-456)*36+HEX2DEC('table for research'!X$1))*2,2)</f>
        <v>00</v>
      </c>
      <c r="Y769" t="str">
        <f>MID('paste from garc here'!$C$2,1+(('table for research'!$B769-456)*36+HEX2DEC('table for research'!Y$1))*2,2)</f>
        <v>00</v>
      </c>
      <c r="Z769" t="str">
        <f>MID('paste from garc here'!$C$2,1+(('table for research'!$B769-456)*36+HEX2DEC('table for research'!Z$1))*2,2)</f>
        <v>00</v>
      </c>
      <c r="AA769" t="str">
        <f>MID('paste from garc here'!$C$2,1+(('table for research'!$B769-456)*36+HEX2DEC('table for research'!AA$1))*2,2)</f>
        <v>00</v>
      </c>
      <c r="AB769" t="str">
        <f>MID('paste from garc here'!$C$2,1+(('table for research'!$B769-456)*36+HEX2DEC('table for research'!AB$1))*2,2)</f>
        <v>00</v>
      </c>
      <c r="AC769" t="str">
        <f>MID('paste from garc here'!$C$2,1+(('table for research'!$B769-456)*36+HEX2DEC('table for research'!AC$1))*2,2)</f>
        <v>00</v>
      </c>
      <c r="AD769" t="str">
        <f>MID('paste from garc here'!$C$2,1+(('table for research'!$B769-456)*36+HEX2DEC('table for research'!AD$1))*2,2)</f>
        <v>00</v>
      </c>
      <c r="AE769" t="str">
        <f>MID('paste from garc here'!$C$2,1+(('table for research'!$B769-456)*36+HEX2DEC('table for research'!AE$1))*2,2)</f>
        <v>00</v>
      </c>
      <c r="AF769" t="str">
        <f>MID('paste from garc here'!$C$2,1+(('table for research'!$B769-456)*36+HEX2DEC('table for research'!AF$1))*2,2)</f>
        <v>00</v>
      </c>
      <c r="AG769" t="str">
        <f>MID('paste from garc here'!$C$2,1+(('table for research'!$B769-456)*36+HEX2DEC('table for research'!AG$1))*2,2)</f>
        <v>00</v>
      </c>
      <c r="AH769" t="str">
        <f>MID('paste from garc here'!$C$2,1+(('table for research'!$B769-456)*36+HEX2DEC('table for research'!AH$1))*2,2)</f>
        <v>00</v>
      </c>
      <c r="AI769" t="str">
        <f>MID('paste from garc here'!$C$2,1+(('table for research'!$B769-456)*36+HEX2DEC('table for research'!AI$1))*2,2)</f>
        <v>00</v>
      </c>
      <c r="AJ769" t="str">
        <f>MID('paste from garc here'!$C$2,1+(('table for research'!$B769-456)*36+HEX2DEC('table for research'!AJ$1))*2,2)</f>
        <v>00</v>
      </c>
      <c r="AK769" t="str">
        <f>MID('paste from garc here'!$C$2,1+(('table for research'!$B769-456)*36+HEX2DEC('table for research'!AK$1))*2,2)</f>
        <v>00</v>
      </c>
      <c r="AL769" t="str">
        <f>MID('paste from garc here'!$C$2,1+(('table for research'!$B769-456)*36+HEX2DEC('table for research'!AL$1))*2,2)</f>
        <v>00</v>
      </c>
      <c r="AM769" t="str">
        <f>MID('paste from garc here'!$C$2,1+(('table for research'!$B769-456)*36+HEX2DEC('table for research'!AM$1))*2,2)</f>
        <v>00</v>
      </c>
      <c r="AN769" t="str">
        <f>MID('paste from garc here'!$C$2,1+(('table for research'!$B769-456)*36+HEX2DEC('table for research'!AN$1))*2,2)</f>
        <v>00</v>
      </c>
      <c r="AO769" t="str">
        <f>MID('paste from garc here'!$C$2,1+(('table for research'!$B769-456)*36+HEX2DEC('table for research'!AO$1))*2,2)</f>
        <v>00</v>
      </c>
    </row>
    <row r="770" spans="1:41" x14ac:dyDescent="0.4">
      <c r="A770" t="s">
        <v>762</v>
      </c>
      <c r="B770">
        <f>B769+1</f>
        <v>768</v>
      </c>
      <c r="C770" t="str">
        <f>MID('paste from garc here'!$C$2,1+(('table for research'!$B770-456)*36+HEX2DEC('table for research'!C$1))*2,2)</f>
        <v>00</v>
      </c>
      <c r="D770" t="str">
        <f>MID('paste from garc here'!$C$2,1+(('table for research'!$B770-456)*36+HEX2DEC('table for research'!D$1))*2,2)</f>
        <v>00</v>
      </c>
      <c r="E770" t="str">
        <f>MID('paste from garc here'!$C$2,1+(('table for research'!$B770-456)*36+HEX2DEC('table for research'!E$1))*2,2)</f>
        <v>00</v>
      </c>
      <c r="F770" t="str">
        <f>MID('paste from garc here'!$C$2,1+(('table for research'!$B770-456)*36+HEX2DEC('table for research'!F$1))*2,2)</f>
        <v>00</v>
      </c>
      <c r="G770" t="str">
        <f>MID('paste from garc here'!$C$2,1+(('table for research'!$B770-456)*36+HEX2DEC('table for research'!G$1))*2,2)</f>
        <v>00</v>
      </c>
      <c r="H770" t="str">
        <f>MID('paste from garc here'!$C$2,1+(('table for research'!$B770-456)*36+HEX2DEC('table for research'!H$1))*2,2)</f>
        <v>00</v>
      </c>
      <c r="I770" t="str">
        <f>MID('paste from garc here'!$C$2,1+(('table for research'!$B770-456)*36+HEX2DEC('table for research'!I$1))*2,2)</f>
        <v>50</v>
      </c>
      <c r="J770" t="str">
        <f>MID('paste from garc here'!$C$2,1+(('table for research'!$B770-456)*36+HEX2DEC('table for research'!J$1))*2,2)</f>
        <v>00</v>
      </c>
      <c r="K770" t="str">
        <f>DEC2HEX(_xlfn.BITAND(HEX2DEC(MID('paste from garc here'!$C$1,1+(('table for research'!$B770-1)*36+HEX2DEC(8))*2,2)),31),2)</f>
        <v>00</v>
      </c>
      <c r="L770" t="str">
        <f>DEC2HEX(_xlfn.BITAND(HEX2DEC(MID('paste from garc here'!$C$1,1+(('table for research'!$B770-1)*36+HEX2DEC(8))*2,2)),32),2)</f>
        <v>00</v>
      </c>
      <c r="M770" t="str">
        <f>DEC2HEX(_xlfn.BITAND(HEX2DEC(MID('paste from garc here'!$C$1,1+(('table for research'!$B770-1)*36+HEX2DEC(8))*2,2)),64),2)</f>
        <v>00</v>
      </c>
      <c r="N770" t="str">
        <f>DEC2HEX(_xlfn.BITRSHIFT(_xlfn.BITAND(HEX2DEC(MID('paste from garc here'!$C$1,1+(('table for research'!$B770-1)*36+HEX2DEC(9))*2,2)&amp;MID('paste from garc here'!$C$1,1+(('table for research'!$B770-1)*36+HEX2DEC(8))*2,2)),1920),7),2)</f>
        <v>00</v>
      </c>
      <c r="O770" t="str">
        <f>DEC2HEX(_xlfn.BITRSHIFT(HEX2DEC(MID('paste from garc here'!$C$1,1+(('table for research'!$B770-1)*36+HEX2DEC(9))*2,2)&amp;MID('paste from garc here'!$C$1,1+(('table for research'!$B770-1)*36+HEX2DEC(8))*2,2)),11),2)</f>
        <v>00</v>
      </c>
      <c r="P770" t="str">
        <f>MID('paste from garc here'!$C$2,1+(('table for research'!$B770-456)*36+HEX2DEC('table for research'!P$1))*2,2)</f>
        <v>00</v>
      </c>
      <c r="Q770" t="str">
        <f>MID('paste from garc here'!$C$2,1+(('table for research'!$B770-456)*36+HEX2DEC('table for research'!Q$1))*2,2)</f>
        <v>00</v>
      </c>
      <c r="R770" t="str">
        <f>MID('paste from garc here'!$C$2,1+(('table for research'!$B770-456)*36+HEX2DEC('table for research'!R$1))*2,2)</f>
        <v>00</v>
      </c>
      <c r="S770" t="str">
        <f>MID('paste from garc here'!$C$2,1+(('table for research'!$B770-456)*36+HEX2DEC('table for research'!S$1))*2,2)</f>
        <v>01</v>
      </c>
      <c r="T770" t="str">
        <f>MID('paste from garc here'!$C$2,1+(('table for research'!$B770-456)*36+HEX2DEC('table for research'!T$1))*2,2)</f>
        <v>00</v>
      </c>
      <c r="U770" t="str">
        <f>MID('paste from garc here'!$C$2,1+(('table for research'!$B770-456)*36+HEX2DEC('table for research'!U$1))*2,2)</f>
        <v>DF</v>
      </c>
      <c r="V770" t="str">
        <f>MID('paste from garc here'!$C$2,1+(('table for research'!$B770-456)*36+HEX2DEC('table for research'!V$1))*2,2)</f>
        <v>00</v>
      </c>
      <c r="W770" t="str">
        <f>MID('paste from garc here'!$C$2,1+(('table for research'!$B770-456)*36+HEX2DEC('table for research'!W$1))*2,2)</f>
        <v>00</v>
      </c>
      <c r="X770" t="str">
        <f>MID('paste from garc here'!$C$2,1+(('table for research'!$B770-456)*36+HEX2DEC('table for research'!X$1))*2,2)</f>
        <v>00</v>
      </c>
      <c r="Y770" t="str">
        <f>MID('paste from garc here'!$C$2,1+(('table for research'!$B770-456)*36+HEX2DEC('table for research'!Y$1))*2,2)</f>
        <v>00</v>
      </c>
      <c r="Z770" t="str">
        <f>MID('paste from garc here'!$C$2,1+(('table for research'!$B770-456)*36+HEX2DEC('table for research'!Z$1))*2,2)</f>
        <v>00</v>
      </c>
      <c r="AA770" t="str">
        <f>MID('paste from garc here'!$C$2,1+(('table for research'!$B770-456)*36+HEX2DEC('table for research'!AA$1))*2,2)</f>
        <v>00</v>
      </c>
      <c r="AB770" t="str">
        <f>MID('paste from garc here'!$C$2,1+(('table for research'!$B770-456)*36+HEX2DEC('table for research'!AB$1))*2,2)</f>
        <v>00</v>
      </c>
      <c r="AC770" t="str">
        <f>MID('paste from garc here'!$C$2,1+(('table for research'!$B770-456)*36+HEX2DEC('table for research'!AC$1))*2,2)</f>
        <v>00</v>
      </c>
      <c r="AD770" t="str">
        <f>MID('paste from garc here'!$C$2,1+(('table for research'!$B770-456)*36+HEX2DEC('table for research'!AD$1))*2,2)</f>
        <v>00</v>
      </c>
      <c r="AE770" t="str">
        <f>MID('paste from garc here'!$C$2,1+(('table for research'!$B770-456)*36+HEX2DEC('table for research'!AE$1))*2,2)</f>
        <v>00</v>
      </c>
      <c r="AF770" t="str">
        <f>MID('paste from garc here'!$C$2,1+(('table for research'!$B770-456)*36+HEX2DEC('table for research'!AF$1))*2,2)</f>
        <v>00</v>
      </c>
      <c r="AG770" t="str">
        <f>MID('paste from garc here'!$C$2,1+(('table for research'!$B770-456)*36+HEX2DEC('table for research'!AG$1))*2,2)</f>
        <v>00</v>
      </c>
      <c r="AH770" t="str">
        <f>MID('paste from garc here'!$C$2,1+(('table for research'!$B770-456)*36+HEX2DEC('table for research'!AH$1))*2,2)</f>
        <v>00</v>
      </c>
      <c r="AI770" t="str">
        <f>MID('paste from garc here'!$C$2,1+(('table for research'!$B770-456)*36+HEX2DEC('table for research'!AI$1))*2,2)</f>
        <v>00</v>
      </c>
      <c r="AJ770" t="str">
        <f>MID('paste from garc here'!$C$2,1+(('table for research'!$B770-456)*36+HEX2DEC('table for research'!AJ$1))*2,2)</f>
        <v>00</v>
      </c>
      <c r="AK770" t="str">
        <f>MID('paste from garc here'!$C$2,1+(('table for research'!$B770-456)*36+HEX2DEC('table for research'!AK$1))*2,2)</f>
        <v>00</v>
      </c>
      <c r="AL770" t="str">
        <f>MID('paste from garc here'!$C$2,1+(('table for research'!$B770-456)*36+HEX2DEC('table for research'!AL$1))*2,2)</f>
        <v>00</v>
      </c>
      <c r="AM770" t="str">
        <f>MID('paste from garc here'!$C$2,1+(('table for research'!$B770-456)*36+HEX2DEC('table for research'!AM$1))*2,2)</f>
        <v>00</v>
      </c>
      <c r="AN770" t="str">
        <f>MID('paste from garc here'!$C$2,1+(('table for research'!$B770-456)*36+HEX2DEC('table for research'!AN$1))*2,2)</f>
        <v>00</v>
      </c>
      <c r="AO770" t="str">
        <f>MID('paste from garc here'!$C$2,1+(('table for research'!$B770-456)*36+HEX2DEC('table for research'!AO$1))*2,2)</f>
        <v>00</v>
      </c>
    </row>
    <row r="771" spans="1:41" x14ac:dyDescent="0.4">
      <c r="A771" t="s">
        <v>763</v>
      </c>
      <c r="B771">
        <f>B770+1</f>
        <v>769</v>
      </c>
      <c r="C771" t="str">
        <f>MID('paste from garc here'!$C$2,1+(('table for research'!$B771-456)*36+HEX2DEC('table for research'!C$1))*2,2)</f>
        <v>00</v>
      </c>
      <c r="D771" t="str">
        <f>MID('paste from garc here'!$C$2,1+(('table for research'!$B771-456)*36+HEX2DEC('table for research'!D$1))*2,2)</f>
        <v>00</v>
      </c>
      <c r="E771" t="str">
        <f>MID('paste from garc here'!$C$2,1+(('table for research'!$B771-456)*36+HEX2DEC('table for research'!E$1))*2,2)</f>
        <v>00</v>
      </c>
      <c r="F771" t="str">
        <f>MID('paste from garc here'!$C$2,1+(('table for research'!$B771-456)*36+HEX2DEC('table for research'!F$1))*2,2)</f>
        <v>00</v>
      </c>
      <c r="G771" t="str">
        <f>MID('paste from garc here'!$C$2,1+(('table for research'!$B771-456)*36+HEX2DEC('table for research'!G$1))*2,2)</f>
        <v>00</v>
      </c>
      <c r="H771" t="str">
        <f>MID('paste from garc here'!$C$2,1+(('table for research'!$B771-456)*36+HEX2DEC('table for research'!H$1))*2,2)</f>
        <v>00</v>
      </c>
      <c r="I771" t="str">
        <f>MID('paste from garc here'!$C$2,1+(('table for research'!$B771-456)*36+HEX2DEC('table for research'!I$1))*2,2)</f>
        <v>50</v>
      </c>
      <c r="J771" t="str">
        <f>MID('paste from garc here'!$C$2,1+(('table for research'!$B771-456)*36+HEX2DEC('table for research'!J$1))*2,2)</f>
        <v>00</v>
      </c>
      <c r="K771" t="str">
        <f>DEC2HEX(_xlfn.BITAND(HEX2DEC(MID('paste from garc here'!$C$1,1+(('table for research'!$B771-1)*36+HEX2DEC(8))*2,2)),31),2)</f>
        <v>00</v>
      </c>
      <c r="L771" t="str">
        <f>DEC2HEX(_xlfn.BITAND(HEX2DEC(MID('paste from garc here'!$C$1,1+(('table for research'!$B771-1)*36+HEX2DEC(8))*2,2)),32),2)</f>
        <v>00</v>
      </c>
      <c r="M771" t="str">
        <f>DEC2HEX(_xlfn.BITAND(HEX2DEC(MID('paste from garc here'!$C$1,1+(('table for research'!$B771-1)*36+HEX2DEC(8))*2,2)),64),2)</f>
        <v>00</v>
      </c>
      <c r="N771" t="str">
        <f>DEC2HEX(_xlfn.BITRSHIFT(_xlfn.BITAND(HEX2DEC(MID('paste from garc here'!$C$1,1+(('table for research'!$B771-1)*36+HEX2DEC(9))*2,2)&amp;MID('paste from garc here'!$C$1,1+(('table for research'!$B771-1)*36+HEX2DEC(8))*2,2)),1920),7),2)</f>
        <v>00</v>
      </c>
      <c r="O771" t="str">
        <f>DEC2HEX(_xlfn.BITRSHIFT(HEX2DEC(MID('paste from garc here'!$C$1,1+(('table for research'!$B771-1)*36+HEX2DEC(9))*2,2)&amp;MID('paste from garc here'!$C$1,1+(('table for research'!$B771-1)*36+HEX2DEC(8))*2,2)),11),2)</f>
        <v>00</v>
      </c>
      <c r="P771" t="str">
        <f>MID('paste from garc here'!$C$2,1+(('table for research'!$B771-456)*36+HEX2DEC('table for research'!P$1))*2,2)</f>
        <v>00</v>
      </c>
      <c r="Q771" t="str">
        <f>MID('paste from garc here'!$C$2,1+(('table for research'!$B771-456)*36+HEX2DEC('table for research'!Q$1))*2,2)</f>
        <v>00</v>
      </c>
      <c r="R771" t="str">
        <f>MID('paste from garc here'!$C$2,1+(('table for research'!$B771-456)*36+HEX2DEC('table for research'!R$1))*2,2)</f>
        <v>00</v>
      </c>
      <c r="S771" t="str">
        <f>MID('paste from garc here'!$C$2,1+(('table for research'!$B771-456)*36+HEX2DEC('table for research'!S$1))*2,2)</f>
        <v>01</v>
      </c>
      <c r="T771" t="str">
        <f>MID('paste from garc here'!$C$2,1+(('table for research'!$B771-456)*36+HEX2DEC('table for research'!T$1))*2,2)</f>
        <v>00</v>
      </c>
      <c r="U771" t="str">
        <f>MID('paste from garc here'!$C$2,1+(('table for research'!$B771-456)*36+HEX2DEC('table for research'!U$1))*2,2)</f>
        <v>DD</v>
      </c>
      <c r="V771" t="str">
        <f>MID('paste from garc here'!$C$2,1+(('table for research'!$B771-456)*36+HEX2DEC('table for research'!V$1))*2,2)</f>
        <v>00</v>
      </c>
      <c r="W771" t="str">
        <f>MID('paste from garc here'!$C$2,1+(('table for research'!$B771-456)*36+HEX2DEC('table for research'!W$1))*2,2)</f>
        <v>00</v>
      </c>
      <c r="X771" t="str">
        <f>MID('paste from garc here'!$C$2,1+(('table for research'!$B771-456)*36+HEX2DEC('table for research'!X$1))*2,2)</f>
        <v>00</v>
      </c>
      <c r="Y771" t="str">
        <f>MID('paste from garc here'!$C$2,1+(('table for research'!$B771-456)*36+HEX2DEC('table for research'!Y$1))*2,2)</f>
        <v>00</v>
      </c>
      <c r="Z771" t="str">
        <f>MID('paste from garc here'!$C$2,1+(('table for research'!$B771-456)*36+HEX2DEC('table for research'!Z$1))*2,2)</f>
        <v>00</v>
      </c>
      <c r="AA771" t="str">
        <f>MID('paste from garc here'!$C$2,1+(('table for research'!$B771-456)*36+HEX2DEC('table for research'!AA$1))*2,2)</f>
        <v>00</v>
      </c>
      <c r="AB771" t="str">
        <f>MID('paste from garc here'!$C$2,1+(('table for research'!$B771-456)*36+HEX2DEC('table for research'!AB$1))*2,2)</f>
        <v>00</v>
      </c>
      <c r="AC771" t="str">
        <f>MID('paste from garc here'!$C$2,1+(('table for research'!$B771-456)*36+HEX2DEC('table for research'!AC$1))*2,2)</f>
        <v>00</v>
      </c>
      <c r="AD771" t="str">
        <f>MID('paste from garc here'!$C$2,1+(('table for research'!$B771-456)*36+HEX2DEC('table for research'!AD$1))*2,2)</f>
        <v>00</v>
      </c>
      <c r="AE771" t="str">
        <f>MID('paste from garc here'!$C$2,1+(('table for research'!$B771-456)*36+HEX2DEC('table for research'!AE$1))*2,2)</f>
        <v>00</v>
      </c>
      <c r="AF771" t="str">
        <f>MID('paste from garc here'!$C$2,1+(('table for research'!$B771-456)*36+HEX2DEC('table for research'!AF$1))*2,2)</f>
        <v>00</v>
      </c>
      <c r="AG771" t="str">
        <f>MID('paste from garc here'!$C$2,1+(('table for research'!$B771-456)*36+HEX2DEC('table for research'!AG$1))*2,2)</f>
        <v>00</v>
      </c>
      <c r="AH771" t="str">
        <f>MID('paste from garc here'!$C$2,1+(('table for research'!$B771-456)*36+HEX2DEC('table for research'!AH$1))*2,2)</f>
        <v>00</v>
      </c>
      <c r="AI771" t="str">
        <f>MID('paste from garc here'!$C$2,1+(('table for research'!$B771-456)*36+HEX2DEC('table for research'!AI$1))*2,2)</f>
        <v>00</v>
      </c>
      <c r="AJ771" t="str">
        <f>MID('paste from garc here'!$C$2,1+(('table for research'!$B771-456)*36+HEX2DEC('table for research'!AJ$1))*2,2)</f>
        <v>00</v>
      </c>
      <c r="AK771" t="str">
        <f>MID('paste from garc here'!$C$2,1+(('table for research'!$B771-456)*36+HEX2DEC('table for research'!AK$1))*2,2)</f>
        <v>00</v>
      </c>
      <c r="AL771" t="str">
        <f>MID('paste from garc here'!$C$2,1+(('table for research'!$B771-456)*36+HEX2DEC('table for research'!AL$1))*2,2)</f>
        <v>00</v>
      </c>
      <c r="AM771" t="str">
        <f>MID('paste from garc here'!$C$2,1+(('table for research'!$B771-456)*36+HEX2DEC('table for research'!AM$1))*2,2)</f>
        <v>00</v>
      </c>
      <c r="AN771" t="str">
        <f>MID('paste from garc here'!$C$2,1+(('table for research'!$B771-456)*36+HEX2DEC('table for research'!AN$1))*2,2)</f>
        <v>00</v>
      </c>
      <c r="AO771" t="str">
        <f>MID('paste from garc here'!$C$2,1+(('table for research'!$B771-456)*36+HEX2DEC('table for research'!AO$1))*2,2)</f>
        <v>00</v>
      </c>
    </row>
    <row r="772" spans="1:41" x14ac:dyDescent="0.4">
      <c r="A772" t="s">
        <v>764</v>
      </c>
      <c r="B772">
        <f>B771+1</f>
        <v>770</v>
      </c>
      <c r="C772" t="str">
        <f>MID('paste from garc here'!$C$2,1+(('table for research'!$B772-456)*36+HEX2DEC('table for research'!C$1))*2,2)</f>
        <v>00</v>
      </c>
      <c r="D772" t="str">
        <f>MID('paste from garc here'!$C$2,1+(('table for research'!$B772-456)*36+HEX2DEC('table for research'!D$1))*2,2)</f>
        <v>00</v>
      </c>
      <c r="E772" t="str">
        <f>MID('paste from garc here'!$C$2,1+(('table for research'!$B772-456)*36+HEX2DEC('table for research'!E$1))*2,2)</f>
        <v>00</v>
      </c>
      <c r="F772" t="str">
        <f>MID('paste from garc here'!$C$2,1+(('table for research'!$B772-456)*36+HEX2DEC('table for research'!F$1))*2,2)</f>
        <v>00</v>
      </c>
      <c r="G772" t="str">
        <f>MID('paste from garc here'!$C$2,1+(('table for research'!$B772-456)*36+HEX2DEC('table for research'!G$1))*2,2)</f>
        <v>00</v>
      </c>
      <c r="H772" t="str">
        <f>MID('paste from garc here'!$C$2,1+(('table for research'!$B772-456)*36+HEX2DEC('table for research'!H$1))*2,2)</f>
        <v>00</v>
      </c>
      <c r="I772" t="str">
        <f>MID('paste from garc here'!$C$2,1+(('table for research'!$B772-456)*36+HEX2DEC('table for research'!I$1))*2,2)</f>
        <v>50</v>
      </c>
      <c r="J772" t="str">
        <f>MID('paste from garc here'!$C$2,1+(('table for research'!$B772-456)*36+HEX2DEC('table for research'!J$1))*2,2)</f>
        <v>00</v>
      </c>
      <c r="K772" t="str">
        <f>DEC2HEX(_xlfn.BITAND(HEX2DEC(MID('paste from garc here'!$C$1,1+(('table for research'!$B772-1)*36+HEX2DEC(8))*2,2)),31),2)</f>
        <v>00</v>
      </c>
      <c r="L772" t="str">
        <f>DEC2HEX(_xlfn.BITAND(HEX2DEC(MID('paste from garc here'!$C$1,1+(('table for research'!$B772-1)*36+HEX2DEC(8))*2,2)),32),2)</f>
        <v>00</v>
      </c>
      <c r="M772" t="str">
        <f>DEC2HEX(_xlfn.BITAND(HEX2DEC(MID('paste from garc here'!$C$1,1+(('table for research'!$B772-1)*36+HEX2DEC(8))*2,2)),64),2)</f>
        <v>00</v>
      </c>
      <c r="N772" t="str">
        <f>DEC2HEX(_xlfn.BITRSHIFT(_xlfn.BITAND(HEX2DEC(MID('paste from garc here'!$C$1,1+(('table for research'!$B772-1)*36+HEX2DEC(9))*2,2)&amp;MID('paste from garc here'!$C$1,1+(('table for research'!$B772-1)*36+HEX2DEC(8))*2,2)),1920),7),2)</f>
        <v>00</v>
      </c>
      <c r="O772" t="str">
        <f>DEC2HEX(_xlfn.BITRSHIFT(HEX2DEC(MID('paste from garc here'!$C$1,1+(('table for research'!$B772-1)*36+HEX2DEC(9))*2,2)&amp;MID('paste from garc here'!$C$1,1+(('table for research'!$B772-1)*36+HEX2DEC(8))*2,2)),11),2)</f>
        <v>00</v>
      </c>
      <c r="P772" t="str">
        <f>MID('paste from garc here'!$C$2,1+(('table for research'!$B772-456)*36+HEX2DEC('table for research'!P$1))*2,2)</f>
        <v>00</v>
      </c>
      <c r="Q772" t="str">
        <f>MID('paste from garc here'!$C$2,1+(('table for research'!$B772-456)*36+HEX2DEC('table for research'!Q$1))*2,2)</f>
        <v>00</v>
      </c>
      <c r="R772" t="str">
        <f>MID('paste from garc here'!$C$2,1+(('table for research'!$B772-456)*36+HEX2DEC('table for research'!R$1))*2,2)</f>
        <v>00</v>
      </c>
      <c r="S772" t="str">
        <f>MID('paste from garc here'!$C$2,1+(('table for research'!$B772-456)*36+HEX2DEC('table for research'!S$1))*2,2)</f>
        <v>01</v>
      </c>
      <c r="T772" t="str">
        <f>MID('paste from garc here'!$C$2,1+(('table for research'!$B772-456)*36+HEX2DEC('table for research'!T$1))*2,2)</f>
        <v>00</v>
      </c>
      <c r="U772" t="str">
        <f>MID('paste from garc here'!$C$2,1+(('table for research'!$B772-456)*36+HEX2DEC('table for research'!U$1))*2,2)</f>
        <v>CC</v>
      </c>
      <c r="V772" t="str">
        <f>MID('paste from garc here'!$C$2,1+(('table for research'!$B772-456)*36+HEX2DEC('table for research'!V$1))*2,2)</f>
        <v>00</v>
      </c>
      <c r="W772" t="str">
        <f>MID('paste from garc here'!$C$2,1+(('table for research'!$B772-456)*36+HEX2DEC('table for research'!W$1))*2,2)</f>
        <v>00</v>
      </c>
      <c r="X772" t="str">
        <f>MID('paste from garc here'!$C$2,1+(('table for research'!$B772-456)*36+HEX2DEC('table for research'!X$1))*2,2)</f>
        <v>00</v>
      </c>
      <c r="Y772" t="str">
        <f>MID('paste from garc here'!$C$2,1+(('table for research'!$B772-456)*36+HEX2DEC('table for research'!Y$1))*2,2)</f>
        <v>00</v>
      </c>
      <c r="Z772" t="str">
        <f>MID('paste from garc here'!$C$2,1+(('table for research'!$B772-456)*36+HEX2DEC('table for research'!Z$1))*2,2)</f>
        <v>00</v>
      </c>
      <c r="AA772" t="str">
        <f>MID('paste from garc here'!$C$2,1+(('table for research'!$B772-456)*36+HEX2DEC('table for research'!AA$1))*2,2)</f>
        <v>00</v>
      </c>
      <c r="AB772" t="str">
        <f>MID('paste from garc here'!$C$2,1+(('table for research'!$B772-456)*36+HEX2DEC('table for research'!AB$1))*2,2)</f>
        <v>00</v>
      </c>
      <c r="AC772" t="str">
        <f>MID('paste from garc here'!$C$2,1+(('table for research'!$B772-456)*36+HEX2DEC('table for research'!AC$1))*2,2)</f>
        <v>00</v>
      </c>
      <c r="AD772" t="str">
        <f>MID('paste from garc here'!$C$2,1+(('table for research'!$B772-456)*36+HEX2DEC('table for research'!AD$1))*2,2)</f>
        <v>00</v>
      </c>
      <c r="AE772" t="str">
        <f>MID('paste from garc here'!$C$2,1+(('table for research'!$B772-456)*36+HEX2DEC('table for research'!AE$1))*2,2)</f>
        <v>00</v>
      </c>
      <c r="AF772" t="str">
        <f>MID('paste from garc here'!$C$2,1+(('table for research'!$B772-456)*36+HEX2DEC('table for research'!AF$1))*2,2)</f>
        <v>00</v>
      </c>
      <c r="AG772" t="str">
        <f>MID('paste from garc here'!$C$2,1+(('table for research'!$B772-456)*36+HEX2DEC('table for research'!AG$1))*2,2)</f>
        <v>00</v>
      </c>
      <c r="AH772" t="str">
        <f>MID('paste from garc here'!$C$2,1+(('table for research'!$B772-456)*36+HEX2DEC('table for research'!AH$1))*2,2)</f>
        <v>00</v>
      </c>
      <c r="AI772" t="str">
        <f>MID('paste from garc here'!$C$2,1+(('table for research'!$B772-456)*36+HEX2DEC('table for research'!AI$1))*2,2)</f>
        <v>00</v>
      </c>
      <c r="AJ772" t="str">
        <f>MID('paste from garc here'!$C$2,1+(('table for research'!$B772-456)*36+HEX2DEC('table for research'!AJ$1))*2,2)</f>
        <v>00</v>
      </c>
      <c r="AK772" t="str">
        <f>MID('paste from garc here'!$C$2,1+(('table for research'!$B772-456)*36+HEX2DEC('table for research'!AK$1))*2,2)</f>
        <v>00</v>
      </c>
      <c r="AL772" t="str">
        <f>MID('paste from garc here'!$C$2,1+(('table for research'!$B772-456)*36+HEX2DEC('table for research'!AL$1))*2,2)</f>
        <v>00</v>
      </c>
      <c r="AM772" t="str">
        <f>MID('paste from garc here'!$C$2,1+(('table for research'!$B772-456)*36+HEX2DEC('table for research'!AM$1))*2,2)</f>
        <v>00</v>
      </c>
      <c r="AN772" t="str">
        <f>MID('paste from garc here'!$C$2,1+(('table for research'!$B772-456)*36+HEX2DEC('table for research'!AN$1))*2,2)</f>
        <v>00</v>
      </c>
      <c r="AO772" t="str">
        <f>MID('paste from garc here'!$C$2,1+(('table for research'!$B772-456)*36+HEX2DEC('table for research'!AO$1))*2,2)</f>
        <v>00</v>
      </c>
    </row>
    <row r="773" spans="1:41" x14ac:dyDescent="0.4">
      <c r="A773" t="s">
        <v>727</v>
      </c>
      <c r="B773">
        <f>B772+1</f>
        <v>771</v>
      </c>
      <c r="C773" t="str">
        <f>MID('paste from garc here'!$C$2,1+(('table for research'!$B773-456)*36+HEX2DEC('table for research'!C$1))*2,2)</f>
        <v>00</v>
      </c>
      <c r="D773" t="str">
        <f>MID('paste from garc here'!$C$2,1+(('table for research'!$B773-456)*36+HEX2DEC('table for research'!D$1))*2,2)</f>
        <v>00</v>
      </c>
      <c r="E773" t="str">
        <f>MID('paste from garc here'!$C$2,1+(('table for research'!$B773-456)*36+HEX2DEC('table for research'!E$1))*2,2)</f>
        <v>00</v>
      </c>
      <c r="F773" t="str">
        <f>MID('paste from garc here'!$C$2,1+(('table for research'!$B773-456)*36+HEX2DEC('table for research'!F$1))*2,2)</f>
        <v>00</v>
      </c>
      <c r="G773" t="str">
        <f>MID('paste from garc here'!$C$2,1+(('table for research'!$B773-456)*36+HEX2DEC('table for research'!G$1))*2,2)</f>
        <v>00</v>
      </c>
      <c r="H773" t="str">
        <f>MID('paste from garc here'!$C$2,1+(('table for research'!$B773-456)*36+HEX2DEC('table for research'!H$1))*2,2)</f>
        <v>00</v>
      </c>
      <c r="I773" t="str">
        <f>MID('paste from garc here'!$C$2,1+(('table for research'!$B773-456)*36+HEX2DEC('table for research'!I$1))*2,2)</f>
        <v>00</v>
      </c>
      <c r="J773" t="str">
        <f>MID('paste from garc here'!$C$2,1+(('table for research'!$B773-456)*36+HEX2DEC('table for research'!J$1))*2,2)</f>
        <v>00</v>
      </c>
      <c r="K773" t="str">
        <f>DEC2HEX(_xlfn.BITAND(HEX2DEC(MID('paste from garc here'!$C$1,1+(('table for research'!$B773-1)*36+HEX2DEC(8))*2,2)),31),2)</f>
        <v>00</v>
      </c>
      <c r="L773" t="str">
        <f>DEC2HEX(_xlfn.BITAND(HEX2DEC(MID('paste from garc here'!$C$1,1+(('table for research'!$B773-1)*36+HEX2DEC(8))*2,2)),32),2)</f>
        <v>00</v>
      </c>
      <c r="M773" t="str">
        <f>DEC2HEX(_xlfn.BITAND(HEX2DEC(MID('paste from garc here'!$C$1,1+(('table for research'!$B773-1)*36+HEX2DEC(8))*2,2)),64),2)</f>
        <v>00</v>
      </c>
      <c r="N773" t="str">
        <f>DEC2HEX(_xlfn.BITRSHIFT(_xlfn.BITAND(HEX2DEC(MID('paste from garc here'!$C$1,1+(('table for research'!$B773-1)*36+HEX2DEC(9))*2,2)&amp;MID('paste from garc here'!$C$1,1+(('table for research'!$B773-1)*36+HEX2DEC(8))*2,2)),1920),7),2)</f>
        <v>00</v>
      </c>
      <c r="O773" t="str">
        <f>DEC2HEX(_xlfn.BITRSHIFT(HEX2DEC(MID('paste from garc here'!$C$1,1+(('table for research'!$B773-1)*36+HEX2DEC(9))*2,2)&amp;MID('paste from garc here'!$C$1,1+(('table for research'!$B773-1)*36+HEX2DEC(8))*2,2)),11),2)</f>
        <v>00</v>
      </c>
      <c r="P773" t="str">
        <f>MID('paste from garc here'!$C$2,1+(('table for research'!$B773-456)*36+HEX2DEC('table for research'!P$1))*2,2)</f>
        <v>00</v>
      </c>
      <c r="Q773" t="str">
        <f>MID('paste from garc here'!$C$2,1+(('table for research'!$B773-456)*36+HEX2DEC('table for research'!Q$1))*2,2)</f>
        <v>00</v>
      </c>
      <c r="R773" t="str">
        <f>MID('paste from garc here'!$C$2,1+(('table for research'!$B773-456)*36+HEX2DEC('table for research'!R$1))*2,2)</f>
        <v>00</v>
      </c>
      <c r="S773" t="str">
        <f>MID('paste from garc here'!$C$2,1+(('table for research'!$B773-456)*36+HEX2DEC('table for research'!S$1))*2,2)</f>
        <v>08</v>
      </c>
      <c r="T773" t="str">
        <f>MID('paste from garc here'!$C$2,1+(('table for research'!$B773-456)*36+HEX2DEC('table for research'!T$1))*2,2)</f>
        <v>00</v>
      </c>
      <c r="U773" t="str">
        <f>MID('paste from garc here'!$C$2,1+(('table for research'!$B773-456)*36+HEX2DEC('table for research'!U$1))*2,2)</f>
        <v>FF</v>
      </c>
      <c r="V773" t="str">
        <f>MID('paste from garc here'!$C$2,1+(('table for research'!$B773-456)*36+HEX2DEC('table for research'!V$1))*2,2)</f>
        <v>00</v>
      </c>
      <c r="W773" t="str">
        <f>MID('paste from garc here'!$C$2,1+(('table for research'!$B773-456)*36+HEX2DEC('table for research'!W$1))*2,2)</f>
        <v>00</v>
      </c>
      <c r="X773" t="str">
        <f>MID('paste from garc here'!$C$2,1+(('table for research'!$B773-456)*36+HEX2DEC('table for research'!X$1))*2,2)</f>
        <v>00</v>
      </c>
      <c r="Y773" t="str">
        <f>MID('paste from garc here'!$C$2,1+(('table for research'!$B773-456)*36+HEX2DEC('table for research'!Y$1))*2,2)</f>
        <v>00</v>
      </c>
      <c r="Z773" t="str">
        <f>MID('paste from garc here'!$C$2,1+(('table for research'!$B773-456)*36+HEX2DEC('table for research'!Z$1))*2,2)</f>
        <v>00</v>
      </c>
      <c r="AA773" t="str">
        <f>MID('paste from garc here'!$C$2,1+(('table for research'!$B773-456)*36+HEX2DEC('table for research'!AA$1))*2,2)</f>
        <v>00</v>
      </c>
      <c r="AB773" t="str">
        <f>MID('paste from garc here'!$C$2,1+(('table for research'!$B773-456)*36+HEX2DEC('table for research'!AB$1))*2,2)</f>
        <v>00</v>
      </c>
      <c r="AC773" t="str">
        <f>MID('paste from garc here'!$C$2,1+(('table for research'!$B773-456)*36+HEX2DEC('table for research'!AC$1))*2,2)</f>
        <v>00</v>
      </c>
      <c r="AD773" t="str">
        <f>MID('paste from garc here'!$C$2,1+(('table for research'!$B773-456)*36+HEX2DEC('table for research'!AD$1))*2,2)</f>
        <v>00</v>
      </c>
      <c r="AE773" t="str">
        <f>MID('paste from garc here'!$C$2,1+(('table for research'!$B773-456)*36+HEX2DEC('table for research'!AE$1))*2,2)</f>
        <v>00</v>
      </c>
      <c r="AF773" t="str">
        <f>MID('paste from garc here'!$C$2,1+(('table for research'!$B773-456)*36+HEX2DEC('table for research'!AF$1))*2,2)</f>
        <v>00</v>
      </c>
      <c r="AG773" t="str">
        <f>MID('paste from garc here'!$C$2,1+(('table for research'!$B773-456)*36+HEX2DEC('table for research'!AG$1))*2,2)</f>
        <v>00</v>
      </c>
      <c r="AH773" t="str">
        <f>MID('paste from garc here'!$C$2,1+(('table for research'!$B773-456)*36+HEX2DEC('table for research'!AH$1))*2,2)</f>
        <v>00</v>
      </c>
      <c r="AI773" t="str">
        <f>MID('paste from garc here'!$C$2,1+(('table for research'!$B773-456)*36+HEX2DEC('table for research'!AI$1))*2,2)</f>
        <v>00</v>
      </c>
      <c r="AJ773" t="str">
        <f>MID('paste from garc here'!$C$2,1+(('table for research'!$B773-456)*36+HEX2DEC('table for research'!AJ$1))*2,2)</f>
        <v>00</v>
      </c>
      <c r="AK773" t="str">
        <f>MID('paste from garc here'!$C$2,1+(('table for research'!$B773-456)*36+HEX2DEC('table for research'!AK$1))*2,2)</f>
        <v>00</v>
      </c>
      <c r="AL773" t="str">
        <f>MID('paste from garc here'!$C$2,1+(('table for research'!$B773-456)*36+HEX2DEC('table for research'!AL$1))*2,2)</f>
        <v>00</v>
      </c>
      <c r="AM773" t="str">
        <f>MID('paste from garc here'!$C$2,1+(('table for research'!$B773-456)*36+HEX2DEC('table for research'!AM$1))*2,2)</f>
        <v>00</v>
      </c>
      <c r="AN773" t="str">
        <f>MID('paste from garc here'!$C$2,1+(('table for research'!$B773-456)*36+HEX2DEC('table for research'!AN$1))*2,2)</f>
        <v>00</v>
      </c>
      <c r="AO773" t="str">
        <f>MID('paste from garc here'!$C$2,1+(('table for research'!$B773-456)*36+HEX2DEC('table for research'!AO$1))*2,2)</f>
        <v>00</v>
      </c>
    </row>
    <row r="774" spans="1:41" x14ac:dyDescent="0.4">
      <c r="A774" t="s">
        <v>765</v>
      </c>
      <c r="B774">
        <f>B773+1</f>
        <v>772</v>
      </c>
      <c r="C774" t="str">
        <f>MID('paste from garc here'!$C$2,1+(('table for research'!$B774-456)*36+HEX2DEC('table for research'!C$1))*2,2)</f>
        <v>00</v>
      </c>
      <c r="D774" t="str">
        <f>MID('paste from garc here'!$C$2,1+(('table for research'!$B774-456)*36+HEX2DEC('table for research'!D$1))*2,2)</f>
        <v>00</v>
      </c>
      <c r="E774" t="str">
        <f>MID('paste from garc here'!$C$2,1+(('table for research'!$B774-456)*36+HEX2DEC('table for research'!E$1))*2,2)</f>
        <v>00</v>
      </c>
      <c r="F774" t="str">
        <f>MID('paste from garc here'!$C$2,1+(('table for research'!$B774-456)*36+HEX2DEC('table for research'!F$1))*2,2)</f>
        <v>00</v>
      </c>
      <c r="G774" t="str">
        <f>MID('paste from garc here'!$C$2,1+(('table for research'!$B774-456)*36+HEX2DEC('table for research'!G$1))*2,2)</f>
        <v>00</v>
      </c>
      <c r="H774" t="str">
        <f>MID('paste from garc here'!$C$2,1+(('table for research'!$B774-456)*36+HEX2DEC('table for research'!H$1))*2,2)</f>
        <v>00</v>
      </c>
      <c r="I774" t="str">
        <f>MID('paste from garc here'!$C$2,1+(('table for research'!$B774-456)*36+HEX2DEC('table for research'!I$1))*2,2)</f>
        <v>1E</v>
      </c>
      <c r="J774" t="str">
        <f>MID('paste from garc here'!$C$2,1+(('table for research'!$B774-456)*36+HEX2DEC('table for research'!J$1))*2,2)</f>
        <v>00</v>
      </c>
      <c r="K774" t="str">
        <f>DEC2HEX(_xlfn.BITAND(HEX2DEC(MID('paste from garc here'!$C$1,1+(('table for research'!$B774-1)*36+HEX2DEC(8))*2,2)),31),2)</f>
        <v>00</v>
      </c>
      <c r="L774" t="str">
        <f>DEC2HEX(_xlfn.BITAND(HEX2DEC(MID('paste from garc here'!$C$1,1+(('table for research'!$B774-1)*36+HEX2DEC(8))*2,2)),32),2)</f>
        <v>00</v>
      </c>
      <c r="M774" t="str">
        <f>DEC2HEX(_xlfn.BITAND(HEX2DEC(MID('paste from garc here'!$C$1,1+(('table for research'!$B774-1)*36+HEX2DEC(8))*2,2)),64),2)</f>
        <v>00</v>
      </c>
      <c r="N774" t="str">
        <f>DEC2HEX(_xlfn.BITRSHIFT(_xlfn.BITAND(HEX2DEC(MID('paste from garc here'!$C$1,1+(('table for research'!$B774-1)*36+HEX2DEC(9))*2,2)&amp;MID('paste from garc here'!$C$1,1+(('table for research'!$B774-1)*36+HEX2DEC(8))*2,2)),1920),7),2)</f>
        <v>00</v>
      </c>
      <c r="O774" t="str">
        <f>DEC2HEX(_xlfn.BITRSHIFT(HEX2DEC(MID('paste from garc here'!$C$1,1+(('table for research'!$B774-1)*36+HEX2DEC(9))*2,2)&amp;MID('paste from garc here'!$C$1,1+(('table for research'!$B774-1)*36+HEX2DEC(8))*2,2)),11),2)</f>
        <v>00</v>
      </c>
      <c r="P774" t="str">
        <f>MID('paste from garc here'!$C$2,1+(('table for research'!$B774-456)*36+HEX2DEC('table for research'!P$1))*2,2)</f>
        <v>06</v>
      </c>
      <c r="Q774" t="str">
        <f>MID('paste from garc here'!$C$2,1+(('table for research'!$B774-456)*36+HEX2DEC('table for research'!Q$1))*2,2)</f>
        <v>00</v>
      </c>
      <c r="R774" t="str">
        <f>MID('paste from garc here'!$C$2,1+(('table for research'!$B774-456)*36+HEX2DEC('table for research'!R$1))*2,2)</f>
        <v>01</v>
      </c>
      <c r="S774" t="str">
        <f>MID('paste from garc here'!$C$2,1+(('table for research'!$B774-456)*36+HEX2DEC('table for research'!S$1))*2,2)</f>
        <v>03</v>
      </c>
      <c r="T774" t="str">
        <f>MID('paste from garc here'!$C$2,1+(('table for research'!$B774-456)*36+HEX2DEC('table for research'!T$1))*2,2)</f>
        <v>00</v>
      </c>
      <c r="U774" t="str">
        <f>MID('paste from garc here'!$C$2,1+(('table for research'!$B774-456)*36+HEX2DEC('table for research'!U$1))*2,2)</f>
        <v>77</v>
      </c>
      <c r="V774" t="str">
        <f>MID('paste from garc here'!$C$2,1+(('table for research'!$B774-456)*36+HEX2DEC('table for research'!V$1))*2,2)</f>
        <v>00</v>
      </c>
      <c r="W774" t="str">
        <f>MID('paste from garc here'!$C$2,1+(('table for research'!$B774-456)*36+HEX2DEC('table for research'!W$1))*2,2)</f>
        <v>08</v>
      </c>
      <c r="X774" t="str">
        <f>MID('paste from garc here'!$C$2,1+(('table for research'!$B774-456)*36+HEX2DEC('table for research'!X$1))*2,2)</f>
        <v>00</v>
      </c>
      <c r="Y774" t="str">
        <f>MID('paste from garc here'!$C$2,1+(('table for research'!$B774-456)*36+HEX2DEC('table for research'!Y$1))*2,2)</f>
        <v>00</v>
      </c>
      <c r="Z774" t="str">
        <f>MID('paste from garc here'!$C$2,1+(('table for research'!$B774-456)*36+HEX2DEC('table for research'!Z$1))*2,2)</f>
        <v>00</v>
      </c>
      <c r="AA774" t="str">
        <f>MID('paste from garc here'!$C$2,1+(('table for research'!$B774-456)*36+HEX2DEC('table for research'!AA$1))*2,2)</f>
        <v>00</v>
      </c>
      <c r="AB774" t="str">
        <f>MID('paste from garc here'!$C$2,1+(('table for research'!$B774-456)*36+HEX2DEC('table for research'!AB$1))*2,2)</f>
        <v>00</v>
      </c>
      <c r="AC774" t="str">
        <f>MID('paste from garc here'!$C$2,1+(('table for research'!$B774-456)*36+HEX2DEC('table for research'!AC$1))*2,2)</f>
        <v>00</v>
      </c>
      <c r="AD774" t="str">
        <f>MID('paste from garc here'!$C$2,1+(('table for research'!$B774-456)*36+HEX2DEC('table for research'!AD$1))*2,2)</f>
        <v>00</v>
      </c>
      <c r="AE774" t="str">
        <f>MID('paste from garc here'!$C$2,1+(('table for research'!$B774-456)*36+HEX2DEC('table for research'!AE$1))*2,2)</f>
        <v>00</v>
      </c>
      <c r="AF774" t="str">
        <f>MID('paste from garc here'!$C$2,1+(('table for research'!$B774-456)*36+HEX2DEC('table for research'!AF$1))*2,2)</f>
        <v>00</v>
      </c>
      <c r="AG774" t="str">
        <f>MID('paste from garc here'!$C$2,1+(('table for research'!$B774-456)*36+HEX2DEC('table for research'!AG$1))*2,2)</f>
        <v>00</v>
      </c>
      <c r="AH774" t="str">
        <f>MID('paste from garc here'!$C$2,1+(('table for research'!$B774-456)*36+HEX2DEC('table for research'!AH$1))*2,2)</f>
        <v>00</v>
      </c>
      <c r="AI774" t="str">
        <f>MID('paste from garc here'!$C$2,1+(('table for research'!$B774-456)*36+HEX2DEC('table for research'!AI$1))*2,2)</f>
        <v>00</v>
      </c>
      <c r="AJ774" t="str">
        <f>MID('paste from garc here'!$C$2,1+(('table for research'!$B774-456)*36+HEX2DEC('table for research'!AJ$1))*2,2)</f>
        <v>00</v>
      </c>
      <c r="AK774" t="str">
        <f>MID('paste from garc here'!$C$2,1+(('table for research'!$B774-456)*36+HEX2DEC('table for research'!AK$1))*2,2)</f>
        <v>00</v>
      </c>
      <c r="AL774" t="str">
        <f>MID('paste from garc here'!$C$2,1+(('table for research'!$B774-456)*36+HEX2DEC('table for research'!AL$1))*2,2)</f>
        <v>00</v>
      </c>
      <c r="AM774" t="str">
        <f>MID('paste from garc here'!$C$2,1+(('table for research'!$B774-456)*36+HEX2DEC('table for research'!AM$1))*2,2)</f>
        <v>00</v>
      </c>
      <c r="AN774" t="str">
        <f>MID('paste from garc here'!$C$2,1+(('table for research'!$B774-456)*36+HEX2DEC('table for research'!AN$1))*2,2)</f>
        <v>00</v>
      </c>
      <c r="AO774" t="str">
        <f>MID('paste from garc here'!$C$2,1+(('table for research'!$B774-456)*36+HEX2DEC('table for research'!AO$1))*2,2)</f>
        <v>00</v>
      </c>
    </row>
    <row r="775" spans="1:41" x14ac:dyDescent="0.4">
      <c r="A775" t="s">
        <v>766</v>
      </c>
      <c r="B775">
        <f>B774+1</f>
        <v>773</v>
      </c>
      <c r="C775" t="str">
        <f>MID('paste from garc here'!$C$2,1+(('table for research'!$B775-456)*36+HEX2DEC('table for research'!C$1))*2,2)</f>
        <v>00</v>
      </c>
      <c r="D775" t="str">
        <f>MID('paste from garc here'!$C$2,1+(('table for research'!$B775-456)*36+HEX2DEC('table for research'!D$1))*2,2)</f>
        <v>00</v>
      </c>
      <c r="E775" t="str">
        <f>MID('paste from garc here'!$C$2,1+(('table for research'!$B775-456)*36+HEX2DEC('table for research'!E$1))*2,2)</f>
        <v>00</v>
      </c>
      <c r="F775" t="str">
        <f>MID('paste from garc here'!$C$2,1+(('table for research'!$B775-456)*36+HEX2DEC('table for research'!F$1))*2,2)</f>
        <v>00</v>
      </c>
      <c r="G775" t="str">
        <f>MID('paste from garc here'!$C$2,1+(('table for research'!$B775-456)*36+HEX2DEC('table for research'!G$1))*2,2)</f>
        <v>00</v>
      </c>
      <c r="H775" t="str">
        <f>MID('paste from garc here'!$C$2,1+(('table for research'!$B775-456)*36+HEX2DEC('table for research'!H$1))*2,2)</f>
        <v>00</v>
      </c>
      <c r="I775" t="str">
        <f>MID('paste from garc here'!$C$2,1+(('table for research'!$B775-456)*36+HEX2DEC('table for research'!I$1))*2,2)</f>
        <v>00</v>
      </c>
      <c r="J775" t="str">
        <f>MID('paste from garc here'!$C$2,1+(('table for research'!$B775-456)*36+HEX2DEC('table for research'!J$1))*2,2)</f>
        <v>00</v>
      </c>
      <c r="K775" t="str">
        <f>DEC2HEX(_xlfn.BITAND(HEX2DEC(MID('paste from garc here'!$C$1,1+(('table for research'!$B775-1)*36+HEX2DEC(8))*2,2)),31),2)</f>
        <v>00</v>
      </c>
      <c r="L775" t="str">
        <f>DEC2HEX(_xlfn.BITAND(HEX2DEC(MID('paste from garc here'!$C$1,1+(('table for research'!$B775-1)*36+HEX2DEC(8))*2,2)),32),2)</f>
        <v>00</v>
      </c>
      <c r="M775" t="str">
        <f>DEC2HEX(_xlfn.BITAND(HEX2DEC(MID('paste from garc here'!$C$1,1+(('table for research'!$B775-1)*36+HEX2DEC(8))*2,2)),64),2)</f>
        <v>00</v>
      </c>
      <c r="N775" t="str">
        <f>DEC2HEX(_xlfn.BITRSHIFT(_xlfn.BITAND(HEX2DEC(MID('paste from garc here'!$C$1,1+(('table for research'!$B775-1)*36+HEX2DEC(9))*2,2)&amp;MID('paste from garc here'!$C$1,1+(('table for research'!$B775-1)*36+HEX2DEC(8))*2,2)),1920),7),2)</f>
        <v>00</v>
      </c>
      <c r="O775" t="str">
        <f>DEC2HEX(_xlfn.BITRSHIFT(HEX2DEC(MID('paste from garc here'!$C$1,1+(('table for research'!$B775-1)*36+HEX2DEC(9))*2,2)&amp;MID('paste from garc here'!$C$1,1+(('table for research'!$B775-1)*36+HEX2DEC(8))*2,2)),11),2)</f>
        <v>00</v>
      </c>
      <c r="P775" t="str">
        <f>MID('paste from garc here'!$C$2,1+(('table for research'!$B775-456)*36+HEX2DEC('table for research'!P$1))*2,2)</f>
        <v>00</v>
      </c>
      <c r="Q775" t="str">
        <f>MID('paste from garc here'!$C$2,1+(('table for research'!$B775-456)*36+HEX2DEC('table for research'!Q$1))*2,2)</f>
        <v>00</v>
      </c>
      <c r="R775" t="str">
        <f>MID('paste from garc here'!$C$2,1+(('table for research'!$B775-456)*36+HEX2DEC('table for research'!R$1))*2,2)</f>
        <v>00</v>
      </c>
      <c r="S775" t="str">
        <f>MID('paste from garc here'!$C$2,1+(('table for research'!$B775-456)*36+HEX2DEC('table for research'!S$1))*2,2)</f>
        <v>08</v>
      </c>
      <c r="T775" t="str">
        <f>MID('paste from garc here'!$C$2,1+(('table for research'!$B775-456)*36+HEX2DEC('table for research'!T$1))*2,2)</f>
        <v>00</v>
      </c>
      <c r="U775" t="str">
        <f>MID('paste from garc here'!$C$2,1+(('table for research'!$B775-456)*36+HEX2DEC('table for research'!U$1))*2,2)</f>
        <v>06</v>
      </c>
      <c r="V775" t="str">
        <f>MID('paste from garc here'!$C$2,1+(('table for research'!$B775-456)*36+HEX2DEC('table for research'!V$1))*2,2)</f>
        <v>00</v>
      </c>
      <c r="W775" t="str">
        <f>MID('paste from garc here'!$C$2,1+(('table for research'!$B775-456)*36+HEX2DEC('table for research'!W$1))*2,2)</f>
        <v>00</v>
      </c>
      <c r="X775" t="str">
        <f>MID('paste from garc here'!$C$2,1+(('table for research'!$B775-456)*36+HEX2DEC('table for research'!X$1))*2,2)</f>
        <v>00</v>
      </c>
      <c r="Y775" t="str">
        <f>MID('paste from garc here'!$C$2,1+(('table for research'!$B775-456)*36+HEX2DEC('table for research'!Y$1))*2,2)</f>
        <v>00</v>
      </c>
      <c r="Z775" t="str">
        <f>MID('paste from garc here'!$C$2,1+(('table for research'!$B775-456)*36+HEX2DEC('table for research'!Z$1))*2,2)</f>
        <v>00</v>
      </c>
      <c r="AA775" t="str">
        <f>MID('paste from garc here'!$C$2,1+(('table for research'!$B775-456)*36+HEX2DEC('table for research'!AA$1))*2,2)</f>
        <v>00</v>
      </c>
      <c r="AB775" t="str">
        <f>MID('paste from garc here'!$C$2,1+(('table for research'!$B775-456)*36+HEX2DEC('table for research'!AB$1))*2,2)</f>
        <v>00</v>
      </c>
      <c r="AC775" t="str">
        <f>MID('paste from garc here'!$C$2,1+(('table for research'!$B775-456)*36+HEX2DEC('table for research'!AC$1))*2,2)</f>
        <v>00</v>
      </c>
      <c r="AD775" t="str">
        <f>MID('paste from garc here'!$C$2,1+(('table for research'!$B775-456)*36+HEX2DEC('table for research'!AD$1))*2,2)</f>
        <v>00</v>
      </c>
      <c r="AE775" t="str">
        <f>MID('paste from garc here'!$C$2,1+(('table for research'!$B775-456)*36+HEX2DEC('table for research'!AE$1))*2,2)</f>
        <v>00</v>
      </c>
      <c r="AF775" t="str">
        <f>MID('paste from garc here'!$C$2,1+(('table for research'!$B775-456)*36+HEX2DEC('table for research'!AF$1))*2,2)</f>
        <v>00</v>
      </c>
      <c r="AG775" t="str">
        <f>MID('paste from garc here'!$C$2,1+(('table for research'!$B775-456)*36+HEX2DEC('table for research'!AG$1))*2,2)</f>
        <v>00</v>
      </c>
      <c r="AH775" t="str">
        <f>MID('paste from garc here'!$C$2,1+(('table for research'!$B775-456)*36+HEX2DEC('table for research'!AH$1))*2,2)</f>
        <v>00</v>
      </c>
      <c r="AI775" t="str">
        <f>MID('paste from garc here'!$C$2,1+(('table for research'!$B775-456)*36+HEX2DEC('table for research'!AI$1))*2,2)</f>
        <v>00</v>
      </c>
      <c r="AJ775" t="str">
        <f>MID('paste from garc here'!$C$2,1+(('table for research'!$B775-456)*36+HEX2DEC('table for research'!AJ$1))*2,2)</f>
        <v>00</v>
      </c>
      <c r="AK775" t="str">
        <f>MID('paste from garc here'!$C$2,1+(('table for research'!$B775-456)*36+HEX2DEC('table for research'!AK$1))*2,2)</f>
        <v>00</v>
      </c>
      <c r="AL775" t="str">
        <f>MID('paste from garc here'!$C$2,1+(('table for research'!$B775-456)*36+HEX2DEC('table for research'!AL$1))*2,2)</f>
        <v>00</v>
      </c>
      <c r="AM775" t="str">
        <f>MID('paste from garc here'!$C$2,1+(('table for research'!$B775-456)*36+HEX2DEC('table for research'!AM$1))*2,2)</f>
        <v>00</v>
      </c>
      <c r="AN775" t="str">
        <f>MID('paste from garc here'!$C$2,1+(('table for research'!$B775-456)*36+HEX2DEC('table for research'!AN$1))*2,2)</f>
        <v>00</v>
      </c>
      <c r="AO775" t="str">
        <f>MID('paste from garc here'!$C$2,1+(('table for research'!$B775-456)*36+HEX2DEC('table for research'!AO$1))*2,2)</f>
        <v>00</v>
      </c>
    </row>
    <row r="776" spans="1:41" x14ac:dyDescent="0.4">
      <c r="A776" t="s">
        <v>767</v>
      </c>
      <c r="B776">
        <f>B775+1</f>
        <v>774</v>
      </c>
      <c r="C776" t="str">
        <f>MID('paste from garc here'!$C$2,1+(('table for research'!$B776-456)*36+HEX2DEC('table for research'!C$1))*2,2)</f>
        <v>00</v>
      </c>
      <c r="D776" t="str">
        <f>MID('paste from garc here'!$C$2,1+(('table for research'!$B776-456)*36+HEX2DEC('table for research'!D$1))*2,2)</f>
        <v>00</v>
      </c>
      <c r="E776" t="str">
        <f>MID('paste from garc here'!$C$2,1+(('table for research'!$B776-456)*36+HEX2DEC('table for research'!E$1))*2,2)</f>
        <v>00</v>
      </c>
      <c r="F776" t="str">
        <f>MID('paste from garc here'!$C$2,1+(('table for research'!$B776-456)*36+HEX2DEC('table for research'!F$1))*2,2)</f>
        <v>00</v>
      </c>
      <c r="G776" t="str">
        <f>MID('paste from garc here'!$C$2,1+(('table for research'!$B776-456)*36+HEX2DEC('table for research'!G$1))*2,2)</f>
        <v>00</v>
      </c>
      <c r="H776" t="str">
        <f>MID('paste from garc here'!$C$2,1+(('table for research'!$B776-456)*36+HEX2DEC('table for research'!H$1))*2,2)</f>
        <v>00</v>
      </c>
      <c r="I776" t="str">
        <f>MID('paste from garc here'!$C$2,1+(('table for research'!$B776-456)*36+HEX2DEC('table for research'!I$1))*2,2)</f>
        <v>00</v>
      </c>
      <c r="J776" t="str">
        <f>MID('paste from garc here'!$C$2,1+(('table for research'!$B776-456)*36+HEX2DEC('table for research'!J$1))*2,2)</f>
        <v>00</v>
      </c>
      <c r="K776" t="str">
        <f>DEC2HEX(_xlfn.BITAND(HEX2DEC(MID('paste from garc here'!$C$1,1+(('table for research'!$B776-1)*36+HEX2DEC(8))*2,2)),31),2)</f>
        <v>00</v>
      </c>
      <c r="L776" t="str">
        <f>DEC2HEX(_xlfn.BITAND(HEX2DEC(MID('paste from garc here'!$C$1,1+(('table for research'!$B776-1)*36+HEX2DEC(8))*2,2)),32),2)</f>
        <v>00</v>
      </c>
      <c r="M776" t="str">
        <f>DEC2HEX(_xlfn.BITAND(HEX2DEC(MID('paste from garc here'!$C$1,1+(('table for research'!$B776-1)*36+HEX2DEC(8))*2,2)),64),2)</f>
        <v>00</v>
      </c>
      <c r="N776" t="str">
        <f>DEC2HEX(_xlfn.BITRSHIFT(_xlfn.BITAND(HEX2DEC(MID('paste from garc here'!$C$1,1+(('table for research'!$B776-1)*36+HEX2DEC(9))*2,2)&amp;MID('paste from garc here'!$C$1,1+(('table for research'!$B776-1)*36+HEX2DEC(8))*2,2)),1920),7),2)</f>
        <v>00</v>
      </c>
      <c r="O776" t="str">
        <f>DEC2HEX(_xlfn.BITRSHIFT(HEX2DEC(MID('paste from garc here'!$C$1,1+(('table for research'!$B776-1)*36+HEX2DEC(9))*2,2)&amp;MID('paste from garc here'!$C$1,1+(('table for research'!$B776-1)*36+HEX2DEC(8))*2,2)),11),2)</f>
        <v>00</v>
      </c>
      <c r="P776" t="str">
        <f>MID('paste from garc here'!$C$2,1+(('table for research'!$B776-456)*36+HEX2DEC('table for research'!P$1))*2,2)</f>
        <v>00</v>
      </c>
      <c r="Q776" t="str">
        <f>MID('paste from garc here'!$C$2,1+(('table for research'!$B776-456)*36+HEX2DEC('table for research'!Q$1))*2,2)</f>
        <v>00</v>
      </c>
      <c r="R776" t="str">
        <f>MID('paste from garc here'!$C$2,1+(('table for research'!$B776-456)*36+HEX2DEC('table for research'!R$1))*2,2)</f>
        <v>00</v>
      </c>
      <c r="S776" t="str">
        <f>MID('paste from garc here'!$C$2,1+(('table for research'!$B776-456)*36+HEX2DEC('table for research'!S$1))*2,2)</f>
        <v>08</v>
      </c>
      <c r="T776" t="str">
        <f>MID('paste from garc here'!$C$2,1+(('table for research'!$B776-456)*36+HEX2DEC('table for research'!T$1))*2,2)</f>
        <v>00</v>
      </c>
      <c r="U776" t="str">
        <f>MID('paste from garc here'!$C$2,1+(('table for research'!$B776-456)*36+HEX2DEC('table for research'!U$1))*2,2)</f>
        <v>FF</v>
      </c>
      <c r="V776" t="str">
        <f>MID('paste from garc here'!$C$2,1+(('table for research'!$B776-456)*36+HEX2DEC('table for research'!V$1))*2,2)</f>
        <v>00</v>
      </c>
      <c r="W776" t="str">
        <f>MID('paste from garc here'!$C$2,1+(('table for research'!$B776-456)*36+HEX2DEC('table for research'!W$1))*2,2)</f>
        <v>00</v>
      </c>
      <c r="X776" t="str">
        <f>MID('paste from garc here'!$C$2,1+(('table for research'!$B776-456)*36+HEX2DEC('table for research'!X$1))*2,2)</f>
        <v>00</v>
      </c>
      <c r="Y776" t="str">
        <f>MID('paste from garc here'!$C$2,1+(('table for research'!$B776-456)*36+HEX2DEC('table for research'!Y$1))*2,2)</f>
        <v>00</v>
      </c>
      <c r="Z776" t="str">
        <f>MID('paste from garc here'!$C$2,1+(('table for research'!$B776-456)*36+HEX2DEC('table for research'!Z$1))*2,2)</f>
        <v>00</v>
      </c>
      <c r="AA776" t="str">
        <f>MID('paste from garc here'!$C$2,1+(('table for research'!$B776-456)*36+HEX2DEC('table for research'!AA$1))*2,2)</f>
        <v>00</v>
      </c>
      <c r="AB776" t="str">
        <f>MID('paste from garc here'!$C$2,1+(('table for research'!$B776-456)*36+HEX2DEC('table for research'!AB$1))*2,2)</f>
        <v>00</v>
      </c>
      <c r="AC776" t="str">
        <f>MID('paste from garc here'!$C$2,1+(('table for research'!$B776-456)*36+HEX2DEC('table for research'!AC$1))*2,2)</f>
        <v>00</v>
      </c>
      <c r="AD776" t="str">
        <f>MID('paste from garc here'!$C$2,1+(('table for research'!$B776-456)*36+HEX2DEC('table for research'!AD$1))*2,2)</f>
        <v>00</v>
      </c>
      <c r="AE776" t="str">
        <f>MID('paste from garc here'!$C$2,1+(('table for research'!$B776-456)*36+HEX2DEC('table for research'!AE$1))*2,2)</f>
        <v>00</v>
      </c>
      <c r="AF776" t="str">
        <f>MID('paste from garc here'!$C$2,1+(('table for research'!$B776-456)*36+HEX2DEC('table for research'!AF$1))*2,2)</f>
        <v>00</v>
      </c>
      <c r="AG776" t="str">
        <f>MID('paste from garc here'!$C$2,1+(('table for research'!$B776-456)*36+HEX2DEC('table for research'!AG$1))*2,2)</f>
        <v>00</v>
      </c>
      <c r="AH776" t="str">
        <f>MID('paste from garc here'!$C$2,1+(('table for research'!$B776-456)*36+HEX2DEC('table for research'!AH$1))*2,2)</f>
        <v>00</v>
      </c>
      <c r="AI776" t="str">
        <f>MID('paste from garc here'!$C$2,1+(('table for research'!$B776-456)*36+HEX2DEC('table for research'!AI$1))*2,2)</f>
        <v>00</v>
      </c>
      <c r="AJ776" t="str">
        <f>MID('paste from garc here'!$C$2,1+(('table for research'!$B776-456)*36+HEX2DEC('table for research'!AJ$1))*2,2)</f>
        <v>00</v>
      </c>
      <c r="AK776" t="str">
        <f>MID('paste from garc here'!$C$2,1+(('table for research'!$B776-456)*36+HEX2DEC('table for research'!AK$1))*2,2)</f>
        <v>00</v>
      </c>
      <c r="AL776" t="str">
        <f>MID('paste from garc here'!$C$2,1+(('table for research'!$B776-456)*36+HEX2DEC('table for research'!AL$1))*2,2)</f>
        <v>00</v>
      </c>
      <c r="AM776" t="str">
        <f>MID('paste from garc here'!$C$2,1+(('table for research'!$B776-456)*36+HEX2DEC('table for research'!AM$1))*2,2)</f>
        <v>00</v>
      </c>
      <c r="AN776" t="str">
        <f>MID('paste from garc here'!$C$2,1+(('table for research'!$B776-456)*36+HEX2DEC('table for research'!AN$1))*2,2)</f>
        <v>00</v>
      </c>
      <c r="AO776" t="str">
        <f>MID('paste from garc here'!$C$2,1+(('table for research'!$B776-456)*36+HEX2DEC('table for research'!AO$1))*2,2)</f>
        <v>00</v>
      </c>
    </row>
    <row r="777" spans="1:41" x14ac:dyDescent="0.4">
      <c r="A777" t="s">
        <v>768</v>
      </c>
      <c r="B777">
        <f>B776+1</f>
        <v>775</v>
      </c>
      <c r="C777" t="str">
        <f>MID('paste from garc here'!$C$2,1+(('table for research'!$B777-456)*36+HEX2DEC('table for research'!C$1))*2,2)</f>
        <v>00</v>
      </c>
      <c r="D777" t="str">
        <f>MID('paste from garc here'!$C$2,1+(('table for research'!$B777-456)*36+HEX2DEC('table for research'!D$1))*2,2)</f>
        <v>00</v>
      </c>
      <c r="E777" t="str">
        <f>MID('paste from garc here'!$C$2,1+(('table for research'!$B777-456)*36+HEX2DEC('table for research'!E$1))*2,2)</f>
        <v>00</v>
      </c>
      <c r="F777" t="str">
        <f>MID('paste from garc here'!$C$2,1+(('table for research'!$B777-456)*36+HEX2DEC('table for research'!F$1))*2,2)</f>
        <v>00</v>
      </c>
      <c r="G777" t="str">
        <f>MID('paste from garc here'!$C$2,1+(('table for research'!$B777-456)*36+HEX2DEC('table for research'!G$1))*2,2)</f>
        <v>00</v>
      </c>
      <c r="H777" t="str">
        <f>MID('paste from garc here'!$C$2,1+(('table for research'!$B777-456)*36+HEX2DEC('table for research'!H$1))*2,2)</f>
        <v>00</v>
      </c>
      <c r="I777" t="str">
        <f>MID('paste from garc here'!$C$2,1+(('table for research'!$B777-456)*36+HEX2DEC('table for research'!I$1))*2,2)</f>
        <v>00</v>
      </c>
      <c r="J777" t="str">
        <f>MID('paste from garc here'!$C$2,1+(('table for research'!$B777-456)*36+HEX2DEC('table for research'!J$1))*2,2)</f>
        <v>00</v>
      </c>
      <c r="K777" t="str">
        <f>DEC2HEX(_xlfn.BITAND(HEX2DEC(MID('paste from garc here'!$C$1,1+(('table for research'!$B777-1)*36+HEX2DEC(8))*2,2)),31),2)</f>
        <v>00</v>
      </c>
      <c r="L777" t="str">
        <f>DEC2HEX(_xlfn.BITAND(HEX2DEC(MID('paste from garc here'!$C$1,1+(('table for research'!$B777-1)*36+HEX2DEC(8))*2,2)),32),2)</f>
        <v>00</v>
      </c>
      <c r="M777" t="str">
        <f>DEC2HEX(_xlfn.BITAND(HEX2DEC(MID('paste from garc here'!$C$1,1+(('table for research'!$B777-1)*36+HEX2DEC(8))*2,2)),64),2)</f>
        <v>00</v>
      </c>
      <c r="N777" t="str">
        <f>DEC2HEX(_xlfn.BITRSHIFT(_xlfn.BITAND(HEX2DEC(MID('paste from garc here'!$C$1,1+(('table for research'!$B777-1)*36+HEX2DEC(9))*2,2)&amp;MID('paste from garc here'!$C$1,1+(('table for research'!$B777-1)*36+HEX2DEC(8))*2,2)),1920),7),2)</f>
        <v>00</v>
      </c>
      <c r="O777" t="str">
        <f>DEC2HEX(_xlfn.BITRSHIFT(HEX2DEC(MID('paste from garc here'!$C$1,1+(('table for research'!$B777-1)*36+HEX2DEC(9))*2,2)&amp;MID('paste from garc here'!$C$1,1+(('table for research'!$B777-1)*36+HEX2DEC(8))*2,2)),11),2)</f>
        <v>00</v>
      </c>
      <c r="P777" t="str">
        <f>MID('paste from garc here'!$C$2,1+(('table for research'!$B777-456)*36+HEX2DEC('table for research'!P$1))*2,2)</f>
        <v>09</v>
      </c>
      <c r="Q777" t="str">
        <f>MID('paste from garc here'!$C$2,1+(('table for research'!$B777-456)*36+HEX2DEC('table for research'!Q$1))*2,2)</f>
        <v>00</v>
      </c>
      <c r="R777" t="str">
        <f>MID('paste from garc here'!$C$2,1+(('table for research'!$B777-456)*36+HEX2DEC('table for research'!R$1))*2,2)</f>
        <v>00</v>
      </c>
      <c r="S777" t="str">
        <f>MID('paste from garc here'!$C$2,1+(('table for research'!$B777-456)*36+HEX2DEC('table for research'!S$1))*2,2)</f>
        <v>08</v>
      </c>
      <c r="T777" t="str">
        <f>MID('paste from garc here'!$C$2,1+(('table for research'!$B777-456)*36+HEX2DEC('table for research'!T$1))*2,2)</f>
        <v>00</v>
      </c>
      <c r="U777" t="str">
        <f>MID('paste from garc here'!$C$2,1+(('table for research'!$B777-456)*36+HEX2DEC('table for research'!U$1))*2,2)</f>
        <v>FF</v>
      </c>
      <c r="V777" t="str">
        <f>MID('paste from garc here'!$C$2,1+(('table for research'!$B777-456)*36+HEX2DEC('table for research'!V$1))*2,2)</f>
        <v>00</v>
      </c>
      <c r="W777" t="str">
        <f>MID('paste from garc here'!$C$2,1+(('table for research'!$B777-456)*36+HEX2DEC('table for research'!W$1))*2,2)</f>
        <v>00</v>
      </c>
      <c r="X777" t="str">
        <f>MID('paste from garc here'!$C$2,1+(('table for research'!$B777-456)*36+HEX2DEC('table for research'!X$1))*2,2)</f>
        <v>00</v>
      </c>
      <c r="Y777" t="str">
        <f>MID('paste from garc here'!$C$2,1+(('table for research'!$B777-456)*36+HEX2DEC('table for research'!Y$1))*2,2)</f>
        <v>00</v>
      </c>
      <c r="Z777" t="str">
        <f>MID('paste from garc here'!$C$2,1+(('table for research'!$B777-456)*36+HEX2DEC('table for research'!Z$1))*2,2)</f>
        <v>00</v>
      </c>
      <c r="AA777" t="str">
        <f>MID('paste from garc here'!$C$2,1+(('table for research'!$B777-456)*36+HEX2DEC('table for research'!AA$1))*2,2)</f>
        <v>00</v>
      </c>
      <c r="AB777" t="str">
        <f>MID('paste from garc here'!$C$2,1+(('table for research'!$B777-456)*36+HEX2DEC('table for research'!AB$1))*2,2)</f>
        <v>00</v>
      </c>
      <c r="AC777" t="str">
        <f>MID('paste from garc here'!$C$2,1+(('table for research'!$B777-456)*36+HEX2DEC('table for research'!AC$1))*2,2)</f>
        <v>00</v>
      </c>
      <c r="AD777" t="str">
        <f>MID('paste from garc here'!$C$2,1+(('table for research'!$B777-456)*36+HEX2DEC('table for research'!AD$1))*2,2)</f>
        <v>00</v>
      </c>
      <c r="AE777" t="str">
        <f>MID('paste from garc here'!$C$2,1+(('table for research'!$B777-456)*36+HEX2DEC('table for research'!AE$1))*2,2)</f>
        <v>00</v>
      </c>
      <c r="AF777" t="str">
        <f>MID('paste from garc here'!$C$2,1+(('table for research'!$B777-456)*36+HEX2DEC('table for research'!AF$1))*2,2)</f>
        <v>00</v>
      </c>
      <c r="AG777" t="str">
        <f>MID('paste from garc here'!$C$2,1+(('table for research'!$B777-456)*36+HEX2DEC('table for research'!AG$1))*2,2)</f>
        <v>00</v>
      </c>
      <c r="AH777" t="str">
        <f>MID('paste from garc here'!$C$2,1+(('table for research'!$B777-456)*36+HEX2DEC('table for research'!AH$1))*2,2)</f>
        <v>00</v>
      </c>
      <c r="AI777" t="str">
        <f>MID('paste from garc here'!$C$2,1+(('table for research'!$B777-456)*36+HEX2DEC('table for research'!AI$1))*2,2)</f>
        <v>00</v>
      </c>
      <c r="AJ777" t="str">
        <f>MID('paste from garc here'!$C$2,1+(('table for research'!$B777-456)*36+HEX2DEC('table for research'!AJ$1))*2,2)</f>
        <v>00</v>
      </c>
      <c r="AK777" t="str">
        <f>MID('paste from garc here'!$C$2,1+(('table for research'!$B777-456)*36+HEX2DEC('table for research'!AK$1))*2,2)</f>
        <v>00</v>
      </c>
      <c r="AL777" t="str">
        <f>MID('paste from garc here'!$C$2,1+(('table for research'!$B777-456)*36+HEX2DEC('table for research'!AL$1))*2,2)</f>
        <v>00</v>
      </c>
      <c r="AM777" t="str">
        <f>MID('paste from garc here'!$C$2,1+(('table for research'!$B777-456)*36+HEX2DEC('table for research'!AM$1))*2,2)</f>
        <v>00</v>
      </c>
      <c r="AN777" t="str">
        <f>MID('paste from garc here'!$C$2,1+(('table for research'!$B777-456)*36+HEX2DEC('table for research'!AN$1))*2,2)</f>
        <v>00</v>
      </c>
      <c r="AO777" t="str">
        <f>MID('paste from garc here'!$C$2,1+(('table for research'!$B777-456)*36+HEX2DEC('table for research'!AO$1))*2,2)</f>
        <v>00</v>
      </c>
    </row>
    <row r="778" spans="1:41" x14ac:dyDescent="0.4">
      <c r="A778" t="s">
        <v>769</v>
      </c>
      <c r="B778">
        <f>B777+1</f>
        <v>776</v>
      </c>
      <c r="C778" t="str">
        <f>MID('paste from garc here'!$C$2,1+(('table for research'!$B778-456)*36+HEX2DEC('table for research'!C$1))*2,2)</f>
        <v>00</v>
      </c>
      <c r="D778" t="str">
        <f>MID('paste from garc here'!$C$2,1+(('table for research'!$B778-456)*36+HEX2DEC('table for research'!D$1))*2,2)</f>
        <v>00</v>
      </c>
      <c r="E778" t="str">
        <f>MID('paste from garc here'!$C$2,1+(('table for research'!$B778-456)*36+HEX2DEC('table for research'!E$1))*2,2)</f>
        <v>00</v>
      </c>
      <c r="F778" t="str">
        <f>MID('paste from garc here'!$C$2,1+(('table for research'!$B778-456)*36+HEX2DEC('table for research'!F$1))*2,2)</f>
        <v>00</v>
      </c>
      <c r="G778" t="str">
        <f>MID('paste from garc here'!$C$2,1+(('table for research'!$B778-456)*36+HEX2DEC('table for research'!G$1))*2,2)</f>
        <v>00</v>
      </c>
      <c r="H778" t="str">
        <f>MID('paste from garc here'!$C$2,1+(('table for research'!$B778-456)*36+HEX2DEC('table for research'!H$1))*2,2)</f>
        <v>00</v>
      </c>
      <c r="I778" t="str">
        <f>MID('paste from garc here'!$C$2,1+(('table for research'!$B778-456)*36+HEX2DEC('table for research'!I$1))*2,2)</f>
        <v>00</v>
      </c>
      <c r="J778" t="str">
        <f>MID('paste from garc here'!$C$2,1+(('table for research'!$B778-456)*36+HEX2DEC('table for research'!J$1))*2,2)</f>
        <v>00</v>
      </c>
      <c r="K778" t="str">
        <f>DEC2HEX(_xlfn.BITAND(HEX2DEC(MID('paste from garc here'!$C$1,1+(('table for research'!$B778-1)*36+HEX2DEC(8))*2,2)),31),2)</f>
        <v>00</v>
      </c>
      <c r="L778" t="str">
        <f>DEC2HEX(_xlfn.BITAND(HEX2DEC(MID('paste from garc here'!$C$1,1+(('table for research'!$B778-1)*36+HEX2DEC(8))*2,2)),32),2)</f>
        <v>00</v>
      </c>
      <c r="M778" t="str">
        <f>DEC2HEX(_xlfn.BITAND(HEX2DEC(MID('paste from garc here'!$C$1,1+(('table for research'!$B778-1)*36+HEX2DEC(8))*2,2)),64),2)</f>
        <v>00</v>
      </c>
      <c r="N778" t="str">
        <f>DEC2HEX(_xlfn.BITRSHIFT(_xlfn.BITAND(HEX2DEC(MID('paste from garc here'!$C$1,1+(('table for research'!$B778-1)*36+HEX2DEC(9))*2,2)&amp;MID('paste from garc here'!$C$1,1+(('table for research'!$B778-1)*36+HEX2DEC(8))*2,2)),1920),7),2)</f>
        <v>00</v>
      </c>
      <c r="O778" t="str">
        <f>DEC2HEX(_xlfn.BITRSHIFT(HEX2DEC(MID('paste from garc here'!$C$1,1+(('table for research'!$B778-1)*36+HEX2DEC(9))*2,2)&amp;MID('paste from garc here'!$C$1,1+(('table for research'!$B778-1)*36+HEX2DEC(8))*2,2)),11),2)</f>
        <v>00</v>
      </c>
      <c r="P778" t="str">
        <f>MID('paste from garc here'!$C$2,1+(('table for research'!$B778-456)*36+HEX2DEC('table for research'!P$1))*2,2)</f>
        <v>00</v>
      </c>
      <c r="Q778" t="str">
        <f>MID('paste from garc here'!$C$2,1+(('table for research'!$B778-456)*36+HEX2DEC('table for research'!Q$1))*2,2)</f>
        <v>00</v>
      </c>
      <c r="R778" t="str">
        <f>MID('paste from garc here'!$C$2,1+(('table for research'!$B778-456)*36+HEX2DEC('table for research'!R$1))*2,2)</f>
        <v>00</v>
      </c>
      <c r="S778" t="str">
        <f>MID('paste from garc here'!$C$2,1+(('table for research'!$B778-456)*36+HEX2DEC('table for research'!S$1))*2,2)</f>
        <v>01</v>
      </c>
      <c r="T778" t="str">
        <f>MID('paste from garc here'!$C$2,1+(('table for research'!$B778-456)*36+HEX2DEC('table for research'!T$1))*2,2)</f>
        <v>00</v>
      </c>
      <c r="U778" t="str">
        <f>MID('paste from garc here'!$C$2,1+(('table for research'!$B778-456)*36+HEX2DEC('table for research'!U$1))*2,2)</f>
        <v>01</v>
      </c>
      <c r="V778" t="str">
        <f>MID('paste from garc here'!$C$2,1+(('table for research'!$B778-456)*36+HEX2DEC('table for research'!V$1))*2,2)</f>
        <v>01</v>
      </c>
      <c r="W778" t="str">
        <f>MID('paste from garc here'!$C$2,1+(('table for research'!$B778-456)*36+HEX2DEC('table for research'!W$1))*2,2)</f>
        <v>00</v>
      </c>
      <c r="X778" t="str">
        <f>MID('paste from garc here'!$C$2,1+(('table for research'!$B778-456)*36+HEX2DEC('table for research'!X$1))*2,2)</f>
        <v>00</v>
      </c>
      <c r="Y778" t="str">
        <f>MID('paste from garc here'!$C$2,1+(('table for research'!$B778-456)*36+HEX2DEC('table for research'!Y$1))*2,2)</f>
        <v>00</v>
      </c>
      <c r="Z778" t="str">
        <f>MID('paste from garc here'!$C$2,1+(('table for research'!$B778-456)*36+HEX2DEC('table for research'!Z$1))*2,2)</f>
        <v>00</v>
      </c>
      <c r="AA778" t="str">
        <f>MID('paste from garc here'!$C$2,1+(('table for research'!$B778-456)*36+HEX2DEC('table for research'!AA$1))*2,2)</f>
        <v>00</v>
      </c>
      <c r="AB778" t="str">
        <f>MID('paste from garc here'!$C$2,1+(('table for research'!$B778-456)*36+HEX2DEC('table for research'!AB$1))*2,2)</f>
        <v>00</v>
      </c>
      <c r="AC778" t="str">
        <f>MID('paste from garc here'!$C$2,1+(('table for research'!$B778-456)*36+HEX2DEC('table for research'!AC$1))*2,2)</f>
        <v>00</v>
      </c>
      <c r="AD778" t="str">
        <f>MID('paste from garc here'!$C$2,1+(('table for research'!$B778-456)*36+HEX2DEC('table for research'!AD$1))*2,2)</f>
        <v>00</v>
      </c>
      <c r="AE778" t="str">
        <f>MID('paste from garc here'!$C$2,1+(('table for research'!$B778-456)*36+HEX2DEC('table for research'!AE$1))*2,2)</f>
        <v>00</v>
      </c>
      <c r="AF778" t="str">
        <f>MID('paste from garc here'!$C$2,1+(('table for research'!$B778-456)*36+HEX2DEC('table for research'!AF$1))*2,2)</f>
        <v>00</v>
      </c>
      <c r="AG778" t="str">
        <f>MID('paste from garc here'!$C$2,1+(('table for research'!$B778-456)*36+HEX2DEC('table for research'!AG$1))*2,2)</f>
        <v>00</v>
      </c>
      <c r="AH778" t="str">
        <f>MID('paste from garc here'!$C$2,1+(('table for research'!$B778-456)*36+HEX2DEC('table for research'!AH$1))*2,2)</f>
        <v>00</v>
      </c>
      <c r="AI778" t="str">
        <f>MID('paste from garc here'!$C$2,1+(('table for research'!$B778-456)*36+HEX2DEC('table for research'!AI$1))*2,2)</f>
        <v>00</v>
      </c>
      <c r="AJ778" t="str">
        <f>MID('paste from garc here'!$C$2,1+(('table for research'!$B778-456)*36+HEX2DEC('table for research'!AJ$1))*2,2)</f>
        <v>00</v>
      </c>
      <c r="AK778" t="str">
        <f>MID('paste from garc here'!$C$2,1+(('table for research'!$B778-456)*36+HEX2DEC('table for research'!AK$1))*2,2)</f>
        <v>00</v>
      </c>
      <c r="AL778" t="str">
        <f>MID('paste from garc here'!$C$2,1+(('table for research'!$B778-456)*36+HEX2DEC('table for research'!AL$1))*2,2)</f>
        <v>00</v>
      </c>
      <c r="AM778" t="str">
        <f>MID('paste from garc here'!$C$2,1+(('table for research'!$B778-456)*36+HEX2DEC('table for research'!AM$1))*2,2)</f>
        <v>00</v>
      </c>
      <c r="AN778" t="str">
        <f>MID('paste from garc here'!$C$2,1+(('table for research'!$B778-456)*36+HEX2DEC('table for research'!AN$1))*2,2)</f>
        <v>00</v>
      </c>
      <c r="AO778" t="str">
        <f>MID('paste from garc here'!$C$2,1+(('table for research'!$B778-456)*36+HEX2DEC('table for research'!AO$1))*2,2)</f>
        <v>00</v>
      </c>
    </row>
    <row r="779" spans="1:41" x14ac:dyDescent="0.4">
      <c r="A779" t="s">
        <v>770</v>
      </c>
      <c r="B779">
        <f>B778+1</f>
        <v>777</v>
      </c>
      <c r="C779" t="str">
        <f>MID('paste from garc here'!$C$2,1+(('table for research'!$B779-456)*36+HEX2DEC('table for research'!C$1))*2,2)</f>
        <v>00</v>
      </c>
      <c r="D779" t="str">
        <f>MID('paste from garc here'!$C$2,1+(('table for research'!$B779-456)*36+HEX2DEC('table for research'!D$1))*2,2)</f>
        <v>00</v>
      </c>
      <c r="E779" t="str">
        <f>MID('paste from garc here'!$C$2,1+(('table for research'!$B779-456)*36+HEX2DEC('table for research'!E$1))*2,2)</f>
        <v>00</v>
      </c>
      <c r="F779" t="str">
        <f>MID('paste from garc here'!$C$2,1+(('table for research'!$B779-456)*36+HEX2DEC('table for research'!F$1))*2,2)</f>
        <v>00</v>
      </c>
      <c r="G779" t="str">
        <f>MID('paste from garc here'!$C$2,1+(('table for research'!$B779-456)*36+HEX2DEC('table for research'!G$1))*2,2)</f>
        <v>00</v>
      </c>
      <c r="H779" t="str">
        <f>MID('paste from garc here'!$C$2,1+(('table for research'!$B779-456)*36+HEX2DEC('table for research'!H$1))*2,2)</f>
        <v>00</v>
      </c>
      <c r="I779" t="str">
        <f>MID('paste from garc here'!$C$2,1+(('table for research'!$B779-456)*36+HEX2DEC('table for research'!I$1))*2,2)</f>
        <v>00</v>
      </c>
      <c r="J779" t="str">
        <f>MID('paste from garc here'!$C$2,1+(('table for research'!$B779-456)*36+HEX2DEC('table for research'!J$1))*2,2)</f>
        <v>00</v>
      </c>
      <c r="K779" t="str">
        <f>DEC2HEX(_xlfn.BITAND(HEX2DEC(MID('paste from garc here'!$C$1,1+(('table for research'!$B779-1)*36+HEX2DEC(8))*2,2)),31),2)</f>
        <v>00</v>
      </c>
      <c r="L779" t="str">
        <f>DEC2HEX(_xlfn.BITAND(HEX2DEC(MID('paste from garc here'!$C$1,1+(('table for research'!$B779-1)*36+HEX2DEC(8))*2,2)),32),2)</f>
        <v>00</v>
      </c>
      <c r="M779" t="str">
        <f>DEC2HEX(_xlfn.BITAND(HEX2DEC(MID('paste from garc here'!$C$1,1+(('table for research'!$B779-1)*36+HEX2DEC(8))*2,2)),64),2)</f>
        <v>00</v>
      </c>
      <c r="N779" t="str">
        <f>DEC2HEX(_xlfn.BITRSHIFT(_xlfn.BITAND(HEX2DEC(MID('paste from garc here'!$C$1,1+(('table for research'!$B779-1)*36+HEX2DEC(9))*2,2)&amp;MID('paste from garc here'!$C$1,1+(('table for research'!$B779-1)*36+HEX2DEC(8))*2,2)),1920),7),2)</f>
        <v>00</v>
      </c>
      <c r="O779" t="str">
        <f>DEC2HEX(_xlfn.BITRSHIFT(HEX2DEC(MID('paste from garc here'!$C$1,1+(('table for research'!$B779-1)*36+HEX2DEC(9))*2,2)&amp;MID('paste from garc here'!$C$1,1+(('table for research'!$B779-1)*36+HEX2DEC(8))*2,2)),11),2)</f>
        <v>00</v>
      </c>
      <c r="P779" t="str">
        <f>MID('paste from garc here'!$C$2,1+(('table for research'!$B779-456)*36+HEX2DEC('table for research'!P$1))*2,2)</f>
        <v>00</v>
      </c>
      <c r="Q779" t="str">
        <f>MID('paste from garc here'!$C$2,1+(('table for research'!$B779-456)*36+HEX2DEC('table for research'!Q$1))*2,2)</f>
        <v>00</v>
      </c>
      <c r="R779" t="str">
        <f>MID('paste from garc here'!$C$2,1+(('table for research'!$B779-456)*36+HEX2DEC('table for research'!R$1))*2,2)</f>
        <v>00</v>
      </c>
      <c r="S779" t="str">
        <f>MID('paste from garc here'!$C$2,1+(('table for research'!$B779-456)*36+HEX2DEC('table for research'!S$1))*2,2)</f>
        <v>01</v>
      </c>
      <c r="T779" t="str">
        <f>MID('paste from garc here'!$C$2,1+(('table for research'!$B779-456)*36+HEX2DEC('table for research'!T$1))*2,2)</f>
        <v>00</v>
      </c>
      <c r="U779" t="str">
        <f>MID('paste from garc here'!$C$2,1+(('table for research'!$B779-456)*36+HEX2DEC('table for research'!U$1))*2,2)</f>
        <v>02</v>
      </c>
      <c r="V779" t="str">
        <f>MID('paste from garc here'!$C$2,1+(('table for research'!$B779-456)*36+HEX2DEC('table for research'!V$1))*2,2)</f>
        <v>02</v>
      </c>
      <c r="W779" t="str">
        <f>MID('paste from garc here'!$C$2,1+(('table for research'!$B779-456)*36+HEX2DEC('table for research'!W$1))*2,2)</f>
        <v>00</v>
      </c>
      <c r="X779" t="str">
        <f>MID('paste from garc here'!$C$2,1+(('table for research'!$B779-456)*36+HEX2DEC('table for research'!X$1))*2,2)</f>
        <v>00</v>
      </c>
      <c r="Y779" t="str">
        <f>MID('paste from garc here'!$C$2,1+(('table for research'!$B779-456)*36+HEX2DEC('table for research'!Y$1))*2,2)</f>
        <v>00</v>
      </c>
      <c r="Z779" t="str">
        <f>MID('paste from garc here'!$C$2,1+(('table for research'!$B779-456)*36+HEX2DEC('table for research'!Z$1))*2,2)</f>
        <v>00</v>
      </c>
      <c r="AA779" t="str">
        <f>MID('paste from garc here'!$C$2,1+(('table for research'!$B779-456)*36+HEX2DEC('table for research'!AA$1))*2,2)</f>
        <v>00</v>
      </c>
      <c r="AB779" t="str">
        <f>MID('paste from garc here'!$C$2,1+(('table for research'!$B779-456)*36+HEX2DEC('table for research'!AB$1))*2,2)</f>
        <v>00</v>
      </c>
      <c r="AC779" t="str">
        <f>MID('paste from garc here'!$C$2,1+(('table for research'!$B779-456)*36+HEX2DEC('table for research'!AC$1))*2,2)</f>
        <v>00</v>
      </c>
      <c r="AD779" t="str">
        <f>MID('paste from garc here'!$C$2,1+(('table for research'!$B779-456)*36+HEX2DEC('table for research'!AD$1))*2,2)</f>
        <v>00</v>
      </c>
      <c r="AE779" t="str">
        <f>MID('paste from garc here'!$C$2,1+(('table for research'!$B779-456)*36+HEX2DEC('table for research'!AE$1))*2,2)</f>
        <v>00</v>
      </c>
      <c r="AF779" t="str">
        <f>MID('paste from garc here'!$C$2,1+(('table for research'!$B779-456)*36+HEX2DEC('table for research'!AF$1))*2,2)</f>
        <v>00</v>
      </c>
      <c r="AG779" t="str">
        <f>MID('paste from garc here'!$C$2,1+(('table for research'!$B779-456)*36+HEX2DEC('table for research'!AG$1))*2,2)</f>
        <v>00</v>
      </c>
      <c r="AH779" t="str">
        <f>MID('paste from garc here'!$C$2,1+(('table for research'!$B779-456)*36+HEX2DEC('table for research'!AH$1))*2,2)</f>
        <v>00</v>
      </c>
      <c r="AI779" t="str">
        <f>MID('paste from garc here'!$C$2,1+(('table for research'!$B779-456)*36+HEX2DEC('table for research'!AI$1))*2,2)</f>
        <v>00</v>
      </c>
      <c r="AJ779" t="str">
        <f>MID('paste from garc here'!$C$2,1+(('table for research'!$B779-456)*36+HEX2DEC('table for research'!AJ$1))*2,2)</f>
        <v>00</v>
      </c>
      <c r="AK779" t="str">
        <f>MID('paste from garc here'!$C$2,1+(('table for research'!$B779-456)*36+HEX2DEC('table for research'!AK$1))*2,2)</f>
        <v>00</v>
      </c>
      <c r="AL779" t="str">
        <f>MID('paste from garc here'!$C$2,1+(('table for research'!$B779-456)*36+HEX2DEC('table for research'!AL$1))*2,2)</f>
        <v>00</v>
      </c>
      <c r="AM779" t="str">
        <f>MID('paste from garc here'!$C$2,1+(('table for research'!$B779-456)*36+HEX2DEC('table for research'!AM$1))*2,2)</f>
        <v>00</v>
      </c>
      <c r="AN779" t="str">
        <f>MID('paste from garc here'!$C$2,1+(('table for research'!$B779-456)*36+HEX2DEC('table for research'!AN$1))*2,2)</f>
        <v>00</v>
      </c>
      <c r="AO779" t="str">
        <f>MID('paste from garc here'!$C$2,1+(('table for research'!$B779-456)*36+HEX2DEC('table for research'!AO$1))*2,2)</f>
        <v>00</v>
      </c>
    </row>
    <row r="780" spans="1:41" x14ac:dyDescent="0.4">
      <c r="A780" t="s">
        <v>771</v>
      </c>
      <c r="B780">
        <f>B779+1</f>
        <v>778</v>
      </c>
      <c r="C780" t="str">
        <f>MID('paste from garc here'!$C$2,1+(('table for research'!$B780-456)*36+HEX2DEC('table for research'!C$1))*2,2)</f>
        <v>00</v>
      </c>
      <c r="D780" t="str">
        <f>MID('paste from garc here'!$C$2,1+(('table for research'!$B780-456)*36+HEX2DEC('table for research'!D$1))*2,2)</f>
        <v>00</v>
      </c>
      <c r="E780" t="str">
        <f>MID('paste from garc here'!$C$2,1+(('table for research'!$B780-456)*36+HEX2DEC('table for research'!E$1))*2,2)</f>
        <v>00</v>
      </c>
      <c r="F780" t="str">
        <f>MID('paste from garc here'!$C$2,1+(('table for research'!$B780-456)*36+HEX2DEC('table for research'!F$1))*2,2)</f>
        <v>00</v>
      </c>
      <c r="G780" t="str">
        <f>MID('paste from garc here'!$C$2,1+(('table for research'!$B780-456)*36+HEX2DEC('table for research'!G$1))*2,2)</f>
        <v>00</v>
      </c>
      <c r="H780" t="str">
        <f>MID('paste from garc here'!$C$2,1+(('table for research'!$B780-456)*36+HEX2DEC('table for research'!H$1))*2,2)</f>
        <v>00</v>
      </c>
      <c r="I780" t="str">
        <f>MID('paste from garc here'!$C$2,1+(('table for research'!$B780-456)*36+HEX2DEC('table for research'!I$1))*2,2)</f>
        <v>00</v>
      </c>
      <c r="J780" t="str">
        <f>MID('paste from garc here'!$C$2,1+(('table for research'!$B780-456)*36+HEX2DEC('table for research'!J$1))*2,2)</f>
        <v>00</v>
      </c>
      <c r="K780" t="str">
        <f>DEC2HEX(_xlfn.BITAND(HEX2DEC(MID('paste from garc here'!$C$1,1+(('table for research'!$B780-1)*36+HEX2DEC(8))*2,2)),31),2)</f>
        <v>00</v>
      </c>
      <c r="L780" t="str">
        <f>DEC2HEX(_xlfn.BITAND(HEX2DEC(MID('paste from garc here'!$C$1,1+(('table for research'!$B780-1)*36+HEX2DEC(8))*2,2)),32),2)</f>
        <v>00</v>
      </c>
      <c r="M780" t="str">
        <f>DEC2HEX(_xlfn.BITAND(HEX2DEC(MID('paste from garc here'!$C$1,1+(('table for research'!$B780-1)*36+HEX2DEC(8))*2,2)),64),2)</f>
        <v>00</v>
      </c>
      <c r="N780" t="str">
        <f>DEC2HEX(_xlfn.BITRSHIFT(_xlfn.BITAND(HEX2DEC(MID('paste from garc here'!$C$1,1+(('table for research'!$B780-1)*36+HEX2DEC(9))*2,2)&amp;MID('paste from garc here'!$C$1,1+(('table for research'!$B780-1)*36+HEX2DEC(8))*2,2)),1920),7),2)</f>
        <v>00</v>
      </c>
      <c r="O780" t="str">
        <f>DEC2HEX(_xlfn.BITRSHIFT(HEX2DEC(MID('paste from garc here'!$C$1,1+(('table for research'!$B780-1)*36+HEX2DEC(9))*2,2)&amp;MID('paste from garc here'!$C$1,1+(('table for research'!$B780-1)*36+HEX2DEC(8))*2,2)),11),2)</f>
        <v>00</v>
      </c>
      <c r="P780" t="str">
        <f>MID('paste from garc here'!$C$2,1+(('table for research'!$B780-456)*36+HEX2DEC('table for research'!P$1))*2,2)</f>
        <v>00</v>
      </c>
      <c r="Q780" t="str">
        <f>MID('paste from garc here'!$C$2,1+(('table for research'!$B780-456)*36+HEX2DEC('table for research'!Q$1))*2,2)</f>
        <v>00</v>
      </c>
      <c r="R780" t="str">
        <f>MID('paste from garc here'!$C$2,1+(('table for research'!$B780-456)*36+HEX2DEC('table for research'!R$1))*2,2)</f>
        <v>00</v>
      </c>
      <c r="S780" t="str">
        <f>MID('paste from garc here'!$C$2,1+(('table for research'!$B780-456)*36+HEX2DEC('table for research'!S$1))*2,2)</f>
        <v>01</v>
      </c>
      <c r="T780" t="str">
        <f>MID('paste from garc here'!$C$2,1+(('table for research'!$B780-456)*36+HEX2DEC('table for research'!T$1))*2,2)</f>
        <v>00</v>
      </c>
      <c r="U780" t="str">
        <f>MID('paste from garc here'!$C$2,1+(('table for research'!$B780-456)*36+HEX2DEC('table for research'!U$1))*2,2)</f>
        <v>03</v>
      </c>
      <c r="V780" t="str">
        <f>MID('paste from garc here'!$C$2,1+(('table for research'!$B780-456)*36+HEX2DEC('table for research'!V$1))*2,2)</f>
        <v>03</v>
      </c>
      <c r="W780" t="str">
        <f>MID('paste from garc here'!$C$2,1+(('table for research'!$B780-456)*36+HEX2DEC('table for research'!W$1))*2,2)</f>
        <v>00</v>
      </c>
      <c r="X780" t="str">
        <f>MID('paste from garc here'!$C$2,1+(('table for research'!$B780-456)*36+HEX2DEC('table for research'!X$1))*2,2)</f>
        <v>00</v>
      </c>
      <c r="Y780" t="str">
        <f>MID('paste from garc here'!$C$2,1+(('table for research'!$B780-456)*36+HEX2DEC('table for research'!Y$1))*2,2)</f>
        <v>00</v>
      </c>
      <c r="Z780" t="str">
        <f>MID('paste from garc here'!$C$2,1+(('table for research'!$B780-456)*36+HEX2DEC('table for research'!Z$1))*2,2)</f>
        <v>00</v>
      </c>
      <c r="AA780" t="str">
        <f>MID('paste from garc here'!$C$2,1+(('table for research'!$B780-456)*36+HEX2DEC('table for research'!AA$1))*2,2)</f>
        <v>00</v>
      </c>
      <c r="AB780" t="str">
        <f>MID('paste from garc here'!$C$2,1+(('table for research'!$B780-456)*36+HEX2DEC('table for research'!AB$1))*2,2)</f>
        <v>00</v>
      </c>
      <c r="AC780" t="str">
        <f>MID('paste from garc here'!$C$2,1+(('table for research'!$B780-456)*36+HEX2DEC('table for research'!AC$1))*2,2)</f>
        <v>00</v>
      </c>
      <c r="AD780" t="str">
        <f>MID('paste from garc here'!$C$2,1+(('table for research'!$B780-456)*36+HEX2DEC('table for research'!AD$1))*2,2)</f>
        <v>00</v>
      </c>
      <c r="AE780" t="str">
        <f>MID('paste from garc here'!$C$2,1+(('table for research'!$B780-456)*36+HEX2DEC('table for research'!AE$1))*2,2)</f>
        <v>00</v>
      </c>
      <c r="AF780" t="str">
        <f>MID('paste from garc here'!$C$2,1+(('table for research'!$B780-456)*36+HEX2DEC('table for research'!AF$1))*2,2)</f>
        <v>00</v>
      </c>
      <c r="AG780" t="str">
        <f>MID('paste from garc here'!$C$2,1+(('table for research'!$B780-456)*36+HEX2DEC('table for research'!AG$1))*2,2)</f>
        <v>00</v>
      </c>
      <c r="AH780" t="str">
        <f>MID('paste from garc here'!$C$2,1+(('table for research'!$B780-456)*36+HEX2DEC('table for research'!AH$1))*2,2)</f>
        <v>00</v>
      </c>
      <c r="AI780" t="str">
        <f>MID('paste from garc here'!$C$2,1+(('table for research'!$B780-456)*36+HEX2DEC('table for research'!AI$1))*2,2)</f>
        <v>00</v>
      </c>
      <c r="AJ780" t="str">
        <f>MID('paste from garc here'!$C$2,1+(('table for research'!$B780-456)*36+HEX2DEC('table for research'!AJ$1))*2,2)</f>
        <v>00</v>
      </c>
      <c r="AK780" t="str">
        <f>MID('paste from garc here'!$C$2,1+(('table for research'!$B780-456)*36+HEX2DEC('table for research'!AK$1))*2,2)</f>
        <v>00</v>
      </c>
      <c r="AL780" t="str">
        <f>MID('paste from garc here'!$C$2,1+(('table for research'!$B780-456)*36+HEX2DEC('table for research'!AL$1))*2,2)</f>
        <v>00</v>
      </c>
      <c r="AM780" t="str">
        <f>MID('paste from garc here'!$C$2,1+(('table for research'!$B780-456)*36+HEX2DEC('table for research'!AM$1))*2,2)</f>
        <v>00</v>
      </c>
      <c r="AN780" t="str">
        <f>MID('paste from garc here'!$C$2,1+(('table for research'!$B780-456)*36+HEX2DEC('table for research'!AN$1))*2,2)</f>
        <v>00</v>
      </c>
      <c r="AO780" t="str">
        <f>MID('paste from garc here'!$C$2,1+(('table for research'!$B780-456)*36+HEX2DEC('table for research'!AO$1))*2,2)</f>
        <v>00</v>
      </c>
    </row>
    <row r="781" spans="1:41" x14ac:dyDescent="0.4">
      <c r="A781" t="s">
        <v>772</v>
      </c>
      <c r="B781">
        <f>B780+1</f>
        <v>779</v>
      </c>
      <c r="C781" t="str">
        <f>MID('paste from garc here'!$C$2,1+(('table for research'!$B781-456)*36+HEX2DEC('table for research'!C$1))*2,2)</f>
        <v>00</v>
      </c>
      <c r="D781" t="str">
        <f>MID('paste from garc here'!$C$2,1+(('table for research'!$B781-456)*36+HEX2DEC('table for research'!D$1))*2,2)</f>
        <v>00</v>
      </c>
      <c r="E781" t="str">
        <f>MID('paste from garc here'!$C$2,1+(('table for research'!$B781-456)*36+HEX2DEC('table for research'!E$1))*2,2)</f>
        <v>00</v>
      </c>
      <c r="F781" t="str">
        <f>MID('paste from garc here'!$C$2,1+(('table for research'!$B781-456)*36+HEX2DEC('table for research'!F$1))*2,2)</f>
        <v>00</v>
      </c>
      <c r="G781" t="str">
        <f>MID('paste from garc here'!$C$2,1+(('table for research'!$B781-456)*36+HEX2DEC('table for research'!G$1))*2,2)</f>
        <v>00</v>
      </c>
      <c r="H781" t="str">
        <f>MID('paste from garc here'!$C$2,1+(('table for research'!$B781-456)*36+HEX2DEC('table for research'!H$1))*2,2)</f>
        <v>00</v>
      </c>
      <c r="I781" t="str">
        <f>MID('paste from garc here'!$C$2,1+(('table for research'!$B781-456)*36+HEX2DEC('table for research'!I$1))*2,2)</f>
        <v>00</v>
      </c>
      <c r="J781" t="str">
        <f>MID('paste from garc here'!$C$2,1+(('table for research'!$B781-456)*36+HEX2DEC('table for research'!J$1))*2,2)</f>
        <v>00</v>
      </c>
      <c r="K781" t="str">
        <f>DEC2HEX(_xlfn.BITAND(HEX2DEC(MID('paste from garc here'!$C$1,1+(('table for research'!$B781-1)*36+HEX2DEC(8))*2,2)),31),2)</f>
        <v>00</v>
      </c>
      <c r="L781" t="str">
        <f>DEC2HEX(_xlfn.BITAND(HEX2DEC(MID('paste from garc here'!$C$1,1+(('table for research'!$B781-1)*36+HEX2DEC(8))*2,2)),32),2)</f>
        <v>00</v>
      </c>
      <c r="M781" t="str">
        <f>DEC2HEX(_xlfn.BITAND(HEX2DEC(MID('paste from garc here'!$C$1,1+(('table for research'!$B781-1)*36+HEX2DEC(8))*2,2)),64),2)</f>
        <v>00</v>
      </c>
      <c r="N781" t="str">
        <f>DEC2HEX(_xlfn.BITRSHIFT(_xlfn.BITAND(HEX2DEC(MID('paste from garc here'!$C$1,1+(('table for research'!$B781-1)*36+HEX2DEC(9))*2,2)&amp;MID('paste from garc here'!$C$1,1+(('table for research'!$B781-1)*36+HEX2DEC(8))*2,2)),1920),7),2)</f>
        <v>00</v>
      </c>
      <c r="O781" t="str">
        <f>DEC2HEX(_xlfn.BITRSHIFT(HEX2DEC(MID('paste from garc here'!$C$1,1+(('table for research'!$B781-1)*36+HEX2DEC(9))*2,2)&amp;MID('paste from garc here'!$C$1,1+(('table for research'!$B781-1)*36+HEX2DEC(8))*2,2)),11),2)</f>
        <v>00</v>
      </c>
      <c r="P781" t="str">
        <f>MID('paste from garc here'!$C$2,1+(('table for research'!$B781-456)*36+HEX2DEC('table for research'!P$1))*2,2)</f>
        <v>00</v>
      </c>
      <c r="Q781" t="str">
        <f>MID('paste from garc here'!$C$2,1+(('table for research'!$B781-456)*36+HEX2DEC('table for research'!Q$1))*2,2)</f>
        <v>00</v>
      </c>
      <c r="R781" t="str">
        <f>MID('paste from garc here'!$C$2,1+(('table for research'!$B781-456)*36+HEX2DEC('table for research'!R$1))*2,2)</f>
        <v>00</v>
      </c>
      <c r="S781" t="str">
        <f>MID('paste from garc here'!$C$2,1+(('table for research'!$B781-456)*36+HEX2DEC('table for research'!S$1))*2,2)</f>
        <v>01</v>
      </c>
      <c r="T781" t="str">
        <f>MID('paste from garc here'!$C$2,1+(('table for research'!$B781-456)*36+HEX2DEC('table for research'!T$1))*2,2)</f>
        <v>00</v>
      </c>
      <c r="U781" t="str">
        <f>MID('paste from garc here'!$C$2,1+(('table for research'!$B781-456)*36+HEX2DEC('table for research'!U$1))*2,2)</f>
        <v>04</v>
      </c>
      <c r="V781" t="str">
        <f>MID('paste from garc here'!$C$2,1+(('table for research'!$B781-456)*36+HEX2DEC('table for research'!V$1))*2,2)</f>
        <v>04</v>
      </c>
      <c r="W781" t="str">
        <f>MID('paste from garc here'!$C$2,1+(('table for research'!$B781-456)*36+HEX2DEC('table for research'!W$1))*2,2)</f>
        <v>00</v>
      </c>
      <c r="X781" t="str">
        <f>MID('paste from garc here'!$C$2,1+(('table for research'!$B781-456)*36+HEX2DEC('table for research'!X$1))*2,2)</f>
        <v>00</v>
      </c>
      <c r="Y781" t="str">
        <f>MID('paste from garc here'!$C$2,1+(('table for research'!$B781-456)*36+HEX2DEC('table for research'!Y$1))*2,2)</f>
        <v>00</v>
      </c>
      <c r="Z781" t="str">
        <f>MID('paste from garc here'!$C$2,1+(('table for research'!$B781-456)*36+HEX2DEC('table for research'!Z$1))*2,2)</f>
        <v>00</v>
      </c>
      <c r="AA781" t="str">
        <f>MID('paste from garc here'!$C$2,1+(('table for research'!$B781-456)*36+HEX2DEC('table for research'!AA$1))*2,2)</f>
        <v>00</v>
      </c>
      <c r="AB781" t="str">
        <f>MID('paste from garc here'!$C$2,1+(('table for research'!$B781-456)*36+HEX2DEC('table for research'!AB$1))*2,2)</f>
        <v>00</v>
      </c>
      <c r="AC781" t="str">
        <f>MID('paste from garc here'!$C$2,1+(('table for research'!$B781-456)*36+HEX2DEC('table for research'!AC$1))*2,2)</f>
        <v>00</v>
      </c>
      <c r="AD781" t="str">
        <f>MID('paste from garc here'!$C$2,1+(('table for research'!$B781-456)*36+HEX2DEC('table for research'!AD$1))*2,2)</f>
        <v>00</v>
      </c>
      <c r="AE781" t="str">
        <f>MID('paste from garc here'!$C$2,1+(('table for research'!$B781-456)*36+HEX2DEC('table for research'!AE$1))*2,2)</f>
        <v>00</v>
      </c>
      <c r="AF781" t="str">
        <f>MID('paste from garc here'!$C$2,1+(('table for research'!$B781-456)*36+HEX2DEC('table for research'!AF$1))*2,2)</f>
        <v>00</v>
      </c>
      <c r="AG781" t="str">
        <f>MID('paste from garc here'!$C$2,1+(('table for research'!$B781-456)*36+HEX2DEC('table for research'!AG$1))*2,2)</f>
        <v>00</v>
      </c>
      <c r="AH781" t="str">
        <f>MID('paste from garc here'!$C$2,1+(('table for research'!$B781-456)*36+HEX2DEC('table for research'!AH$1))*2,2)</f>
        <v>00</v>
      </c>
      <c r="AI781" t="str">
        <f>MID('paste from garc here'!$C$2,1+(('table for research'!$B781-456)*36+HEX2DEC('table for research'!AI$1))*2,2)</f>
        <v>00</v>
      </c>
      <c r="AJ781" t="str">
        <f>MID('paste from garc here'!$C$2,1+(('table for research'!$B781-456)*36+HEX2DEC('table for research'!AJ$1))*2,2)</f>
        <v>00</v>
      </c>
      <c r="AK781" t="str">
        <f>MID('paste from garc here'!$C$2,1+(('table for research'!$B781-456)*36+HEX2DEC('table for research'!AK$1))*2,2)</f>
        <v>00</v>
      </c>
      <c r="AL781" t="str">
        <f>MID('paste from garc here'!$C$2,1+(('table for research'!$B781-456)*36+HEX2DEC('table for research'!AL$1))*2,2)</f>
        <v>00</v>
      </c>
      <c r="AM781" t="str">
        <f>MID('paste from garc here'!$C$2,1+(('table for research'!$B781-456)*36+HEX2DEC('table for research'!AM$1))*2,2)</f>
        <v>00</v>
      </c>
      <c r="AN781" t="str">
        <f>MID('paste from garc here'!$C$2,1+(('table for research'!$B781-456)*36+HEX2DEC('table for research'!AN$1))*2,2)</f>
        <v>00</v>
      </c>
      <c r="AO781" t="str">
        <f>MID('paste from garc here'!$C$2,1+(('table for research'!$B781-456)*36+HEX2DEC('table for research'!AO$1))*2,2)</f>
        <v>00</v>
      </c>
    </row>
    <row r="782" spans="1:41" x14ac:dyDescent="0.4">
      <c r="A782" t="s">
        <v>773</v>
      </c>
      <c r="B782">
        <f>B781+1</f>
        <v>780</v>
      </c>
      <c r="C782" t="str">
        <f>MID('paste from garc here'!$C$2,1+(('table for research'!$B782-456)*36+HEX2DEC('table for research'!C$1))*2,2)</f>
        <v>00</v>
      </c>
      <c r="D782" t="str">
        <f>MID('paste from garc here'!$C$2,1+(('table for research'!$B782-456)*36+HEX2DEC('table for research'!D$1))*2,2)</f>
        <v>00</v>
      </c>
      <c r="E782" t="str">
        <f>MID('paste from garc here'!$C$2,1+(('table for research'!$B782-456)*36+HEX2DEC('table for research'!E$1))*2,2)</f>
        <v>00</v>
      </c>
      <c r="F782" t="str">
        <f>MID('paste from garc here'!$C$2,1+(('table for research'!$B782-456)*36+HEX2DEC('table for research'!F$1))*2,2)</f>
        <v>00</v>
      </c>
      <c r="G782" t="str">
        <f>MID('paste from garc here'!$C$2,1+(('table for research'!$B782-456)*36+HEX2DEC('table for research'!G$1))*2,2)</f>
        <v>00</v>
      </c>
      <c r="H782" t="str">
        <f>MID('paste from garc here'!$C$2,1+(('table for research'!$B782-456)*36+HEX2DEC('table for research'!H$1))*2,2)</f>
        <v>00</v>
      </c>
      <c r="I782" t="str">
        <f>MID('paste from garc here'!$C$2,1+(('table for research'!$B782-456)*36+HEX2DEC('table for research'!I$1))*2,2)</f>
        <v>00</v>
      </c>
      <c r="J782" t="str">
        <f>MID('paste from garc here'!$C$2,1+(('table for research'!$B782-456)*36+HEX2DEC('table for research'!J$1))*2,2)</f>
        <v>00</v>
      </c>
      <c r="K782" t="str">
        <f>DEC2HEX(_xlfn.BITAND(HEX2DEC(MID('paste from garc here'!$C$1,1+(('table for research'!$B782-1)*36+HEX2DEC(8))*2,2)),31),2)</f>
        <v>00</v>
      </c>
      <c r="L782" t="str">
        <f>DEC2HEX(_xlfn.BITAND(HEX2DEC(MID('paste from garc here'!$C$1,1+(('table for research'!$B782-1)*36+HEX2DEC(8))*2,2)),32),2)</f>
        <v>00</v>
      </c>
      <c r="M782" t="str">
        <f>DEC2HEX(_xlfn.BITAND(HEX2DEC(MID('paste from garc here'!$C$1,1+(('table for research'!$B782-1)*36+HEX2DEC(8))*2,2)),64),2)</f>
        <v>00</v>
      </c>
      <c r="N782" t="str">
        <f>DEC2HEX(_xlfn.BITRSHIFT(_xlfn.BITAND(HEX2DEC(MID('paste from garc here'!$C$1,1+(('table for research'!$B782-1)*36+HEX2DEC(9))*2,2)&amp;MID('paste from garc here'!$C$1,1+(('table for research'!$B782-1)*36+HEX2DEC(8))*2,2)),1920),7),2)</f>
        <v>00</v>
      </c>
      <c r="O782" t="str">
        <f>DEC2HEX(_xlfn.BITRSHIFT(HEX2DEC(MID('paste from garc here'!$C$1,1+(('table for research'!$B782-1)*36+HEX2DEC(9))*2,2)&amp;MID('paste from garc here'!$C$1,1+(('table for research'!$B782-1)*36+HEX2DEC(8))*2,2)),11),2)</f>
        <v>00</v>
      </c>
      <c r="P782" t="str">
        <f>MID('paste from garc here'!$C$2,1+(('table for research'!$B782-456)*36+HEX2DEC('table for research'!P$1))*2,2)</f>
        <v>00</v>
      </c>
      <c r="Q782" t="str">
        <f>MID('paste from garc here'!$C$2,1+(('table for research'!$B782-456)*36+HEX2DEC('table for research'!Q$1))*2,2)</f>
        <v>00</v>
      </c>
      <c r="R782" t="str">
        <f>MID('paste from garc here'!$C$2,1+(('table for research'!$B782-456)*36+HEX2DEC('table for research'!R$1))*2,2)</f>
        <v>00</v>
      </c>
      <c r="S782" t="str">
        <f>MID('paste from garc here'!$C$2,1+(('table for research'!$B782-456)*36+HEX2DEC('table for research'!S$1))*2,2)</f>
        <v>01</v>
      </c>
      <c r="T782" t="str">
        <f>MID('paste from garc here'!$C$2,1+(('table for research'!$B782-456)*36+HEX2DEC('table for research'!T$1))*2,2)</f>
        <v>00</v>
      </c>
      <c r="U782" t="str">
        <f>MID('paste from garc here'!$C$2,1+(('table for research'!$B782-456)*36+HEX2DEC('table for research'!U$1))*2,2)</f>
        <v>05</v>
      </c>
      <c r="V782" t="str">
        <f>MID('paste from garc here'!$C$2,1+(('table for research'!$B782-456)*36+HEX2DEC('table for research'!V$1))*2,2)</f>
        <v>05</v>
      </c>
      <c r="W782" t="str">
        <f>MID('paste from garc here'!$C$2,1+(('table for research'!$B782-456)*36+HEX2DEC('table for research'!W$1))*2,2)</f>
        <v>00</v>
      </c>
      <c r="X782" t="str">
        <f>MID('paste from garc here'!$C$2,1+(('table for research'!$B782-456)*36+HEX2DEC('table for research'!X$1))*2,2)</f>
        <v>00</v>
      </c>
      <c r="Y782" t="str">
        <f>MID('paste from garc here'!$C$2,1+(('table for research'!$B782-456)*36+HEX2DEC('table for research'!Y$1))*2,2)</f>
        <v>00</v>
      </c>
      <c r="Z782" t="str">
        <f>MID('paste from garc here'!$C$2,1+(('table for research'!$B782-456)*36+HEX2DEC('table for research'!Z$1))*2,2)</f>
        <v>00</v>
      </c>
      <c r="AA782" t="str">
        <f>MID('paste from garc here'!$C$2,1+(('table for research'!$B782-456)*36+HEX2DEC('table for research'!AA$1))*2,2)</f>
        <v>00</v>
      </c>
      <c r="AB782" t="str">
        <f>MID('paste from garc here'!$C$2,1+(('table for research'!$B782-456)*36+HEX2DEC('table for research'!AB$1))*2,2)</f>
        <v>00</v>
      </c>
      <c r="AC782" t="str">
        <f>MID('paste from garc here'!$C$2,1+(('table for research'!$B782-456)*36+HEX2DEC('table for research'!AC$1))*2,2)</f>
        <v>00</v>
      </c>
      <c r="AD782" t="str">
        <f>MID('paste from garc here'!$C$2,1+(('table for research'!$B782-456)*36+HEX2DEC('table for research'!AD$1))*2,2)</f>
        <v>00</v>
      </c>
      <c r="AE782" t="str">
        <f>MID('paste from garc here'!$C$2,1+(('table for research'!$B782-456)*36+HEX2DEC('table for research'!AE$1))*2,2)</f>
        <v>00</v>
      </c>
      <c r="AF782" t="str">
        <f>MID('paste from garc here'!$C$2,1+(('table for research'!$B782-456)*36+HEX2DEC('table for research'!AF$1))*2,2)</f>
        <v>00</v>
      </c>
      <c r="AG782" t="str">
        <f>MID('paste from garc here'!$C$2,1+(('table for research'!$B782-456)*36+HEX2DEC('table for research'!AG$1))*2,2)</f>
        <v>00</v>
      </c>
      <c r="AH782" t="str">
        <f>MID('paste from garc here'!$C$2,1+(('table for research'!$B782-456)*36+HEX2DEC('table for research'!AH$1))*2,2)</f>
        <v>00</v>
      </c>
      <c r="AI782" t="str">
        <f>MID('paste from garc here'!$C$2,1+(('table for research'!$B782-456)*36+HEX2DEC('table for research'!AI$1))*2,2)</f>
        <v>00</v>
      </c>
      <c r="AJ782" t="str">
        <f>MID('paste from garc here'!$C$2,1+(('table for research'!$B782-456)*36+HEX2DEC('table for research'!AJ$1))*2,2)</f>
        <v>00</v>
      </c>
      <c r="AK782" t="str">
        <f>MID('paste from garc here'!$C$2,1+(('table for research'!$B782-456)*36+HEX2DEC('table for research'!AK$1))*2,2)</f>
        <v>00</v>
      </c>
      <c r="AL782" t="str">
        <f>MID('paste from garc here'!$C$2,1+(('table for research'!$B782-456)*36+HEX2DEC('table for research'!AL$1))*2,2)</f>
        <v>00</v>
      </c>
      <c r="AM782" t="str">
        <f>MID('paste from garc here'!$C$2,1+(('table for research'!$B782-456)*36+HEX2DEC('table for research'!AM$1))*2,2)</f>
        <v>00</v>
      </c>
      <c r="AN782" t="str">
        <f>MID('paste from garc here'!$C$2,1+(('table for research'!$B782-456)*36+HEX2DEC('table for research'!AN$1))*2,2)</f>
        <v>00</v>
      </c>
      <c r="AO782" t="str">
        <f>MID('paste from garc here'!$C$2,1+(('table for research'!$B782-456)*36+HEX2DEC('table for research'!AO$1))*2,2)</f>
        <v>00</v>
      </c>
    </row>
    <row r="783" spans="1:41" x14ac:dyDescent="0.4">
      <c r="A783" t="s">
        <v>774</v>
      </c>
      <c r="B783">
        <f>B782+1</f>
        <v>781</v>
      </c>
      <c r="C783" t="str">
        <f>MID('paste from garc here'!$C$2,1+(('table for research'!$B783-456)*36+HEX2DEC('table for research'!C$1))*2,2)</f>
        <v>00</v>
      </c>
      <c r="D783" t="str">
        <f>MID('paste from garc here'!$C$2,1+(('table for research'!$B783-456)*36+HEX2DEC('table for research'!D$1))*2,2)</f>
        <v>00</v>
      </c>
      <c r="E783" t="str">
        <f>MID('paste from garc here'!$C$2,1+(('table for research'!$B783-456)*36+HEX2DEC('table for research'!E$1))*2,2)</f>
        <v>00</v>
      </c>
      <c r="F783" t="str">
        <f>MID('paste from garc here'!$C$2,1+(('table for research'!$B783-456)*36+HEX2DEC('table for research'!F$1))*2,2)</f>
        <v>00</v>
      </c>
      <c r="G783" t="str">
        <f>MID('paste from garc here'!$C$2,1+(('table for research'!$B783-456)*36+HEX2DEC('table for research'!G$1))*2,2)</f>
        <v>00</v>
      </c>
      <c r="H783" t="str">
        <f>MID('paste from garc here'!$C$2,1+(('table for research'!$B783-456)*36+HEX2DEC('table for research'!H$1))*2,2)</f>
        <v>00</v>
      </c>
      <c r="I783" t="str">
        <f>MID('paste from garc here'!$C$2,1+(('table for research'!$B783-456)*36+HEX2DEC('table for research'!I$1))*2,2)</f>
        <v>00</v>
      </c>
      <c r="J783" t="str">
        <f>MID('paste from garc here'!$C$2,1+(('table for research'!$B783-456)*36+HEX2DEC('table for research'!J$1))*2,2)</f>
        <v>00</v>
      </c>
      <c r="K783" t="str">
        <f>DEC2HEX(_xlfn.BITAND(HEX2DEC(MID('paste from garc here'!$C$1,1+(('table for research'!$B783-1)*36+HEX2DEC(8))*2,2)),31),2)</f>
        <v>00</v>
      </c>
      <c r="L783" t="str">
        <f>DEC2HEX(_xlfn.BITAND(HEX2DEC(MID('paste from garc here'!$C$1,1+(('table for research'!$B783-1)*36+HEX2DEC(8))*2,2)),32),2)</f>
        <v>00</v>
      </c>
      <c r="M783" t="str">
        <f>DEC2HEX(_xlfn.BITAND(HEX2DEC(MID('paste from garc here'!$C$1,1+(('table for research'!$B783-1)*36+HEX2DEC(8))*2,2)),64),2)</f>
        <v>00</v>
      </c>
      <c r="N783" t="str">
        <f>DEC2HEX(_xlfn.BITRSHIFT(_xlfn.BITAND(HEX2DEC(MID('paste from garc here'!$C$1,1+(('table for research'!$B783-1)*36+HEX2DEC(9))*2,2)&amp;MID('paste from garc here'!$C$1,1+(('table for research'!$B783-1)*36+HEX2DEC(8))*2,2)),1920),7),2)</f>
        <v>00</v>
      </c>
      <c r="O783" t="str">
        <f>DEC2HEX(_xlfn.BITRSHIFT(HEX2DEC(MID('paste from garc here'!$C$1,1+(('table for research'!$B783-1)*36+HEX2DEC(9))*2,2)&amp;MID('paste from garc here'!$C$1,1+(('table for research'!$B783-1)*36+HEX2DEC(8))*2,2)),11),2)</f>
        <v>00</v>
      </c>
      <c r="P783" t="str">
        <f>MID('paste from garc here'!$C$2,1+(('table for research'!$B783-456)*36+HEX2DEC('table for research'!P$1))*2,2)</f>
        <v>00</v>
      </c>
      <c r="Q783" t="str">
        <f>MID('paste from garc here'!$C$2,1+(('table for research'!$B783-456)*36+HEX2DEC('table for research'!Q$1))*2,2)</f>
        <v>00</v>
      </c>
      <c r="R783" t="str">
        <f>MID('paste from garc here'!$C$2,1+(('table for research'!$B783-456)*36+HEX2DEC('table for research'!R$1))*2,2)</f>
        <v>00</v>
      </c>
      <c r="S783" t="str">
        <f>MID('paste from garc here'!$C$2,1+(('table for research'!$B783-456)*36+HEX2DEC('table for research'!S$1))*2,2)</f>
        <v>01</v>
      </c>
      <c r="T783" t="str">
        <f>MID('paste from garc here'!$C$2,1+(('table for research'!$B783-456)*36+HEX2DEC('table for research'!T$1))*2,2)</f>
        <v>00</v>
      </c>
      <c r="U783" t="str">
        <f>MID('paste from garc here'!$C$2,1+(('table for research'!$B783-456)*36+HEX2DEC('table for research'!U$1))*2,2)</f>
        <v>06</v>
      </c>
      <c r="V783" t="str">
        <f>MID('paste from garc here'!$C$2,1+(('table for research'!$B783-456)*36+HEX2DEC('table for research'!V$1))*2,2)</f>
        <v>06</v>
      </c>
      <c r="W783" t="str">
        <f>MID('paste from garc here'!$C$2,1+(('table for research'!$B783-456)*36+HEX2DEC('table for research'!W$1))*2,2)</f>
        <v>00</v>
      </c>
      <c r="X783" t="str">
        <f>MID('paste from garc here'!$C$2,1+(('table for research'!$B783-456)*36+HEX2DEC('table for research'!X$1))*2,2)</f>
        <v>00</v>
      </c>
      <c r="Y783" t="str">
        <f>MID('paste from garc here'!$C$2,1+(('table for research'!$B783-456)*36+HEX2DEC('table for research'!Y$1))*2,2)</f>
        <v>00</v>
      </c>
      <c r="Z783" t="str">
        <f>MID('paste from garc here'!$C$2,1+(('table for research'!$B783-456)*36+HEX2DEC('table for research'!Z$1))*2,2)</f>
        <v>00</v>
      </c>
      <c r="AA783" t="str">
        <f>MID('paste from garc here'!$C$2,1+(('table for research'!$B783-456)*36+HEX2DEC('table for research'!AA$1))*2,2)</f>
        <v>00</v>
      </c>
      <c r="AB783" t="str">
        <f>MID('paste from garc here'!$C$2,1+(('table for research'!$B783-456)*36+HEX2DEC('table for research'!AB$1))*2,2)</f>
        <v>00</v>
      </c>
      <c r="AC783" t="str">
        <f>MID('paste from garc here'!$C$2,1+(('table for research'!$B783-456)*36+HEX2DEC('table for research'!AC$1))*2,2)</f>
        <v>00</v>
      </c>
      <c r="AD783" t="str">
        <f>MID('paste from garc here'!$C$2,1+(('table for research'!$B783-456)*36+HEX2DEC('table for research'!AD$1))*2,2)</f>
        <v>00</v>
      </c>
      <c r="AE783" t="str">
        <f>MID('paste from garc here'!$C$2,1+(('table for research'!$B783-456)*36+HEX2DEC('table for research'!AE$1))*2,2)</f>
        <v>00</v>
      </c>
      <c r="AF783" t="str">
        <f>MID('paste from garc here'!$C$2,1+(('table for research'!$B783-456)*36+HEX2DEC('table for research'!AF$1))*2,2)</f>
        <v>00</v>
      </c>
      <c r="AG783" t="str">
        <f>MID('paste from garc here'!$C$2,1+(('table for research'!$B783-456)*36+HEX2DEC('table for research'!AG$1))*2,2)</f>
        <v>00</v>
      </c>
      <c r="AH783" t="str">
        <f>MID('paste from garc here'!$C$2,1+(('table for research'!$B783-456)*36+HEX2DEC('table for research'!AH$1))*2,2)</f>
        <v>00</v>
      </c>
      <c r="AI783" t="str">
        <f>MID('paste from garc here'!$C$2,1+(('table for research'!$B783-456)*36+HEX2DEC('table for research'!AI$1))*2,2)</f>
        <v>00</v>
      </c>
      <c r="AJ783" t="str">
        <f>MID('paste from garc here'!$C$2,1+(('table for research'!$B783-456)*36+HEX2DEC('table for research'!AJ$1))*2,2)</f>
        <v>00</v>
      </c>
      <c r="AK783" t="str">
        <f>MID('paste from garc here'!$C$2,1+(('table for research'!$B783-456)*36+HEX2DEC('table for research'!AK$1))*2,2)</f>
        <v>00</v>
      </c>
      <c r="AL783" t="str">
        <f>MID('paste from garc here'!$C$2,1+(('table for research'!$B783-456)*36+HEX2DEC('table for research'!AL$1))*2,2)</f>
        <v>00</v>
      </c>
      <c r="AM783" t="str">
        <f>MID('paste from garc here'!$C$2,1+(('table for research'!$B783-456)*36+HEX2DEC('table for research'!AM$1))*2,2)</f>
        <v>00</v>
      </c>
      <c r="AN783" t="str">
        <f>MID('paste from garc here'!$C$2,1+(('table for research'!$B783-456)*36+HEX2DEC('table for research'!AN$1))*2,2)</f>
        <v>00</v>
      </c>
      <c r="AO783" t="str">
        <f>MID('paste from garc here'!$C$2,1+(('table for research'!$B783-456)*36+HEX2DEC('table for research'!AO$1))*2,2)</f>
        <v>00</v>
      </c>
    </row>
    <row r="784" spans="1:41" x14ac:dyDescent="0.4">
      <c r="A784" t="s">
        <v>775</v>
      </c>
      <c r="B784">
        <f>B783+1</f>
        <v>782</v>
      </c>
      <c r="C784" t="str">
        <f>MID('paste from garc here'!$C$2,1+(('table for research'!$B784-456)*36+HEX2DEC('table for research'!C$1))*2,2)</f>
        <v>00</v>
      </c>
      <c r="D784" t="str">
        <f>MID('paste from garc here'!$C$2,1+(('table for research'!$B784-456)*36+HEX2DEC('table for research'!D$1))*2,2)</f>
        <v>00</v>
      </c>
      <c r="E784" t="str">
        <f>MID('paste from garc here'!$C$2,1+(('table for research'!$B784-456)*36+HEX2DEC('table for research'!E$1))*2,2)</f>
        <v>00</v>
      </c>
      <c r="F784" t="str">
        <f>MID('paste from garc here'!$C$2,1+(('table for research'!$B784-456)*36+HEX2DEC('table for research'!F$1))*2,2)</f>
        <v>00</v>
      </c>
      <c r="G784" t="str">
        <f>MID('paste from garc here'!$C$2,1+(('table for research'!$B784-456)*36+HEX2DEC('table for research'!G$1))*2,2)</f>
        <v>00</v>
      </c>
      <c r="H784" t="str">
        <f>MID('paste from garc here'!$C$2,1+(('table for research'!$B784-456)*36+HEX2DEC('table for research'!H$1))*2,2)</f>
        <v>00</v>
      </c>
      <c r="I784" t="str">
        <f>MID('paste from garc here'!$C$2,1+(('table for research'!$B784-456)*36+HEX2DEC('table for research'!I$1))*2,2)</f>
        <v>00</v>
      </c>
      <c r="J784" t="str">
        <f>MID('paste from garc here'!$C$2,1+(('table for research'!$B784-456)*36+HEX2DEC('table for research'!J$1))*2,2)</f>
        <v>00</v>
      </c>
      <c r="K784" t="str">
        <f>DEC2HEX(_xlfn.BITAND(HEX2DEC(MID('paste from garc here'!$C$1,1+(('table for research'!$B784-1)*36+HEX2DEC(8))*2,2)),31),2)</f>
        <v>00</v>
      </c>
      <c r="L784" t="str">
        <f>DEC2HEX(_xlfn.BITAND(HEX2DEC(MID('paste from garc here'!$C$1,1+(('table for research'!$B784-1)*36+HEX2DEC(8))*2,2)),32),2)</f>
        <v>00</v>
      </c>
      <c r="M784" t="str">
        <f>DEC2HEX(_xlfn.BITAND(HEX2DEC(MID('paste from garc here'!$C$1,1+(('table for research'!$B784-1)*36+HEX2DEC(8))*2,2)),64),2)</f>
        <v>00</v>
      </c>
      <c r="N784" t="str">
        <f>DEC2HEX(_xlfn.BITRSHIFT(_xlfn.BITAND(HEX2DEC(MID('paste from garc here'!$C$1,1+(('table for research'!$B784-1)*36+HEX2DEC(9))*2,2)&amp;MID('paste from garc here'!$C$1,1+(('table for research'!$B784-1)*36+HEX2DEC(8))*2,2)),1920),7),2)</f>
        <v>00</v>
      </c>
      <c r="O784" t="str">
        <f>DEC2HEX(_xlfn.BITRSHIFT(HEX2DEC(MID('paste from garc here'!$C$1,1+(('table for research'!$B784-1)*36+HEX2DEC(9))*2,2)&amp;MID('paste from garc here'!$C$1,1+(('table for research'!$B784-1)*36+HEX2DEC(8))*2,2)),11),2)</f>
        <v>00</v>
      </c>
      <c r="P784" t="str">
        <f>MID('paste from garc here'!$C$2,1+(('table for research'!$B784-456)*36+HEX2DEC('table for research'!P$1))*2,2)</f>
        <v>00</v>
      </c>
      <c r="Q784" t="str">
        <f>MID('paste from garc here'!$C$2,1+(('table for research'!$B784-456)*36+HEX2DEC('table for research'!Q$1))*2,2)</f>
        <v>00</v>
      </c>
      <c r="R784" t="str">
        <f>MID('paste from garc here'!$C$2,1+(('table for research'!$B784-456)*36+HEX2DEC('table for research'!R$1))*2,2)</f>
        <v>00</v>
      </c>
      <c r="S784" t="str">
        <f>MID('paste from garc here'!$C$2,1+(('table for research'!$B784-456)*36+HEX2DEC('table for research'!S$1))*2,2)</f>
        <v>01</v>
      </c>
      <c r="T784" t="str">
        <f>MID('paste from garc here'!$C$2,1+(('table for research'!$B784-456)*36+HEX2DEC('table for research'!T$1))*2,2)</f>
        <v>00</v>
      </c>
      <c r="U784" t="str">
        <f>MID('paste from garc here'!$C$2,1+(('table for research'!$B784-456)*36+HEX2DEC('table for research'!U$1))*2,2)</f>
        <v>07</v>
      </c>
      <c r="V784" t="str">
        <f>MID('paste from garc here'!$C$2,1+(('table for research'!$B784-456)*36+HEX2DEC('table for research'!V$1))*2,2)</f>
        <v>07</v>
      </c>
      <c r="W784" t="str">
        <f>MID('paste from garc here'!$C$2,1+(('table for research'!$B784-456)*36+HEX2DEC('table for research'!W$1))*2,2)</f>
        <v>00</v>
      </c>
      <c r="X784" t="str">
        <f>MID('paste from garc here'!$C$2,1+(('table for research'!$B784-456)*36+HEX2DEC('table for research'!X$1))*2,2)</f>
        <v>00</v>
      </c>
      <c r="Y784" t="str">
        <f>MID('paste from garc here'!$C$2,1+(('table for research'!$B784-456)*36+HEX2DEC('table for research'!Y$1))*2,2)</f>
        <v>00</v>
      </c>
      <c r="Z784" t="str">
        <f>MID('paste from garc here'!$C$2,1+(('table for research'!$B784-456)*36+HEX2DEC('table for research'!Z$1))*2,2)</f>
        <v>00</v>
      </c>
      <c r="AA784" t="str">
        <f>MID('paste from garc here'!$C$2,1+(('table for research'!$B784-456)*36+HEX2DEC('table for research'!AA$1))*2,2)</f>
        <v>00</v>
      </c>
      <c r="AB784" t="str">
        <f>MID('paste from garc here'!$C$2,1+(('table for research'!$B784-456)*36+HEX2DEC('table for research'!AB$1))*2,2)</f>
        <v>00</v>
      </c>
      <c r="AC784" t="str">
        <f>MID('paste from garc here'!$C$2,1+(('table for research'!$B784-456)*36+HEX2DEC('table for research'!AC$1))*2,2)</f>
        <v>00</v>
      </c>
      <c r="AD784" t="str">
        <f>MID('paste from garc here'!$C$2,1+(('table for research'!$B784-456)*36+HEX2DEC('table for research'!AD$1))*2,2)</f>
        <v>00</v>
      </c>
      <c r="AE784" t="str">
        <f>MID('paste from garc here'!$C$2,1+(('table for research'!$B784-456)*36+HEX2DEC('table for research'!AE$1))*2,2)</f>
        <v>00</v>
      </c>
      <c r="AF784" t="str">
        <f>MID('paste from garc here'!$C$2,1+(('table for research'!$B784-456)*36+HEX2DEC('table for research'!AF$1))*2,2)</f>
        <v>00</v>
      </c>
      <c r="AG784" t="str">
        <f>MID('paste from garc here'!$C$2,1+(('table for research'!$B784-456)*36+HEX2DEC('table for research'!AG$1))*2,2)</f>
        <v>00</v>
      </c>
      <c r="AH784" t="str">
        <f>MID('paste from garc here'!$C$2,1+(('table for research'!$B784-456)*36+HEX2DEC('table for research'!AH$1))*2,2)</f>
        <v>00</v>
      </c>
      <c r="AI784" t="str">
        <f>MID('paste from garc here'!$C$2,1+(('table for research'!$B784-456)*36+HEX2DEC('table for research'!AI$1))*2,2)</f>
        <v>00</v>
      </c>
      <c r="AJ784" t="str">
        <f>MID('paste from garc here'!$C$2,1+(('table for research'!$B784-456)*36+HEX2DEC('table for research'!AJ$1))*2,2)</f>
        <v>00</v>
      </c>
      <c r="AK784" t="str">
        <f>MID('paste from garc here'!$C$2,1+(('table for research'!$B784-456)*36+HEX2DEC('table for research'!AK$1))*2,2)</f>
        <v>00</v>
      </c>
      <c r="AL784" t="str">
        <f>MID('paste from garc here'!$C$2,1+(('table for research'!$B784-456)*36+HEX2DEC('table for research'!AL$1))*2,2)</f>
        <v>00</v>
      </c>
      <c r="AM784" t="str">
        <f>MID('paste from garc here'!$C$2,1+(('table for research'!$B784-456)*36+HEX2DEC('table for research'!AM$1))*2,2)</f>
        <v>00</v>
      </c>
      <c r="AN784" t="str">
        <f>MID('paste from garc here'!$C$2,1+(('table for research'!$B784-456)*36+HEX2DEC('table for research'!AN$1))*2,2)</f>
        <v>00</v>
      </c>
      <c r="AO784" t="str">
        <f>MID('paste from garc here'!$C$2,1+(('table for research'!$B784-456)*36+HEX2DEC('table for research'!AO$1))*2,2)</f>
        <v>00</v>
      </c>
    </row>
    <row r="785" spans="1:41" x14ac:dyDescent="0.4">
      <c r="A785" t="s">
        <v>776</v>
      </c>
      <c r="B785">
        <f>B784+1</f>
        <v>783</v>
      </c>
      <c r="C785" t="str">
        <f>MID('paste from garc here'!$C$2,1+(('table for research'!$B785-456)*36+HEX2DEC('table for research'!C$1))*2,2)</f>
        <v>00</v>
      </c>
      <c r="D785" t="str">
        <f>MID('paste from garc here'!$C$2,1+(('table for research'!$B785-456)*36+HEX2DEC('table for research'!D$1))*2,2)</f>
        <v>00</v>
      </c>
      <c r="E785" t="str">
        <f>MID('paste from garc here'!$C$2,1+(('table for research'!$B785-456)*36+HEX2DEC('table for research'!E$1))*2,2)</f>
        <v>00</v>
      </c>
      <c r="F785" t="str">
        <f>MID('paste from garc here'!$C$2,1+(('table for research'!$B785-456)*36+HEX2DEC('table for research'!F$1))*2,2)</f>
        <v>00</v>
      </c>
      <c r="G785" t="str">
        <f>MID('paste from garc here'!$C$2,1+(('table for research'!$B785-456)*36+HEX2DEC('table for research'!G$1))*2,2)</f>
        <v>00</v>
      </c>
      <c r="H785" t="str">
        <f>MID('paste from garc here'!$C$2,1+(('table for research'!$B785-456)*36+HEX2DEC('table for research'!H$1))*2,2)</f>
        <v>00</v>
      </c>
      <c r="I785" t="str">
        <f>MID('paste from garc here'!$C$2,1+(('table for research'!$B785-456)*36+HEX2DEC('table for research'!I$1))*2,2)</f>
        <v>00</v>
      </c>
      <c r="J785" t="str">
        <f>MID('paste from garc here'!$C$2,1+(('table for research'!$B785-456)*36+HEX2DEC('table for research'!J$1))*2,2)</f>
        <v>00</v>
      </c>
      <c r="K785" t="str">
        <f>DEC2HEX(_xlfn.BITAND(HEX2DEC(MID('paste from garc here'!$C$1,1+(('table for research'!$B785-1)*36+HEX2DEC(8))*2,2)),31),2)</f>
        <v>00</v>
      </c>
      <c r="L785" t="str">
        <f>DEC2HEX(_xlfn.BITAND(HEX2DEC(MID('paste from garc here'!$C$1,1+(('table for research'!$B785-1)*36+HEX2DEC(8))*2,2)),32),2)</f>
        <v>00</v>
      </c>
      <c r="M785" t="str">
        <f>DEC2HEX(_xlfn.BITAND(HEX2DEC(MID('paste from garc here'!$C$1,1+(('table for research'!$B785-1)*36+HEX2DEC(8))*2,2)),64),2)</f>
        <v>00</v>
      </c>
      <c r="N785" t="str">
        <f>DEC2HEX(_xlfn.BITRSHIFT(_xlfn.BITAND(HEX2DEC(MID('paste from garc here'!$C$1,1+(('table for research'!$B785-1)*36+HEX2DEC(9))*2,2)&amp;MID('paste from garc here'!$C$1,1+(('table for research'!$B785-1)*36+HEX2DEC(8))*2,2)),1920),7),2)</f>
        <v>00</v>
      </c>
      <c r="O785" t="str">
        <f>DEC2HEX(_xlfn.BITRSHIFT(HEX2DEC(MID('paste from garc here'!$C$1,1+(('table for research'!$B785-1)*36+HEX2DEC(9))*2,2)&amp;MID('paste from garc here'!$C$1,1+(('table for research'!$B785-1)*36+HEX2DEC(8))*2,2)),11),2)</f>
        <v>00</v>
      </c>
      <c r="P785" t="str">
        <f>MID('paste from garc here'!$C$2,1+(('table for research'!$B785-456)*36+HEX2DEC('table for research'!P$1))*2,2)</f>
        <v>00</v>
      </c>
      <c r="Q785" t="str">
        <f>MID('paste from garc here'!$C$2,1+(('table for research'!$B785-456)*36+HEX2DEC('table for research'!Q$1))*2,2)</f>
        <v>00</v>
      </c>
      <c r="R785" t="str">
        <f>MID('paste from garc here'!$C$2,1+(('table for research'!$B785-456)*36+HEX2DEC('table for research'!R$1))*2,2)</f>
        <v>00</v>
      </c>
      <c r="S785" t="str">
        <f>MID('paste from garc here'!$C$2,1+(('table for research'!$B785-456)*36+HEX2DEC('table for research'!S$1))*2,2)</f>
        <v>01</v>
      </c>
      <c r="T785" t="str">
        <f>MID('paste from garc here'!$C$2,1+(('table for research'!$B785-456)*36+HEX2DEC('table for research'!T$1))*2,2)</f>
        <v>00</v>
      </c>
      <c r="U785" t="str">
        <f>MID('paste from garc here'!$C$2,1+(('table for research'!$B785-456)*36+HEX2DEC('table for research'!U$1))*2,2)</f>
        <v>08</v>
      </c>
      <c r="V785" t="str">
        <f>MID('paste from garc here'!$C$2,1+(('table for research'!$B785-456)*36+HEX2DEC('table for research'!V$1))*2,2)</f>
        <v>08</v>
      </c>
      <c r="W785" t="str">
        <f>MID('paste from garc here'!$C$2,1+(('table for research'!$B785-456)*36+HEX2DEC('table for research'!W$1))*2,2)</f>
        <v>00</v>
      </c>
      <c r="X785" t="str">
        <f>MID('paste from garc here'!$C$2,1+(('table for research'!$B785-456)*36+HEX2DEC('table for research'!X$1))*2,2)</f>
        <v>00</v>
      </c>
      <c r="Y785" t="str">
        <f>MID('paste from garc here'!$C$2,1+(('table for research'!$B785-456)*36+HEX2DEC('table for research'!Y$1))*2,2)</f>
        <v>00</v>
      </c>
      <c r="Z785" t="str">
        <f>MID('paste from garc here'!$C$2,1+(('table for research'!$B785-456)*36+HEX2DEC('table for research'!Z$1))*2,2)</f>
        <v>00</v>
      </c>
      <c r="AA785" t="str">
        <f>MID('paste from garc here'!$C$2,1+(('table for research'!$B785-456)*36+HEX2DEC('table for research'!AA$1))*2,2)</f>
        <v>00</v>
      </c>
      <c r="AB785" t="str">
        <f>MID('paste from garc here'!$C$2,1+(('table for research'!$B785-456)*36+HEX2DEC('table for research'!AB$1))*2,2)</f>
        <v>00</v>
      </c>
      <c r="AC785" t="str">
        <f>MID('paste from garc here'!$C$2,1+(('table for research'!$B785-456)*36+HEX2DEC('table for research'!AC$1))*2,2)</f>
        <v>00</v>
      </c>
      <c r="AD785" t="str">
        <f>MID('paste from garc here'!$C$2,1+(('table for research'!$B785-456)*36+HEX2DEC('table for research'!AD$1))*2,2)</f>
        <v>00</v>
      </c>
      <c r="AE785" t="str">
        <f>MID('paste from garc here'!$C$2,1+(('table for research'!$B785-456)*36+HEX2DEC('table for research'!AE$1))*2,2)</f>
        <v>00</v>
      </c>
      <c r="AF785" t="str">
        <f>MID('paste from garc here'!$C$2,1+(('table for research'!$B785-456)*36+HEX2DEC('table for research'!AF$1))*2,2)</f>
        <v>00</v>
      </c>
      <c r="AG785" t="str">
        <f>MID('paste from garc here'!$C$2,1+(('table for research'!$B785-456)*36+HEX2DEC('table for research'!AG$1))*2,2)</f>
        <v>00</v>
      </c>
      <c r="AH785" t="str">
        <f>MID('paste from garc here'!$C$2,1+(('table for research'!$B785-456)*36+HEX2DEC('table for research'!AH$1))*2,2)</f>
        <v>00</v>
      </c>
      <c r="AI785" t="str">
        <f>MID('paste from garc here'!$C$2,1+(('table for research'!$B785-456)*36+HEX2DEC('table for research'!AI$1))*2,2)</f>
        <v>00</v>
      </c>
      <c r="AJ785" t="str">
        <f>MID('paste from garc here'!$C$2,1+(('table for research'!$B785-456)*36+HEX2DEC('table for research'!AJ$1))*2,2)</f>
        <v>00</v>
      </c>
      <c r="AK785" t="str">
        <f>MID('paste from garc here'!$C$2,1+(('table for research'!$B785-456)*36+HEX2DEC('table for research'!AK$1))*2,2)</f>
        <v>00</v>
      </c>
      <c r="AL785" t="str">
        <f>MID('paste from garc here'!$C$2,1+(('table for research'!$B785-456)*36+HEX2DEC('table for research'!AL$1))*2,2)</f>
        <v>00</v>
      </c>
      <c r="AM785" t="str">
        <f>MID('paste from garc here'!$C$2,1+(('table for research'!$B785-456)*36+HEX2DEC('table for research'!AM$1))*2,2)</f>
        <v>00</v>
      </c>
      <c r="AN785" t="str">
        <f>MID('paste from garc here'!$C$2,1+(('table for research'!$B785-456)*36+HEX2DEC('table for research'!AN$1))*2,2)</f>
        <v>00</v>
      </c>
      <c r="AO785" t="str">
        <f>MID('paste from garc here'!$C$2,1+(('table for research'!$B785-456)*36+HEX2DEC('table for research'!AO$1))*2,2)</f>
        <v>00</v>
      </c>
    </row>
    <row r="786" spans="1:41" x14ac:dyDescent="0.4">
      <c r="A786" t="s">
        <v>777</v>
      </c>
      <c r="B786">
        <f>B785+1</f>
        <v>784</v>
      </c>
      <c r="C786" t="str">
        <f>MID('paste from garc here'!$C$2,1+(('table for research'!$B786-456)*36+HEX2DEC('table for research'!C$1))*2,2)</f>
        <v>00</v>
      </c>
      <c r="D786" t="str">
        <f>MID('paste from garc here'!$C$2,1+(('table for research'!$B786-456)*36+HEX2DEC('table for research'!D$1))*2,2)</f>
        <v>00</v>
      </c>
      <c r="E786" t="str">
        <f>MID('paste from garc here'!$C$2,1+(('table for research'!$B786-456)*36+HEX2DEC('table for research'!E$1))*2,2)</f>
        <v>00</v>
      </c>
      <c r="F786" t="str">
        <f>MID('paste from garc here'!$C$2,1+(('table for research'!$B786-456)*36+HEX2DEC('table for research'!F$1))*2,2)</f>
        <v>00</v>
      </c>
      <c r="G786" t="str">
        <f>MID('paste from garc here'!$C$2,1+(('table for research'!$B786-456)*36+HEX2DEC('table for research'!G$1))*2,2)</f>
        <v>00</v>
      </c>
      <c r="H786" t="str">
        <f>MID('paste from garc here'!$C$2,1+(('table for research'!$B786-456)*36+HEX2DEC('table for research'!H$1))*2,2)</f>
        <v>00</v>
      </c>
      <c r="I786" t="str">
        <f>MID('paste from garc here'!$C$2,1+(('table for research'!$B786-456)*36+HEX2DEC('table for research'!I$1))*2,2)</f>
        <v>00</v>
      </c>
      <c r="J786" t="str">
        <f>MID('paste from garc here'!$C$2,1+(('table for research'!$B786-456)*36+HEX2DEC('table for research'!J$1))*2,2)</f>
        <v>00</v>
      </c>
      <c r="K786" t="str">
        <f>DEC2HEX(_xlfn.BITAND(HEX2DEC(MID('paste from garc here'!$C$1,1+(('table for research'!$B786-1)*36+HEX2DEC(8))*2,2)),31),2)</f>
        <v>00</v>
      </c>
      <c r="L786" t="str">
        <f>DEC2HEX(_xlfn.BITAND(HEX2DEC(MID('paste from garc here'!$C$1,1+(('table for research'!$B786-1)*36+HEX2DEC(8))*2,2)),32),2)</f>
        <v>00</v>
      </c>
      <c r="M786" t="str">
        <f>DEC2HEX(_xlfn.BITAND(HEX2DEC(MID('paste from garc here'!$C$1,1+(('table for research'!$B786-1)*36+HEX2DEC(8))*2,2)),64),2)</f>
        <v>00</v>
      </c>
      <c r="N786" t="str">
        <f>DEC2HEX(_xlfn.BITRSHIFT(_xlfn.BITAND(HEX2DEC(MID('paste from garc here'!$C$1,1+(('table for research'!$B786-1)*36+HEX2DEC(9))*2,2)&amp;MID('paste from garc here'!$C$1,1+(('table for research'!$B786-1)*36+HEX2DEC(8))*2,2)),1920),7),2)</f>
        <v>00</v>
      </c>
      <c r="O786" t="str">
        <f>DEC2HEX(_xlfn.BITRSHIFT(HEX2DEC(MID('paste from garc here'!$C$1,1+(('table for research'!$B786-1)*36+HEX2DEC(9))*2,2)&amp;MID('paste from garc here'!$C$1,1+(('table for research'!$B786-1)*36+HEX2DEC(8))*2,2)),11),2)</f>
        <v>00</v>
      </c>
      <c r="P786" t="str">
        <f>MID('paste from garc here'!$C$2,1+(('table for research'!$B786-456)*36+HEX2DEC('table for research'!P$1))*2,2)</f>
        <v>00</v>
      </c>
      <c r="Q786" t="str">
        <f>MID('paste from garc here'!$C$2,1+(('table for research'!$B786-456)*36+HEX2DEC('table for research'!Q$1))*2,2)</f>
        <v>00</v>
      </c>
      <c r="R786" t="str">
        <f>MID('paste from garc here'!$C$2,1+(('table for research'!$B786-456)*36+HEX2DEC('table for research'!R$1))*2,2)</f>
        <v>00</v>
      </c>
      <c r="S786" t="str">
        <f>MID('paste from garc here'!$C$2,1+(('table for research'!$B786-456)*36+HEX2DEC('table for research'!S$1))*2,2)</f>
        <v>01</v>
      </c>
      <c r="T786" t="str">
        <f>MID('paste from garc here'!$C$2,1+(('table for research'!$B786-456)*36+HEX2DEC('table for research'!T$1))*2,2)</f>
        <v>00</v>
      </c>
      <c r="U786" t="str">
        <f>MID('paste from garc here'!$C$2,1+(('table for research'!$B786-456)*36+HEX2DEC('table for research'!U$1))*2,2)</f>
        <v>09</v>
      </c>
      <c r="V786" t="str">
        <f>MID('paste from garc here'!$C$2,1+(('table for research'!$B786-456)*36+HEX2DEC('table for research'!V$1))*2,2)</f>
        <v>09</v>
      </c>
      <c r="W786" t="str">
        <f>MID('paste from garc here'!$C$2,1+(('table for research'!$B786-456)*36+HEX2DEC('table for research'!W$1))*2,2)</f>
        <v>00</v>
      </c>
      <c r="X786" t="str">
        <f>MID('paste from garc here'!$C$2,1+(('table for research'!$B786-456)*36+HEX2DEC('table for research'!X$1))*2,2)</f>
        <v>00</v>
      </c>
      <c r="Y786" t="str">
        <f>MID('paste from garc here'!$C$2,1+(('table for research'!$B786-456)*36+HEX2DEC('table for research'!Y$1))*2,2)</f>
        <v>00</v>
      </c>
      <c r="Z786" t="str">
        <f>MID('paste from garc here'!$C$2,1+(('table for research'!$B786-456)*36+HEX2DEC('table for research'!Z$1))*2,2)</f>
        <v>00</v>
      </c>
      <c r="AA786" t="str">
        <f>MID('paste from garc here'!$C$2,1+(('table for research'!$B786-456)*36+HEX2DEC('table for research'!AA$1))*2,2)</f>
        <v>00</v>
      </c>
      <c r="AB786" t="str">
        <f>MID('paste from garc here'!$C$2,1+(('table for research'!$B786-456)*36+HEX2DEC('table for research'!AB$1))*2,2)</f>
        <v>00</v>
      </c>
      <c r="AC786" t="str">
        <f>MID('paste from garc here'!$C$2,1+(('table for research'!$B786-456)*36+HEX2DEC('table for research'!AC$1))*2,2)</f>
        <v>00</v>
      </c>
      <c r="AD786" t="str">
        <f>MID('paste from garc here'!$C$2,1+(('table for research'!$B786-456)*36+HEX2DEC('table for research'!AD$1))*2,2)</f>
        <v>00</v>
      </c>
      <c r="AE786" t="str">
        <f>MID('paste from garc here'!$C$2,1+(('table for research'!$B786-456)*36+HEX2DEC('table for research'!AE$1))*2,2)</f>
        <v>00</v>
      </c>
      <c r="AF786" t="str">
        <f>MID('paste from garc here'!$C$2,1+(('table for research'!$B786-456)*36+HEX2DEC('table for research'!AF$1))*2,2)</f>
        <v>00</v>
      </c>
      <c r="AG786" t="str">
        <f>MID('paste from garc here'!$C$2,1+(('table for research'!$B786-456)*36+HEX2DEC('table for research'!AG$1))*2,2)</f>
        <v>00</v>
      </c>
      <c r="AH786" t="str">
        <f>MID('paste from garc here'!$C$2,1+(('table for research'!$B786-456)*36+HEX2DEC('table for research'!AH$1))*2,2)</f>
        <v>00</v>
      </c>
      <c r="AI786" t="str">
        <f>MID('paste from garc here'!$C$2,1+(('table for research'!$B786-456)*36+HEX2DEC('table for research'!AI$1))*2,2)</f>
        <v>00</v>
      </c>
      <c r="AJ786" t="str">
        <f>MID('paste from garc here'!$C$2,1+(('table for research'!$B786-456)*36+HEX2DEC('table for research'!AJ$1))*2,2)</f>
        <v>00</v>
      </c>
      <c r="AK786" t="str">
        <f>MID('paste from garc here'!$C$2,1+(('table for research'!$B786-456)*36+HEX2DEC('table for research'!AK$1))*2,2)</f>
        <v>00</v>
      </c>
      <c r="AL786" t="str">
        <f>MID('paste from garc here'!$C$2,1+(('table for research'!$B786-456)*36+HEX2DEC('table for research'!AL$1))*2,2)</f>
        <v>00</v>
      </c>
      <c r="AM786" t="str">
        <f>MID('paste from garc here'!$C$2,1+(('table for research'!$B786-456)*36+HEX2DEC('table for research'!AM$1))*2,2)</f>
        <v>00</v>
      </c>
      <c r="AN786" t="str">
        <f>MID('paste from garc here'!$C$2,1+(('table for research'!$B786-456)*36+HEX2DEC('table for research'!AN$1))*2,2)</f>
        <v>00</v>
      </c>
      <c r="AO786" t="str">
        <f>MID('paste from garc here'!$C$2,1+(('table for research'!$B786-456)*36+HEX2DEC('table for research'!AO$1))*2,2)</f>
        <v>00</v>
      </c>
    </row>
    <row r="787" spans="1:41" x14ac:dyDescent="0.4">
      <c r="A787" t="s">
        <v>778</v>
      </c>
      <c r="B787">
        <f>B786+1</f>
        <v>785</v>
      </c>
      <c r="C787" t="str">
        <f>MID('paste from garc here'!$C$2,1+(('table for research'!$B787-456)*36+HEX2DEC('table for research'!C$1))*2,2)</f>
        <v>00</v>
      </c>
      <c r="D787" t="str">
        <f>MID('paste from garc here'!$C$2,1+(('table for research'!$B787-456)*36+HEX2DEC('table for research'!D$1))*2,2)</f>
        <v>00</v>
      </c>
      <c r="E787" t="str">
        <f>MID('paste from garc here'!$C$2,1+(('table for research'!$B787-456)*36+HEX2DEC('table for research'!E$1))*2,2)</f>
        <v>00</v>
      </c>
      <c r="F787" t="str">
        <f>MID('paste from garc here'!$C$2,1+(('table for research'!$B787-456)*36+HEX2DEC('table for research'!F$1))*2,2)</f>
        <v>00</v>
      </c>
      <c r="G787" t="str">
        <f>MID('paste from garc here'!$C$2,1+(('table for research'!$B787-456)*36+HEX2DEC('table for research'!G$1))*2,2)</f>
        <v>00</v>
      </c>
      <c r="H787" t="str">
        <f>MID('paste from garc here'!$C$2,1+(('table for research'!$B787-456)*36+HEX2DEC('table for research'!H$1))*2,2)</f>
        <v>00</v>
      </c>
      <c r="I787" t="str">
        <f>MID('paste from garc here'!$C$2,1+(('table for research'!$B787-456)*36+HEX2DEC('table for research'!I$1))*2,2)</f>
        <v>00</v>
      </c>
      <c r="J787" t="str">
        <f>MID('paste from garc here'!$C$2,1+(('table for research'!$B787-456)*36+HEX2DEC('table for research'!J$1))*2,2)</f>
        <v>00</v>
      </c>
      <c r="K787" t="str">
        <f>DEC2HEX(_xlfn.BITAND(HEX2DEC(MID('paste from garc here'!$C$1,1+(('table for research'!$B787-1)*36+HEX2DEC(8))*2,2)),31),2)</f>
        <v>00</v>
      </c>
      <c r="L787" t="str">
        <f>DEC2HEX(_xlfn.BITAND(HEX2DEC(MID('paste from garc here'!$C$1,1+(('table for research'!$B787-1)*36+HEX2DEC(8))*2,2)),32),2)</f>
        <v>00</v>
      </c>
      <c r="M787" t="str">
        <f>DEC2HEX(_xlfn.BITAND(HEX2DEC(MID('paste from garc here'!$C$1,1+(('table for research'!$B787-1)*36+HEX2DEC(8))*2,2)),64),2)</f>
        <v>00</v>
      </c>
      <c r="N787" t="str">
        <f>DEC2HEX(_xlfn.BITRSHIFT(_xlfn.BITAND(HEX2DEC(MID('paste from garc here'!$C$1,1+(('table for research'!$B787-1)*36+HEX2DEC(9))*2,2)&amp;MID('paste from garc here'!$C$1,1+(('table for research'!$B787-1)*36+HEX2DEC(8))*2,2)),1920),7),2)</f>
        <v>00</v>
      </c>
      <c r="O787" t="str">
        <f>DEC2HEX(_xlfn.BITRSHIFT(HEX2DEC(MID('paste from garc here'!$C$1,1+(('table for research'!$B787-1)*36+HEX2DEC(9))*2,2)&amp;MID('paste from garc here'!$C$1,1+(('table for research'!$B787-1)*36+HEX2DEC(8))*2,2)),11),2)</f>
        <v>00</v>
      </c>
      <c r="P787" t="str">
        <f>MID('paste from garc here'!$C$2,1+(('table for research'!$B787-456)*36+HEX2DEC('table for research'!P$1))*2,2)</f>
        <v>00</v>
      </c>
      <c r="Q787" t="str">
        <f>MID('paste from garc here'!$C$2,1+(('table for research'!$B787-456)*36+HEX2DEC('table for research'!Q$1))*2,2)</f>
        <v>00</v>
      </c>
      <c r="R787" t="str">
        <f>MID('paste from garc here'!$C$2,1+(('table for research'!$B787-456)*36+HEX2DEC('table for research'!R$1))*2,2)</f>
        <v>00</v>
      </c>
      <c r="S787" t="str">
        <f>MID('paste from garc here'!$C$2,1+(('table for research'!$B787-456)*36+HEX2DEC('table for research'!S$1))*2,2)</f>
        <v>01</v>
      </c>
      <c r="T787" t="str">
        <f>MID('paste from garc here'!$C$2,1+(('table for research'!$B787-456)*36+HEX2DEC('table for research'!T$1))*2,2)</f>
        <v>00</v>
      </c>
      <c r="U787" t="str">
        <f>MID('paste from garc here'!$C$2,1+(('table for research'!$B787-456)*36+HEX2DEC('table for research'!U$1))*2,2)</f>
        <v>0A</v>
      </c>
      <c r="V787" t="str">
        <f>MID('paste from garc here'!$C$2,1+(('table for research'!$B787-456)*36+HEX2DEC('table for research'!V$1))*2,2)</f>
        <v>0A</v>
      </c>
      <c r="W787" t="str">
        <f>MID('paste from garc here'!$C$2,1+(('table for research'!$B787-456)*36+HEX2DEC('table for research'!W$1))*2,2)</f>
        <v>00</v>
      </c>
      <c r="X787" t="str">
        <f>MID('paste from garc here'!$C$2,1+(('table for research'!$B787-456)*36+HEX2DEC('table for research'!X$1))*2,2)</f>
        <v>00</v>
      </c>
      <c r="Y787" t="str">
        <f>MID('paste from garc here'!$C$2,1+(('table for research'!$B787-456)*36+HEX2DEC('table for research'!Y$1))*2,2)</f>
        <v>00</v>
      </c>
      <c r="Z787" t="str">
        <f>MID('paste from garc here'!$C$2,1+(('table for research'!$B787-456)*36+HEX2DEC('table for research'!Z$1))*2,2)</f>
        <v>00</v>
      </c>
      <c r="AA787" t="str">
        <f>MID('paste from garc here'!$C$2,1+(('table for research'!$B787-456)*36+HEX2DEC('table for research'!AA$1))*2,2)</f>
        <v>00</v>
      </c>
      <c r="AB787" t="str">
        <f>MID('paste from garc here'!$C$2,1+(('table for research'!$B787-456)*36+HEX2DEC('table for research'!AB$1))*2,2)</f>
        <v>00</v>
      </c>
      <c r="AC787" t="str">
        <f>MID('paste from garc here'!$C$2,1+(('table for research'!$B787-456)*36+HEX2DEC('table for research'!AC$1))*2,2)</f>
        <v>00</v>
      </c>
      <c r="AD787" t="str">
        <f>MID('paste from garc here'!$C$2,1+(('table for research'!$B787-456)*36+HEX2DEC('table for research'!AD$1))*2,2)</f>
        <v>00</v>
      </c>
      <c r="AE787" t="str">
        <f>MID('paste from garc here'!$C$2,1+(('table for research'!$B787-456)*36+HEX2DEC('table for research'!AE$1))*2,2)</f>
        <v>00</v>
      </c>
      <c r="AF787" t="str">
        <f>MID('paste from garc here'!$C$2,1+(('table for research'!$B787-456)*36+HEX2DEC('table for research'!AF$1))*2,2)</f>
        <v>00</v>
      </c>
      <c r="AG787" t="str">
        <f>MID('paste from garc here'!$C$2,1+(('table for research'!$B787-456)*36+HEX2DEC('table for research'!AG$1))*2,2)</f>
        <v>00</v>
      </c>
      <c r="AH787" t="str">
        <f>MID('paste from garc here'!$C$2,1+(('table for research'!$B787-456)*36+HEX2DEC('table for research'!AH$1))*2,2)</f>
        <v>00</v>
      </c>
      <c r="AI787" t="str">
        <f>MID('paste from garc here'!$C$2,1+(('table for research'!$B787-456)*36+HEX2DEC('table for research'!AI$1))*2,2)</f>
        <v>00</v>
      </c>
      <c r="AJ787" t="str">
        <f>MID('paste from garc here'!$C$2,1+(('table for research'!$B787-456)*36+HEX2DEC('table for research'!AJ$1))*2,2)</f>
        <v>00</v>
      </c>
      <c r="AK787" t="str">
        <f>MID('paste from garc here'!$C$2,1+(('table for research'!$B787-456)*36+HEX2DEC('table for research'!AK$1))*2,2)</f>
        <v>00</v>
      </c>
      <c r="AL787" t="str">
        <f>MID('paste from garc here'!$C$2,1+(('table for research'!$B787-456)*36+HEX2DEC('table for research'!AL$1))*2,2)</f>
        <v>00</v>
      </c>
      <c r="AM787" t="str">
        <f>MID('paste from garc here'!$C$2,1+(('table for research'!$B787-456)*36+HEX2DEC('table for research'!AM$1))*2,2)</f>
        <v>00</v>
      </c>
      <c r="AN787" t="str">
        <f>MID('paste from garc here'!$C$2,1+(('table for research'!$B787-456)*36+HEX2DEC('table for research'!AN$1))*2,2)</f>
        <v>00</v>
      </c>
      <c r="AO787" t="str">
        <f>MID('paste from garc here'!$C$2,1+(('table for research'!$B787-456)*36+HEX2DEC('table for research'!AO$1))*2,2)</f>
        <v>00</v>
      </c>
    </row>
    <row r="788" spans="1:41" x14ac:dyDescent="0.4">
      <c r="A788" t="s">
        <v>779</v>
      </c>
      <c r="B788">
        <f>B787+1</f>
        <v>786</v>
      </c>
      <c r="C788" t="str">
        <f>MID('paste from garc here'!$C$2,1+(('table for research'!$B788-456)*36+HEX2DEC('table for research'!C$1))*2,2)</f>
        <v>00</v>
      </c>
      <c r="D788" t="str">
        <f>MID('paste from garc here'!$C$2,1+(('table for research'!$B788-456)*36+HEX2DEC('table for research'!D$1))*2,2)</f>
        <v>00</v>
      </c>
      <c r="E788" t="str">
        <f>MID('paste from garc here'!$C$2,1+(('table for research'!$B788-456)*36+HEX2DEC('table for research'!E$1))*2,2)</f>
        <v>00</v>
      </c>
      <c r="F788" t="str">
        <f>MID('paste from garc here'!$C$2,1+(('table for research'!$B788-456)*36+HEX2DEC('table for research'!F$1))*2,2)</f>
        <v>00</v>
      </c>
      <c r="G788" t="str">
        <f>MID('paste from garc here'!$C$2,1+(('table for research'!$B788-456)*36+HEX2DEC('table for research'!G$1))*2,2)</f>
        <v>00</v>
      </c>
      <c r="H788" t="str">
        <f>MID('paste from garc here'!$C$2,1+(('table for research'!$B788-456)*36+HEX2DEC('table for research'!H$1))*2,2)</f>
        <v>00</v>
      </c>
      <c r="I788" t="str">
        <f>MID('paste from garc here'!$C$2,1+(('table for research'!$B788-456)*36+HEX2DEC('table for research'!I$1))*2,2)</f>
        <v>00</v>
      </c>
      <c r="J788" t="str">
        <f>MID('paste from garc here'!$C$2,1+(('table for research'!$B788-456)*36+HEX2DEC('table for research'!J$1))*2,2)</f>
        <v>00</v>
      </c>
      <c r="K788" t="str">
        <f>DEC2HEX(_xlfn.BITAND(HEX2DEC(MID('paste from garc here'!$C$1,1+(('table for research'!$B788-1)*36+HEX2DEC(8))*2,2)),31),2)</f>
        <v>00</v>
      </c>
      <c r="L788" t="str">
        <f>DEC2HEX(_xlfn.BITAND(HEX2DEC(MID('paste from garc here'!$C$1,1+(('table for research'!$B788-1)*36+HEX2DEC(8))*2,2)),32),2)</f>
        <v>00</v>
      </c>
      <c r="M788" t="str">
        <f>DEC2HEX(_xlfn.BITAND(HEX2DEC(MID('paste from garc here'!$C$1,1+(('table for research'!$B788-1)*36+HEX2DEC(8))*2,2)),64),2)</f>
        <v>00</v>
      </c>
      <c r="N788" t="str">
        <f>DEC2HEX(_xlfn.BITRSHIFT(_xlfn.BITAND(HEX2DEC(MID('paste from garc here'!$C$1,1+(('table for research'!$B788-1)*36+HEX2DEC(9))*2,2)&amp;MID('paste from garc here'!$C$1,1+(('table for research'!$B788-1)*36+HEX2DEC(8))*2,2)),1920),7),2)</f>
        <v>00</v>
      </c>
      <c r="O788" t="str">
        <f>DEC2HEX(_xlfn.BITRSHIFT(HEX2DEC(MID('paste from garc here'!$C$1,1+(('table for research'!$B788-1)*36+HEX2DEC(9))*2,2)&amp;MID('paste from garc here'!$C$1,1+(('table for research'!$B788-1)*36+HEX2DEC(8))*2,2)),11),2)</f>
        <v>00</v>
      </c>
      <c r="P788" t="str">
        <f>MID('paste from garc here'!$C$2,1+(('table for research'!$B788-456)*36+HEX2DEC('table for research'!P$1))*2,2)</f>
        <v>00</v>
      </c>
      <c r="Q788" t="str">
        <f>MID('paste from garc here'!$C$2,1+(('table for research'!$B788-456)*36+HEX2DEC('table for research'!Q$1))*2,2)</f>
        <v>00</v>
      </c>
      <c r="R788" t="str">
        <f>MID('paste from garc here'!$C$2,1+(('table for research'!$B788-456)*36+HEX2DEC('table for research'!R$1))*2,2)</f>
        <v>00</v>
      </c>
      <c r="S788" t="str">
        <f>MID('paste from garc here'!$C$2,1+(('table for research'!$B788-456)*36+HEX2DEC('table for research'!S$1))*2,2)</f>
        <v>01</v>
      </c>
      <c r="T788" t="str">
        <f>MID('paste from garc here'!$C$2,1+(('table for research'!$B788-456)*36+HEX2DEC('table for research'!T$1))*2,2)</f>
        <v>00</v>
      </c>
      <c r="U788" t="str">
        <f>MID('paste from garc here'!$C$2,1+(('table for research'!$B788-456)*36+HEX2DEC('table for research'!U$1))*2,2)</f>
        <v>0B</v>
      </c>
      <c r="V788" t="str">
        <f>MID('paste from garc here'!$C$2,1+(('table for research'!$B788-456)*36+HEX2DEC('table for research'!V$1))*2,2)</f>
        <v>0B</v>
      </c>
      <c r="W788" t="str">
        <f>MID('paste from garc here'!$C$2,1+(('table for research'!$B788-456)*36+HEX2DEC('table for research'!W$1))*2,2)</f>
        <v>00</v>
      </c>
      <c r="X788" t="str">
        <f>MID('paste from garc here'!$C$2,1+(('table for research'!$B788-456)*36+HEX2DEC('table for research'!X$1))*2,2)</f>
        <v>00</v>
      </c>
      <c r="Y788" t="str">
        <f>MID('paste from garc here'!$C$2,1+(('table for research'!$B788-456)*36+HEX2DEC('table for research'!Y$1))*2,2)</f>
        <v>00</v>
      </c>
      <c r="Z788" t="str">
        <f>MID('paste from garc here'!$C$2,1+(('table for research'!$B788-456)*36+HEX2DEC('table for research'!Z$1))*2,2)</f>
        <v>00</v>
      </c>
      <c r="AA788" t="str">
        <f>MID('paste from garc here'!$C$2,1+(('table for research'!$B788-456)*36+HEX2DEC('table for research'!AA$1))*2,2)</f>
        <v>00</v>
      </c>
      <c r="AB788" t="str">
        <f>MID('paste from garc here'!$C$2,1+(('table for research'!$B788-456)*36+HEX2DEC('table for research'!AB$1))*2,2)</f>
        <v>00</v>
      </c>
      <c r="AC788" t="str">
        <f>MID('paste from garc here'!$C$2,1+(('table for research'!$B788-456)*36+HEX2DEC('table for research'!AC$1))*2,2)</f>
        <v>00</v>
      </c>
      <c r="AD788" t="str">
        <f>MID('paste from garc here'!$C$2,1+(('table for research'!$B788-456)*36+HEX2DEC('table for research'!AD$1))*2,2)</f>
        <v>00</v>
      </c>
      <c r="AE788" t="str">
        <f>MID('paste from garc here'!$C$2,1+(('table for research'!$B788-456)*36+HEX2DEC('table for research'!AE$1))*2,2)</f>
        <v>00</v>
      </c>
      <c r="AF788" t="str">
        <f>MID('paste from garc here'!$C$2,1+(('table for research'!$B788-456)*36+HEX2DEC('table for research'!AF$1))*2,2)</f>
        <v>00</v>
      </c>
      <c r="AG788" t="str">
        <f>MID('paste from garc here'!$C$2,1+(('table for research'!$B788-456)*36+HEX2DEC('table for research'!AG$1))*2,2)</f>
        <v>00</v>
      </c>
      <c r="AH788" t="str">
        <f>MID('paste from garc here'!$C$2,1+(('table for research'!$B788-456)*36+HEX2DEC('table for research'!AH$1))*2,2)</f>
        <v>00</v>
      </c>
      <c r="AI788" t="str">
        <f>MID('paste from garc here'!$C$2,1+(('table for research'!$B788-456)*36+HEX2DEC('table for research'!AI$1))*2,2)</f>
        <v>00</v>
      </c>
      <c r="AJ788" t="str">
        <f>MID('paste from garc here'!$C$2,1+(('table for research'!$B788-456)*36+HEX2DEC('table for research'!AJ$1))*2,2)</f>
        <v>00</v>
      </c>
      <c r="AK788" t="str">
        <f>MID('paste from garc here'!$C$2,1+(('table for research'!$B788-456)*36+HEX2DEC('table for research'!AK$1))*2,2)</f>
        <v>00</v>
      </c>
      <c r="AL788" t="str">
        <f>MID('paste from garc here'!$C$2,1+(('table for research'!$B788-456)*36+HEX2DEC('table for research'!AL$1))*2,2)</f>
        <v>00</v>
      </c>
      <c r="AM788" t="str">
        <f>MID('paste from garc here'!$C$2,1+(('table for research'!$B788-456)*36+HEX2DEC('table for research'!AM$1))*2,2)</f>
        <v>00</v>
      </c>
      <c r="AN788" t="str">
        <f>MID('paste from garc here'!$C$2,1+(('table for research'!$B788-456)*36+HEX2DEC('table for research'!AN$1))*2,2)</f>
        <v>00</v>
      </c>
      <c r="AO788" t="str">
        <f>MID('paste from garc here'!$C$2,1+(('table for research'!$B788-456)*36+HEX2DEC('table for research'!AO$1))*2,2)</f>
        <v>00</v>
      </c>
    </row>
    <row r="789" spans="1:41" x14ac:dyDescent="0.4">
      <c r="A789" t="s">
        <v>780</v>
      </c>
      <c r="B789">
        <f>B788+1</f>
        <v>787</v>
      </c>
      <c r="C789" t="str">
        <f>MID('paste from garc here'!$C$2,1+(('table for research'!$B789-456)*36+HEX2DEC('table for research'!C$1))*2,2)</f>
        <v>00</v>
      </c>
      <c r="D789" t="str">
        <f>MID('paste from garc here'!$C$2,1+(('table for research'!$B789-456)*36+HEX2DEC('table for research'!D$1))*2,2)</f>
        <v>00</v>
      </c>
      <c r="E789" t="str">
        <f>MID('paste from garc here'!$C$2,1+(('table for research'!$B789-456)*36+HEX2DEC('table for research'!E$1))*2,2)</f>
        <v>00</v>
      </c>
      <c r="F789" t="str">
        <f>MID('paste from garc here'!$C$2,1+(('table for research'!$B789-456)*36+HEX2DEC('table for research'!F$1))*2,2)</f>
        <v>00</v>
      </c>
      <c r="G789" t="str">
        <f>MID('paste from garc here'!$C$2,1+(('table for research'!$B789-456)*36+HEX2DEC('table for research'!G$1))*2,2)</f>
        <v>00</v>
      </c>
      <c r="H789" t="str">
        <f>MID('paste from garc here'!$C$2,1+(('table for research'!$B789-456)*36+HEX2DEC('table for research'!H$1))*2,2)</f>
        <v>00</v>
      </c>
      <c r="I789" t="str">
        <f>MID('paste from garc here'!$C$2,1+(('table for research'!$B789-456)*36+HEX2DEC('table for research'!I$1))*2,2)</f>
        <v>00</v>
      </c>
      <c r="J789" t="str">
        <f>MID('paste from garc here'!$C$2,1+(('table for research'!$B789-456)*36+HEX2DEC('table for research'!J$1))*2,2)</f>
        <v>00</v>
      </c>
      <c r="K789" t="str">
        <f>DEC2HEX(_xlfn.BITAND(HEX2DEC(MID('paste from garc here'!$C$1,1+(('table for research'!$B789-1)*36+HEX2DEC(8))*2,2)),31),2)</f>
        <v>00</v>
      </c>
      <c r="L789" t="str">
        <f>DEC2HEX(_xlfn.BITAND(HEX2DEC(MID('paste from garc here'!$C$1,1+(('table for research'!$B789-1)*36+HEX2DEC(8))*2,2)),32),2)</f>
        <v>00</v>
      </c>
      <c r="M789" t="str">
        <f>DEC2HEX(_xlfn.BITAND(HEX2DEC(MID('paste from garc here'!$C$1,1+(('table for research'!$B789-1)*36+HEX2DEC(8))*2,2)),64),2)</f>
        <v>00</v>
      </c>
      <c r="N789" t="str">
        <f>DEC2HEX(_xlfn.BITRSHIFT(_xlfn.BITAND(HEX2DEC(MID('paste from garc here'!$C$1,1+(('table for research'!$B789-1)*36+HEX2DEC(9))*2,2)&amp;MID('paste from garc here'!$C$1,1+(('table for research'!$B789-1)*36+HEX2DEC(8))*2,2)),1920),7),2)</f>
        <v>00</v>
      </c>
      <c r="O789" t="str">
        <f>DEC2HEX(_xlfn.BITRSHIFT(HEX2DEC(MID('paste from garc here'!$C$1,1+(('table for research'!$B789-1)*36+HEX2DEC(9))*2,2)&amp;MID('paste from garc here'!$C$1,1+(('table for research'!$B789-1)*36+HEX2DEC(8))*2,2)),11),2)</f>
        <v>00</v>
      </c>
      <c r="P789" t="str">
        <f>MID('paste from garc here'!$C$2,1+(('table for research'!$B789-456)*36+HEX2DEC('table for research'!P$1))*2,2)</f>
        <v>00</v>
      </c>
      <c r="Q789" t="str">
        <f>MID('paste from garc here'!$C$2,1+(('table for research'!$B789-456)*36+HEX2DEC('table for research'!Q$1))*2,2)</f>
        <v>00</v>
      </c>
      <c r="R789" t="str">
        <f>MID('paste from garc here'!$C$2,1+(('table for research'!$B789-456)*36+HEX2DEC('table for research'!R$1))*2,2)</f>
        <v>00</v>
      </c>
      <c r="S789" t="str">
        <f>MID('paste from garc here'!$C$2,1+(('table for research'!$B789-456)*36+HEX2DEC('table for research'!S$1))*2,2)</f>
        <v>01</v>
      </c>
      <c r="T789" t="str">
        <f>MID('paste from garc here'!$C$2,1+(('table for research'!$B789-456)*36+HEX2DEC('table for research'!T$1))*2,2)</f>
        <v>00</v>
      </c>
      <c r="U789" t="str">
        <f>MID('paste from garc here'!$C$2,1+(('table for research'!$B789-456)*36+HEX2DEC('table for research'!U$1))*2,2)</f>
        <v>0C</v>
      </c>
      <c r="V789" t="str">
        <f>MID('paste from garc here'!$C$2,1+(('table for research'!$B789-456)*36+HEX2DEC('table for research'!V$1))*2,2)</f>
        <v>0C</v>
      </c>
      <c r="W789" t="str">
        <f>MID('paste from garc here'!$C$2,1+(('table for research'!$B789-456)*36+HEX2DEC('table for research'!W$1))*2,2)</f>
        <v>00</v>
      </c>
      <c r="X789" t="str">
        <f>MID('paste from garc here'!$C$2,1+(('table for research'!$B789-456)*36+HEX2DEC('table for research'!X$1))*2,2)</f>
        <v>00</v>
      </c>
      <c r="Y789" t="str">
        <f>MID('paste from garc here'!$C$2,1+(('table for research'!$B789-456)*36+HEX2DEC('table for research'!Y$1))*2,2)</f>
        <v>00</v>
      </c>
      <c r="Z789" t="str">
        <f>MID('paste from garc here'!$C$2,1+(('table for research'!$B789-456)*36+HEX2DEC('table for research'!Z$1))*2,2)</f>
        <v>00</v>
      </c>
      <c r="AA789" t="str">
        <f>MID('paste from garc here'!$C$2,1+(('table for research'!$B789-456)*36+HEX2DEC('table for research'!AA$1))*2,2)</f>
        <v>00</v>
      </c>
      <c r="AB789" t="str">
        <f>MID('paste from garc here'!$C$2,1+(('table for research'!$B789-456)*36+HEX2DEC('table for research'!AB$1))*2,2)</f>
        <v>00</v>
      </c>
      <c r="AC789" t="str">
        <f>MID('paste from garc here'!$C$2,1+(('table for research'!$B789-456)*36+HEX2DEC('table for research'!AC$1))*2,2)</f>
        <v>00</v>
      </c>
      <c r="AD789" t="str">
        <f>MID('paste from garc here'!$C$2,1+(('table for research'!$B789-456)*36+HEX2DEC('table for research'!AD$1))*2,2)</f>
        <v>00</v>
      </c>
      <c r="AE789" t="str">
        <f>MID('paste from garc here'!$C$2,1+(('table for research'!$B789-456)*36+HEX2DEC('table for research'!AE$1))*2,2)</f>
        <v>00</v>
      </c>
      <c r="AF789" t="str">
        <f>MID('paste from garc here'!$C$2,1+(('table for research'!$B789-456)*36+HEX2DEC('table for research'!AF$1))*2,2)</f>
        <v>00</v>
      </c>
      <c r="AG789" t="str">
        <f>MID('paste from garc here'!$C$2,1+(('table for research'!$B789-456)*36+HEX2DEC('table for research'!AG$1))*2,2)</f>
        <v>00</v>
      </c>
      <c r="AH789" t="str">
        <f>MID('paste from garc here'!$C$2,1+(('table for research'!$B789-456)*36+HEX2DEC('table for research'!AH$1))*2,2)</f>
        <v>00</v>
      </c>
      <c r="AI789" t="str">
        <f>MID('paste from garc here'!$C$2,1+(('table for research'!$B789-456)*36+HEX2DEC('table for research'!AI$1))*2,2)</f>
        <v>00</v>
      </c>
      <c r="AJ789" t="str">
        <f>MID('paste from garc here'!$C$2,1+(('table for research'!$B789-456)*36+HEX2DEC('table for research'!AJ$1))*2,2)</f>
        <v>00</v>
      </c>
      <c r="AK789" t="str">
        <f>MID('paste from garc here'!$C$2,1+(('table for research'!$B789-456)*36+HEX2DEC('table for research'!AK$1))*2,2)</f>
        <v>00</v>
      </c>
      <c r="AL789" t="str">
        <f>MID('paste from garc here'!$C$2,1+(('table for research'!$B789-456)*36+HEX2DEC('table for research'!AL$1))*2,2)</f>
        <v>00</v>
      </c>
      <c r="AM789" t="str">
        <f>MID('paste from garc here'!$C$2,1+(('table for research'!$B789-456)*36+HEX2DEC('table for research'!AM$1))*2,2)</f>
        <v>00</v>
      </c>
      <c r="AN789" t="str">
        <f>MID('paste from garc here'!$C$2,1+(('table for research'!$B789-456)*36+HEX2DEC('table for research'!AN$1))*2,2)</f>
        <v>00</v>
      </c>
      <c r="AO789" t="str">
        <f>MID('paste from garc here'!$C$2,1+(('table for research'!$B789-456)*36+HEX2DEC('table for research'!AO$1))*2,2)</f>
        <v>00</v>
      </c>
    </row>
    <row r="790" spans="1:41" x14ac:dyDescent="0.4">
      <c r="A790" t="s">
        <v>781</v>
      </c>
      <c r="B790">
        <f>B789+1</f>
        <v>788</v>
      </c>
      <c r="C790" t="str">
        <f>MID('paste from garc here'!$C$2,1+(('table for research'!$B790-456)*36+HEX2DEC('table for research'!C$1))*2,2)</f>
        <v>00</v>
      </c>
      <c r="D790" t="str">
        <f>MID('paste from garc here'!$C$2,1+(('table for research'!$B790-456)*36+HEX2DEC('table for research'!D$1))*2,2)</f>
        <v>00</v>
      </c>
      <c r="E790" t="str">
        <f>MID('paste from garc here'!$C$2,1+(('table for research'!$B790-456)*36+HEX2DEC('table for research'!E$1))*2,2)</f>
        <v>00</v>
      </c>
      <c r="F790" t="str">
        <f>MID('paste from garc here'!$C$2,1+(('table for research'!$B790-456)*36+HEX2DEC('table for research'!F$1))*2,2)</f>
        <v>00</v>
      </c>
      <c r="G790" t="str">
        <f>MID('paste from garc here'!$C$2,1+(('table for research'!$B790-456)*36+HEX2DEC('table for research'!G$1))*2,2)</f>
        <v>00</v>
      </c>
      <c r="H790" t="str">
        <f>MID('paste from garc here'!$C$2,1+(('table for research'!$B790-456)*36+HEX2DEC('table for research'!H$1))*2,2)</f>
        <v>00</v>
      </c>
      <c r="I790" t="str">
        <f>MID('paste from garc here'!$C$2,1+(('table for research'!$B790-456)*36+HEX2DEC('table for research'!I$1))*2,2)</f>
        <v>00</v>
      </c>
      <c r="J790" t="str">
        <f>MID('paste from garc here'!$C$2,1+(('table for research'!$B790-456)*36+HEX2DEC('table for research'!J$1))*2,2)</f>
        <v>00</v>
      </c>
      <c r="K790" t="str">
        <f>DEC2HEX(_xlfn.BITAND(HEX2DEC(MID('paste from garc here'!$C$1,1+(('table for research'!$B790-1)*36+HEX2DEC(8))*2,2)),31),2)</f>
        <v>00</v>
      </c>
      <c r="L790" t="str">
        <f>DEC2HEX(_xlfn.BITAND(HEX2DEC(MID('paste from garc here'!$C$1,1+(('table for research'!$B790-1)*36+HEX2DEC(8))*2,2)),32),2)</f>
        <v>00</v>
      </c>
      <c r="M790" t="str">
        <f>DEC2HEX(_xlfn.BITAND(HEX2DEC(MID('paste from garc here'!$C$1,1+(('table for research'!$B790-1)*36+HEX2DEC(8))*2,2)),64),2)</f>
        <v>00</v>
      </c>
      <c r="N790" t="str">
        <f>DEC2HEX(_xlfn.BITRSHIFT(_xlfn.BITAND(HEX2DEC(MID('paste from garc here'!$C$1,1+(('table for research'!$B790-1)*36+HEX2DEC(9))*2,2)&amp;MID('paste from garc here'!$C$1,1+(('table for research'!$B790-1)*36+HEX2DEC(8))*2,2)),1920),7),2)</f>
        <v>00</v>
      </c>
      <c r="O790" t="str">
        <f>DEC2HEX(_xlfn.BITRSHIFT(HEX2DEC(MID('paste from garc here'!$C$1,1+(('table for research'!$B790-1)*36+HEX2DEC(9))*2,2)&amp;MID('paste from garc here'!$C$1,1+(('table for research'!$B790-1)*36+HEX2DEC(8))*2,2)),11),2)</f>
        <v>00</v>
      </c>
      <c r="P790" t="str">
        <f>MID('paste from garc here'!$C$2,1+(('table for research'!$B790-456)*36+HEX2DEC('table for research'!P$1))*2,2)</f>
        <v>00</v>
      </c>
      <c r="Q790" t="str">
        <f>MID('paste from garc here'!$C$2,1+(('table for research'!$B790-456)*36+HEX2DEC('table for research'!Q$1))*2,2)</f>
        <v>00</v>
      </c>
      <c r="R790" t="str">
        <f>MID('paste from garc here'!$C$2,1+(('table for research'!$B790-456)*36+HEX2DEC('table for research'!R$1))*2,2)</f>
        <v>00</v>
      </c>
      <c r="S790" t="str">
        <f>MID('paste from garc here'!$C$2,1+(('table for research'!$B790-456)*36+HEX2DEC('table for research'!S$1))*2,2)</f>
        <v>01</v>
      </c>
      <c r="T790" t="str">
        <f>MID('paste from garc here'!$C$2,1+(('table for research'!$B790-456)*36+HEX2DEC('table for research'!T$1))*2,2)</f>
        <v>00</v>
      </c>
      <c r="U790" t="str">
        <f>MID('paste from garc here'!$C$2,1+(('table for research'!$B790-456)*36+HEX2DEC('table for research'!U$1))*2,2)</f>
        <v>0D</v>
      </c>
      <c r="V790" t="str">
        <f>MID('paste from garc here'!$C$2,1+(('table for research'!$B790-456)*36+HEX2DEC('table for research'!V$1))*2,2)</f>
        <v>0D</v>
      </c>
      <c r="W790" t="str">
        <f>MID('paste from garc here'!$C$2,1+(('table for research'!$B790-456)*36+HEX2DEC('table for research'!W$1))*2,2)</f>
        <v>00</v>
      </c>
      <c r="X790" t="str">
        <f>MID('paste from garc here'!$C$2,1+(('table for research'!$B790-456)*36+HEX2DEC('table for research'!X$1))*2,2)</f>
        <v>00</v>
      </c>
      <c r="Y790" t="str">
        <f>MID('paste from garc here'!$C$2,1+(('table for research'!$B790-456)*36+HEX2DEC('table for research'!Y$1))*2,2)</f>
        <v>00</v>
      </c>
      <c r="Z790" t="str">
        <f>MID('paste from garc here'!$C$2,1+(('table for research'!$B790-456)*36+HEX2DEC('table for research'!Z$1))*2,2)</f>
        <v>00</v>
      </c>
      <c r="AA790" t="str">
        <f>MID('paste from garc here'!$C$2,1+(('table for research'!$B790-456)*36+HEX2DEC('table for research'!AA$1))*2,2)</f>
        <v>00</v>
      </c>
      <c r="AB790" t="str">
        <f>MID('paste from garc here'!$C$2,1+(('table for research'!$B790-456)*36+HEX2DEC('table for research'!AB$1))*2,2)</f>
        <v>00</v>
      </c>
      <c r="AC790" t="str">
        <f>MID('paste from garc here'!$C$2,1+(('table for research'!$B790-456)*36+HEX2DEC('table for research'!AC$1))*2,2)</f>
        <v>00</v>
      </c>
      <c r="AD790" t="str">
        <f>MID('paste from garc here'!$C$2,1+(('table for research'!$B790-456)*36+HEX2DEC('table for research'!AD$1))*2,2)</f>
        <v>00</v>
      </c>
      <c r="AE790" t="str">
        <f>MID('paste from garc here'!$C$2,1+(('table for research'!$B790-456)*36+HEX2DEC('table for research'!AE$1))*2,2)</f>
        <v>00</v>
      </c>
      <c r="AF790" t="str">
        <f>MID('paste from garc here'!$C$2,1+(('table for research'!$B790-456)*36+HEX2DEC('table for research'!AF$1))*2,2)</f>
        <v>00</v>
      </c>
      <c r="AG790" t="str">
        <f>MID('paste from garc here'!$C$2,1+(('table for research'!$B790-456)*36+HEX2DEC('table for research'!AG$1))*2,2)</f>
        <v>00</v>
      </c>
      <c r="AH790" t="str">
        <f>MID('paste from garc here'!$C$2,1+(('table for research'!$B790-456)*36+HEX2DEC('table for research'!AH$1))*2,2)</f>
        <v>00</v>
      </c>
      <c r="AI790" t="str">
        <f>MID('paste from garc here'!$C$2,1+(('table for research'!$B790-456)*36+HEX2DEC('table for research'!AI$1))*2,2)</f>
        <v>00</v>
      </c>
      <c r="AJ790" t="str">
        <f>MID('paste from garc here'!$C$2,1+(('table for research'!$B790-456)*36+HEX2DEC('table for research'!AJ$1))*2,2)</f>
        <v>00</v>
      </c>
      <c r="AK790" t="str">
        <f>MID('paste from garc here'!$C$2,1+(('table for research'!$B790-456)*36+HEX2DEC('table for research'!AK$1))*2,2)</f>
        <v>00</v>
      </c>
      <c r="AL790" t="str">
        <f>MID('paste from garc here'!$C$2,1+(('table for research'!$B790-456)*36+HEX2DEC('table for research'!AL$1))*2,2)</f>
        <v>00</v>
      </c>
      <c r="AM790" t="str">
        <f>MID('paste from garc here'!$C$2,1+(('table for research'!$B790-456)*36+HEX2DEC('table for research'!AM$1))*2,2)</f>
        <v>00</v>
      </c>
      <c r="AN790" t="str">
        <f>MID('paste from garc here'!$C$2,1+(('table for research'!$B790-456)*36+HEX2DEC('table for research'!AN$1))*2,2)</f>
        <v>00</v>
      </c>
      <c r="AO790" t="str">
        <f>MID('paste from garc here'!$C$2,1+(('table for research'!$B790-456)*36+HEX2DEC('table for research'!AO$1))*2,2)</f>
        <v>00</v>
      </c>
    </row>
    <row r="791" spans="1:41" x14ac:dyDescent="0.4">
      <c r="A791" t="s">
        <v>782</v>
      </c>
      <c r="B791">
        <f>B790+1</f>
        <v>789</v>
      </c>
      <c r="C791" t="str">
        <f>MID('paste from garc here'!$C$2,1+(('table for research'!$B791-456)*36+HEX2DEC('table for research'!C$1))*2,2)</f>
        <v>00</v>
      </c>
      <c r="D791" t="str">
        <f>MID('paste from garc here'!$C$2,1+(('table for research'!$B791-456)*36+HEX2DEC('table for research'!D$1))*2,2)</f>
        <v>00</v>
      </c>
      <c r="E791" t="str">
        <f>MID('paste from garc here'!$C$2,1+(('table for research'!$B791-456)*36+HEX2DEC('table for research'!E$1))*2,2)</f>
        <v>00</v>
      </c>
      <c r="F791" t="str">
        <f>MID('paste from garc here'!$C$2,1+(('table for research'!$B791-456)*36+HEX2DEC('table for research'!F$1))*2,2)</f>
        <v>00</v>
      </c>
      <c r="G791" t="str">
        <f>MID('paste from garc here'!$C$2,1+(('table for research'!$B791-456)*36+HEX2DEC('table for research'!G$1))*2,2)</f>
        <v>00</v>
      </c>
      <c r="H791" t="str">
        <f>MID('paste from garc here'!$C$2,1+(('table for research'!$B791-456)*36+HEX2DEC('table for research'!H$1))*2,2)</f>
        <v>00</v>
      </c>
      <c r="I791" t="str">
        <f>MID('paste from garc here'!$C$2,1+(('table for research'!$B791-456)*36+HEX2DEC('table for research'!I$1))*2,2)</f>
        <v>00</v>
      </c>
      <c r="J791" t="str">
        <f>MID('paste from garc here'!$C$2,1+(('table for research'!$B791-456)*36+HEX2DEC('table for research'!J$1))*2,2)</f>
        <v>00</v>
      </c>
      <c r="K791" t="str">
        <f>DEC2HEX(_xlfn.BITAND(HEX2DEC(MID('paste from garc here'!$C$1,1+(('table for research'!$B791-1)*36+HEX2DEC(8))*2,2)),31),2)</f>
        <v>00</v>
      </c>
      <c r="L791" t="str">
        <f>DEC2HEX(_xlfn.BITAND(HEX2DEC(MID('paste from garc here'!$C$1,1+(('table for research'!$B791-1)*36+HEX2DEC(8))*2,2)),32),2)</f>
        <v>00</v>
      </c>
      <c r="M791" t="str">
        <f>DEC2HEX(_xlfn.BITAND(HEX2DEC(MID('paste from garc here'!$C$1,1+(('table for research'!$B791-1)*36+HEX2DEC(8))*2,2)),64),2)</f>
        <v>00</v>
      </c>
      <c r="N791" t="str">
        <f>DEC2HEX(_xlfn.BITRSHIFT(_xlfn.BITAND(HEX2DEC(MID('paste from garc here'!$C$1,1+(('table for research'!$B791-1)*36+HEX2DEC(9))*2,2)&amp;MID('paste from garc here'!$C$1,1+(('table for research'!$B791-1)*36+HEX2DEC(8))*2,2)),1920),7),2)</f>
        <v>00</v>
      </c>
      <c r="O791" t="str">
        <f>DEC2HEX(_xlfn.BITRSHIFT(HEX2DEC(MID('paste from garc here'!$C$1,1+(('table for research'!$B791-1)*36+HEX2DEC(9))*2,2)&amp;MID('paste from garc here'!$C$1,1+(('table for research'!$B791-1)*36+HEX2DEC(8))*2,2)),11),2)</f>
        <v>00</v>
      </c>
      <c r="P791" t="str">
        <f>MID('paste from garc here'!$C$2,1+(('table for research'!$B791-456)*36+HEX2DEC('table for research'!P$1))*2,2)</f>
        <v>00</v>
      </c>
      <c r="Q791" t="str">
        <f>MID('paste from garc here'!$C$2,1+(('table for research'!$B791-456)*36+HEX2DEC('table for research'!Q$1))*2,2)</f>
        <v>00</v>
      </c>
      <c r="R791" t="str">
        <f>MID('paste from garc here'!$C$2,1+(('table for research'!$B791-456)*36+HEX2DEC('table for research'!R$1))*2,2)</f>
        <v>00</v>
      </c>
      <c r="S791" t="str">
        <f>MID('paste from garc here'!$C$2,1+(('table for research'!$B791-456)*36+HEX2DEC('table for research'!S$1))*2,2)</f>
        <v>01</v>
      </c>
      <c r="T791" t="str">
        <f>MID('paste from garc here'!$C$2,1+(('table for research'!$B791-456)*36+HEX2DEC('table for research'!T$1))*2,2)</f>
        <v>00</v>
      </c>
      <c r="U791" t="str">
        <f>MID('paste from garc here'!$C$2,1+(('table for research'!$B791-456)*36+HEX2DEC('table for research'!U$1))*2,2)</f>
        <v>0E</v>
      </c>
      <c r="V791" t="str">
        <f>MID('paste from garc here'!$C$2,1+(('table for research'!$B791-456)*36+HEX2DEC('table for research'!V$1))*2,2)</f>
        <v>0E</v>
      </c>
      <c r="W791" t="str">
        <f>MID('paste from garc here'!$C$2,1+(('table for research'!$B791-456)*36+HEX2DEC('table for research'!W$1))*2,2)</f>
        <v>00</v>
      </c>
      <c r="X791" t="str">
        <f>MID('paste from garc here'!$C$2,1+(('table for research'!$B791-456)*36+HEX2DEC('table for research'!X$1))*2,2)</f>
        <v>00</v>
      </c>
      <c r="Y791" t="str">
        <f>MID('paste from garc here'!$C$2,1+(('table for research'!$B791-456)*36+HEX2DEC('table for research'!Y$1))*2,2)</f>
        <v>00</v>
      </c>
      <c r="Z791" t="str">
        <f>MID('paste from garc here'!$C$2,1+(('table for research'!$B791-456)*36+HEX2DEC('table for research'!Z$1))*2,2)</f>
        <v>00</v>
      </c>
      <c r="AA791" t="str">
        <f>MID('paste from garc here'!$C$2,1+(('table for research'!$B791-456)*36+HEX2DEC('table for research'!AA$1))*2,2)</f>
        <v>00</v>
      </c>
      <c r="AB791" t="str">
        <f>MID('paste from garc here'!$C$2,1+(('table for research'!$B791-456)*36+HEX2DEC('table for research'!AB$1))*2,2)</f>
        <v>00</v>
      </c>
      <c r="AC791" t="str">
        <f>MID('paste from garc here'!$C$2,1+(('table for research'!$B791-456)*36+HEX2DEC('table for research'!AC$1))*2,2)</f>
        <v>00</v>
      </c>
      <c r="AD791" t="str">
        <f>MID('paste from garc here'!$C$2,1+(('table for research'!$B791-456)*36+HEX2DEC('table for research'!AD$1))*2,2)</f>
        <v>00</v>
      </c>
      <c r="AE791" t="str">
        <f>MID('paste from garc here'!$C$2,1+(('table for research'!$B791-456)*36+HEX2DEC('table for research'!AE$1))*2,2)</f>
        <v>00</v>
      </c>
      <c r="AF791" t="str">
        <f>MID('paste from garc here'!$C$2,1+(('table for research'!$B791-456)*36+HEX2DEC('table for research'!AF$1))*2,2)</f>
        <v>00</v>
      </c>
      <c r="AG791" t="str">
        <f>MID('paste from garc here'!$C$2,1+(('table for research'!$B791-456)*36+HEX2DEC('table for research'!AG$1))*2,2)</f>
        <v>00</v>
      </c>
      <c r="AH791" t="str">
        <f>MID('paste from garc here'!$C$2,1+(('table for research'!$B791-456)*36+HEX2DEC('table for research'!AH$1))*2,2)</f>
        <v>00</v>
      </c>
      <c r="AI791" t="str">
        <f>MID('paste from garc here'!$C$2,1+(('table for research'!$B791-456)*36+HEX2DEC('table for research'!AI$1))*2,2)</f>
        <v>00</v>
      </c>
      <c r="AJ791" t="str">
        <f>MID('paste from garc here'!$C$2,1+(('table for research'!$B791-456)*36+HEX2DEC('table for research'!AJ$1))*2,2)</f>
        <v>00</v>
      </c>
      <c r="AK791" t="str">
        <f>MID('paste from garc here'!$C$2,1+(('table for research'!$B791-456)*36+HEX2DEC('table for research'!AK$1))*2,2)</f>
        <v>00</v>
      </c>
      <c r="AL791" t="str">
        <f>MID('paste from garc here'!$C$2,1+(('table for research'!$B791-456)*36+HEX2DEC('table for research'!AL$1))*2,2)</f>
        <v>00</v>
      </c>
      <c r="AM791" t="str">
        <f>MID('paste from garc here'!$C$2,1+(('table for research'!$B791-456)*36+HEX2DEC('table for research'!AM$1))*2,2)</f>
        <v>00</v>
      </c>
      <c r="AN791" t="str">
        <f>MID('paste from garc here'!$C$2,1+(('table for research'!$B791-456)*36+HEX2DEC('table for research'!AN$1))*2,2)</f>
        <v>00</v>
      </c>
      <c r="AO791" t="str">
        <f>MID('paste from garc here'!$C$2,1+(('table for research'!$B791-456)*36+HEX2DEC('table for research'!AO$1))*2,2)</f>
        <v>00</v>
      </c>
    </row>
    <row r="792" spans="1:41" x14ac:dyDescent="0.4">
      <c r="A792" t="s">
        <v>783</v>
      </c>
      <c r="B792">
        <f>B791+1</f>
        <v>790</v>
      </c>
      <c r="C792" t="str">
        <f>MID('paste from garc here'!$C$2,1+(('table for research'!$B792-456)*36+HEX2DEC('table for research'!C$1))*2,2)</f>
        <v>00</v>
      </c>
      <c r="D792" t="str">
        <f>MID('paste from garc here'!$C$2,1+(('table for research'!$B792-456)*36+HEX2DEC('table for research'!D$1))*2,2)</f>
        <v>00</v>
      </c>
      <c r="E792" t="str">
        <f>MID('paste from garc here'!$C$2,1+(('table for research'!$B792-456)*36+HEX2DEC('table for research'!E$1))*2,2)</f>
        <v>00</v>
      </c>
      <c r="F792" t="str">
        <f>MID('paste from garc here'!$C$2,1+(('table for research'!$B792-456)*36+HEX2DEC('table for research'!F$1))*2,2)</f>
        <v>00</v>
      </c>
      <c r="G792" t="str">
        <f>MID('paste from garc here'!$C$2,1+(('table for research'!$B792-456)*36+HEX2DEC('table for research'!G$1))*2,2)</f>
        <v>00</v>
      </c>
      <c r="H792" t="str">
        <f>MID('paste from garc here'!$C$2,1+(('table for research'!$B792-456)*36+HEX2DEC('table for research'!H$1))*2,2)</f>
        <v>00</v>
      </c>
      <c r="I792" t="str">
        <f>MID('paste from garc here'!$C$2,1+(('table for research'!$B792-456)*36+HEX2DEC('table for research'!I$1))*2,2)</f>
        <v>00</v>
      </c>
      <c r="J792" t="str">
        <f>MID('paste from garc here'!$C$2,1+(('table for research'!$B792-456)*36+HEX2DEC('table for research'!J$1))*2,2)</f>
        <v>00</v>
      </c>
      <c r="K792" t="str">
        <f>DEC2HEX(_xlfn.BITAND(HEX2DEC(MID('paste from garc here'!$C$1,1+(('table for research'!$B792-1)*36+HEX2DEC(8))*2,2)),31),2)</f>
        <v>00</v>
      </c>
      <c r="L792" t="str">
        <f>DEC2HEX(_xlfn.BITAND(HEX2DEC(MID('paste from garc here'!$C$1,1+(('table for research'!$B792-1)*36+HEX2DEC(8))*2,2)),32),2)</f>
        <v>00</v>
      </c>
      <c r="M792" t="str">
        <f>DEC2HEX(_xlfn.BITAND(HEX2DEC(MID('paste from garc here'!$C$1,1+(('table for research'!$B792-1)*36+HEX2DEC(8))*2,2)),64),2)</f>
        <v>00</v>
      </c>
      <c r="N792" t="str">
        <f>DEC2HEX(_xlfn.BITRSHIFT(_xlfn.BITAND(HEX2DEC(MID('paste from garc here'!$C$1,1+(('table for research'!$B792-1)*36+HEX2DEC(9))*2,2)&amp;MID('paste from garc here'!$C$1,1+(('table for research'!$B792-1)*36+HEX2DEC(8))*2,2)),1920),7),2)</f>
        <v>00</v>
      </c>
      <c r="O792" t="str">
        <f>DEC2HEX(_xlfn.BITRSHIFT(HEX2DEC(MID('paste from garc here'!$C$1,1+(('table for research'!$B792-1)*36+HEX2DEC(9))*2,2)&amp;MID('paste from garc here'!$C$1,1+(('table for research'!$B792-1)*36+HEX2DEC(8))*2,2)),11),2)</f>
        <v>00</v>
      </c>
      <c r="P792" t="str">
        <f>MID('paste from garc here'!$C$2,1+(('table for research'!$B792-456)*36+HEX2DEC('table for research'!P$1))*2,2)</f>
        <v>00</v>
      </c>
      <c r="Q792" t="str">
        <f>MID('paste from garc here'!$C$2,1+(('table for research'!$B792-456)*36+HEX2DEC('table for research'!Q$1))*2,2)</f>
        <v>00</v>
      </c>
      <c r="R792" t="str">
        <f>MID('paste from garc here'!$C$2,1+(('table for research'!$B792-456)*36+HEX2DEC('table for research'!R$1))*2,2)</f>
        <v>00</v>
      </c>
      <c r="S792" t="str">
        <f>MID('paste from garc here'!$C$2,1+(('table for research'!$B792-456)*36+HEX2DEC('table for research'!S$1))*2,2)</f>
        <v>01</v>
      </c>
      <c r="T792" t="str">
        <f>MID('paste from garc here'!$C$2,1+(('table for research'!$B792-456)*36+HEX2DEC('table for research'!T$1))*2,2)</f>
        <v>00</v>
      </c>
      <c r="U792" t="str">
        <f>MID('paste from garc here'!$C$2,1+(('table for research'!$B792-456)*36+HEX2DEC('table for research'!U$1))*2,2)</f>
        <v>0F</v>
      </c>
      <c r="V792" t="str">
        <f>MID('paste from garc here'!$C$2,1+(('table for research'!$B792-456)*36+HEX2DEC('table for research'!V$1))*2,2)</f>
        <v>0F</v>
      </c>
      <c r="W792" t="str">
        <f>MID('paste from garc here'!$C$2,1+(('table for research'!$B792-456)*36+HEX2DEC('table for research'!W$1))*2,2)</f>
        <v>00</v>
      </c>
      <c r="X792" t="str">
        <f>MID('paste from garc here'!$C$2,1+(('table for research'!$B792-456)*36+HEX2DEC('table for research'!X$1))*2,2)</f>
        <v>00</v>
      </c>
      <c r="Y792" t="str">
        <f>MID('paste from garc here'!$C$2,1+(('table for research'!$B792-456)*36+HEX2DEC('table for research'!Y$1))*2,2)</f>
        <v>00</v>
      </c>
      <c r="Z792" t="str">
        <f>MID('paste from garc here'!$C$2,1+(('table for research'!$B792-456)*36+HEX2DEC('table for research'!Z$1))*2,2)</f>
        <v>00</v>
      </c>
      <c r="AA792" t="str">
        <f>MID('paste from garc here'!$C$2,1+(('table for research'!$B792-456)*36+HEX2DEC('table for research'!AA$1))*2,2)</f>
        <v>00</v>
      </c>
      <c r="AB792" t="str">
        <f>MID('paste from garc here'!$C$2,1+(('table for research'!$B792-456)*36+HEX2DEC('table for research'!AB$1))*2,2)</f>
        <v>00</v>
      </c>
      <c r="AC792" t="str">
        <f>MID('paste from garc here'!$C$2,1+(('table for research'!$B792-456)*36+HEX2DEC('table for research'!AC$1))*2,2)</f>
        <v>00</v>
      </c>
      <c r="AD792" t="str">
        <f>MID('paste from garc here'!$C$2,1+(('table for research'!$B792-456)*36+HEX2DEC('table for research'!AD$1))*2,2)</f>
        <v>00</v>
      </c>
      <c r="AE792" t="str">
        <f>MID('paste from garc here'!$C$2,1+(('table for research'!$B792-456)*36+HEX2DEC('table for research'!AE$1))*2,2)</f>
        <v>00</v>
      </c>
      <c r="AF792" t="str">
        <f>MID('paste from garc here'!$C$2,1+(('table for research'!$B792-456)*36+HEX2DEC('table for research'!AF$1))*2,2)</f>
        <v>00</v>
      </c>
      <c r="AG792" t="str">
        <f>MID('paste from garc here'!$C$2,1+(('table for research'!$B792-456)*36+HEX2DEC('table for research'!AG$1))*2,2)</f>
        <v>00</v>
      </c>
      <c r="AH792" t="str">
        <f>MID('paste from garc here'!$C$2,1+(('table for research'!$B792-456)*36+HEX2DEC('table for research'!AH$1))*2,2)</f>
        <v>00</v>
      </c>
      <c r="AI792" t="str">
        <f>MID('paste from garc here'!$C$2,1+(('table for research'!$B792-456)*36+HEX2DEC('table for research'!AI$1))*2,2)</f>
        <v>00</v>
      </c>
      <c r="AJ792" t="str">
        <f>MID('paste from garc here'!$C$2,1+(('table for research'!$B792-456)*36+HEX2DEC('table for research'!AJ$1))*2,2)</f>
        <v>00</v>
      </c>
      <c r="AK792" t="str">
        <f>MID('paste from garc here'!$C$2,1+(('table for research'!$B792-456)*36+HEX2DEC('table for research'!AK$1))*2,2)</f>
        <v>00</v>
      </c>
      <c r="AL792" t="str">
        <f>MID('paste from garc here'!$C$2,1+(('table for research'!$B792-456)*36+HEX2DEC('table for research'!AL$1))*2,2)</f>
        <v>00</v>
      </c>
      <c r="AM792" t="str">
        <f>MID('paste from garc here'!$C$2,1+(('table for research'!$B792-456)*36+HEX2DEC('table for research'!AM$1))*2,2)</f>
        <v>00</v>
      </c>
      <c r="AN792" t="str">
        <f>MID('paste from garc here'!$C$2,1+(('table for research'!$B792-456)*36+HEX2DEC('table for research'!AN$1))*2,2)</f>
        <v>00</v>
      </c>
      <c r="AO792" t="str">
        <f>MID('paste from garc here'!$C$2,1+(('table for research'!$B792-456)*36+HEX2DEC('table for research'!AO$1))*2,2)</f>
        <v>00</v>
      </c>
    </row>
    <row r="793" spans="1:41" x14ac:dyDescent="0.4">
      <c r="A793" t="s">
        <v>784</v>
      </c>
      <c r="B793">
        <f>B792+1</f>
        <v>791</v>
      </c>
      <c r="C793" t="str">
        <f>MID('paste from garc here'!$C$2,1+(('table for research'!$B793-456)*36+HEX2DEC('table for research'!C$1))*2,2)</f>
        <v>00</v>
      </c>
      <c r="D793" t="str">
        <f>MID('paste from garc here'!$C$2,1+(('table for research'!$B793-456)*36+HEX2DEC('table for research'!D$1))*2,2)</f>
        <v>00</v>
      </c>
      <c r="E793" t="str">
        <f>MID('paste from garc here'!$C$2,1+(('table for research'!$B793-456)*36+HEX2DEC('table for research'!E$1))*2,2)</f>
        <v>00</v>
      </c>
      <c r="F793" t="str">
        <f>MID('paste from garc here'!$C$2,1+(('table for research'!$B793-456)*36+HEX2DEC('table for research'!F$1))*2,2)</f>
        <v>00</v>
      </c>
      <c r="G793" t="str">
        <f>MID('paste from garc here'!$C$2,1+(('table for research'!$B793-456)*36+HEX2DEC('table for research'!G$1))*2,2)</f>
        <v>00</v>
      </c>
      <c r="H793" t="str">
        <f>MID('paste from garc here'!$C$2,1+(('table for research'!$B793-456)*36+HEX2DEC('table for research'!H$1))*2,2)</f>
        <v>00</v>
      </c>
      <c r="I793" t="str">
        <f>MID('paste from garc here'!$C$2,1+(('table for research'!$B793-456)*36+HEX2DEC('table for research'!I$1))*2,2)</f>
        <v>00</v>
      </c>
      <c r="J793" t="str">
        <f>MID('paste from garc here'!$C$2,1+(('table for research'!$B793-456)*36+HEX2DEC('table for research'!J$1))*2,2)</f>
        <v>00</v>
      </c>
      <c r="K793" t="str">
        <f>DEC2HEX(_xlfn.BITAND(HEX2DEC(MID('paste from garc here'!$C$1,1+(('table for research'!$B793-1)*36+HEX2DEC(8))*2,2)),31),2)</f>
        <v>00</v>
      </c>
      <c r="L793" t="str">
        <f>DEC2HEX(_xlfn.BITAND(HEX2DEC(MID('paste from garc here'!$C$1,1+(('table for research'!$B793-1)*36+HEX2DEC(8))*2,2)),32),2)</f>
        <v>00</v>
      </c>
      <c r="M793" t="str">
        <f>DEC2HEX(_xlfn.BITAND(HEX2DEC(MID('paste from garc here'!$C$1,1+(('table for research'!$B793-1)*36+HEX2DEC(8))*2,2)),64),2)</f>
        <v>00</v>
      </c>
      <c r="N793" t="str">
        <f>DEC2HEX(_xlfn.BITRSHIFT(_xlfn.BITAND(HEX2DEC(MID('paste from garc here'!$C$1,1+(('table for research'!$B793-1)*36+HEX2DEC(9))*2,2)&amp;MID('paste from garc here'!$C$1,1+(('table for research'!$B793-1)*36+HEX2DEC(8))*2,2)),1920),7),2)</f>
        <v>00</v>
      </c>
      <c r="O793" t="str">
        <f>DEC2HEX(_xlfn.BITRSHIFT(HEX2DEC(MID('paste from garc here'!$C$1,1+(('table for research'!$B793-1)*36+HEX2DEC(9))*2,2)&amp;MID('paste from garc here'!$C$1,1+(('table for research'!$B793-1)*36+HEX2DEC(8))*2,2)),11),2)</f>
        <v>00</v>
      </c>
      <c r="P793" t="str">
        <f>MID('paste from garc here'!$C$2,1+(('table for research'!$B793-456)*36+HEX2DEC('table for research'!P$1))*2,2)</f>
        <v>00</v>
      </c>
      <c r="Q793" t="str">
        <f>MID('paste from garc here'!$C$2,1+(('table for research'!$B793-456)*36+HEX2DEC('table for research'!Q$1))*2,2)</f>
        <v>00</v>
      </c>
      <c r="R793" t="str">
        <f>MID('paste from garc here'!$C$2,1+(('table for research'!$B793-456)*36+HEX2DEC('table for research'!R$1))*2,2)</f>
        <v>00</v>
      </c>
      <c r="S793" t="str">
        <f>MID('paste from garc here'!$C$2,1+(('table for research'!$B793-456)*36+HEX2DEC('table for research'!S$1))*2,2)</f>
        <v>01</v>
      </c>
      <c r="T793" t="str">
        <f>MID('paste from garc here'!$C$2,1+(('table for research'!$B793-456)*36+HEX2DEC('table for research'!T$1))*2,2)</f>
        <v>00</v>
      </c>
      <c r="U793" t="str">
        <f>MID('paste from garc here'!$C$2,1+(('table for research'!$B793-456)*36+HEX2DEC('table for research'!U$1))*2,2)</f>
        <v>10</v>
      </c>
      <c r="V793" t="str">
        <f>MID('paste from garc here'!$C$2,1+(('table for research'!$B793-456)*36+HEX2DEC('table for research'!V$1))*2,2)</f>
        <v>10</v>
      </c>
      <c r="W793" t="str">
        <f>MID('paste from garc here'!$C$2,1+(('table for research'!$B793-456)*36+HEX2DEC('table for research'!W$1))*2,2)</f>
        <v>00</v>
      </c>
      <c r="X793" t="str">
        <f>MID('paste from garc here'!$C$2,1+(('table for research'!$B793-456)*36+HEX2DEC('table for research'!X$1))*2,2)</f>
        <v>00</v>
      </c>
      <c r="Y793" t="str">
        <f>MID('paste from garc here'!$C$2,1+(('table for research'!$B793-456)*36+HEX2DEC('table for research'!Y$1))*2,2)</f>
        <v>00</v>
      </c>
      <c r="Z793" t="str">
        <f>MID('paste from garc here'!$C$2,1+(('table for research'!$B793-456)*36+HEX2DEC('table for research'!Z$1))*2,2)</f>
        <v>00</v>
      </c>
      <c r="AA793" t="str">
        <f>MID('paste from garc here'!$C$2,1+(('table for research'!$B793-456)*36+HEX2DEC('table for research'!AA$1))*2,2)</f>
        <v>00</v>
      </c>
      <c r="AB793" t="str">
        <f>MID('paste from garc here'!$C$2,1+(('table for research'!$B793-456)*36+HEX2DEC('table for research'!AB$1))*2,2)</f>
        <v>00</v>
      </c>
      <c r="AC793" t="str">
        <f>MID('paste from garc here'!$C$2,1+(('table for research'!$B793-456)*36+HEX2DEC('table for research'!AC$1))*2,2)</f>
        <v>00</v>
      </c>
      <c r="AD793" t="str">
        <f>MID('paste from garc here'!$C$2,1+(('table for research'!$B793-456)*36+HEX2DEC('table for research'!AD$1))*2,2)</f>
        <v>00</v>
      </c>
      <c r="AE793" t="str">
        <f>MID('paste from garc here'!$C$2,1+(('table for research'!$B793-456)*36+HEX2DEC('table for research'!AE$1))*2,2)</f>
        <v>00</v>
      </c>
      <c r="AF793" t="str">
        <f>MID('paste from garc here'!$C$2,1+(('table for research'!$B793-456)*36+HEX2DEC('table for research'!AF$1))*2,2)</f>
        <v>00</v>
      </c>
      <c r="AG793" t="str">
        <f>MID('paste from garc here'!$C$2,1+(('table for research'!$B793-456)*36+HEX2DEC('table for research'!AG$1))*2,2)</f>
        <v>00</v>
      </c>
      <c r="AH793" t="str">
        <f>MID('paste from garc here'!$C$2,1+(('table for research'!$B793-456)*36+HEX2DEC('table for research'!AH$1))*2,2)</f>
        <v>00</v>
      </c>
      <c r="AI793" t="str">
        <f>MID('paste from garc here'!$C$2,1+(('table for research'!$B793-456)*36+HEX2DEC('table for research'!AI$1))*2,2)</f>
        <v>00</v>
      </c>
      <c r="AJ793" t="str">
        <f>MID('paste from garc here'!$C$2,1+(('table for research'!$B793-456)*36+HEX2DEC('table for research'!AJ$1))*2,2)</f>
        <v>00</v>
      </c>
      <c r="AK793" t="str">
        <f>MID('paste from garc here'!$C$2,1+(('table for research'!$B793-456)*36+HEX2DEC('table for research'!AK$1))*2,2)</f>
        <v>00</v>
      </c>
      <c r="AL793" t="str">
        <f>MID('paste from garc here'!$C$2,1+(('table for research'!$B793-456)*36+HEX2DEC('table for research'!AL$1))*2,2)</f>
        <v>00</v>
      </c>
      <c r="AM793" t="str">
        <f>MID('paste from garc here'!$C$2,1+(('table for research'!$B793-456)*36+HEX2DEC('table for research'!AM$1))*2,2)</f>
        <v>00</v>
      </c>
      <c r="AN793" t="str">
        <f>MID('paste from garc here'!$C$2,1+(('table for research'!$B793-456)*36+HEX2DEC('table for research'!AN$1))*2,2)</f>
        <v>00</v>
      </c>
      <c r="AO793" t="str">
        <f>MID('paste from garc here'!$C$2,1+(('table for research'!$B793-456)*36+HEX2DEC('table for research'!AO$1))*2,2)</f>
        <v>00</v>
      </c>
    </row>
    <row r="794" spans="1:41" x14ac:dyDescent="0.4">
      <c r="A794" t="s">
        <v>785</v>
      </c>
      <c r="B794">
        <f>B793+1</f>
        <v>792</v>
      </c>
      <c r="C794" t="str">
        <f>MID('paste from garc here'!$C$2,1+(('table for research'!$B794-456)*36+HEX2DEC('table for research'!C$1))*2,2)</f>
        <v>00</v>
      </c>
      <c r="D794" t="str">
        <f>MID('paste from garc here'!$C$2,1+(('table for research'!$B794-456)*36+HEX2DEC('table for research'!D$1))*2,2)</f>
        <v>00</v>
      </c>
      <c r="E794" t="str">
        <f>MID('paste from garc here'!$C$2,1+(('table for research'!$B794-456)*36+HEX2DEC('table for research'!E$1))*2,2)</f>
        <v>00</v>
      </c>
      <c r="F794" t="str">
        <f>MID('paste from garc here'!$C$2,1+(('table for research'!$B794-456)*36+HEX2DEC('table for research'!F$1))*2,2)</f>
        <v>00</v>
      </c>
      <c r="G794" t="str">
        <f>MID('paste from garc here'!$C$2,1+(('table for research'!$B794-456)*36+HEX2DEC('table for research'!G$1))*2,2)</f>
        <v>00</v>
      </c>
      <c r="H794" t="str">
        <f>MID('paste from garc here'!$C$2,1+(('table for research'!$B794-456)*36+HEX2DEC('table for research'!H$1))*2,2)</f>
        <v>00</v>
      </c>
      <c r="I794" t="str">
        <f>MID('paste from garc here'!$C$2,1+(('table for research'!$B794-456)*36+HEX2DEC('table for research'!I$1))*2,2)</f>
        <v>00</v>
      </c>
      <c r="J794" t="str">
        <f>MID('paste from garc here'!$C$2,1+(('table for research'!$B794-456)*36+HEX2DEC('table for research'!J$1))*2,2)</f>
        <v>00</v>
      </c>
      <c r="K794" t="str">
        <f>DEC2HEX(_xlfn.BITAND(HEX2DEC(MID('paste from garc here'!$C$1,1+(('table for research'!$B794-1)*36+HEX2DEC(8))*2,2)),31),2)</f>
        <v>00</v>
      </c>
      <c r="L794" t="str">
        <f>DEC2HEX(_xlfn.BITAND(HEX2DEC(MID('paste from garc here'!$C$1,1+(('table for research'!$B794-1)*36+HEX2DEC(8))*2,2)),32),2)</f>
        <v>00</v>
      </c>
      <c r="M794" t="str">
        <f>DEC2HEX(_xlfn.BITAND(HEX2DEC(MID('paste from garc here'!$C$1,1+(('table for research'!$B794-1)*36+HEX2DEC(8))*2,2)),64),2)</f>
        <v>00</v>
      </c>
      <c r="N794" t="str">
        <f>DEC2HEX(_xlfn.BITRSHIFT(_xlfn.BITAND(HEX2DEC(MID('paste from garc here'!$C$1,1+(('table for research'!$B794-1)*36+HEX2DEC(9))*2,2)&amp;MID('paste from garc here'!$C$1,1+(('table for research'!$B794-1)*36+HEX2DEC(8))*2,2)),1920),7),2)</f>
        <v>00</v>
      </c>
      <c r="O794" t="str">
        <f>DEC2HEX(_xlfn.BITRSHIFT(HEX2DEC(MID('paste from garc here'!$C$1,1+(('table for research'!$B794-1)*36+HEX2DEC(9))*2,2)&amp;MID('paste from garc here'!$C$1,1+(('table for research'!$B794-1)*36+HEX2DEC(8))*2,2)),11),2)</f>
        <v>00</v>
      </c>
      <c r="P794" t="str">
        <f>MID('paste from garc here'!$C$2,1+(('table for research'!$B794-456)*36+HEX2DEC('table for research'!P$1))*2,2)</f>
        <v>00</v>
      </c>
      <c r="Q794" t="str">
        <f>MID('paste from garc here'!$C$2,1+(('table for research'!$B794-456)*36+HEX2DEC('table for research'!Q$1))*2,2)</f>
        <v>00</v>
      </c>
      <c r="R794" t="str">
        <f>MID('paste from garc here'!$C$2,1+(('table for research'!$B794-456)*36+HEX2DEC('table for research'!R$1))*2,2)</f>
        <v>00</v>
      </c>
      <c r="S794" t="str">
        <f>MID('paste from garc here'!$C$2,1+(('table for research'!$B794-456)*36+HEX2DEC('table for research'!S$1))*2,2)</f>
        <v>01</v>
      </c>
      <c r="T794" t="str">
        <f>MID('paste from garc here'!$C$2,1+(('table for research'!$B794-456)*36+HEX2DEC('table for research'!T$1))*2,2)</f>
        <v>00</v>
      </c>
      <c r="U794" t="str">
        <f>MID('paste from garc here'!$C$2,1+(('table for research'!$B794-456)*36+HEX2DEC('table for research'!U$1))*2,2)</f>
        <v>11</v>
      </c>
      <c r="V794" t="str">
        <f>MID('paste from garc here'!$C$2,1+(('table for research'!$B794-456)*36+HEX2DEC('table for research'!V$1))*2,2)</f>
        <v>11</v>
      </c>
      <c r="W794" t="str">
        <f>MID('paste from garc here'!$C$2,1+(('table for research'!$B794-456)*36+HEX2DEC('table for research'!W$1))*2,2)</f>
        <v>00</v>
      </c>
      <c r="X794" t="str">
        <f>MID('paste from garc here'!$C$2,1+(('table for research'!$B794-456)*36+HEX2DEC('table for research'!X$1))*2,2)</f>
        <v>00</v>
      </c>
      <c r="Y794" t="str">
        <f>MID('paste from garc here'!$C$2,1+(('table for research'!$B794-456)*36+HEX2DEC('table for research'!Y$1))*2,2)</f>
        <v>00</v>
      </c>
      <c r="Z794" t="str">
        <f>MID('paste from garc here'!$C$2,1+(('table for research'!$B794-456)*36+HEX2DEC('table for research'!Z$1))*2,2)</f>
        <v>00</v>
      </c>
      <c r="AA794" t="str">
        <f>MID('paste from garc here'!$C$2,1+(('table for research'!$B794-456)*36+HEX2DEC('table for research'!AA$1))*2,2)</f>
        <v>00</v>
      </c>
      <c r="AB794" t="str">
        <f>MID('paste from garc here'!$C$2,1+(('table for research'!$B794-456)*36+HEX2DEC('table for research'!AB$1))*2,2)</f>
        <v>00</v>
      </c>
      <c r="AC794" t="str">
        <f>MID('paste from garc here'!$C$2,1+(('table for research'!$B794-456)*36+HEX2DEC('table for research'!AC$1))*2,2)</f>
        <v>00</v>
      </c>
      <c r="AD794" t="str">
        <f>MID('paste from garc here'!$C$2,1+(('table for research'!$B794-456)*36+HEX2DEC('table for research'!AD$1))*2,2)</f>
        <v>00</v>
      </c>
      <c r="AE794" t="str">
        <f>MID('paste from garc here'!$C$2,1+(('table for research'!$B794-456)*36+HEX2DEC('table for research'!AE$1))*2,2)</f>
        <v>00</v>
      </c>
      <c r="AF794" t="str">
        <f>MID('paste from garc here'!$C$2,1+(('table for research'!$B794-456)*36+HEX2DEC('table for research'!AF$1))*2,2)</f>
        <v>00</v>
      </c>
      <c r="AG794" t="str">
        <f>MID('paste from garc here'!$C$2,1+(('table for research'!$B794-456)*36+HEX2DEC('table for research'!AG$1))*2,2)</f>
        <v>00</v>
      </c>
      <c r="AH794" t="str">
        <f>MID('paste from garc here'!$C$2,1+(('table for research'!$B794-456)*36+HEX2DEC('table for research'!AH$1))*2,2)</f>
        <v>00</v>
      </c>
      <c r="AI794" t="str">
        <f>MID('paste from garc here'!$C$2,1+(('table for research'!$B794-456)*36+HEX2DEC('table for research'!AI$1))*2,2)</f>
        <v>00</v>
      </c>
      <c r="AJ794" t="str">
        <f>MID('paste from garc here'!$C$2,1+(('table for research'!$B794-456)*36+HEX2DEC('table for research'!AJ$1))*2,2)</f>
        <v>00</v>
      </c>
      <c r="AK794" t="str">
        <f>MID('paste from garc here'!$C$2,1+(('table for research'!$B794-456)*36+HEX2DEC('table for research'!AK$1))*2,2)</f>
        <v>00</v>
      </c>
      <c r="AL794" t="str">
        <f>MID('paste from garc here'!$C$2,1+(('table for research'!$B794-456)*36+HEX2DEC('table for research'!AL$1))*2,2)</f>
        <v>00</v>
      </c>
      <c r="AM794" t="str">
        <f>MID('paste from garc here'!$C$2,1+(('table for research'!$B794-456)*36+HEX2DEC('table for research'!AM$1))*2,2)</f>
        <v>00</v>
      </c>
      <c r="AN794" t="str">
        <f>MID('paste from garc here'!$C$2,1+(('table for research'!$B794-456)*36+HEX2DEC('table for research'!AN$1))*2,2)</f>
        <v>00</v>
      </c>
      <c r="AO794" t="str">
        <f>MID('paste from garc here'!$C$2,1+(('table for research'!$B794-456)*36+HEX2DEC('table for research'!AO$1))*2,2)</f>
        <v>00</v>
      </c>
    </row>
    <row r="795" spans="1:41" x14ac:dyDescent="0.4">
      <c r="A795" t="s">
        <v>786</v>
      </c>
      <c r="B795">
        <f>B794+1</f>
        <v>793</v>
      </c>
      <c r="C795" t="str">
        <f>MID('paste from garc here'!$C$2,1+(('table for research'!$B795-456)*36+HEX2DEC('table for research'!C$1))*2,2)</f>
        <v>00</v>
      </c>
      <c r="D795" t="str">
        <f>MID('paste from garc here'!$C$2,1+(('table for research'!$B795-456)*36+HEX2DEC('table for research'!D$1))*2,2)</f>
        <v>00</v>
      </c>
      <c r="E795" t="str">
        <f>MID('paste from garc here'!$C$2,1+(('table for research'!$B795-456)*36+HEX2DEC('table for research'!E$1))*2,2)</f>
        <v>00</v>
      </c>
      <c r="F795" t="str">
        <f>MID('paste from garc here'!$C$2,1+(('table for research'!$B795-456)*36+HEX2DEC('table for research'!F$1))*2,2)</f>
        <v>00</v>
      </c>
      <c r="G795" t="str">
        <f>MID('paste from garc here'!$C$2,1+(('table for research'!$B795-456)*36+HEX2DEC('table for research'!G$1))*2,2)</f>
        <v>00</v>
      </c>
      <c r="H795" t="str">
        <f>MID('paste from garc here'!$C$2,1+(('table for research'!$B795-456)*36+HEX2DEC('table for research'!H$1))*2,2)</f>
        <v>00</v>
      </c>
      <c r="I795" t="str">
        <f>MID('paste from garc here'!$C$2,1+(('table for research'!$B795-456)*36+HEX2DEC('table for research'!I$1))*2,2)</f>
        <v>00</v>
      </c>
      <c r="J795" t="str">
        <f>MID('paste from garc here'!$C$2,1+(('table for research'!$B795-456)*36+HEX2DEC('table for research'!J$1))*2,2)</f>
        <v>00</v>
      </c>
      <c r="K795" t="str">
        <f>DEC2HEX(_xlfn.BITAND(HEX2DEC(MID('paste from garc here'!$C$1,1+(('table for research'!$B795-1)*36+HEX2DEC(8))*2,2)),31),2)</f>
        <v>00</v>
      </c>
      <c r="L795" t="str">
        <f>DEC2HEX(_xlfn.BITAND(HEX2DEC(MID('paste from garc here'!$C$1,1+(('table for research'!$B795-1)*36+HEX2DEC(8))*2,2)),32),2)</f>
        <v>00</v>
      </c>
      <c r="M795" t="str">
        <f>DEC2HEX(_xlfn.BITAND(HEX2DEC(MID('paste from garc here'!$C$1,1+(('table for research'!$B795-1)*36+HEX2DEC(8))*2,2)),64),2)</f>
        <v>00</v>
      </c>
      <c r="N795" t="str">
        <f>DEC2HEX(_xlfn.BITRSHIFT(_xlfn.BITAND(HEX2DEC(MID('paste from garc here'!$C$1,1+(('table for research'!$B795-1)*36+HEX2DEC(9))*2,2)&amp;MID('paste from garc here'!$C$1,1+(('table for research'!$B795-1)*36+HEX2DEC(8))*2,2)),1920),7),2)</f>
        <v>00</v>
      </c>
      <c r="O795" t="str">
        <f>DEC2HEX(_xlfn.BITRSHIFT(HEX2DEC(MID('paste from garc here'!$C$1,1+(('table for research'!$B795-1)*36+HEX2DEC(9))*2,2)&amp;MID('paste from garc here'!$C$1,1+(('table for research'!$B795-1)*36+HEX2DEC(8))*2,2)),11),2)</f>
        <v>00</v>
      </c>
      <c r="P795" t="str">
        <f>MID('paste from garc here'!$C$2,1+(('table for research'!$B795-456)*36+HEX2DEC('table for research'!P$1))*2,2)</f>
        <v>00</v>
      </c>
      <c r="Q795" t="str">
        <f>MID('paste from garc here'!$C$2,1+(('table for research'!$B795-456)*36+HEX2DEC('table for research'!Q$1))*2,2)</f>
        <v>00</v>
      </c>
      <c r="R795" t="str">
        <f>MID('paste from garc here'!$C$2,1+(('table for research'!$B795-456)*36+HEX2DEC('table for research'!R$1))*2,2)</f>
        <v>00</v>
      </c>
      <c r="S795" t="str">
        <f>MID('paste from garc here'!$C$2,1+(('table for research'!$B795-456)*36+HEX2DEC('table for research'!S$1))*2,2)</f>
        <v>01</v>
      </c>
      <c r="T795" t="str">
        <f>MID('paste from garc here'!$C$2,1+(('table for research'!$B795-456)*36+HEX2DEC('table for research'!T$1))*2,2)</f>
        <v>00</v>
      </c>
      <c r="U795" t="str">
        <f>MID('paste from garc here'!$C$2,1+(('table for research'!$B795-456)*36+HEX2DEC('table for research'!U$1))*2,2)</f>
        <v>12</v>
      </c>
      <c r="V795" t="str">
        <f>MID('paste from garc here'!$C$2,1+(('table for research'!$B795-456)*36+HEX2DEC('table for research'!V$1))*2,2)</f>
        <v>12</v>
      </c>
      <c r="W795" t="str">
        <f>MID('paste from garc here'!$C$2,1+(('table for research'!$B795-456)*36+HEX2DEC('table for research'!W$1))*2,2)</f>
        <v>00</v>
      </c>
      <c r="X795" t="str">
        <f>MID('paste from garc here'!$C$2,1+(('table for research'!$B795-456)*36+HEX2DEC('table for research'!X$1))*2,2)</f>
        <v>00</v>
      </c>
      <c r="Y795" t="str">
        <f>MID('paste from garc here'!$C$2,1+(('table for research'!$B795-456)*36+HEX2DEC('table for research'!Y$1))*2,2)</f>
        <v>00</v>
      </c>
      <c r="Z795" t="str">
        <f>MID('paste from garc here'!$C$2,1+(('table for research'!$B795-456)*36+HEX2DEC('table for research'!Z$1))*2,2)</f>
        <v>00</v>
      </c>
      <c r="AA795" t="str">
        <f>MID('paste from garc here'!$C$2,1+(('table for research'!$B795-456)*36+HEX2DEC('table for research'!AA$1))*2,2)</f>
        <v>00</v>
      </c>
      <c r="AB795" t="str">
        <f>MID('paste from garc here'!$C$2,1+(('table for research'!$B795-456)*36+HEX2DEC('table for research'!AB$1))*2,2)</f>
        <v>00</v>
      </c>
      <c r="AC795" t="str">
        <f>MID('paste from garc here'!$C$2,1+(('table for research'!$B795-456)*36+HEX2DEC('table for research'!AC$1))*2,2)</f>
        <v>00</v>
      </c>
      <c r="AD795" t="str">
        <f>MID('paste from garc here'!$C$2,1+(('table for research'!$B795-456)*36+HEX2DEC('table for research'!AD$1))*2,2)</f>
        <v>00</v>
      </c>
      <c r="AE795" t="str">
        <f>MID('paste from garc here'!$C$2,1+(('table for research'!$B795-456)*36+HEX2DEC('table for research'!AE$1))*2,2)</f>
        <v>00</v>
      </c>
      <c r="AF795" t="str">
        <f>MID('paste from garc here'!$C$2,1+(('table for research'!$B795-456)*36+HEX2DEC('table for research'!AF$1))*2,2)</f>
        <v>00</v>
      </c>
      <c r="AG795" t="str">
        <f>MID('paste from garc here'!$C$2,1+(('table for research'!$B795-456)*36+HEX2DEC('table for research'!AG$1))*2,2)</f>
        <v>00</v>
      </c>
      <c r="AH795" t="str">
        <f>MID('paste from garc here'!$C$2,1+(('table for research'!$B795-456)*36+HEX2DEC('table for research'!AH$1))*2,2)</f>
        <v>00</v>
      </c>
      <c r="AI795" t="str">
        <f>MID('paste from garc here'!$C$2,1+(('table for research'!$B795-456)*36+HEX2DEC('table for research'!AI$1))*2,2)</f>
        <v>00</v>
      </c>
      <c r="AJ795" t="str">
        <f>MID('paste from garc here'!$C$2,1+(('table for research'!$B795-456)*36+HEX2DEC('table for research'!AJ$1))*2,2)</f>
        <v>00</v>
      </c>
      <c r="AK795" t="str">
        <f>MID('paste from garc here'!$C$2,1+(('table for research'!$B795-456)*36+HEX2DEC('table for research'!AK$1))*2,2)</f>
        <v>00</v>
      </c>
      <c r="AL795" t="str">
        <f>MID('paste from garc here'!$C$2,1+(('table for research'!$B795-456)*36+HEX2DEC('table for research'!AL$1))*2,2)</f>
        <v>00</v>
      </c>
      <c r="AM795" t="str">
        <f>MID('paste from garc here'!$C$2,1+(('table for research'!$B795-456)*36+HEX2DEC('table for research'!AM$1))*2,2)</f>
        <v>00</v>
      </c>
      <c r="AN795" t="str">
        <f>MID('paste from garc here'!$C$2,1+(('table for research'!$B795-456)*36+HEX2DEC('table for research'!AN$1))*2,2)</f>
        <v>00</v>
      </c>
      <c r="AO795" t="str">
        <f>MID('paste from garc here'!$C$2,1+(('table for research'!$B795-456)*36+HEX2DEC('table for research'!AO$1))*2,2)</f>
        <v>00</v>
      </c>
    </row>
    <row r="796" spans="1:41" x14ac:dyDescent="0.4">
      <c r="A796" t="s">
        <v>787</v>
      </c>
      <c r="B796">
        <f>B795+1</f>
        <v>794</v>
      </c>
      <c r="C796" t="str">
        <f>MID('paste from garc here'!$C$2,1+(('table for research'!$B796-456)*36+HEX2DEC('table for research'!C$1))*2,2)</f>
        <v>00</v>
      </c>
      <c r="D796" t="str">
        <f>MID('paste from garc here'!$C$2,1+(('table for research'!$B796-456)*36+HEX2DEC('table for research'!D$1))*2,2)</f>
        <v>00</v>
      </c>
      <c r="E796" t="str">
        <f>MID('paste from garc here'!$C$2,1+(('table for research'!$B796-456)*36+HEX2DEC('table for research'!E$1))*2,2)</f>
        <v>00</v>
      </c>
      <c r="F796" t="str">
        <f>MID('paste from garc here'!$C$2,1+(('table for research'!$B796-456)*36+HEX2DEC('table for research'!F$1))*2,2)</f>
        <v>00</v>
      </c>
      <c r="G796" t="str">
        <f>MID('paste from garc here'!$C$2,1+(('table for research'!$B796-456)*36+HEX2DEC('table for research'!G$1))*2,2)</f>
        <v>00</v>
      </c>
      <c r="H796" t="str">
        <f>MID('paste from garc here'!$C$2,1+(('table for research'!$B796-456)*36+HEX2DEC('table for research'!H$1))*2,2)</f>
        <v>00</v>
      </c>
      <c r="I796" t="str">
        <f>MID('paste from garc here'!$C$2,1+(('table for research'!$B796-456)*36+HEX2DEC('table for research'!I$1))*2,2)</f>
        <v>00</v>
      </c>
      <c r="J796" t="str">
        <f>MID('paste from garc here'!$C$2,1+(('table for research'!$B796-456)*36+HEX2DEC('table for research'!J$1))*2,2)</f>
        <v>00</v>
      </c>
      <c r="K796" t="str">
        <f>DEC2HEX(_xlfn.BITAND(HEX2DEC(MID('paste from garc here'!$C$1,1+(('table for research'!$B796-1)*36+HEX2DEC(8))*2,2)),31),2)</f>
        <v>00</v>
      </c>
      <c r="L796" t="str">
        <f>DEC2HEX(_xlfn.BITAND(HEX2DEC(MID('paste from garc here'!$C$1,1+(('table for research'!$B796-1)*36+HEX2DEC(8))*2,2)),32),2)</f>
        <v>00</v>
      </c>
      <c r="M796" t="str">
        <f>DEC2HEX(_xlfn.BITAND(HEX2DEC(MID('paste from garc here'!$C$1,1+(('table for research'!$B796-1)*36+HEX2DEC(8))*2,2)),64),2)</f>
        <v>00</v>
      </c>
      <c r="N796" t="str">
        <f>DEC2HEX(_xlfn.BITRSHIFT(_xlfn.BITAND(HEX2DEC(MID('paste from garc here'!$C$1,1+(('table for research'!$B796-1)*36+HEX2DEC(9))*2,2)&amp;MID('paste from garc here'!$C$1,1+(('table for research'!$B796-1)*36+HEX2DEC(8))*2,2)),1920),7),2)</f>
        <v>00</v>
      </c>
      <c r="O796" t="str">
        <f>DEC2HEX(_xlfn.BITRSHIFT(HEX2DEC(MID('paste from garc here'!$C$1,1+(('table for research'!$B796-1)*36+HEX2DEC(9))*2,2)&amp;MID('paste from garc here'!$C$1,1+(('table for research'!$B796-1)*36+HEX2DEC(8))*2,2)),11),2)</f>
        <v>00</v>
      </c>
      <c r="P796" t="str">
        <f>MID('paste from garc here'!$C$2,1+(('table for research'!$B796-456)*36+HEX2DEC('table for research'!P$1))*2,2)</f>
        <v>00</v>
      </c>
      <c r="Q796" t="str">
        <f>MID('paste from garc here'!$C$2,1+(('table for research'!$B796-456)*36+HEX2DEC('table for research'!Q$1))*2,2)</f>
        <v>00</v>
      </c>
      <c r="R796" t="str">
        <f>MID('paste from garc here'!$C$2,1+(('table for research'!$B796-456)*36+HEX2DEC('table for research'!R$1))*2,2)</f>
        <v>00</v>
      </c>
      <c r="S796" t="str">
        <f>MID('paste from garc here'!$C$2,1+(('table for research'!$B796-456)*36+HEX2DEC('table for research'!S$1))*2,2)</f>
        <v>01</v>
      </c>
      <c r="T796" t="str">
        <f>MID('paste from garc here'!$C$2,1+(('table for research'!$B796-456)*36+HEX2DEC('table for research'!T$1))*2,2)</f>
        <v>00</v>
      </c>
      <c r="U796" t="str">
        <f>MID('paste from garc here'!$C$2,1+(('table for research'!$B796-456)*36+HEX2DEC('table for research'!U$1))*2,2)</f>
        <v>13</v>
      </c>
      <c r="V796" t="str">
        <f>MID('paste from garc here'!$C$2,1+(('table for research'!$B796-456)*36+HEX2DEC('table for research'!V$1))*2,2)</f>
        <v>13</v>
      </c>
      <c r="W796" t="str">
        <f>MID('paste from garc here'!$C$2,1+(('table for research'!$B796-456)*36+HEX2DEC('table for research'!W$1))*2,2)</f>
        <v>00</v>
      </c>
      <c r="X796" t="str">
        <f>MID('paste from garc here'!$C$2,1+(('table for research'!$B796-456)*36+HEX2DEC('table for research'!X$1))*2,2)</f>
        <v>00</v>
      </c>
      <c r="Y796" t="str">
        <f>MID('paste from garc here'!$C$2,1+(('table for research'!$B796-456)*36+HEX2DEC('table for research'!Y$1))*2,2)</f>
        <v>00</v>
      </c>
      <c r="Z796" t="str">
        <f>MID('paste from garc here'!$C$2,1+(('table for research'!$B796-456)*36+HEX2DEC('table for research'!Z$1))*2,2)</f>
        <v>00</v>
      </c>
      <c r="AA796" t="str">
        <f>MID('paste from garc here'!$C$2,1+(('table for research'!$B796-456)*36+HEX2DEC('table for research'!AA$1))*2,2)</f>
        <v>00</v>
      </c>
      <c r="AB796" t="str">
        <f>MID('paste from garc here'!$C$2,1+(('table for research'!$B796-456)*36+HEX2DEC('table for research'!AB$1))*2,2)</f>
        <v>00</v>
      </c>
      <c r="AC796" t="str">
        <f>MID('paste from garc here'!$C$2,1+(('table for research'!$B796-456)*36+HEX2DEC('table for research'!AC$1))*2,2)</f>
        <v>00</v>
      </c>
      <c r="AD796" t="str">
        <f>MID('paste from garc here'!$C$2,1+(('table for research'!$B796-456)*36+HEX2DEC('table for research'!AD$1))*2,2)</f>
        <v>00</v>
      </c>
      <c r="AE796" t="str">
        <f>MID('paste from garc here'!$C$2,1+(('table for research'!$B796-456)*36+HEX2DEC('table for research'!AE$1))*2,2)</f>
        <v>00</v>
      </c>
      <c r="AF796" t="str">
        <f>MID('paste from garc here'!$C$2,1+(('table for research'!$B796-456)*36+HEX2DEC('table for research'!AF$1))*2,2)</f>
        <v>00</v>
      </c>
      <c r="AG796" t="str">
        <f>MID('paste from garc here'!$C$2,1+(('table for research'!$B796-456)*36+HEX2DEC('table for research'!AG$1))*2,2)</f>
        <v>00</v>
      </c>
      <c r="AH796" t="str">
        <f>MID('paste from garc here'!$C$2,1+(('table for research'!$B796-456)*36+HEX2DEC('table for research'!AH$1))*2,2)</f>
        <v>00</v>
      </c>
      <c r="AI796" t="str">
        <f>MID('paste from garc here'!$C$2,1+(('table for research'!$B796-456)*36+HEX2DEC('table for research'!AI$1))*2,2)</f>
        <v>00</v>
      </c>
      <c r="AJ796" t="str">
        <f>MID('paste from garc here'!$C$2,1+(('table for research'!$B796-456)*36+HEX2DEC('table for research'!AJ$1))*2,2)</f>
        <v>00</v>
      </c>
      <c r="AK796" t="str">
        <f>MID('paste from garc here'!$C$2,1+(('table for research'!$B796-456)*36+HEX2DEC('table for research'!AK$1))*2,2)</f>
        <v>00</v>
      </c>
      <c r="AL796" t="str">
        <f>MID('paste from garc here'!$C$2,1+(('table for research'!$B796-456)*36+HEX2DEC('table for research'!AL$1))*2,2)</f>
        <v>00</v>
      </c>
      <c r="AM796" t="str">
        <f>MID('paste from garc here'!$C$2,1+(('table for research'!$B796-456)*36+HEX2DEC('table for research'!AM$1))*2,2)</f>
        <v>00</v>
      </c>
      <c r="AN796" t="str">
        <f>MID('paste from garc here'!$C$2,1+(('table for research'!$B796-456)*36+HEX2DEC('table for research'!AN$1))*2,2)</f>
        <v>00</v>
      </c>
      <c r="AO796" t="str">
        <f>MID('paste from garc here'!$C$2,1+(('table for research'!$B796-456)*36+HEX2DEC('table for research'!AO$1))*2,2)</f>
        <v>00</v>
      </c>
    </row>
    <row r="797" spans="1:41" x14ac:dyDescent="0.4">
      <c r="A797" t="s">
        <v>788</v>
      </c>
      <c r="B797">
        <f>B796+1</f>
        <v>795</v>
      </c>
      <c r="C797" t="str">
        <f>MID('paste from garc here'!$C$2,1+(('table for research'!$B797-456)*36+HEX2DEC('table for research'!C$1))*2,2)</f>
        <v>88</v>
      </c>
      <c r="D797" t="str">
        <f>MID('paste from garc here'!$C$2,1+(('table for research'!$B797-456)*36+HEX2DEC('table for research'!D$1))*2,2)</f>
        <v>13</v>
      </c>
      <c r="E797" t="str">
        <f>MID('paste from garc here'!$C$2,1+(('table for research'!$B797-456)*36+HEX2DEC('table for research'!E$1))*2,2)</f>
        <v>00</v>
      </c>
      <c r="F797" t="str">
        <f>MID('paste from garc here'!$C$2,1+(('table for research'!$B797-456)*36+HEX2DEC('table for research'!F$1))*2,2)</f>
        <v>00</v>
      </c>
      <c r="G797" t="str">
        <f>MID('paste from garc here'!$C$2,1+(('table for research'!$B797-456)*36+HEX2DEC('table for research'!G$1))*2,2)</f>
        <v>00</v>
      </c>
      <c r="H797" t="str">
        <f>MID('paste from garc here'!$C$2,1+(('table for research'!$B797-456)*36+HEX2DEC('table for research'!H$1))*2,2)</f>
        <v>00</v>
      </c>
      <c r="I797" t="str">
        <f>MID('paste from garc here'!$C$2,1+(('table for research'!$B797-456)*36+HEX2DEC('table for research'!I$1))*2,2)</f>
        <v>1E</v>
      </c>
      <c r="J797" t="str">
        <f>MID('paste from garc here'!$C$2,1+(('table for research'!$B797-456)*36+HEX2DEC('table for research'!J$1))*2,2)</f>
        <v>00</v>
      </c>
      <c r="K797" t="str">
        <f>DEC2HEX(_xlfn.BITAND(HEX2DEC(MID('paste from garc here'!$C$1,1+(('table for research'!$B797-1)*36+HEX2DEC(8))*2,2)),31),2)</f>
        <v>00</v>
      </c>
      <c r="L797" t="str">
        <f>DEC2HEX(_xlfn.BITAND(HEX2DEC(MID('paste from garc here'!$C$1,1+(('table for research'!$B797-1)*36+HEX2DEC(8))*2,2)),32),2)</f>
        <v>00</v>
      </c>
      <c r="M797" t="str">
        <f>DEC2HEX(_xlfn.BITAND(HEX2DEC(MID('paste from garc here'!$C$1,1+(('table for research'!$B797-1)*36+HEX2DEC(8))*2,2)),64),2)</f>
        <v>00</v>
      </c>
      <c r="N797" t="str">
        <f>DEC2HEX(_xlfn.BITRSHIFT(_xlfn.BITAND(HEX2DEC(MID('paste from garc here'!$C$1,1+(('table for research'!$B797-1)*36+HEX2DEC(9))*2,2)&amp;MID('paste from garc here'!$C$1,1+(('table for research'!$B797-1)*36+HEX2DEC(8))*2,2)),1920),7),2)</f>
        <v>00</v>
      </c>
      <c r="O797" t="str">
        <f>DEC2HEX(_xlfn.BITRSHIFT(HEX2DEC(MID('paste from garc here'!$C$1,1+(('table for research'!$B797-1)*36+HEX2DEC(9))*2,2)&amp;MID('paste from garc here'!$C$1,1+(('table for research'!$B797-1)*36+HEX2DEC(8))*2,2)),11),2)</f>
        <v>00</v>
      </c>
      <c r="P797" t="str">
        <f>MID('paste from garc here'!$C$2,1+(('table for research'!$B797-456)*36+HEX2DEC('table for research'!P$1))*2,2)</f>
        <v>00</v>
      </c>
      <c r="Q797" t="str">
        <f>MID('paste from garc here'!$C$2,1+(('table for research'!$B797-456)*36+HEX2DEC('table for research'!Q$1))*2,2)</f>
        <v>00</v>
      </c>
      <c r="R797" t="str">
        <f>MID('paste from garc here'!$C$2,1+(('table for research'!$B797-456)*36+HEX2DEC('table for research'!R$1))*2,2)</f>
        <v>00</v>
      </c>
      <c r="S797" t="str">
        <f>MID('paste from garc here'!$C$2,1+(('table for research'!$B797-456)*36+HEX2DEC('table for research'!S$1))*2,2)</f>
        <v>02</v>
      </c>
      <c r="T797" t="str">
        <f>MID('paste from garc here'!$C$2,1+(('table for research'!$B797-456)*36+HEX2DEC('table for research'!T$1))*2,2)</f>
        <v>00</v>
      </c>
      <c r="U797" t="str">
        <f>MID('paste from garc here'!$C$2,1+(('table for research'!$B797-456)*36+HEX2DEC('table for research'!U$1))*2,2)</f>
        <v>05</v>
      </c>
      <c r="V797" t="str">
        <f>MID('paste from garc here'!$C$2,1+(('table for research'!$B797-456)*36+HEX2DEC('table for research'!V$1))*2,2)</f>
        <v>00</v>
      </c>
      <c r="W797" t="str">
        <f>MID('paste from garc here'!$C$2,1+(('table for research'!$B797-456)*36+HEX2DEC('table for research'!W$1))*2,2)</f>
        <v>00</v>
      </c>
      <c r="X797" t="str">
        <f>MID('paste from garc here'!$C$2,1+(('table for research'!$B797-456)*36+HEX2DEC('table for research'!X$1))*2,2)</f>
        <v>00</v>
      </c>
      <c r="Y797" t="str">
        <f>MID('paste from garc here'!$C$2,1+(('table for research'!$B797-456)*36+HEX2DEC('table for research'!Y$1))*2,2)</f>
        <v>00</v>
      </c>
      <c r="Z797" t="str">
        <f>MID('paste from garc here'!$C$2,1+(('table for research'!$B797-456)*36+HEX2DEC('table for research'!Z$1))*2,2)</f>
        <v>00</v>
      </c>
      <c r="AA797" t="str">
        <f>MID('paste from garc here'!$C$2,1+(('table for research'!$B797-456)*36+HEX2DEC('table for research'!AA$1))*2,2)</f>
        <v>00</v>
      </c>
      <c r="AB797" t="str">
        <f>MID('paste from garc here'!$C$2,1+(('table for research'!$B797-456)*36+HEX2DEC('table for research'!AB$1))*2,2)</f>
        <v>00</v>
      </c>
      <c r="AC797" t="str">
        <f>MID('paste from garc here'!$C$2,1+(('table for research'!$B797-456)*36+HEX2DEC('table for research'!AC$1))*2,2)</f>
        <v>00</v>
      </c>
      <c r="AD797" t="str">
        <f>MID('paste from garc here'!$C$2,1+(('table for research'!$B797-456)*36+HEX2DEC('table for research'!AD$1))*2,2)</f>
        <v>00</v>
      </c>
      <c r="AE797" t="str">
        <f>MID('paste from garc here'!$C$2,1+(('table for research'!$B797-456)*36+HEX2DEC('table for research'!AE$1))*2,2)</f>
        <v>00</v>
      </c>
      <c r="AF797" t="str">
        <f>MID('paste from garc here'!$C$2,1+(('table for research'!$B797-456)*36+HEX2DEC('table for research'!AF$1))*2,2)</f>
        <v>00</v>
      </c>
      <c r="AG797" t="str">
        <f>MID('paste from garc here'!$C$2,1+(('table for research'!$B797-456)*36+HEX2DEC('table for research'!AG$1))*2,2)</f>
        <v>00</v>
      </c>
      <c r="AH797" t="str">
        <f>MID('paste from garc here'!$C$2,1+(('table for research'!$B797-456)*36+HEX2DEC('table for research'!AH$1))*2,2)</f>
        <v>00</v>
      </c>
      <c r="AI797" t="str">
        <f>MID('paste from garc here'!$C$2,1+(('table for research'!$B797-456)*36+HEX2DEC('table for research'!AI$1))*2,2)</f>
        <v>00</v>
      </c>
      <c r="AJ797" t="str">
        <f>MID('paste from garc here'!$C$2,1+(('table for research'!$B797-456)*36+HEX2DEC('table for research'!AJ$1))*2,2)</f>
        <v>00</v>
      </c>
      <c r="AK797" t="str">
        <f>MID('paste from garc here'!$C$2,1+(('table for research'!$B797-456)*36+HEX2DEC('table for research'!AK$1))*2,2)</f>
        <v>00</v>
      </c>
      <c r="AL797" t="str">
        <f>MID('paste from garc here'!$C$2,1+(('table for research'!$B797-456)*36+HEX2DEC('table for research'!AL$1))*2,2)</f>
        <v>00</v>
      </c>
      <c r="AM797" t="str">
        <f>MID('paste from garc here'!$C$2,1+(('table for research'!$B797-456)*36+HEX2DEC('table for research'!AM$1))*2,2)</f>
        <v>00</v>
      </c>
      <c r="AN797" t="str">
        <f>MID('paste from garc here'!$C$2,1+(('table for research'!$B797-456)*36+HEX2DEC('table for research'!AN$1))*2,2)</f>
        <v>00</v>
      </c>
      <c r="AO797" t="str">
        <f>MID('paste from garc here'!$C$2,1+(('table for research'!$B797-456)*36+HEX2DEC('table for research'!AO$1))*2,2)</f>
        <v>00</v>
      </c>
    </row>
    <row r="798" spans="1:41" x14ac:dyDescent="0.4">
      <c r="A798" t="s">
        <v>789</v>
      </c>
      <c r="B798">
        <f>B797+1</f>
        <v>796</v>
      </c>
      <c r="C798" t="str">
        <f>MID('paste from garc here'!$C$2,1+(('table for research'!$B798-456)*36+HEX2DEC('table for research'!C$1))*2,2)</f>
        <v>10</v>
      </c>
      <c r="D798" t="str">
        <f>MID('paste from garc here'!$C$2,1+(('table for research'!$B798-456)*36+HEX2DEC('table for research'!D$1))*2,2)</f>
        <v>27</v>
      </c>
      <c r="E798" t="str">
        <f>MID('paste from garc here'!$C$2,1+(('table for research'!$B798-456)*36+HEX2DEC('table for research'!E$1))*2,2)</f>
        <v>00</v>
      </c>
      <c r="F798" t="str">
        <f>MID('paste from garc here'!$C$2,1+(('table for research'!$B798-456)*36+HEX2DEC('table for research'!F$1))*2,2)</f>
        <v>00</v>
      </c>
      <c r="G798" t="str">
        <f>MID('paste from garc here'!$C$2,1+(('table for research'!$B798-456)*36+HEX2DEC('table for research'!G$1))*2,2)</f>
        <v>00</v>
      </c>
      <c r="H798" t="str">
        <f>MID('paste from garc here'!$C$2,1+(('table for research'!$B798-456)*36+HEX2DEC('table for research'!H$1))*2,2)</f>
        <v>00</v>
      </c>
      <c r="I798" t="str">
        <f>MID('paste from garc here'!$C$2,1+(('table for research'!$B798-456)*36+HEX2DEC('table for research'!I$1))*2,2)</f>
        <v>1E</v>
      </c>
      <c r="J798" t="str">
        <f>MID('paste from garc here'!$C$2,1+(('table for research'!$B798-456)*36+HEX2DEC('table for research'!J$1))*2,2)</f>
        <v>00</v>
      </c>
      <c r="K798" t="str">
        <f>DEC2HEX(_xlfn.BITAND(HEX2DEC(MID('paste from garc here'!$C$1,1+(('table for research'!$B798-1)*36+HEX2DEC(8))*2,2)),31),2)</f>
        <v>00</v>
      </c>
      <c r="L798" t="str">
        <f>DEC2HEX(_xlfn.BITAND(HEX2DEC(MID('paste from garc here'!$C$1,1+(('table for research'!$B798-1)*36+HEX2DEC(8))*2,2)),32),2)</f>
        <v>00</v>
      </c>
      <c r="M798" t="str">
        <f>DEC2HEX(_xlfn.BITAND(HEX2DEC(MID('paste from garc here'!$C$1,1+(('table for research'!$B798-1)*36+HEX2DEC(8))*2,2)),64),2)</f>
        <v>00</v>
      </c>
      <c r="N798" t="str">
        <f>DEC2HEX(_xlfn.BITRSHIFT(_xlfn.BITAND(HEX2DEC(MID('paste from garc here'!$C$1,1+(('table for research'!$B798-1)*36+HEX2DEC(9))*2,2)&amp;MID('paste from garc here'!$C$1,1+(('table for research'!$B798-1)*36+HEX2DEC(8))*2,2)),1920),7),2)</f>
        <v>00</v>
      </c>
      <c r="O798" t="str">
        <f>DEC2HEX(_xlfn.BITRSHIFT(HEX2DEC(MID('paste from garc here'!$C$1,1+(('table for research'!$B798-1)*36+HEX2DEC(9))*2,2)&amp;MID('paste from garc here'!$C$1,1+(('table for research'!$B798-1)*36+HEX2DEC(8))*2,2)),11),2)</f>
        <v>00</v>
      </c>
      <c r="P798" t="str">
        <f>MID('paste from garc here'!$C$2,1+(('table for research'!$B798-456)*36+HEX2DEC('table for research'!P$1))*2,2)</f>
        <v>00</v>
      </c>
      <c r="Q798" t="str">
        <f>MID('paste from garc here'!$C$2,1+(('table for research'!$B798-456)*36+HEX2DEC('table for research'!Q$1))*2,2)</f>
        <v>00</v>
      </c>
      <c r="R798" t="str">
        <f>MID('paste from garc here'!$C$2,1+(('table for research'!$B798-456)*36+HEX2DEC('table for research'!R$1))*2,2)</f>
        <v>00</v>
      </c>
      <c r="S798" t="str">
        <f>MID('paste from garc here'!$C$2,1+(('table for research'!$B798-456)*36+HEX2DEC('table for research'!S$1))*2,2)</f>
        <v>02</v>
      </c>
      <c r="T798" t="str">
        <f>MID('paste from garc here'!$C$2,1+(('table for research'!$B798-456)*36+HEX2DEC('table for research'!T$1))*2,2)</f>
        <v>00</v>
      </c>
      <c r="U798" t="str">
        <f>MID('paste from garc here'!$C$2,1+(('table for research'!$B798-456)*36+HEX2DEC('table for research'!U$1))*2,2)</f>
        <v>06</v>
      </c>
      <c r="V798" t="str">
        <f>MID('paste from garc here'!$C$2,1+(('table for research'!$B798-456)*36+HEX2DEC('table for research'!V$1))*2,2)</f>
        <v>00</v>
      </c>
      <c r="W798" t="str">
        <f>MID('paste from garc here'!$C$2,1+(('table for research'!$B798-456)*36+HEX2DEC('table for research'!W$1))*2,2)</f>
        <v>00</v>
      </c>
      <c r="X798" t="str">
        <f>MID('paste from garc here'!$C$2,1+(('table for research'!$B798-456)*36+HEX2DEC('table for research'!X$1))*2,2)</f>
        <v>00</v>
      </c>
      <c r="Y798" t="str">
        <f>MID('paste from garc here'!$C$2,1+(('table for research'!$B798-456)*36+HEX2DEC('table for research'!Y$1))*2,2)</f>
        <v>00</v>
      </c>
      <c r="Z798" t="str">
        <f>MID('paste from garc here'!$C$2,1+(('table for research'!$B798-456)*36+HEX2DEC('table for research'!Z$1))*2,2)</f>
        <v>00</v>
      </c>
      <c r="AA798" t="str">
        <f>MID('paste from garc here'!$C$2,1+(('table for research'!$B798-456)*36+HEX2DEC('table for research'!AA$1))*2,2)</f>
        <v>00</v>
      </c>
      <c r="AB798" t="str">
        <f>MID('paste from garc here'!$C$2,1+(('table for research'!$B798-456)*36+HEX2DEC('table for research'!AB$1))*2,2)</f>
        <v>00</v>
      </c>
      <c r="AC798" t="str">
        <f>MID('paste from garc here'!$C$2,1+(('table for research'!$B798-456)*36+HEX2DEC('table for research'!AC$1))*2,2)</f>
        <v>00</v>
      </c>
      <c r="AD798" t="str">
        <f>MID('paste from garc here'!$C$2,1+(('table for research'!$B798-456)*36+HEX2DEC('table for research'!AD$1))*2,2)</f>
        <v>00</v>
      </c>
      <c r="AE798" t="str">
        <f>MID('paste from garc here'!$C$2,1+(('table for research'!$B798-456)*36+HEX2DEC('table for research'!AE$1))*2,2)</f>
        <v>00</v>
      </c>
      <c r="AF798" t="str">
        <f>MID('paste from garc here'!$C$2,1+(('table for research'!$B798-456)*36+HEX2DEC('table for research'!AF$1))*2,2)</f>
        <v>00</v>
      </c>
      <c r="AG798" t="str">
        <f>MID('paste from garc here'!$C$2,1+(('table for research'!$B798-456)*36+HEX2DEC('table for research'!AG$1))*2,2)</f>
        <v>00</v>
      </c>
      <c r="AH798" t="str">
        <f>MID('paste from garc here'!$C$2,1+(('table for research'!$B798-456)*36+HEX2DEC('table for research'!AH$1))*2,2)</f>
        <v>00</v>
      </c>
      <c r="AI798" t="str">
        <f>MID('paste from garc here'!$C$2,1+(('table for research'!$B798-456)*36+HEX2DEC('table for research'!AI$1))*2,2)</f>
        <v>00</v>
      </c>
      <c r="AJ798" t="str">
        <f>MID('paste from garc here'!$C$2,1+(('table for research'!$B798-456)*36+HEX2DEC('table for research'!AJ$1))*2,2)</f>
        <v>00</v>
      </c>
      <c r="AK798" t="str">
        <f>MID('paste from garc here'!$C$2,1+(('table for research'!$B798-456)*36+HEX2DEC('table for research'!AK$1))*2,2)</f>
        <v>00</v>
      </c>
      <c r="AL798" t="str">
        <f>MID('paste from garc here'!$C$2,1+(('table for research'!$B798-456)*36+HEX2DEC('table for research'!AL$1))*2,2)</f>
        <v>00</v>
      </c>
      <c r="AM798" t="str">
        <f>MID('paste from garc here'!$C$2,1+(('table for research'!$B798-456)*36+HEX2DEC('table for research'!AM$1))*2,2)</f>
        <v>00</v>
      </c>
      <c r="AN798" t="str">
        <f>MID('paste from garc here'!$C$2,1+(('table for research'!$B798-456)*36+HEX2DEC('table for research'!AN$1))*2,2)</f>
        <v>00</v>
      </c>
      <c r="AO798" t="str">
        <f>MID('paste from garc here'!$C$2,1+(('table for research'!$B798-456)*36+HEX2DEC('table for research'!AO$1))*2,2)</f>
        <v>00</v>
      </c>
    </row>
    <row r="799" spans="1:41" x14ac:dyDescent="0.4">
      <c r="A799" t="s">
        <v>790</v>
      </c>
      <c r="B799">
        <f>B798+1</f>
        <v>797</v>
      </c>
      <c r="C799" t="str">
        <f>MID('paste from garc here'!$C$2,1+(('table for research'!$B799-456)*36+HEX2DEC('table for research'!C$1))*2,2)</f>
        <v>00</v>
      </c>
      <c r="D799" t="str">
        <f>MID('paste from garc here'!$C$2,1+(('table for research'!$B799-456)*36+HEX2DEC('table for research'!D$1))*2,2)</f>
        <v>00</v>
      </c>
      <c r="E799" t="str">
        <f>MID('paste from garc here'!$C$2,1+(('table for research'!$B799-456)*36+HEX2DEC('table for research'!E$1))*2,2)</f>
        <v>00</v>
      </c>
      <c r="F799" t="str">
        <f>MID('paste from garc here'!$C$2,1+(('table for research'!$B799-456)*36+HEX2DEC('table for research'!F$1))*2,2)</f>
        <v>00</v>
      </c>
      <c r="G799" t="str">
        <f>MID('paste from garc here'!$C$2,1+(('table for research'!$B799-456)*36+HEX2DEC('table for research'!G$1))*2,2)</f>
        <v>00</v>
      </c>
      <c r="H799" t="str">
        <f>MID('paste from garc here'!$C$2,1+(('table for research'!$B799-456)*36+HEX2DEC('table for research'!H$1))*2,2)</f>
        <v>00</v>
      </c>
      <c r="I799" t="str">
        <f>MID('paste from garc here'!$C$2,1+(('table for research'!$B799-456)*36+HEX2DEC('table for research'!I$1))*2,2)</f>
        <v>00</v>
      </c>
      <c r="J799" t="str">
        <f>MID('paste from garc here'!$C$2,1+(('table for research'!$B799-456)*36+HEX2DEC('table for research'!J$1))*2,2)</f>
        <v>00</v>
      </c>
      <c r="K799" t="str">
        <f>DEC2HEX(_xlfn.BITAND(HEX2DEC(MID('paste from garc here'!$C$1,1+(('table for research'!$B799-1)*36+HEX2DEC(8))*2,2)),31),2)</f>
        <v>00</v>
      </c>
      <c r="L799" t="str">
        <f>DEC2HEX(_xlfn.BITAND(HEX2DEC(MID('paste from garc here'!$C$1,1+(('table for research'!$B799-1)*36+HEX2DEC(8))*2,2)),32),2)</f>
        <v>00</v>
      </c>
      <c r="M799" t="str">
        <f>DEC2HEX(_xlfn.BITAND(HEX2DEC(MID('paste from garc here'!$C$1,1+(('table for research'!$B799-1)*36+HEX2DEC(8))*2,2)),64),2)</f>
        <v>00</v>
      </c>
      <c r="N799" t="str">
        <f>DEC2HEX(_xlfn.BITRSHIFT(_xlfn.BITAND(HEX2DEC(MID('paste from garc here'!$C$1,1+(('table for research'!$B799-1)*36+HEX2DEC(9))*2,2)&amp;MID('paste from garc here'!$C$1,1+(('table for research'!$B799-1)*36+HEX2DEC(8))*2,2)),1920),7),2)</f>
        <v>00</v>
      </c>
      <c r="O799" t="str">
        <f>DEC2HEX(_xlfn.BITRSHIFT(HEX2DEC(MID('paste from garc here'!$C$1,1+(('table for research'!$B799-1)*36+HEX2DEC(9))*2,2)&amp;MID('paste from garc here'!$C$1,1+(('table for research'!$B799-1)*36+HEX2DEC(8))*2,2)),11),2)</f>
        <v>00</v>
      </c>
      <c r="P799" t="str">
        <f>MID('paste from garc here'!$C$2,1+(('table for research'!$B799-456)*36+HEX2DEC('table for research'!P$1))*2,2)</f>
        <v>00</v>
      </c>
      <c r="Q799" t="str">
        <f>MID('paste from garc here'!$C$2,1+(('table for research'!$B799-456)*36+HEX2DEC('table for research'!Q$1))*2,2)</f>
        <v>00</v>
      </c>
      <c r="R799" t="str">
        <f>MID('paste from garc here'!$C$2,1+(('table for research'!$B799-456)*36+HEX2DEC('table for research'!R$1))*2,2)</f>
        <v>00</v>
      </c>
      <c r="S799" t="str">
        <f>MID('paste from garc here'!$C$2,1+(('table for research'!$B799-456)*36+HEX2DEC('table for research'!S$1))*2,2)</f>
        <v>08</v>
      </c>
      <c r="T799" t="str">
        <f>MID('paste from garc here'!$C$2,1+(('table for research'!$B799-456)*36+HEX2DEC('table for research'!T$1))*2,2)</f>
        <v>00</v>
      </c>
      <c r="U799" t="str">
        <f>MID('paste from garc here'!$C$2,1+(('table for research'!$B799-456)*36+HEX2DEC('table for research'!U$1))*2,2)</f>
        <v>04</v>
      </c>
      <c r="V799" t="str">
        <f>MID('paste from garc here'!$C$2,1+(('table for research'!$B799-456)*36+HEX2DEC('table for research'!V$1))*2,2)</f>
        <v>00</v>
      </c>
      <c r="W799" t="str">
        <f>MID('paste from garc here'!$C$2,1+(('table for research'!$B799-456)*36+HEX2DEC('table for research'!W$1))*2,2)</f>
        <v>00</v>
      </c>
      <c r="X799" t="str">
        <f>MID('paste from garc here'!$C$2,1+(('table for research'!$B799-456)*36+HEX2DEC('table for research'!X$1))*2,2)</f>
        <v>00</v>
      </c>
      <c r="Y799" t="str">
        <f>MID('paste from garc here'!$C$2,1+(('table for research'!$B799-456)*36+HEX2DEC('table for research'!Y$1))*2,2)</f>
        <v>00</v>
      </c>
      <c r="Z799" t="str">
        <f>MID('paste from garc here'!$C$2,1+(('table for research'!$B799-456)*36+HEX2DEC('table for research'!Z$1))*2,2)</f>
        <v>00</v>
      </c>
      <c r="AA799" t="str">
        <f>MID('paste from garc here'!$C$2,1+(('table for research'!$B799-456)*36+HEX2DEC('table for research'!AA$1))*2,2)</f>
        <v>00</v>
      </c>
      <c r="AB799" t="str">
        <f>MID('paste from garc here'!$C$2,1+(('table for research'!$B799-456)*36+HEX2DEC('table for research'!AB$1))*2,2)</f>
        <v>00</v>
      </c>
      <c r="AC799" t="str">
        <f>MID('paste from garc here'!$C$2,1+(('table for research'!$B799-456)*36+HEX2DEC('table for research'!AC$1))*2,2)</f>
        <v>00</v>
      </c>
      <c r="AD799" t="str">
        <f>MID('paste from garc here'!$C$2,1+(('table for research'!$B799-456)*36+HEX2DEC('table for research'!AD$1))*2,2)</f>
        <v>00</v>
      </c>
      <c r="AE799" t="str">
        <f>MID('paste from garc here'!$C$2,1+(('table for research'!$B799-456)*36+HEX2DEC('table for research'!AE$1))*2,2)</f>
        <v>00</v>
      </c>
      <c r="AF799" t="str">
        <f>MID('paste from garc here'!$C$2,1+(('table for research'!$B799-456)*36+HEX2DEC('table for research'!AF$1))*2,2)</f>
        <v>00</v>
      </c>
      <c r="AG799" t="str">
        <f>MID('paste from garc here'!$C$2,1+(('table for research'!$B799-456)*36+HEX2DEC('table for research'!AG$1))*2,2)</f>
        <v>00</v>
      </c>
      <c r="AH799" t="str">
        <f>MID('paste from garc here'!$C$2,1+(('table for research'!$B799-456)*36+HEX2DEC('table for research'!AH$1))*2,2)</f>
        <v>00</v>
      </c>
      <c r="AI799" t="str">
        <f>MID('paste from garc here'!$C$2,1+(('table for research'!$B799-456)*36+HEX2DEC('table for research'!AI$1))*2,2)</f>
        <v>00</v>
      </c>
      <c r="AJ799" t="str">
        <f>MID('paste from garc here'!$C$2,1+(('table for research'!$B799-456)*36+HEX2DEC('table for research'!AJ$1))*2,2)</f>
        <v>00</v>
      </c>
      <c r="AK799" t="str">
        <f>MID('paste from garc here'!$C$2,1+(('table for research'!$B799-456)*36+HEX2DEC('table for research'!AK$1))*2,2)</f>
        <v>00</v>
      </c>
      <c r="AL799" t="str">
        <f>MID('paste from garc here'!$C$2,1+(('table for research'!$B799-456)*36+HEX2DEC('table for research'!AL$1))*2,2)</f>
        <v>00</v>
      </c>
      <c r="AM799" t="str">
        <f>MID('paste from garc here'!$C$2,1+(('table for research'!$B799-456)*36+HEX2DEC('table for research'!AM$1))*2,2)</f>
        <v>00</v>
      </c>
      <c r="AN799" t="str">
        <f>MID('paste from garc here'!$C$2,1+(('table for research'!$B799-456)*36+HEX2DEC('table for research'!AN$1))*2,2)</f>
        <v>00</v>
      </c>
      <c r="AO799" t="str">
        <f>MID('paste from garc here'!$C$2,1+(('table for research'!$B799-456)*36+HEX2DEC('table for research'!AO$1))*2,2)</f>
        <v>00</v>
      </c>
    </row>
    <row r="800" spans="1:41" x14ac:dyDescent="0.4">
      <c r="A800" t="s">
        <v>791</v>
      </c>
      <c r="B800">
        <f>B799+1</f>
        <v>798</v>
      </c>
      <c r="C800" t="str">
        <f>MID('paste from garc here'!$C$2,1+(('table for research'!$B800-456)*36+HEX2DEC('table for research'!C$1))*2,2)</f>
        <v>00</v>
      </c>
      <c r="D800" t="str">
        <f>MID('paste from garc here'!$C$2,1+(('table for research'!$B800-456)*36+HEX2DEC('table for research'!D$1))*2,2)</f>
        <v>00</v>
      </c>
      <c r="E800" t="str">
        <f>MID('paste from garc here'!$C$2,1+(('table for research'!$B800-456)*36+HEX2DEC('table for research'!E$1))*2,2)</f>
        <v>00</v>
      </c>
      <c r="F800" t="str">
        <f>MID('paste from garc here'!$C$2,1+(('table for research'!$B800-456)*36+HEX2DEC('table for research'!F$1))*2,2)</f>
        <v>00</v>
      </c>
      <c r="G800" t="str">
        <f>MID('paste from garc here'!$C$2,1+(('table for research'!$B800-456)*36+HEX2DEC('table for research'!G$1))*2,2)</f>
        <v>00</v>
      </c>
      <c r="H800" t="str">
        <f>MID('paste from garc here'!$C$2,1+(('table for research'!$B800-456)*36+HEX2DEC('table for research'!H$1))*2,2)</f>
        <v>00</v>
      </c>
      <c r="I800" t="str">
        <f>MID('paste from garc here'!$C$2,1+(('table for research'!$B800-456)*36+HEX2DEC('table for research'!I$1))*2,2)</f>
        <v>00</v>
      </c>
      <c r="J800" t="str">
        <f>MID('paste from garc here'!$C$2,1+(('table for research'!$B800-456)*36+HEX2DEC('table for research'!J$1))*2,2)</f>
        <v>00</v>
      </c>
      <c r="K800" t="str">
        <f>DEC2HEX(_xlfn.BITAND(HEX2DEC(MID('paste from garc here'!$C$1,1+(('table for research'!$B800-1)*36+HEX2DEC(8))*2,2)),31),2)</f>
        <v>00</v>
      </c>
      <c r="L800" t="str">
        <f>DEC2HEX(_xlfn.BITAND(HEX2DEC(MID('paste from garc here'!$C$1,1+(('table for research'!$B800-1)*36+HEX2DEC(8))*2,2)),32),2)</f>
        <v>00</v>
      </c>
      <c r="M800" t="str">
        <f>DEC2HEX(_xlfn.BITAND(HEX2DEC(MID('paste from garc here'!$C$1,1+(('table for research'!$B800-1)*36+HEX2DEC(8))*2,2)),64),2)</f>
        <v>00</v>
      </c>
      <c r="N800" t="str">
        <f>DEC2HEX(_xlfn.BITRSHIFT(_xlfn.BITAND(HEX2DEC(MID('paste from garc here'!$C$1,1+(('table for research'!$B800-1)*36+HEX2DEC(9))*2,2)&amp;MID('paste from garc here'!$C$1,1+(('table for research'!$B800-1)*36+HEX2DEC(8))*2,2)),1920),7),2)</f>
        <v>00</v>
      </c>
      <c r="O800" t="str">
        <f>DEC2HEX(_xlfn.BITRSHIFT(HEX2DEC(MID('paste from garc here'!$C$1,1+(('table for research'!$B800-1)*36+HEX2DEC(9))*2,2)&amp;MID('paste from garc here'!$C$1,1+(('table for research'!$B800-1)*36+HEX2DEC(8))*2,2)),11),2)</f>
        <v>00</v>
      </c>
      <c r="P800" t="str">
        <f>MID('paste from garc here'!$C$2,1+(('table for research'!$B800-456)*36+HEX2DEC('table for research'!P$1))*2,2)</f>
        <v>00</v>
      </c>
      <c r="Q800" t="str">
        <f>MID('paste from garc here'!$C$2,1+(('table for research'!$B800-456)*36+HEX2DEC('table for research'!Q$1))*2,2)</f>
        <v>00</v>
      </c>
      <c r="R800" t="str">
        <f>MID('paste from garc here'!$C$2,1+(('table for research'!$B800-456)*36+HEX2DEC('table for research'!R$1))*2,2)</f>
        <v>00</v>
      </c>
      <c r="S800" t="str">
        <f>MID('paste from garc here'!$C$2,1+(('table for research'!$B800-456)*36+HEX2DEC('table for research'!S$1))*2,2)</f>
        <v>01</v>
      </c>
      <c r="T800" t="str">
        <f>MID('paste from garc here'!$C$2,1+(('table for research'!$B800-456)*36+HEX2DEC('table for research'!T$1))*2,2)</f>
        <v>00</v>
      </c>
      <c r="U800" t="str">
        <f>MID('paste from garc here'!$C$2,1+(('table for research'!$B800-456)*36+HEX2DEC('table for research'!U$1))*2,2)</f>
        <v>14</v>
      </c>
      <c r="V800" t="str">
        <f>MID('paste from garc here'!$C$2,1+(('table for research'!$B800-456)*36+HEX2DEC('table for research'!V$1))*2,2)</f>
        <v>14</v>
      </c>
      <c r="W800" t="str">
        <f>MID('paste from garc here'!$C$2,1+(('table for research'!$B800-456)*36+HEX2DEC('table for research'!W$1))*2,2)</f>
        <v>00</v>
      </c>
      <c r="X800" t="str">
        <f>MID('paste from garc here'!$C$2,1+(('table for research'!$B800-456)*36+HEX2DEC('table for research'!X$1))*2,2)</f>
        <v>00</v>
      </c>
      <c r="Y800" t="str">
        <f>MID('paste from garc here'!$C$2,1+(('table for research'!$B800-456)*36+HEX2DEC('table for research'!Y$1))*2,2)</f>
        <v>00</v>
      </c>
      <c r="Z800" t="str">
        <f>MID('paste from garc here'!$C$2,1+(('table for research'!$B800-456)*36+HEX2DEC('table for research'!Z$1))*2,2)</f>
        <v>00</v>
      </c>
      <c r="AA800" t="str">
        <f>MID('paste from garc here'!$C$2,1+(('table for research'!$B800-456)*36+HEX2DEC('table for research'!AA$1))*2,2)</f>
        <v>00</v>
      </c>
      <c r="AB800" t="str">
        <f>MID('paste from garc here'!$C$2,1+(('table for research'!$B800-456)*36+HEX2DEC('table for research'!AB$1))*2,2)</f>
        <v>00</v>
      </c>
      <c r="AC800" t="str">
        <f>MID('paste from garc here'!$C$2,1+(('table for research'!$B800-456)*36+HEX2DEC('table for research'!AC$1))*2,2)</f>
        <v>00</v>
      </c>
      <c r="AD800" t="str">
        <f>MID('paste from garc here'!$C$2,1+(('table for research'!$B800-456)*36+HEX2DEC('table for research'!AD$1))*2,2)</f>
        <v>00</v>
      </c>
      <c r="AE800" t="str">
        <f>MID('paste from garc here'!$C$2,1+(('table for research'!$B800-456)*36+HEX2DEC('table for research'!AE$1))*2,2)</f>
        <v>00</v>
      </c>
      <c r="AF800" t="str">
        <f>MID('paste from garc here'!$C$2,1+(('table for research'!$B800-456)*36+HEX2DEC('table for research'!AF$1))*2,2)</f>
        <v>00</v>
      </c>
      <c r="AG800" t="str">
        <f>MID('paste from garc here'!$C$2,1+(('table for research'!$B800-456)*36+HEX2DEC('table for research'!AG$1))*2,2)</f>
        <v>00</v>
      </c>
      <c r="AH800" t="str">
        <f>MID('paste from garc here'!$C$2,1+(('table for research'!$B800-456)*36+HEX2DEC('table for research'!AH$1))*2,2)</f>
        <v>00</v>
      </c>
      <c r="AI800" t="str">
        <f>MID('paste from garc here'!$C$2,1+(('table for research'!$B800-456)*36+HEX2DEC('table for research'!AI$1))*2,2)</f>
        <v>00</v>
      </c>
      <c r="AJ800" t="str">
        <f>MID('paste from garc here'!$C$2,1+(('table for research'!$B800-456)*36+HEX2DEC('table for research'!AJ$1))*2,2)</f>
        <v>00</v>
      </c>
      <c r="AK800" t="str">
        <f>MID('paste from garc here'!$C$2,1+(('table for research'!$B800-456)*36+HEX2DEC('table for research'!AK$1))*2,2)</f>
        <v>00</v>
      </c>
      <c r="AL800" t="str">
        <f>MID('paste from garc here'!$C$2,1+(('table for research'!$B800-456)*36+HEX2DEC('table for research'!AL$1))*2,2)</f>
        <v>00</v>
      </c>
      <c r="AM800" t="str">
        <f>MID('paste from garc here'!$C$2,1+(('table for research'!$B800-456)*36+HEX2DEC('table for research'!AM$1))*2,2)</f>
        <v>00</v>
      </c>
      <c r="AN800" t="str">
        <f>MID('paste from garc here'!$C$2,1+(('table for research'!$B800-456)*36+HEX2DEC('table for research'!AN$1))*2,2)</f>
        <v>00</v>
      </c>
      <c r="AO800" t="str">
        <f>MID('paste from garc here'!$C$2,1+(('table for research'!$B800-456)*36+HEX2DEC('table for research'!AO$1))*2,2)</f>
        <v>00</v>
      </c>
    </row>
    <row r="801" spans="1:41" x14ac:dyDescent="0.4">
      <c r="A801" t="s">
        <v>792</v>
      </c>
      <c r="B801">
        <f>B800+1</f>
        <v>799</v>
      </c>
      <c r="C801" t="str">
        <f>MID('paste from garc here'!$C$2,1+(('table for research'!$B801-456)*36+HEX2DEC('table for research'!C$1))*2,2)</f>
        <v>00</v>
      </c>
      <c r="D801" t="str">
        <f>MID('paste from garc here'!$C$2,1+(('table for research'!$B801-456)*36+HEX2DEC('table for research'!D$1))*2,2)</f>
        <v>00</v>
      </c>
      <c r="E801" t="str">
        <f>MID('paste from garc here'!$C$2,1+(('table for research'!$B801-456)*36+HEX2DEC('table for research'!E$1))*2,2)</f>
        <v>00</v>
      </c>
      <c r="F801" t="str">
        <f>MID('paste from garc here'!$C$2,1+(('table for research'!$B801-456)*36+HEX2DEC('table for research'!F$1))*2,2)</f>
        <v>00</v>
      </c>
      <c r="G801" t="str">
        <f>MID('paste from garc here'!$C$2,1+(('table for research'!$B801-456)*36+HEX2DEC('table for research'!G$1))*2,2)</f>
        <v>00</v>
      </c>
      <c r="H801" t="str">
        <f>MID('paste from garc here'!$C$2,1+(('table for research'!$B801-456)*36+HEX2DEC('table for research'!H$1))*2,2)</f>
        <v>00</v>
      </c>
      <c r="I801" t="str">
        <f>MID('paste from garc here'!$C$2,1+(('table for research'!$B801-456)*36+HEX2DEC('table for research'!I$1))*2,2)</f>
        <v>00</v>
      </c>
      <c r="J801" t="str">
        <f>MID('paste from garc here'!$C$2,1+(('table for research'!$B801-456)*36+HEX2DEC('table for research'!J$1))*2,2)</f>
        <v>00</v>
      </c>
      <c r="K801" t="str">
        <f>DEC2HEX(_xlfn.BITAND(HEX2DEC(MID('paste from garc here'!$C$1,1+(('table for research'!$B801-1)*36+HEX2DEC(8))*2,2)),31),2)</f>
        <v>00</v>
      </c>
      <c r="L801" t="str">
        <f>DEC2HEX(_xlfn.BITAND(HEX2DEC(MID('paste from garc here'!$C$1,1+(('table for research'!$B801-1)*36+HEX2DEC(8))*2,2)),32),2)</f>
        <v>00</v>
      </c>
      <c r="M801" t="str">
        <f>DEC2HEX(_xlfn.BITAND(HEX2DEC(MID('paste from garc here'!$C$1,1+(('table for research'!$B801-1)*36+HEX2DEC(8))*2,2)),64),2)</f>
        <v>00</v>
      </c>
      <c r="N801" t="str">
        <f>DEC2HEX(_xlfn.BITRSHIFT(_xlfn.BITAND(HEX2DEC(MID('paste from garc here'!$C$1,1+(('table for research'!$B801-1)*36+HEX2DEC(9))*2,2)&amp;MID('paste from garc here'!$C$1,1+(('table for research'!$B801-1)*36+HEX2DEC(8))*2,2)),1920),7),2)</f>
        <v>00</v>
      </c>
      <c r="O801" t="str">
        <f>DEC2HEX(_xlfn.BITRSHIFT(HEX2DEC(MID('paste from garc here'!$C$1,1+(('table for research'!$B801-1)*36+HEX2DEC(9))*2,2)&amp;MID('paste from garc here'!$C$1,1+(('table for research'!$B801-1)*36+HEX2DEC(8))*2,2)),11),2)</f>
        <v>00</v>
      </c>
      <c r="P801" t="str">
        <f>MID('paste from garc here'!$C$2,1+(('table for research'!$B801-456)*36+HEX2DEC('table for research'!P$1))*2,2)</f>
        <v>00</v>
      </c>
      <c r="Q801" t="str">
        <f>MID('paste from garc here'!$C$2,1+(('table for research'!$B801-456)*36+HEX2DEC('table for research'!Q$1))*2,2)</f>
        <v>00</v>
      </c>
      <c r="R801" t="str">
        <f>MID('paste from garc here'!$C$2,1+(('table for research'!$B801-456)*36+HEX2DEC('table for research'!R$1))*2,2)</f>
        <v>00</v>
      </c>
      <c r="S801" t="str">
        <f>MID('paste from garc here'!$C$2,1+(('table for research'!$B801-456)*36+HEX2DEC('table for research'!S$1))*2,2)</f>
        <v>01</v>
      </c>
      <c r="T801" t="str">
        <f>MID('paste from garc here'!$C$2,1+(('table for research'!$B801-456)*36+HEX2DEC('table for research'!T$1))*2,2)</f>
        <v>00</v>
      </c>
      <c r="U801" t="str">
        <f>MID('paste from garc here'!$C$2,1+(('table for research'!$B801-456)*36+HEX2DEC('table for research'!U$1))*2,2)</f>
        <v>15</v>
      </c>
      <c r="V801" t="str">
        <f>MID('paste from garc here'!$C$2,1+(('table for research'!$B801-456)*36+HEX2DEC('table for research'!V$1))*2,2)</f>
        <v>15</v>
      </c>
      <c r="W801" t="str">
        <f>MID('paste from garc here'!$C$2,1+(('table for research'!$B801-456)*36+HEX2DEC('table for research'!W$1))*2,2)</f>
        <v>00</v>
      </c>
      <c r="X801" t="str">
        <f>MID('paste from garc here'!$C$2,1+(('table for research'!$B801-456)*36+HEX2DEC('table for research'!X$1))*2,2)</f>
        <v>00</v>
      </c>
      <c r="Y801" t="str">
        <f>MID('paste from garc here'!$C$2,1+(('table for research'!$B801-456)*36+HEX2DEC('table for research'!Y$1))*2,2)</f>
        <v>00</v>
      </c>
      <c r="Z801" t="str">
        <f>MID('paste from garc here'!$C$2,1+(('table for research'!$B801-456)*36+HEX2DEC('table for research'!Z$1))*2,2)</f>
        <v>00</v>
      </c>
      <c r="AA801" t="str">
        <f>MID('paste from garc here'!$C$2,1+(('table for research'!$B801-456)*36+HEX2DEC('table for research'!AA$1))*2,2)</f>
        <v>00</v>
      </c>
      <c r="AB801" t="str">
        <f>MID('paste from garc here'!$C$2,1+(('table for research'!$B801-456)*36+HEX2DEC('table for research'!AB$1))*2,2)</f>
        <v>00</v>
      </c>
      <c r="AC801" t="str">
        <f>MID('paste from garc here'!$C$2,1+(('table for research'!$B801-456)*36+HEX2DEC('table for research'!AC$1))*2,2)</f>
        <v>00</v>
      </c>
      <c r="AD801" t="str">
        <f>MID('paste from garc here'!$C$2,1+(('table for research'!$B801-456)*36+HEX2DEC('table for research'!AD$1))*2,2)</f>
        <v>00</v>
      </c>
      <c r="AE801" t="str">
        <f>MID('paste from garc here'!$C$2,1+(('table for research'!$B801-456)*36+HEX2DEC('table for research'!AE$1))*2,2)</f>
        <v>00</v>
      </c>
      <c r="AF801" t="str">
        <f>MID('paste from garc here'!$C$2,1+(('table for research'!$B801-456)*36+HEX2DEC('table for research'!AF$1))*2,2)</f>
        <v>00</v>
      </c>
      <c r="AG801" t="str">
        <f>MID('paste from garc here'!$C$2,1+(('table for research'!$B801-456)*36+HEX2DEC('table for research'!AG$1))*2,2)</f>
        <v>00</v>
      </c>
      <c r="AH801" t="str">
        <f>MID('paste from garc here'!$C$2,1+(('table for research'!$B801-456)*36+HEX2DEC('table for research'!AH$1))*2,2)</f>
        <v>00</v>
      </c>
      <c r="AI801" t="str">
        <f>MID('paste from garc here'!$C$2,1+(('table for research'!$B801-456)*36+HEX2DEC('table for research'!AI$1))*2,2)</f>
        <v>00</v>
      </c>
      <c r="AJ801" t="str">
        <f>MID('paste from garc here'!$C$2,1+(('table for research'!$B801-456)*36+HEX2DEC('table for research'!AJ$1))*2,2)</f>
        <v>00</v>
      </c>
      <c r="AK801" t="str">
        <f>MID('paste from garc here'!$C$2,1+(('table for research'!$B801-456)*36+HEX2DEC('table for research'!AK$1))*2,2)</f>
        <v>00</v>
      </c>
      <c r="AL801" t="str">
        <f>MID('paste from garc here'!$C$2,1+(('table for research'!$B801-456)*36+HEX2DEC('table for research'!AL$1))*2,2)</f>
        <v>00</v>
      </c>
      <c r="AM801" t="str">
        <f>MID('paste from garc here'!$C$2,1+(('table for research'!$B801-456)*36+HEX2DEC('table for research'!AM$1))*2,2)</f>
        <v>00</v>
      </c>
      <c r="AN801" t="str">
        <f>MID('paste from garc here'!$C$2,1+(('table for research'!$B801-456)*36+HEX2DEC('table for research'!AN$1))*2,2)</f>
        <v>00</v>
      </c>
      <c r="AO801" t="str">
        <f>MID('paste from garc here'!$C$2,1+(('table for research'!$B801-456)*36+HEX2DEC('table for research'!AO$1))*2,2)</f>
        <v>00</v>
      </c>
    </row>
    <row r="802" spans="1:41" x14ac:dyDescent="0.4">
      <c r="A802" t="s">
        <v>793</v>
      </c>
      <c r="B802">
        <f>B801+1</f>
        <v>800</v>
      </c>
      <c r="C802" t="str">
        <f>MID('paste from garc here'!$C$2,1+(('table for research'!$B802-456)*36+HEX2DEC('table for research'!C$1))*2,2)</f>
        <v>00</v>
      </c>
      <c r="D802" t="str">
        <f>MID('paste from garc here'!$C$2,1+(('table for research'!$B802-456)*36+HEX2DEC('table for research'!D$1))*2,2)</f>
        <v>00</v>
      </c>
      <c r="E802" t="str">
        <f>MID('paste from garc here'!$C$2,1+(('table for research'!$B802-456)*36+HEX2DEC('table for research'!E$1))*2,2)</f>
        <v>00</v>
      </c>
      <c r="F802" t="str">
        <f>MID('paste from garc here'!$C$2,1+(('table for research'!$B802-456)*36+HEX2DEC('table for research'!F$1))*2,2)</f>
        <v>00</v>
      </c>
      <c r="G802" t="str">
        <f>MID('paste from garc here'!$C$2,1+(('table for research'!$B802-456)*36+HEX2DEC('table for research'!G$1))*2,2)</f>
        <v>00</v>
      </c>
      <c r="H802" t="str">
        <f>MID('paste from garc here'!$C$2,1+(('table for research'!$B802-456)*36+HEX2DEC('table for research'!H$1))*2,2)</f>
        <v>00</v>
      </c>
      <c r="I802" t="str">
        <f>MID('paste from garc here'!$C$2,1+(('table for research'!$B802-456)*36+HEX2DEC('table for research'!I$1))*2,2)</f>
        <v>00</v>
      </c>
      <c r="J802" t="str">
        <f>MID('paste from garc here'!$C$2,1+(('table for research'!$B802-456)*36+HEX2DEC('table for research'!J$1))*2,2)</f>
        <v>00</v>
      </c>
      <c r="K802" t="str">
        <f>DEC2HEX(_xlfn.BITAND(HEX2DEC(MID('paste from garc here'!$C$1,1+(('table for research'!$B802-1)*36+HEX2DEC(8))*2,2)),31),2)</f>
        <v>00</v>
      </c>
      <c r="L802" t="str">
        <f>DEC2HEX(_xlfn.BITAND(HEX2DEC(MID('paste from garc here'!$C$1,1+(('table for research'!$B802-1)*36+HEX2DEC(8))*2,2)),32),2)</f>
        <v>00</v>
      </c>
      <c r="M802" t="str">
        <f>DEC2HEX(_xlfn.BITAND(HEX2DEC(MID('paste from garc here'!$C$1,1+(('table for research'!$B802-1)*36+HEX2DEC(8))*2,2)),64),2)</f>
        <v>00</v>
      </c>
      <c r="N802" t="str">
        <f>DEC2HEX(_xlfn.BITRSHIFT(_xlfn.BITAND(HEX2DEC(MID('paste from garc here'!$C$1,1+(('table for research'!$B802-1)*36+HEX2DEC(9))*2,2)&amp;MID('paste from garc here'!$C$1,1+(('table for research'!$B802-1)*36+HEX2DEC(8))*2,2)),1920),7),2)</f>
        <v>00</v>
      </c>
      <c r="O802" t="str">
        <f>DEC2HEX(_xlfn.BITRSHIFT(HEX2DEC(MID('paste from garc here'!$C$1,1+(('table for research'!$B802-1)*36+HEX2DEC(9))*2,2)&amp;MID('paste from garc here'!$C$1,1+(('table for research'!$B802-1)*36+HEX2DEC(8))*2,2)),11),2)</f>
        <v>00</v>
      </c>
      <c r="P802" t="str">
        <f>MID('paste from garc here'!$C$2,1+(('table for research'!$B802-456)*36+HEX2DEC('table for research'!P$1))*2,2)</f>
        <v>00</v>
      </c>
      <c r="Q802" t="str">
        <f>MID('paste from garc here'!$C$2,1+(('table for research'!$B802-456)*36+HEX2DEC('table for research'!Q$1))*2,2)</f>
        <v>00</v>
      </c>
      <c r="R802" t="str">
        <f>MID('paste from garc here'!$C$2,1+(('table for research'!$B802-456)*36+HEX2DEC('table for research'!R$1))*2,2)</f>
        <v>00</v>
      </c>
      <c r="S802" t="str">
        <f>MID('paste from garc here'!$C$2,1+(('table for research'!$B802-456)*36+HEX2DEC('table for research'!S$1))*2,2)</f>
        <v>01</v>
      </c>
      <c r="T802" t="str">
        <f>MID('paste from garc here'!$C$2,1+(('table for research'!$B802-456)*36+HEX2DEC('table for research'!T$1))*2,2)</f>
        <v>00</v>
      </c>
      <c r="U802" t="str">
        <f>MID('paste from garc here'!$C$2,1+(('table for research'!$B802-456)*36+HEX2DEC('table for research'!U$1))*2,2)</f>
        <v>16</v>
      </c>
      <c r="V802" t="str">
        <f>MID('paste from garc here'!$C$2,1+(('table for research'!$B802-456)*36+HEX2DEC('table for research'!V$1))*2,2)</f>
        <v>16</v>
      </c>
      <c r="W802" t="str">
        <f>MID('paste from garc here'!$C$2,1+(('table for research'!$B802-456)*36+HEX2DEC('table for research'!W$1))*2,2)</f>
        <v>00</v>
      </c>
      <c r="X802" t="str">
        <f>MID('paste from garc here'!$C$2,1+(('table for research'!$B802-456)*36+HEX2DEC('table for research'!X$1))*2,2)</f>
        <v>00</v>
      </c>
      <c r="Y802" t="str">
        <f>MID('paste from garc here'!$C$2,1+(('table for research'!$B802-456)*36+HEX2DEC('table for research'!Y$1))*2,2)</f>
        <v>00</v>
      </c>
      <c r="Z802" t="str">
        <f>MID('paste from garc here'!$C$2,1+(('table for research'!$B802-456)*36+HEX2DEC('table for research'!Z$1))*2,2)</f>
        <v>00</v>
      </c>
      <c r="AA802" t="str">
        <f>MID('paste from garc here'!$C$2,1+(('table for research'!$B802-456)*36+HEX2DEC('table for research'!AA$1))*2,2)</f>
        <v>00</v>
      </c>
      <c r="AB802" t="str">
        <f>MID('paste from garc here'!$C$2,1+(('table for research'!$B802-456)*36+HEX2DEC('table for research'!AB$1))*2,2)</f>
        <v>00</v>
      </c>
      <c r="AC802" t="str">
        <f>MID('paste from garc here'!$C$2,1+(('table for research'!$B802-456)*36+HEX2DEC('table for research'!AC$1))*2,2)</f>
        <v>00</v>
      </c>
      <c r="AD802" t="str">
        <f>MID('paste from garc here'!$C$2,1+(('table for research'!$B802-456)*36+HEX2DEC('table for research'!AD$1))*2,2)</f>
        <v>00</v>
      </c>
      <c r="AE802" t="str">
        <f>MID('paste from garc here'!$C$2,1+(('table for research'!$B802-456)*36+HEX2DEC('table for research'!AE$1))*2,2)</f>
        <v>00</v>
      </c>
      <c r="AF802" t="str">
        <f>MID('paste from garc here'!$C$2,1+(('table for research'!$B802-456)*36+HEX2DEC('table for research'!AF$1))*2,2)</f>
        <v>00</v>
      </c>
      <c r="AG802" t="str">
        <f>MID('paste from garc here'!$C$2,1+(('table for research'!$B802-456)*36+HEX2DEC('table for research'!AG$1))*2,2)</f>
        <v>00</v>
      </c>
      <c r="AH802" t="str">
        <f>MID('paste from garc here'!$C$2,1+(('table for research'!$B802-456)*36+HEX2DEC('table for research'!AH$1))*2,2)</f>
        <v>00</v>
      </c>
      <c r="AI802" t="str">
        <f>MID('paste from garc here'!$C$2,1+(('table for research'!$B802-456)*36+HEX2DEC('table for research'!AI$1))*2,2)</f>
        <v>00</v>
      </c>
      <c r="AJ802" t="str">
        <f>MID('paste from garc here'!$C$2,1+(('table for research'!$B802-456)*36+HEX2DEC('table for research'!AJ$1))*2,2)</f>
        <v>00</v>
      </c>
      <c r="AK802" t="str">
        <f>MID('paste from garc here'!$C$2,1+(('table for research'!$B802-456)*36+HEX2DEC('table for research'!AK$1))*2,2)</f>
        <v>00</v>
      </c>
      <c r="AL802" t="str">
        <f>MID('paste from garc here'!$C$2,1+(('table for research'!$B802-456)*36+HEX2DEC('table for research'!AL$1))*2,2)</f>
        <v>00</v>
      </c>
      <c r="AM802" t="str">
        <f>MID('paste from garc here'!$C$2,1+(('table for research'!$B802-456)*36+HEX2DEC('table for research'!AM$1))*2,2)</f>
        <v>00</v>
      </c>
      <c r="AN802" t="str">
        <f>MID('paste from garc here'!$C$2,1+(('table for research'!$B802-456)*36+HEX2DEC('table for research'!AN$1))*2,2)</f>
        <v>00</v>
      </c>
      <c r="AO802" t="str">
        <f>MID('paste from garc here'!$C$2,1+(('table for research'!$B802-456)*36+HEX2DEC('table for research'!AO$1))*2,2)</f>
        <v>00</v>
      </c>
    </row>
    <row r="803" spans="1:41" x14ac:dyDescent="0.4">
      <c r="A803" t="s">
        <v>794</v>
      </c>
      <c r="B803">
        <f>B802+1</f>
        <v>801</v>
      </c>
      <c r="C803" t="str">
        <f>MID('paste from garc here'!$C$2,1+(('table for research'!$B803-456)*36+HEX2DEC('table for research'!C$1))*2,2)</f>
        <v>00</v>
      </c>
      <c r="D803" t="str">
        <f>MID('paste from garc here'!$C$2,1+(('table for research'!$B803-456)*36+HEX2DEC('table for research'!D$1))*2,2)</f>
        <v>00</v>
      </c>
      <c r="E803" t="str">
        <f>MID('paste from garc here'!$C$2,1+(('table for research'!$B803-456)*36+HEX2DEC('table for research'!E$1))*2,2)</f>
        <v>00</v>
      </c>
      <c r="F803" t="str">
        <f>MID('paste from garc here'!$C$2,1+(('table for research'!$B803-456)*36+HEX2DEC('table for research'!F$1))*2,2)</f>
        <v>00</v>
      </c>
      <c r="G803" t="str">
        <f>MID('paste from garc here'!$C$2,1+(('table for research'!$B803-456)*36+HEX2DEC('table for research'!G$1))*2,2)</f>
        <v>00</v>
      </c>
      <c r="H803" t="str">
        <f>MID('paste from garc here'!$C$2,1+(('table for research'!$B803-456)*36+HEX2DEC('table for research'!H$1))*2,2)</f>
        <v>00</v>
      </c>
      <c r="I803" t="str">
        <f>MID('paste from garc here'!$C$2,1+(('table for research'!$B803-456)*36+HEX2DEC('table for research'!I$1))*2,2)</f>
        <v>00</v>
      </c>
      <c r="J803" t="str">
        <f>MID('paste from garc here'!$C$2,1+(('table for research'!$B803-456)*36+HEX2DEC('table for research'!J$1))*2,2)</f>
        <v>00</v>
      </c>
      <c r="K803" t="str">
        <f>DEC2HEX(_xlfn.BITAND(HEX2DEC(MID('paste from garc here'!$C$1,1+(('table for research'!$B803-1)*36+HEX2DEC(8))*2,2)),31),2)</f>
        <v>00</v>
      </c>
      <c r="L803" t="str">
        <f>DEC2HEX(_xlfn.BITAND(HEX2DEC(MID('paste from garc here'!$C$1,1+(('table for research'!$B803-1)*36+HEX2DEC(8))*2,2)),32),2)</f>
        <v>00</v>
      </c>
      <c r="M803" t="str">
        <f>DEC2HEX(_xlfn.BITAND(HEX2DEC(MID('paste from garc here'!$C$1,1+(('table for research'!$B803-1)*36+HEX2DEC(8))*2,2)),64),2)</f>
        <v>00</v>
      </c>
      <c r="N803" t="str">
        <f>DEC2HEX(_xlfn.BITRSHIFT(_xlfn.BITAND(HEX2DEC(MID('paste from garc here'!$C$1,1+(('table for research'!$B803-1)*36+HEX2DEC(9))*2,2)&amp;MID('paste from garc here'!$C$1,1+(('table for research'!$B803-1)*36+HEX2DEC(8))*2,2)),1920),7),2)</f>
        <v>00</v>
      </c>
      <c r="O803" t="str">
        <f>DEC2HEX(_xlfn.BITRSHIFT(HEX2DEC(MID('paste from garc here'!$C$1,1+(('table for research'!$B803-1)*36+HEX2DEC(9))*2,2)&amp;MID('paste from garc here'!$C$1,1+(('table for research'!$B803-1)*36+HEX2DEC(8))*2,2)),11),2)</f>
        <v>00</v>
      </c>
      <c r="P803" t="str">
        <f>MID('paste from garc here'!$C$2,1+(('table for research'!$B803-456)*36+HEX2DEC('table for research'!P$1))*2,2)</f>
        <v>00</v>
      </c>
      <c r="Q803" t="str">
        <f>MID('paste from garc here'!$C$2,1+(('table for research'!$B803-456)*36+HEX2DEC('table for research'!Q$1))*2,2)</f>
        <v>00</v>
      </c>
      <c r="R803" t="str">
        <f>MID('paste from garc here'!$C$2,1+(('table for research'!$B803-456)*36+HEX2DEC('table for research'!R$1))*2,2)</f>
        <v>00</v>
      </c>
      <c r="S803" t="str">
        <f>MID('paste from garc here'!$C$2,1+(('table for research'!$B803-456)*36+HEX2DEC('table for research'!S$1))*2,2)</f>
        <v>01</v>
      </c>
      <c r="T803" t="str">
        <f>MID('paste from garc here'!$C$2,1+(('table for research'!$B803-456)*36+HEX2DEC('table for research'!T$1))*2,2)</f>
        <v>00</v>
      </c>
      <c r="U803" t="str">
        <f>MID('paste from garc here'!$C$2,1+(('table for research'!$B803-456)*36+HEX2DEC('table for research'!U$1))*2,2)</f>
        <v>17</v>
      </c>
      <c r="V803" t="str">
        <f>MID('paste from garc here'!$C$2,1+(('table for research'!$B803-456)*36+HEX2DEC('table for research'!V$1))*2,2)</f>
        <v>17</v>
      </c>
      <c r="W803" t="str">
        <f>MID('paste from garc here'!$C$2,1+(('table for research'!$B803-456)*36+HEX2DEC('table for research'!W$1))*2,2)</f>
        <v>00</v>
      </c>
      <c r="X803" t="str">
        <f>MID('paste from garc here'!$C$2,1+(('table for research'!$B803-456)*36+HEX2DEC('table for research'!X$1))*2,2)</f>
        <v>00</v>
      </c>
      <c r="Y803" t="str">
        <f>MID('paste from garc here'!$C$2,1+(('table for research'!$B803-456)*36+HEX2DEC('table for research'!Y$1))*2,2)</f>
        <v>00</v>
      </c>
      <c r="Z803" t="str">
        <f>MID('paste from garc here'!$C$2,1+(('table for research'!$B803-456)*36+HEX2DEC('table for research'!Z$1))*2,2)</f>
        <v>00</v>
      </c>
      <c r="AA803" t="str">
        <f>MID('paste from garc here'!$C$2,1+(('table for research'!$B803-456)*36+HEX2DEC('table for research'!AA$1))*2,2)</f>
        <v>00</v>
      </c>
      <c r="AB803" t="str">
        <f>MID('paste from garc here'!$C$2,1+(('table for research'!$B803-456)*36+HEX2DEC('table for research'!AB$1))*2,2)</f>
        <v>00</v>
      </c>
      <c r="AC803" t="str">
        <f>MID('paste from garc here'!$C$2,1+(('table for research'!$B803-456)*36+HEX2DEC('table for research'!AC$1))*2,2)</f>
        <v>00</v>
      </c>
      <c r="AD803" t="str">
        <f>MID('paste from garc here'!$C$2,1+(('table for research'!$B803-456)*36+HEX2DEC('table for research'!AD$1))*2,2)</f>
        <v>00</v>
      </c>
      <c r="AE803" t="str">
        <f>MID('paste from garc here'!$C$2,1+(('table for research'!$B803-456)*36+HEX2DEC('table for research'!AE$1))*2,2)</f>
        <v>00</v>
      </c>
      <c r="AF803" t="str">
        <f>MID('paste from garc here'!$C$2,1+(('table for research'!$B803-456)*36+HEX2DEC('table for research'!AF$1))*2,2)</f>
        <v>00</v>
      </c>
      <c r="AG803" t="str">
        <f>MID('paste from garc here'!$C$2,1+(('table for research'!$B803-456)*36+HEX2DEC('table for research'!AG$1))*2,2)</f>
        <v>00</v>
      </c>
      <c r="AH803" t="str">
        <f>MID('paste from garc here'!$C$2,1+(('table for research'!$B803-456)*36+HEX2DEC('table for research'!AH$1))*2,2)</f>
        <v>00</v>
      </c>
      <c r="AI803" t="str">
        <f>MID('paste from garc here'!$C$2,1+(('table for research'!$B803-456)*36+HEX2DEC('table for research'!AI$1))*2,2)</f>
        <v>00</v>
      </c>
      <c r="AJ803" t="str">
        <f>MID('paste from garc here'!$C$2,1+(('table for research'!$B803-456)*36+HEX2DEC('table for research'!AJ$1))*2,2)</f>
        <v>00</v>
      </c>
      <c r="AK803" t="str">
        <f>MID('paste from garc here'!$C$2,1+(('table for research'!$B803-456)*36+HEX2DEC('table for research'!AK$1))*2,2)</f>
        <v>00</v>
      </c>
      <c r="AL803" t="str">
        <f>MID('paste from garc here'!$C$2,1+(('table for research'!$B803-456)*36+HEX2DEC('table for research'!AL$1))*2,2)</f>
        <v>00</v>
      </c>
      <c r="AM803" t="str">
        <f>MID('paste from garc here'!$C$2,1+(('table for research'!$B803-456)*36+HEX2DEC('table for research'!AM$1))*2,2)</f>
        <v>00</v>
      </c>
      <c r="AN803" t="str">
        <f>MID('paste from garc here'!$C$2,1+(('table for research'!$B803-456)*36+HEX2DEC('table for research'!AN$1))*2,2)</f>
        <v>00</v>
      </c>
      <c r="AO803" t="str">
        <f>MID('paste from garc here'!$C$2,1+(('table for research'!$B803-456)*36+HEX2DEC('table for research'!AO$1))*2,2)</f>
        <v>00</v>
      </c>
    </row>
    <row r="804" spans="1:41" x14ac:dyDescent="0.4">
      <c r="A804" t="s">
        <v>795</v>
      </c>
      <c r="B804">
        <f>B803+1</f>
        <v>802</v>
      </c>
      <c r="C804" t="str">
        <f>MID('paste from garc here'!$C$2,1+(('table for research'!$B804-456)*36+HEX2DEC('table for research'!C$1))*2,2)</f>
        <v>00</v>
      </c>
      <c r="D804" t="str">
        <f>MID('paste from garc here'!$C$2,1+(('table for research'!$B804-456)*36+HEX2DEC('table for research'!D$1))*2,2)</f>
        <v>00</v>
      </c>
      <c r="E804" t="str">
        <f>MID('paste from garc here'!$C$2,1+(('table for research'!$B804-456)*36+HEX2DEC('table for research'!E$1))*2,2)</f>
        <v>00</v>
      </c>
      <c r="F804" t="str">
        <f>MID('paste from garc here'!$C$2,1+(('table for research'!$B804-456)*36+HEX2DEC('table for research'!F$1))*2,2)</f>
        <v>00</v>
      </c>
      <c r="G804" t="str">
        <f>MID('paste from garc here'!$C$2,1+(('table for research'!$B804-456)*36+HEX2DEC('table for research'!G$1))*2,2)</f>
        <v>00</v>
      </c>
      <c r="H804" t="str">
        <f>MID('paste from garc here'!$C$2,1+(('table for research'!$B804-456)*36+HEX2DEC('table for research'!H$1))*2,2)</f>
        <v>00</v>
      </c>
      <c r="I804" t="str">
        <f>MID('paste from garc here'!$C$2,1+(('table for research'!$B804-456)*36+HEX2DEC('table for research'!I$1))*2,2)</f>
        <v>00</v>
      </c>
      <c r="J804" t="str">
        <f>MID('paste from garc here'!$C$2,1+(('table for research'!$B804-456)*36+HEX2DEC('table for research'!J$1))*2,2)</f>
        <v>00</v>
      </c>
      <c r="K804" t="str">
        <f>DEC2HEX(_xlfn.BITAND(HEX2DEC(MID('paste from garc here'!$C$1,1+(('table for research'!$B804-1)*36+HEX2DEC(8))*2,2)),31),2)</f>
        <v>00</v>
      </c>
      <c r="L804" t="str">
        <f>DEC2HEX(_xlfn.BITAND(HEX2DEC(MID('paste from garc here'!$C$1,1+(('table for research'!$B804-1)*36+HEX2DEC(8))*2,2)),32),2)</f>
        <v>00</v>
      </c>
      <c r="M804" t="str">
        <f>DEC2HEX(_xlfn.BITAND(HEX2DEC(MID('paste from garc here'!$C$1,1+(('table for research'!$B804-1)*36+HEX2DEC(8))*2,2)),64),2)</f>
        <v>00</v>
      </c>
      <c r="N804" t="str">
        <f>DEC2HEX(_xlfn.BITRSHIFT(_xlfn.BITAND(HEX2DEC(MID('paste from garc here'!$C$1,1+(('table for research'!$B804-1)*36+HEX2DEC(9))*2,2)&amp;MID('paste from garc here'!$C$1,1+(('table for research'!$B804-1)*36+HEX2DEC(8))*2,2)),1920),7),2)</f>
        <v>00</v>
      </c>
      <c r="O804" t="str">
        <f>DEC2HEX(_xlfn.BITRSHIFT(HEX2DEC(MID('paste from garc here'!$C$1,1+(('table for research'!$B804-1)*36+HEX2DEC(9))*2,2)&amp;MID('paste from garc here'!$C$1,1+(('table for research'!$B804-1)*36+HEX2DEC(8))*2,2)),11),2)</f>
        <v>00</v>
      </c>
      <c r="P804" t="str">
        <f>MID('paste from garc here'!$C$2,1+(('table for research'!$B804-456)*36+HEX2DEC('table for research'!P$1))*2,2)</f>
        <v>00</v>
      </c>
      <c r="Q804" t="str">
        <f>MID('paste from garc here'!$C$2,1+(('table for research'!$B804-456)*36+HEX2DEC('table for research'!Q$1))*2,2)</f>
        <v>00</v>
      </c>
      <c r="R804" t="str">
        <f>MID('paste from garc here'!$C$2,1+(('table for research'!$B804-456)*36+HEX2DEC('table for research'!R$1))*2,2)</f>
        <v>00</v>
      </c>
      <c r="S804" t="str">
        <f>MID('paste from garc here'!$C$2,1+(('table for research'!$B804-456)*36+HEX2DEC('table for research'!S$1))*2,2)</f>
        <v>01</v>
      </c>
      <c r="T804" t="str">
        <f>MID('paste from garc here'!$C$2,1+(('table for research'!$B804-456)*36+HEX2DEC('table for research'!T$1))*2,2)</f>
        <v>00</v>
      </c>
      <c r="U804" t="str">
        <f>MID('paste from garc here'!$C$2,1+(('table for research'!$B804-456)*36+HEX2DEC('table for research'!U$1))*2,2)</f>
        <v>18</v>
      </c>
      <c r="V804" t="str">
        <f>MID('paste from garc here'!$C$2,1+(('table for research'!$B804-456)*36+HEX2DEC('table for research'!V$1))*2,2)</f>
        <v>18</v>
      </c>
      <c r="W804" t="str">
        <f>MID('paste from garc here'!$C$2,1+(('table for research'!$B804-456)*36+HEX2DEC('table for research'!W$1))*2,2)</f>
        <v>00</v>
      </c>
      <c r="X804" t="str">
        <f>MID('paste from garc here'!$C$2,1+(('table for research'!$B804-456)*36+HEX2DEC('table for research'!X$1))*2,2)</f>
        <v>00</v>
      </c>
      <c r="Y804" t="str">
        <f>MID('paste from garc here'!$C$2,1+(('table for research'!$B804-456)*36+HEX2DEC('table for research'!Y$1))*2,2)</f>
        <v>00</v>
      </c>
      <c r="Z804" t="str">
        <f>MID('paste from garc here'!$C$2,1+(('table for research'!$B804-456)*36+HEX2DEC('table for research'!Z$1))*2,2)</f>
        <v>00</v>
      </c>
      <c r="AA804" t="str">
        <f>MID('paste from garc here'!$C$2,1+(('table for research'!$B804-456)*36+HEX2DEC('table for research'!AA$1))*2,2)</f>
        <v>00</v>
      </c>
      <c r="AB804" t="str">
        <f>MID('paste from garc here'!$C$2,1+(('table for research'!$B804-456)*36+HEX2DEC('table for research'!AB$1))*2,2)</f>
        <v>00</v>
      </c>
      <c r="AC804" t="str">
        <f>MID('paste from garc here'!$C$2,1+(('table for research'!$B804-456)*36+HEX2DEC('table for research'!AC$1))*2,2)</f>
        <v>00</v>
      </c>
      <c r="AD804" t="str">
        <f>MID('paste from garc here'!$C$2,1+(('table for research'!$B804-456)*36+HEX2DEC('table for research'!AD$1))*2,2)</f>
        <v>00</v>
      </c>
      <c r="AE804" t="str">
        <f>MID('paste from garc here'!$C$2,1+(('table for research'!$B804-456)*36+HEX2DEC('table for research'!AE$1))*2,2)</f>
        <v>00</v>
      </c>
      <c r="AF804" t="str">
        <f>MID('paste from garc here'!$C$2,1+(('table for research'!$B804-456)*36+HEX2DEC('table for research'!AF$1))*2,2)</f>
        <v>00</v>
      </c>
      <c r="AG804" t="str">
        <f>MID('paste from garc here'!$C$2,1+(('table for research'!$B804-456)*36+HEX2DEC('table for research'!AG$1))*2,2)</f>
        <v>00</v>
      </c>
      <c r="AH804" t="str">
        <f>MID('paste from garc here'!$C$2,1+(('table for research'!$B804-456)*36+HEX2DEC('table for research'!AH$1))*2,2)</f>
        <v>00</v>
      </c>
      <c r="AI804" t="str">
        <f>MID('paste from garc here'!$C$2,1+(('table for research'!$B804-456)*36+HEX2DEC('table for research'!AI$1))*2,2)</f>
        <v>00</v>
      </c>
      <c r="AJ804" t="str">
        <f>MID('paste from garc here'!$C$2,1+(('table for research'!$B804-456)*36+HEX2DEC('table for research'!AJ$1))*2,2)</f>
        <v>00</v>
      </c>
      <c r="AK804" t="str">
        <f>MID('paste from garc here'!$C$2,1+(('table for research'!$B804-456)*36+HEX2DEC('table for research'!AK$1))*2,2)</f>
        <v>00</v>
      </c>
      <c r="AL804" t="str">
        <f>MID('paste from garc here'!$C$2,1+(('table for research'!$B804-456)*36+HEX2DEC('table for research'!AL$1))*2,2)</f>
        <v>00</v>
      </c>
      <c r="AM804" t="str">
        <f>MID('paste from garc here'!$C$2,1+(('table for research'!$B804-456)*36+HEX2DEC('table for research'!AM$1))*2,2)</f>
        <v>00</v>
      </c>
      <c r="AN804" t="str">
        <f>MID('paste from garc here'!$C$2,1+(('table for research'!$B804-456)*36+HEX2DEC('table for research'!AN$1))*2,2)</f>
        <v>00</v>
      </c>
      <c r="AO804" t="str">
        <f>MID('paste from garc here'!$C$2,1+(('table for research'!$B804-456)*36+HEX2DEC('table for research'!AO$1))*2,2)</f>
        <v>00</v>
      </c>
    </row>
    <row r="805" spans="1:41" x14ac:dyDescent="0.4">
      <c r="A805" t="s">
        <v>796</v>
      </c>
      <c r="B805">
        <f>B804+1</f>
        <v>803</v>
      </c>
      <c r="C805" t="str">
        <f>MID('paste from garc here'!$C$2,1+(('table for research'!$B805-456)*36+HEX2DEC('table for research'!C$1))*2,2)</f>
        <v>00</v>
      </c>
      <c r="D805" t="str">
        <f>MID('paste from garc here'!$C$2,1+(('table for research'!$B805-456)*36+HEX2DEC('table for research'!D$1))*2,2)</f>
        <v>00</v>
      </c>
      <c r="E805" t="str">
        <f>MID('paste from garc here'!$C$2,1+(('table for research'!$B805-456)*36+HEX2DEC('table for research'!E$1))*2,2)</f>
        <v>00</v>
      </c>
      <c r="F805" t="str">
        <f>MID('paste from garc here'!$C$2,1+(('table for research'!$B805-456)*36+HEX2DEC('table for research'!F$1))*2,2)</f>
        <v>00</v>
      </c>
      <c r="G805" t="str">
        <f>MID('paste from garc here'!$C$2,1+(('table for research'!$B805-456)*36+HEX2DEC('table for research'!G$1))*2,2)</f>
        <v>00</v>
      </c>
      <c r="H805" t="str">
        <f>MID('paste from garc here'!$C$2,1+(('table for research'!$B805-456)*36+HEX2DEC('table for research'!H$1))*2,2)</f>
        <v>00</v>
      </c>
      <c r="I805" t="str">
        <f>MID('paste from garc here'!$C$2,1+(('table for research'!$B805-456)*36+HEX2DEC('table for research'!I$1))*2,2)</f>
        <v>00</v>
      </c>
      <c r="J805" t="str">
        <f>MID('paste from garc here'!$C$2,1+(('table for research'!$B805-456)*36+HEX2DEC('table for research'!J$1))*2,2)</f>
        <v>00</v>
      </c>
      <c r="K805" t="str">
        <f>DEC2HEX(_xlfn.BITAND(HEX2DEC(MID('paste from garc here'!$C$1,1+(('table for research'!$B805-1)*36+HEX2DEC(8))*2,2)),31),2)</f>
        <v>00</v>
      </c>
      <c r="L805" t="str">
        <f>DEC2HEX(_xlfn.BITAND(HEX2DEC(MID('paste from garc here'!$C$1,1+(('table for research'!$B805-1)*36+HEX2DEC(8))*2,2)),32),2)</f>
        <v>00</v>
      </c>
      <c r="M805" t="str">
        <f>DEC2HEX(_xlfn.BITAND(HEX2DEC(MID('paste from garc here'!$C$1,1+(('table for research'!$B805-1)*36+HEX2DEC(8))*2,2)),64),2)</f>
        <v>00</v>
      </c>
      <c r="N805" t="str">
        <f>DEC2HEX(_xlfn.BITRSHIFT(_xlfn.BITAND(HEX2DEC(MID('paste from garc here'!$C$1,1+(('table for research'!$B805-1)*36+HEX2DEC(9))*2,2)&amp;MID('paste from garc here'!$C$1,1+(('table for research'!$B805-1)*36+HEX2DEC(8))*2,2)),1920),7),2)</f>
        <v>00</v>
      </c>
      <c r="O805" t="str">
        <f>DEC2HEX(_xlfn.BITRSHIFT(HEX2DEC(MID('paste from garc here'!$C$1,1+(('table for research'!$B805-1)*36+HEX2DEC(9))*2,2)&amp;MID('paste from garc here'!$C$1,1+(('table for research'!$B805-1)*36+HEX2DEC(8))*2,2)),11),2)</f>
        <v>00</v>
      </c>
      <c r="P805" t="str">
        <f>MID('paste from garc here'!$C$2,1+(('table for research'!$B805-456)*36+HEX2DEC('table for research'!P$1))*2,2)</f>
        <v>00</v>
      </c>
      <c r="Q805" t="str">
        <f>MID('paste from garc here'!$C$2,1+(('table for research'!$B805-456)*36+HEX2DEC('table for research'!Q$1))*2,2)</f>
        <v>00</v>
      </c>
      <c r="R805" t="str">
        <f>MID('paste from garc here'!$C$2,1+(('table for research'!$B805-456)*36+HEX2DEC('table for research'!R$1))*2,2)</f>
        <v>00</v>
      </c>
      <c r="S805" t="str">
        <f>MID('paste from garc here'!$C$2,1+(('table for research'!$B805-456)*36+HEX2DEC('table for research'!S$1))*2,2)</f>
        <v>01</v>
      </c>
      <c r="T805" t="str">
        <f>MID('paste from garc here'!$C$2,1+(('table for research'!$B805-456)*36+HEX2DEC('table for research'!T$1))*2,2)</f>
        <v>00</v>
      </c>
      <c r="U805" t="str">
        <f>MID('paste from garc here'!$C$2,1+(('table for research'!$B805-456)*36+HEX2DEC('table for research'!U$1))*2,2)</f>
        <v>19</v>
      </c>
      <c r="V805" t="str">
        <f>MID('paste from garc here'!$C$2,1+(('table for research'!$B805-456)*36+HEX2DEC('table for research'!V$1))*2,2)</f>
        <v>19</v>
      </c>
      <c r="W805" t="str">
        <f>MID('paste from garc here'!$C$2,1+(('table for research'!$B805-456)*36+HEX2DEC('table for research'!W$1))*2,2)</f>
        <v>00</v>
      </c>
      <c r="X805" t="str">
        <f>MID('paste from garc here'!$C$2,1+(('table for research'!$B805-456)*36+HEX2DEC('table for research'!X$1))*2,2)</f>
        <v>00</v>
      </c>
      <c r="Y805" t="str">
        <f>MID('paste from garc here'!$C$2,1+(('table for research'!$B805-456)*36+HEX2DEC('table for research'!Y$1))*2,2)</f>
        <v>00</v>
      </c>
      <c r="Z805" t="str">
        <f>MID('paste from garc here'!$C$2,1+(('table for research'!$B805-456)*36+HEX2DEC('table for research'!Z$1))*2,2)</f>
        <v>00</v>
      </c>
      <c r="AA805" t="str">
        <f>MID('paste from garc here'!$C$2,1+(('table for research'!$B805-456)*36+HEX2DEC('table for research'!AA$1))*2,2)</f>
        <v>00</v>
      </c>
      <c r="AB805" t="str">
        <f>MID('paste from garc here'!$C$2,1+(('table for research'!$B805-456)*36+HEX2DEC('table for research'!AB$1))*2,2)</f>
        <v>00</v>
      </c>
      <c r="AC805" t="str">
        <f>MID('paste from garc here'!$C$2,1+(('table for research'!$B805-456)*36+HEX2DEC('table for research'!AC$1))*2,2)</f>
        <v>00</v>
      </c>
      <c r="AD805" t="str">
        <f>MID('paste from garc here'!$C$2,1+(('table for research'!$B805-456)*36+HEX2DEC('table for research'!AD$1))*2,2)</f>
        <v>00</v>
      </c>
      <c r="AE805" t="str">
        <f>MID('paste from garc here'!$C$2,1+(('table for research'!$B805-456)*36+HEX2DEC('table for research'!AE$1))*2,2)</f>
        <v>00</v>
      </c>
      <c r="AF805" t="str">
        <f>MID('paste from garc here'!$C$2,1+(('table for research'!$B805-456)*36+HEX2DEC('table for research'!AF$1))*2,2)</f>
        <v>00</v>
      </c>
      <c r="AG805" t="str">
        <f>MID('paste from garc here'!$C$2,1+(('table for research'!$B805-456)*36+HEX2DEC('table for research'!AG$1))*2,2)</f>
        <v>00</v>
      </c>
      <c r="AH805" t="str">
        <f>MID('paste from garc here'!$C$2,1+(('table for research'!$B805-456)*36+HEX2DEC('table for research'!AH$1))*2,2)</f>
        <v>00</v>
      </c>
      <c r="AI805" t="str">
        <f>MID('paste from garc here'!$C$2,1+(('table for research'!$B805-456)*36+HEX2DEC('table for research'!AI$1))*2,2)</f>
        <v>00</v>
      </c>
      <c r="AJ805" t="str">
        <f>MID('paste from garc here'!$C$2,1+(('table for research'!$B805-456)*36+HEX2DEC('table for research'!AJ$1))*2,2)</f>
        <v>00</v>
      </c>
      <c r="AK805" t="str">
        <f>MID('paste from garc here'!$C$2,1+(('table for research'!$B805-456)*36+HEX2DEC('table for research'!AK$1))*2,2)</f>
        <v>00</v>
      </c>
      <c r="AL805" t="str">
        <f>MID('paste from garc here'!$C$2,1+(('table for research'!$B805-456)*36+HEX2DEC('table for research'!AL$1))*2,2)</f>
        <v>00</v>
      </c>
      <c r="AM805" t="str">
        <f>MID('paste from garc here'!$C$2,1+(('table for research'!$B805-456)*36+HEX2DEC('table for research'!AM$1))*2,2)</f>
        <v>00</v>
      </c>
      <c r="AN805" t="str">
        <f>MID('paste from garc here'!$C$2,1+(('table for research'!$B805-456)*36+HEX2DEC('table for research'!AN$1))*2,2)</f>
        <v>00</v>
      </c>
      <c r="AO805" t="str">
        <f>MID('paste from garc here'!$C$2,1+(('table for research'!$B805-456)*36+HEX2DEC('table for research'!AO$1))*2,2)</f>
        <v>00</v>
      </c>
    </row>
    <row r="806" spans="1:41" x14ac:dyDescent="0.4">
      <c r="A806" t="s">
        <v>797</v>
      </c>
      <c r="B806">
        <f>B805+1</f>
        <v>804</v>
      </c>
      <c r="C806" t="str">
        <f>MID('paste from garc here'!$C$2,1+(('table for research'!$B806-456)*36+HEX2DEC('table for research'!C$1))*2,2)</f>
        <v>00</v>
      </c>
      <c r="D806" t="str">
        <f>MID('paste from garc here'!$C$2,1+(('table for research'!$B806-456)*36+HEX2DEC('table for research'!D$1))*2,2)</f>
        <v>00</v>
      </c>
      <c r="E806" t="str">
        <f>MID('paste from garc here'!$C$2,1+(('table for research'!$B806-456)*36+HEX2DEC('table for research'!E$1))*2,2)</f>
        <v>00</v>
      </c>
      <c r="F806" t="str">
        <f>MID('paste from garc here'!$C$2,1+(('table for research'!$B806-456)*36+HEX2DEC('table for research'!F$1))*2,2)</f>
        <v>00</v>
      </c>
      <c r="G806" t="str">
        <f>MID('paste from garc here'!$C$2,1+(('table for research'!$B806-456)*36+HEX2DEC('table for research'!G$1))*2,2)</f>
        <v>00</v>
      </c>
      <c r="H806" t="str">
        <f>MID('paste from garc here'!$C$2,1+(('table for research'!$B806-456)*36+HEX2DEC('table for research'!H$1))*2,2)</f>
        <v>00</v>
      </c>
      <c r="I806" t="str">
        <f>MID('paste from garc here'!$C$2,1+(('table for research'!$B806-456)*36+HEX2DEC('table for research'!I$1))*2,2)</f>
        <v>00</v>
      </c>
      <c r="J806" t="str">
        <f>MID('paste from garc here'!$C$2,1+(('table for research'!$B806-456)*36+HEX2DEC('table for research'!J$1))*2,2)</f>
        <v>00</v>
      </c>
      <c r="K806" t="str">
        <f>DEC2HEX(_xlfn.BITAND(HEX2DEC(MID('paste from garc here'!$C$1,1+(('table for research'!$B806-1)*36+HEX2DEC(8))*2,2)),31),2)</f>
        <v>00</v>
      </c>
      <c r="L806" t="str">
        <f>DEC2HEX(_xlfn.BITAND(HEX2DEC(MID('paste from garc here'!$C$1,1+(('table for research'!$B806-1)*36+HEX2DEC(8))*2,2)),32),2)</f>
        <v>00</v>
      </c>
      <c r="M806" t="str">
        <f>DEC2HEX(_xlfn.BITAND(HEX2DEC(MID('paste from garc here'!$C$1,1+(('table for research'!$B806-1)*36+HEX2DEC(8))*2,2)),64),2)</f>
        <v>00</v>
      </c>
      <c r="N806" t="str">
        <f>DEC2HEX(_xlfn.BITRSHIFT(_xlfn.BITAND(HEX2DEC(MID('paste from garc here'!$C$1,1+(('table for research'!$B806-1)*36+HEX2DEC(9))*2,2)&amp;MID('paste from garc here'!$C$1,1+(('table for research'!$B806-1)*36+HEX2DEC(8))*2,2)),1920),7),2)</f>
        <v>00</v>
      </c>
      <c r="O806" t="str">
        <f>DEC2HEX(_xlfn.BITRSHIFT(HEX2DEC(MID('paste from garc here'!$C$1,1+(('table for research'!$B806-1)*36+HEX2DEC(9))*2,2)&amp;MID('paste from garc here'!$C$1,1+(('table for research'!$B806-1)*36+HEX2DEC(8))*2,2)),11),2)</f>
        <v>00</v>
      </c>
      <c r="P806" t="str">
        <f>MID('paste from garc here'!$C$2,1+(('table for research'!$B806-456)*36+HEX2DEC('table for research'!P$1))*2,2)</f>
        <v>00</v>
      </c>
      <c r="Q806" t="str">
        <f>MID('paste from garc here'!$C$2,1+(('table for research'!$B806-456)*36+HEX2DEC('table for research'!Q$1))*2,2)</f>
        <v>00</v>
      </c>
      <c r="R806" t="str">
        <f>MID('paste from garc here'!$C$2,1+(('table for research'!$B806-456)*36+HEX2DEC('table for research'!R$1))*2,2)</f>
        <v>00</v>
      </c>
      <c r="S806" t="str">
        <f>MID('paste from garc here'!$C$2,1+(('table for research'!$B806-456)*36+HEX2DEC('table for research'!S$1))*2,2)</f>
        <v>01</v>
      </c>
      <c r="T806" t="str">
        <f>MID('paste from garc here'!$C$2,1+(('table for research'!$B806-456)*36+HEX2DEC('table for research'!T$1))*2,2)</f>
        <v>00</v>
      </c>
      <c r="U806" t="str">
        <f>MID('paste from garc here'!$C$2,1+(('table for research'!$B806-456)*36+HEX2DEC('table for research'!U$1))*2,2)</f>
        <v>1A</v>
      </c>
      <c r="V806" t="str">
        <f>MID('paste from garc here'!$C$2,1+(('table for research'!$B806-456)*36+HEX2DEC('table for research'!V$1))*2,2)</f>
        <v>1A</v>
      </c>
      <c r="W806" t="str">
        <f>MID('paste from garc here'!$C$2,1+(('table for research'!$B806-456)*36+HEX2DEC('table for research'!W$1))*2,2)</f>
        <v>00</v>
      </c>
      <c r="X806" t="str">
        <f>MID('paste from garc here'!$C$2,1+(('table for research'!$B806-456)*36+HEX2DEC('table for research'!X$1))*2,2)</f>
        <v>00</v>
      </c>
      <c r="Y806" t="str">
        <f>MID('paste from garc here'!$C$2,1+(('table for research'!$B806-456)*36+HEX2DEC('table for research'!Y$1))*2,2)</f>
        <v>00</v>
      </c>
      <c r="Z806" t="str">
        <f>MID('paste from garc here'!$C$2,1+(('table for research'!$B806-456)*36+HEX2DEC('table for research'!Z$1))*2,2)</f>
        <v>00</v>
      </c>
      <c r="AA806" t="str">
        <f>MID('paste from garc here'!$C$2,1+(('table for research'!$B806-456)*36+HEX2DEC('table for research'!AA$1))*2,2)</f>
        <v>00</v>
      </c>
      <c r="AB806" t="str">
        <f>MID('paste from garc here'!$C$2,1+(('table for research'!$B806-456)*36+HEX2DEC('table for research'!AB$1))*2,2)</f>
        <v>00</v>
      </c>
      <c r="AC806" t="str">
        <f>MID('paste from garc here'!$C$2,1+(('table for research'!$B806-456)*36+HEX2DEC('table for research'!AC$1))*2,2)</f>
        <v>00</v>
      </c>
      <c r="AD806" t="str">
        <f>MID('paste from garc here'!$C$2,1+(('table for research'!$B806-456)*36+HEX2DEC('table for research'!AD$1))*2,2)</f>
        <v>00</v>
      </c>
      <c r="AE806" t="str">
        <f>MID('paste from garc here'!$C$2,1+(('table for research'!$B806-456)*36+HEX2DEC('table for research'!AE$1))*2,2)</f>
        <v>00</v>
      </c>
      <c r="AF806" t="str">
        <f>MID('paste from garc here'!$C$2,1+(('table for research'!$B806-456)*36+HEX2DEC('table for research'!AF$1))*2,2)</f>
        <v>00</v>
      </c>
      <c r="AG806" t="str">
        <f>MID('paste from garc here'!$C$2,1+(('table for research'!$B806-456)*36+HEX2DEC('table for research'!AG$1))*2,2)</f>
        <v>00</v>
      </c>
      <c r="AH806" t="str">
        <f>MID('paste from garc here'!$C$2,1+(('table for research'!$B806-456)*36+HEX2DEC('table for research'!AH$1))*2,2)</f>
        <v>00</v>
      </c>
      <c r="AI806" t="str">
        <f>MID('paste from garc here'!$C$2,1+(('table for research'!$B806-456)*36+HEX2DEC('table for research'!AI$1))*2,2)</f>
        <v>00</v>
      </c>
      <c r="AJ806" t="str">
        <f>MID('paste from garc here'!$C$2,1+(('table for research'!$B806-456)*36+HEX2DEC('table for research'!AJ$1))*2,2)</f>
        <v>00</v>
      </c>
      <c r="AK806" t="str">
        <f>MID('paste from garc here'!$C$2,1+(('table for research'!$B806-456)*36+HEX2DEC('table for research'!AK$1))*2,2)</f>
        <v>00</v>
      </c>
      <c r="AL806" t="str">
        <f>MID('paste from garc here'!$C$2,1+(('table for research'!$B806-456)*36+HEX2DEC('table for research'!AL$1))*2,2)</f>
        <v>00</v>
      </c>
      <c r="AM806" t="str">
        <f>MID('paste from garc here'!$C$2,1+(('table for research'!$B806-456)*36+HEX2DEC('table for research'!AM$1))*2,2)</f>
        <v>00</v>
      </c>
      <c r="AN806" t="str">
        <f>MID('paste from garc here'!$C$2,1+(('table for research'!$B806-456)*36+HEX2DEC('table for research'!AN$1))*2,2)</f>
        <v>00</v>
      </c>
      <c r="AO806" t="str">
        <f>MID('paste from garc here'!$C$2,1+(('table for research'!$B806-456)*36+HEX2DEC('table for research'!AO$1))*2,2)</f>
        <v>00</v>
      </c>
    </row>
    <row r="807" spans="1:41" x14ac:dyDescent="0.4">
      <c r="A807" t="s">
        <v>798</v>
      </c>
      <c r="B807">
        <f>B806+1</f>
        <v>805</v>
      </c>
      <c r="C807" t="str">
        <f>MID('paste from garc here'!$C$2,1+(('table for research'!$B807-456)*36+HEX2DEC('table for research'!C$1))*2,2)</f>
        <v>00</v>
      </c>
      <c r="D807" t="str">
        <f>MID('paste from garc here'!$C$2,1+(('table for research'!$B807-456)*36+HEX2DEC('table for research'!D$1))*2,2)</f>
        <v>00</v>
      </c>
      <c r="E807" t="str">
        <f>MID('paste from garc here'!$C$2,1+(('table for research'!$B807-456)*36+HEX2DEC('table for research'!E$1))*2,2)</f>
        <v>00</v>
      </c>
      <c r="F807" t="str">
        <f>MID('paste from garc here'!$C$2,1+(('table for research'!$B807-456)*36+HEX2DEC('table for research'!F$1))*2,2)</f>
        <v>00</v>
      </c>
      <c r="G807" t="str">
        <f>MID('paste from garc here'!$C$2,1+(('table for research'!$B807-456)*36+HEX2DEC('table for research'!G$1))*2,2)</f>
        <v>00</v>
      </c>
      <c r="H807" t="str">
        <f>MID('paste from garc here'!$C$2,1+(('table for research'!$B807-456)*36+HEX2DEC('table for research'!H$1))*2,2)</f>
        <v>00</v>
      </c>
      <c r="I807" t="str">
        <f>MID('paste from garc here'!$C$2,1+(('table for research'!$B807-456)*36+HEX2DEC('table for research'!I$1))*2,2)</f>
        <v>00</v>
      </c>
      <c r="J807" t="str">
        <f>MID('paste from garc here'!$C$2,1+(('table for research'!$B807-456)*36+HEX2DEC('table for research'!J$1))*2,2)</f>
        <v>00</v>
      </c>
      <c r="K807" t="str">
        <f>DEC2HEX(_xlfn.BITAND(HEX2DEC(MID('paste from garc here'!$C$1,1+(('table for research'!$B807-1)*36+HEX2DEC(8))*2,2)),31),2)</f>
        <v>00</v>
      </c>
      <c r="L807" t="str">
        <f>DEC2HEX(_xlfn.BITAND(HEX2DEC(MID('paste from garc here'!$C$1,1+(('table for research'!$B807-1)*36+HEX2DEC(8))*2,2)),32),2)</f>
        <v>00</v>
      </c>
      <c r="M807" t="str">
        <f>DEC2HEX(_xlfn.BITAND(HEX2DEC(MID('paste from garc here'!$C$1,1+(('table for research'!$B807-1)*36+HEX2DEC(8))*2,2)),64),2)</f>
        <v>00</v>
      </c>
      <c r="N807" t="str">
        <f>DEC2HEX(_xlfn.BITRSHIFT(_xlfn.BITAND(HEX2DEC(MID('paste from garc here'!$C$1,1+(('table for research'!$B807-1)*36+HEX2DEC(9))*2,2)&amp;MID('paste from garc here'!$C$1,1+(('table for research'!$B807-1)*36+HEX2DEC(8))*2,2)),1920),7),2)</f>
        <v>00</v>
      </c>
      <c r="O807" t="str">
        <f>DEC2HEX(_xlfn.BITRSHIFT(HEX2DEC(MID('paste from garc here'!$C$1,1+(('table for research'!$B807-1)*36+HEX2DEC(9))*2,2)&amp;MID('paste from garc here'!$C$1,1+(('table for research'!$B807-1)*36+HEX2DEC(8))*2,2)),11),2)</f>
        <v>00</v>
      </c>
      <c r="P807" t="str">
        <f>MID('paste from garc here'!$C$2,1+(('table for research'!$B807-456)*36+HEX2DEC('table for research'!P$1))*2,2)</f>
        <v>00</v>
      </c>
      <c r="Q807" t="str">
        <f>MID('paste from garc here'!$C$2,1+(('table for research'!$B807-456)*36+HEX2DEC('table for research'!Q$1))*2,2)</f>
        <v>00</v>
      </c>
      <c r="R807" t="str">
        <f>MID('paste from garc here'!$C$2,1+(('table for research'!$B807-456)*36+HEX2DEC('table for research'!R$1))*2,2)</f>
        <v>00</v>
      </c>
      <c r="S807" t="str">
        <f>MID('paste from garc here'!$C$2,1+(('table for research'!$B807-456)*36+HEX2DEC('table for research'!S$1))*2,2)</f>
        <v>01</v>
      </c>
      <c r="T807" t="str">
        <f>MID('paste from garc here'!$C$2,1+(('table for research'!$B807-456)*36+HEX2DEC('table for research'!T$1))*2,2)</f>
        <v>00</v>
      </c>
      <c r="U807" t="str">
        <f>MID('paste from garc here'!$C$2,1+(('table for research'!$B807-456)*36+HEX2DEC('table for research'!U$1))*2,2)</f>
        <v>1B</v>
      </c>
      <c r="V807" t="str">
        <f>MID('paste from garc here'!$C$2,1+(('table for research'!$B807-456)*36+HEX2DEC('table for research'!V$1))*2,2)</f>
        <v>1B</v>
      </c>
      <c r="W807" t="str">
        <f>MID('paste from garc here'!$C$2,1+(('table for research'!$B807-456)*36+HEX2DEC('table for research'!W$1))*2,2)</f>
        <v>00</v>
      </c>
      <c r="X807" t="str">
        <f>MID('paste from garc here'!$C$2,1+(('table for research'!$B807-456)*36+HEX2DEC('table for research'!X$1))*2,2)</f>
        <v>00</v>
      </c>
      <c r="Y807" t="str">
        <f>MID('paste from garc here'!$C$2,1+(('table for research'!$B807-456)*36+HEX2DEC('table for research'!Y$1))*2,2)</f>
        <v>00</v>
      </c>
      <c r="Z807" t="str">
        <f>MID('paste from garc here'!$C$2,1+(('table for research'!$B807-456)*36+HEX2DEC('table for research'!Z$1))*2,2)</f>
        <v>00</v>
      </c>
      <c r="AA807" t="str">
        <f>MID('paste from garc here'!$C$2,1+(('table for research'!$B807-456)*36+HEX2DEC('table for research'!AA$1))*2,2)</f>
        <v>00</v>
      </c>
      <c r="AB807" t="str">
        <f>MID('paste from garc here'!$C$2,1+(('table for research'!$B807-456)*36+HEX2DEC('table for research'!AB$1))*2,2)</f>
        <v>00</v>
      </c>
      <c r="AC807" t="str">
        <f>MID('paste from garc here'!$C$2,1+(('table for research'!$B807-456)*36+HEX2DEC('table for research'!AC$1))*2,2)</f>
        <v>00</v>
      </c>
      <c r="AD807" t="str">
        <f>MID('paste from garc here'!$C$2,1+(('table for research'!$B807-456)*36+HEX2DEC('table for research'!AD$1))*2,2)</f>
        <v>00</v>
      </c>
      <c r="AE807" t="str">
        <f>MID('paste from garc here'!$C$2,1+(('table for research'!$B807-456)*36+HEX2DEC('table for research'!AE$1))*2,2)</f>
        <v>00</v>
      </c>
      <c r="AF807" t="str">
        <f>MID('paste from garc here'!$C$2,1+(('table for research'!$B807-456)*36+HEX2DEC('table for research'!AF$1))*2,2)</f>
        <v>00</v>
      </c>
      <c r="AG807" t="str">
        <f>MID('paste from garc here'!$C$2,1+(('table for research'!$B807-456)*36+HEX2DEC('table for research'!AG$1))*2,2)</f>
        <v>00</v>
      </c>
      <c r="AH807" t="str">
        <f>MID('paste from garc here'!$C$2,1+(('table for research'!$B807-456)*36+HEX2DEC('table for research'!AH$1))*2,2)</f>
        <v>00</v>
      </c>
      <c r="AI807" t="str">
        <f>MID('paste from garc here'!$C$2,1+(('table for research'!$B807-456)*36+HEX2DEC('table for research'!AI$1))*2,2)</f>
        <v>00</v>
      </c>
      <c r="AJ807" t="str">
        <f>MID('paste from garc here'!$C$2,1+(('table for research'!$B807-456)*36+HEX2DEC('table for research'!AJ$1))*2,2)</f>
        <v>00</v>
      </c>
      <c r="AK807" t="str">
        <f>MID('paste from garc here'!$C$2,1+(('table for research'!$B807-456)*36+HEX2DEC('table for research'!AK$1))*2,2)</f>
        <v>00</v>
      </c>
      <c r="AL807" t="str">
        <f>MID('paste from garc here'!$C$2,1+(('table for research'!$B807-456)*36+HEX2DEC('table for research'!AL$1))*2,2)</f>
        <v>00</v>
      </c>
      <c r="AM807" t="str">
        <f>MID('paste from garc here'!$C$2,1+(('table for research'!$B807-456)*36+HEX2DEC('table for research'!AM$1))*2,2)</f>
        <v>00</v>
      </c>
      <c r="AN807" t="str">
        <f>MID('paste from garc here'!$C$2,1+(('table for research'!$B807-456)*36+HEX2DEC('table for research'!AN$1))*2,2)</f>
        <v>00</v>
      </c>
      <c r="AO807" t="str">
        <f>MID('paste from garc here'!$C$2,1+(('table for research'!$B807-456)*36+HEX2DEC('table for research'!AO$1))*2,2)</f>
        <v>00</v>
      </c>
    </row>
    <row r="808" spans="1:41" x14ac:dyDescent="0.4">
      <c r="A808" t="s">
        <v>799</v>
      </c>
      <c r="B808">
        <f>B807+1</f>
        <v>806</v>
      </c>
      <c r="C808" t="str">
        <f>MID('paste from garc here'!$C$2,1+(('table for research'!$B808-456)*36+HEX2DEC('table for research'!C$1))*2,2)</f>
        <v>00</v>
      </c>
      <c r="D808" t="str">
        <f>MID('paste from garc here'!$C$2,1+(('table for research'!$B808-456)*36+HEX2DEC('table for research'!D$1))*2,2)</f>
        <v>00</v>
      </c>
      <c r="E808" t="str">
        <f>MID('paste from garc here'!$C$2,1+(('table for research'!$B808-456)*36+HEX2DEC('table for research'!E$1))*2,2)</f>
        <v>00</v>
      </c>
      <c r="F808" t="str">
        <f>MID('paste from garc here'!$C$2,1+(('table for research'!$B808-456)*36+HEX2DEC('table for research'!F$1))*2,2)</f>
        <v>00</v>
      </c>
      <c r="G808" t="str">
        <f>MID('paste from garc here'!$C$2,1+(('table for research'!$B808-456)*36+HEX2DEC('table for research'!G$1))*2,2)</f>
        <v>00</v>
      </c>
      <c r="H808" t="str">
        <f>MID('paste from garc here'!$C$2,1+(('table for research'!$B808-456)*36+HEX2DEC('table for research'!H$1))*2,2)</f>
        <v>00</v>
      </c>
      <c r="I808" t="str">
        <f>MID('paste from garc here'!$C$2,1+(('table for research'!$B808-456)*36+HEX2DEC('table for research'!I$1))*2,2)</f>
        <v>00</v>
      </c>
      <c r="J808" t="str">
        <f>MID('paste from garc here'!$C$2,1+(('table for research'!$B808-456)*36+HEX2DEC('table for research'!J$1))*2,2)</f>
        <v>00</v>
      </c>
      <c r="K808" t="str">
        <f>DEC2HEX(_xlfn.BITAND(HEX2DEC(MID('paste from garc here'!$C$1,1+(('table for research'!$B808-1)*36+HEX2DEC(8))*2,2)),31),2)</f>
        <v>00</v>
      </c>
      <c r="L808" t="str">
        <f>DEC2HEX(_xlfn.BITAND(HEX2DEC(MID('paste from garc here'!$C$1,1+(('table for research'!$B808-1)*36+HEX2DEC(8))*2,2)),32),2)</f>
        <v>00</v>
      </c>
      <c r="M808" t="str">
        <f>DEC2HEX(_xlfn.BITAND(HEX2DEC(MID('paste from garc here'!$C$1,1+(('table for research'!$B808-1)*36+HEX2DEC(8))*2,2)),64),2)</f>
        <v>00</v>
      </c>
      <c r="N808" t="str">
        <f>DEC2HEX(_xlfn.BITRSHIFT(_xlfn.BITAND(HEX2DEC(MID('paste from garc here'!$C$1,1+(('table for research'!$B808-1)*36+HEX2DEC(9))*2,2)&amp;MID('paste from garc here'!$C$1,1+(('table for research'!$B808-1)*36+HEX2DEC(8))*2,2)),1920),7),2)</f>
        <v>00</v>
      </c>
      <c r="O808" t="str">
        <f>DEC2HEX(_xlfn.BITRSHIFT(HEX2DEC(MID('paste from garc here'!$C$1,1+(('table for research'!$B808-1)*36+HEX2DEC(9))*2,2)&amp;MID('paste from garc here'!$C$1,1+(('table for research'!$B808-1)*36+HEX2DEC(8))*2,2)),11),2)</f>
        <v>00</v>
      </c>
      <c r="P808" t="str">
        <f>MID('paste from garc here'!$C$2,1+(('table for research'!$B808-456)*36+HEX2DEC('table for research'!P$1))*2,2)</f>
        <v>00</v>
      </c>
      <c r="Q808" t="str">
        <f>MID('paste from garc here'!$C$2,1+(('table for research'!$B808-456)*36+HEX2DEC('table for research'!Q$1))*2,2)</f>
        <v>00</v>
      </c>
      <c r="R808" t="str">
        <f>MID('paste from garc here'!$C$2,1+(('table for research'!$B808-456)*36+HEX2DEC('table for research'!R$1))*2,2)</f>
        <v>00</v>
      </c>
      <c r="S808" t="str">
        <f>MID('paste from garc here'!$C$2,1+(('table for research'!$B808-456)*36+HEX2DEC('table for research'!S$1))*2,2)</f>
        <v>01</v>
      </c>
      <c r="T808" t="str">
        <f>MID('paste from garc here'!$C$2,1+(('table for research'!$B808-456)*36+HEX2DEC('table for research'!T$1))*2,2)</f>
        <v>00</v>
      </c>
      <c r="U808" t="str">
        <f>MID('paste from garc here'!$C$2,1+(('table for research'!$B808-456)*36+HEX2DEC('table for research'!U$1))*2,2)</f>
        <v>1C</v>
      </c>
      <c r="V808" t="str">
        <f>MID('paste from garc here'!$C$2,1+(('table for research'!$B808-456)*36+HEX2DEC('table for research'!V$1))*2,2)</f>
        <v>1C</v>
      </c>
      <c r="W808" t="str">
        <f>MID('paste from garc here'!$C$2,1+(('table for research'!$B808-456)*36+HEX2DEC('table for research'!W$1))*2,2)</f>
        <v>00</v>
      </c>
      <c r="X808" t="str">
        <f>MID('paste from garc here'!$C$2,1+(('table for research'!$B808-456)*36+HEX2DEC('table for research'!X$1))*2,2)</f>
        <v>00</v>
      </c>
      <c r="Y808" t="str">
        <f>MID('paste from garc here'!$C$2,1+(('table for research'!$B808-456)*36+HEX2DEC('table for research'!Y$1))*2,2)</f>
        <v>00</v>
      </c>
      <c r="Z808" t="str">
        <f>MID('paste from garc here'!$C$2,1+(('table for research'!$B808-456)*36+HEX2DEC('table for research'!Z$1))*2,2)</f>
        <v>00</v>
      </c>
      <c r="AA808" t="str">
        <f>MID('paste from garc here'!$C$2,1+(('table for research'!$B808-456)*36+HEX2DEC('table for research'!AA$1))*2,2)</f>
        <v>00</v>
      </c>
      <c r="AB808" t="str">
        <f>MID('paste from garc here'!$C$2,1+(('table for research'!$B808-456)*36+HEX2DEC('table for research'!AB$1))*2,2)</f>
        <v>00</v>
      </c>
      <c r="AC808" t="str">
        <f>MID('paste from garc here'!$C$2,1+(('table for research'!$B808-456)*36+HEX2DEC('table for research'!AC$1))*2,2)</f>
        <v>00</v>
      </c>
      <c r="AD808" t="str">
        <f>MID('paste from garc here'!$C$2,1+(('table for research'!$B808-456)*36+HEX2DEC('table for research'!AD$1))*2,2)</f>
        <v>00</v>
      </c>
      <c r="AE808" t="str">
        <f>MID('paste from garc here'!$C$2,1+(('table for research'!$B808-456)*36+HEX2DEC('table for research'!AE$1))*2,2)</f>
        <v>00</v>
      </c>
      <c r="AF808" t="str">
        <f>MID('paste from garc here'!$C$2,1+(('table for research'!$B808-456)*36+HEX2DEC('table for research'!AF$1))*2,2)</f>
        <v>00</v>
      </c>
      <c r="AG808" t="str">
        <f>MID('paste from garc here'!$C$2,1+(('table for research'!$B808-456)*36+HEX2DEC('table for research'!AG$1))*2,2)</f>
        <v>00</v>
      </c>
      <c r="AH808" t="str">
        <f>MID('paste from garc here'!$C$2,1+(('table for research'!$B808-456)*36+HEX2DEC('table for research'!AH$1))*2,2)</f>
        <v>00</v>
      </c>
      <c r="AI808" t="str">
        <f>MID('paste from garc here'!$C$2,1+(('table for research'!$B808-456)*36+HEX2DEC('table for research'!AI$1))*2,2)</f>
        <v>00</v>
      </c>
      <c r="AJ808" t="str">
        <f>MID('paste from garc here'!$C$2,1+(('table for research'!$B808-456)*36+HEX2DEC('table for research'!AJ$1))*2,2)</f>
        <v>00</v>
      </c>
      <c r="AK808" t="str">
        <f>MID('paste from garc here'!$C$2,1+(('table for research'!$B808-456)*36+HEX2DEC('table for research'!AK$1))*2,2)</f>
        <v>00</v>
      </c>
      <c r="AL808" t="str">
        <f>MID('paste from garc here'!$C$2,1+(('table for research'!$B808-456)*36+HEX2DEC('table for research'!AL$1))*2,2)</f>
        <v>00</v>
      </c>
      <c r="AM808" t="str">
        <f>MID('paste from garc here'!$C$2,1+(('table for research'!$B808-456)*36+HEX2DEC('table for research'!AM$1))*2,2)</f>
        <v>00</v>
      </c>
      <c r="AN808" t="str">
        <f>MID('paste from garc here'!$C$2,1+(('table for research'!$B808-456)*36+HEX2DEC('table for research'!AN$1))*2,2)</f>
        <v>00</v>
      </c>
      <c r="AO808" t="str">
        <f>MID('paste from garc here'!$C$2,1+(('table for research'!$B808-456)*36+HEX2DEC('table for research'!AO$1))*2,2)</f>
        <v>00</v>
      </c>
    </row>
    <row r="809" spans="1:41" x14ac:dyDescent="0.4">
      <c r="A809" t="s">
        <v>800</v>
      </c>
      <c r="B809">
        <f>B808+1</f>
        <v>807</v>
      </c>
      <c r="C809" t="str">
        <f>MID('paste from garc here'!$C$2,1+(('table for research'!$B809-456)*36+HEX2DEC('table for research'!C$1))*2,2)</f>
        <v>00</v>
      </c>
      <c r="D809" t="str">
        <f>MID('paste from garc here'!$C$2,1+(('table for research'!$B809-456)*36+HEX2DEC('table for research'!D$1))*2,2)</f>
        <v>00</v>
      </c>
      <c r="E809" t="str">
        <f>MID('paste from garc here'!$C$2,1+(('table for research'!$B809-456)*36+HEX2DEC('table for research'!E$1))*2,2)</f>
        <v>00</v>
      </c>
      <c r="F809" t="str">
        <f>MID('paste from garc here'!$C$2,1+(('table for research'!$B809-456)*36+HEX2DEC('table for research'!F$1))*2,2)</f>
        <v>00</v>
      </c>
      <c r="G809" t="str">
        <f>MID('paste from garc here'!$C$2,1+(('table for research'!$B809-456)*36+HEX2DEC('table for research'!G$1))*2,2)</f>
        <v>00</v>
      </c>
      <c r="H809" t="str">
        <f>MID('paste from garc here'!$C$2,1+(('table for research'!$B809-456)*36+HEX2DEC('table for research'!H$1))*2,2)</f>
        <v>00</v>
      </c>
      <c r="I809" t="str">
        <f>MID('paste from garc here'!$C$2,1+(('table for research'!$B809-456)*36+HEX2DEC('table for research'!I$1))*2,2)</f>
        <v>00</v>
      </c>
      <c r="J809" t="str">
        <f>MID('paste from garc here'!$C$2,1+(('table for research'!$B809-456)*36+HEX2DEC('table for research'!J$1))*2,2)</f>
        <v>00</v>
      </c>
      <c r="K809" t="str">
        <f>DEC2HEX(_xlfn.BITAND(HEX2DEC(MID('paste from garc here'!$C$1,1+(('table for research'!$B809-1)*36+HEX2DEC(8))*2,2)),31),2)</f>
        <v>00</v>
      </c>
      <c r="L809" t="str">
        <f>DEC2HEX(_xlfn.BITAND(HEX2DEC(MID('paste from garc here'!$C$1,1+(('table for research'!$B809-1)*36+HEX2DEC(8))*2,2)),32),2)</f>
        <v>00</v>
      </c>
      <c r="M809" t="str">
        <f>DEC2HEX(_xlfn.BITAND(HEX2DEC(MID('paste from garc here'!$C$1,1+(('table for research'!$B809-1)*36+HEX2DEC(8))*2,2)),64),2)</f>
        <v>00</v>
      </c>
      <c r="N809" t="str">
        <f>DEC2HEX(_xlfn.BITRSHIFT(_xlfn.BITAND(HEX2DEC(MID('paste from garc here'!$C$1,1+(('table for research'!$B809-1)*36+HEX2DEC(9))*2,2)&amp;MID('paste from garc here'!$C$1,1+(('table for research'!$B809-1)*36+HEX2DEC(8))*2,2)),1920),7),2)</f>
        <v>00</v>
      </c>
      <c r="O809" t="str">
        <f>DEC2HEX(_xlfn.BITRSHIFT(HEX2DEC(MID('paste from garc here'!$C$1,1+(('table for research'!$B809-1)*36+HEX2DEC(9))*2,2)&amp;MID('paste from garc here'!$C$1,1+(('table for research'!$B809-1)*36+HEX2DEC(8))*2,2)),11),2)</f>
        <v>00</v>
      </c>
      <c r="P809" t="str">
        <f>MID('paste from garc here'!$C$2,1+(('table for research'!$B809-456)*36+HEX2DEC('table for research'!P$1))*2,2)</f>
        <v>01</v>
      </c>
      <c r="Q809" t="str">
        <f>MID('paste from garc here'!$C$2,1+(('table for research'!$B809-456)*36+HEX2DEC('table for research'!Q$1))*2,2)</f>
        <v>00</v>
      </c>
      <c r="R809" t="str">
        <f>MID('paste from garc here'!$C$2,1+(('table for research'!$B809-456)*36+HEX2DEC('table for research'!R$1))*2,2)</f>
        <v>00</v>
      </c>
      <c r="S809" t="str">
        <f>MID('paste from garc here'!$C$2,1+(('table for research'!$B809-456)*36+HEX2DEC('table for research'!S$1))*2,2)</f>
        <v>01</v>
      </c>
      <c r="T809" t="str">
        <f>MID('paste from garc here'!$C$2,1+(('table for research'!$B809-456)*36+HEX2DEC('table for research'!T$1))*2,2)</f>
        <v>00</v>
      </c>
      <c r="U809" t="str">
        <f>MID('paste from garc here'!$C$2,1+(('table for research'!$B809-456)*36+HEX2DEC('table for research'!U$1))*2,2)</f>
        <v>01</v>
      </c>
      <c r="V809" t="str">
        <f>MID('paste from garc here'!$C$2,1+(('table for research'!$B809-456)*36+HEX2DEC('table for research'!V$1))*2,2)</f>
        <v>01</v>
      </c>
      <c r="W809" t="str">
        <f>MID('paste from garc here'!$C$2,1+(('table for research'!$B809-456)*36+HEX2DEC('table for research'!W$1))*2,2)</f>
        <v>00</v>
      </c>
      <c r="X809" t="str">
        <f>MID('paste from garc here'!$C$2,1+(('table for research'!$B809-456)*36+HEX2DEC('table for research'!X$1))*2,2)</f>
        <v>00</v>
      </c>
      <c r="Y809" t="str">
        <f>MID('paste from garc here'!$C$2,1+(('table for research'!$B809-456)*36+HEX2DEC('table for research'!Y$1))*2,2)</f>
        <v>00</v>
      </c>
      <c r="Z809" t="str">
        <f>MID('paste from garc here'!$C$2,1+(('table for research'!$B809-456)*36+HEX2DEC('table for research'!Z$1))*2,2)</f>
        <v>00</v>
      </c>
      <c r="AA809" t="str">
        <f>MID('paste from garc here'!$C$2,1+(('table for research'!$B809-456)*36+HEX2DEC('table for research'!AA$1))*2,2)</f>
        <v>00</v>
      </c>
      <c r="AB809" t="str">
        <f>MID('paste from garc here'!$C$2,1+(('table for research'!$B809-456)*36+HEX2DEC('table for research'!AB$1))*2,2)</f>
        <v>00</v>
      </c>
      <c r="AC809" t="str">
        <f>MID('paste from garc here'!$C$2,1+(('table for research'!$B809-456)*36+HEX2DEC('table for research'!AC$1))*2,2)</f>
        <v>00</v>
      </c>
      <c r="AD809" t="str">
        <f>MID('paste from garc here'!$C$2,1+(('table for research'!$B809-456)*36+HEX2DEC('table for research'!AD$1))*2,2)</f>
        <v>00</v>
      </c>
      <c r="AE809" t="str">
        <f>MID('paste from garc here'!$C$2,1+(('table for research'!$B809-456)*36+HEX2DEC('table for research'!AE$1))*2,2)</f>
        <v>00</v>
      </c>
      <c r="AF809" t="str">
        <f>MID('paste from garc here'!$C$2,1+(('table for research'!$B809-456)*36+HEX2DEC('table for research'!AF$1))*2,2)</f>
        <v>00</v>
      </c>
      <c r="AG809" t="str">
        <f>MID('paste from garc here'!$C$2,1+(('table for research'!$B809-456)*36+HEX2DEC('table for research'!AG$1))*2,2)</f>
        <v>00</v>
      </c>
      <c r="AH809" t="str">
        <f>MID('paste from garc here'!$C$2,1+(('table for research'!$B809-456)*36+HEX2DEC('table for research'!AH$1))*2,2)</f>
        <v>00</v>
      </c>
      <c r="AI809" t="str">
        <f>MID('paste from garc here'!$C$2,1+(('table for research'!$B809-456)*36+HEX2DEC('table for research'!AI$1))*2,2)</f>
        <v>00</v>
      </c>
      <c r="AJ809" t="str">
        <f>MID('paste from garc here'!$C$2,1+(('table for research'!$B809-456)*36+HEX2DEC('table for research'!AJ$1))*2,2)</f>
        <v>00</v>
      </c>
      <c r="AK809" t="str">
        <f>MID('paste from garc here'!$C$2,1+(('table for research'!$B809-456)*36+HEX2DEC('table for research'!AK$1))*2,2)</f>
        <v>00</v>
      </c>
      <c r="AL809" t="str">
        <f>MID('paste from garc here'!$C$2,1+(('table for research'!$B809-456)*36+HEX2DEC('table for research'!AL$1))*2,2)</f>
        <v>00</v>
      </c>
      <c r="AM809" t="str">
        <f>MID('paste from garc here'!$C$2,1+(('table for research'!$B809-456)*36+HEX2DEC('table for research'!AM$1))*2,2)</f>
        <v>00</v>
      </c>
      <c r="AN809" t="str">
        <f>MID('paste from garc here'!$C$2,1+(('table for research'!$B809-456)*36+HEX2DEC('table for research'!AN$1))*2,2)</f>
        <v>00</v>
      </c>
      <c r="AO809" t="str">
        <f>MID('paste from garc here'!$C$2,1+(('table for research'!$B809-456)*36+HEX2DEC('table for research'!AO$1))*2,2)</f>
        <v>00</v>
      </c>
    </row>
    <row r="810" spans="1:41" x14ac:dyDescent="0.4">
      <c r="A810" t="s">
        <v>801</v>
      </c>
      <c r="B810">
        <f>B809+1</f>
        <v>808</v>
      </c>
      <c r="C810" t="str">
        <f>MID('paste from garc here'!$C$2,1+(('table for research'!$B810-456)*36+HEX2DEC('table for research'!C$1))*2,2)</f>
        <v>00</v>
      </c>
      <c r="D810" t="str">
        <f>MID('paste from garc here'!$C$2,1+(('table for research'!$B810-456)*36+HEX2DEC('table for research'!D$1))*2,2)</f>
        <v>00</v>
      </c>
      <c r="E810" t="str">
        <f>MID('paste from garc here'!$C$2,1+(('table for research'!$B810-456)*36+HEX2DEC('table for research'!E$1))*2,2)</f>
        <v>00</v>
      </c>
      <c r="F810" t="str">
        <f>MID('paste from garc here'!$C$2,1+(('table for research'!$B810-456)*36+HEX2DEC('table for research'!F$1))*2,2)</f>
        <v>00</v>
      </c>
      <c r="G810" t="str">
        <f>MID('paste from garc here'!$C$2,1+(('table for research'!$B810-456)*36+HEX2DEC('table for research'!G$1))*2,2)</f>
        <v>00</v>
      </c>
      <c r="H810" t="str">
        <f>MID('paste from garc here'!$C$2,1+(('table for research'!$B810-456)*36+HEX2DEC('table for research'!H$1))*2,2)</f>
        <v>00</v>
      </c>
      <c r="I810" t="str">
        <f>MID('paste from garc here'!$C$2,1+(('table for research'!$B810-456)*36+HEX2DEC('table for research'!I$1))*2,2)</f>
        <v>00</v>
      </c>
      <c r="J810" t="str">
        <f>MID('paste from garc here'!$C$2,1+(('table for research'!$B810-456)*36+HEX2DEC('table for research'!J$1))*2,2)</f>
        <v>00</v>
      </c>
      <c r="K810" t="str">
        <f>DEC2HEX(_xlfn.BITAND(HEX2DEC(MID('paste from garc here'!$C$1,1+(('table for research'!$B810-1)*36+HEX2DEC(8))*2,2)),31),2)</f>
        <v>00</v>
      </c>
      <c r="L810" t="str">
        <f>DEC2HEX(_xlfn.BITAND(HEX2DEC(MID('paste from garc here'!$C$1,1+(('table for research'!$B810-1)*36+HEX2DEC(8))*2,2)),32),2)</f>
        <v>00</v>
      </c>
      <c r="M810" t="str">
        <f>DEC2HEX(_xlfn.BITAND(HEX2DEC(MID('paste from garc here'!$C$1,1+(('table for research'!$B810-1)*36+HEX2DEC(8))*2,2)),64),2)</f>
        <v>00</v>
      </c>
      <c r="N810" t="str">
        <f>DEC2HEX(_xlfn.BITRSHIFT(_xlfn.BITAND(HEX2DEC(MID('paste from garc here'!$C$1,1+(('table for research'!$B810-1)*36+HEX2DEC(9))*2,2)&amp;MID('paste from garc here'!$C$1,1+(('table for research'!$B810-1)*36+HEX2DEC(8))*2,2)),1920),7),2)</f>
        <v>00</v>
      </c>
      <c r="O810" t="str">
        <f>DEC2HEX(_xlfn.BITRSHIFT(HEX2DEC(MID('paste from garc here'!$C$1,1+(('table for research'!$B810-1)*36+HEX2DEC(9))*2,2)&amp;MID('paste from garc here'!$C$1,1+(('table for research'!$B810-1)*36+HEX2DEC(8))*2,2)),11),2)</f>
        <v>00</v>
      </c>
      <c r="P810" t="str">
        <f>MID('paste from garc here'!$C$2,1+(('table for research'!$B810-456)*36+HEX2DEC('table for research'!P$1))*2,2)</f>
        <v>01</v>
      </c>
      <c r="Q810" t="str">
        <f>MID('paste from garc here'!$C$2,1+(('table for research'!$B810-456)*36+HEX2DEC('table for research'!Q$1))*2,2)</f>
        <v>00</v>
      </c>
      <c r="R810" t="str">
        <f>MID('paste from garc here'!$C$2,1+(('table for research'!$B810-456)*36+HEX2DEC('table for research'!R$1))*2,2)</f>
        <v>00</v>
      </c>
      <c r="S810" t="str">
        <f>MID('paste from garc here'!$C$2,1+(('table for research'!$B810-456)*36+HEX2DEC('table for research'!S$1))*2,2)</f>
        <v>01</v>
      </c>
      <c r="T810" t="str">
        <f>MID('paste from garc here'!$C$2,1+(('table for research'!$B810-456)*36+HEX2DEC('table for research'!T$1))*2,2)</f>
        <v>00</v>
      </c>
      <c r="U810" t="str">
        <f>MID('paste from garc here'!$C$2,1+(('table for research'!$B810-456)*36+HEX2DEC('table for research'!U$1))*2,2)</f>
        <v>02</v>
      </c>
      <c r="V810" t="str">
        <f>MID('paste from garc here'!$C$2,1+(('table for research'!$B810-456)*36+HEX2DEC('table for research'!V$1))*2,2)</f>
        <v>02</v>
      </c>
      <c r="W810" t="str">
        <f>MID('paste from garc here'!$C$2,1+(('table for research'!$B810-456)*36+HEX2DEC('table for research'!W$1))*2,2)</f>
        <v>00</v>
      </c>
      <c r="X810" t="str">
        <f>MID('paste from garc here'!$C$2,1+(('table for research'!$B810-456)*36+HEX2DEC('table for research'!X$1))*2,2)</f>
        <v>00</v>
      </c>
      <c r="Y810" t="str">
        <f>MID('paste from garc here'!$C$2,1+(('table for research'!$B810-456)*36+HEX2DEC('table for research'!Y$1))*2,2)</f>
        <v>00</v>
      </c>
      <c r="Z810" t="str">
        <f>MID('paste from garc here'!$C$2,1+(('table for research'!$B810-456)*36+HEX2DEC('table for research'!Z$1))*2,2)</f>
        <v>00</v>
      </c>
      <c r="AA810" t="str">
        <f>MID('paste from garc here'!$C$2,1+(('table for research'!$B810-456)*36+HEX2DEC('table for research'!AA$1))*2,2)</f>
        <v>00</v>
      </c>
      <c r="AB810" t="str">
        <f>MID('paste from garc here'!$C$2,1+(('table for research'!$B810-456)*36+HEX2DEC('table for research'!AB$1))*2,2)</f>
        <v>00</v>
      </c>
      <c r="AC810" t="str">
        <f>MID('paste from garc here'!$C$2,1+(('table for research'!$B810-456)*36+HEX2DEC('table for research'!AC$1))*2,2)</f>
        <v>00</v>
      </c>
      <c r="AD810" t="str">
        <f>MID('paste from garc here'!$C$2,1+(('table for research'!$B810-456)*36+HEX2DEC('table for research'!AD$1))*2,2)</f>
        <v>00</v>
      </c>
      <c r="AE810" t="str">
        <f>MID('paste from garc here'!$C$2,1+(('table for research'!$B810-456)*36+HEX2DEC('table for research'!AE$1))*2,2)</f>
        <v>00</v>
      </c>
      <c r="AF810" t="str">
        <f>MID('paste from garc here'!$C$2,1+(('table for research'!$B810-456)*36+HEX2DEC('table for research'!AF$1))*2,2)</f>
        <v>00</v>
      </c>
      <c r="AG810" t="str">
        <f>MID('paste from garc here'!$C$2,1+(('table for research'!$B810-456)*36+HEX2DEC('table for research'!AG$1))*2,2)</f>
        <v>00</v>
      </c>
      <c r="AH810" t="str">
        <f>MID('paste from garc here'!$C$2,1+(('table for research'!$B810-456)*36+HEX2DEC('table for research'!AH$1))*2,2)</f>
        <v>00</v>
      </c>
      <c r="AI810" t="str">
        <f>MID('paste from garc here'!$C$2,1+(('table for research'!$B810-456)*36+HEX2DEC('table for research'!AI$1))*2,2)</f>
        <v>00</v>
      </c>
      <c r="AJ810" t="str">
        <f>MID('paste from garc here'!$C$2,1+(('table for research'!$B810-456)*36+HEX2DEC('table for research'!AJ$1))*2,2)</f>
        <v>00</v>
      </c>
      <c r="AK810" t="str">
        <f>MID('paste from garc here'!$C$2,1+(('table for research'!$B810-456)*36+HEX2DEC('table for research'!AK$1))*2,2)</f>
        <v>00</v>
      </c>
      <c r="AL810" t="str">
        <f>MID('paste from garc here'!$C$2,1+(('table for research'!$B810-456)*36+HEX2DEC('table for research'!AL$1))*2,2)</f>
        <v>00</v>
      </c>
      <c r="AM810" t="str">
        <f>MID('paste from garc here'!$C$2,1+(('table for research'!$B810-456)*36+HEX2DEC('table for research'!AM$1))*2,2)</f>
        <v>00</v>
      </c>
      <c r="AN810" t="str">
        <f>MID('paste from garc here'!$C$2,1+(('table for research'!$B810-456)*36+HEX2DEC('table for research'!AN$1))*2,2)</f>
        <v>00</v>
      </c>
      <c r="AO810" t="str">
        <f>MID('paste from garc here'!$C$2,1+(('table for research'!$B810-456)*36+HEX2DEC('table for research'!AO$1))*2,2)</f>
        <v>00</v>
      </c>
    </row>
    <row r="811" spans="1:41" x14ac:dyDescent="0.4">
      <c r="A811" t="s">
        <v>802</v>
      </c>
      <c r="B811">
        <f>B810+1</f>
        <v>809</v>
      </c>
      <c r="C811" t="str">
        <f>MID('paste from garc here'!$C$2,1+(('table for research'!$B811-456)*36+HEX2DEC('table for research'!C$1))*2,2)</f>
        <v>00</v>
      </c>
      <c r="D811" t="str">
        <f>MID('paste from garc here'!$C$2,1+(('table for research'!$B811-456)*36+HEX2DEC('table for research'!D$1))*2,2)</f>
        <v>00</v>
      </c>
      <c r="E811" t="str">
        <f>MID('paste from garc here'!$C$2,1+(('table for research'!$B811-456)*36+HEX2DEC('table for research'!E$1))*2,2)</f>
        <v>00</v>
      </c>
      <c r="F811" t="str">
        <f>MID('paste from garc here'!$C$2,1+(('table for research'!$B811-456)*36+HEX2DEC('table for research'!F$1))*2,2)</f>
        <v>00</v>
      </c>
      <c r="G811" t="str">
        <f>MID('paste from garc here'!$C$2,1+(('table for research'!$B811-456)*36+HEX2DEC('table for research'!G$1))*2,2)</f>
        <v>00</v>
      </c>
      <c r="H811" t="str">
        <f>MID('paste from garc here'!$C$2,1+(('table for research'!$B811-456)*36+HEX2DEC('table for research'!H$1))*2,2)</f>
        <v>00</v>
      </c>
      <c r="I811" t="str">
        <f>MID('paste from garc here'!$C$2,1+(('table for research'!$B811-456)*36+HEX2DEC('table for research'!I$1))*2,2)</f>
        <v>00</v>
      </c>
      <c r="J811" t="str">
        <f>MID('paste from garc here'!$C$2,1+(('table for research'!$B811-456)*36+HEX2DEC('table for research'!J$1))*2,2)</f>
        <v>00</v>
      </c>
      <c r="K811" t="str">
        <f>DEC2HEX(_xlfn.BITAND(HEX2DEC(MID('paste from garc here'!$C$1,1+(('table for research'!$B811-1)*36+HEX2DEC(8))*2,2)),31),2)</f>
        <v>00</v>
      </c>
      <c r="L811" t="str">
        <f>DEC2HEX(_xlfn.BITAND(HEX2DEC(MID('paste from garc here'!$C$1,1+(('table for research'!$B811-1)*36+HEX2DEC(8))*2,2)),32),2)</f>
        <v>00</v>
      </c>
      <c r="M811" t="str">
        <f>DEC2HEX(_xlfn.BITAND(HEX2DEC(MID('paste from garc here'!$C$1,1+(('table for research'!$B811-1)*36+HEX2DEC(8))*2,2)),64),2)</f>
        <v>00</v>
      </c>
      <c r="N811" t="str">
        <f>DEC2HEX(_xlfn.BITRSHIFT(_xlfn.BITAND(HEX2DEC(MID('paste from garc here'!$C$1,1+(('table for research'!$B811-1)*36+HEX2DEC(9))*2,2)&amp;MID('paste from garc here'!$C$1,1+(('table for research'!$B811-1)*36+HEX2DEC(8))*2,2)),1920),7),2)</f>
        <v>00</v>
      </c>
      <c r="O811" t="str">
        <f>DEC2HEX(_xlfn.BITRSHIFT(HEX2DEC(MID('paste from garc here'!$C$1,1+(('table for research'!$B811-1)*36+HEX2DEC(9))*2,2)&amp;MID('paste from garc here'!$C$1,1+(('table for research'!$B811-1)*36+HEX2DEC(8))*2,2)),11),2)</f>
        <v>00</v>
      </c>
      <c r="P811" t="str">
        <f>MID('paste from garc here'!$C$2,1+(('table for research'!$B811-456)*36+HEX2DEC('table for research'!P$1))*2,2)</f>
        <v>01</v>
      </c>
      <c r="Q811" t="str">
        <f>MID('paste from garc here'!$C$2,1+(('table for research'!$B811-456)*36+HEX2DEC('table for research'!Q$1))*2,2)</f>
        <v>00</v>
      </c>
      <c r="R811" t="str">
        <f>MID('paste from garc here'!$C$2,1+(('table for research'!$B811-456)*36+HEX2DEC('table for research'!R$1))*2,2)</f>
        <v>00</v>
      </c>
      <c r="S811" t="str">
        <f>MID('paste from garc here'!$C$2,1+(('table for research'!$B811-456)*36+HEX2DEC('table for research'!S$1))*2,2)</f>
        <v>01</v>
      </c>
      <c r="T811" t="str">
        <f>MID('paste from garc here'!$C$2,1+(('table for research'!$B811-456)*36+HEX2DEC('table for research'!T$1))*2,2)</f>
        <v>00</v>
      </c>
      <c r="U811" t="str">
        <f>MID('paste from garc here'!$C$2,1+(('table for research'!$B811-456)*36+HEX2DEC('table for research'!U$1))*2,2)</f>
        <v>03</v>
      </c>
      <c r="V811" t="str">
        <f>MID('paste from garc here'!$C$2,1+(('table for research'!$B811-456)*36+HEX2DEC('table for research'!V$1))*2,2)</f>
        <v>03</v>
      </c>
      <c r="W811" t="str">
        <f>MID('paste from garc here'!$C$2,1+(('table for research'!$B811-456)*36+HEX2DEC('table for research'!W$1))*2,2)</f>
        <v>00</v>
      </c>
      <c r="X811" t="str">
        <f>MID('paste from garc here'!$C$2,1+(('table for research'!$B811-456)*36+HEX2DEC('table for research'!X$1))*2,2)</f>
        <v>00</v>
      </c>
      <c r="Y811" t="str">
        <f>MID('paste from garc here'!$C$2,1+(('table for research'!$B811-456)*36+HEX2DEC('table for research'!Y$1))*2,2)</f>
        <v>00</v>
      </c>
      <c r="Z811" t="str">
        <f>MID('paste from garc here'!$C$2,1+(('table for research'!$B811-456)*36+HEX2DEC('table for research'!Z$1))*2,2)</f>
        <v>00</v>
      </c>
      <c r="AA811" t="str">
        <f>MID('paste from garc here'!$C$2,1+(('table for research'!$B811-456)*36+HEX2DEC('table for research'!AA$1))*2,2)</f>
        <v>00</v>
      </c>
      <c r="AB811" t="str">
        <f>MID('paste from garc here'!$C$2,1+(('table for research'!$B811-456)*36+HEX2DEC('table for research'!AB$1))*2,2)</f>
        <v>00</v>
      </c>
      <c r="AC811" t="str">
        <f>MID('paste from garc here'!$C$2,1+(('table for research'!$B811-456)*36+HEX2DEC('table for research'!AC$1))*2,2)</f>
        <v>00</v>
      </c>
      <c r="AD811" t="str">
        <f>MID('paste from garc here'!$C$2,1+(('table for research'!$B811-456)*36+HEX2DEC('table for research'!AD$1))*2,2)</f>
        <v>00</v>
      </c>
      <c r="AE811" t="str">
        <f>MID('paste from garc here'!$C$2,1+(('table for research'!$B811-456)*36+HEX2DEC('table for research'!AE$1))*2,2)</f>
        <v>00</v>
      </c>
      <c r="AF811" t="str">
        <f>MID('paste from garc here'!$C$2,1+(('table for research'!$B811-456)*36+HEX2DEC('table for research'!AF$1))*2,2)</f>
        <v>00</v>
      </c>
      <c r="AG811" t="str">
        <f>MID('paste from garc here'!$C$2,1+(('table for research'!$B811-456)*36+HEX2DEC('table for research'!AG$1))*2,2)</f>
        <v>00</v>
      </c>
      <c r="AH811" t="str">
        <f>MID('paste from garc here'!$C$2,1+(('table for research'!$B811-456)*36+HEX2DEC('table for research'!AH$1))*2,2)</f>
        <v>00</v>
      </c>
      <c r="AI811" t="str">
        <f>MID('paste from garc here'!$C$2,1+(('table for research'!$B811-456)*36+HEX2DEC('table for research'!AI$1))*2,2)</f>
        <v>00</v>
      </c>
      <c r="AJ811" t="str">
        <f>MID('paste from garc here'!$C$2,1+(('table for research'!$B811-456)*36+HEX2DEC('table for research'!AJ$1))*2,2)</f>
        <v>00</v>
      </c>
      <c r="AK811" t="str">
        <f>MID('paste from garc here'!$C$2,1+(('table for research'!$B811-456)*36+HEX2DEC('table for research'!AK$1))*2,2)</f>
        <v>00</v>
      </c>
      <c r="AL811" t="str">
        <f>MID('paste from garc here'!$C$2,1+(('table for research'!$B811-456)*36+HEX2DEC('table for research'!AL$1))*2,2)</f>
        <v>00</v>
      </c>
      <c r="AM811" t="str">
        <f>MID('paste from garc here'!$C$2,1+(('table for research'!$B811-456)*36+HEX2DEC('table for research'!AM$1))*2,2)</f>
        <v>00</v>
      </c>
      <c r="AN811" t="str">
        <f>MID('paste from garc here'!$C$2,1+(('table for research'!$B811-456)*36+HEX2DEC('table for research'!AN$1))*2,2)</f>
        <v>00</v>
      </c>
      <c r="AO811" t="str">
        <f>MID('paste from garc here'!$C$2,1+(('table for research'!$B811-456)*36+HEX2DEC('table for research'!AO$1))*2,2)</f>
        <v>00</v>
      </c>
    </row>
    <row r="812" spans="1:41" x14ac:dyDescent="0.4">
      <c r="A812" t="s">
        <v>803</v>
      </c>
      <c r="B812">
        <f>B811+1</f>
        <v>810</v>
      </c>
      <c r="C812" t="str">
        <f>MID('paste from garc here'!$C$2,1+(('table for research'!$B812-456)*36+HEX2DEC('table for research'!C$1))*2,2)</f>
        <v>00</v>
      </c>
      <c r="D812" t="str">
        <f>MID('paste from garc here'!$C$2,1+(('table for research'!$B812-456)*36+HEX2DEC('table for research'!D$1))*2,2)</f>
        <v>00</v>
      </c>
      <c r="E812" t="str">
        <f>MID('paste from garc here'!$C$2,1+(('table for research'!$B812-456)*36+HEX2DEC('table for research'!E$1))*2,2)</f>
        <v>00</v>
      </c>
      <c r="F812" t="str">
        <f>MID('paste from garc here'!$C$2,1+(('table for research'!$B812-456)*36+HEX2DEC('table for research'!F$1))*2,2)</f>
        <v>00</v>
      </c>
      <c r="G812" t="str">
        <f>MID('paste from garc here'!$C$2,1+(('table for research'!$B812-456)*36+HEX2DEC('table for research'!G$1))*2,2)</f>
        <v>00</v>
      </c>
      <c r="H812" t="str">
        <f>MID('paste from garc here'!$C$2,1+(('table for research'!$B812-456)*36+HEX2DEC('table for research'!H$1))*2,2)</f>
        <v>00</v>
      </c>
      <c r="I812" t="str">
        <f>MID('paste from garc here'!$C$2,1+(('table for research'!$B812-456)*36+HEX2DEC('table for research'!I$1))*2,2)</f>
        <v>00</v>
      </c>
      <c r="J812" t="str">
        <f>MID('paste from garc here'!$C$2,1+(('table for research'!$B812-456)*36+HEX2DEC('table for research'!J$1))*2,2)</f>
        <v>00</v>
      </c>
      <c r="K812" t="str">
        <f>DEC2HEX(_xlfn.BITAND(HEX2DEC(MID('paste from garc here'!$C$1,1+(('table for research'!$B812-1)*36+HEX2DEC(8))*2,2)),31),2)</f>
        <v>00</v>
      </c>
      <c r="L812" t="str">
        <f>DEC2HEX(_xlfn.BITAND(HEX2DEC(MID('paste from garc here'!$C$1,1+(('table for research'!$B812-1)*36+HEX2DEC(8))*2,2)),32),2)</f>
        <v>00</v>
      </c>
      <c r="M812" t="str">
        <f>DEC2HEX(_xlfn.BITAND(HEX2DEC(MID('paste from garc here'!$C$1,1+(('table for research'!$B812-1)*36+HEX2DEC(8))*2,2)),64),2)</f>
        <v>00</v>
      </c>
      <c r="N812" t="str">
        <f>DEC2HEX(_xlfn.BITRSHIFT(_xlfn.BITAND(HEX2DEC(MID('paste from garc here'!$C$1,1+(('table for research'!$B812-1)*36+HEX2DEC(9))*2,2)&amp;MID('paste from garc here'!$C$1,1+(('table for research'!$B812-1)*36+HEX2DEC(8))*2,2)),1920),7),2)</f>
        <v>00</v>
      </c>
      <c r="O812" t="str">
        <f>DEC2HEX(_xlfn.BITRSHIFT(HEX2DEC(MID('paste from garc here'!$C$1,1+(('table for research'!$B812-1)*36+HEX2DEC(9))*2,2)&amp;MID('paste from garc here'!$C$1,1+(('table for research'!$B812-1)*36+HEX2DEC(8))*2,2)),11),2)</f>
        <v>00</v>
      </c>
      <c r="P812" t="str">
        <f>MID('paste from garc here'!$C$2,1+(('table for research'!$B812-456)*36+HEX2DEC('table for research'!P$1))*2,2)</f>
        <v>01</v>
      </c>
      <c r="Q812" t="str">
        <f>MID('paste from garc here'!$C$2,1+(('table for research'!$B812-456)*36+HEX2DEC('table for research'!Q$1))*2,2)</f>
        <v>00</v>
      </c>
      <c r="R812" t="str">
        <f>MID('paste from garc here'!$C$2,1+(('table for research'!$B812-456)*36+HEX2DEC('table for research'!R$1))*2,2)</f>
        <v>00</v>
      </c>
      <c r="S812" t="str">
        <f>MID('paste from garc here'!$C$2,1+(('table for research'!$B812-456)*36+HEX2DEC('table for research'!S$1))*2,2)</f>
        <v>01</v>
      </c>
      <c r="T812" t="str">
        <f>MID('paste from garc here'!$C$2,1+(('table for research'!$B812-456)*36+HEX2DEC('table for research'!T$1))*2,2)</f>
        <v>00</v>
      </c>
      <c r="U812" t="str">
        <f>MID('paste from garc here'!$C$2,1+(('table for research'!$B812-456)*36+HEX2DEC('table for research'!U$1))*2,2)</f>
        <v>04</v>
      </c>
      <c r="V812" t="str">
        <f>MID('paste from garc here'!$C$2,1+(('table for research'!$B812-456)*36+HEX2DEC('table for research'!V$1))*2,2)</f>
        <v>04</v>
      </c>
      <c r="W812" t="str">
        <f>MID('paste from garc here'!$C$2,1+(('table for research'!$B812-456)*36+HEX2DEC('table for research'!W$1))*2,2)</f>
        <v>00</v>
      </c>
      <c r="X812" t="str">
        <f>MID('paste from garc here'!$C$2,1+(('table for research'!$B812-456)*36+HEX2DEC('table for research'!X$1))*2,2)</f>
        <v>00</v>
      </c>
      <c r="Y812" t="str">
        <f>MID('paste from garc here'!$C$2,1+(('table for research'!$B812-456)*36+HEX2DEC('table for research'!Y$1))*2,2)</f>
        <v>00</v>
      </c>
      <c r="Z812" t="str">
        <f>MID('paste from garc here'!$C$2,1+(('table for research'!$B812-456)*36+HEX2DEC('table for research'!Z$1))*2,2)</f>
        <v>00</v>
      </c>
      <c r="AA812" t="str">
        <f>MID('paste from garc here'!$C$2,1+(('table for research'!$B812-456)*36+HEX2DEC('table for research'!AA$1))*2,2)</f>
        <v>00</v>
      </c>
      <c r="AB812" t="str">
        <f>MID('paste from garc here'!$C$2,1+(('table for research'!$B812-456)*36+HEX2DEC('table for research'!AB$1))*2,2)</f>
        <v>00</v>
      </c>
      <c r="AC812" t="str">
        <f>MID('paste from garc here'!$C$2,1+(('table for research'!$B812-456)*36+HEX2DEC('table for research'!AC$1))*2,2)</f>
        <v>00</v>
      </c>
      <c r="AD812" t="str">
        <f>MID('paste from garc here'!$C$2,1+(('table for research'!$B812-456)*36+HEX2DEC('table for research'!AD$1))*2,2)</f>
        <v>00</v>
      </c>
      <c r="AE812" t="str">
        <f>MID('paste from garc here'!$C$2,1+(('table for research'!$B812-456)*36+HEX2DEC('table for research'!AE$1))*2,2)</f>
        <v>00</v>
      </c>
      <c r="AF812" t="str">
        <f>MID('paste from garc here'!$C$2,1+(('table for research'!$B812-456)*36+HEX2DEC('table for research'!AF$1))*2,2)</f>
        <v>00</v>
      </c>
      <c r="AG812" t="str">
        <f>MID('paste from garc here'!$C$2,1+(('table for research'!$B812-456)*36+HEX2DEC('table for research'!AG$1))*2,2)</f>
        <v>00</v>
      </c>
      <c r="AH812" t="str">
        <f>MID('paste from garc here'!$C$2,1+(('table for research'!$B812-456)*36+HEX2DEC('table for research'!AH$1))*2,2)</f>
        <v>00</v>
      </c>
      <c r="AI812" t="str">
        <f>MID('paste from garc here'!$C$2,1+(('table for research'!$B812-456)*36+HEX2DEC('table for research'!AI$1))*2,2)</f>
        <v>00</v>
      </c>
      <c r="AJ812" t="str">
        <f>MID('paste from garc here'!$C$2,1+(('table for research'!$B812-456)*36+HEX2DEC('table for research'!AJ$1))*2,2)</f>
        <v>00</v>
      </c>
      <c r="AK812" t="str">
        <f>MID('paste from garc here'!$C$2,1+(('table for research'!$B812-456)*36+HEX2DEC('table for research'!AK$1))*2,2)</f>
        <v>00</v>
      </c>
      <c r="AL812" t="str">
        <f>MID('paste from garc here'!$C$2,1+(('table for research'!$B812-456)*36+HEX2DEC('table for research'!AL$1))*2,2)</f>
        <v>00</v>
      </c>
      <c r="AM812" t="str">
        <f>MID('paste from garc here'!$C$2,1+(('table for research'!$B812-456)*36+HEX2DEC('table for research'!AM$1))*2,2)</f>
        <v>00</v>
      </c>
      <c r="AN812" t="str">
        <f>MID('paste from garc here'!$C$2,1+(('table for research'!$B812-456)*36+HEX2DEC('table for research'!AN$1))*2,2)</f>
        <v>00</v>
      </c>
      <c r="AO812" t="str">
        <f>MID('paste from garc here'!$C$2,1+(('table for research'!$B812-456)*36+HEX2DEC('table for research'!AO$1))*2,2)</f>
        <v>00</v>
      </c>
    </row>
    <row r="813" spans="1:41" x14ac:dyDescent="0.4">
      <c r="A813" t="s">
        <v>804</v>
      </c>
      <c r="B813">
        <f>B812+1</f>
        <v>811</v>
      </c>
      <c r="C813" t="str">
        <f>MID('paste from garc here'!$C$2,1+(('table for research'!$B813-456)*36+HEX2DEC('table for research'!C$1))*2,2)</f>
        <v>00</v>
      </c>
      <c r="D813" t="str">
        <f>MID('paste from garc here'!$C$2,1+(('table for research'!$B813-456)*36+HEX2DEC('table for research'!D$1))*2,2)</f>
        <v>00</v>
      </c>
      <c r="E813" t="str">
        <f>MID('paste from garc here'!$C$2,1+(('table for research'!$B813-456)*36+HEX2DEC('table for research'!E$1))*2,2)</f>
        <v>00</v>
      </c>
      <c r="F813" t="str">
        <f>MID('paste from garc here'!$C$2,1+(('table for research'!$B813-456)*36+HEX2DEC('table for research'!F$1))*2,2)</f>
        <v>00</v>
      </c>
      <c r="G813" t="str">
        <f>MID('paste from garc here'!$C$2,1+(('table for research'!$B813-456)*36+HEX2DEC('table for research'!G$1))*2,2)</f>
        <v>00</v>
      </c>
      <c r="H813" t="str">
        <f>MID('paste from garc here'!$C$2,1+(('table for research'!$B813-456)*36+HEX2DEC('table for research'!H$1))*2,2)</f>
        <v>00</v>
      </c>
      <c r="I813" t="str">
        <f>MID('paste from garc here'!$C$2,1+(('table for research'!$B813-456)*36+HEX2DEC('table for research'!I$1))*2,2)</f>
        <v>00</v>
      </c>
      <c r="J813" t="str">
        <f>MID('paste from garc here'!$C$2,1+(('table for research'!$B813-456)*36+HEX2DEC('table for research'!J$1))*2,2)</f>
        <v>00</v>
      </c>
      <c r="K813" t="str">
        <f>DEC2HEX(_xlfn.BITAND(HEX2DEC(MID('paste from garc here'!$C$1,1+(('table for research'!$B813-1)*36+HEX2DEC(8))*2,2)),31),2)</f>
        <v>00</v>
      </c>
      <c r="L813" t="str">
        <f>DEC2HEX(_xlfn.BITAND(HEX2DEC(MID('paste from garc here'!$C$1,1+(('table for research'!$B813-1)*36+HEX2DEC(8))*2,2)),32),2)</f>
        <v>00</v>
      </c>
      <c r="M813" t="str">
        <f>DEC2HEX(_xlfn.BITAND(HEX2DEC(MID('paste from garc here'!$C$1,1+(('table for research'!$B813-1)*36+HEX2DEC(8))*2,2)),64),2)</f>
        <v>00</v>
      </c>
      <c r="N813" t="str">
        <f>DEC2HEX(_xlfn.BITRSHIFT(_xlfn.BITAND(HEX2DEC(MID('paste from garc here'!$C$1,1+(('table for research'!$B813-1)*36+HEX2DEC(9))*2,2)&amp;MID('paste from garc here'!$C$1,1+(('table for research'!$B813-1)*36+HEX2DEC(8))*2,2)),1920),7),2)</f>
        <v>00</v>
      </c>
      <c r="O813" t="str">
        <f>DEC2HEX(_xlfn.BITRSHIFT(HEX2DEC(MID('paste from garc here'!$C$1,1+(('table for research'!$B813-1)*36+HEX2DEC(9))*2,2)&amp;MID('paste from garc here'!$C$1,1+(('table for research'!$B813-1)*36+HEX2DEC(8))*2,2)),11),2)</f>
        <v>00</v>
      </c>
      <c r="P813" t="str">
        <f>MID('paste from garc here'!$C$2,1+(('table for research'!$B813-456)*36+HEX2DEC('table for research'!P$1))*2,2)</f>
        <v>01</v>
      </c>
      <c r="Q813" t="str">
        <f>MID('paste from garc here'!$C$2,1+(('table for research'!$B813-456)*36+HEX2DEC('table for research'!Q$1))*2,2)</f>
        <v>00</v>
      </c>
      <c r="R813" t="str">
        <f>MID('paste from garc here'!$C$2,1+(('table for research'!$B813-456)*36+HEX2DEC('table for research'!R$1))*2,2)</f>
        <v>00</v>
      </c>
      <c r="S813" t="str">
        <f>MID('paste from garc here'!$C$2,1+(('table for research'!$B813-456)*36+HEX2DEC('table for research'!S$1))*2,2)</f>
        <v>01</v>
      </c>
      <c r="T813" t="str">
        <f>MID('paste from garc here'!$C$2,1+(('table for research'!$B813-456)*36+HEX2DEC('table for research'!T$1))*2,2)</f>
        <v>00</v>
      </c>
      <c r="U813" t="str">
        <f>MID('paste from garc here'!$C$2,1+(('table for research'!$B813-456)*36+HEX2DEC('table for research'!U$1))*2,2)</f>
        <v>05</v>
      </c>
      <c r="V813" t="str">
        <f>MID('paste from garc here'!$C$2,1+(('table for research'!$B813-456)*36+HEX2DEC('table for research'!V$1))*2,2)</f>
        <v>05</v>
      </c>
      <c r="W813" t="str">
        <f>MID('paste from garc here'!$C$2,1+(('table for research'!$B813-456)*36+HEX2DEC('table for research'!W$1))*2,2)</f>
        <v>00</v>
      </c>
      <c r="X813" t="str">
        <f>MID('paste from garc here'!$C$2,1+(('table for research'!$B813-456)*36+HEX2DEC('table for research'!X$1))*2,2)</f>
        <v>00</v>
      </c>
      <c r="Y813" t="str">
        <f>MID('paste from garc here'!$C$2,1+(('table for research'!$B813-456)*36+HEX2DEC('table for research'!Y$1))*2,2)</f>
        <v>00</v>
      </c>
      <c r="Z813" t="str">
        <f>MID('paste from garc here'!$C$2,1+(('table for research'!$B813-456)*36+HEX2DEC('table for research'!Z$1))*2,2)</f>
        <v>00</v>
      </c>
      <c r="AA813" t="str">
        <f>MID('paste from garc here'!$C$2,1+(('table for research'!$B813-456)*36+HEX2DEC('table for research'!AA$1))*2,2)</f>
        <v>00</v>
      </c>
      <c r="AB813" t="str">
        <f>MID('paste from garc here'!$C$2,1+(('table for research'!$B813-456)*36+HEX2DEC('table for research'!AB$1))*2,2)</f>
        <v>00</v>
      </c>
      <c r="AC813" t="str">
        <f>MID('paste from garc here'!$C$2,1+(('table for research'!$B813-456)*36+HEX2DEC('table for research'!AC$1))*2,2)</f>
        <v>00</v>
      </c>
      <c r="AD813" t="str">
        <f>MID('paste from garc here'!$C$2,1+(('table for research'!$B813-456)*36+HEX2DEC('table for research'!AD$1))*2,2)</f>
        <v>00</v>
      </c>
      <c r="AE813" t="str">
        <f>MID('paste from garc here'!$C$2,1+(('table for research'!$B813-456)*36+HEX2DEC('table for research'!AE$1))*2,2)</f>
        <v>00</v>
      </c>
      <c r="AF813" t="str">
        <f>MID('paste from garc here'!$C$2,1+(('table for research'!$B813-456)*36+HEX2DEC('table for research'!AF$1))*2,2)</f>
        <v>00</v>
      </c>
      <c r="AG813" t="str">
        <f>MID('paste from garc here'!$C$2,1+(('table for research'!$B813-456)*36+HEX2DEC('table for research'!AG$1))*2,2)</f>
        <v>00</v>
      </c>
      <c r="AH813" t="str">
        <f>MID('paste from garc here'!$C$2,1+(('table for research'!$B813-456)*36+HEX2DEC('table for research'!AH$1))*2,2)</f>
        <v>00</v>
      </c>
      <c r="AI813" t="str">
        <f>MID('paste from garc here'!$C$2,1+(('table for research'!$B813-456)*36+HEX2DEC('table for research'!AI$1))*2,2)</f>
        <v>00</v>
      </c>
      <c r="AJ813" t="str">
        <f>MID('paste from garc here'!$C$2,1+(('table for research'!$B813-456)*36+HEX2DEC('table for research'!AJ$1))*2,2)</f>
        <v>00</v>
      </c>
      <c r="AK813" t="str">
        <f>MID('paste from garc here'!$C$2,1+(('table for research'!$B813-456)*36+HEX2DEC('table for research'!AK$1))*2,2)</f>
        <v>00</v>
      </c>
      <c r="AL813" t="str">
        <f>MID('paste from garc here'!$C$2,1+(('table for research'!$B813-456)*36+HEX2DEC('table for research'!AL$1))*2,2)</f>
        <v>00</v>
      </c>
      <c r="AM813" t="str">
        <f>MID('paste from garc here'!$C$2,1+(('table for research'!$B813-456)*36+HEX2DEC('table for research'!AM$1))*2,2)</f>
        <v>00</v>
      </c>
      <c r="AN813" t="str">
        <f>MID('paste from garc here'!$C$2,1+(('table for research'!$B813-456)*36+HEX2DEC('table for research'!AN$1))*2,2)</f>
        <v>00</v>
      </c>
      <c r="AO813" t="str">
        <f>MID('paste from garc here'!$C$2,1+(('table for research'!$B813-456)*36+HEX2DEC('table for research'!AO$1))*2,2)</f>
        <v>00</v>
      </c>
    </row>
    <row r="814" spans="1:41" x14ac:dyDescent="0.4">
      <c r="A814" t="s">
        <v>805</v>
      </c>
      <c r="B814">
        <f>B813+1</f>
        <v>812</v>
      </c>
      <c r="C814" t="str">
        <f>MID('paste from garc here'!$C$2,1+(('table for research'!$B814-456)*36+HEX2DEC('table for research'!C$1))*2,2)</f>
        <v>00</v>
      </c>
      <c r="D814" t="str">
        <f>MID('paste from garc here'!$C$2,1+(('table for research'!$B814-456)*36+HEX2DEC('table for research'!D$1))*2,2)</f>
        <v>00</v>
      </c>
      <c r="E814" t="str">
        <f>MID('paste from garc here'!$C$2,1+(('table for research'!$B814-456)*36+HEX2DEC('table for research'!E$1))*2,2)</f>
        <v>00</v>
      </c>
      <c r="F814" t="str">
        <f>MID('paste from garc here'!$C$2,1+(('table for research'!$B814-456)*36+HEX2DEC('table for research'!F$1))*2,2)</f>
        <v>00</v>
      </c>
      <c r="G814" t="str">
        <f>MID('paste from garc here'!$C$2,1+(('table for research'!$B814-456)*36+HEX2DEC('table for research'!G$1))*2,2)</f>
        <v>00</v>
      </c>
      <c r="H814" t="str">
        <f>MID('paste from garc here'!$C$2,1+(('table for research'!$B814-456)*36+HEX2DEC('table for research'!H$1))*2,2)</f>
        <v>00</v>
      </c>
      <c r="I814" t="str">
        <f>MID('paste from garc here'!$C$2,1+(('table for research'!$B814-456)*36+HEX2DEC('table for research'!I$1))*2,2)</f>
        <v>00</v>
      </c>
      <c r="J814" t="str">
        <f>MID('paste from garc here'!$C$2,1+(('table for research'!$B814-456)*36+HEX2DEC('table for research'!J$1))*2,2)</f>
        <v>00</v>
      </c>
      <c r="K814" t="str">
        <f>DEC2HEX(_xlfn.BITAND(HEX2DEC(MID('paste from garc here'!$C$1,1+(('table for research'!$B814-1)*36+HEX2DEC(8))*2,2)),31),2)</f>
        <v>00</v>
      </c>
      <c r="L814" t="str">
        <f>DEC2HEX(_xlfn.BITAND(HEX2DEC(MID('paste from garc here'!$C$1,1+(('table for research'!$B814-1)*36+HEX2DEC(8))*2,2)),32),2)</f>
        <v>00</v>
      </c>
      <c r="M814" t="str">
        <f>DEC2HEX(_xlfn.BITAND(HEX2DEC(MID('paste from garc here'!$C$1,1+(('table for research'!$B814-1)*36+HEX2DEC(8))*2,2)),64),2)</f>
        <v>00</v>
      </c>
      <c r="N814" t="str">
        <f>DEC2HEX(_xlfn.BITRSHIFT(_xlfn.BITAND(HEX2DEC(MID('paste from garc here'!$C$1,1+(('table for research'!$B814-1)*36+HEX2DEC(9))*2,2)&amp;MID('paste from garc here'!$C$1,1+(('table for research'!$B814-1)*36+HEX2DEC(8))*2,2)),1920),7),2)</f>
        <v>00</v>
      </c>
      <c r="O814" t="str">
        <f>DEC2HEX(_xlfn.BITRSHIFT(HEX2DEC(MID('paste from garc here'!$C$1,1+(('table for research'!$B814-1)*36+HEX2DEC(9))*2,2)&amp;MID('paste from garc here'!$C$1,1+(('table for research'!$B814-1)*36+HEX2DEC(8))*2,2)),11),2)</f>
        <v>00</v>
      </c>
      <c r="P814" t="str">
        <f>MID('paste from garc here'!$C$2,1+(('table for research'!$B814-456)*36+HEX2DEC('table for research'!P$1))*2,2)</f>
        <v>01</v>
      </c>
      <c r="Q814" t="str">
        <f>MID('paste from garc here'!$C$2,1+(('table for research'!$B814-456)*36+HEX2DEC('table for research'!Q$1))*2,2)</f>
        <v>00</v>
      </c>
      <c r="R814" t="str">
        <f>MID('paste from garc here'!$C$2,1+(('table for research'!$B814-456)*36+HEX2DEC('table for research'!R$1))*2,2)</f>
        <v>00</v>
      </c>
      <c r="S814" t="str">
        <f>MID('paste from garc here'!$C$2,1+(('table for research'!$B814-456)*36+HEX2DEC('table for research'!S$1))*2,2)</f>
        <v>01</v>
      </c>
      <c r="T814" t="str">
        <f>MID('paste from garc here'!$C$2,1+(('table for research'!$B814-456)*36+HEX2DEC('table for research'!T$1))*2,2)</f>
        <v>00</v>
      </c>
      <c r="U814" t="str">
        <f>MID('paste from garc here'!$C$2,1+(('table for research'!$B814-456)*36+HEX2DEC('table for research'!U$1))*2,2)</f>
        <v>06</v>
      </c>
      <c r="V814" t="str">
        <f>MID('paste from garc here'!$C$2,1+(('table for research'!$B814-456)*36+HEX2DEC('table for research'!V$1))*2,2)</f>
        <v>06</v>
      </c>
      <c r="W814" t="str">
        <f>MID('paste from garc here'!$C$2,1+(('table for research'!$B814-456)*36+HEX2DEC('table for research'!W$1))*2,2)</f>
        <v>00</v>
      </c>
      <c r="X814" t="str">
        <f>MID('paste from garc here'!$C$2,1+(('table for research'!$B814-456)*36+HEX2DEC('table for research'!X$1))*2,2)</f>
        <v>00</v>
      </c>
      <c r="Y814" t="str">
        <f>MID('paste from garc here'!$C$2,1+(('table for research'!$B814-456)*36+HEX2DEC('table for research'!Y$1))*2,2)</f>
        <v>00</v>
      </c>
      <c r="Z814" t="str">
        <f>MID('paste from garc here'!$C$2,1+(('table for research'!$B814-456)*36+HEX2DEC('table for research'!Z$1))*2,2)</f>
        <v>00</v>
      </c>
      <c r="AA814" t="str">
        <f>MID('paste from garc here'!$C$2,1+(('table for research'!$B814-456)*36+HEX2DEC('table for research'!AA$1))*2,2)</f>
        <v>00</v>
      </c>
      <c r="AB814" t="str">
        <f>MID('paste from garc here'!$C$2,1+(('table for research'!$B814-456)*36+HEX2DEC('table for research'!AB$1))*2,2)</f>
        <v>00</v>
      </c>
      <c r="AC814" t="str">
        <f>MID('paste from garc here'!$C$2,1+(('table for research'!$B814-456)*36+HEX2DEC('table for research'!AC$1))*2,2)</f>
        <v>00</v>
      </c>
      <c r="AD814" t="str">
        <f>MID('paste from garc here'!$C$2,1+(('table for research'!$B814-456)*36+HEX2DEC('table for research'!AD$1))*2,2)</f>
        <v>00</v>
      </c>
      <c r="AE814" t="str">
        <f>MID('paste from garc here'!$C$2,1+(('table for research'!$B814-456)*36+HEX2DEC('table for research'!AE$1))*2,2)</f>
        <v>00</v>
      </c>
      <c r="AF814" t="str">
        <f>MID('paste from garc here'!$C$2,1+(('table for research'!$B814-456)*36+HEX2DEC('table for research'!AF$1))*2,2)</f>
        <v>00</v>
      </c>
      <c r="AG814" t="str">
        <f>MID('paste from garc here'!$C$2,1+(('table for research'!$B814-456)*36+HEX2DEC('table for research'!AG$1))*2,2)</f>
        <v>00</v>
      </c>
      <c r="AH814" t="str">
        <f>MID('paste from garc here'!$C$2,1+(('table for research'!$B814-456)*36+HEX2DEC('table for research'!AH$1))*2,2)</f>
        <v>00</v>
      </c>
      <c r="AI814" t="str">
        <f>MID('paste from garc here'!$C$2,1+(('table for research'!$B814-456)*36+HEX2DEC('table for research'!AI$1))*2,2)</f>
        <v>00</v>
      </c>
      <c r="AJ814" t="str">
        <f>MID('paste from garc here'!$C$2,1+(('table for research'!$B814-456)*36+HEX2DEC('table for research'!AJ$1))*2,2)</f>
        <v>00</v>
      </c>
      <c r="AK814" t="str">
        <f>MID('paste from garc here'!$C$2,1+(('table for research'!$B814-456)*36+HEX2DEC('table for research'!AK$1))*2,2)</f>
        <v>00</v>
      </c>
      <c r="AL814" t="str">
        <f>MID('paste from garc here'!$C$2,1+(('table for research'!$B814-456)*36+HEX2DEC('table for research'!AL$1))*2,2)</f>
        <v>00</v>
      </c>
      <c r="AM814" t="str">
        <f>MID('paste from garc here'!$C$2,1+(('table for research'!$B814-456)*36+HEX2DEC('table for research'!AM$1))*2,2)</f>
        <v>00</v>
      </c>
      <c r="AN814" t="str">
        <f>MID('paste from garc here'!$C$2,1+(('table for research'!$B814-456)*36+HEX2DEC('table for research'!AN$1))*2,2)</f>
        <v>00</v>
      </c>
      <c r="AO814" t="str">
        <f>MID('paste from garc here'!$C$2,1+(('table for research'!$B814-456)*36+HEX2DEC('table for research'!AO$1))*2,2)</f>
        <v>00</v>
      </c>
    </row>
    <row r="815" spans="1:41" x14ac:dyDescent="0.4">
      <c r="A815" t="s">
        <v>806</v>
      </c>
      <c r="B815">
        <f>B814+1</f>
        <v>813</v>
      </c>
      <c r="C815" t="str">
        <f>MID('paste from garc here'!$C$2,1+(('table for research'!$B815-456)*36+HEX2DEC('table for research'!C$1))*2,2)</f>
        <v>00</v>
      </c>
      <c r="D815" t="str">
        <f>MID('paste from garc here'!$C$2,1+(('table for research'!$B815-456)*36+HEX2DEC('table for research'!D$1))*2,2)</f>
        <v>00</v>
      </c>
      <c r="E815" t="str">
        <f>MID('paste from garc here'!$C$2,1+(('table for research'!$B815-456)*36+HEX2DEC('table for research'!E$1))*2,2)</f>
        <v>00</v>
      </c>
      <c r="F815" t="str">
        <f>MID('paste from garc here'!$C$2,1+(('table for research'!$B815-456)*36+HEX2DEC('table for research'!F$1))*2,2)</f>
        <v>00</v>
      </c>
      <c r="G815" t="str">
        <f>MID('paste from garc here'!$C$2,1+(('table for research'!$B815-456)*36+HEX2DEC('table for research'!G$1))*2,2)</f>
        <v>00</v>
      </c>
      <c r="H815" t="str">
        <f>MID('paste from garc here'!$C$2,1+(('table for research'!$B815-456)*36+HEX2DEC('table for research'!H$1))*2,2)</f>
        <v>00</v>
      </c>
      <c r="I815" t="str">
        <f>MID('paste from garc here'!$C$2,1+(('table for research'!$B815-456)*36+HEX2DEC('table for research'!I$1))*2,2)</f>
        <v>00</v>
      </c>
      <c r="J815" t="str">
        <f>MID('paste from garc here'!$C$2,1+(('table for research'!$B815-456)*36+HEX2DEC('table for research'!J$1))*2,2)</f>
        <v>00</v>
      </c>
      <c r="K815" t="str">
        <f>DEC2HEX(_xlfn.BITAND(HEX2DEC(MID('paste from garc here'!$C$1,1+(('table for research'!$B815-1)*36+HEX2DEC(8))*2,2)),31),2)</f>
        <v>00</v>
      </c>
      <c r="L815" t="str">
        <f>DEC2HEX(_xlfn.BITAND(HEX2DEC(MID('paste from garc here'!$C$1,1+(('table for research'!$B815-1)*36+HEX2DEC(8))*2,2)),32),2)</f>
        <v>00</v>
      </c>
      <c r="M815" t="str">
        <f>DEC2HEX(_xlfn.BITAND(HEX2DEC(MID('paste from garc here'!$C$1,1+(('table for research'!$B815-1)*36+HEX2DEC(8))*2,2)),64),2)</f>
        <v>00</v>
      </c>
      <c r="N815" t="str">
        <f>DEC2HEX(_xlfn.BITRSHIFT(_xlfn.BITAND(HEX2DEC(MID('paste from garc here'!$C$1,1+(('table for research'!$B815-1)*36+HEX2DEC(9))*2,2)&amp;MID('paste from garc here'!$C$1,1+(('table for research'!$B815-1)*36+HEX2DEC(8))*2,2)),1920),7),2)</f>
        <v>00</v>
      </c>
      <c r="O815" t="str">
        <f>DEC2HEX(_xlfn.BITRSHIFT(HEX2DEC(MID('paste from garc here'!$C$1,1+(('table for research'!$B815-1)*36+HEX2DEC(9))*2,2)&amp;MID('paste from garc here'!$C$1,1+(('table for research'!$B815-1)*36+HEX2DEC(8))*2,2)),11),2)</f>
        <v>00</v>
      </c>
      <c r="P815" t="str">
        <f>MID('paste from garc here'!$C$2,1+(('table for research'!$B815-456)*36+HEX2DEC('table for research'!P$1))*2,2)</f>
        <v>01</v>
      </c>
      <c r="Q815" t="str">
        <f>MID('paste from garc here'!$C$2,1+(('table for research'!$B815-456)*36+HEX2DEC('table for research'!Q$1))*2,2)</f>
        <v>00</v>
      </c>
      <c r="R815" t="str">
        <f>MID('paste from garc here'!$C$2,1+(('table for research'!$B815-456)*36+HEX2DEC('table for research'!R$1))*2,2)</f>
        <v>00</v>
      </c>
      <c r="S815" t="str">
        <f>MID('paste from garc here'!$C$2,1+(('table for research'!$B815-456)*36+HEX2DEC('table for research'!S$1))*2,2)</f>
        <v>01</v>
      </c>
      <c r="T815" t="str">
        <f>MID('paste from garc here'!$C$2,1+(('table for research'!$B815-456)*36+HEX2DEC('table for research'!T$1))*2,2)</f>
        <v>00</v>
      </c>
      <c r="U815" t="str">
        <f>MID('paste from garc here'!$C$2,1+(('table for research'!$B815-456)*36+HEX2DEC('table for research'!U$1))*2,2)</f>
        <v>07</v>
      </c>
      <c r="V815" t="str">
        <f>MID('paste from garc here'!$C$2,1+(('table for research'!$B815-456)*36+HEX2DEC('table for research'!V$1))*2,2)</f>
        <v>07</v>
      </c>
      <c r="W815" t="str">
        <f>MID('paste from garc here'!$C$2,1+(('table for research'!$B815-456)*36+HEX2DEC('table for research'!W$1))*2,2)</f>
        <v>00</v>
      </c>
      <c r="X815" t="str">
        <f>MID('paste from garc here'!$C$2,1+(('table for research'!$B815-456)*36+HEX2DEC('table for research'!X$1))*2,2)</f>
        <v>00</v>
      </c>
      <c r="Y815" t="str">
        <f>MID('paste from garc here'!$C$2,1+(('table for research'!$B815-456)*36+HEX2DEC('table for research'!Y$1))*2,2)</f>
        <v>00</v>
      </c>
      <c r="Z815" t="str">
        <f>MID('paste from garc here'!$C$2,1+(('table for research'!$B815-456)*36+HEX2DEC('table for research'!Z$1))*2,2)</f>
        <v>00</v>
      </c>
      <c r="AA815" t="str">
        <f>MID('paste from garc here'!$C$2,1+(('table for research'!$B815-456)*36+HEX2DEC('table for research'!AA$1))*2,2)</f>
        <v>00</v>
      </c>
      <c r="AB815" t="str">
        <f>MID('paste from garc here'!$C$2,1+(('table for research'!$B815-456)*36+HEX2DEC('table for research'!AB$1))*2,2)</f>
        <v>00</v>
      </c>
      <c r="AC815" t="str">
        <f>MID('paste from garc here'!$C$2,1+(('table for research'!$B815-456)*36+HEX2DEC('table for research'!AC$1))*2,2)</f>
        <v>00</v>
      </c>
      <c r="AD815" t="str">
        <f>MID('paste from garc here'!$C$2,1+(('table for research'!$B815-456)*36+HEX2DEC('table for research'!AD$1))*2,2)</f>
        <v>00</v>
      </c>
      <c r="AE815" t="str">
        <f>MID('paste from garc here'!$C$2,1+(('table for research'!$B815-456)*36+HEX2DEC('table for research'!AE$1))*2,2)</f>
        <v>00</v>
      </c>
      <c r="AF815" t="str">
        <f>MID('paste from garc here'!$C$2,1+(('table for research'!$B815-456)*36+HEX2DEC('table for research'!AF$1))*2,2)</f>
        <v>00</v>
      </c>
      <c r="AG815" t="str">
        <f>MID('paste from garc here'!$C$2,1+(('table for research'!$B815-456)*36+HEX2DEC('table for research'!AG$1))*2,2)</f>
        <v>00</v>
      </c>
      <c r="AH815" t="str">
        <f>MID('paste from garc here'!$C$2,1+(('table for research'!$B815-456)*36+HEX2DEC('table for research'!AH$1))*2,2)</f>
        <v>00</v>
      </c>
      <c r="AI815" t="str">
        <f>MID('paste from garc here'!$C$2,1+(('table for research'!$B815-456)*36+HEX2DEC('table for research'!AI$1))*2,2)</f>
        <v>00</v>
      </c>
      <c r="AJ815" t="str">
        <f>MID('paste from garc here'!$C$2,1+(('table for research'!$B815-456)*36+HEX2DEC('table for research'!AJ$1))*2,2)</f>
        <v>00</v>
      </c>
      <c r="AK815" t="str">
        <f>MID('paste from garc here'!$C$2,1+(('table for research'!$B815-456)*36+HEX2DEC('table for research'!AK$1))*2,2)</f>
        <v>00</v>
      </c>
      <c r="AL815" t="str">
        <f>MID('paste from garc here'!$C$2,1+(('table for research'!$B815-456)*36+HEX2DEC('table for research'!AL$1))*2,2)</f>
        <v>00</v>
      </c>
      <c r="AM815" t="str">
        <f>MID('paste from garc here'!$C$2,1+(('table for research'!$B815-456)*36+HEX2DEC('table for research'!AM$1))*2,2)</f>
        <v>00</v>
      </c>
      <c r="AN815" t="str">
        <f>MID('paste from garc here'!$C$2,1+(('table for research'!$B815-456)*36+HEX2DEC('table for research'!AN$1))*2,2)</f>
        <v>00</v>
      </c>
      <c r="AO815" t="str">
        <f>MID('paste from garc here'!$C$2,1+(('table for research'!$B815-456)*36+HEX2DEC('table for research'!AO$1))*2,2)</f>
        <v>00</v>
      </c>
    </row>
    <row r="816" spans="1:41" x14ac:dyDescent="0.4">
      <c r="A816" t="s">
        <v>807</v>
      </c>
      <c r="B816">
        <f>B815+1</f>
        <v>814</v>
      </c>
      <c r="C816" t="str">
        <f>MID('paste from garc here'!$C$2,1+(('table for research'!$B816-456)*36+HEX2DEC('table for research'!C$1))*2,2)</f>
        <v>00</v>
      </c>
      <c r="D816" t="str">
        <f>MID('paste from garc here'!$C$2,1+(('table for research'!$B816-456)*36+HEX2DEC('table for research'!D$1))*2,2)</f>
        <v>00</v>
      </c>
      <c r="E816" t="str">
        <f>MID('paste from garc here'!$C$2,1+(('table for research'!$B816-456)*36+HEX2DEC('table for research'!E$1))*2,2)</f>
        <v>00</v>
      </c>
      <c r="F816" t="str">
        <f>MID('paste from garc here'!$C$2,1+(('table for research'!$B816-456)*36+HEX2DEC('table for research'!F$1))*2,2)</f>
        <v>00</v>
      </c>
      <c r="G816" t="str">
        <f>MID('paste from garc here'!$C$2,1+(('table for research'!$B816-456)*36+HEX2DEC('table for research'!G$1))*2,2)</f>
        <v>00</v>
      </c>
      <c r="H816" t="str">
        <f>MID('paste from garc here'!$C$2,1+(('table for research'!$B816-456)*36+HEX2DEC('table for research'!H$1))*2,2)</f>
        <v>00</v>
      </c>
      <c r="I816" t="str">
        <f>MID('paste from garc here'!$C$2,1+(('table for research'!$B816-456)*36+HEX2DEC('table for research'!I$1))*2,2)</f>
        <v>00</v>
      </c>
      <c r="J816" t="str">
        <f>MID('paste from garc here'!$C$2,1+(('table for research'!$B816-456)*36+HEX2DEC('table for research'!J$1))*2,2)</f>
        <v>00</v>
      </c>
      <c r="K816" t="str">
        <f>DEC2HEX(_xlfn.BITAND(HEX2DEC(MID('paste from garc here'!$C$1,1+(('table for research'!$B816-1)*36+HEX2DEC(8))*2,2)),31),2)</f>
        <v>00</v>
      </c>
      <c r="L816" t="str">
        <f>DEC2HEX(_xlfn.BITAND(HEX2DEC(MID('paste from garc here'!$C$1,1+(('table for research'!$B816-1)*36+HEX2DEC(8))*2,2)),32),2)</f>
        <v>00</v>
      </c>
      <c r="M816" t="str">
        <f>DEC2HEX(_xlfn.BITAND(HEX2DEC(MID('paste from garc here'!$C$1,1+(('table for research'!$B816-1)*36+HEX2DEC(8))*2,2)),64),2)</f>
        <v>00</v>
      </c>
      <c r="N816" t="str">
        <f>DEC2HEX(_xlfn.BITRSHIFT(_xlfn.BITAND(HEX2DEC(MID('paste from garc here'!$C$1,1+(('table for research'!$B816-1)*36+HEX2DEC(9))*2,2)&amp;MID('paste from garc here'!$C$1,1+(('table for research'!$B816-1)*36+HEX2DEC(8))*2,2)),1920),7),2)</f>
        <v>00</v>
      </c>
      <c r="O816" t="str">
        <f>DEC2HEX(_xlfn.BITRSHIFT(HEX2DEC(MID('paste from garc here'!$C$1,1+(('table for research'!$B816-1)*36+HEX2DEC(9))*2,2)&amp;MID('paste from garc here'!$C$1,1+(('table for research'!$B816-1)*36+HEX2DEC(8))*2,2)),11),2)</f>
        <v>00</v>
      </c>
      <c r="P816" t="str">
        <f>MID('paste from garc here'!$C$2,1+(('table for research'!$B816-456)*36+HEX2DEC('table for research'!P$1))*2,2)</f>
        <v>01</v>
      </c>
      <c r="Q816" t="str">
        <f>MID('paste from garc here'!$C$2,1+(('table for research'!$B816-456)*36+HEX2DEC('table for research'!Q$1))*2,2)</f>
        <v>00</v>
      </c>
      <c r="R816" t="str">
        <f>MID('paste from garc here'!$C$2,1+(('table for research'!$B816-456)*36+HEX2DEC('table for research'!R$1))*2,2)</f>
        <v>00</v>
      </c>
      <c r="S816" t="str">
        <f>MID('paste from garc here'!$C$2,1+(('table for research'!$B816-456)*36+HEX2DEC('table for research'!S$1))*2,2)</f>
        <v>01</v>
      </c>
      <c r="T816" t="str">
        <f>MID('paste from garc here'!$C$2,1+(('table for research'!$B816-456)*36+HEX2DEC('table for research'!T$1))*2,2)</f>
        <v>00</v>
      </c>
      <c r="U816" t="str">
        <f>MID('paste from garc here'!$C$2,1+(('table for research'!$B816-456)*36+HEX2DEC('table for research'!U$1))*2,2)</f>
        <v>08</v>
      </c>
      <c r="V816" t="str">
        <f>MID('paste from garc here'!$C$2,1+(('table for research'!$B816-456)*36+HEX2DEC('table for research'!V$1))*2,2)</f>
        <v>08</v>
      </c>
      <c r="W816" t="str">
        <f>MID('paste from garc here'!$C$2,1+(('table for research'!$B816-456)*36+HEX2DEC('table for research'!W$1))*2,2)</f>
        <v>00</v>
      </c>
      <c r="X816" t="str">
        <f>MID('paste from garc here'!$C$2,1+(('table for research'!$B816-456)*36+HEX2DEC('table for research'!X$1))*2,2)</f>
        <v>00</v>
      </c>
      <c r="Y816" t="str">
        <f>MID('paste from garc here'!$C$2,1+(('table for research'!$B816-456)*36+HEX2DEC('table for research'!Y$1))*2,2)</f>
        <v>00</v>
      </c>
      <c r="Z816" t="str">
        <f>MID('paste from garc here'!$C$2,1+(('table for research'!$B816-456)*36+HEX2DEC('table for research'!Z$1))*2,2)</f>
        <v>00</v>
      </c>
      <c r="AA816" t="str">
        <f>MID('paste from garc here'!$C$2,1+(('table for research'!$B816-456)*36+HEX2DEC('table for research'!AA$1))*2,2)</f>
        <v>00</v>
      </c>
      <c r="AB816" t="str">
        <f>MID('paste from garc here'!$C$2,1+(('table for research'!$B816-456)*36+HEX2DEC('table for research'!AB$1))*2,2)</f>
        <v>00</v>
      </c>
      <c r="AC816" t="str">
        <f>MID('paste from garc here'!$C$2,1+(('table for research'!$B816-456)*36+HEX2DEC('table for research'!AC$1))*2,2)</f>
        <v>00</v>
      </c>
      <c r="AD816" t="str">
        <f>MID('paste from garc here'!$C$2,1+(('table for research'!$B816-456)*36+HEX2DEC('table for research'!AD$1))*2,2)</f>
        <v>00</v>
      </c>
      <c r="AE816" t="str">
        <f>MID('paste from garc here'!$C$2,1+(('table for research'!$B816-456)*36+HEX2DEC('table for research'!AE$1))*2,2)</f>
        <v>00</v>
      </c>
      <c r="AF816" t="str">
        <f>MID('paste from garc here'!$C$2,1+(('table for research'!$B816-456)*36+HEX2DEC('table for research'!AF$1))*2,2)</f>
        <v>00</v>
      </c>
      <c r="AG816" t="str">
        <f>MID('paste from garc here'!$C$2,1+(('table for research'!$B816-456)*36+HEX2DEC('table for research'!AG$1))*2,2)</f>
        <v>00</v>
      </c>
      <c r="AH816" t="str">
        <f>MID('paste from garc here'!$C$2,1+(('table for research'!$B816-456)*36+HEX2DEC('table for research'!AH$1))*2,2)</f>
        <v>00</v>
      </c>
      <c r="AI816" t="str">
        <f>MID('paste from garc here'!$C$2,1+(('table for research'!$B816-456)*36+HEX2DEC('table for research'!AI$1))*2,2)</f>
        <v>00</v>
      </c>
      <c r="AJ816" t="str">
        <f>MID('paste from garc here'!$C$2,1+(('table for research'!$B816-456)*36+HEX2DEC('table for research'!AJ$1))*2,2)</f>
        <v>00</v>
      </c>
      <c r="AK816" t="str">
        <f>MID('paste from garc here'!$C$2,1+(('table for research'!$B816-456)*36+HEX2DEC('table for research'!AK$1))*2,2)</f>
        <v>00</v>
      </c>
      <c r="AL816" t="str">
        <f>MID('paste from garc here'!$C$2,1+(('table for research'!$B816-456)*36+HEX2DEC('table for research'!AL$1))*2,2)</f>
        <v>00</v>
      </c>
      <c r="AM816" t="str">
        <f>MID('paste from garc here'!$C$2,1+(('table for research'!$B816-456)*36+HEX2DEC('table for research'!AM$1))*2,2)</f>
        <v>00</v>
      </c>
      <c r="AN816" t="str">
        <f>MID('paste from garc here'!$C$2,1+(('table for research'!$B816-456)*36+HEX2DEC('table for research'!AN$1))*2,2)</f>
        <v>00</v>
      </c>
      <c r="AO816" t="str">
        <f>MID('paste from garc here'!$C$2,1+(('table for research'!$B816-456)*36+HEX2DEC('table for research'!AO$1))*2,2)</f>
        <v>00</v>
      </c>
    </row>
    <row r="817" spans="1:41" x14ac:dyDescent="0.4">
      <c r="A817" t="s">
        <v>808</v>
      </c>
      <c r="B817">
        <f>B816+1</f>
        <v>815</v>
      </c>
      <c r="C817" t="str">
        <f>MID('paste from garc here'!$C$2,1+(('table for research'!$B817-456)*36+HEX2DEC('table for research'!C$1))*2,2)</f>
        <v>00</v>
      </c>
      <c r="D817" t="str">
        <f>MID('paste from garc here'!$C$2,1+(('table for research'!$B817-456)*36+HEX2DEC('table for research'!D$1))*2,2)</f>
        <v>00</v>
      </c>
      <c r="E817" t="str">
        <f>MID('paste from garc here'!$C$2,1+(('table for research'!$B817-456)*36+HEX2DEC('table for research'!E$1))*2,2)</f>
        <v>00</v>
      </c>
      <c r="F817" t="str">
        <f>MID('paste from garc here'!$C$2,1+(('table for research'!$B817-456)*36+HEX2DEC('table for research'!F$1))*2,2)</f>
        <v>00</v>
      </c>
      <c r="G817" t="str">
        <f>MID('paste from garc here'!$C$2,1+(('table for research'!$B817-456)*36+HEX2DEC('table for research'!G$1))*2,2)</f>
        <v>00</v>
      </c>
      <c r="H817" t="str">
        <f>MID('paste from garc here'!$C$2,1+(('table for research'!$B817-456)*36+HEX2DEC('table for research'!H$1))*2,2)</f>
        <v>00</v>
      </c>
      <c r="I817" t="str">
        <f>MID('paste from garc here'!$C$2,1+(('table for research'!$B817-456)*36+HEX2DEC('table for research'!I$1))*2,2)</f>
        <v>00</v>
      </c>
      <c r="J817" t="str">
        <f>MID('paste from garc here'!$C$2,1+(('table for research'!$B817-456)*36+HEX2DEC('table for research'!J$1))*2,2)</f>
        <v>00</v>
      </c>
      <c r="K817" t="str">
        <f>DEC2HEX(_xlfn.BITAND(HEX2DEC(MID('paste from garc here'!$C$1,1+(('table for research'!$B817-1)*36+HEX2DEC(8))*2,2)),31),2)</f>
        <v>00</v>
      </c>
      <c r="L817" t="str">
        <f>DEC2HEX(_xlfn.BITAND(HEX2DEC(MID('paste from garc here'!$C$1,1+(('table for research'!$B817-1)*36+HEX2DEC(8))*2,2)),32),2)</f>
        <v>00</v>
      </c>
      <c r="M817" t="str">
        <f>DEC2HEX(_xlfn.BITAND(HEX2DEC(MID('paste from garc here'!$C$1,1+(('table for research'!$B817-1)*36+HEX2DEC(8))*2,2)),64),2)</f>
        <v>00</v>
      </c>
      <c r="N817" t="str">
        <f>DEC2HEX(_xlfn.BITRSHIFT(_xlfn.BITAND(HEX2DEC(MID('paste from garc here'!$C$1,1+(('table for research'!$B817-1)*36+HEX2DEC(9))*2,2)&amp;MID('paste from garc here'!$C$1,1+(('table for research'!$B817-1)*36+HEX2DEC(8))*2,2)),1920),7),2)</f>
        <v>00</v>
      </c>
      <c r="O817" t="str">
        <f>DEC2HEX(_xlfn.BITRSHIFT(HEX2DEC(MID('paste from garc here'!$C$1,1+(('table for research'!$B817-1)*36+HEX2DEC(9))*2,2)&amp;MID('paste from garc here'!$C$1,1+(('table for research'!$B817-1)*36+HEX2DEC(8))*2,2)),11),2)</f>
        <v>00</v>
      </c>
      <c r="P817" t="str">
        <f>MID('paste from garc here'!$C$2,1+(('table for research'!$B817-456)*36+HEX2DEC('table for research'!P$1))*2,2)</f>
        <v>01</v>
      </c>
      <c r="Q817" t="str">
        <f>MID('paste from garc here'!$C$2,1+(('table for research'!$B817-456)*36+HEX2DEC('table for research'!Q$1))*2,2)</f>
        <v>00</v>
      </c>
      <c r="R817" t="str">
        <f>MID('paste from garc here'!$C$2,1+(('table for research'!$B817-456)*36+HEX2DEC('table for research'!R$1))*2,2)</f>
        <v>00</v>
      </c>
      <c r="S817" t="str">
        <f>MID('paste from garc here'!$C$2,1+(('table for research'!$B817-456)*36+HEX2DEC('table for research'!S$1))*2,2)</f>
        <v>01</v>
      </c>
      <c r="T817" t="str">
        <f>MID('paste from garc here'!$C$2,1+(('table for research'!$B817-456)*36+HEX2DEC('table for research'!T$1))*2,2)</f>
        <v>00</v>
      </c>
      <c r="U817" t="str">
        <f>MID('paste from garc here'!$C$2,1+(('table for research'!$B817-456)*36+HEX2DEC('table for research'!U$1))*2,2)</f>
        <v>09</v>
      </c>
      <c r="V817" t="str">
        <f>MID('paste from garc here'!$C$2,1+(('table for research'!$B817-456)*36+HEX2DEC('table for research'!V$1))*2,2)</f>
        <v>09</v>
      </c>
      <c r="W817" t="str">
        <f>MID('paste from garc here'!$C$2,1+(('table for research'!$B817-456)*36+HEX2DEC('table for research'!W$1))*2,2)</f>
        <v>00</v>
      </c>
      <c r="X817" t="str">
        <f>MID('paste from garc here'!$C$2,1+(('table for research'!$B817-456)*36+HEX2DEC('table for research'!X$1))*2,2)</f>
        <v>00</v>
      </c>
      <c r="Y817" t="str">
        <f>MID('paste from garc here'!$C$2,1+(('table for research'!$B817-456)*36+HEX2DEC('table for research'!Y$1))*2,2)</f>
        <v>00</v>
      </c>
      <c r="Z817" t="str">
        <f>MID('paste from garc here'!$C$2,1+(('table for research'!$B817-456)*36+HEX2DEC('table for research'!Z$1))*2,2)</f>
        <v>00</v>
      </c>
      <c r="AA817" t="str">
        <f>MID('paste from garc here'!$C$2,1+(('table for research'!$B817-456)*36+HEX2DEC('table for research'!AA$1))*2,2)</f>
        <v>00</v>
      </c>
      <c r="AB817" t="str">
        <f>MID('paste from garc here'!$C$2,1+(('table for research'!$B817-456)*36+HEX2DEC('table for research'!AB$1))*2,2)</f>
        <v>00</v>
      </c>
      <c r="AC817" t="str">
        <f>MID('paste from garc here'!$C$2,1+(('table for research'!$B817-456)*36+HEX2DEC('table for research'!AC$1))*2,2)</f>
        <v>00</v>
      </c>
      <c r="AD817" t="str">
        <f>MID('paste from garc here'!$C$2,1+(('table for research'!$B817-456)*36+HEX2DEC('table for research'!AD$1))*2,2)</f>
        <v>00</v>
      </c>
      <c r="AE817" t="str">
        <f>MID('paste from garc here'!$C$2,1+(('table for research'!$B817-456)*36+HEX2DEC('table for research'!AE$1))*2,2)</f>
        <v>00</v>
      </c>
      <c r="AF817" t="str">
        <f>MID('paste from garc here'!$C$2,1+(('table for research'!$B817-456)*36+HEX2DEC('table for research'!AF$1))*2,2)</f>
        <v>00</v>
      </c>
      <c r="AG817" t="str">
        <f>MID('paste from garc here'!$C$2,1+(('table for research'!$B817-456)*36+HEX2DEC('table for research'!AG$1))*2,2)</f>
        <v>00</v>
      </c>
      <c r="AH817" t="str">
        <f>MID('paste from garc here'!$C$2,1+(('table for research'!$B817-456)*36+HEX2DEC('table for research'!AH$1))*2,2)</f>
        <v>00</v>
      </c>
      <c r="AI817" t="str">
        <f>MID('paste from garc here'!$C$2,1+(('table for research'!$B817-456)*36+HEX2DEC('table for research'!AI$1))*2,2)</f>
        <v>00</v>
      </c>
      <c r="AJ817" t="str">
        <f>MID('paste from garc here'!$C$2,1+(('table for research'!$B817-456)*36+HEX2DEC('table for research'!AJ$1))*2,2)</f>
        <v>00</v>
      </c>
      <c r="AK817" t="str">
        <f>MID('paste from garc here'!$C$2,1+(('table for research'!$B817-456)*36+HEX2DEC('table for research'!AK$1))*2,2)</f>
        <v>00</v>
      </c>
      <c r="AL817" t="str">
        <f>MID('paste from garc here'!$C$2,1+(('table for research'!$B817-456)*36+HEX2DEC('table for research'!AL$1))*2,2)</f>
        <v>00</v>
      </c>
      <c r="AM817" t="str">
        <f>MID('paste from garc here'!$C$2,1+(('table for research'!$B817-456)*36+HEX2DEC('table for research'!AM$1))*2,2)</f>
        <v>00</v>
      </c>
      <c r="AN817" t="str">
        <f>MID('paste from garc here'!$C$2,1+(('table for research'!$B817-456)*36+HEX2DEC('table for research'!AN$1))*2,2)</f>
        <v>00</v>
      </c>
      <c r="AO817" t="str">
        <f>MID('paste from garc here'!$C$2,1+(('table for research'!$B817-456)*36+HEX2DEC('table for research'!AO$1))*2,2)</f>
        <v>00</v>
      </c>
    </row>
    <row r="818" spans="1:41" x14ac:dyDescent="0.4">
      <c r="A818" t="s">
        <v>809</v>
      </c>
      <c r="B818">
        <f>B817+1</f>
        <v>816</v>
      </c>
      <c r="C818" t="str">
        <f>MID('paste from garc here'!$C$2,1+(('table for research'!$B818-456)*36+HEX2DEC('table for research'!C$1))*2,2)</f>
        <v>00</v>
      </c>
      <c r="D818" t="str">
        <f>MID('paste from garc here'!$C$2,1+(('table for research'!$B818-456)*36+HEX2DEC('table for research'!D$1))*2,2)</f>
        <v>00</v>
      </c>
      <c r="E818" t="str">
        <f>MID('paste from garc here'!$C$2,1+(('table for research'!$B818-456)*36+HEX2DEC('table for research'!E$1))*2,2)</f>
        <v>00</v>
      </c>
      <c r="F818" t="str">
        <f>MID('paste from garc here'!$C$2,1+(('table for research'!$B818-456)*36+HEX2DEC('table for research'!F$1))*2,2)</f>
        <v>00</v>
      </c>
      <c r="G818" t="str">
        <f>MID('paste from garc here'!$C$2,1+(('table for research'!$B818-456)*36+HEX2DEC('table for research'!G$1))*2,2)</f>
        <v>00</v>
      </c>
      <c r="H818" t="str">
        <f>MID('paste from garc here'!$C$2,1+(('table for research'!$B818-456)*36+HEX2DEC('table for research'!H$1))*2,2)</f>
        <v>00</v>
      </c>
      <c r="I818" t="str">
        <f>MID('paste from garc here'!$C$2,1+(('table for research'!$B818-456)*36+HEX2DEC('table for research'!I$1))*2,2)</f>
        <v>00</v>
      </c>
      <c r="J818" t="str">
        <f>MID('paste from garc here'!$C$2,1+(('table for research'!$B818-456)*36+HEX2DEC('table for research'!J$1))*2,2)</f>
        <v>00</v>
      </c>
      <c r="K818" t="str">
        <f>DEC2HEX(_xlfn.BITAND(HEX2DEC(MID('paste from garc here'!$C$1,1+(('table for research'!$B818-1)*36+HEX2DEC(8))*2,2)),31),2)</f>
        <v>00</v>
      </c>
      <c r="L818" t="str">
        <f>DEC2HEX(_xlfn.BITAND(HEX2DEC(MID('paste from garc here'!$C$1,1+(('table for research'!$B818-1)*36+HEX2DEC(8))*2,2)),32),2)</f>
        <v>00</v>
      </c>
      <c r="M818" t="str">
        <f>DEC2HEX(_xlfn.BITAND(HEX2DEC(MID('paste from garc here'!$C$1,1+(('table for research'!$B818-1)*36+HEX2DEC(8))*2,2)),64),2)</f>
        <v>00</v>
      </c>
      <c r="N818" t="str">
        <f>DEC2HEX(_xlfn.BITRSHIFT(_xlfn.BITAND(HEX2DEC(MID('paste from garc here'!$C$1,1+(('table for research'!$B818-1)*36+HEX2DEC(9))*2,2)&amp;MID('paste from garc here'!$C$1,1+(('table for research'!$B818-1)*36+HEX2DEC(8))*2,2)),1920),7),2)</f>
        <v>00</v>
      </c>
      <c r="O818" t="str">
        <f>DEC2HEX(_xlfn.BITRSHIFT(HEX2DEC(MID('paste from garc here'!$C$1,1+(('table for research'!$B818-1)*36+HEX2DEC(9))*2,2)&amp;MID('paste from garc here'!$C$1,1+(('table for research'!$B818-1)*36+HEX2DEC(8))*2,2)),11),2)</f>
        <v>00</v>
      </c>
      <c r="P818" t="str">
        <f>MID('paste from garc here'!$C$2,1+(('table for research'!$B818-456)*36+HEX2DEC('table for research'!P$1))*2,2)</f>
        <v>01</v>
      </c>
      <c r="Q818" t="str">
        <f>MID('paste from garc here'!$C$2,1+(('table for research'!$B818-456)*36+HEX2DEC('table for research'!Q$1))*2,2)</f>
        <v>00</v>
      </c>
      <c r="R818" t="str">
        <f>MID('paste from garc here'!$C$2,1+(('table for research'!$B818-456)*36+HEX2DEC('table for research'!R$1))*2,2)</f>
        <v>00</v>
      </c>
      <c r="S818" t="str">
        <f>MID('paste from garc here'!$C$2,1+(('table for research'!$B818-456)*36+HEX2DEC('table for research'!S$1))*2,2)</f>
        <v>01</v>
      </c>
      <c r="T818" t="str">
        <f>MID('paste from garc here'!$C$2,1+(('table for research'!$B818-456)*36+HEX2DEC('table for research'!T$1))*2,2)</f>
        <v>00</v>
      </c>
      <c r="U818" t="str">
        <f>MID('paste from garc here'!$C$2,1+(('table for research'!$B818-456)*36+HEX2DEC('table for research'!U$1))*2,2)</f>
        <v>0A</v>
      </c>
      <c r="V818" t="str">
        <f>MID('paste from garc here'!$C$2,1+(('table for research'!$B818-456)*36+HEX2DEC('table for research'!V$1))*2,2)</f>
        <v>0A</v>
      </c>
      <c r="W818" t="str">
        <f>MID('paste from garc here'!$C$2,1+(('table for research'!$B818-456)*36+HEX2DEC('table for research'!W$1))*2,2)</f>
        <v>00</v>
      </c>
      <c r="X818" t="str">
        <f>MID('paste from garc here'!$C$2,1+(('table for research'!$B818-456)*36+HEX2DEC('table for research'!X$1))*2,2)</f>
        <v>00</v>
      </c>
      <c r="Y818" t="str">
        <f>MID('paste from garc here'!$C$2,1+(('table for research'!$B818-456)*36+HEX2DEC('table for research'!Y$1))*2,2)</f>
        <v>00</v>
      </c>
      <c r="Z818" t="str">
        <f>MID('paste from garc here'!$C$2,1+(('table for research'!$B818-456)*36+HEX2DEC('table for research'!Z$1))*2,2)</f>
        <v>00</v>
      </c>
      <c r="AA818" t="str">
        <f>MID('paste from garc here'!$C$2,1+(('table for research'!$B818-456)*36+HEX2DEC('table for research'!AA$1))*2,2)</f>
        <v>00</v>
      </c>
      <c r="AB818" t="str">
        <f>MID('paste from garc here'!$C$2,1+(('table for research'!$B818-456)*36+HEX2DEC('table for research'!AB$1))*2,2)</f>
        <v>00</v>
      </c>
      <c r="AC818" t="str">
        <f>MID('paste from garc here'!$C$2,1+(('table for research'!$B818-456)*36+HEX2DEC('table for research'!AC$1))*2,2)</f>
        <v>00</v>
      </c>
      <c r="AD818" t="str">
        <f>MID('paste from garc here'!$C$2,1+(('table for research'!$B818-456)*36+HEX2DEC('table for research'!AD$1))*2,2)</f>
        <v>00</v>
      </c>
      <c r="AE818" t="str">
        <f>MID('paste from garc here'!$C$2,1+(('table for research'!$B818-456)*36+HEX2DEC('table for research'!AE$1))*2,2)</f>
        <v>00</v>
      </c>
      <c r="AF818" t="str">
        <f>MID('paste from garc here'!$C$2,1+(('table for research'!$B818-456)*36+HEX2DEC('table for research'!AF$1))*2,2)</f>
        <v>00</v>
      </c>
      <c r="AG818" t="str">
        <f>MID('paste from garc here'!$C$2,1+(('table for research'!$B818-456)*36+HEX2DEC('table for research'!AG$1))*2,2)</f>
        <v>00</v>
      </c>
      <c r="AH818" t="str">
        <f>MID('paste from garc here'!$C$2,1+(('table for research'!$B818-456)*36+HEX2DEC('table for research'!AH$1))*2,2)</f>
        <v>00</v>
      </c>
      <c r="AI818" t="str">
        <f>MID('paste from garc here'!$C$2,1+(('table for research'!$B818-456)*36+HEX2DEC('table for research'!AI$1))*2,2)</f>
        <v>00</v>
      </c>
      <c r="AJ818" t="str">
        <f>MID('paste from garc here'!$C$2,1+(('table for research'!$B818-456)*36+HEX2DEC('table for research'!AJ$1))*2,2)</f>
        <v>00</v>
      </c>
      <c r="AK818" t="str">
        <f>MID('paste from garc here'!$C$2,1+(('table for research'!$B818-456)*36+HEX2DEC('table for research'!AK$1))*2,2)</f>
        <v>00</v>
      </c>
      <c r="AL818" t="str">
        <f>MID('paste from garc here'!$C$2,1+(('table for research'!$B818-456)*36+HEX2DEC('table for research'!AL$1))*2,2)</f>
        <v>00</v>
      </c>
      <c r="AM818" t="str">
        <f>MID('paste from garc here'!$C$2,1+(('table for research'!$B818-456)*36+HEX2DEC('table for research'!AM$1))*2,2)</f>
        <v>00</v>
      </c>
      <c r="AN818" t="str">
        <f>MID('paste from garc here'!$C$2,1+(('table for research'!$B818-456)*36+HEX2DEC('table for research'!AN$1))*2,2)</f>
        <v>00</v>
      </c>
      <c r="AO818" t="str">
        <f>MID('paste from garc here'!$C$2,1+(('table for research'!$B818-456)*36+HEX2DEC('table for research'!AO$1))*2,2)</f>
        <v>00</v>
      </c>
    </row>
    <row r="819" spans="1:41" x14ac:dyDescent="0.4">
      <c r="A819" t="s">
        <v>810</v>
      </c>
      <c r="B819">
        <f>B818+1</f>
        <v>817</v>
      </c>
      <c r="C819" t="str">
        <f>MID('paste from garc here'!$C$2,1+(('table for research'!$B819-456)*36+HEX2DEC('table for research'!C$1))*2,2)</f>
        <v>00</v>
      </c>
      <c r="D819" t="str">
        <f>MID('paste from garc here'!$C$2,1+(('table for research'!$B819-456)*36+HEX2DEC('table for research'!D$1))*2,2)</f>
        <v>00</v>
      </c>
      <c r="E819" t="str">
        <f>MID('paste from garc here'!$C$2,1+(('table for research'!$B819-456)*36+HEX2DEC('table for research'!E$1))*2,2)</f>
        <v>00</v>
      </c>
      <c r="F819" t="str">
        <f>MID('paste from garc here'!$C$2,1+(('table for research'!$B819-456)*36+HEX2DEC('table for research'!F$1))*2,2)</f>
        <v>00</v>
      </c>
      <c r="G819" t="str">
        <f>MID('paste from garc here'!$C$2,1+(('table for research'!$B819-456)*36+HEX2DEC('table for research'!G$1))*2,2)</f>
        <v>00</v>
      </c>
      <c r="H819" t="str">
        <f>MID('paste from garc here'!$C$2,1+(('table for research'!$B819-456)*36+HEX2DEC('table for research'!H$1))*2,2)</f>
        <v>00</v>
      </c>
      <c r="I819" t="str">
        <f>MID('paste from garc here'!$C$2,1+(('table for research'!$B819-456)*36+HEX2DEC('table for research'!I$1))*2,2)</f>
        <v>00</v>
      </c>
      <c r="J819" t="str">
        <f>MID('paste from garc here'!$C$2,1+(('table for research'!$B819-456)*36+HEX2DEC('table for research'!J$1))*2,2)</f>
        <v>00</v>
      </c>
      <c r="K819" t="str">
        <f>DEC2HEX(_xlfn.BITAND(HEX2DEC(MID('paste from garc here'!$C$1,1+(('table for research'!$B819-1)*36+HEX2DEC(8))*2,2)),31),2)</f>
        <v>00</v>
      </c>
      <c r="L819" t="str">
        <f>DEC2HEX(_xlfn.BITAND(HEX2DEC(MID('paste from garc here'!$C$1,1+(('table for research'!$B819-1)*36+HEX2DEC(8))*2,2)),32),2)</f>
        <v>00</v>
      </c>
      <c r="M819" t="str">
        <f>DEC2HEX(_xlfn.BITAND(HEX2DEC(MID('paste from garc here'!$C$1,1+(('table for research'!$B819-1)*36+HEX2DEC(8))*2,2)),64),2)</f>
        <v>00</v>
      </c>
      <c r="N819" t="str">
        <f>DEC2HEX(_xlfn.BITRSHIFT(_xlfn.BITAND(HEX2DEC(MID('paste from garc here'!$C$1,1+(('table for research'!$B819-1)*36+HEX2DEC(9))*2,2)&amp;MID('paste from garc here'!$C$1,1+(('table for research'!$B819-1)*36+HEX2DEC(8))*2,2)),1920),7),2)</f>
        <v>00</v>
      </c>
      <c r="O819" t="str">
        <f>DEC2HEX(_xlfn.BITRSHIFT(HEX2DEC(MID('paste from garc here'!$C$1,1+(('table for research'!$B819-1)*36+HEX2DEC(9))*2,2)&amp;MID('paste from garc here'!$C$1,1+(('table for research'!$B819-1)*36+HEX2DEC(8))*2,2)),11),2)</f>
        <v>00</v>
      </c>
      <c r="P819" t="str">
        <f>MID('paste from garc here'!$C$2,1+(('table for research'!$B819-456)*36+HEX2DEC('table for research'!P$1))*2,2)</f>
        <v>01</v>
      </c>
      <c r="Q819" t="str">
        <f>MID('paste from garc here'!$C$2,1+(('table for research'!$B819-456)*36+HEX2DEC('table for research'!Q$1))*2,2)</f>
        <v>00</v>
      </c>
      <c r="R819" t="str">
        <f>MID('paste from garc here'!$C$2,1+(('table for research'!$B819-456)*36+HEX2DEC('table for research'!R$1))*2,2)</f>
        <v>00</v>
      </c>
      <c r="S819" t="str">
        <f>MID('paste from garc here'!$C$2,1+(('table for research'!$B819-456)*36+HEX2DEC('table for research'!S$1))*2,2)</f>
        <v>01</v>
      </c>
      <c r="T819" t="str">
        <f>MID('paste from garc here'!$C$2,1+(('table for research'!$B819-456)*36+HEX2DEC('table for research'!T$1))*2,2)</f>
        <v>00</v>
      </c>
      <c r="U819" t="str">
        <f>MID('paste from garc here'!$C$2,1+(('table for research'!$B819-456)*36+HEX2DEC('table for research'!U$1))*2,2)</f>
        <v>0B</v>
      </c>
      <c r="V819" t="str">
        <f>MID('paste from garc here'!$C$2,1+(('table for research'!$B819-456)*36+HEX2DEC('table for research'!V$1))*2,2)</f>
        <v>0B</v>
      </c>
      <c r="W819" t="str">
        <f>MID('paste from garc here'!$C$2,1+(('table for research'!$B819-456)*36+HEX2DEC('table for research'!W$1))*2,2)</f>
        <v>00</v>
      </c>
      <c r="X819" t="str">
        <f>MID('paste from garc here'!$C$2,1+(('table for research'!$B819-456)*36+HEX2DEC('table for research'!X$1))*2,2)</f>
        <v>00</v>
      </c>
      <c r="Y819" t="str">
        <f>MID('paste from garc here'!$C$2,1+(('table for research'!$B819-456)*36+HEX2DEC('table for research'!Y$1))*2,2)</f>
        <v>00</v>
      </c>
      <c r="Z819" t="str">
        <f>MID('paste from garc here'!$C$2,1+(('table for research'!$B819-456)*36+HEX2DEC('table for research'!Z$1))*2,2)</f>
        <v>00</v>
      </c>
      <c r="AA819" t="str">
        <f>MID('paste from garc here'!$C$2,1+(('table for research'!$B819-456)*36+HEX2DEC('table for research'!AA$1))*2,2)</f>
        <v>00</v>
      </c>
      <c r="AB819" t="str">
        <f>MID('paste from garc here'!$C$2,1+(('table for research'!$B819-456)*36+HEX2DEC('table for research'!AB$1))*2,2)</f>
        <v>00</v>
      </c>
      <c r="AC819" t="str">
        <f>MID('paste from garc here'!$C$2,1+(('table for research'!$B819-456)*36+HEX2DEC('table for research'!AC$1))*2,2)</f>
        <v>00</v>
      </c>
      <c r="AD819" t="str">
        <f>MID('paste from garc here'!$C$2,1+(('table for research'!$B819-456)*36+HEX2DEC('table for research'!AD$1))*2,2)</f>
        <v>00</v>
      </c>
      <c r="AE819" t="str">
        <f>MID('paste from garc here'!$C$2,1+(('table for research'!$B819-456)*36+HEX2DEC('table for research'!AE$1))*2,2)</f>
        <v>00</v>
      </c>
      <c r="AF819" t="str">
        <f>MID('paste from garc here'!$C$2,1+(('table for research'!$B819-456)*36+HEX2DEC('table for research'!AF$1))*2,2)</f>
        <v>00</v>
      </c>
      <c r="AG819" t="str">
        <f>MID('paste from garc here'!$C$2,1+(('table for research'!$B819-456)*36+HEX2DEC('table for research'!AG$1))*2,2)</f>
        <v>00</v>
      </c>
      <c r="AH819" t="str">
        <f>MID('paste from garc here'!$C$2,1+(('table for research'!$B819-456)*36+HEX2DEC('table for research'!AH$1))*2,2)</f>
        <v>00</v>
      </c>
      <c r="AI819" t="str">
        <f>MID('paste from garc here'!$C$2,1+(('table for research'!$B819-456)*36+HEX2DEC('table for research'!AI$1))*2,2)</f>
        <v>00</v>
      </c>
      <c r="AJ819" t="str">
        <f>MID('paste from garc here'!$C$2,1+(('table for research'!$B819-456)*36+HEX2DEC('table for research'!AJ$1))*2,2)</f>
        <v>00</v>
      </c>
      <c r="AK819" t="str">
        <f>MID('paste from garc here'!$C$2,1+(('table for research'!$B819-456)*36+HEX2DEC('table for research'!AK$1))*2,2)</f>
        <v>00</v>
      </c>
      <c r="AL819" t="str">
        <f>MID('paste from garc here'!$C$2,1+(('table for research'!$B819-456)*36+HEX2DEC('table for research'!AL$1))*2,2)</f>
        <v>00</v>
      </c>
      <c r="AM819" t="str">
        <f>MID('paste from garc here'!$C$2,1+(('table for research'!$B819-456)*36+HEX2DEC('table for research'!AM$1))*2,2)</f>
        <v>00</v>
      </c>
      <c r="AN819" t="str">
        <f>MID('paste from garc here'!$C$2,1+(('table for research'!$B819-456)*36+HEX2DEC('table for research'!AN$1))*2,2)</f>
        <v>00</v>
      </c>
      <c r="AO819" t="str">
        <f>MID('paste from garc here'!$C$2,1+(('table for research'!$B819-456)*36+HEX2DEC('table for research'!AO$1))*2,2)</f>
        <v>00</v>
      </c>
    </row>
    <row r="820" spans="1:41" x14ac:dyDescent="0.4">
      <c r="A820" t="s">
        <v>811</v>
      </c>
      <c r="B820">
        <f>B819+1</f>
        <v>818</v>
      </c>
      <c r="C820" t="str">
        <f>MID('paste from garc here'!$C$2,1+(('table for research'!$B820-456)*36+HEX2DEC('table for research'!C$1))*2,2)</f>
        <v>00</v>
      </c>
      <c r="D820" t="str">
        <f>MID('paste from garc here'!$C$2,1+(('table for research'!$B820-456)*36+HEX2DEC('table for research'!D$1))*2,2)</f>
        <v>00</v>
      </c>
      <c r="E820" t="str">
        <f>MID('paste from garc here'!$C$2,1+(('table for research'!$B820-456)*36+HEX2DEC('table for research'!E$1))*2,2)</f>
        <v>00</v>
      </c>
      <c r="F820" t="str">
        <f>MID('paste from garc here'!$C$2,1+(('table for research'!$B820-456)*36+HEX2DEC('table for research'!F$1))*2,2)</f>
        <v>00</v>
      </c>
      <c r="G820" t="str">
        <f>MID('paste from garc here'!$C$2,1+(('table for research'!$B820-456)*36+HEX2DEC('table for research'!G$1))*2,2)</f>
        <v>00</v>
      </c>
      <c r="H820" t="str">
        <f>MID('paste from garc here'!$C$2,1+(('table for research'!$B820-456)*36+HEX2DEC('table for research'!H$1))*2,2)</f>
        <v>00</v>
      </c>
      <c r="I820" t="str">
        <f>MID('paste from garc here'!$C$2,1+(('table for research'!$B820-456)*36+HEX2DEC('table for research'!I$1))*2,2)</f>
        <v>00</v>
      </c>
      <c r="J820" t="str">
        <f>MID('paste from garc here'!$C$2,1+(('table for research'!$B820-456)*36+HEX2DEC('table for research'!J$1))*2,2)</f>
        <v>00</v>
      </c>
      <c r="K820" t="str">
        <f>DEC2HEX(_xlfn.BITAND(HEX2DEC(MID('paste from garc here'!$C$1,1+(('table for research'!$B820-1)*36+HEX2DEC(8))*2,2)),31),2)</f>
        <v>00</v>
      </c>
      <c r="L820" t="str">
        <f>DEC2HEX(_xlfn.BITAND(HEX2DEC(MID('paste from garc here'!$C$1,1+(('table for research'!$B820-1)*36+HEX2DEC(8))*2,2)),32),2)</f>
        <v>00</v>
      </c>
      <c r="M820" t="str">
        <f>DEC2HEX(_xlfn.BITAND(HEX2DEC(MID('paste from garc here'!$C$1,1+(('table for research'!$B820-1)*36+HEX2DEC(8))*2,2)),64),2)</f>
        <v>00</v>
      </c>
      <c r="N820" t="str">
        <f>DEC2HEX(_xlfn.BITRSHIFT(_xlfn.BITAND(HEX2DEC(MID('paste from garc here'!$C$1,1+(('table for research'!$B820-1)*36+HEX2DEC(9))*2,2)&amp;MID('paste from garc here'!$C$1,1+(('table for research'!$B820-1)*36+HEX2DEC(8))*2,2)),1920),7),2)</f>
        <v>00</v>
      </c>
      <c r="O820" t="str">
        <f>DEC2HEX(_xlfn.BITRSHIFT(HEX2DEC(MID('paste from garc here'!$C$1,1+(('table for research'!$B820-1)*36+HEX2DEC(9))*2,2)&amp;MID('paste from garc here'!$C$1,1+(('table for research'!$B820-1)*36+HEX2DEC(8))*2,2)),11),2)</f>
        <v>00</v>
      </c>
      <c r="P820" t="str">
        <f>MID('paste from garc here'!$C$2,1+(('table for research'!$B820-456)*36+HEX2DEC('table for research'!P$1))*2,2)</f>
        <v>01</v>
      </c>
      <c r="Q820" t="str">
        <f>MID('paste from garc here'!$C$2,1+(('table for research'!$B820-456)*36+HEX2DEC('table for research'!Q$1))*2,2)</f>
        <v>00</v>
      </c>
      <c r="R820" t="str">
        <f>MID('paste from garc here'!$C$2,1+(('table for research'!$B820-456)*36+HEX2DEC('table for research'!R$1))*2,2)</f>
        <v>00</v>
      </c>
      <c r="S820" t="str">
        <f>MID('paste from garc here'!$C$2,1+(('table for research'!$B820-456)*36+HEX2DEC('table for research'!S$1))*2,2)</f>
        <v>01</v>
      </c>
      <c r="T820" t="str">
        <f>MID('paste from garc here'!$C$2,1+(('table for research'!$B820-456)*36+HEX2DEC('table for research'!T$1))*2,2)</f>
        <v>00</v>
      </c>
      <c r="U820" t="str">
        <f>MID('paste from garc here'!$C$2,1+(('table for research'!$B820-456)*36+HEX2DEC('table for research'!U$1))*2,2)</f>
        <v>0C</v>
      </c>
      <c r="V820" t="str">
        <f>MID('paste from garc here'!$C$2,1+(('table for research'!$B820-456)*36+HEX2DEC('table for research'!V$1))*2,2)</f>
        <v>0C</v>
      </c>
      <c r="W820" t="str">
        <f>MID('paste from garc here'!$C$2,1+(('table for research'!$B820-456)*36+HEX2DEC('table for research'!W$1))*2,2)</f>
        <v>00</v>
      </c>
      <c r="X820" t="str">
        <f>MID('paste from garc here'!$C$2,1+(('table for research'!$B820-456)*36+HEX2DEC('table for research'!X$1))*2,2)</f>
        <v>00</v>
      </c>
      <c r="Y820" t="str">
        <f>MID('paste from garc here'!$C$2,1+(('table for research'!$B820-456)*36+HEX2DEC('table for research'!Y$1))*2,2)</f>
        <v>00</v>
      </c>
      <c r="Z820" t="str">
        <f>MID('paste from garc here'!$C$2,1+(('table for research'!$B820-456)*36+HEX2DEC('table for research'!Z$1))*2,2)</f>
        <v>00</v>
      </c>
      <c r="AA820" t="str">
        <f>MID('paste from garc here'!$C$2,1+(('table for research'!$B820-456)*36+HEX2DEC('table for research'!AA$1))*2,2)</f>
        <v>00</v>
      </c>
      <c r="AB820" t="str">
        <f>MID('paste from garc here'!$C$2,1+(('table for research'!$B820-456)*36+HEX2DEC('table for research'!AB$1))*2,2)</f>
        <v>00</v>
      </c>
      <c r="AC820" t="str">
        <f>MID('paste from garc here'!$C$2,1+(('table for research'!$B820-456)*36+HEX2DEC('table for research'!AC$1))*2,2)</f>
        <v>00</v>
      </c>
      <c r="AD820" t="str">
        <f>MID('paste from garc here'!$C$2,1+(('table for research'!$B820-456)*36+HEX2DEC('table for research'!AD$1))*2,2)</f>
        <v>00</v>
      </c>
      <c r="AE820" t="str">
        <f>MID('paste from garc here'!$C$2,1+(('table for research'!$B820-456)*36+HEX2DEC('table for research'!AE$1))*2,2)</f>
        <v>00</v>
      </c>
      <c r="AF820" t="str">
        <f>MID('paste from garc here'!$C$2,1+(('table for research'!$B820-456)*36+HEX2DEC('table for research'!AF$1))*2,2)</f>
        <v>00</v>
      </c>
      <c r="AG820" t="str">
        <f>MID('paste from garc here'!$C$2,1+(('table for research'!$B820-456)*36+HEX2DEC('table for research'!AG$1))*2,2)</f>
        <v>00</v>
      </c>
      <c r="AH820" t="str">
        <f>MID('paste from garc here'!$C$2,1+(('table for research'!$B820-456)*36+HEX2DEC('table for research'!AH$1))*2,2)</f>
        <v>00</v>
      </c>
      <c r="AI820" t="str">
        <f>MID('paste from garc here'!$C$2,1+(('table for research'!$B820-456)*36+HEX2DEC('table for research'!AI$1))*2,2)</f>
        <v>00</v>
      </c>
      <c r="AJ820" t="str">
        <f>MID('paste from garc here'!$C$2,1+(('table for research'!$B820-456)*36+HEX2DEC('table for research'!AJ$1))*2,2)</f>
        <v>00</v>
      </c>
      <c r="AK820" t="str">
        <f>MID('paste from garc here'!$C$2,1+(('table for research'!$B820-456)*36+HEX2DEC('table for research'!AK$1))*2,2)</f>
        <v>00</v>
      </c>
      <c r="AL820" t="str">
        <f>MID('paste from garc here'!$C$2,1+(('table for research'!$B820-456)*36+HEX2DEC('table for research'!AL$1))*2,2)</f>
        <v>00</v>
      </c>
      <c r="AM820" t="str">
        <f>MID('paste from garc here'!$C$2,1+(('table for research'!$B820-456)*36+HEX2DEC('table for research'!AM$1))*2,2)</f>
        <v>00</v>
      </c>
      <c r="AN820" t="str">
        <f>MID('paste from garc here'!$C$2,1+(('table for research'!$B820-456)*36+HEX2DEC('table for research'!AN$1))*2,2)</f>
        <v>00</v>
      </c>
      <c r="AO820" t="str">
        <f>MID('paste from garc here'!$C$2,1+(('table for research'!$B820-456)*36+HEX2DEC('table for research'!AO$1))*2,2)</f>
        <v>00</v>
      </c>
    </row>
    <row r="821" spans="1:41" x14ac:dyDescent="0.4">
      <c r="A821" t="s">
        <v>812</v>
      </c>
      <c r="B821">
        <f>B820+1</f>
        <v>819</v>
      </c>
      <c r="C821" t="str">
        <f>MID('paste from garc here'!$C$2,1+(('table for research'!$B821-456)*36+HEX2DEC('table for research'!C$1))*2,2)</f>
        <v>00</v>
      </c>
      <c r="D821" t="str">
        <f>MID('paste from garc here'!$C$2,1+(('table for research'!$B821-456)*36+HEX2DEC('table for research'!D$1))*2,2)</f>
        <v>00</v>
      </c>
      <c r="E821" t="str">
        <f>MID('paste from garc here'!$C$2,1+(('table for research'!$B821-456)*36+HEX2DEC('table for research'!E$1))*2,2)</f>
        <v>00</v>
      </c>
      <c r="F821" t="str">
        <f>MID('paste from garc here'!$C$2,1+(('table for research'!$B821-456)*36+HEX2DEC('table for research'!F$1))*2,2)</f>
        <v>00</v>
      </c>
      <c r="G821" t="str">
        <f>MID('paste from garc here'!$C$2,1+(('table for research'!$B821-456)*36+HEX2DEC('table for research'!G$1))*2,2)</f>
        <v>00</v>
      </c>
      <c r="H821" t="str">
        <f>MID('paste from garc here'!$C$2,1+(('table for research'!$B821-456)*36+HEX2DEC('table for research'!H$1))*2,2)</f>
        <v>00</v>
      </c>
      <c r="I821" t="str">
        <f>MID('paste from garc here'!$C$2,1+(('table for research'!$B821-456)*36+HEX2DEC('table for research'!I$1))*2,2)</f>
        <v>00</v>
      </c>
      <c r="J821" t="str">
        <f>MID('paste from garc here'!$C$2,1+(('table for research'!$B821-456)*36+HEX2DEC('table for research'!J$1))*2,2)</f>
        <v>00</v>
      </c>
      <c r="K821" t="str">
        <f>DEC2HEX(_xlfn.BITAND(HEX2DEC(MID('paste from garc here'!$C$1,1+(('table for research'!$B821-1)*36+HEX2DEC(8))*2,2)),31),2)</f>
        <v>00</v>
      </c>
      <c r="L821" t="str">
        <f>DEC2HEX(_xlfn.BITAND(HEX2DEC(MID('paste from garc here'!$C$1,1+(('table for research'!$B821-1)*36+HEX2DEC(8))*2,2)),32),2)</f>
        <v>00</v>
      </c>
      <c r="M821" t="str">
        <f>DEC2HEX(_xlfn.BITAND(HEX2DEC(MID('paste from garc here'!$C$1,1+(('table for research'!$B821-1)*36+HEX2DEC(8))*2,2)),64),2)</f>
        <v>00</v>
      </c>
      <c r="N821" t="str">
        <f>DEC2HEX(_xlfn.BITRSHIFT(_xlfn.BITAND(HEX2DEC(MID('paste from garc here'!$C$1,1+(('table for research'!$B821-1)*36+HEX2DEC(9))*2,2)&amp;MID('paste from garc here'!$C$1,1+(('table for research'!$B821-1)*36+HEX2DEC(8))*2,2)),1920),7),2)</f>
        <v>00</v>
      </c>
      <c r="O821" t="str">
        <f>DEC2HEX(_xlfn.BITRSHIFT(HEX2DEC(MID('paste from garc here'!$C$1,1+(('table for research'!$B821-1)*36+HEX2DEC(9))*2,2)&amp;MID('paste from garc here'!$C$1,1+(('table for research'!$B821-1)*36+HEX2DEC(8))*2,2)),11),2)</f>
        <v>00</v>
      </c>
      <c r="P821" t="str">
        <f>MID('paste from garc here'!$C$2,1+(('table for research'!$B821-456)*36+HEX2DEC('table for research'!P$1))*2,2)</f>
        <v>01</v>
      </c>
      <c r="Q821" t="str">
        <f>MID('paste from garc here'!$C$2,1+(('table for research'!$B821-456)*36+HEX2DEC('table for research'!Q$1))*2,2)</f>
        <v>00</v>
      </c>
      <c r="R821" t="str">
        <f>MID('paste from garc here'!$C$2,1+(('table for research'!$B821-456)*36+HEX2DEC('table for research'!R$1))*2,2)</f>
        <v>00</v>
      </c>
      <c r="S821" t="str">
        <f>MID('paste from garc here'!$C$2,1+(('table for research'!$B821-456)*36+HEX2DEC('table for research'!S$1))*2,2)</f>
        <v>01</v>
      </c>
      <c r="T821" t="str">
        <f>MID('paste from garc here'!$C$2,1+(('table for research'!$B821-456)*36+HEX2DEC('table for research'!T$1))*2,2)</f>
        <v>00</v>
      </c>
      <c r="U821" t="str">
        <f>MID('paste from garc here'!$C$2,1+(('table for research'!$B821-456)*36+HEX2DEC('table for research'!U$1))*2,2)</f>
        <v>0D</v>
      </c>
      <c r="V821" t="str">
        <f>MID('paste from garc here'!$C$2,1+(('table for research'!$B821-456)*36+HEX2DEC('table for research'!V$1))*2,2)</f>
        <v>0D</v>
      </c>
      <c r="W821" t="str">
        <f>MID('paste from garc here'!$C$2,1+(('table for research'!$B821-456)*36+HEX2DEC('table for research'!W$1))*2,2)</f>
        <v>00</v>
      </c>
      <c r="X821" t="str">
        <f>MID('paste from garc here'!$C$2,1+(('table for research'!$B821-456)*36+HEX2DEC('table for research'!X$1))*2,2)</f>
        <v>00</v>
      </c>
      <c r="Y821" t="str">
        <f>MID('paste from garc here'!$C$2,1+(('table for research'!$B821-456)*36+HEX2DEC('table for research'!Y$1))*2,2)</f>
        <v>00</v>
      </c>
      <c r="Z821" t="str">
        <f>MID('paste from garc here'!$C$2,1+(('table for research'!$B821-456)*36+HEX2DEC('table for research'!Z$1))*2,2)</f>
        <v>00</v>
      </c>
      <c r="AA821" t="str">
        <f>MID('paste from garc here'!$C$2,1+(('table for research'!$B821-456)*36+HEX2DEC('table for research'!AA$1))*2,2)</f>
        <v>00</v>
      </c>
      <c r="AB821" t="str">
        <f>MID('paste from garc here'!$C$2,1+(('table for research'!$B821-456)*36+HEX2DEC('table for research'!AB$1))*2,2)</f>
        <v>00</v>
      </c>
      <c r="AC821" t="str">
        <f>MID('paste from garc here'!$C$2,1+(('table for research'!$B821-456)*36+HEX2DEC('table for research'!AC$1))*2,2)</f>
        <v>00</v>
      </c>
      <c r="AD821" t="str">
        <f>MID('paste from garc here'!$C$2,1+(('table for research'!$B821-456)*36+HEX2DEC('table for research'!AD$1))*2,2)</f>
        <v>00</v>
      </c>
      <c r="AE821" t="str">
        <f>MID('paste from garc here'!$C$2,1+(('table for research'!$B821-456)*36+HEX2DEC('table for research'!AE$1))*2,2)</f>
        <v>00</v>
      </c>
      <c r="AF821" t="str">
        <f>MID('paste from garc here'!$C$2,1+(('table for research'!$B821-456)*36+HEX2DEC('table for research'!AF$1))*2,2)</f>
        <v>00</v>
      </c>
      <c r="AG821" t="str">
        <f>MID('paste from garc here'!$C$2,1+(('table for research'!$B821-456)*36+HEX2DEC('table for research'!AG$1))*2,2)</f>
        <v>00</v>
      </c>
      <c r="AH821" t="str">
        <f>MID('paste from garc here'!$C$2,1+(('table for research'!$B821-456)*36+HEX2DEC('table for research'!AH$1))*2,2)</f>
        <v>00</v>
      </c>
      <c r="AI821" t="str">
        <f>MID('paste from garc here'!$C$2,1+(('table for research'!$B821-456)*36+HEX2DEC('table for research'!AI$1))*2,2)</f>
        <v>00</v>
      </c>
      <c r="AJ821" t="str">
        <f>MID('paste from garc here'!$C$2,1+(('table for research'!$B821-456)*36+HEX2DEC('table for research'!AJ$1))*2,2)</f>
        <v>00</v>
      </c>
      <c r="AK821" t="str">
        <f>MID('paste from garc here'!$C$2,1+(('table for research'!$B821-456)*36+HEX2DEC('table for research'!AK$1))*2,2)</f>
        <v>00</v>
      </c>
      <c r="AL821" t="str">
        <f>MID('paste from garc here'!$C$2,1+(('table for research'!$B821-456)*36+HEX2DEC('table for research'!AL$1))*2,2)</f>
        <v>00</v>
      </c>
      <c r="AM821" t="str">
        <f>MID('paste from garc here'!$C$2,1+(('table for research'!$B821-456)*36+HEX2DEC('table for research'!AM$1))*2,2)</f>
        <v>00</v>
      </c>
      <c r="AN821" t="str">
        <f>MID('paste from garc here'!$C$2,1+(('table for research'!$B821-456)*36+HEX2DEC('table for research'!AN$1))*2,2)</f>
        <v>00</v>
      </c>
      <c r="AO821" t="str">
        <f>MID('paste from garc here'!$C$2,1+(('table for research'!$B821-456)*36+HEX2DEC('table for research'!AO$1))*2,2)</f>
        <v>00</v>
      </c>
    </row>
    <row r="822" spans="1:41" x14ac:dyDescent="0.4">
      <c r="A822" t="s">
        <v>813</v>
      </c>
      <c r="B822">
        <f>B821+1</f>
        <v>820</v>
      </c>
      <c r="C822" t="str">
        <f>MID('paste from garc here'!$C$2,1+(('table for research'!$B822-456)*36+HEX2DEC('table for research'!C$1))*2,2)</f>
        <v>00</v>
      </c>
      <c r="D822" t="str">
        <f>MID('paste from garc here'!$C$2,1+(('table for research'!$B822-456)*36+HEX2DEC('table for research'!D$1))*2,2)</f>
        <v>00</v>
      </c>
      <c r="E822" t="str">
        <f>MID('paste from garc here'!$C$2,1+(('table for research'!$B822-456)*36+HEX2DEC('table for research'!E$1))*2,2)</f>
        <v>00</v>
      </c>
      <c r="F822" t="str">
        <f>MID('paste from garc here'!$C$2,1+(('table for research'!$B822-456)*36+HEX2DEC('table for research'!F$1))*2,2)</f>
        <v>00</v>
      </c>
      <c r="G822" t="str">
        <f>MID('paste from garc here'!$C$2,1+(('table for research'!$B822-456)*36+HEX2DEC('table for research'!G$1))*2,2)</f>
        <v>00</v>
      </c>
      <c r="H822" t="str">
        <f>MID('paste from garc here'!$C$2,1+(('table for research'!$B822-456)*36+HEX2DEC('table for research'!H$1))*2,2)</f>
        <v>00</v>
      </c>
      <c r="I822" t="str">
        <f>MID('paste from garc here'!$C$2,1+(('table for research'!$B822-456)*36+HEX2DEC('table for research'!I$1))*2,2)</f>
        <v>00</v>
      </c>
      <c r="J822" t="str">
        <f>MID('paste from garc here'!$C$2,1+(('table for research'!$B822-456)*36+HEX2DEC('table for research'!J$1))*2,2)</f>
        <v>00</v>
      </c>
      <c r="K822" t="str">
        <f>DEC2HEX(_xlfn.BITAND(HEX2DEC(MID('paste from garc here'!$C$1,1+(('table for research'!$B822-1)*36+HEX2DEC(8))*2,2)),31),2)</f>
        <v>00</v>
      </c>
      <c r="L822" t="str">
        <f>DEC2HEX(_xlfn.BITAND(HEX2DEC(MID('paste from garc here'!$C$1,1+(('table for research'!$B822-1)*36+HEX2DEC(8))*2,2)),32),2)</f>
        <v>00</v>
      </c>
      <c r="M822" t="str">
        <f>DEC2HEX(_xlfn.BITAND(HEX2DEC(MID('paste from garc here'!$C$1,1+(('table for research'!$B822-1)*36+HEX2DEC(8))*2,2)),64),2)</f>
        <v>00</v>
      </c>
      <c r="N822" t="str">
        <f>DEC2HEX(_xlfn.BITRSHIFT(_xlfn.BITAND(HEX2DEC(MID('paste from garc here'!$C$1,1+(('table for research'!$B822-1)*36+HEX2DEC(9))*2,2)&amp;MID('paste from garc here'!$C$1,1+(('table for research'!$B822-1)*36+HEX2DEC(8))*2,2)),1920),7),2)</f>
        <v>00</v>
      </c>
      <c r="O822" t="str">
        <f>DEC2HEX(_xlfn.BITRSHIFT(HEX2DEC(MID('paste from garc here'!$C$1,1+(('table for research'!$B822-1)*36+HEX2DEC(9))*2,2)&amp;MID('paste from garc here'!$C$1,1+(('table for research'!$B822-1)*36+HEX2DEC(8))*2,2)),11),2)</f>
        <v>00</v>
      </c>
      <c r="P822" t="str">
        <f>MID('paste from garc here'!$C$2,1+(('table for research'!$B822-456)*36+HEX2DEC('table for research'!P$1))*2,2)</f>
        <v>01</v>
      </c>
      <c r="Q822" t="str">
        <f>MID('paste from garc here'!$C$2,1+(('table for research'!$B822-456)*36+HEX2DEC('table for research'!Q$1))*2,2)</f>
        <v>00</v>
      </c>
      <c r="R822" t="str">
        <f>MID('paste from garc here'!$C$2,1+(('table for research'!$B822-456)*36+HEX2DEC('table for research'!R$1))*2,2)</f>
        <v>00</v>
      </c>
      <c r="S822" t="str">
        <f>MID('paste from garc here'!$C$2,1+(('table for research'!$B822-456)*36+HEX2DEC('table for research'!S$1))*2,2)</f>
        <v>01</v>
      </c>
      <c r="T822" t="str">
        <f>MID('paste from garc here'!$C$2,1+(('table for research'!$B822-456)*36+HEX2DEC('table for research'!T$1))*2,2)</f>
        <v>00</v>
      </c>
      <c r="U822" t="str">
        <f>MID('paste from garc here'!$C$2,1+(('table for research'!$B822-456)*36+HEX2DEC('table for research'!U$1))*2,2)</f>
        <v>0E</v>
      </c>
      <c r="V822" t="str">
        <f>MID('paste from garc here'!$C$2,1+(('table for research'!$B822-456)*36+HEX2DEC('table for research'!V$1))*2,2)</f>
        <v>0E</v>
      </c>
      <c r="W822" t="str">
        <f>MID('paste from garc here'!$C$2,1+(('table for research'!$B822-456)*36+HEX2DEC('table for research'!W$1))*2,2)</f>
        <v>00</v>
      </c>
      <c r="X822" t="str">
        <f>MID('paste from garc here'!$C$2,1+(('table for research'!$B822-456)*36+HEX2DEC('table for research'!X$1))*2,2)</f>
        <v>00</v>
      </c>
      <c r="Y822" t="str">
        <f>MID('paste from garc here'!$C$2,1+(('table for research'!$B822-456)*36+HEX2DEC('table for research'!Y$1))*2,2)</f>
        <v>00</v>
      </c>
      <c r="Z822" t="str">
        <f>MID('paste from garc here'!$C$2,1+(('table for research'!$B822-456)*36+HEX2DEC('table for research'!Z$1))*2,2)</f>
        <v>00</v>
      </c>
      <c r="AA822" t="str">
        <f>MID('paste from garc here'!$C$2,1+(('table for research'!$B822-456)*36+HEX2DEC('table for research'!AA$1))*2,2)</f>
        <v>00</v>
      </c>
      <c r="AB822" t="str">
        <f>MID('paste from garc here'!$C$2,1+(('table for research'!$B822-456)*36+HEX2DEC('table for research'!AB$1))*2,2)</f>
        <v>00</v>
      </c>
      <c r="AC822" t="str">
        <f>MID('paste from garc here'!$C$2,1+(('table for research'!$B822-456)*36+HEX2DEC('table for research'!AC$1))*2,2)</f>
        <v>00</v>
      </c>
      <c r="AD822" t="str">
        <f>MID('paste from garc here'!$C$2,1+(('table for research'!$B822-456)*36+HEX2DEC('table for research'!AD$1))*2,2)</f>
        <v>00</v>
      </c>
      <c r="AE822" t="str">
        <f>MID('paste from garc here'!$C$2,1+(('table for research'!$B822-456)*36+HEX2DEC('table for research'!AE$1))*2,2)</f>
        <v>00</v>
      </c>
      <c r="AF822" t="str">
        <f>MID('paste from garc here'!$C$2,1+(('table for research'!$B822-456)*36+HEX2DEC('table for research'!AF$1))*2,2)</f>
        <v>00</v>
      </c>
      <c r="AG822" t="str">
        <f>MID('paste from garc here'!$C$2,1+(('table for research'!$B822-456)*36+HEX2DEC('table for research'!AG$1))*2,2)</f>
        <v>00</v>
      </c>
      <c r="AH822" t="str">
        <f>MID('paste from garc here'!$C$2,1+(('table for research'!$B822-456)*36+HEX2DEC('table for research'!AH$1))*2,2)</f>
        <v>00</v>
      </c>
      <c r="AI822" t="str">
        <f>MID('paste from garc here'!$C$2,1+(('table for research'!$B822-456)*36+HEX2DEC('table for research'!AI$1))*2,2)</f>
        <v>00</v>
      </c>
      <c r="AJ822" t="str">
        <f>MID('paste from garc here'!$C$2,1+(('table for research'!$B822-456)*36+HEX2DEC('table for research'!AJ$1))*2,2)</f>
        <v>00</v>
      </c>
      <c r="AK822" t="str">
        <f>MID('paste from garc here'!$C$2,1+(('table for research'!$B822-456)*36+HEX2DEC('table for research'!AK$1))*2,2)</f>
        <v>00</v>
      </c>
      <c r="AL822" t="str">
        <f>MID('paste from garc here'!$C$2,1+(('table for research'!$B822-456)*36+HEX2DEC('table for research'!AL$1))*2,2)</f>
        <v>00</v>
      </c>
      <c r="AM822" t="str">
        <f>MID('paste from garc here'!$C$2,1+(('table for research'!$B822-456)*36+HEX2DEC('table for research'!AM$1))*2,2)</f>
        <v>00</v>
      </c>
      <c r="AN822" t="str">
        <f>MID('paste from garc here'!$C$2,1+(('table for research'!$B822-456)*36+HEX2DEC('table for research'!AN$1))*2,2)</f>
        <v>00</v>
      </c>
      <c r="AO822" t="str">
        <f>MID('paste from garc here'!$C$2,1+(('table for research'!$B822-456)*36+HEX2DEC('table for research'!AO$1))*2,2)</f>
        <v>00</v>
      </c>
    </row>
    <row r="823" spans="1:41" x14ac:dyDescent="0.4">
      <c r="A823" t="s">
        <v>814</v>
      </c>
      <c r="B823">
        <f>B822+1</f>
        <v>821</v>
      </c>
      <c r="C823" t="str">
        <f>MID('paste from garc here'!$C$2,1+(('table for research'!$B823-456)*36+HEX2DEC('table for research'!C$1))*2,2)</f>
        <v>00</v>
      </c>
      <c r="D823" t="str">
        <f>MID('paste from garc here'!$C$2,1+(('table for research'!$B823-456)*36+HEX2DEC('table for research'!D$1))*2,2)</f>
        <v>00</v>
      </c>
      <c r="E823" t="str">
        <f>MID('paste from garc here'!$C$2,1+(('table for research'!$B823-456)*36+HEX2DEC('table for research'!E$1))*2,2)</f>
        <v>00</v>
      </c>
      <c r="F823" t="str">
        <f>MID('paste from garc here'!$C$2,1+(('table for research'!$B823-456)*36+HEX2DEC('table for research'!F$1))*2,2)</f>
        <v>00</v>
      </c>
      <c r="G823" t="str">
        <f>MID('paste from garc here'!$C$2,1+(('table for research'!$B823-456)*36+HEX2DEC('table for research'!G$1))*2,2)</f>
        <v>00</v>
      </c>
      <c r="H823" t="str">
        <f>MID('paste from garc here'!$C$2,1+(('table for research'!$B823-456)*36+HEX2DEC('table for research'!H$1))*2,2)</f>
        <v>00</v>
      </c>
      <c r="I823" t="str">
        <f>MID('paste from garc here'!$C$2,1+(('table for research'!$B823-456)*36+HEX2DEC('table for research'!I$1))*2,2)</f>
        <v>00</v>
      </c>
      <c r="J823" t="str">
        <f>MID('paste from garc here'!$C$2,1+(('table for research'!$B823-456)*36+HEX2DEC('table for research'!J$1))*2,2)</f>
        <v>00</v>
      </c>
      <c r="K823" t="str">
        <f>DEC2HEX(_xlfn.BITAND(HEX2DEC(MID('paste from garc here'!$C$1,1+(('table for research'!$B823-1)*36+HEX2DEC(8))*2,2)),31),2)</f>
        <v>00</v>
      </c>
      <c r="L823" t="str">
        <f>DEC2HEX(_xlfn.BITAND(HEX2DEC(MID('paste from garc here'!$C$1,1+(('table for research'!$B823-1)*36+HEX2DEC(8))*2,2)),32),2)</f>
        <v>00</v>
      </c>
      <c r="M823" t="str">
        <f>DEC2HEX(_xlfn.BITAND(HEX2DEC(MID('paste from garc here'!$C$1,1+(('table for research'!$B823-1)*36+HEX2DEC(8))*2,2)),64),2)</f>
        <v>00</v>
      </c>
      <c r="N823" t="str">
        <f>DEC2HEX(_xlfn.BITRSHIFT(_xlfn.BITAND(HEX2DEC(MID('paste from garc here'!$C$1,1+(('table for research'!$B823-1)*36+HEX2DEC(9))*2,2)&amp;MID('paste from garc here'!$C$1,1+(('table for research'!$B823-1)*36+HEX2DEC(8))*2,2)),1920),7),2)</f>
        <v>00</v>
      </c>
      <c r="O823" t="str">
        <f>DEC2HEX(_xlfn.BITRSHIFT(HEX2DEC(MID('paste from garc here'!$C$1,1+(('table for research'!$B823-1)*36+HEX2DEC(9))*2,2)&amp;MID('paste from garc here'!$C$1,1+(('table for research'!$B823-1)*36+HEX2DEC(8))*2,2)),11),2)</f>
        <v>00</v>
      </c>
      <c r="P823" t="str">
        <f>MID('paste from garc here'!$C$2,1+(('table for research'!$B823-456)*36+HEX2DEC('table for research'!P$1))*2,2)</f>
        <v>01</v>
      </c>
      <c r="Q823" t="str">
        <f>MID('paste from garc here'!$C$2,1+(('table for research'!$B823-456)*36+HEX2DEC('table for research'!Q$1))*2,2)</f>
        <v>00</v>
      </c>
      <c r="R823" t="str">
        <f>MID('paste from garc here'!$C$2,1+(('table for research'!$B823-456)*36+HEX2DEC('table for research'!R$1))*2,2)</f>
        <v>00</v>
      </c>
      <c r="S823" t="str">
        <f>MID('paste from garc here'!$C$2,1+(('table for research'!$B823-456)*36+HEX2DEC('table for research'!S$1))*2,2)</f>
        <v>01</v>
      </c>
      <c r="T823" t="str">
        <f>MID('paste from garc here'!$C$2,1+(('table for research'!$B823-456)*36+HEX2DEC('table for research'!T$1))*2,2)</f>
        <v>00</v>
      </c>
      <c r="U823" t="str">
        <f>MID('paste from garc here'!$C$2,1+(('table for research'!$B823-456)*36+HEX2DEC('table for research'!U$1))*2,2)</f>
        <v>0F</v>
      </c>
      <c r="V823" t="str">
        <f>MID('paste from garc here'!$C$2,1+(('table for research'!$B823-456)*36+HEX2DEC('table for research'!V$1))*2,2)</f>
        <v>0F</v>
      </c>
      <c r="W823" t="str">
        <f>MID('paste from garc here'!$C$2,1+(('table for research'!$B823-456)*36+HEX2DEC('table for research'!W$1))*2,2)</f>
        <v>00</v>
      </c>
      <c r="X823" t="str">
        <f>MID('paste from garc here'!$C$2,1+(('table for research'!$B823-456)*36+HEX2DEC('table for research'!X$1))*2,2)</f>
        <v>00</v>
      </c>
      <c r="Y823" t="str">
        <f>MID('paste from garc here'!$C$2,1+(('table for research'!$B823-456)*36+HEX2DEC('table for research'!Y$1))*2,2)</f>
        <v>00</v>
      </c>
      <c r="Z823" t="str">
        <f>MID('paste from garc here'!$C$2,1+(('table for research'!$B823-456)*36+HEX2DEC('table for research'!Z$1))*2,2)</f>
        <v>00</v>
      </c>
      <c r="AA823" t="str">
        <f>MID('paste from garc here'!$C$2,1+(('table for research'!$B823-456)*36+HEX2DEC('table for research'!AA$1))*2,2)</f>
        <v>00</v>
      </c>
      <c r="AB823" t="str">
        <f>MID('paste from garc here'!$C$2,1+(('table for research'!$B823-456)*36+HEX2DEC('table for research'!AB$1))*2,2)</f>
        <v>00</v>
      </c>
      <c r="AC823" t="str">
        <f>MID('paste from garc here'!$C$2,1+(('table for research'!$B823-456)*36+HEX2DEC('table for research'!AC$1))*2,2)</f>
        <v>00</v>
      </c>
      <c r="AD823" t="str">
        <f>MID('paste from garc here'!$C$2,1+(('table for research'!$B823-456)*36+HEX2DEC('table for research'!AD$1))*2,2)</f>
        <v>00</v>
      </c>
      <c r="AE823" t="str">
        <f>MID('paste from garc here'!$C$2,1+(('table for research'!$B823-456)*36+HEX2DEC('table for research'!AE$1))*2,2)</f>
        <v>00</v>
      </c>
      <c r="AF823" t="str">
        <f>MID('paste from garc here'!$C$2,1+(('table for research'!$B823-456)*36+HEX2DEC('table for research'!AF$1))*2,2)</f>
        <v>00</v>
      </c>
      <c r="AG823" t="str">
        <f>MID('paste from garc here'!$C$2,1+(('table for research'!$B823-456)*36+HEX2DEC('table for research'!AG$1))*2,2)</f>
        <v>00</v>
      </c>
      <c r="AH823" t="str">
        <f>MID('paste from garc here'!$C$2,1+(('table for research'!$B823-456)*36+HEX2DEC('table for research'!AH$1))*2,2)</f>
        <v>00</v>
      </c>
      <c r="AI823" t="str">
        <f>MID('paste from garc here'!$C$2,1+(('table for research'!$B823-456)*36+HEX2DEC('table for research'!AI$1))*2,2)</f>
        <v>00</v>
      </c>
      <c r="AJ823" t="str">
        <f>MID('paste from garc here'!$C$2,1+(('table for research'!$B823-456)*36+HEX2DEC('table for research'!AJ$1))*2,2)</f>
        <v>00</v>
      </c>
      <c r="AK823" t="str">
        <f>MID('paste from garc here'!$C$2,1+(('table for research'!$B823-456)*36+HEX2DEC('table for research'!AK$1))*2,2)</f>
        <v>00</v>
      </c>
      <c r="AL823" t="str">
        <f>MID('paste from garc here'!$C$2,1+(('table for research'!$B823-456)*36+HEX2DEC('table for research'!AL$1))*2,2)</f>
        <v>00</v>
      </c>
      <c r="AM823" t="str">
        <f>MID('paste from garc here'!$C$2,1+(('table for research'!$B823-456)*36+HEX2DEC('table for research'!AM$1))*2,2)</f>
        <v>00</v>
      </c>
      <c r="AN823" t="str">
        <f>MID('paste from garc here'!$C$2,1+(('table for research'!$B823-456)*36+HEX2DEC('table for research'!AN$1))*2,2)</f>
        <v>00</v>
      </c>
      <c r="AO823" t="str">
        <f>MID('paste from garc here'!$C$2,1+(('table for research'!$B823-456)*36+HEX2DEC('table for research'!AO$1))*2,2)</f>
        <v>00</v>
      </c>
    </row>
    <row r="824" spans="1:41" x14ac:dyDescent="0.4">
      <c r="A824" t="s">
        <v>815</v>
      </c>
      <c r="B824">
        <f>B823+1</f>
        <v>822</v>
      </c>
      <c r="C824" t="str">
        <f>MID('paste from garc here'!$C$2,1+(('table for research'!$B824-456)*36+HEX2DEC('table for research'!C$1))*2,2)</f>
        <v>00</v>
      </c>
      <c r="D824" t="str">
        <f>MID('paste from garc here'!$C$2,1+(('table for research'!$B824-456)*36+HEX2DEC('table for research'!D$1))*2,2)</f>
        <v>00</v>
      </c>
      <c r="E824" t="str">
        <f>MID('paste from garc here'!$C$2,1+(('table for research'!$B824-456)*36+HEX2DEC('table for research'!E$1))*2,2)</f>
        <v>00</v>
      </c>
      <c r="F824" t="str">
        <f>MID('paste from garc here'!$C$2,1+(('table for research'!$B824-456)*36+HEX2DEC('table for research'!F$1))*2,2)</f>
        <v>00</v>
      </c>
      <c r="G824" t="str">
        <f>MID('paste from garc here'!$C$2,1+(('table for research'!$B824-456)*36+HEX2DEC('table for research'!G$1))*2,2)</f>
        <v>00</v>
      </c>
      <c r="H824" t="str">
        <f>MID('paste from garc here'!$C$2,1+(('table for research'!$B824-456)*36+HEX2DEC('table for research'!H$1))*2,2)</f>
        <v>00</v>
      </c>
      <c r="I824" t="str">
        <f>MID('paste from garc here'!$C$2,1+(('table for research'!$B824-456)*36+HEX2DEC('table for research'!I$1))*2,2)</f>
        <v>00</v>
      </c>
      <c r="J824" t="str">
        <f>MID('paste from garc here'!$C$2,1+(('table for research'!$B824-456)*36+HEX2DEC('table for research'!J$1))*2,2)</f>
        <v>00</v>
      </c>
      <c r="K824" t="str">
        <f>DEC2HEX(_xlfn.BITAND(HEX2DEC(MID('paste from garc here'!$C$1,1+(('table for research'!$B824-1)*36+HEX2DEC(8))*2,2)),31),2)</f>
        <v>00</v>
      </c>
      <c r="L824" t="str">
        <f>DEC2HEX(_xlfn.BITAND(HEX2DEC(MID('paste from garc here'!$C$1,1+(('table for research'!$B824-1)*36+HEX2DEC(8))*2,2)),32),2)</f>
        <v>00</v>
      </c>
      <c r="M824" t="str">
        <f>DEC2HEX(_xlfn.BITAND(HEX2DEC(MID('paste from garc here'!$C$1,1+(('table for research'!$B824-1)*36+HEX2DEC(8))*2,2)),64),2)</f>
        <v>00</v>
      </c>
      <c r="N824" t="str">
        <f>DEC2HEX(_xlfn.BITRSHIFT(_xlfn.BITAND(HEX2DEC(MID('paste from garc here'!$C$1,1+(('table for research'!$B824-1)*36+HEX2DEC(9))*2,2)&amp;MID('paste from garc here'!$C$1,1+(('table for research'!$B824-1)*36+HEX2DEC(8))*2,2)),1920),7),2)</f>
        <v>00</v>
      </c>
      <c r="O824" t="str">
        <f>DEC2HEX(_xlfn.BITRSHIFT(HEX2DEC(MID('paste from garc here'!$C$1,1+(('table for research'!$B824-1)*36+HEX2DEC(9))*2,2)&amp;MID('paste from garc here'!$C$1,1+(('table for research'!$B824-1)*36+HEX2DEC(8))*2,2)),11),2)</f>
        <v>00</v>
      </c>
      <c r="P824" t="str">
        <f>MID('paste from garc here'!$C$2,1+(('table for research'!$B824-456)*36+HEX2DEC('table for research'!P$1))*2,2)</f>
        <v>01</v>
      </c>
      <c r="Q824" t="str">
        <f>MID('paste from garc here'!$C$2,1+(('table for research'!$B824-456)*36+HEX2DEC('table for research'!Q$1))*2,2)</f>
        <v>00</v>
      </c>
      <c r="R824" t="str">
        <f>MID('paste from garc here'!$C$2,1+(('table for research'!$B824-456)*36+HEX2DEC('table for research'!R$1))*2,2)</f>
        <v>00</v>
      </c>
      <c r="S824" t="str">
        <f>MID('paste from garc here'!$C$2,1+(('table for research'!$B824-456)*36+HEX2DEC('table for research'!S$1))*2,2)</f>
        <v>01</v>
      </c>
      <c r="T824" t="str">
        <f>MID('paste from garc here'!$C$2,1+(('table for research'!$B824-456)*36+HEX2DEC('table for research'!T$1))*2,2)</f>
        <v>00</v>
      </c>
      <c r="U824" t="str">
        <f>MID('paste from garc here'!$C$2,1+(('table for research'!$B824-456)*36+HEX2DEC('table for research'!U$1))*2,2)</f>
        <v>10</v>
      </c>
      <c r="V824" t="str">
        <f>MID('paste from garc here'!$C$2,1+(('table for research'!$B824-456)*36+HEX2DEC('table for research'!V$1))*2,2)</f>
        <v>10</v>
      </c>
      <c r="W824" t="str">
        <f>MID('paste from garc here'!$C$2,1+(('table for research'!$B824-456)*36+HEX2DEC('table for research'!W$1))*2,2)</f>
        <v>00</v>
      </c>
      <c r="X824" t="str">
        <f>MID('paste from garc here'!$C$2,1+(('table for research'!$B824-456)*36+HEX2DEC('table for research'!X$1))*2,2)</f>
        <v>00</v>
      </c>
      <c r="Y824" t="str">
        <f>MID('paste from garc here'!$C$2,1+(('table for research'!$B824-456)*36+HEX2DEC('table for research'!Y$1))*2,2)</f>
        <v>00</v>
      </c>
      <c r="Z824" t="str">
        <f>MID('paste from garc here'!$C$2,1+(('table for research'!$B824-456)*36+HEX2DEC('table for research'!Z$1))*2,2)</f>
        <v>00</v>
      </c>
      <c r="AA824" t="str">
        <f>MID('paste from garc here'!$C$2,1+(('table for research'!$B824-456)*36+HEX2DEC('table for research'!AA$1))*2,2)</f>
        <v>00</v>
      </c>
      <c r="AB824" t="str">
        <f>MID('paste from garc here'!$C$2,1+(('table for research'!$B824-456)*36+HEX2DEC('table for research'!AB$1))*2,2)</f>
        <v>00</v>
      </c>
      <c r="AC824" t="str">
        <f>MID('paste from garc here'!$C$2,1+(('table for research'!$B824-456)*36+HEX2DEC('table for research'!AC$1))*2,2)</f>
        <v>00</v>
      </c>
      <c r="AD824" t="str">
        <f>MID('paste from garc here'!$C$2,1+(('table for research'!$B824-456)*36+HEX2DEC('table for research'!AD$1))*2,2)</f>
        <v>00</v>
      </c>
      <c r="AE824" t="str">
        <f>MID('paste from garc here'!$C$2,1+(('table for research'!$B824-456)*36+HEX2DEC('table for research'!AE$1))*2,2)</f>
        <v>00</v>
      </c>
      <c r="AF824" t="str">
        <f>MID('paste from garc here'!$C$2,1+(('table for research'!$B824-456)*36+HEX2DEC('table for research'!AF$1))*2,2)</f>
        <v>00</v>
      </c>
      <c r="AG824" t="str">
        <f>MID('paste from garc here'!$C$2,1+(('table for research'!$B824-456)*36+HEX2DEC('table for research'!AG$1))*2,2)</f>
        <v>00</v>
      </c>
      <c r="AH824" t="str">
        <f>MID('paste from garc here'!$C$2,1+(('table for research'!$B824-456)*36+HEX2DEC('table for research'!AH$1))*2,2)</f>
        <v>00</v>
      </c>
      <c r="AI824" t="str">
        <f>MID('paste from garc here'!$C$2,1+(('table for research'!$B824-456)*36+HEX2DEC('table for research'!AI$1))*2,2)</f>
        <v>00</v>
      </c>
      <c r="AJ824" t="str">
        <f>MID('paste from garc here'!$C$2,1+(('table for research'!$B824-456)*36+HEX2DEC('table for research'!AJ$1))*2,2)</f>
        <v>00</v>
      </c>
      <c r="AK824" t="str">
        <f>MID('paste from garc here'!$C$2,1+(('table for research'!$B824-456)*36+HEX2DEC('table for research'!AK$1))*2,2)</f>
        <v>00</v>
      </c>
      <c r="AL824" t="str">
        <f>MID('paste from garc here'!$C$2,1+(('table for research'!$B824-456)*36+HEX2DEC('table for research'!AL$1))*2,2)</f>
        <v>00</v>
      </c>
      <c r="AM824" t="str">
        <f>MID('paste from garc here'!$C$2,1+(('table for research'!$B824-456)*36+HEX2DEC('table for research'!AM$1))*2,2)</f>
        <v>00</v>
      </c>
      <c r="AN824" t="str">
        <f>MID('paste from garc here'!$C$2,1+(('table for research'!$B824-456)*36+HEX2DEC('table for research'!AN$1))*2,2)</f>
        <v>00</v>
      </c>
      <c r="AO824" t="str">
        <f>MID('paste from garc here'!$C$2,1+(('table for research'!$B824-456)*36+HEX2DEC('table for research'!AO$1))*2,2)</f>
        <v>00</v>
      </c>
    </row>
    <row r="825" spans="1:41" x14ac:dyDescent="0.4">
      <c r="A825" t="s">
        <v>816</v>
      </c>
      <c r="B825">
        <f>B824+1</f>
        <v>823</v>
      </c>
      <c r="C825" t="str">
        <f>MID('paste from garc here'!$C$2,1+(('table for research'!$B825-456)*36+HEX2DEC('table for research'!C$1))*2,2)</f>
        <v>00</v>
      </c>
      <c r="D825" t="str">
        <f>MID('paste from garc here'!$C$2,1+(('table for research'!$B825-456)*36+HEX2DEC('table for research'!D$1))*2,2)</f>
        <v>00</v>
      </c>
      <c r="E825" t="str">
        <f>MID('paste from garc here'!$C$2,1+(('table for research'!$B825-456)*36+HEX2DEC('table for research'!E$1))*2,2)</f>
        <v>00</v>
      </c>
      <c r="F825" t="str">
        <f>MID('paste from garc here'!$C$2,1+(('table for research'!$B825-456)*36+HEX2DEC('table for research'!F$1))*2,2)</f>
        <v>00</v>
      </c>
      <c r="G825" t="str">
        <f>MID('paste from garc here'!$C$2,1+(('table for research'!$B825-456)*36+HEX2DEC('table for research'!G$1))*2,2)</f>
        <v>00</v>
      </c>
      <c r="H825" t="str">
        <f>MID('paste from garc here'!$C$2,1+(('table for research'!$B825-456)*36+HEX2DEC('table for research'!H$1))*2,2)</f>
        <v>00</v>
      </c>
      <c r="I825" t="str">
        <f>MID('paste from garc here'!$C$2,1+(('table for research'!$B825-456)*36+HEX2DEC('table for research'!I$1))*2,2)</f>
        <v>00</v>
      </c>
      <c r="J825" t="str">
        <f>MID('paste from garc here'!$C$2,1+(('table for research'!$B825-456)*36+HEX2DEC('table for research'!J$1))*2,2)</f>
        <v>00</v>
      </c>
      <c r="K825" t="str">
        <f>DEC2HEX(_xlfn.BITAND(HEX2DEC(MID('paste from garc here'!$C$1,1+(('table for research'!$B825-1)*36+HEX2DEC(8))*2,2)),31),2)</f>
        <v>00</v>
      </c>
      <c r="L825" t="str">
        <f>DEC2HEX(_xlfn.BITAND(HEX2DEC(MID('paste from garc here'!$C$1,1+(('table for research'!$B825-1)*36+HEX2DEC(8))*2,2)),32),2)</f>
        <v>00</v>
      </c>
      <c r="M825" t="str">
        <f>DEC2HEX(_xlfn.BITAND(HEX2DEC(MID('paste from garc here'!$C$1,1+(('table for research'!$B825-1)*36+HEX2DEC(8))*2,2)),64),2)</f>
        <v>00</v>
      </c>
      <c r="N825" t="str">
        <f>DEC2HEX(_xlfn.BITRSHIFT(_xlfn.BITAND(HEX2DEC(MID('paste from garc here'!$C$1,1+(('table for research'!$B825-1)*36+HEX2DEC(9))*2,2)&amp;MID('paste from garc here'!$C$1,1+(('table for research'!$B825-1)*36+HEX2DEC(8))*2,2)),1920),7),2)</f>
        <v>00</v>
      </c>
      <c r="O825" t="str">
        <f>DEC2HEX(_xlfn.BITRSHIFT(HEX2DEC(MID('paste from garc here'!$C$1,1+(('table for research'!$B825-1)*36+HEX2DEC(9))*2,2)&amp;MID('paste from garc here'!$C$1,1+(('table for research'!$B825-1)*36+HEX2DEC(8))*2,2)),11),2)</f>
        <v>00</v>
      </c>
      <c r="P825" t="str">
        <f>MID('paste from garc here'!$C$2,1+(('table for research'!$B825-456)*36+HEX2DEC('table for research'!P$1))*2,2)</f>
        <v>01</v>
      </c>
      <c r="Q825" t="str">
        <f>MID('paste from garc here'!$C$2,1+(('table for research'!$B825-456)*36+HEX2DEC('table for research'!Q$1))*2,2)</f>
        <v>00</v>
      </c>
      <c r="R825" t="str">
        <f>MID('paste from garc here'!$C$2,1+(('table for research'!$B825-456)*36+HEX2DEC('table for research'!R$1))*2,2)</f>
        <v>00</v>
      </c>
      <c r="S825" t="str">
        <f>MID('paste from garc here'!$C$2,1+(('table for research'!$B825-456)*36+HEX2DEC('table for research'!S$1))*2,2)</f>
        <v>01</v>
      </c>
      <c r="T825" t="str">
        <f>MID('paste from garc here'!$C$2,1+(('table for research'!$B825-456)*36+HEX2DEC('table for research'!T$1))*2,2)</f>
        <v>00</v>
      </c>
      <c r="U825" t="str">
        <f>MID('paste from garc here'!$C$2,1+(('table for research'!$B825-456)*36+HEX2DEC('table for research'!U$1))*2,2)</f>
        <v>11</v>
      </c>
      <c r="V825" t="str">
        <f>MID('paste from garc here'!$C$2,1+(('table for research'!$B825-456)*36+HEX2DEC('table for research'!V$1))*2,2)</f>
        <v>11</v>
      </c>
      <c r="W825" t="str">
        <f>MID('paste from garc here'!$C$2,1+(('table for research'!$B825-456)*36+HEX2DEC('table for research'!W$1))*2,2)</f>
        <v>00</v>
      </c>
      <c r="X825" t="str">
        <f>MID('paste from garc here'!$C$2,1+(('table for research'!$B825-456)*36+HEX2DEC('table for research'!X$1))*2,2)</f>
        <v>00</v>
      </c>
      <c r="Y825" t="str">
        <f>MID('paste from garc here'!$C$2,1+(('table for research'!$B825-456)*36+HEX2DEC('table for research'!Y$1))*2,2)</f>
        <v>00</v>
      </c>
      <c r="Z825" t="str">
        <f>MID('paste from garc here'!$C$2,1+(('table for research'!$B825-456)*36+HEX2DEC('table for research'!Z$1))*2,2)</f>
        <v>00</v>
      </c>
      <c r="AA825" t="str">
        <f>MID('paste from garc here'!$C$2,1+(('table for research'!$B825-456)*36+HEX2DEC('table for research'!AA$1))*2,2)</f>
        <v>00</v>
      </c>
      <c r="AB825" t="str">
        <f>MID('paste from garc here'!$C$2,1+(('table for research'!$B825-456)*36+HEX2DEC('table for research'!AB$1))*2,2)</f>
        <v>00</v>
      </c>
      <c r="AC825" t="str">
        <f>MID('paste from garc here'!$C$2,1+(('table for research'!$B825-456)*36+HEX2DEC('table for research'!AC$1))*2,2)</f>
        <v>00</v>
      </c>
      <c r="AD825" t="str">
        <f>MID('paste from garc here'!$C$2,1+(('table for research'!$B825-456)*36+HEX2DEC('table for research'!AD$1))*2,2)</f>
        <v>00</v>
      </c>
      <c r="AE825" t="str">
        <f>MID('paste from garc here'!$C$2,1+(('table for research'!$B825-456)*36+HEX2DEC('table for research'!AE$1))*2,2)</f>
        <v>00</v>
      </c>
      <c r="AF825" t="str">
        <f>MID('paste from garc here'!$C$2,1+(('table for research'!$B825-456)*36+HEX2DEC('table for research'!AF$1))*2,2)</f>
        <v>00</v>
      </c>
      <c r="AG825" t="str">
        <f>MID('paste from garc here'!$C$2,1+(('table for research'!$B825-456)*36+HEX2DEC('table for research'!AG$1))*2,2)</f>
        <v>00</v>
      </c>
      <c r="AH825" t="str">
        <f>MID('paste from garc here'!$C$2,1+(('table for research'!$B825-456)*36+HEX2DEC('table for research'!AH$1))*2,2)</f>
        <v>00</v>
      </c>
      <c r="AI825" t="str">
        <f>MID('paste from garc here'!$C$2,1+(('table for research'!$B825-456)*36+HEX2DEC('table for research'!AI$1))*2,2)</f>
        <v>00</v>
      </c>
      <c r="AJ825" t="str">
        <f>MID('paste from garc here'!$C$2,1+(('table for research'!$B825-456)*36+HEX2DEC('table for research'!AJ$1))*2,2)</f>
        <v>00</v>
      </c>
      <c r="AK825" t="str">
        <f>MID('paste from garc here'!$C$2,1+(('table for research'!$B825-456)*36+HEX2DEC('table for research'!AK$1))*2,2)</f>
        <v>00</v>
      </c>
      <c r="AL825" t="str">
        <f>MID('paste from garc here'!$C$2,1+(('table for research'!$B825-456)*36+HEX2DEC('table for research'!AL$1))*2,2)</f>
        <v>00</v>
      </c>
      <c r="AM825" t="str">
        <f>MID('paste from garc here'!$C$2,1+(('table for research'!$B825-456)*36+HEX2DEC('table for research'!AM$1))*2,2)</f>
        <v>00</v>
      </c>
      <c r="AN825" t="str">
        <f>MID('paste from garc here'!$C$2,1+(('table for research'!$B825-456)*36+HEX2DEC('table for research'!AN$1))*2,2)</f>
        <v>00</v>
      </c>
      <c r="AO825" t="str">
        <f>MID('paste from garc here'!$C$2,1+(('table for research'!$B825-456)*36+HEX2DEC('table for research'!AO$1))*2,2)</f>
        <v>00</v>
      </c>
    </row>
    <row r="826" spans="1:41" x14ac:dyDescent="0.4">
      <c r="A826" t="s">
        <v>817</v>
      </c>
      <c r="B826">
        <f>B825+1</f>
        <v>824</v>
      </c>
      <c r="C826" t="str">
        <f>MID('paste from garc here'!$C$2,1+(('table for research'!$B826-456)*36+HEX2DEC('table for research'!C$1))*2,2)</f>
        <v>00</v>
      </c>
      <c r="D826" t="str">
        <f>MID('paste from garc here'!$C$2,1+(('table for research'!$B826-456)*36+HEX2DEC('table for research'!D$1))*2,2)</f>
        <v>00</v>
      </c>
      <c r="E826" t="str">
        <f>MID('paste from garc here'!$C$2,1+(('table for research'!$B826-456)*36+HEX2DEC('table for research'!E$1))*2,2)</f>
        <v>00</v>
      </c>
      <c r="F826" t="str">
        <f>MID('paste from garc here'!$C$2,1+(('table for research'!$B826-456)*36+HEX2DEC('table for research'!F$1))*2,2)</f>
        <v>00</v>
      </c>
      <c r="G826" t="str">
        <f>MID('paste from garc here'!$C$2,1+(('table for research'!$B826-456)*36+HEX2DEC('table for research'!G$1))*2,2)</f>
        <v>00</v>
      </c>
      <c r="H826" t="str">
        <f>MID('paste from garc here'!$C$2,1+(('table for research'!$B826-456)*36+HEX2DEC('table for research'!H$1))*2,2)</f>
        <v>00</v>
      </c>
      <c r="I826" t="str">
        <f>MID('paste from garc here'!$C$2,1+(('table for research'!$B826-456)*36+HEX2DEC('table for research'!I$1))*2,2)</f>
        <v>00</v>
      </c>
      <c r="J826" t="str">
        <f>MID('paste from garc here'!$C$2,1+(('table for research'!$B826-456)*36+HEX2DEC('table for research'!J$1))*2,2)</f>
        <v>00</v>
      </c>
      <c r="K826" t="str">
        <f>DEC2HEX(_xlfn.BITAND(HEX2DEC(MID('paste from garc here'!$C$1,1+(('table for research'!$B826-1)*36+HEX2DEC(8))*2,2)),31),2)</f>
        <v>00</v>
      </c>
      <c r="L826" t="str">
        <f>DEC2HEX(_xlfn.BITAND(HEX2DEC(MID('paste from garc here'!$C$1,1+(('table for research'!$B826-1)*36+HEX2DEC(8))*2,2)),32),2)</f>
        <v>00</v>
      </c>
      <c r="M826" t="str">
        <f>DEC2HEX(_xlfn.BITAND(HEX2DEC(MID('paste from garc here'!$C$1,1+(('table for research'!$B826-1)*36+HEX2DEC(8))*2,2)),64),2)</f>
        <v>00</v>
      </c>
      <c r="N826" t="str">
        <f>DEC2HEX(_xlfn.BITRSHIFT(_xlfn.BITAND(HEX2DEC(MID('paste from garc here'!$C$1,1+(('table for research'!$B826-1)*36+HEX2DEC(9))*2,2)&amp;MID('paste from garc here'!$C$1,1+(('table for research'!$B826-1)*36+HEX2DEC(8))*2,2)),1920),7),2)</f>
        <v>00</v>
      </c>
      <c r="O826" t="str">
        <f>DEC2HEX(_xlfn.BITRSHIFT(HEX2DEC(MID('paste from garc here'!$C$1,1+(('table for research'!$B826-1)*36+HEX2DEC(9))*2,2)&amp;MID('paste from garc here'!$C$1,1+(('table for research'!$B826-1)*36+HEX2DEC(8))*2,2)),11),2)</f>
        <v>00</v>
      </c>
      <c r="P826" t="str">
        <f>MID('paste from garc here'!$C$2,1+(('table for research'!$B826-456)*36+HEX2DEC('table for research'!P$1))*2,2)</f>
        <v>01</v>
      </c>
      <c r="Q826" t="str">
        <f>MID('paste from garc here'!$C$2,1+(('table for research'!$B826-456)*36+HEX2DEC('table for research'!Q$1))*2,2)</f>
        <v>00</v>
      </c>
      <c r="R826" t="str">
        <f>MID('paste from garc here'!$C$2,1+(('table for research'!$B826-456)*36+HEX2DEC('table for research'!R$1))*2,2)</f>
        <v>00</v>
      </c>
      <c r="S826" t="str">
        <f>MID('paste from garc here'!$C$2,1+(('table for research'!$B826-456)*36+HEX2DEC('table for research'!S$1))*2,2)</f>
        <v>01</v>
      </c>
      <c r="T826" t="str">
        <f>MID('paste from garc here'!$C$2,1+(('table for research'!$B826-456)*36+HEX2DEC('table for research'!T$1))*2,2)</f>
        <v>00</v>
      </c>
      <c r="U826" t="str">
        <f>MID('paste from garc here'!$C$2,1+(('table for research'!$B826-456)*36+HEX2DEC('table for research'!U$1))*2,2)</f>
        <v>12</v>
      </c>
      <c r="V826" t="str">
        <f>MID('paste from garc here'!$C$2,1+(('table for research'!$B826-456)*36+HEX2DEC('table for research'!V$1))*2,2)</f>
        <v>12</v>
      </c>
      <c r="W826" t="str">
        <f>MID('paste from garc here'!$C$2,1+(('table for research'!$B826-456)*36+HEX2DEC('table for research'!W$1))*2,2)</f>
        <v>00</v>
      </c>
      <c r="X826" t="str">
        <f>MID('paste from garc here'!$C$2,1+(('table for research'!$B826-456)*36+HEX2DEC('table for research'!X$1))*2,2)</f>
        <v>00</v>
      </c>
      <c r="Y826" t="str">
        <f>MID('paste from garc here'!$C$2,1+(('table for research'!$B826-456)*36+HEX2DEC('table for research'!Y$1))*2,2)</f>
        <v>00</v>
      </c>
      <c r="Z826" t="str">
        <f>MID('paste from garc here'!$C$2,1+(('table for research'!$B826-456)*36+HEX2DEC('table for research'!Z$1))*2,2)</f>
        <v>00</v>
      </c>
      <c r="AA826" t="str">
        <f>MID('paste from garc here'!$C$2,1+(('table for research'!$B826-456)*36+HEX2DEC('table for research'!AA$1))*2,2)</f>
        <v>00</v>
      </c>
      <c r="AB826" t="str">
        <f>MID('paste from garc here'!$C$2,1+(('table for research'!$B826-456)*36+HEX2DEC('table for research'!AB$1))*2,2)</f>
        <v>00</v>
      </c>
      <c r="AC826" t="str">
        <f>MID('paste from garc here'!$C$2,1+(('table for research'!$B826-456)*36+HEX2DEC('table for research'!AC$1))*2,2)</f>
        <v>00</v>
      </c>
      <c r="AD826" t="str">
        <f>MID('paste from garc here'!$C$2,1+(('table for research'!$B826-456)*36+HEX2DEC('table for research'!AD$1))*2,2)</f>
        <v>00</v>
      </c>
      <c r="AE826" t="str">
        <f>MID('paste from garc here'!$C$2,1+(('table for research'!$B826-456)*36+HEX2DEC('table for research'!AE$1))*2,2)</f>
        <v>00</v>
      </c>
      <c r="AF826" t="str">
        <f>MID('paste from garc here'!$C$2,1+(('table for research'!$B826-456)*36+HEX2DEC('table for research'!AF$1))*2,2)</f>
        <v>00</v>
      </c>
      <c r="AG826" t="str">
        <f>MID('paste from garc here'!$C$2,1+(('table for research'!$B826-456)*36+HEX2DEC('table for research'!AG$1))*2,2)</f>
        <v>00</v>
      </c>
      <c r="AH826" t="str">
        <f>MID('paste from garc here'!$C$2,1+(('table for research'!$B826-456)*36+HEX2DEC('table for research'!AH$1))*2,2)</f>
        <v>00</v>
      </c>
      <c r="AI826" t="str">
        <f>MID('paste from garc here'!$C$2,1+(('table for research'!$B826-456)*36+HEX2DEC('table for research'!AI$1))*2,2)</f>
        <v>00</v>
      </c>
      <c r="AJ826" t="str">
        <f>MID('paste from garc here'!$C$2,1+(('table for research'!$B826-456)*36+HEX2DEC('table for research'!AJ$1))*2,2)</f>
        <v>00</v>
      </c>
      <c r="AK826" t="str">
        <f>MID('paste from garc here'!$C$2,1+(('table for research'!$B826-456)*36+HEX2DEC('table for research'!AK$1))*2,2)</f>
        <v>00</v>
      </c>
      <c r="AL826" t="str">
        <f>MID('paste from garc here'!$C$2,1+(('table for research'!$B826-456)*36+HEX2DEC('table for research'!AL$1))*2,2)</f>
        <v>00</v>
      </c>
      <c r="AM826" t="str">
        <f>MID('paste from garc here'!$C$2,1+(('table for research'!$B826-456)*36+HEX2DEC('table for research'!AM$1))*2,2)</f>
        <v>00</v>
      </c>
      <c r="AN826" t="str">
        <f>MID('paste from garc here'!$C$2,1+(('table for research'!$B826-456)*36+HEX2DEC('table for research'!AN$1))*2,2)</f>
        <v>00</v>
      </c>
      <c r="AO826" t="str">
        <f>MID('paste from garc here'!$C$2,1+(('table for research'!$B826-456)*36+HEX2DEC('table for research'!AO$1))*2,2)</f>
        <v>00</v>
      </c>
    </row>
    <row r="827" spans="1:41" x14ac:dyDescent="0.4">
      <c r="A827" t="s">
        <v>818</v>
      </c>
      <c r="B827">
        <f>B826+1</f>
        <v>825</v>
      </c>
      <c r="C827" t="str">
        <f>MID('paste from garc here'!$C$2,1+(('table for research'!$B827-456)*36+HEX2DEC('table for research'!C$1))*2,2)</f>
        <v>00</v>
      </c>
      <c r="D827" t="str">
        <f>MID('paste from garc here'!$C$2,1+(('table for research'!$B827-456)*36+HEX2DEC('table for research'!D$1))*2,2)</f>
        <v>00</v>
      </c>
      <c r="E827" t="str">
        <f>MID('paste from garc here'!$C$2,1+(('table for research'!$B827-456)*36+HEX2DEC('table for research'!E$1))*2,2)</f>
        <v>00</v>
      </c>
      <c r="F827" t="str">
        <f>MID('paste from garc here'!$C$2,1+(('table for research'!$B827-456)*36+HEX2DEC('table for research'!F$1))*2,2)</f>
        <v>00</v>
      </c>
      <c r="G827" t="str">
        <f>MID('paste from garc here'!$C$2,1+(('table for research'!$B827-456)*36+HEX2DEC('table for research'!G$1))*2,2)</f>
        <v>00</v>
      </c>
      <c r="H827" t="str">
        <f>MID('paste from garc here'!$C$2,1+(('table for research'!$B827-456)*36+HEX2DEC('table for research'!H$1))*2,2)</f>
        <v>00</v>
      </c>
      <c r="I827" t="str">
        <f>MID('paste from garc here'!$C$2,1+(('table for research'!$B827-456)*36+HEX2DEC('table for research'!I$1))*2,2)</f>
        <v>00</v>
      </c>
      <c r="J827" t="str">
        <f>MID('paste from garc here'!$C$2,1+(('table for research'!$B827-456)*36+HEX2DEC('table for research'!J$1))*2,2)</f>
        <v>00</v>
      </c>
      <c r="K827" t="str">
        <f>DEC2HEX(_xlfn.BITAND(HEX2DEC(MID('paste from garc here'!$C$1,1+(('table for research'!$B827-1)*36+HEX2DEC(8))*2,2)),31),2)</f>
        <v>00</v>
      </c>
      <c r="L827" t="str">
        <f>DEC2HEX(_xlfn.BITAND(HEX2DEC(MID('paste from garc here'!$C$1,1+(('table for research'!$B827-1)*36+HEX2DEC(8))*2,2)),32),2)</f>
        <v>00</v>
      </c>
      <c r="M827" t="str">
        <f>DEC2HEX(_xlfn.BITAND(HEX2DEC(MID('paste from garc here'!$C$1,1+(('table for research'!$B827-1)*36+HEX2DEC(8))*2,2)),64),2)</f>
        <v>00</v>
      </c>
      <c r="N827" t="str">
        <f>DEC2HEX(_xlfn.BITRSHIFT(_xlfn.BITAND(HEX2DEC(MID('paste from garc here'!$C$1,1+(('table for research'!$B827-1)*36+HEX2DEC(9))*2,2)&amp;MID('paste from garc here'!$C$1,1+(('table for research'!$B827-1)*36+HEX2DEC(8))*2,2)),1920),7),2)</f>
        <v>00</v>
      </c>
      <c r="O827" t="str">
        <f>DEC2HEX(_xlfn.BITRSHIFT(HEX2DEC(MID('paste from garc here'!$C$1,1+(('table for research'!$B827-1)*36+HEX2DEC(9))*2,2)&amp;MID('paste from garc here'!$C$1,1+(('table for research'!$B827-1)*36+HEX2DEC(8))*2,2)),11),2)</f>
        <v>00</v>
      </c>
      <c r="P827" t="str">
        <f>MID('paste from garc here'!$C$2,1+(('table for research'!$B827-456)*36+HEX2DEC('table for research'!P$1))*2,2)</f>
        <v>01</v>
      </c>
      <c r="Q827" t="str">
        <f>MID('paste from garc here'!$C$2,1+(('table for research'!$B827-456)*36+HEX2DEC('table for research'!Q$1))*2,2)</f>
        <v>00</v>
      </c>
      <c r="R827" t="str">
        <f>MID('paste from garc here'!$C$2,1+(('table for research'!$B827-456)*36+HEX2DEC('table for research'!R$1))*2,2)</f>
        <v>00</v>
      </c>
      <c r="S827" t="str">
        <f>MID('paste from garc here'!$C$2,1+(('table for research'!$B827-456)*36+HEX2DEC('table for research'!S$1))*2,2)</f>
        <v>01</v>
      </c>
      <c r="T827" t="str">
        <f>MID('paste from garc here'!$C$2,1+(('table for research'!$B827-456)*36+HEX2DEC('table for research'!T$1))*2,2)</f>
        <v>00</v>
      </c>
      <c r="U827" t="str">
        <f>MID('paste from garc here'!$C$2,1+(('table for research'!$B827-456)*36+HEX2DEC('table for research'!U$1))*2,2)</f>
        <v>13</v>
      </c>
      <c r="V827" t="str">
        <f>MID('paste from garc here'!$C$2,1+(('table for research'!$B827-456)*36+HEX2DEC('table for research'!V$1))*2,2)</f>
        <v>13</v>
      </c>
      <c r="W827" t="str">
        <f>MID('paste from garc here'!$C$2,1+(('table for research'!$B827-456)*36+HEX2DEC('table for research'!W$1))*2,2)</f>
        <v>00</v>
      </c>
      <c r="X827" t="str">
        <f>MID('paste from garc here'!$C$2,1+(('table for research'!$B827-456)*36+HEX2DEC('table for research'!X$1))*2,2)</f>
        <v>00</v>
      </c>
      <c r="Y827" t="str">
        <f>MID('paste from garc here'!$C$2,1+(('table for research'!$B827-456)*36+HEX2DEC('table for research'!Y$1))*2,2)</f>
        <v>00</v>
      </c>
      <c r="Z827" t="str">
        <f>MID('paste from garc here'!$C$2,1+(('table for research'!$B827-456)*36+HEX2DEC('table for research'!Z$1))*2,2)</f>
        <v>00</v>
      </c>
      <c r="AA827" t="str">
        <f>MID('paste from garc here'!$C$2,1+(('table for research'!$B827-456)*36+HEX2DEC('table for research'!AA$1))*2,2)</f>
        <v>00</v>
      </c>
      <c r="AB827" t="str">
        <f>MID('paste from garc here'!$C$2,1+(('table for research'!$B827-456)*36+HEX2DEC('table for research'!AB$1))*2,2)</f>
        <v>00</v>
      </c>
      <c r="AC827" t="str">
        <f>MID('paste from garc here'!$C$2,1+(('table for research'!$B827-456)*36+HEX2DEC('table for research'!AC$1))*2,2)</f>
        <v>00</v>
      </c>
      <c r="AD827" t="str">
        <f>MID('paste from garc here'!$C$2,1+(('table for research'!$B827-456)*36+HEX2DEC('table for research'!AD$1))*2,2)</f>
        <v>00</v>
      </c>
      <c r="AE827" t="str">
        <f>MID('paste from garc here'!$C$2,1+(('table for research'!$B827-456)*36+HEX2DEC('table for research'!AE$1))*2,2)</f>
        <v>00</v>
      </c>
      <c r="AF827" t="str">
        <f>MID('paste from garc here'!$C$2,1+(('table for research'!$B827-456)*36+HEX2DEC('table for research'!AF$1))*2,2)</f>
        <v>00</v>
      </c>
      <c r="AG827" t="str">
        <f>MID('paste from garc here'!$C$2,1+(('table for research'!$B827-456)*36+HEX2DEC('table for research'!AG$1))*2,2)</f>
        <v>00</v>
      </c>
      <c r="AH827" t="str">
        <f>MID('paste from garc here'!$C$2,1+(('table for research'!$B827-456)*36+HEX2DEC('table for research'!AH$1))*2,2)</f>
        <v>00</v>
      </c>
      <c r="AI827" t="str">
        <f>MID('paste from garc here'!$C$2,1+(('table for research'!$B827-456)*36+HEX2DEC('table for research'!AI$1))*2,2)</f>
        <v>00</v>
      </c>
      <c r="AJ827" t="str">
        <f>MID('paste from garc here'!$C$2,1+(('table for research'!$B827-456)*36+HEX2DEC('table for research'!AJ$1))*2,2)</f>
        <v>00</v>
      </c>
      <c r="AK827" t="str">
        <f>MID('paste from garc here'!$C$2,1+(('table for research'!$B827-456)*36+HEX2DEC('table for research'!AK$1))*2,2)</f>
        <v>00</v>
      </c>
      <c r="AL827" t="str">
        <f>MID('paste from garc here'!$C$2,1+(('table for research'!$B827-456)*36+HEX2DEC('table for research'!AL$1))*2,2)</f>
        <v>00</v>
      </c>
      <c r="AM827" t="str">
        <f>MID('paste from garc here'!$C$2,1+(('table for research'!$B827-456)*36+HEX2DEC('table for research'!AM$1))*2,2)</f>
        <v>00</v>
      </c>
      <c r="AN827" t="str">
        <f>MID('paste from garc here'!$C$2,1+(('table for research'!$B827-456)*36+HEX2DEC('table for research'!AN$1))*2,2)</f>
        <v>00</v>
      </c>
      <c r="AO827" t="str">
        <f>MID('paste from garc here'!$C$2,1+(('table for research'!$B827-456)*36+HEX2DEC('table for research'!AO$1))*2,2)</f>
        <v>00</v>
      </c>
    </row>
    <row r="828" spans="1:41" x14ac:dyDescent="0.4">
      <c r="A828" t="s">
        <v>819</v>
      </c>
      <c r="B828">
        <f>B827+1</f>
        <v>826</v>
      </c>
      <c r="C828" t="str">
        <f>MID('paste from garc here'!$C$2,1+(('table for research'!$B828-456)*36+HEX2DEC('table for research'!C$1))*2,2)</f>
        <v>00</v>
      </c>
      <c r="D828" t="str">
        <f>MID('paste from garc here'!$C$2,1+(('table for research'!$B828-456)*36+HEX2DEC('table for research'!D$1))*2,2)</f>
        <v>00</v>
      </c>
      <c r="E828" t="str">
        <f>MID('paste from garc here'!$C$2,1+(('table for research'!$B828-456)*36+HEX2DEC('table for research'!E$1))*2,2)</f>
        <v>00</v>
      </c>
      <c r="F828" t="str">
        <f>MID('paste from garc here'!$C$2,1+(('table for research'!$B828-456)*36+HEX2DEC('table for research'!F$1))*2,2)</f>
        <v>00</v>
      </c>
      <c r="G828" t="str">
        <f>MID('paste from garc here'!$C$2,1+(('table for research'!$B828-456)*36+HEX2DEC('table for research'!G$1))*2,2)</f>
        <v>00</v>
      </c>
      <c r="H828" t="str">
        <f>MID('paste from garc here'!$C$2,1+(('table for research'!$B828-456)*36+HEX2DEC('table for research'!H$1))*2,2)</f>
        <v>00</v>
      </c>
      <c r="I828" t="str">
        <f>MID('paste from garc here'!$C$2,1+(('table for research'!$B828-456)*36+HEX2DEC('table for research'!I$1))*2,2)</f>
        <v>00</v>
      </c>
      <c r="J828" t="str">
        <f>MID('paste from garc here'!$C$2,1+(('table for research'!$B828-456)*36+HEX2DEC('table for research'!J$1))*2,2)</f>
        <v>00</v>
      </c>
      <c r="K828" t="str">
        <f>DEC2HEX(_xlfn.BITAND(HEX2DEC(MID('paste from garc here'!$C$1,1+(('table for research'!$B828-1)*36+HEX2DEC(8))*2,2)),31),2)</f>
        <v>00</v>
      </c>
      <c r="L828" t="str">
        <f>DEC2HEX(_xlfn.BITAND(HEX2DEC(MID('paste from garc here'!$C$1,1+(('table for research'!$B828-1)*36+HEX2DEC(8))*2,2)),32),2)</f>
        <v>00</v>
      </c>
      <c r="M828" t="str">
        <f>DEC2HEX(_xlfn.BITAND(HEX2DEC(MID('paste from garc here'!$C$1,1+(('table for research'!$B828-1)*36+HEX2DEC(8))*2,2)),64),2)</f>
        <v>00</v>
      </c>
      <c r="N828" t="str">
        <f>DEC2HEX(_xlfn.BITRSHIFT(_xlfn.BITAND(HEX2DEC(MID('paste from garc here'!$C$1,1+(('table for research'!$B828-1)*36+HEX2DEC(9))*2,2)&amp;MID('paste from garc here'!$C$1,1+(('table for research'!$B828-1)*36+HEX2DEC(8))*2,2)),1920),7),2)</f>
        <v>00</v>
      </c>
      <c r="O828" t="str">
        <f>DEC2HEX(_xlfn.BITRSHIFT(HEX2DEC(MID('paste from garc here'!$C$1,1+(('table for research'!$B828-1)*36+HEX2DEC(9))*2,2)&amp;MID('paste from garc here'!$C$1,1+(('table for research'!$B828-1)*36+HEX2DEC(8))*2,2)),11),2)</f>
        <v>00</v>
      </c>
      <c r="P828" t="str">
        <f>MID('paste from garc here'!$C$2,1+(('table for research'!$B828-456)*36+HEX2DEC('table for research'!P$1))*2,2)</f>
        <v>01</v>
      </c>
      <c r="Q828" t="str">
        <f>MID('paste from garc here'!$C$2,1+(('table for research'!$B828-456)*36+HEX2DEC('table for research'!Q$1))*2,2)</f>
        <v>00</v>
      </c>
      <c r="R828" t="str">
        <f>MID('paste from garc here'!$C$2,1+(('table for research'!$B828-456)*36+HEX2DEC('table for research'!R$1))*2,2)</f>
        <v>00</v>
      </c>
      <c r="S828" t="str">
        <f>MID('paste from garc here'!$C$2,1+(('table for research'!$B828-456)*36+HEX2DEC('table for research'!S$1))*2,2)</f>
        <v>01</v>
      </c>
      <c r="T828" t="str">
        <f>MID('paste from garc here'!$C$2,1+(('table for research'!$B828-456)*36+HEX2DEC('table for research'!T$1))*2,2)</f>
        <v>00</v>
      </c>
      <c r="U828" t="str">
        <f>MID('paste from garc here'!$C$2,1+(('table for research'!$B828-456)*36+HEX2DEC('table for research'!U$1))*2,2)</f>
        <v>14</v>
      </c>
      <c r="V828" t="str">
        <f>MID('paste from garc here'!$C$2,1+(('table for research'!$B828-456)*36+HEX2DEC('table for research'!V$1))*2,2)</f>
        <v>14</v>
      </c>
      <c r="W828" t="str">
        <f>MID('paste from garc here'!$C$2,1+(('table for research'!$B828-456)*36+HEX2DEC('table for research'!W$1))*2,2)</f>
        <v>00</v>
      </c>
      <c r="X828" t="str">
        <f>MID('paste from garc here'!$C$2,1+(('table for research'!$B828-456)*36+HEX2DEC('table for research'!X$1))*2,2)</f>
        <v>00</v>
      </c>
      <c r="Y828" t="str">
        <f>MID('paste from garc here'!$C$2,1+(('table for research'!$B828-456)*36+HEX2DEC('table for research'!Y$1))*2,2)</f>
        <v>00</v>
      </c>
      <c r="Z828" t="str">
        <f>MID('paste from garc here'!$C$2,1+(('table for research'!$B828-456)*36+HEX2DEC('table for research'!Z$1))*2,2)</f>
        <v>00</v>
      </c>
      <c r="AA828" t="str">
        <f>MID('paste from garc here'!$C$2,1+(('table for research'!$B828-456)*36+HEX2DEC('table for research'!AA$1))*2,2)</f>
        <v>00</v>
      </c>
      <c r="AB828" t="str">
        <f>MID('paste from garc here'!$C$2,1+(('table for research'!$B828-456)*36+HEX2DEC('table for research'!AB$1))*2,2)</f>
        <v>00</v>
      </c>
      <c r="AC828" t="str">
        <f>MID('paste from garc here'!$C$2,1+(('table for research'!$B828-456)*36+HEX2DEC('table for research'!AC$1))*2,2)</f>
        <v>00</v>
      </c>
      <c r="AD828" t="str">
        <f>MID('paste from garc here'!$C$2,1+(('table for research'!$B828-456)*36+HEX2DEC('table for research'!AD$1))*2,2)</f>
        <v>00</v>
      </c>
      <c r="AE828" t="str">
        <f>MID('paste from garc here'!$C$2,1+(('table for research'!$B828-456)*36+HEX2DEC('table for research'!AE$1))*2,2)</f>
        <v>00</v>
      </c>
      <c r="AF828" t="str">
        <f>MID('paste from garc here'!$C$2,1+(('table for research'!$B828-456)*36+HEX2DEC('table for research'!AF$1))*2,2)</f>
        <v>00</v>
      </c>
      <c r="AG828" t="str">
        <f>MID('paste from garc here'!$C$2,1+(('table for research'!$B828-456)*36+HEX2DEC('table for research'!AG$1))*2,2)</f>
        <v>00</v>
      </c>
      <c r="AH828" t="str">
        <f>MID('paste from garc here'!$C$2,1+(('table for research'!$B828-456)*36+HEX2DEC('table for research'!AH$1))*2,2)</f>
        <v>00</v>
      </c>
      <c r="AI828" t="str">
        <f>MID('paste from garc here'!$C$2,1+(('table for research'!$B828-456)*36+HEX2DEC('table for research'!AI$1))*2,2)</f>
        <v>00</v>
      </c>
      <c r="AJ828" t="str">
        <f>MID('paste from garc here'!$C$2,1+(('table for research'!$B828-456)*36+HEX2DEC('table for research'!AJ$1))*2,2)</f>
        <v>00</v>
      </c>
      <c r="AK828" t="str">
        <f>MID('paste from garc here'!$C$2,1+(('table for research'!$B828-456)*36+HEX2DEC('table for research'!AK$1))*2,2)</f>
        <v>00</v>
      </c>
      <c r="AL828" t="str">
        <f>MID('paste from garc here'!$C$2,1+(('table for research'!$B828-456)*36+HEX2DEC('table for research'!AL$1))*2,2)</f>
        <v>00</v>
      </c>
      <c r="AM828" t="str">
        <f>MID('paste from garc here'!$C$2,1+(('table for research'!$B828-456)*36+HEX2DEC('table for research'!AM$1))*2,2)</f>
        <v>00</v>
      </c>
      <c r="AN828" t="str">
        <f>MID('paste from garc here'!$C$2,1+(('table for research'!$B828-456)*36+HEX2DEC('table for research'!AN$1))*2,2)</f>
        <v>00</v>
      </c>
      <c r="AO828" t="str">
        <f>MID('paste from garc here'!$C$2,1+(('table for research'!$B828-456)*36+HEX2DEC('table for research'!AO$1))*2,2)</f>
        <v>00</v>
      </c>
    </row>
    <row r="829" spans="1:41" x14ac:dyDescent="0.4">
      <c r="A829" t="s">
        <v>820</v>
      </c>
      <c r="B829">
        <f>B828+1</f>
        <v>827</v>
      </c>
      <c r="C829" t="str">
        <f>MID('paste from garc here'!$C$2,1+(('table for research'!$B829-456)*36+HEX2DEC('table for research'!C$1))*2,2)</f>
        <v>00</v>
      </c>
      <c r="D829" t="str">
        <f>MID('paste from garc here'!$C$2,1+(('table for research'!$B829-456)*36+HEX2DEC('table for research'!D$1))*2,2)</f>
        <v>00</v>
      </c>
      <c r="E829" t="str">
        <f>MID('paste from garc here'!$C$2,1+(('table for research'!$B829-456)*36+HEX2DEC('table for research'!E$1))*2,2)</f>
        <v>00</v>
      </c>
      <c r="F829" t="str">
        <f>MID('paste from garc here'!$C$2,1+(('table for research'!$B829-456)*36+HEX2DEC('table for research'!F$1))*2,2)</f>
        <v>00</v>
      </c>
      <c r="G829" t="str">
        <f>MID('paste from garc here'!$C$2,1+(('table for research'!$B829-456)*36+HEX2DEC('table for research'!G$1))*2,2)</f>
        <v>00</v>
      </c>
      <c r="H829" t="str">
        <f>MID('paste from garc here'!$C$2,1+(('table for research'!$B829-456)*36+HEX2DEC('table for research'!H$1))*2,2)</f>
        <v>00</v>
      </c>
      <c r="I829" t="str">
        <f>MID('paste from garc here'!$C$2,1+(('table for research'!$B829-456)*36+HEX2DEC('table for research'!I$1))*2,2)</f>
        <v>00</v>
      </c>
      <c r="J829" t="str">
        <f>MID('paste from garc here'!$C$2,1+(('table for research'!$B829-456)*36+HEX2DEC('table for research'!J$1))*2,2)</f>
        <v>00</v>
      </c>
      <c r="K829" t="str">
        <f>DEC2HEX(_xlfn.BITAND(HEX2DEC(MID('paste from garc here'!$C$1,1+(('table for research'!$B829-1)*36+HEX2DEC(8))*2,2)),31),2)</f>
        <v>00</v>
      </c>
      <c r="L829" t="str">
        <f>DEC2HEX(_xlfn.BITAND(HEX2DEC(MID('paste from garc here'!$C$1,1+(('table for research'!$B829-1)*36+HEX2DEC(8))*2,2)),32),2)</f>
        <v>00</v>
      </c>
      <c r="M829" t="str">
        <f>DEC2HEX(_xlfn.BITAND(HEX2DEC(MID('paste from garc here'!$C$1,1+(('table for research'!$B829-1)*36+HEX2DEC(8))*2,2)),64),2)</f>
        <v>00</v>
      </c>
      <c r="N829" t="str">
        <f>DEC2HEX(_xlfn.BITRSHIFT(_xlfn.BITAND(HEX2DEC(MID('paste from garc here'!$C$1,1+(('table for research'!$B829-1)*36+HEX2DEC(9))*2,2)&amp;MID('paste from garc here'!$C$1,1+(('table for research'!$B829-1)*36+HEX2DEC(8))*2,2)),1920),7),2)</f>
        <v>00</v>
      </c>
      <c r="O829" t="str">
        <f>DEC2HEX(_xlfn.BITRSHIFT(HEX2DEC(MID('paste from garc here'!$C$1,1+(('table for research'!$B829-1)*36+HEX2DEC(9))*2,2)&amp;MID('paste from garc here'!$C$1,1+(('table for research'!$B829-1)*36+HEX2DEC(8))*2,2)),11),2)</f>
        <v>00</v>
      </c>
      <c r="P829" t="str">
        <f>MID('paste from garc here'!$C$2,1+(('table for research'!$B829-456)*36+HEX2DEC('table for research'!P$1))*2,2)</f>
        <v>01</v>
      </c>
      <c r="Q829" t="str">
        <f>MID('paste from garc here'!$C$2,1+(('table for research'!$B829-456)*36+HEX2DEC('table for research'!Q$1))*2,2)</f>
        <v>00</v>
      </c>
      <c r="R829" t="str">
        <f>MID('paste from garc here'!$C$2,1+(('table for research'!$B829-456)*36+HEX2DEC('table for research'!R$1))*2,2)</f>
        <v>00</v>
      </c>
      <c r="S829" t="str">
        <f>MID('paste from garc here'!$C$2,1+(('table for research'!$B829-456)*36+HEX2DEC('table for research'!S$1))*2,2)</f>
        <v>01</v>
      </c>
      <c r="T829" t="str">
        <f>MID('paste from garc here'!$C$2,1+(('table for research'!$B829-456)*36+HEX2DEC('table for research'!T$1))*2,2)</f>
        <v>00</v>
      </c>
      <c r="U829" t="str">
        <f>MID('paste from garc here'!$C$2,1+(('table for research'!$B829-456)*36+HEX2DEC('table for research'!U$1))*2,2)</f>
        <v>15</v>
      </c>
      <c r="V829" t="str">
        <f>MID('paste from garc here'!$C$2,1+(('table for research'!$B829-456)*36+HEX2DEC('table for research'!V$1))*2,2)</f>
        <v>15</v>
      </c>
      <c r="W829" t="str">
        <f>MID('paste from garc here'!$C$2,1+(('table for research'!$B829-456)*36+HEX2DEC('table for research'!W$1))*2,2)</f>
        <v>00</v>
      </c>
      <c r="X829" t="str">
        <f>MID('paste from garc here'!$C$2,1+(('table for research'!$B829-456)*36+HEX2DEC('table for research'!X$1))*2,2)</f>
        <v>00</v>
      </c>
      <c r="Y829" t="str">
        <f>MID('paste from garc here'!$C$2,1+(('table for research'!$B829-456)*36+HEX2DEC('table for research'!Y$1))*2,2)</f>
        <v>00</v>
      </c>
      <c r="Z829" t="str">
        <f>MID('paste from garc here'!$C$2,1+(('table for research'!$B829-456)*36+HEX2DEC('table for research'!Z$1))*2,2)</f>
        <v>00</v>
      </c>
      <c r="AA829" t="str">
        <f>MID('paste from garc here'!$C$2,1+(('table for research'!$B829-456)*36+HEX2DEC('table for research'!AA$1))*2,2)</f>
        <v>00</v>
      </c>
      <c r="AB829" t="str">
        <f>MID('paste from garc here'!$C$2,1+(('table for research'!$B829-456)*36+HEX2DEC('table for research'!AB$1))*2,2)</f>
        <v>00</v>
      </c>
      <c r="AC829" t="str">
        <f>MID('paste from garc here'!$C$2,1+(('table for research'!$B829-456)*36+HEX2DEC('table for research'!AC$1))*2,2)</f>
        <v>00</v>
      </c>
      <c r="AD829" t="str">
        <f>MID('paste from garc here'!$C$2,1+(('table for research'!$B829-456)*36+HEX2DEC('table for research'!AD$1))*2,2)</f>
        <v>00</v>
      </c>
      <c r="AE829" t="str">
        <f>MID('paste from garc here'!$C$2,1+(('table for research'!$B829-456)*36+HEX2DEC('table for research'!AE$1))*2,2)</f>
        <v>00</v>
      </c>
      <c r="AF829" t="str">
        <f>MID('paste from garc here'!$C$2,1+(('table for research'!$B829-456)*36+HEX2DEC('table for research'!AF$1))*2,2)</f>
        <v>00</v>
      </c>
      <c r="AG829" t="str">
        <f>MID('paste from garc here'!$C$2,1+(('table for research'!$B829-456)*36+HEX2DEC('table for research'!AG$1))*2,2)</f>
        <v>00</v>
      </c>
      <c r="AH829" t="str">
        <f>MID('paste from garc here'!$C$2,1+(('table for research'!$B829-456)*36+HEX2DEC('table for research'!AH$1))*2,2)</f>
        <v>00</v>
      </c>
      <c r="AI829" t="str">
        <f>MID('paste from garc here'!$C$2,1+(('table for research'!$B829-456)*36+HEX2DEC('table for research'!AI$1))*2,2)</f>
        <v>00</v>
      </c>
      <c r="AJ829" t="str">
        <f>MID('paste from garc here'!$C$2,1+(('table for research'!$B829-456)*36+HEX2DEC('table for research'!AJ$1))*2,2)</f>
        <v>00</v>
      </c>
      <c r="AK829" t="str">
        <f>MID('paste from garc here'!$C$2,1+(('table for research'!$B829-456)*36+HEX2DEC('table for research'!AK$1))*2,2)</f>
        <v>00</v>
      </c>
      <c r="AL829" t="str">
        <f>MID('paste from garc here'!$C$2,1+(('table for research'!$B829-456)*36+HEX2DEC('table for research'!AL$1))*2,2)</f>
        <v>00</v>
      </c>
      <c r="AM829" t="str">
        <f>MID('paste from garc here'!$C$2,1+(('table for research'!$B829-456)*36+HEX2DEC('table for research'!AM$1))*2,2)</f>
        <v>00</v>
      </c>
      <c r="AN829" t="str">
        <f>MID('paste from garc here'!$C$2,1+(('table for research'!$B829-456)*36+HEX2DEC('table for research'!AN$1))*2,2)</f>
        <v>00</v>
      </c>
      <c r="AO829" t="str">
        <f>MID('paste from garc here'!$C$2,1+(('table for research'!$B829-456)*36+HEX2DEC('table for research'!AO$1))*2,2)</f>
        <v>00</v>
      </c>
    </row>
    <row r="830" spans="1:41" x14ac:dyDescent="0.4">
      <c r="A830" t="s">
        <v>821</v>
      </c>
      <c r="B830">
        <f>B829+1</f>
        <v>828</v>
      </c>
      <c r="C830" t="str">
        <f>MID('paste from garc here'!$C$2,1+(('table for research'!$B830-456)*36+HEX2DEC('table for research'!C$1))*2,2)</f>
        <v>00</v>
      </c>
      <c r="D830" t="str">
        <f>MID('paste from garc here'!$C$2,1+(('table for research'!$B830-456)*36+HEX2DEC('table for research'!D$1))*2,2)</f>
        <v>00</v>
      </c>
      <c r="E830" t="str">
        <f>MID('paste from garc here'!$C$2,1+(('table for research'!$B830-456)*36+HEX2DEC('table for research'!E$1))*2,2)</f>
        <v>00</v>
      </c>
      <c r="F830" t="str">
        <f>MID('paste from garc here'!$C$2,1+(('table for research'!$B830-456)*36+HEX2DEC('table for research'!F$1))*2,2)</f>
        <v>00</v>
      </c>
      <c r="G830" t="str">
        <f>MID('paste from garc here'!$C$2,1+(('table for research'!$B830-456)*36+HEX2DEC('table for research'!G$1))*2,2)</f>
        <v>00</v>
      </c>
      <c r="H830" t="str">
        <f>MID('paste from garc here'!$C$2,1+(('table for research'!$B830-456)*36+HEX2DEC('table for research'!H$1))*2,2)</f>
        <v>00</v>
      </c>
      <c r="I830" t="str">
        <f>MID('paste from garc here'!$C$2,1+(('table for research'!$B830-456)*36+HEX2DEC('table for research'!I$1))*2,2)</f>
        <v>00</v>
      </c>
      <c r="J830" t="str">
        <f>MID('paste from garc here'!$C$2,1+(('table for research'!$B830-456)*36+HEX2DEC('table for research'!J$1))*2,2)</f>
        <v>00</v>
      </c>
      <c r="K830" t="str">
        <f>DEC2HEX(_xlfn.BITAND(HEX2DEC(MID('paste from garc here'!$C$1,1+(('table for research'!$B830-1)*36+HEX2DEC(8))*2,2)),31),2)</f>
        <v>00</v>
      </c>
      <c r="L830" t="str">
        <f>DEC2HEX(_xlfn.BITAND(HEX2DEC(MID('paste from garc here'!$C$1,1+(('table for research'!$B830-1)*36+HEX2DEC(8))*2,2)),32),2)</f>
        <v>00</v>
      </c>
      <c r="M830" t="str">
        <f>DEC2HEX(_xlfn.BITAND(HEX2DEC(MID('paste from garc here'!$C$1,1+(('table for research'!$B830-1)*36+HEX2DEC(8))*2,2)),64),2)</f>
        <v>00</v>
      </c>
      <c r="N830" t="str">
        <f>DEC2HEX(_xlfn.BITRSHIFT(_xlfn.BITAND(HEX2DEC(MID('paste from garc here'!$C$1,1+(('table for research'!$B830-1)*36+HEX2DEC(9))*2,2)&amp;MID('paste from garc here'!$C$1,1+(('table for research'!$B830-1)*36+HEX2DEC(8))*2,2)),1920),7),2)</f>
        <v>00</v>
      </c>
      <c r="O830" t="str">
        <f>DEC2HEX(_xlfn.BITRSHIFT(HEX2DEC(MID('paste from garc here'!$C$1,1+(('table for research'!$B830-1)*36+HEX2DEC(9))*2,2)&amp;MID('paste from garc here'!$C$1,1+(('table for research'!$B830-1)*36+HEX2DEC(8))*2,2)),11),2)</f>
        <v>00</v>
      </c>
      <c r="P830" t="str">
        <f>MID('paste from garc here'!$C$2,1+(('table for research'!$B830-456)*36+HEX2DEC('table for research'!P$1))*2,2)</f>
        <v>01</v>
      </c>
      <c r="Q830" t="str">
        <f>MID('paste from garc here'!$C$2,1+(('table for research'!$B830-456)*36+HEX2DEC('table for research'!Q$1))*2,2)</f>
        <v>00</v>
      </c>
      <c r="R830" t="str">
        <f>MID('paste from garc here'!$C$2,1+(('table for research'!$B830-456)*36+HEX2DEC('table for research'!R$1))*2,2)</f>
        <v>00</v>
      </c>
      <c r="S830" t="str">
        <f>MID('paste from garc here'!$C$2,1+(('table for research'!$B830-456)*36+HEX2DEC('table for research'!S$1))*2,2)</f>
        <v>01</v>
      </c>
      <c r="T830" t="str">
        <f>MID('paste from garc here'!$C$2,1+(('table for research'!$B830-456)*36+HEX2DEC('table for research'!T$1))*2,2)</f>
        <v>00</v>
      </c>
      <c r="U830" t="str">
        <f>MID('paste from garc here'!$C$2,1+(('table for research'!$B830-456)*36+HEX2DEC('table for research'!U$1))*2,2)</f>
        <v>16</v>
      </c>
      <c r="V830" t="str">
        <f>MID('paste from garc here'!$C$2,1+(('table for research'!$B830-456)*36+HEX2DEC('table for research'!V$1))*2,2)</f>
        <v>16</v>
      </c>
      <c r="W830" t="str">
        <f>MID('paste from garc here'!$C$2,1+(('table for research'!$B830-456)*36+HEX2DEC('table for research'!W$1))*2,2)</f>
        <v>00</v>
      </c>
      <c r="X830" t="str">
        <f>MID('paste from garc here'!$C$2,1+(('table for research'!$B830-456)*36+HEX2DEC('table for research'!X$1))*2,2)</f>
        <v>00</v>
      </c>
      <c r="Y830" t="str">
        <f>MID('paste from garc here'!$C$2,1+(('table for research'!$B830-456)*36+HEX2DEC('table for research'!Y$1))*2,2)</f>
        <v>00</v>
      </c>
      <c r="Z830" t="str">
        <f>MID('paste from garc here'!$C$2,1+(('table for research'!$B830-456)*36+HEX2DEC('table for research'!Z$1))*2,2)</f>
        <v>00</v>
      </c>
      <c r="AA830" t="str">
        <f>MID('paste from garc here'!$C$2,1+(('table for research'!$B830-456)*36+HEX2DEC('table for research'!AA$1))*2,2)</f>
        <v>00</v>
      </c>
      <c r="AB830" t="str">
        <f>MID('paste from garc here'!$C$2,1+(('table for research'!$B830-456)*36+HEX2DEC('table for research'!AB$1))*2,2)</f>
        <v>00</v>
      </c>
      <c r="AC830" t="str">
        <f>MID('paste from garc here'!$C$2,1+(('table for research'!$B830-456)*36+HEX2DEC('table for research'!AC$1))*2,2)</f>
        <v>00</v>
      </c>
      <c r="AD830" t="str">
        <f>MID('paste from garc here'!$C$2,1+(('table for research'!$B830-456)*36+HEX2DEC('table for research'!AD$1))*2,2)</f>
        <v>00</v>
      </c>
      <c r="AE830" t="str">
        <f>MID('paste from garc here'!$C$2,1+(('table for research'!$B830-456)*36+HEX2DEC('table for research'!AE$1))*2,2)</f>
        <v>00</v>
      </c>
      <c r="AF830" t="str">
        <f>MID('paste from garc here'!$C$2,1+(('table for research'!$B830-456)*36+HEX2DEC('table for research'!AF$1))*2,2)</f>
        <v>00</v>
      </c>
      <c r="AG830" t="str">
        <f>MID('paste from garc here'!$C$2,1+(('table for research'!$B830-456)*36+HEX2DEC('table for research'!AG$1))*2,2)</f>
        <v>00</v>
      </c>
      <c r="AH830" t="str">
        <f>MID('paste from garc here'!$C$2,1+(('table for research'!$B830-456)*36+HEX2DEC('table for research'!AH$1))*2,2)</f>
        <v>00</v>
      </c>
      <c r="AI830" t="str">
        <f>MID('paste from garc here'!$C$2,1+(('table for research'!$B830-456)*36+HEX2DEC('table for research'!AI$1))*2,2)</f>
        <v>00</v>
      </c>
      <c r="AJ830" t="str">
        <f>MID('paste from garc here'!$C$2,1+(('table for research'!$B830-456)*36+HEX2DEC('table for research'!AJ$1))*2,2)</f>
        <v>00</v>
      </c>
      <c r="AK830" t="str">
        <f>MID('paste from garc here'!$C$2,1+(('table for research'!$B830-456)*36+HEX2DEC('table for research'!AK$1))*2,2)</f>
        <v>00</v>
      </c>
      <c r="AL830" t="str">
        <f>MID('paste from garc here'!$C$2,1+(('table for research'!$B830-456)*36+HEX2DEC('table for research'!AL$1))*2,2)</f>
        <v>00</v>
      </c>
      <c r="AM830" t="str">
        <f>MID('paste from garc here'!$C$2,1+(('table for research'!$B830-456)*36+HEX2DEC('table for research'!AM$1))*2,2)</f>
        <v>00</v>
      </c>
      <c r="AN830" t="str">
        <f>MID('paste from garc here'!$C$2,1+(('table for research'!$B830-456)*36+HEX2DEC('table for research'!AN$1))*2,2)</f>
        <v>00</v>
      </c>
      <c r="AO830" t="str">
        <f>MID('paste from garc here'!$C$2,1+(('table for research'!$B830-456)*36+HEX2DEC('table for research'!AO$1))*2,2)</f>
        <v>00</v>
      </c>
    </row>
    <row r="831" spans="1:41" x14ac:dyDescent="0.4">
      <c r="A831" t="s">
        <v>822</v>
      </c>
      <c r="B831">
        <f>B830+1</f>
        <v>829</v>
      </c>
      <c r="C831" t="str">
        <f>MID('paste from garc here'!$C$2,1+(('table for research'!$B831-456)*36+HEX2DEC('table for research'!C$1))*2,2)</f>
        <v>00</v>
      </c>
      <c r="D831" t="str">
        <f>MID('paste from garc here'!$C$2,1+(('table for research'!$B831-456)*36+HEX2DEC('table for research'!D$1))*2,2)</f>
        <v>00</v>
      </c>
      <c r="E831" t="str">
        <f>MID('paste from garc here'!$C$2,1+(('table for research'!$B831-456)*36+HEX2DEC('table for research'!E$1))*2,2)</f>
        <v>00</v>
      </c>
      <c r="F831" t="str">
        <f>MID('paste from garc here'!$C$2,1+(('table for research'!$B831-456)*36+HEX2DEC('table for research'!F$1))*2,2)</f>
        <v>00</v>
      </c>
      <c r="G831" t="str">
        <f>MID('paste from garc here'!$C$2,1+(('table for research'!$B831-456)*36+HEX2DEC('table for research'!G$1))*2,2)</f>
        <v>00</v>
      </c>
      <c r="H831" t="str">
        <f>MID('paste from garc here'!$C$2,1+(('table for research'!$B831-456)*36+HEX2DEC('table for research'!H$1))*2,2)</f>
        <v>00</v>
      </c>
      <c r="I831" t="str">
        <f>MID('paste from garc here'!$C$2,1+(('table for research'!$B831-456)*36+HEX2DEC('table for research'!I$1))*2,2)</f>
        <v>00</v>
      </c>
      <c r="J831" t="str">
        <f>MID('paste from garc here'!$C$2,1+(('table for research'!$B831-456)*36+HEX2DEC('table for research'!J$1))*2,2)</f>
        <v>00</v>
      </c>
      <c r="K831" t="str">
        <f>DEC2HEX(_xlfn.BITAND(HEX2DEC(MID('paste from garc here'!$C$1,1+(('table for research'!$B831-1)*36+HEX2DEC(8))*2,2)),31),2)</f>
        <v>00</v>
      </c>
      <c r="L831" t="str">
        <f>DEC2HEX(_xlfn.BITAND(HEX2DEC(MID('paste from garc here'!$C$1,1+(('table for research'!$B831-1)*36+HEX2DEC(8))*2,2)),32),2)</f>
        <v>00</v>
      </c>
      <c r="M831" t="str">
        <f>DEC2HEX(_xlfn.BITAND(HEX2DEC(MID('paste from garc here'!$C$1,1+(('table for research'!$B831-1)*36+HEX2DEC(8))*2,2)),64),2)</f>
        <v>00</v>
      </c>
      <c r="N831" t="str">
        <f>DEC2HEX(_xlfn.BITRSHIFT(_xlfn.BITAND(HEX2DEC(MID('paste from garc here'!$C$1,1+(('table for research'!$B831-1)*36+HEX2DEC(9))*2,2)&amp;MID('paste from garc here'!$C$1,1+(('table for research'!$B831-1)*36+HEX2DEC(8))*2,2)),1920),7),2)</f>
        <v>00</v>
      </c>
      <c r="O831" t="str">
        <f>DEC2HEX(_xlfn.BITRSHIFT(HEX2DEC(MID('paste from garc here'!$C$1,1+(('table for research'!$B831-1)*36+HEX2DEC(9))*2,2)&amp;MID('paste from garc here'!$C$1,1+(('table for research'!$B831-1)*36+HEX2DEC(8))*2,2)),11),2)</f>
        <v>00</v>
      </c>
      <c r="P831" t="str">
        <f>MID('paste from garc here'!$C$2,1+(('table for research'!$B831-456)*36+HEX2DEC('table for research'!P$1))*2,2)</f>
        <v>01</v>
      </c>
      <c r="Q831" t="str">
        <f>MID('paste from garc here'!$C$2,1+(('table for research'!$B831-456)*36+HEX2DEC('table for research'!Q$1))*2,2)</f>
        <v>00</v>
      </c>
      <c r="R831" t="str">
        <f>MID('paste from garc here'!$C$2,1+(('table for research'!$B831-456)*36+HEX2DEC('table for research'!R$1))*2,2)</f>
        <v>00</v>
      </c>
      <c r="S831" t="str">
        <f>MID('paste from garc here'!$C$2,1+(('table for research'!$B831-456)*36+HEX2DEC('table for research'!S$1))*2,2)</f>
        <v>01</v>
      </c>
      <c r="T831" t="str">
        <f>MID('paste from garc here'!$C$2,1+(('table for research'!$B831-456)*36+HEX2DEC('table for research'!T$1))*2,2)</f>
        <v>00</v>
      </c>
      <c r="U831" t="str">
        <f>MID('paste from garc here'!$C$2,1+(('table for research'!$B831-456)*36+HEX2DEC('table for research'!U$1))*2,2)</f>
        <v>17</v>
      </c>
      <c r="V831" t="str">
        <f>MID('paste from garc here'!$C$2,1+(('table for research'!$B831-456)*36+HEX2DEC('table for research'!V$1))*2,2)</f>
        <v>17</v>
      </c>
      <c r="W831" t="str">
        <f>MID('paste from garc here'!$C$2,1+(('table for research'!$B831-456)*36+HEX2DEC('table for research'!W$1))*2,2)</f>
        <v>00</v>
      </c>
      <c r="X831" t="str">
        <f>MID('paste from garc here'!$C$2,1+(('table for research'!$B831-456)*36+HEX2DEC('table for research'!X$1))*2,2)</f>
        <v>00</v>
      </c>
      <c r="Y831" t="str">
        <f>MID('paste from garc here'!$C$2,1+(('table for research'!$B831-456)*36+HEX2DEC('table for research'!Y$1))*2,2)</f>
        <v>00</v>
      </c>
      <c r="Z831" t="str">
        <f>MID('paste from garc here'!$C$2,1+(('table for research'!$B831-456)*36+HEX2DEC('table for research'!Z$1))*2,2)</f>
        <v>00</v>
      </c>
      <c r="AA831" t="str">
        <f>MID('paste from garc here'!$C$2,1+(('table for research'!$B831-456)*36+HEX2DEC('table for research'!AA$1))*2,2)</f>
        <v>00</v>
      </c>
      <c r="AB831" t="str">
        <f>MID('paste from garc here'!$C$2,1+(('table for research'!$B831-456)*36+HEX2DEC('table for research'!AB$1))*2,2)</f>
        <v>00</v>
      </c>
      <c r="AC831" t="str">
        <f>MID('paste from garc here'!$C$2,1+(('table for research'!$B831-456)*36+HEX2DEC('table for research'!AC$1))*2,2)</f>
        <v>00</v>
      </c>
      <c r="AD831" t="str">
        <f>MID('paste from garc here'!$C$2,1+(('table for research'!$B831-456)*36+HEX2DEC('table for research'!AD$1))*2,2)</f>
        <v>00</v>
      </c>
      <c r="AE831" t="str">
        <f>MID('paste from garc here'!$C$2,1+(('table for research'!$B831-456)*36+HEX2DEC('table for research'!AE$1))*2,2)</f>
        <v>00</v>
      </c>
      <c r="AF831" t="str">
        <f>MID('paste from garc here'!$C$2,1+(('table for research'!$B831-456)*36+HEX2DEC('table for research'!AF$1))*2,2)</f>
        <v>00</v>
      </c>
      <c r="AG831" t="str">
        <f>MID('paste from garc here'!$C$2,1+(('table for research'!$B831-456)*36+HEX2DEC('table for research'!AG$1))*2,2)</f>
        <v>00</v>
      </c>
      <c r="AH831" t="str">
        <f>MID('paste from garc here'!$C$2,1+(('table for research'!$B831-456)*36+HEX2DEC('table for research'!AH$1))*2,2)</f>
        <v>00</v>
      </c>
      <c r="AI831" t="str">
        <f>MID('paste from garc here'!$C$2,1+(('table for research'!$B831-456)*36+HEX2DEC('table for research'!AI$1))*2,2)</f>
        <v>00</v>
      </c>
      <c r="AJ831" t="str">
        <f>MID('paste from garc here'!$C$2,1+(('table for research'!$B831-456)*36+HEX2DEC('table for research'!AJ$1))*2,2)</f>
        <v>00</v>
      </c>
      <c r="AK831" t="str">
        <f>MID('paste from garc here'!$C$2,1+(('table for research'!$B831-456)*36+HEX2DEC('table for research'!AK$1))*2,2)</f>
        <v>00</v>
      </c>
      <c r="AL831" t="str">
        <f>MID('paste from garc here'!$C$2,1+(('table for research'!$B831-456)*36+HEX2DEC('table for research'!AL$1))*2,2)</f>
        <v>00</v>
      </c>
      <c r="AM831" t="str">
        <f>MID('paste from garc here'!$C$2,1+(('table for research'!$B831-456)*36+HEX2DEC('table for research'!AM$1))*2,2)</f>
        <v>00</v>
      </c>
      <c r="AN831" t="str">
        <f>MID('paste from garc here'!$C$2,1+(('table for research'!$B831-456)*36+HEX2DEC('table for research'!AN$1))*2,2)</f>
        <v>00</v>
      </c>
      <c r="AO831" t="str">
        <f>MID('paste from garc here'!$C$2,1+(('table for research'!$B831-456)*36+HEX2DEC('table for research'!AO$1))*2,2)</f>
        <v>00</v>
      </c>
    </row>
    <row r="832" spans="1:41" x14ac:dyDescent="0.4">
      <c r="A832" t="s">
        <v>823</v>
      </c>
      <c r="B832">
        <f>B831+1</f>
        <v>830</v>
      </c>
      <c r="C832" t="str">
        <f>MID('paste from garc here'!$C$2,1+(('table for research'!$B832-456)*36+HEX2DEC('table for research'!C$1))*2,2)</f>
        <v>00</v>
      </c>
      <c r="D832" t="str">
        <f>MID('paste from garc here'!$C$2,1+(('table for research'!$B832-456)*36+HEX2DEC('table for research'!D$1))*2,2)</f>
        <v>00</v>
      </c>
      <c r="E832" t="str">
        <f>MID('paste from garc here'!$C$2,1+(('table for research'!$B832-456)*36+HEX2DEC('table for research'!E$1))*2,2)</f>
        <v>00</v>
      </c>
      <c r="F832" t="str">
        <f>MID('paste from garc here'!$C$2,1+(('table for research'!$B832-456)*36+HEX2DEC('table for research'!F$1))*2,2)</f>
        <v>00</v>
      </c>
      <c r="G832" t="str">
        <f>MID('paste from garc here'!$C$2,1+(('table for research'!$B832-456)*36+HEX2DEC('table for research'!G$1))*2,2)</f>
        <v>00</v>
      </c>
      <c r="H832" t="str">
        <f>MID('paste from garc here'!$C$2,1+(('table for research'!$B832-456)*36+HEX2DEC('table for research'!H$1))*2,2)</f>
        <v>00</v>
      </c>
      <c r="I832" t="str">
        <f>MID('paste from garc here'!$C$2,1+(('table for research'!$B832-456)*36+HEX2DEC('table for research'!I$1))*2,2)</f>
        <v>00</v>
      </c>
      <c r="J832" t="str">
        <f>MID('paste from garc here'!$C$2,1+(('table for research'!$B832-456)*36+HEX2DEC('table for research'!J$1))*2,2)</f>
        <v>00</v>
      </c>
      <c r="K832" t="str">
        <f>DEC2HEX(_xlfn.BITAND(HEX2DEC(MID('paste from garc here'!$C$1,1+(('table for research'!$B832-1)*36+HEX2DEC(8))*2,2)),31),2)</f>
        <v>00</v>
      </c>
      <c r="L832" t="str">
        <f>DEC2HEX(_xlfn.BITAND(HEX2DEC(MID('paste from garc here'!$C$1,1+(('table for research'!$B832-1)*36+HEX2DEC(8))*2,2)),32),2)</f>
        <v>00</v>
      </c>
      <c r="M832" t="str">
        <f>DEC2HEX(_xlfn.BITAND(HEX2DEC(MID('paste from garc here'!$C$1,1+(('table for research'!$B832-1)*36+HEX2DEC(8))*2,2)),64),2)</f>
        <v>00</v>
      </c>
      <c r="N832" t="str">
        <f>DEC2HEX(_xlfn.BITRSHIFT(_xlfn.BITAND(HEX2DEC(MID('paste from garc here'!$C$1,1+(('table for research'!$B832-1)*36+HEX2DEC(9))*2,2)&amp;MID('paste from garc here'!$C$1,1+(('table for research'!$B832-1)*36+HEX2DEC(8))*2,2)),1920),7),2)</f>
        <v>00</v>
      </c>
      <c r="O832" t="str">
        <f>DEC2HEX(_xlfn.BITRSHIFT(HEX2DEC(MID('paste from garc here'!$C$1,1+(('table for research'!$B832-1)*36+HEX2DEC(9))*2,2)&amp;MID('paste from garc here'!$C$1,1+(('table for research'!$B832-1)*36+HEX2DEC(8))*2,2)),11),2)</f>
        <v>00</v>
      </c>
      <c r="P832" t="str">
        <f>MID('paste from garc here'!$C$2,1+(('table for research'!$B832-456)*36+HEX2DEC('table for research'!P$1))*2,2)</f>
        <v>01</v>
      </c>
      <c r="Q832" t="str">
        <f>MID('paste from garc here'!$C$2,1+(('table for research'!$B832-456)*36+HEX2DEC('table for research'!Q$1))*2,2)</f>
        <v>00</v>
      </c>
      <c r="R832" t="str">
        <f>MID('paste from garc here'!$C$2,1+(('table for research'!$B832-456)*36+HEX2DEC('table for research'!R$1))*2,2)</f>
        <v>00</v>
      </c>
      <c r="S832" t="str">
        <f>MID('paste from garc here'!$C$2,1+(('table for research'!$B832-456)*36+HEX2DEC('table for research'!S$1))*2,2)</f>
        <v>01</v>
      </c>
      <c r="T832" t="str">
        <f>MID('paste from garc here'!$C$2,1+(('table for research'!$B832-456)*36+HEX2DEC('table for research'!T$1))*2,2)</f>
        <v>00</v>
      </c>
      <c r="U832" t="str">
        <f>MID('paste from garc here'!$C$2,1+(('table for research'!$B832-456)*36+HEX2DEC('table for research'!U$1))*2,2)</f>
        <v>18</v>
      </c>
      <c r="V832" t="str">
        <f>MID('paste from garc here'!$C$2,1+(('table for research'!$B832-456)*36+HEX2DEC('table for research'!V$1))*2,2)</f>
        <v>18</v>
      </c>
      <c r="W832" t="str">
        <f>MID('paste from garc here'!$C$2,1+(('table for research'!$B832-456)*36+HEX2DEC('table for research'!W$1))*2,2)</f>
        <v>00</v>
      </c>
      <c r="X832" t="str">
        <f>MID('paste from garc here'!$C$2,1+(('table for research'!$B832-456)*36+HEX2DEC('table for research'!X$1))*2,2)</f>
        <v>00</v>
      </c>
      <c r="Y832" t="str">
        <f>MID('paste from garc here'!$C$2,1+(('table for research'!$B832-456)*36+HEX2DEC('table for research'!Y$1))*2,2)</f>
        <v>00</v>
      </c>
      <c r="Z832" t="str">
        <f>MID('paste from garc here'!$C$2,1+(('table for research'!$B832-456)*36+HEX2DEC('table for research'!Z$1))*2,2)</f>
        <v>00</v>
      </c>
      <c r="AA832" t="str">
        <f>MID('paste from garc here'!$C$2,1+(('table for research'!$B832-456)*36+HEX2DEC('table for research'!AA$1))*2,2)</f>
        <v>00</v>
      </c>
      <c r="AB832" t="str">
        <f>MID('paste from garc here'!$C$2,1+(('table for research'!$B832-456)*36+HEX2DEC('table for research'!AB$1))*2,2)</f>
        <v>00</v>
      </c>
      <c r="AC832" t="str">
        <f>MID('paste from garc here'!$C$2,1+(('table for research'!$B832-456)*36+HEX2DEC('table for research'!AC$1))*2,2)</f>
        <v>00</v>
      </c>
      <c r="AD832" t="str">
        <f>MID('paste from garc here'!$C$2,1+(('table for research'!$B832-456)*36+HEX2DEC('table for research'!AD$1))*2,2)</f>
        <v>00</v>
      </c>
      <c r="AE832" t="str">
        <f>MID('paste from garc here'!$C$2,1+(('table for research'!$B832-456)*36+HEX2DEC('table for research'!AE$1))*2,2)</f>
        <v>00</v>
      </c>
      <c r="AF832" t="str">
        <f>MID('paste from garc here'!$C$2,1+(('table for research'!$B832-456)*36+HEX2DEC('table for research'!AF$1))*2,2)</f>
        <v>00</v>
      </c>
      <c r="AG832" t="str">
        <f>MID('paste from garc here'!$C$2,1+(('table for research'!$B832-456)*36+HEX2DEC('table for research'!AG$1))*2,2)</f>
        <v>00</v>
      </c>
      <c r="AH832" t="str">
        <f>MID('paste from garc here'!$C$2,1+(('table for research'!$B832-456)*36+HEX2DEC('table for research'!AH$1))*2,2)</f>
        <v>00</v>
      </c>
      <c r="AI832" t="str">
        <f>MID('paste from garc here'!$C$2,1+(('table for research'!$B832-456)*36+HEX2DEC('table for research'!AI$1))*2,2)</f>
        <v>00</v>
      </c>
      <c r="AJ832" t="str">
        <f>MID('paste from garc here'!$C$2,1+(('table for research'!$B832-456)*36+HEX2DEC('table for research'!AJ$1))*2,2)</f>
        <v>00</v>
      </c>
      <c r="AK832" t="str">
        <f>MID('paste from garc here'!$C$2,1+(('table for research'!$B832-456)*36+HEX2DEC('table for research'!AK$1))*2,2)</f>
        <v>00</v>
      </c>
      <c r="AL832" t="str">
        <f>MID('paste from garc here'!$C$2,1+(('table for research'!$B832-456)*36+HEX2DEC('table for research'!AL$1))*2,2)</f>
        <v>00</v>
      </c>
      <c r="AM832" t="str">
        <f>MID('paste from garc here'!$C$2,1+(('table for research'!$B832-456)*36+HEX2DEC('table for research'!AM$1))*2,2)</f>
        <v>00</v>
      </c>
      <c r="AN832" t="str">
        <f>MID('paste from garc here'!$C$2,1+(('table for research'!$B832-456)*36+HEX2DEC('table for research'!AN$1))*2,2)</f>
        <v>00</v>
      </c>
      <c r="AO832" t="str">
        <f>MID('paste from garc here'!$C$2,1+(('table for research'!$B832-456)*36+HEX2DEC('table for research'!AO$1))*2,2)</f>
        <v>00</v>
      </c>
    </row>
    <row r="833" spans="1:41" x14ac:dyDescent="0.4">
      <c r="A833" t="s">
        <v>824</v>
      </c>
      <c r="B833">
        <f>B832+1</f>
        <v>831</v>
      </c>
      <c r="C833" t="str">
        <f>MID('paste from garc here'!$C$2,1+(('table for research'!$B833-456)*36+HEX2DEC('table for research'!C$1))*2,2)</f>
        <v>00</v>
      </c>
      <c r="D833" t="str">
        <f>MID('paste from garc here'!$C$2,1+(('table for research'!$B833-456)*36+HEX2DEC('table for research'!D$1))*2,2)</f>
        <v>00</v>
      </c>
      <c r="E833" t="str">
        <f>MID('paste from garc here'!$C$2,1+(('table for research'!$B833-456)*36+HEX2DEC('table for research'!E$1))*2,2)</f>
        <v>00</v>
      </c>
      <c r="F833" t="str">
        <f>MID('paste from garc here'!$C$2,1+(('table for research'!$B833-456)*36+HEX2DEC('table for research'!F$1))*2,2)</f>
        <v>00</v>
      </c>
      <c r="G833" t="str">
        <f>MID('paste from garc here'!$C$2,1+(('table for research'!$B833-456)*36+HEX2DEC('table for research'!G$1))*2,2)</f>
        <v>00</v>
      </c>
      <c r="H833" t="str">
        <f>MID('paste from garc here'!$C$2,1+(('table for research'!$B833-456)*36+HEX2DEC('table for research'!H$1))*2,2)</f>
        <v>00</v>
      </c>
      <c r="I833" t="str">
        <f>MID('paste from garc here'!$C$2,1+(('table for research'!$B833-456)*36+HEX2DEC('table for research'!I$1))*2,2)</f>
        <v>00</v>
      </c>
      <c r="J833" t="str">
        <f>MID('paste from garc here'!$C$2,1+(('table for research'!$B833-456)*36+HEX2DEC('table for research'!J$1))*2,2)</f>
        <v>00</v>
      </c>
      <c r="K833" t="str">
        <f>DEC2HEX(_xlfn.BITAND(HEX2DEC(MID('paste from garc here'!$C$1,1+(('table for research'!$B833-1)*36+HEX2DEC(8))*2,2)),31),2)</f>
        <v>00</v>
      </c>
      <c r="L833" t="str">
        <f>DEC2HEX(_xlfn.BITAND(HEX2DEC(MID('paste from garc here'!$C$1,1+(('table for research'!$B833-1)*36+HEX2DEC(8))*2,2)),32),2)</f>
        <v>00</v>
      </c>
      <c r="M833" t="str">
        <f>DEC2HEX(_xlfn.BITAND(HEX2DEC(MID('paste from garc here'!$C$1,1+(('table for research'!$B833-1)*36+HEX2DEC(8))*2,2)),64),2)</f>
        <v>00</v>
      </c>
      <c r="N833" t="str">
        <f>DEC2HEX(_xlfn.BITRSHIFT(_xlfn.BITAND(HEX2DEC(MID('paste from garc here'!$C$1,1+(('table for research'!$B833-1)*36+HEX2DEC(9))*2,2)&amp;MID('paste from garc here'!$C$1,1+(('table for research'!$B833-1)*36+HEX2DEC(8))*2,2)),1920),7),2)</f>
        <v>00</v>
      </c>
      <c r="O833" t="str">
        <f>DEC2HEX(_xlfn.BITRSHIFT(HEX2DEC(MID('paste from garc here'!$C$1,1+(('table for research'!$B833-1)*36+HEX2DEC(9))*2,2)&amp;MID('paste from garc here'!$C$1,1+(('table for research'!$B833-1)*36+HEX2DEC(8))*2,2)),11),2)</f>
        <v>00</v>
      </c>
      <c r="P833" t="str">
        <f>MID('paste from garc here'!$C$2,1+(('table for research'!$B833-456)*36+HEX2DEC('table for research'!P$1))*2,2)</f>
        <v>01</v>
      </c>
      <c r="Q833" t="str">
        <f>MID('paste from garc here'!$C$2,1+(('table for research'!$B833-456)*36+HEX2DEC('table for research'!Q$1))*2,2)</f>
        <v>00</v>
      </c>
      <c r="R833" t="str">
        <f>MID('paste from garc here'!$C$2,1+(('table for research'!$B833-456)*36+HEX2DEC('table for research'!R$1))*2,2)</f>
        <v>00</v>
      </c>
      <c r="S833" t="str">
        <f>MID('paste from garc here'!$C$2,1+(('table for research'!$B833-456)*36+HEX2DEC('table for research'!S$1))*2,2)</f>
        <v>01</v>
      </c>
      <c r="T833" t="str">
        <f>MID('paste from garc here'!$C$2,1+(('table for research'!$B833-456)*36+HEX2DEC('table for research'!T$1))*2,2)</f>
        <v>00</v>
      </c>
      <c r="U833" t="str">
        <f>MID('paste from garc here'!$C$2,1+(('table for research'!$B833-456)*36+HEX2DEC('table for research'!U$1))*2,2)</f>
        <v>19</v>
      </c>
      <c r="V833" t="str">
        <f>MID('paste from garc here'!$C$2,1+(('table for research'!$B833-456)*36+HEX2DEC('table for research'!V$1))*2,2)</f>
        <v>19</v>
      </c>
      <c r="W833" t="str">
        <f>MID('paste from garc here'!$C$2,1+(('table for research'!$B833-456)*36+HEX2DEC('table for research'!W$1))*2,2)</f>
        <v>00</v>
      </c>
      <c r="X833" t="str">
        <f>MID('paste from garc here'!$C$2,1+(('table for research'!$B833-456)*36+HEX2DEC('table for research'!X$1))*2,2)</f>
        <v>00</v>
      </c>
      <c r="Y833" t="str">
        <f>MID('paste from garc here'!$C$2,1+(('table for research'!$B833-456)*36+HEX2DEC('table for research'!Y$1))*2,2)</f>
        <v>00</v>
      </c>
      <c r="Z833" t="str">
        <f>MID('paste from garc here'!$C$2,1+(('table for research'!$B833-456)*36+HEX2DEC('table for research'!Z$1))*2,2)</f>
        <v>00</v>
      </c>
      <c r="AA833" t="str">
        <f>MID('paste from garc here'!$C$2,1+(('table for research'!$B833-456)*36+HEX2DEC('table for research'!AA$1))*2,2)</f>
        <v>00</v>
      </c>
      <c r="AB833" t="str">
        <f>MID('paste from garc here'!$C$2,1+(('table for research'!$B833-456)*36+HEX2DEC('table for research'!AB$1))*2,2)</f>
        <v>00</v>
      </c>
      <c r="AC833" t="str">
        <f>MID('paste from garc here'!$C$2,1+(('table for research'!$B833-456)*36+HEX2DEC('table for research'!AC$1))*2,2)</f>
        <v>00</v>
      </c>
      <c r="AD833" t="str">
        <f>MID('paste from garc here'!$C$2,1+(('table for research'!$B833-456)*36+HEX2DEC('table for research'!AD$1))*2,2)</f>
        <v>00</v>
      </c>
      <c r="AE833" t="str">
        <f>MID('paste from garc here'!$C$2,1+(('table for research'!$B833-456)*36+HEX2DEC('table for research'!AE$1))*2,2)</f>
        <v>00</v>
      </c>
      <c r="AF833" t="str">
        <f>MID('paste from garc here'!$C$2,1+(('table for research'!$B833-456)*36+HEX2DEC('table for research'!AF$1))*2,2)</f>
        <v>00</v>
      </c>
      <c r="AG833" t="str">
        <f>MID('paste from garc here'!$C$2,1+(('table for research'!$B833-456)*36+HEX2DEC('table for research'!AG$1))*2,2)</f>
        <v>00</v>
      </c>
      <c r="AH833" t="str">
        <f>MID('paste from garc here'!$C$2,1+(('table for research'!$B833-456)*36+HEX2DEC('table for research'!AH$1))*2,2)</f>
        <v>00</v>
      </c>
      <c r="AI833" t="str">
        <f>MID('paste from garc here'!$C$2,1+(('table for research'!$B833-456)*36+HEX2DEC('table for research'!AI$1))*2,2)</f>
        <v>00</v>
      </c>
      <c r="AJ833" t="str">
        <f>MID('paste from garc here'!$C$2,1+(('table for research'!$B833-456)*36+HEX2DEC('table for research'!AJ$1))*2,2)</f>
        <v>00</v>
      </c>
      <c r="AK833" t="str">
        <f>MID('paste from garc here'!$C$2,1+(('table for research'!$B833-456)*36+HEX2DEC('table for research'!AK$1))*2,2)</f>
        <v>00</v>
      </c>
      <c r="AL833" t="str">
        <f>MID('paste from garc here'!$C$2,1+(('table for research'!$B833-456)*36+HEX2DEC('table for research'!AL$1))*2,2)</f>
        <v>00</v>
      </c>
      <c r="AM833" t="str">
        <f>MID('paste from garc here'!$C$2,1+(('table for research'!$B833-456)*36+HEX2DEC('table for research'!AM$1))*2,2)</f>
        <v>00</v>
      </c>
      <c r="AN833" t="str">
        <f>MID('paste from garc here'!$C$2,1+(('table for research'!$B833-456)*36+HEX2DEC('table for research'!AN$1))*2,2)</f>
        <v>00</v>
      </c>
      <c r="AO833" t="str">
        <f>MID('paste from garc here'!$C$2,1+(('table for research'!$B833-456)*36+HEX2DEC('table for research'!AO$1))*2,2)</f>
        <v>00</v>
      </c>
    </row>
    <row r="834" spans="1:41" x14ac:dyDescent="0.4">
      <c r="A834" t="s">
        <v>825</v>
      </c>
      <c r="B834">
        <f>B833+1</f>
        <v>832</v>
      </c>
      <c r="C834" t="str">
        <f>MID('paste from garc here'!$C$2,1+(('table for research'!$B834-456)*36+HEX2DEC('table for research'!C$1))*2,2)</f>
        <v>00</v>
      </c>
      <c r="D834" t="str">
        <f>MID('paste from garc here'!$C$2,1+(('table for research'!$B834-456)*36+HEX2DEC('table for research'!D$1))*2,2)</f>
        <v>00</v>
      </c>
      <c r="E834" t="str">
        <f>MID('paste from garc here'!$C$2,1+(('table for research'!$B834-456)*36+HEX2DEC('table for research'!E$1))*2,2)</f>
        <v>00</v>
      </c>
      <c r="F834" t="str">
        <f>MID('paste from garc here'!$C$2,1+(('table for research'!$B834-456)*36+HEX2DEC('table for research'!F$1))*2,2)</f>
        <v>00</v>
      </c>
      <c r="G834" t="str">
        <f>MID('paste from garc here'!$C$2,1+(('table for research'!$B834-456)*36+HEX2DEC('table for research'!G$1))*2,2)</f>
        <v>00</v>
      </c>
      <c r="H834" t="str">
        <f>MID('paste from garc here'!$C$2,1+(('table for research'!$B834-456)*36+HEX2DEC('table for research'!H$1))*2,2)</f>
        <v>00</v>
      </c>
      <c r="I834" t="str">
        <f>MID('paste from garc here'!$C$2,1+(('table for research'!$B834-456)*36+HEX2DEC('table for research'!I$1))*2,2)</f>
        <v>00</v>
      </c>
      <c r="J834" t="str">
        <f>MID('paste from garc here'!$C$2,1+(('table for research'!$B834-456)*36+HEX2DEC('table for research'!J$1))*2,2)</f>
        <v>00</v>
      </c>
      <c r="K834" t="str">
        <f>DEC2HEX(_xlfn.BITAND(HEX2DEC(MID('paste from garc here'!$C$1,1+(('table for research'!$B834-1)*36+HEX2DEC(8))*2,2)),31),2)</f>
        <v>00</v>
      </c>
      <c r="L834" t="str">
        <f>DEC2HEX(_xlfn.BITAND(HEX2DEC(MID('paste from garc here'!$C$1,1+(('table for research'!$B834-1)*36+HEX2DEC(8))*2,2)),32),2)</f>
        <v>00</v>
      </c>
      <c r="M834" t="str">
        <f>DEC2HEX(_xlfn.BITAND(HEX2DEC(MID('paste from garc here'!$C$1,1+(('table for research'!$B834-1)*36+HEX2DEC(8))*2,2)),64),2)</f>
        <v>00</v>
      </c>
      <c r="N834" t="str">
        <f>DEC2HEX(_xlfn.BITRSHIFT(_xlfn.BITAND(HEX2DEC(MID('paste from garc here'!$C$1,1+(('table for research'!$B834-1)*36+HEX2DEC(9))*2,2)&amp;MID('paste from garc here'!$C$1,1+(('table for research'!$B834-1)*36+HEX2DEC(8))*2,2)),1920),7),2)</f>
        <v>00</v>
      </c>
      <c r="O834" t="str">
        <f>DEC2HEX(_xlfn.BITRSHIFT(HEX2DEC(MID('paste from garc here'!$C$1,1+(('table for research'!$B834-1)*36+HEX2DEC(9))*2,2)&amp;MID('paste from garc here'!$C$1,1+(('table for research'!$B834-1)*36+HEX2DEC(8))*2,2)),11),2)</f>
        <v>00</v>
      </c>
      <c r="P834" t="str">
        <f>MID('paste from garc here'!$C$2,1+(('table for research'!$B834-456)*36+HEX2DEC('table for research'!P$1))*2,2)</f>
        <v>01</v>
      </c>
      <c r="Q834" t="str">
        <f>MID('paste from garc here'!$C$2,1+(('table for research'!$B834-456)*36+HEX2DEC('table for research'!Q$1))*2,2)</f>
        <v>00</v>
      </c>
      <c r="R834" t="str">
        <f>MID('paste from garc here'!$C$2,1+(('table for research'!$B834-456)*36+HEX2DEC('table for research'!R$1))*2,2)</f>
        <v>00</v>
      </c>
      <c r="S834" t="str">
        <f>MID('paste from garc here'!$C$2,1+(('table for research'!$B834-456)*36+HEX2DEC('table for research'!S$1))*2,2)</f>
        <v>01</v>
      </c>
      <c r="T834" t="str">
        <f>MID('paste from garc here'!$C$2,1+(('table for research'!$B834-456)*36+HEX2DEC('table for research'!T$1))*2,2)</f>
        <v>00</v>
      </c>
      <c r="U834" t="str">
        <f>MID('paste from garc here'!$C$2,1+(('table for research'!$B834-456)*36+HEX2DEC('table for research'!U$1))*2,2)</f>
        <v>1A</v>
      </c>
      <c r="V834" t="str">
        <f>MID('paste from garc here'!$C$2,1+(('table for research'!$B834-456)*36+HEX2DEC('table for research'!V$1))*2,2)</f>
        <v>1A</v>
      </c>
      <c r="W834" t="str">
        <f>MID('paste from garc here'!$C$2,1+(('table for research'!$B834-456)*36+HEX2DEC('table for research'!W$1))*2,2)</f>
        <v>00</v>
      </c>
      <c r="X834" t="str">
        <f>MID('paste from garc here'!$C$2,1+(('table for research'!$B834-456)*36+HEX2DEC('table for research'!X$1))*2,2)</f>
        <v>00</v>
      </c>
      <c r="Y834" t="str">
        <f>MID('paste from garc here'!$C$2,1+(('table for research'!$B834-456)*36+HEX2DEC('table for research'!Y$1))*2,2)</f>
        <v>00</v>
      </c>
      <c r="Z834" t="str">
        <f>MID('paste from garc here'!$C$2,1+(('table for research'!$B834-456)*36+HEX2DEC('table for research'!Z$1))*2,2)</f>
        <v>00</v>
      </c>
      <c r="AA834" t="str">
        <f>MID('paste from garc here'!$C$2,1+(('table for research'!$B834-456)*36+HEX2DEC('table for research'!AA$1))*2,2)</f>
        <v>00</v>
      </c>
      <c r="AB834" t="str">
        <f>MID('paste from garc here'!$C$2,1+(('table for research'!$B834-456)*36+HEX2DEC('table for research'!AB$1))*2,2)</f>
        <v>00</v>
      </c>
      <c r="AC834" t="str">
        <f>MID('paste from garc here'!$C$2,1+(('table for research'!$B834-456)*36+HEX2DEC('table for research'!AC$1))*2,2)</f>
        <v>00</v>
      </c>
      <c r="AD834" t="str">
        <f>MID('paste from garc here'!$C$2,1+(('table for research'!$B834-456)*36+HEX2DEC('table for research'!AD$1))*2,2)</f>
        <v>00</v>
      </c>
      <c r="AE834" t="str">
        <f>MID('paste from garc here'!$C$2,1+(('table for research'!$B834-456)*36+HEX2DEC('table for research'!AE$1))*2,2)</f>
        <v>00</v>
      </c>
      <c r="AF834" t="str">
        <f>MID('paste from garc here'!$C$2,1+(('table for research'!$B834-456)*36+HEX2DEC('table for research'!AF$1))*2,2)</f>
        <v>00</v>
      </c>
      <c r="AG834" t="str">
        <f>MID('paste from garc here'!$C$2,1+(('table for research'!$B834-456)*36+HEX2DEC('table for research'!AG$1))*2,2)</f>
        <v>00</v>
      </c>
      <c r="AH834" t="str">
        <f>MID('paste from garc here'!$C$2,1+(('table for research'!$B834-456)*36+HEX2DEC('table for research'!AH$1))*2,2)</f>
        <v>00</v>
      </c>
      <c r="AI834" t="str">
        <f>MID('paste from garc here'!$C$2,1+(('table for research'!$B834-456)*36+HEX2DEC('table for research'!AI$1))*2,2)</f>
        <v>00</v>
      </c>
      <c r="AJ834" t="str">
        <f>MID('paste from garc here'!$C$2,1+(('table for research'!$B834-456)*36+HEX2DEC('table for research'!AJ$1))*2,2)</f>
        <v>00</v>
      </c>
      <c r="AK834" t="str">
        <f>MID('paste from garc here'!$C$2,1+(('table for research'!$B834-456)*36+HEX2DEC('table for research'!AK$1))*2,2)</f>
        <v>00</v>
      </c>
      <c r="AL834" t="str">
        <f>MID('paste from garc here'!$C$2,1+(('table for research'!$B834-456)*36+HEX2DEC('table for research'!AL$1))*2,2)</f>
        <v>00</v>
      </c>
      <c r="AM834" t="str">
        <f>MID('paste from garc here'!$C$2,1+(('table for research'!$B834-456)*36+HEX2DEC('table for research'!AM$1))*2,2)</f>
        <v>00</v>
      </c>
      <c r="AN834" t="str">
        <f>MID('paste from garc here'!$C$2,1+(('table for research'!$B834-456)*36+HEX2DEC('table for research'!AN$1))*2,2)</f>
        <v>00</v>
      </c>
      <c r="AO834" t="str">
        <f>MID('paste from garc here'!$C$2,1+(('table for research'!$B834-456)*36+HEX2DEC('table for research'!AO$1))*2,2)</f>
        <v>00</v>
      </c>
    </row>
    <row r="835" spans="1:41" x14ac:dyDescent="0.4">
      <c r="A835" t="s">
        <v>826</v>
      </c>
      <c r="B835">
        <f>B834+1</f>
        <v>833</v>
      </c>
      <c r="C835" t="str">
        <f>MID('paste from garc here'!$C$2,1+(('table for research'!$B835-456)*36+HEX2DEC('table for research'!C$1))*2,2)</f>
        <v>00</v>
      </c>
      <c r="D835" t="str">
        <f>MID('paste from garc here'!$C$2,1+(('table for research'!$B835-456)*36+HEX2DEC('table for research'!D$1))*2,2)</f>
        <v>00</v>
      </c>
      <c r="E835" t="str">
        <f>MID('paste from garc here'!$C$2,1+(('table for research'!$B835-456)*36+HEX2DEC('table for research'!E$1))*2,2)</f>
        <v>00</v>
      </c>
      <c r="F835" t="str">
        <f>MID('paste from garc here'!$C$2,1+(('table for research'!$B835-456)*36+HEX2DEC('table for research'!F$1))*2,2)</f>
        <v>00</v>
      </c>
      <c r="G835" t="str">
        <f>MID('paste from garc here'!$C$2,1+(('table for research'!$B835-456)*36+HEX2DEC('table for research'!G$1))*2,2)</f>
        <v>00</v>
      </c>
      <c r="H835" t="str">
        <f>MID('paste from garc here'!$C$2,1+(('table for research'!$B835-456)*36+HEX2DEC('table for research'!H$1))*2,2)</f>
        <v>00</v>
      </c>
      <c r="I835" t="str">
        <f>MID('paste from garc here'!$C$2,1+(('table for research'!$B835-456)*36+HEX2DEC('table for research'!I$1))*2,2)</f>
        <v>00</v>
      </c>
      <c r="J835" t="str">
        <f>MID('paste from garc here'!$C$2,1+(('table for research'!$B835-456)*36+HEX2DEC('table for research'!J$1))*2,2)</f>
        <v>00</v>
      </c>
      <c r="K835" t="str">
        <f>DEC2HEX(_xlfn.BITAND(HEX2DEC(MID('paste from garc here'!$C$1,1+(('table for research'!$B835-1)*36+HEX2DEC(8))*2,2)),31),2)</f>
        <v>00</v>
      </c>
      <c r="L835" t="str">
        <f>DEC2HEX(_xlfn.BITAND(HEX2DEC(MID('paste from garc here'!$C$1,1+(('table for research'!$B835-1)*36+HEX2DEC(8))*2,2)),32),2)</f>
        <v>00</v>
      </c>
      <c r="M835" t="str">
        <f>DEC2HEX(_xlfn.BITAND(HEX2DEC(MID('paste from garc here'!$C$1,1+(('table for research'!$B835-1)*36+HEX2DEC(8))*2,2)),64),2)</f>
        <v>00</v>
      </c>
      <c r="N835" t="str">
        <f>DEC2HEX(_xlfn.BITRSHIFT(_xlfn.BITAND(HEX2DEC(MID('paste from garc here'!$C$1,1+(('table for research'!$B835-1)*36+HEX2DEC(9))*2,2)&amp;MID('paste from garc here'!$C$1,1+(('table for research'!$B835-1)*36+HEX2DEC(8))*2,2)),1920),7),2)</f>
        <v>00</v>
      </c>
      <c r="O835" t="str">
        <f>DEC2HEX(_xlfn.BITRSHIFT(HEX2DEC(MID('paste from garc here'!$C$1,1+(('table for research'!$B835-1)*36+HEX2DEC(9))*2,2)&amp;MID('paste from garc here'!$C$1,1+(('table for research'!$B835-1)*36+HEX2DEC(8))*2,2)),11),2)</f>
        <v>00</v>
      </c>
      <c r="P835" t="str">
        <f>MID('paste from garc here'!$C$2,1+(('table for research'!$B835-456)*36+HEX2DEC('table for research'!P$1))*2,2)</f>
        <v>01</v>
      </c>
      <c r="Q835" t="str">
        <f>MID('paste from garc here'!$C$2,1+(('table for research'!$B835-456)*36+HEX2DEC('table for research'!Q$1))*2,2)</f>
        <v>00</v>
      </c>
      <c r="R835" t="str">
        <f>MID('paste from garc here'!$C$2,1+(('table for research'!$B835-456)*36+HEX2DEC('table for research'!R$1))*2,2)</f>
        <v>00</v>
      </c>
      <c r="S835" t="str">
        <f>MID('paste from garc here'!$C$2,1+(('table for research'!$B835-456)*36+HEX2DEC('table for research'!S$1))*2,2)</f>
        <v>01</v>
      </c>
      <c r="T835" t="str">
        <f>MID('paste from garc here'!$C$2,1+(('table for research'!$B835-456)*36+HEX2DEC('table for research'!T$1))*2,2)</f>
        <v>00</v>
      </c>
      <c r="U835" t="str">
        <f>MID('paste from garc here'!$C$2,1+(('table for research'!$B835-456)*36+HEX2DEC('table for research'!U$1))*2,2)</f>
        <v>1B</v>
      </c>
      <c r="V835" t="str">
        <f>MID('paste from garc here'!$C$2,1+(('table for research'!$B835-456)*36+HEX2DEC('table for research'!V$1))*2,2)</f>
        <v>1B</v>
      </c>
      <c r="W835" t="str">
        <f>MID('paste from garc here'!$C$2,1+(('table for research'!$B835-456)*36+HEX2DEC('table for research'!W$1))*2,2)</f>
        <v>00</v>
      </c>
      <c r="X835" t="str">
        <f>MID('paste from garc here'!$C$2,1+(('table for research'!$B835-456)*36+HEX2DEC('table for research'!X$1))*2,2)</f>
        <v>00</v>
      </c>
      <c r="Y835" t="str">
        <f>MID('paste from garc here'!$C$2,1+(('table for research'!$B835-456)*36+HEX2DEC('table for research'!Y$1))*2,2)</f>
        <v>00</v>
      </c>
      <c r="Z835" t="str">
        <f>MID('paste from garc here'!$C$2,1+(('table for research'!$B835-456)*36+HEX2DEC('table for research'!Z$1))*2,2)</f>
        <v>00</v>
      </c>
      <c r="AA835" t="str">
        <f>MID('paste from garc here'!$C$2,1+(('table for research'!$B835-456)*36+HEX2DEC('table for research'!AA$1))*2,2)</f>
        <v>00</v>
      </c>
      <c r="AB835" t="str">
        <f>MID('paste from garc here'!$C$2,1+(('table for research'!$B835-456)*36+HEX2DEC('table for research'!AB$1))*2,2)</f>
        <v>00</v>
      </c>
      <c r="AC835" t="str">
        <f>MID('paste from garc here'!$C$2,1+(('table for research'!$B835-456)*36+HEX2DEC('table for research'!AC$1))*2,2)</f>
        <v>00</v>
      </c>
      <c r="AD835" t="str">
        <f>MID('paste from garc here'!$C$2,1+(('table for research'!$B835-456)*36+HEX2DEC('table for research'!AD$1))*2,2)</f>
        <v>00</v>
      </c>
      <c r="AE835" t="str">
        <f>MID('paste from garc here'!$C$2,1+(('table for research'!$B835-456)*36+HEX2DEC('table for research'!AE$1))*2,2)</f>
        <v>00</v>
      </c>
      <c r="AF835" t="str">
        <f>MID('paste from garc here'!$C$2,1+(('table for research'!$B835-456)*36+HEX2DEC('table for research'!AF$1))*2,2)</f>
        <v>00</v>
      </c>
      <c r="AG835" t="str">
        <f>MID('paste from garc here'!$C$2,1+(('table for research'!$B835-456)*36+HEX2DEC('table for research'!AG$1))*2,2)</f>
        <v>00</v>
      </c>
      <c r="AH835" t="str">
        <f>MID('paste from garc here'!$C$2,1+(('table for research'!$B835-456)*36+HEX2DEC('table for research'!AH$1))*2,2)</f>
        <v>00</v>
      </c>
      <c r="AI835" t="str">
        <f>MID('paste from garc here'!$C$2,1+(('table for research'!$B835-456)*36+HEX2DEC('table for research'!AI$1))*2,2)</f>
        <v>00</v>
      </c>
      <c r="AJ835" t="str">
        <f>MID('paste from garc here'!$C$2,1+(('table for research'!$B835-456)*36+HEX2DEC('table for research'!AJ$1))*2,2)</f>
        <v>00</v>
      </c>
      <c r="AK835" t="str">
        <f>MID('paste from garc here'!$C$2,1+(('table for research'!$B835-456)*36+HEX2DEC('table for research'!AK$1))*2,2)</f>
        <v>00</v>
      </c>
      <c r="AL835" t="str">
        <f>MID('paste from garc here'!$C$2,1+(('table for research'!$B835-456)*36+HEX2DEC('table for research'!AL$1))*2,2)</f>
        <v>00</v>
      </c>
      <c r="AM835" t="str">
        <f>MID('paste from garc here'!$C$2,1+(('table for research'!$B835-456)*36+HEX2DEC('table for research'!AM$1))*2,2)</f>
        <v>00</v>
      </c>
      <c r="AN835" t="str">
        <f>MID('paste from garc here'!$C$2,1+(('table for research'!$B835-456)*36+HEX2DEC('table for research'!AN$1))*2,2)</f>
        <v>00</v>
      </c>
      <c r="AO835" t="str">
        <f>MID('paste from garc here'!$C$2,1+(('table for research'!$B835-456)*36+HEX2DEC('table for research'!AO$1))*2,2)</f>
        <v>00</v>
      </c>
    </row>
    <row r="836" spans="1:41" x14ac:dyDescent="0.4">
      <c r="A836" t="s">
        <v>827</v>
      </c>
      <c r="B836">
        <f>B835+1</f>
        <v>834</v>
      </c>
      <c r="C836" t="str">
        <f>MID('paste from garc here'!$C$2,1+(('table for research'!$B836-456)*36+HEX2DEC('table for research'!C$1))*2,2)</f>
        <v>00</v>
      </c>
      <c r="D836" t="str">
        <f>MID('paste from garc here'!$C$2,1+(('table for research'!$B836-456)*36+HEX2DEC('table for research'!D$1))*2,2)</f>
        <v>00</v>
      </c>
      <c r="E836" t="str">
        <f>MID('paste from garc here'!$C$2,1+(('table for research'!$B836-456)*36+HEX2DEC('table for research'!E$1))*2,2)</f>
        <v>00</v>
      </c>
      <c r="F836" t="str">
        <f>MID('paste from garc here'!$C$2,1+(('table for research'!$B836-456)*36+HEX2DEC('table for research'!F$1))*2,2)</f>
        <v>00</v>
      </c>
      <c r="G836" t="str">
        <f>MID('paste from garc here'!$C$2,1+(('table for research'!$B836-456)*36+HEX2DEC('table for research'!G$1))*2,2)</f>
        <v>00</v>
      </c>
      <c r="H836" t="str">
        <f>MID('paste from garc here'!$C$2,1+(('table for research'!$B836-456)*36+HEX2DEC('table for research'!H$1))*2,2)</f>
        <v>00</v>
      </c>
      <c r="I836" t="str">
        <f>MID('paste from garc here'!$C$2,1+(('table for research'!$B836-456)*36+HEX2DEC('table for research'!I$1))*2,2)</f>
        <v>00</v>
      </c>
      <c r="J836" t="str">
        <f>MID('paste from garc here'!$C$2,1+(('table for research'!$B836-456)*36+HEX2DEC('table for research'!J$1))*2,2)</f>
        <v>00</v>
      </c>
      <c r="K836" t="str">
        <f>DEC2HEX(_xlfn.BITAND(HEX2DEC(MID('paste from garc here'!$C$1,1+(('table for research'!$B836-1)*36+HEX2DEC(8))*2,2)),31),2)</f>
        <v>00</v>
      </c>
      <c r="L836" t="str">
        <f>DEC2HEX(_xlfn.BITAND(HEX2DEC(MID('paste from garc here'!$C$1,1+(('table for research'!$B836-1)*36+HEX2DEC(8))*2,2)),32),2)</f>
        <v>00</v>
      </c>
      <c r="M836" t="str">
        <f>DEC2HEX(_xlfn.BITAND(HEX2DEC(MID('paste from garc here'!$C$1,1+(('table for research'!$B836-1)*36+HEX2DEC(8))*2,2)),64),2)</f>
        <v>00</v>
      </c>
      <c r="N836" t="str">
        <f>DEC2HEX(_xlfn.BITRSHIFT(_xlfn.BITAND(HEX2DEC(MID('paste from garc here'!$C$1,1+(('table for research'!$B836-1)*36+HEX2DEC(9))*2,2)&amp;MID('paste from garc here'!$C$1,1+(('table for research'!$B836-1)*36+HEX2DEC(8))*2,2)),1920),7),2)</f>
        <v>00</v>
      </c>
      <c r="O836" t="str">
        <f>DEC2HEX(_xlfn.BITRSHIFT(HEX2DEC(MID('paste from garc here'!$C$1,1+(('table for research'!$B836-1)*36+HEX2DEC(9))*2,2)&amp;MID('paste from garc here'!$C$1,1+(('table for research'!$B836-1)*36+HEX2DEC(8))*2,2)),11),2)</f>
        <v>00</v>
      </c>
      <c r="P836" t="str">
        <f>MID('paste from garc here'!$C$2,1+(('table for research'!$B836-456)*36+HEX2DEC('table for research'!P$1))*2,2)</f>
        <v>01</v>
      </c>
      <c r="Q836" t="str">
        <f>MID('paste from garc here'!$C$2,1+(('table for research'!$B836-456)*36+HEX2DEC('table for research'!Q$1))*2,2)</f>
        <v>00</v>
      </c>
      <c r="R836" t="str">
        <f>MID('paste from garc here'!$C$2,1+(('table for research'!$B836-456)*36+HEX2DEC('table for research'!R$1))*2,2)</f>
        <v>00</v>
      </c>
      <c r="S836" t="str">
        <f>MID('paste from garc here'!$C$2,1+(('table for research'!$B836-456)*36+HEX2DEC('table for research'!S$1))*2,2)</f>
        <v>01</v>
      </c>
      <c r="T836" t="str">
        <f>MID('paste from garc here'!$C$2,1+(('table for research'!$B836-456)*36+HEX2DEC('table for research'!T$1))*2,2)</f>
        <v>00</v>
      </c>
      <c r="U836" t="str">
        <f>MID('paste from garc here'!$C$2,1+(('table for research'!$B836-456)*36+HEX2DEC('table for research'!U$1))*2,2)</f>
        <v>1C</v>
      </c>
      <c r="V836" t="str">
        <f>MID('paste from garc here'!$C$2,1+(('table for research'!$B836-456)*36+HEX2DEC('table for research'!V$1))*2,2)</f>
        <v>1C</v>
      </c>
      <c r="W836" t="str">
        <f>MID('paste from garc here'!$C$2,1+(('table for research'!$B836-456)*36+HEX2DEC('table for research'!W$1))*2,2)</f>
        <v>00</v>
      </c>
      <c r="X836" t="str">
        <f>MID('paste from garc here'!$C$2,1+(('table for research'!$B836-456)*36+HEX2DEC('table for research'!X$1))*2,2)</f>
        <v>00</v>
      </c>
      <c r="Y836" t="str">
        <f>MID('paste from garc here'!$C$2,1+(('table for research'!$B836-456)*36+HEX2DEC('table for research'!Y$1))*2,2)</f>
        <v>00</v>
      </c>
      <c r="Z836" t="str">
        <f>MID('paste from garc here'!$C$2,1+(('table for research'!$B836-456)*36+HEX2DEC('table for research'!Z$1))*2,2)</f>
        <v>00</v>
      </c>
      <c r="AA836" t="str">
        <f>MID('paste from garc here'!$C$2,1+(('table for research'!$B836-456)*36+HEX2DEC('table for research'!AA$1))*2,2)</f>
        <v>00</v>
      </c>
      <c r="AB836" t="str">
        <f>MID('paste from garc here'!$C$2,1+(('table for research'!$B836-456)*36+HEX2DEC('table for research'!AB$1))*2,2)</f>
        <v>00</v>
      </c>
      <c r="AC836" t="str">
        <f>MID('paste from garc here'!$C$2,1+(('table for research'!$B836-456)*36+HEX2DEC('table for research'!AC$1))*2,2)</f>
        <v>00</v>
      </c>
      <c r="AD836" t="str">
        <f>MID('paste from garc here'!$C$2,1+(('table for research'!$B836-456)*36+HEX2DEC('table for research'!AD$1))*2,2)</f>
        <v>00</v>
      </c>
      <c r="AE836" t="str">
        <f>MID('paste from garc here'!$C$2,1+(('table for research'!$B836-456)*36+HEX2DEC('table for research'!AE$1))*2,2)</f>
        <v>00</v>
      </c>
      <c r="AF836" t="str">
        <f>MID('paste from garc here'!$C$2,1+(('table for research'!$B836-456)*36+HEX2DEC('table for research'!AF$1))*2,2)</f>
        <v>00</v>
      </c>
      <c r="AG836" t="str">
        <f>MID('paste from garc here'!$C$2,1+(('table for research'!$B836-456)*36+HEX2DEC('table for research'!AG$1))*2,2)</f>
        <v>00</v>
      </c>
      <c r="AH836" t="str">
        <f>MID('paste from garc here'!$C$2,1+(('table for research'!$B836-456)*36+HEX2DEC('table for research'!AH$1))*2,2)</f>
        <v>00</v>
      </c>
      <c r="AI836" t="str">
        <f>MID('paste from garc here'!$C$2,1+(('table for research'!$B836-456)*36+HEX2DEC('table for research'!AI$1))*2,2)</f>
        <v>00</v>
      </c>
      <c r="AJ836" t="str">
        <f>MID('paste from garc here'!$C$2,1+(('table for research'!$B836-456)*36+HEX2DEC('table for research'!AJ$1))*2,2)</f>
        <v>00</v>
      </c>
      <c r="AK836" t="str">
        <f>MID('paste from garc here'!$C$2,1+(('table for research'!$B836-456)*36+HEX2DEC('table for research'!AK$1))*2,2)</f>
        <v>00</v>
      </c>
      <c r="AL836" t="str">
        <f>MID('paste from garc here'!$C$2,1+(('table for research'!$B836-456)*36+HEX2DEC('table for research'!AL$1))*2,2)</f>
        <v>00</v>
      </c>
      <c r="AM836" t="str">
        <f>MID('paste from garc here'!$C$2,1+(('table for research'!$B836-456)*36+HEX2DEC('table for research'!AM$1))*2,2)</f>
        <v>00</v>
      </c>
      <c r="AN836" t="str">
        <f>MID('paste from garc here'!$C$2,1+(('table for research'!$B836-456)*36+HEX2DEC('table for research'!AN$1))*2,2)</f>
        <v>00</v>
      </c>
      <c r="AO836" t="str">
        <f>MID('paste from garc here'!$C$2,1+(('table for research'!$B836-456)*36+HEX2DEC('table for research'!AO$1))*2,2)</f>
        <v>00</v>
      </c>
    </row>
    <row r="837" spans="1:41" x14ac:dyDescent="0.4">
      <c r="A837" t="s">
        <v>828</v>
      </c>
      <c r="B837">
        <f>B836+1</f>
        <v>835</v>
      </c>
      <c r="C837" t="str">
        <f>MID('paste from garc here'!$C$2,1+(('table for research'!$B837-456)*36+HEX2DEC('table for research'!C$1))*2,2)</f>
        <v>00</v>
      </c>
      <c r="D837" t="str">
        <f>MID('paste from garc here'!$C$2,1+(('table for research'!$B837-456)*36+HEX2DEC('table for research'!D$1))*2,2)</f>
        <v>00</v>
      </c>
      <c r="E837" t="str">
        <f>MID('paste from garc here'!$C$2,1+(('table for research'!$B837-456)*36+HEX2DEC('table for research'!E$1))*2,2)</f>
        <v>00</v>
      </c>
      <c r="F837" t="str">
        <f>MID('paste from garc here'!$C$2,1+(('table for research'!$B837-456)*36+HEX2DEC('table for research'!F$1))*2,2)</f>
        <v>00</v>
      </c>
      <c r="G837" t="str">
        <f>MID('paste from garc here'!$C$2,1+(('table for research'!$B837-456)*36+HEX2DEC('table for research'!G$1))*2,2)</f>
        <v>00</v>
      </c>
      <c r="H837" t="str">
        <f>MID('paste from garc here'!$C$2,1+(('table for research'!$B837-456)*36+HEX2DEC('table for research'!H$1))*2,2)</f>
        <v>00</v>
      </c>
      <c r="I837" t="str">
        <f>MID('paste from garc here'!$C$2,1+(('table for research'!$B837-456)*36+HEX2DEC('table for research'!I$1))*2,2)</f>
        <v>00</v>
      </c>
      <c r="J837" t="str">
        <f>MID('paste from garc here'!$C$2,1+(('table for research'!$B837-456)*36+HEX2DEC('table for research'!J$1))*2,2)</f>
        <v>00</v>
      </c>
      <c r="K837" t="str">
        <f>DEC2HEX(_xlfn.BITAND(HEX2DEC(MID('paste from garc here'!$C$1,1+(('table for research'!$B837-1)*36+HEX2DEC(8))*2,2)),31),2)</f>
        <v>00</v>
      </c>
      <c r="L837" t="str">
        <f>DEC2HEX(_xlfn.BITAND(HEX2DEC(MID('paste from garc here'!$C$1,1+(('table for research'!$B837-1)*36+HEX2DEC(8))*2,2)),32),2)</f>
        <v>00</v>
      </c>
      <c r="M837" t="str">
        <f>DEC2HEX(_xlfn.BITAND(HEX2DEC(MID('paste from garc here'!$C$1,1+(('table for research'!$B837-1)*36+HEX2DEC(8))*2,2)),64),2)</f>
        <v>00</v>
      </c>
      <c r="N837" t="str">
        <f>DEC2HEX(_xlfn.BITRSHIFT(_xlfn.BITAND(HEX2DEC(MID('paste from garc here'!$C$1,1+(('table for research'!$B837-1)*36+HEX2DEC(9))*2,2)&amp;MID('paste from garc here'!$C$1,1+(('table for research'!$B837-1)*36+HEX2DEC(8))*2,2)),1920),7),2)</f>
        <v>00</v>
      </c>
      <c r="O837" t="str">
        <f>DEC2HEX(_xlfn.BITRSHIFT(HEX2DEC(MID('paste from garc here'!$C$1,1+(('table for research'!$B837-1)*36+HEX2DEC(9))*2,2)&amp;MID('paste from garc here'!$C$1,1+(('table for research'!$B837-1)*36+HEX2DEC(8))*2,2)),11),2)</f>
        <v>00</v>
      </c>
      <c r="P837" t="str">
        <f>MID('paste from garc here'!$C$2,1+(('table for research'!$B837-456)*36+HEX2DEC('table for research'!P$1))*2,2)</f>
        <v>01</v>
      </c>
      <c r="Q837" t="str">
        <f>MID('paste from garc here'!$C$2,1+(('table for research'!$B837-456)*36+HEX2DEC('table for research'!Q$1))*2,2)</f>
        <v>00</v>
      </c>
      <c r="R837" t="str">
        <f>MID('paste from garc here'!$C$2,1+(('table for research'!$B837-456)*36+HEX2DEC('table for research'!R$1))*2,2)</f>
        <v>00</v>
      </c>
      <c r="S837" t="str">
        <f>MID('paste from garc here'!$C$2,1+(('table for research'!$B837-456)*36+HEX2DEC('table for research'!S$1))*2,2)</f>
        <v>01</v>
      </c>
      <c r="T837" t="str">
        <f>MID('paste from garc here'!$C$2,1+(('table for research'!$B837-456)*36+HEX2DEC('table for research'!T$1))*2,2)</f>
        <v>00</v>
      </c>
      <c r="U837" t="str">
        <f>MID('paste from garc here'!$C$2,1+(('table for research'!$B837-456)*36+HEX2DEC('table for research'!U$1))*2,2)</f>
        <v>1D</v>
      </c>
      <c r="V837" t="str">
        <f>MID('paste from garc here'!$C$2,1+(('table for research'!$B837-456)*36+HEX2DEC('table for research'!V$1))*2,2)</f>
        <v>1D</v>
      </c>
      <c r="W837" t="str">
        <f>MID('paste from garc here'!$C$2,1+(('table for research'!$B837-456)*36+HEX2DEC('table for research'!W$1))*2,2)</f>
        <v>00</v>
      </c>
      <c r="X837" t="str">
        <f>MID('paste from garc here'!$C$2,1+(('table for research'!$B837-456)*36+HEX2DEC('table for research'!X$1))*2,2)</f>
        <v>00</v>
      </c>
      <c r="Y837" t="str">
        <f>MID('paste from garc here'!$C$2,1+(('table for research'!$B837-456)*36+HEX2DEC('table for research'!Y$1))*2,2)</f>
        <v>00</v>
      </c>
      <c r="Z837" t="str">
        <f>MID('paste from garc here'!$C$2,1+(('table for research'!$B837-456)*36+HEX2DEC('table for research'!Z$1))*2,2)</f>
        <v>00</v>
      </c>
      <c r="AA837" t="str">
        <f>MID('paste from garc here'!$C$2,1+(('table for research'!$B837-456)*36+HEX2DEC('table for research'!AA$1))*2,2)</f>
        <v>00</v>
      </c>
      <c r="AB837" t="str">
        <f>MID('paste from garc here'!$C$2,1+(('table for research'!$B837-456)*36+HEX2DEC('table for research'!AB$1))*2,2)</f>
        <v>00</v>
      </c>
      <c r="AC837" t="str">
        <f>MID('paste from garc here'!$C$2,1+(('table for research'!$B837-456)*36+HEX2DEC('table for research'!AC$1))*2,2)</f>
        <v>00</v>
      </c>
      <c r="AD837" t="str">
        <f>MID('paste from garc here'!$C$2,1+(('table for research'!$B837-456)*36+HEX2DEC('table for research'!AD$1))*2,2)</f>
        <v>00</v>
      </c>
      <c r="AE837" t="str">
        <f>MID('paste from garc here'!$C$2,1+(('table for research'!$B837-456)*36+HEX2DEC('table for research'!AE$1))*2,2)</f>
        <v>00</v>
      </c>
      <c r="AF837" t="str">
        <f>MID('paste from garc here'!$C$2,1+(('table for research'!$B837-456)*36+HEX2DEC('table for research'!AF$1))*2,2)</f>
        <v>00</v>
      </c>
      <c r="AG837" t="str">
        <f>MID('paste from garc here'!$C$2,1+(('table for research'!$B837-456)*36+HEX2DEC('table for research'!AG$1))*2,2)</f>
        <v>00</v>
      </c>
      <c r="AH837" t="str">
        <f>MID('paste from garc here'!$C$2,1+(('table for research'!$B837-456)*36+HEX2DEC('table for research'!AH$1))*2,2)</f>
        <v>00</v>
      </c>
      <c r="AI837" t="str">
        <f>MID('paste from garc here'!$C$2,1+(('table for research'!$B837-456)*36+HEX2DEC('table for research'!AI$1))*2,2)</f>
        <v>00</v>
      </c>
      <c r="AJ837" t="str">
        <f>MID('paste from garc here'!$C$2,1+(('table for research'!$B837-456)*36+HEX2DEC('table for research'!AJ$1))*2,2)</f>
        <v>00</v>
      </c>
      <c r="AK837" t="str">
        <f>MID('paste from garc here'!$C$2,1+(('table for research'!$B837-456)*36+HEX2DEC('table for research'!AK$1))*2,2)</f>
        <v>00</v>
      </c>
      <c r="AL837" t="str">
        <f>MID('paste from garc here'!$C$2,1+(('table for research'!$B837-456)*36+HEX2DEC('table for research'!AL$1))*2,2)</f>
        <v>00</v>
      </c>
      <c r="AM837" t="str">
        <f>MID('paste from garc here'!$C$2,1+(('table for research'!$B837-456)*36+HEX2DEC('table for research'!AM$1))*2,2)</f>
        <v>00</v>
      </c>
      <c r="AN837" t="str">
        <f>MID('paste from garc here'!$C$2,1+(('table for research'!$B837-456)*36+HEX2DEC('table for research'!AN$1))*2,2)</f>
        <v>00</v>
      </c>
      <c r="AO837" t="str">
        <f>MID('paste from garc here'!$C$2,1+(('table for research'!$B837-456)*36+HEX2DEC('table for research'!AO$1))*2,2)</f>
        <v>00</v>
      </c>
    </row>
    <row r="838" spans="1:41" x14ac:dyDescent="0.4">
      <c r="A838" t="s">
        <v>829</v>
      </c>
      <c r="B838">
        <f>B837+1</f>
        <v>836</v>
      </c>
      <c r="C838" t="str">
        <f>MID('paste from garc here'!$C$2,1+(('table for research'!$B838-456)*36+HEX2DEC('table for research'!C$1))*2,2)</f>
        <v>00</v>
      </c>
      <c r="D838" t="str">
        <f>MID('paste from garc here'!$C$2,1+(('table for research'!$B838-456)*36+HEX2DEC('table for research'!D$1))*2,2)</f>
        <v>00</v>
      </c>
      <c r="E838" t="str">
        <f>MID('paste from garc here'!$C$2,1+(('table for research'!$B838-456)*36+HEX2DEC('table for research'!E$1))*2,2)</f>
        <v>00</v>
      </c>
      <c r="F838" t="str">
        <f>MID('paste from garc here'!$C$2,1+(('table for research'!$B838-456)*36+HEX2DEC('table for research'!F$1))*2,2)</f>
        <v>00</v>
      </c>
      <c r="G838" t="str">
        <f>MID('paste from garc here'!$C$2,1+(('table for research'!$B838-456)*36+HEX2DEC('table for research'!G$1))*2,2)</f>
        <v>00</v>
      </c>
      <c r="H838" t="str">
        <f>MID('paste from garc here'!$C$2,1+(('table for research'!$B838-456)*36+HEX2DEC('table for research'!H$1))*2,2)</f>
        <v>00</v>
      </c>
      <c r="I838" t="str">
        <f>MID('paste from garc here'!$C$2,1+(('table for research'!$B838-456)*36+HEX2DEC('table for research'!I$1))*2,2)</f>
        <v>00</v>
      </c>
      <c r="J838" t="str">
        <f>MID('paste from garc here'!$C$2,1+(('table for research'!$B838-456)*36+HEX2DEC('table for research'!J$1))*2,2)</f>
        <v>00</v>
      </c>
      <c r="K838" t="str">
        <f>DEC2HEX(_xlfn.BITAND(HEX2DEC(MID('paste from garc here'!$C$1,1+(('table for research'!$B838-1)*36+HEX2DEC(8))*2,2)),31),2)</f>
        <v>00</v>
      </c>
      <c r="L838" t="str">
        <f>DEC2HEX(_xlfn.BITAND(HEX2DEC(MID('paste from garc here'!$C$1,1+(('table for research'!$B838-1)*36+HEX2DEC(8))*2,2)),32),2)</f>
        <v>00</v>
      </c>
      <c r="M838" t="str">
        <f>DEC2HEX(_xlfn.BITAND(HEX2DEC(MID('paste from garc here'!$C$1,1+(('table for research'!$B838-1)*36+HEX2DEC(8))*2,2)),64),2)</f>
        <v>00</v>
      </c>
      <c r="N838" t="str">
        <f>DEC2HEX(_xlfn.BITRSHIFT(_xlfn.BITAND(HEX2DEC(MID('paste from garc here'!$C$1,1+(('table for research'!$B838-1)*36+HEX2DEC(9))*2,2)&amp;MID('paste from garc here'!$C$1,1+(('table for research'!$B838-1)*36+HEX2DEC(8))*2,2)),1920),7),2)</f>
        <v>00</v>
      </c>
      <c r="O838" t="str">
        <f>DEC2HEX(_xlfn.BITRSHIFT(HEX2DEC(MID('paste from garc here'!$C$1,1+(('table for research'!$B838-1)*36+HEX2DEC(9))*2,2)&amp;MID('paste from garc here'!$C$1,1+(('table for research'!$B838-1)*36+HEX2DEC(8))*2,2)),11),2)</f>
        <v>00</v>
      </c>
      <c r="P838" t="str">
        <f>MID('paste from garc here'!$C$2,1+(('table for research'!$B838-456)*36+HEX2DEC('table for research'!P$1))*2,2)</f>
        <v>00</v>
      </c>
      <c r="Q838" t="str">
        <f>MID('paste from garc here'!$C$2,1+(('table for research'!$B838-456)*36+HEX2DEC('table for research'!Q$1))*2,2)</f>
        <v>00</v>
      </c>
      <c r="R838" t="str">
        <f>MID('paste from garc here'!$C$2,1+(('table for research'!$B838-456)*36+HEX2DEC('table for research'!R$1))*2,2)</f>
        <v>00</v>
      </c>
      <c r="S838" t="str">
        <f>MID('paste from garc here'!$C$2,1+(('table for research'!$B838-456)*36+HEX2DEC('table for research'!S$1))*2,2)</f>
        <v>01</v>
      </c>
      <c r="T838" t="str">
        <f>MID('paste from garc here'!$C$2,1+(('table for research'!$B838-456)*36+HEX2DEC('table for research'!T$1))*2,2)</f>
        <v>00</v>
      </c>
      <c r="U838" t="str">
        <f>MID('paste from garc here'!$C$2,1+(('table for research'!$B838-456)*36+HEX2DEC('table for research'!U$1))*2,2)</f>
        <v>1D</v>
      </c>
      <c r="V838" t="str">
        <f>MID('paste from garc here'!$C$2,1+(('table for research'!$B838-456)*36+HEX2DEC('table for research'!V$1))*2,2)</f>
        <v>1D</v>
      </c>
      <c r="W838" t="str">
        <f>MID('paste from garc here'!$C$2,1+(('table for research'!$B838-456)*36+HEX2DEC('table for research'!W$1))*2,2)</f>
        <v>00</v>
      </c>
      <c r="X838" t="str">
        <f>MID('paste from garc here'!$C$2,1+(('table for research'!$B838-456)*36+HEX2DEC('table for research'!X$1))*2,2)</f>
        <v>00</v>
      </c>
      <c r="Y838" t="str">
        <f>MID('paste from garc here'!$C$2,1+(('table for research'!$B838-456)*36+HEX2DEC('table for research'!Y$1))*2,2)</f>
        <v>00</v>
      </c>
      <c r="Z838" t="str">
        <f>MID('paste from garc here'!$C$2,1+(('table for research'!$B838-456)*36+HEX2DEC('table for research'!Z$1))*2,2)</f>
        <v>00</v>
      </c>
      <c r="AA838" t="str">
        <f>MID('paste from garc here'!$C$2,1+(('table for research'!$B838-456)*36+HEX2DEC('table for research'!AA$1))*2,2)</f>
        <v>00</v>
      </c>
      <c r="AB838" t="str">
        <f>MID('paste from garc here'!$C$2,1+(('table for research'!$B838-456)*36+HEX2DEC('table for research'!AB$1))*2,2)</f>
        <v>00</v>
      </c>
      <c r="AC838" t="str">
        <f>MID('paste from garc here'!$C$2,1+(('table for research'!$B838-456)*36+HEX2DEC('table for research'!AC$1))*2,2)</f>
        <v>00</v>
      </c>
      <c r="AD838" t="str">
        <f>MID('paste from garc here'!$C$2,1+(('table for research'!$B838-456)*36+HEX2DEC('table for research'!AD$1))*2,2)</f>
        <v>00</v>
      </c>
      <c r="AE838" t="str">
        <f>MID('paste from garc here'!$C$2,1+(('table for research'!$B838-456)*36+HEX2DEC('table for research'!AE$1))*2,2)</f>
        <v>00</v>
      </c>
      <c r="AF838" t="str">
        <f>MID('paste from garc here'!$C$2,1+(('table for research'!$B838-456)*36+HEX2DEC('table for research'!AF$1))*2,2)</f>
        <v>00</v>
      </c>
      <c r="AG838" t="str">
        <f>MID('paste from garc here'!$C$2,1+(('table for research'!$B838-456)*36+HEX2DEC('table for research'!AG$1))*2,2)</f>
        <v>00</v>
      </c>
      <c r="AH838" t="str">
        <f>MID('paste from garc here'!$C$2,1+(('table for research'!$B838-456)*36+HEX2DEC('table for research'!AH$1))*2,2)</f>
        <v>00</v>
      </c>
      <c r="AI838" t="str">
        <f>MID('paste from garc here'!$C$2,1+(('table for research'!$B838-456)*36+HEX2DEC('table for research'!AI$1))*2,2)</f>
        <v>00</v>
      </c>
      <c r="AJ838" t="str">
        <f>MID('paste from garc here'!$C$2,1+(('table for research'!$B838-456)*36+HEX2DEC('table for research'!AJ$1))*2,2)</f>
        <v>00</v>
      </c>
      <c r="AK838" t="str">
        <f>MID('paste from garc here'!$C$2,1+(('table for research'!$B838-456)*36+HEX2DEC('table for research'!AK$1))*2,2)</f>
        <v>00</v>
      </c>
      <c r="AL838" t="str">
        <f>MID('paste from garc here'!$C$2,1+(('table for research'!$B838-456)*36+HEX2DEC('table for research'!AL$1))*2,2)</f>
        <v>00</v>
      </c>
      <c r="AM838" t="str">
        <f>MID('paste from garc here'!$C$2,1+(('table for research'!$B838-456)*36+HEX2DEC('table for research'!AM$1))*2,2)</f>
        <v>00</v>
      </c>
      <c r="AN838" t="str">
        <f>MID('paste from garc here'!$C$2,1+(('table for research'!$B838-456)*36+HEX2DEC('table for research'!AN$1))*2,2)</f>
        <v>00</v>
      </c>
      <c r="AO838" t="str">
        <f>MID('paste from garc here'!$C$2,1+(('table for research'!$B838-456)*36+HEX2DEC('table for research'!AO$1))*2,2)</f>
        <v>00</v>
      </c>
    </row>
    <row r="839" spans="1:41" x14ac:dyDescent="0.4">
      <c r="A839" t="s">
        <v>138</v>
      </c>
      <c r="B839">
        <f>B838+1</f>
        <v>837</v>
      </c>
      <c r="C839" t="str">
        <f>MID('paste from garc here'!$C$2,1+(('table for research'!$B839-456)*36+HEX2DEC('table for research'!C$1))*2,2)</f>
        <v>00</v>
      </c>
      <c r="D839" t="str">
        <f>MID('paste from garc here'!$C$2,1+(('table for research'!$B839-456)*36+HEX2DEC('table for research'!D$1))*2,2)</f>
        <v>00</v>
      </c>
      <c r="E839" t="str">
        <f>MID('paste from garc here'!$C$2,1+(('table for research'!$B839-456)*36+HEX2DEC('table for research'!E$1))*2,2)</f>
        <v>00</v>
      </c>
      <c r="F839" t="str">
        <f>MID('paste from garc here'!$C$2,1+(('table for research'!$B839-456)*36+HEX2DEC('table for research'!F$1))*2,2)</f>
        <v>00</v>
      </c>
      <c r="G839" t="str">
        <f>MID('paste from garc here'!$C$2,1+(('table for research'!$B839-456)*36+HEX2DEC('table for research'!G$1))*2,2)</f>
        <v>00</v>
      </c>
      <c r="H839" t="str">
        <f>MID('paste from garc here'!$C$2,1+(('table for research'!$B839-456)*36+HEX2DEC('table for research'!H$1))*2,2)</f>
        <v>00</v>
      </c>
      <c r="I839" t="str">
        <f>MID('paste from garc here'!$C$2,1+(('table for research'!$B839-456)*36+HEX2DEC('table for research'!I$1))*2,2)</f>
        <v>00</v>
      </c>
      <c r="J839" t="str">
        <f>MID('paste from garc here'!$C$2,1+(('table for research'!$B839-456)*36+HEX2DEC('table for research'!J$1))*2,2)</f>
        <v>00</v>
      </c>
      <c r="K839" t="str">
        <f>DEC2HEX(_xlfn.BITAND(HEX2DEC(MID('paste from garc here'!$C$1,1+(('table for research'!$B839-1)*36+HEX2DEC(8))*2,2)),31),2)</f>
        <v>00</v>
      </c>
      <c r="L839" t="str">
        <f>DEC2HEX(_xlfn.BITAND(HEX2DEC(MID('paste from garc here'!$C$1,1+(('table for research'!$B839-1)*36+HEX2DEC(8))*2,2)),32),2)</f>
        <v>00</v>
      </c>
      <c r="M839" t="str">
        <f>DEC2HEX(_xlfn.BITAND(HEX2DEC(MID('paste from garc here'!$C$1,1+(('table for research'!$B839-1)*36+HEX2DEC(8))*2,2)),64),2)</f>
        <v>00</v>
      </c>
      <c r="N839" t="str">
        <f>DEC2HEX(_xlfn.BITRSHIFT(_xlfn.BITAND(HEX2DEC(MID('paste from garc here'!$C$1,1+(('table for research'!$B839-1)*36+HEX2DEC(9))*2,2)&amp;MID('paste from garc here'!$C$1,1+(('table for research'!$B839-1)*36+HEX2DEC(8))*2,2)),1920),7),2)</f>
        <v>00</v>
      </c>
      <c r="O839" t="str">
        <f>DEC2HEX(_xlfn.BITRSHIFT(HEX2DEC(MID('paste from garc here'!$C$1,1+(('table for research'!$B839-1)*36+HEX2DEC(9))*2,2)&amp;MID('paste from garc here'!$C$1,1+(('table for research'!$B839-1)*36+HEX2DEC(8))*2,2)),11),2)</f>
        <v>00</v>
      </c>
      <c r="P839" t="str">
        <f>MID('paste from garc here'!$C$2,1+(('table for research'!$B839-456)*36+HEX2DEC('table for research'!P$1))*2,2)</f>
        <v>01</v>
      </c>
      <c r="Q839" t="str">
        <f>MID('paste from garc here'!$C$2,1+(('table for research'!$B839-456)*36+HEX2DEC('table for research'!Q$1))*2,2)</f>
        <v>00</v>
      </c>
      <c r="R839" t="str">
        <f>MID('paste from garc here'!$C$2,1+(('table for research'!$B839-456)*36+HEX2DEC('table for research'!R$1))*2,2)</f>
        <v>00</v>
      </c>
      <c r="S839" t="str">
        <f>MID('paste from garc here'!$C$2,1+(('table for research'!$B839-456)*36+HEX2DEC('table for research'!S$1))*2,2)</f>
        <v>01</v>
      </c>
      <c r="T839" t="str">
        <f>MID('paste from garc here'!$C$2,1+(('table for research'!$B839-456)*36+HEX2DEC('table for research'!T$1))*2,2)</f>
        <v>00</v>
      </c>
      <c r="U839" t="str">
        <f>MID('paste from garc here'!$C$2,1+(('table for research'!$B839-456)*36+HEX2DEC('table for research'!U$1))*2,2)</f>
        <v>1D</v>
      </c>
      <c r="V839" t="str">
        <f>MID('paste from garc here'!$C$2,1+(('table for research'!$B839-456)*36+HEX2DEC('table for research'!V$1))*2,2)</f>
        <v>03</v>
      </c>
      <c r="W839" t="str">
        <f>MID('paste from garc here'!$C$2,1+(('table for research'!$B839-456)*36+HEX2DEC('table for research'!W$1))*2,2)</f>
        <v>00</v>
      </c>
      <c r="X839" t="str">
        <f>MID('paste from garc here'!$C$2,1+(('table for research'!$B839-456)*36+HEX2DEC('table for research'!X$1))*2,2)</f>
        <v>00</v>
      </c>
      <c r="Y839" t="str">
        <f>MID('paste from garc here'!$C$2,1+(('table for research'!$B839-456)*36+HEX2DEC('table for research'!Y$1))*2,2)</f>
        <v>00</v>
      </c>
      <c r="Z839" t="str">
        <f>MID('paste from garc here'!$C$2,1+(('table for research'!$B839-456)*36+HEX2DEC('table for research'!Z$1))*2,2)</f>
        <v>00</v>
      </c>
      <c r="AA839" t="str">
        <f>MID('paste from garc here'!$C$2,1+(('table for research'!$B839-456)*36+HEX2DEC('table for research'!AA$1))*2,2)</f>
        <v>00</v>
      </c>
      <c r="AB839" t="str">
        <f>MID('paste from garc here'!$C$2,1+(('table for research'!$B839-456)*36+HEX2DEC('table for research'!AB$1))*2,2)</f>
        <v>00</v>
      </c>
      <c r="AC839" t="str">
        <f>MID('paste from garc here'!$C$2,1+(('table for research'!$B839-456)*36+HEX2DEC('table for research'!AC$1))*2,2)</f>
        <v>00</v>
      </c>
      <c r="AD839" t="str">
        <f>MID('paste from garc here'!$C$2,1+(('table for research'!$B839-456)*36+HEX2DEC('table for research'!AD$1))*2,2)</f>
        <v>00</v>
      </c>
      <c r="AE839" t="str">
        <f>MID('paste from garc here'!$C$2,1+(('table for research'!$B839-456)*36+HEX2DEC('table for research'!AE$1))*2,2)</f>
        <v>00</v>
      </c>
      <c r="AF839" t="str">
        <f>MID('paste from garc here'!$C$2,1+(('table for research'!$B839-456)*36+HEX2DEC('table for research'!AF$1))*2,2)</f>
        <v>00</v>
      </c>
      <c r="AG839" t="str">
        <f>MID('paste from garc here'!$C$2,1+(('table for research'!$B839-456)*36+HEX2DEC('table for research'!AG$1))*2,2)</f>
        <v>00</v>
      </c>
      <c r="AH839" t="str">
        <f>MID('paste from garc here'!$C$2,1+(('table for research'!$B839-456)*36+HEX2DEC('table for research'!AH$1))*2,2)</f>
        <v>00</v>
      </c>
      <c r="AI839" t="str">
        <f>MID('paste from garc here'!$C$2,1+(('table for research'!$B839-456)*36+HEX2DEC('table for research'!AI$1))*2,2)</f>
        <v>00</v>
      </c>
      <c r="AJ839" t="str">
        <f>MID('paste from garc here'!$C$2,1+(('table for research'!$B839-456)*36+HEX2DEC('table for research'!AJ$1))*2,2)</f>
        <v>00</v>
      </c>
      <c r="AK839" t="str">
        <f>MID('paste from garc here'!$C$2,1+(('table for research'!$B839-456)*36+HEX2DEC('table for research'!AK$1))*2,2)</f>
        <v>00</v>
      </c>
      <c r="AL839" t="str">
        <f>MID('paste from garc here'!$C$2,1+(('table for research'!$B839-456)*36+HEX2DEC('table for research'!AL$1))*2,2)</f>
        <v>00</v>
      </c>
      <c r="AM839" t="str">
        <f>MID('paste from garc here'!$C$2,1+(('table for research'!$B839-456)*36+HEX2DEC('table for research'!AM$1))*2,2)</f>
        <v>00</v>
      </c>
      <c r="AN839" t="str">
        <f>MID('paste from garc here'!$C$2,1+(('table for research'!$B839-456)*36+HEX2DEC('table for research'!AN$1))*2,2)</f>
        <v>00</v>
      </c>
      <c r="AO839" t="str">
        <f>MID('paste from garc here'!$C$2,1+(('table for research'!$B839-456)*36+HEX2DEC('table for research'!AO$1))*2,2)</f>
        <v>00</v>
      </c>
    </row>
    <row r="840" spans="1:41" x14ac:dyDescent="0.4">
      <c r="A840" t="s">
        <v>138</v>
      </c>
      <c r="B840">
        <f>B839+1</f>
        <v>838</v>
      </c>
      <c r="C840" t="str">
        <f>MID('paste from garc here'!$C$2,1+(('table for research'!$B840-456)*36+HEX2DEC('table for research'!C$1))*2,2)</f>
        <v>00</v>
      </c>
      <c r="D840" t="str">
        <f>MID('paste from garc here'!$C$2,1+(('table for research'!$B840-456)*36+HEX2DEC('table for research'!D$1))*2,2)</f>
        <v>00</v>
      </c>
      <c r="E840" t="str">
        <f>MID('paste from garc here'!$C$2,1+(('table for research'!$B840-456)*36+HEX2DEC('table for research'!E$1))*2,2)</f>
        <v>00</v>
      </c>
      <c r="F840" t="str">
        <f>MID('paste from garc here'!$C$2,1+(('table for research'!$B840-456)*36+HEX2DEC('table for research'!F$1))*2,2)</f>
        <v>00</v>
      </c>
      <c r="G840" t="str">
        <f>MID('paste from garc here'!$C$2,1+(('table for research'!$B840-456)*36+HEX2DEC('table for research'!G$1))*2,2)</f>
        <v>00</v>
      </c>
      <c r="H840" t="str">
        <f>MID('paste from garc here'!$C$2,1+(('table for research'!$B840-456)*36+HEX2DEC('table for research'!H$1))*2,2)</f>
        <v>00</v>
      </c>
      <c r="I840" t="str">
        <f>MID('paste from garc here'!$C$2,1+(('table for research'!$B840-456)*36+HEX2DEC('table for research'!I$1))*2,2)</f>
        <v>00</v>
      </c>
      <c r="J840" t="str">
        <f>MID('paste from garc here'!$C$2,1+(('table for research'!$B840-456)*36+HEX2DEC('table for research'!J$1))*2,2)</f>
        <v>00</v>
      </c>
      <c r="K840" t="str">
        <f>DEC2HEX(_xlfn.BITAND(HEX2DEC(MID('paste from garc here'!$C$1,1+(('table for research'!$B840-1)*36+HEX2DEC(8))*2,2)),31),2)</f>
        <v>00</v>
      </c>
      <c r="L840" t="str">
        <f>DEC2HEX(_xlfn.BITAND(HEX2DEC(MID('paste from garc here'!$C$1,1+(('table for research'!$B840-1)*36+HEX2DEC(8))*2,2)),32),2)</f>
        <v>00</v>
      </c>
      <c r="M840" t="str">
        <f>DEC2HEX(_xlfn.BITAND(HEX2DEC(MID('paste from garc here'!$C$1,1+(('table for research'!$B840-1)*36+HEX2DEC(8))*2,2)),64),2)</f>
        <v>00</v>
      </c>
      <c r="N840" t="str">
        <f>DEC2HEX(_xlfn.BITRSHIFT(_xlfn.BITAND(HEX2DEC(MID('paste from garc here'!$C$1,1+(('table for research'!$B840-1)*36+HEX2DEC(9))*2,2)&amp;MID('paste from garc here'!$C$1,1+(('table for research'!$B840-1)*36+HEX2DEC(8))*2,2)),1920),7),2)</f>
        <v>00</v>
      </c>
      <c r="O840" t="str">
        <f>DEC2HEX(_xlfn.BITRSHIFT(HEX2DEC(MID('paste from garc here'!$C$1,1+(('table for research'!$B840-1)*36+HEX2DEC(9))*2,2)&amp;MID('paste from garc here'!$C$1,1+(('table for research'!$B840-1)*36+HEX2DEC(8))*2,2)),11),2)</f>
        <v>00</v>
      </c>
      <c r="P840" t="str">
        <f>MID('paste from garc here'!$C$2,1+(('table for research'!$B840-456)*36+HEX2DEC('table for research'!P$1))*2,2)</f>
        <v>00</v>
      </c>
      <c r="Q840" t="str">
        <f>MID('paste from garc here'!$C$2,1+(('table for research'!$B840-456)*36+HEX2DEC('table for research'!Q$1))*2,2)</f>
        <v>00</v>
      </c>
      <c r="R840" t="str">
        <f>MID('paste from garc here'!$C$2,1+(('table for research'!$B840-456)*36+HEX2DEC('table for research'!R$1))*2,2)</f>
        <v>00</v>
      </c>
      <c r="S840" t="str">
        <f>MID('paste from garc here'!$C$2,1+(('table for research'!$B840-456)*36+HEX2DEC('table for research'!S$1))*2,2)</f>
        <v>01</v>
      </c>
      <c r="T840" t="str">
        <f>MID('paste from garc here'!$C$2,1+(('table for research'!$B840-456)*36+HEX2DEC('table for research'!T$1))*2,2)</f>
        <v>00</v>
      </c>
      <c r="U840" t="str">
        <f>MID('paste from garc here'!$C$2,1+(('table for research'!$B840-456)*36+HEX2DEC('table for research'!U$1))*2,2)</f>
        <v>FF</v>
      </c>
      <c r="V840" t="str">
        <f>MID('paste from garc here'!$C$2,1+(('table for research'!$B840-456)*36+HEX2DEC('table for research'!V$1))*2,2)</f>
        <v>03</v>
      </c>
      <c r="W840" t="str">
        <f>MID('paste from garc here'!$C$2,1+(('table for research'!$B840-456)*36+HEX2DEC('table for research'!W$1))*2,2)</f>
        <v>00</v>
      </c>
      <c r="X840" t="str">
        <f>MID('paste from garc here'!$C$2,1+(('table for research'!$B840-456)*36+HEX2DEC('table for research'!X$1))*2,2)</f>
        <v>00</v>
      </c>
      <c r="Y840" t="str">
        <f>MID('paste from garc here'!$C$2,1+(('table for research'!$B840-456)*36+HEX2DEC('table for research'!Y$1))*2,2)</f>
        <v>00</v>
      </c>
      <c r="Z840" t="str">
        <f>MID('paste from garc here'!$C$2,1+(('table for research'!$B840-456)*36+HEX2DEC('table for research'!Z$1))*2,2)</f>
        <v>00</v>
      </c>
      <c r="AA840" t="str">
        <f>MID('paste from garc here'!$C$2,1+(('table for research'!$B840-456)*36+HEX2DEC('table for research'!AA$1))*2,2)</f>
        <v>00</v>
      </c>
      <c r="AB840" t="str">
        <f>MID('paste from garc here'!$C$2,1+(('table for research'!$B840-456)*36+HEX2DEC('table for research'!AB$1))*2,2)</f>
        <v>00</v>
      </c>
      <c r="AC840" t="str">
        <f>MID('paste from garc here'!$C$2,1+(('table for research'!$B840-456)*36+HEX2DEC('table for research'!AC$1))*2,2)</f>
        <v>00</v>
      </c>
      <c r="AD840" t="str">
        <f>MID('paste from garc here'!$C$2,1+(('table for research'!$B840-456)*36+HEX2DEC('table for research'!AD$1))*2,2)</f>
        <v>00</v>
      </c>
      <c r="AE840" t="str">
        <f>MID('paste from garc here'!$C$2,1+(('table for research'!$B840-456)*36+HEX2DEC('table for research'!AE$1))*2,2)</f>
        <v>00</v>
      </c>
      <c r="AF840" t="str">
        <f>MID('paste from garc here'!$C$2,1+(('table for research'!$B840-456)*36+HEX2DEC('table for research'!AF$1))*2,2)</f>
        <v>00</v>
      </c>
      <c r="AG840" t="str">
        <f>MID('paste from garc here'!$C$2,1+(('table for research'!$B840-456)*36+HEX2DEC('table for research'!AG$1))*2,2)</f>
        <v>00</v>
      </c>
      <c r="AH840" t="str">
        <f>MID('paste from garc here'!$C$2,1+(('table for research'!$B840-456)*36+HEX2DEC('table for research'!AH$1))*2,2)</f>
        <v>00</v>
      </c>
      <c r="AI840" t="str">
        <f>MID('paste from garc here'!$C$2,1+(('table for research'!$B840-456)*36+HEX2DEC('table for research'!AI$1))*2,2)</f>
        <v>00</v>
      </c>
      <c r="AJ840" t="str">
        <f>MID('paste from garc here'!$C$2,1+(('table for research'!$B840-456)*36+HEX2DEC('table for research'!AJ$1))*2,2)</f>
        <v>00</v>
      </c>
      <c r="AK840" t="str">
        <f>MID('paste from garc here'!$C$2,1+(('table for research'!$B840-456)*36+HEX2DEC('table for research'!AK$1))*2,2)</f>
        <v>00</v>
      </c>
      <c r="AL840" t="str">
        <f>MID('paste from garc here'!$C$2,1+(('table for research'!$B840-456)*36+HEX2DEC('table for research'!AL$1))*2,2)</f>
        <v>00</v>
      </c>
      <c r="AM840" t="str">
        <f>MID('paste from garc here'!$C$2,1+(('table for research'!$B840-456)*36+HEX2DEC('table for research'!AM$1))*2,2)</f>
        <v>00</v>
      </c>
      <c r="AN840" t="str">
        <f>MID('paste from garc here'!$C$2,1+(('table for research'!$B840-456)*36+HEX2DEC('table for research'!AN$1))*2,2)</f>
        <v>00</v>
      </c>
      <c r="AO840" t="str">
        <f>MID('paste from garc here'!$C$2,1+(('table for research'!$B840-456)*36+HEX2DEC('table for research'!AO$1))*2,2)</f>
        <v>00</v>
      </c>
    </row>
    <row r="841" spans="1:41" x14ac:dyDescent="0.4">
      <c r="A841" t="s">
        <v>138</v>
      </c>
      <c r="B841">
        <f>B840+1</f>
        <v>839</v>
      </c>
      <c r="C841" t="str">
        <f>MID('paste from garc here'!$C$2,1+(('table for research'!$B841-456)*36+HEX2DEC('table for research'!C$1))*2,2)</f>
        <v>00</v>
      </c>
      <c r="D841" t="str">
        <f>MID('paste from garc here'!$C$2,1+(('table for research'!$B841-456)*36+HEX2DEC('table for research'!D$1))*2,2)</f>
        <v>00</v>
      </c>
      <c r="E841" t="str">
        <f>MID('paste from garc here'!$C$2,1+(('table for research'!$B841-456)*36+HEX2DEC('table for research'!E$1))*2,2)</f>
        <v>00</v>
      </c>
      <c r="F841" t="str">
        <f>MID('paste from garc here'!$C$2,1+(('table for research'!$B841-456)*36+HEX2DEC('table for research'!F$1))*2,2)</f>
        <v>00</v>
      </c>
      <c r="G841" t="str">
        <f>MID('paste from garc here'!$C$2,1+(('table for research'!$B841-456)*36+HEX2DEC('table for research'!G$1))*2,2)</f>
        <v>00</v>
      </c>
      <c r="H841" t="str">
        <f>MID('paste from garc here'!$C$2,1+(('table for research'!$B841-456)*36+HEX2DEC('table for research'!H$1))*2,2)</f>
        <v>00</v>
      </c>
      <c r="I841" t="str">
        <f>MID('paste from garc here'!$C$2,1+(('table for research'!$B841-456)*36+HEX2DEC('table for research'!I$1))*2,2)</f>
        <v>00</v>
      </c>
      <c r="J841" t="str">
        <f>MID('paste from garc here'!$C$2,1+(('table for research'!$B841-456)*36+HEX2DEC('table for research'!J$1))*2,2)</f>
        <v>00</v>
      </c>
      <c r="K841" t="str">
        <f>DEC2HEX(_xlfn.BITAND(HEX2DEC(MID('paste from garc here'!$C$1,1+(('table for research'!$B841-1)*36+HEX2DEC(8))*2,2)),31),2)</f>
        <v>00</v>
      </c>
      <c r="L841" t="str">
        <f>DEC2HEX(_xlfn.BITAND(HEX2DEC(MID('paste from garc here'!$C$1,1+(('table for research'!$B841-1)*36+HEX2DEC(8))*2,2)),32),2)</f>
        <v>00</v>
      </c>
      <c r="M841" t="str">
        <f>DEC2HEX(_xlfn.BITAND(HEX2DEC(MID('paste from garc here'!$C$1,1+(('table for research'!$B841-1)*36+HEX2DEC(8))*2,2)),64),2)</f>
        <v>00</v>
      </c>
      <c r="N841" t="str">
        <f>DEC2HEX(_xlfn.BITRSHIFT(_xlfn.BITAND(HEX2DEC(MID('paste from garc here'!$C$1,1+(('table for research'!$B841-1)*36+HEX2DEC(9))*2,2)&amp;MID('paste from garc here'!$C$1,1+(('table for research'!$B841-1)*36+HEX2DEC(8))*2,2)),1920),7),2)</f>
        <v>00</v>
      </c>
      <c r="O841" t="str">
        <f>DEC2HEX(_xlfn.BITRSHIFT(HEX2DEC(MID('paste from garc here'!$C$1,1+(('table for research'!$B841-1)*36+HEX2DEC(9))*2,2)&amp;MID('paste from garc here'!$C$1,1+(('table for research'!$B841-1)*36+HEX2DEC(8))*2,2)),11),2)</f>
        <v>00</v>
      </c>
      <c r="P841" t="str">
        <f>MID('paste from garc here'!$C$2,1+(('table for research'!$B841-456)*36+HEX2DEC('table for research'!P$1))*2,2)</f>
        <v>00</v>
      </c>
      <c r="Q841" t="str">
        <f>MID('paste from garc here'!$C$2,1+(('table for research'!$B841-456)*36+HEX2DEC('table for research'!Q$1))*2,2)</f>
        <v>00</v>
      </c>
      <c r="R841" t="str">
        <f>MID('paste from garc here'!$C$2,1+(('table for research'!$B841-456)*36+HEX2DEC('table for research'!R$1))*2,2)</f>
        <v>00</v>
      </c>
      <c r="S841" t="str">
        <f>MID('paste from garc here'!$C$2,1+(('table for research'!$B841-456)*36+HEX2DEC('table for research'!S$1))*2,2)</f>
        <v>08</v>
      </c>
      <c r="T841" t="str">
        <f>MID('paste from garc here'!$C$2,1+(('table for research'!$B841-456)*36+HEX2DEC('table for research'!T$1))*2,2)</f>
        <v>00</v>
      </c>
      <c r="U841" t="str">
        <f>MID('paste from garc here'!$C$2,1+(('table for research'!$B841-456)*36+HEX2DEC('table for research'!U$1))*2,2)</f>
        <v>FF</v>
      </c>
      <c r="V841" t="str">
        <f>MID('paste from garc here'!$C$2,1+(('table for research'!$B841-456)*36+HEX2DEC('table for research'!V$1))*2,2)</f>
        <v>00</v>
      </c>
      <c r="W841" t="str">
        <f>MID('paste from garc here'!$C$2,1+(('table for research'!$B841-456)*36+HEX2DEC('table for research'!W$1))*2,2)</f>
        <v>00</v>
      </c>
      <c r="X841" t="str">
        <f>MID('paste from garc here'!$C$2,1+(('table for research'!$B841-456)*36+HEX2DEC('table for research'!X$1))*2,2)</f>
        <v>00</v>
      </c>
      <c r="Y841" t="str">
        <f>MID('paste from garc here'!$C$2,1+(('table for research'!$B841-456)*36+HEX2DEC('table for research'!Y$1))*2,2)</f>
        <v>00</v>
      </c>
      <c r="Z841" t="str">
        <f>MID('paste from garc here'!$C$2,1+(('table for research'!$B841-456)*36+HEX2DEC('table for research'!Z$1))*2,2)</f>
        <v>00</v>
      </c>
      <c r="AA841" t="str">
        <f>MID('paste from garc here'!$C$2,1+(('table for research'!$B841-456)*36+HEX2DEC('table for research'!AA$1))*2,2)</f>
        <v>00</v>
      </c>
      <c r="AB841" t="str">
        <f>MID('paste from garc here'!$C$2,1+(('table for research'!$B841-456)*36+HEX2DEC('table for research'!AB$1))*2,2)</f>
        <v>00</v>
      </c>
      <c r="AC841" t="str">
        <f>MID('paste from garc here'!$C$2,1+(('table for research'!$B841-456)*36+HEX2DEC('table for research'!AC$1))*2,2)</f>
        <v>00</v>
      </c>
      <c r="AD841" t="str">
        <f>MID('paste from garc here'!$C$2,1+(('table for research'!$B841-456)*36+HEX2DEC('table for research'!AD$1))*2,2)</f>
        <v>00</v>
      </c>
      <c r="AE841" t="str">
        <f>MID('paste from garc here'!$C$2,1+(('table for research'!$B841-456)*36+HEX2DEC('table for research'!AE$1))*2,2)</f>
        <v>00</v>
      </c>
      <c r="AF841" t="str">
        <f>MID('paste from garc here'!$C$2,1+(('table for research'!$B841-456)*36+HEX2DEC('table for research'!AF$1))*2,2)</f>
        <v>00</v>
      </c>
      <c r="AG841" t="str">
        <f>MID('paste from garc here'!$C$2,1+(('table for research'!$B841-456)*36+HEX2DEC('table for research'!AG$1))*2,2)</f>
        <v>00</v>
      </c>
      <c r="AH841" t="str">
        <f>MID('paste from garc here'!$C$2,1+(('table for research'!$B841-456)*36+HEX2DEC('table for research'!AH$1))*2,2)</f>
        <v>00</v>
      </c>
      <c r="AI841" t="str">
        <f>MID('paste from garc here'!$C$2,1+(('table for research'!$B841-456)*36+HEX2DEC('table for research'!AI$1))*2,2)</f>
        <v>00</v>
      </c>
      <c r="AJ841" t="str">
        <f>MID('paste from garc here'!$C$2,1+(('table for research'!$B841-456)*36+HEX2DEC('table for research'!AJ$1))*2,2)</f>
        <v>00</v>
      </c>
      <c r="AK841" t="str">
        <f>MID('paste from garc here'!$C$2,1+(('table for research'!$B841-456)*36+HEX2DEC('table for research'!AK$1))*2,2)</f>
        <v>00</v>
      </c>
      <c r="AL841" t="str">
        <f>MID('paste from garc here'!$C$2,1+(('table for research'!$B841-456)*36+HEX2DEC('table for research'!AL$1))*2,2)</f>
        <v>00</v>
      </c>
      <c r="AM841" t="str">
        <f>MID('paste from garc here'!$C$2,1+(('table for research'!$B841-456)*36+HEX2DEC('table for research'!AM$1))*2,2)</f>
        <v>00</v>
      </c>
      <c r="AN841" t="str">
        <f>MID('paste from garc here'!$C$2,1+(('table for research'!$B841-456)*36+HEX2DEC('table for research'!AN$1))*2,2)</f>
        <v>00</v>
      </c>
      <c r="AO841" t="str">
        <f>MID('paste from garc here'!$C$2,1+(('table for research'!$B841-456)*36+HEX2DEC('table for research'!AO$1))*2,2)</f>
        <v>00</v>
      </c>
    </row>
    <row r="842" spans="1:41" x14ac:dyDescent="0.4">
      <c r="A842" t="s">
        <v>138</v>
      </c>
      <c r="B842">
        <f>B841+1</f>
        <v>840</v>
      </c>
      <c r="C842" t="str">
        <f>MID('paste from garc here'!$C$2,1+(('table for research'!$B842-456)*36+HEX2DEC('table for research'!C$1))*2,2)</f>
        <v>00</v>
      </c>
      <c r="D842" t="str">
        <f>MID('paste from garc here'!$C$2,1+(('table for research'!$B842-456)*36+HEX2DEC('table for research'!D$1))*2,2)</f>
        <v>00</v>
      </c>
      <c r="E842" t="str">
        <f>MID('paste from garc here'!$C$2,1+(('table for research'!$B842-456)*36+HEX2DEC('table for research'!E$1))*2,2)</f>
        <v>00</v>
      </c>
      <c r="F842" t="str">
        <f>MID('paste from garc here'!$C$2,1+(('table for research'!$B842-456)*36+HEX2DEC('table for research'!F$1))*2,2)</f>
        <v>00</v>
      </c>
      <c r="G842" t="str">
        <f>MID('paste from garc here'!$C$2,1+(('table for research'!$B842-456)*36+HEX2DEC('table for research'!G$1))*2,2)</f>
        <v>00</v>
      </c>
      <c r="H842" t="str">
        <f>MID('paste from garc here'!$C$2,1+(('table for research'!$B842-456)*36+HEX2DEC('table for research'!H$1))*2,2)</f>
        <v>00</v>
      </c>
      <c r="I842" t="str">
        <f>MID('paste from garc here'!$C$2,1+(('table for research'!$B842-456)*36+HEX2DEC('table for research'!I$1))*2,2)</f>
        <v>00</v>
      </c>
      <c r="J842" t="str">
        <f>MID('paste from garc here'!$C$2,1+(('table for research'!$B842-456)*36+HEX2DEC('table for research'!J$1))*2,2)</f>
        <v>00</v>
      </c>
      <c r="K842" t="str">
        <f>DEC2HEX(_xlfn.BITAND(HEX2DEC(MID('paste from garc here'!$C$1,1+(('table for research'!$B842-1)*36+HEX2DEC(8))*2,2)),31),2)</f>
        <v>00</v>
      </c>
      <c r="L842" t="str">
        <f>DEC2HEX(_xlfn.BITAND(HEX2DEC(MID('paste from garc here'!$C$1,1+(('table for research'!$B842-1)*36+HEX2DEC(8))*2,2)),32),2)</f>
        <v>00</v>
      </c>
      <c r="M842" t="str">
        <f>DEC2HEX(_xlfn.BITAND(HEX2DEC(MID('paste from garc here'!$C$1,1+(('table for research'!$B842-1)*36+HEX2DEC(8))*2,2)),64),2)</f>
        <v>00</v>
      </c>
      <c r="N842" t="str">
        <f>DEC2HEX(_xlfn.BITRSHIFT(_xlfn.BITAND(HEX2DEC(MID('paste from garc here'!$C$1,1+(('table for research'!$B842-1)*36+HEX2DEC(9))*2,2)&amp;MID('paste from garc here'!$C$1,1+(('table for research'!$B842-1)*36+HEX2DEC(8))*2,2)),1920),7),2)</f>
        <v>00</v>
      </c>
      <c r="O842" t="str">
        <f>DEC2HEX(_xlfn.BITRSHIFT(HEX2DEC(MID('paste from garc here'!$C$1,1+(('table for research'!$B842-1)*36+HEX2DEC(9))*2,2)&amp;MID('paste from garc here'!$C$1,1+(('table for research'!$B842-1)*36+HEX2DEC(8))*2,2)),11),2)</f>
        <v>00</v>
      </c>
      <c r="P842" t="str">
        <f>MID('paste from garc here'!$C$2,1+(('table for research'!$B842-456)*36+HEX2DEC('table for research'!P$1))*2,2)</f>
        <v>00</v>
      </c>
      <c r="Q842" t="str">
        <f>MID('paste from garc here'!$C$2,1+(('table for research'!$B842-456)*36+HEX2DEC('table for research'!Q$1))*2,2)</f>
        <v>00</v>
      </c>
      <c r="R842" t="str">
        <f>MID('paste from garc here'!$C$2,1+(('table for research'!$B842-456)*36+HEX2DEC('table for research'!R$1))*2,2)</f>
        <v>00</v>
      </c>
      <c r="S842" t="str">
        <f>MID('paste from garc here'!$C$2,1+(('table for research'!$B842-456)*36+HEX2DEC('table for research'!S$1))*2,2)</f>
        <v>08</v>
      </c>
      <c r="T842" t="str">
        <f>MID('paste from garc here'!$C$2,1+(('table for research'!$B842-456)*36+HEX2DEC('table for research'!T$1))*2,2)</f>
        <v>00</v>
      </c>
      <c r="U842" t="str">
        <f>MID('paste from garc here'!$C$2,1+(('table for research'!$B842-456)*36+HEX2DEC('table for research'!U$1))*2,2)</f>
        <v>FF</v>
      </c>
      <c r="V842" t="str">
        <f>MID('paste from garc here'!$C$2,1+(('table for research'!$B842-456)*36+HEX2DEC('table for research'!V$1))*2,2)</f>
        <v>00</v>
      </c>
      <c r="W842" t="str">
        <f>MID('paste from garc here'!$C$2,1+(('table for research'!$B842-456)*36+HEX2DEC('table for research'!W$1))*2,2)</f>
        <v>00</v>
      </c>
      <c r="X842" t="str">
        <f>MID('paste from garc here'!$C$2,1+(('table for research'!$B842-456)*36+HEX2DEC('table for research'!X$1))*2,2)</f>
        <v>00</v>
      </c>
      <c r="Y842" t="str">
        <f>MID('paste from garc here'!$C$2,1+(('table for research'!$B842-456)*36+HEX2DEC('table for research'!Y$1))*2,2)</f>
        <v>00</v>
      </c>
      <c r="Z842" t="str">
        <f>MID('paste from garc here'!$C$2,1+(('table for research'!$B842-456)*36+HEX2DEC('table for research'!Z$1))*2,2)</f>
        <v>00</v>
      </c>
      <c r="AA842" t="str">
        <f>MID('paste from garc here'!$C$2,1+(('table for research'!$B842-456)*36+HEX2DEC('table for research'!AA$1))*2,2)</f>
        <v>00</v>
      </c>
      <c r="AB842" t="str">
        <f>MID('paste from garc here'!$C$2,1+(('table for research'!$B842-456)*36+HEX2DEC('table for research'!AB$1))*2,2)</f>
        <v>00</v>
      </c>
      <c r="AC842" t="str">
        <f>MID('paste from garc here'!$C$2,1+(('table for research'!$B842-456)*36+HEX2DEC('table for research'!AC$1))*2,2)</f>
        <v>00</v>
      </c>
      <c r="AD842" t="str">
        <f>MID('paste from garc here'!$C$2,1+(('table for research'!$B842-456)*36+HEX2DEC('table for research'!AD$1))*2,2)</f>
        <v>00</v>
      </c>
      <c r="AE842" t="str">
        <f>MID('paste from garc here'!$C$2,1+(('table for research'!$B842-456)*36+HEX2DEC('table for research'!AE$1))*2,2)</f>
        <v>00</v>
      </c>
      <c r="AF842" t="str">
        <f>MID('paste from garc here'!$C$2,1+(('table for research'!$B842-456)*36+HEX2DEC('table for research'!AF$1))*2,2)</f>
        <v>00</v>
      </c>
      <c r="AG842" t="str">
        <f>MID('paste from garc here'!$C$2,1+(('table for research'!$B842-456)*36+HEX2DEC('table for research'!AG$1))*2,2)</f>
        <v>00</v>
      </c>
      <c r="AH842" t="str">
        <f>MID('paste from garc here'!$C$2,1+(('table for research'!$B842-456)*36+HEX2DEC('table for research'!AH$1))*2,2)</f>
        <v>00</v>
      </c>
      <c r="AI842" t="str">
        <f>MID('paste from garc here'!$C$2,1+(('table for research'!$B842-456)*36+HEX2DEC('table for research'!AI$1))*2,2)</f>
        <v>00</v>
      </c>
      <c r="AJ842" t="str">
        <f>MID('paste from garc here'!$C$2,1+(('table for research'!$B842-456)*36+HEX2DEC('table for research'!AJ$1))*2,2)</f>
        <v>00</v>
      </c>
      <c r="AK842" t="str">
        <f>MID('paste from garc here'!$C$2,1+(('table for research'!$B842-456)*36+HEX2DEC('table for research'!AK$1))*2,2)</f>
        <v>00</v>
      </c>
      <c r="AL842" t="str">
        <f>MID('paste from garc here'!$C$2,1+(('table for research'!$B842-456)*36+HEX2DEC('table for research'!AL$1))*2,2)</f>
        <v>00</v>
      </c>
      <c r="AM842" t="str">
        <f>MID('paste from garc here'!$C$2,1+(('table for research'!$B842-456)*36+HEX2DEC('table for research'!AM$1))*2,2)</f>
        <v>00</v>
      </c>
      <c r="AN842" t="str">
        <f>MID('paste from garc here'!$C$2,1+(('table for research'!$B842-456)*36+HEX2DEC('table for research'!AN$1))*2,2)</f>
        <v>00</v>
      </c>
      <c r="AO842" t="str">
        <f>MID('paste from garc here'!$C$2,1+(('table for research'!$B842-456)*36+HEX2DEC('table for research'!AO$1))*2,2)</f>
        <v>00</v>
      </c>
    </row>
    <row r="843" spans="1:41" x14ac:dyDescent="0.4">
      <c r="A843" t="s">
        <v>830</v>
      </c>
      <c r="B843">
        <f>B842+1</f>
        <v>841</v>
      </c>
      <c r="C843" t="str">
        <f>MID('paste from garc here'!$C$2,1+(('table for research'!$B843-456)*36+HEX2DEC('table for research'!C$1))*2,2)</f>
        <v>00</v>
      </c>
      <c r="D843" t="str">
        <f>MID('paste from garc here'!$C$2,1+(('table for research'!$B843-456)*36+HEX2DEC('table for research'!D$1))*2,2)</f>
        <v>00</v>
      </c>
      <c r="E843" t="str">
        <f>MID('paste from garc here'!$C$2,1+(('table for research'!$B843-456)*36+HEX2DEC('table for research'!E$1))*2,2)</f>
        <v>00</v>
      </c>
      <c r="F843" t="str">
        <f>MID('paste from garc here'!$C$2,1+(('table for research'!$B843-456)*36+HEX2DEC('table for research'!F$1))*2,2)</f>
        <v>00</v>
      </c>
      <c r="G843" t="str">
        <f>MID('paste from garc here'!$C$2,1+(('table for research'!$B843-456)*36+HEX2DEC('table for research'!G$1))*2,2)</f>
        <v>00</v>
      </c>
      <c r="H843" t="str">
        <f>MID('paste from garc here'!$C$2,1+(('table for research'!$B843-456)*36+HEX2DEC('table for research'!H$1))*2,2)</f>
        <v>00</v>
      </c>
      <c r="I843" t="str">
        <f>MID('paste from garc here'!$C$2,1+(('table for research'!$B843-456)*36+HEX2DEC('table for research'!I$1))*2,2)</f>
        <v>00</v>
      </c>
      <c r="J843" t="str">
        <f>MID('paste from garc here'!$C$2,1+(('table for research'!$B843-456)*36+HEX2DEC('table for research'!J$1))*2,2)</f>
        <v>00</v>
      </c>
      <c r="K843" t="str">
        <f>DEC2HEX(_xlfn.BITAND(HEX2DEC(MID('paste from garc here'!$C$1,1+(('table for research'!$B843-1)*36+HEX2DEC(8))*2,2)),31),2)</f>
        <v>00</v>
      </c>
      <c r="L843" t="str">
        <f>DEC2HEX(_xlfn.BITAND(HEX2DEC(MID('paste from garc here'!$C$1,1+(('table for research'!$B843-1)*36+HEX2DEC(8))*2,2)),32),2)</f>
        <v>00</v>
      </c>
      <c r="M843" t="str">
        <f>DEC2HEX(_xlfn.BITAND(HEX2DEC(MID('paste from garc here'!$C$1,1+(('table for research'!$B843-1)*36+HEX2DEC(8))*2,2)),64),2)</f>
        <v>00</v>
      </c>
      <c r="N843" t="str">
        <f>DEC2HEX(_xlfn.BITRSHIFT(_xlfn.BITAND(HEX2DEC(MID('paste from garc here'!$C$1,1+(('table for research'!$B843-1)*36+HEX2DEC(9))*2,2)&amp;MID('paste from garc here'!$C$1,1+(('table for research'!$B843-1)*36+HEX2DEC(8))*2,2)),1920),7),2)</f>
        <v>00</v>
      </c>
      <c r="O843" t="str">
        <f>DEC2HEX(_xlfn.BITRSHIFT(HEX2DEC(MID('paste from garc here'!$C$1,1+(('table for research'!$B843-1)*36+HEX2DEC(9))*2,2)&amp;MID('paste from garc here'!$C$1,1+(('table for research'!$B843-1)*36+HEX2DEC(8))*2,2)),11),2)</f>
        <v>00</v>
      </c>
      <c r="P843" t="str">
        <f>MID('paste from garc here'!$C$2,1+(('table for research'!$B843-456)*36+HEX2DEC('table for research'!P$1))*2,2)</f>
        <v>00</v>
      </c>
      <c r="Q843" t="str">
        <f>MID('paste from garc here'!$C$2,1+(('table for research'!$B843-456)*36+HEX2DEC('table for research'!Q$1))*2,2)</f>
        <v>00</v>
      </c>
      <c r="R843" t="str">
        <f>MID('paste from garc here'!$C$2,1+(('table for research'!$B843-456)*36+HEX2DEC('table for research'!R$1))*2,2)</f>
        <v>00</v>
      </c>
      <c r="S843" t="str">
        <f>MID('paste from garc here'!$C$2,1+(('table for research'!$B843-456)*36+HEX2DEC('table for research'!S$1))*2,2)</f>
        <v>08</v>
      </c>
      <c r="T843" t="str">
        <f>MID('paste from garc here'!$C$2,1+(('table for research'!$B843-456)*36+HEX2DEC('table for research'!T$1))*2,2)</f>
        <v>00</v>
      </c>
      <c r="U843" t="str">
        <f>MID('paste from garc here'!$C$2,1+(('table for research'!$B843-456)*36+HEX2DEC('table for research'!U$1))*2,2)</f>
        <v>1F</v>
      </c>
      <c r="V843" t="str">
        <f>MID('paste from garc here'!$C$2,1+(('table for research'!$B843-456)*36+HEX2DEC('table for research'!V$1))*2,2)</f>
        <v>00</v>
      </c>
      <c r="W843" t="str">
        <f>MID('paste from garc here'!$C$2,1+(('table for research'!$B843-456)*36+HEX2DEC('table for research'!W$1))*2,2)</f>
        <v>00</v>
      </c>
      <c r="X843" t="str">
        <f>MID('paste from garc here'!$C$2,1+(('table for research'!$B843-456)*36+HEX2DEC('table for research'!X$1))*2,2)</f>
        <v>00</v>
      </c>
      <c r="Y843" t="str">
        <f>MID('paste from garc here'!$C$2,1+(('table for research'!$B843-456)*36+HEX2DEC('table for research'!Y$1))*2,2)</f>
        <v>00</v>
      </c>
      <c r="Z843" t="str">
        <f>MID('paste from garc here'!$C$2,1+(('table for research'!$B843-456)*36+HEX2DEC('table for research'!Z$1))*2,2)</f>
        <v>00</v>
      </c>
      <c r="AA843" t="str">
        <f>MID('paste from garc here'!$C$2,1+(('table for research'!$B843-456)*36+HEX2DEC('table for research'!AA$1))*2,2)</f>
        <v>00</v>
      </c>
      <c r="AB843" t="str">
        <f>MID('paste from garc here'!$C$2,1+(('table for research'!$B843-456)*36+HEX2DEC('table for research'!AB$1))*2,2)</f>
        <v>00</v>
      </c>
      <c r="AC843" t="str">
        <f>MID('paste from garc here'!$C$2,1+(('table for research'!$B843-456)*36+HEX2DEC('table for research'!AC$1))*2,2)</f>
        <v>00</v>
      </c>
      <c r="AD843" t="str">
        <f>MID('paste from garc here'!$C$2,1+(('table for research'!$B843-456)*36+HEX2DEC('table for research'!AD$1))*2,2)</f>
        <v>00</v>
      </c>
      <c r="AE843" t="str">
        <f>MID('paste from garc here'!$C$2,1+(('table for research'!$B843-456)*36+HEX2DEC('table for research'!AE$1))*2,2)</f>
        <v>00</v>
      </c>
      <c r="AF843" t="str">
        <f>MID('paste from garc here'!$C$2,1+(('table for research'!$B843-456)*36+HEX2DEC('table for research'!AF$1))*2,2)</f>
        <v>00</v>
      </c>
      <c r="AG843" t="str">
        <f>MID('paste from garc here'!$C$2,1+(('table for research'!$B843-456)*36+HEX2DEC('table for research'!AG$1))*2,2)</f>
        <v>00</v>
      </c>
      <c r="AH843" t="str">
        <f>MID('paste from garc here'!$C$2,1+(('table for research'!$B843-456)*36+HEX2DEC('table for research'!AH$1))*2,2)</f>
        <v>00</v>
      </c>
      <c r="AI843" t="str">
        <f>MID('paste from garc here'!$C$2,1+(('table for research'!$B843-456)*36+HEX2DEC('table for research'!AI$1))*2,2)</f>
        <v>00</v>
      </c>
      <c r="AJ843" t="str">
        <f>MID('paste from garc here'!$C$2,1+(('table for research'!$B843-456)*36+HEX2DEC('table for research'!AJ$1))*2,2)</f>
        <v>00</v>
      </c>
      <c r="AK843" t="str">
        <f>MID('paste from garc here'!$C$2,1+(('table for research'!$B843-456)*36+HEX2DEC('table for research'!AK$1))*2,2)</f>
        <v>00</v>
      </c>
      <c r="AL843" t="str">
        <f>MID('paste from garc here'!$C$2,1+(('table for research'!$B843-456)*36+HEX2DEC('table for research'!AL$1))*2,2)</f>
        <v>00</v>
      </c>
      <c r="AM843" t="str">
        <f>MID('paste from garc here'!$C$2,1+(('table for research'!$B843-456)*36+HEX2DEC('table for research'!AM$1))*2,2)</f>
        <v>00</v>
      </c>
      <c r="AN843" t="str">
        <f>MID('paste from garc here'!$C$2,1+(('table for research'!$B843-456)*36+HEX2DEC('table for research'!AN$1))*2,2)</f>
        <v>00</v>
      </c>
      <c r="AO843" t="str">
        <f>MID('paste from garc here'!$C$2,1+(('table for research'!$B843-456)*36+HEX2DEC('table for research'!AO$1))*2,2)</f>
        <v>00</v>
      </c>
    </row>
    <row r="844" spans="1:41" x14ac:dyDescent="0.4">
      <c r="A844" t="s">
        <v>831</v>
      </c>
      <c r="B844">
        <f>B843+1</f>
        <v>842</v>
      </c>
      <c r="C844" t="str">
        <f>MID('paste from garc here'!$C$2,1+(('table for research'!$B844-456)*36+HEX2DEC('table for research'!C$1))*2,2)</f>
        <v>00</v>
      </c>
      <c r="D844" t="str">
        <f>MID('paste from garc here'!$C$2,1+(('table for research'!$B844-456)*36+HEX2DEC('table for research'!D$1))*2,2)</f>
        <v>00</v>
      </c>
      <c r="E844" t="str">
        <f>MID('paste from garc here'!$C$2,1+(('table for research'!$B844-456)*36+HEX2DEC('table for research'!E$1))*2,2)</f>
        <v>00</v>
      </c>
      <c r="F844" t="str">
        <f>MID('paste from garc here'!$C$2,1+(('table for research'!$B844-456)*36+HEX2DEC('table for research'!F$1))*2,2)</f>
        <v>00</v>
      </c>
      <c r="G844" t="str">
        <f>MID('paste from garc here'!$C$2,1+(('table for research'!$B844-456)*36+HEX2DEC('table for research'!G$1))*2,2)</f>
        <v>00</v>
      </c>
      <c r="H844" t="str">
        <f>MID('paste from garc here'!$C$2,1+(('table for research'!$B844-456)*36+HEX2DEC('table for research'!H$1))*2,2)</f>
        <v>00</v>
      </c>
      <c r="I844" t="str">
        <f>MID('paste from garc here'!$C$2,1+(('table for research'!$B844-456)*36+HEX2DEC('table for research'!I$1))*2,2)</f>
        <v>00</v>
      </c>
      <c r="J844" t="str">
        <f>MID('paste from garc here'!$C$2,1+(('table for research'!$B844-456)*36+HEX2DEC('table for research'!J$1))*2,2)</f>
        <v>00</v>
      </c>
      <c r="K844" t="str">
        <f>DEC2HEX(_xlfn.BITAND(HEX2DEC(MID('paste from garc here'!$C$1,1+(('table for research'!$B844-1)*36+HEX2DEC(8))*2,2)),31),2)</f>
        <v>00</v>
      </c>
      <c r="L844" t="str">
        <f>DEC2HEX(_xlfn.BITAND(HEX2DEC(MID('paste from garc here'!$C$1,1+(('table for research'!$B844-1)*36+HEX2DEC(8))*2,2)),32),2)</f>
        <v>00</v>
      </c>
      <c r="M844" t="str">
        <f>DEC2HEX(_xlfn.BITAND(HEX2DEC(MID('paste from garc here'!$C$1,1+(('table for research'!$B844-1)*36+HEX2DEC(8))*2,2)),64),2)</f>
        <v>00</v>
      </c>
      <c r="N844" t="str">
        <f>DEC2HEX(_xlfn.BITRSHIFT(_xlfn.BITAND(HEX2DEC(MID('paste from garc here'!$C$1,1+(('table for research'!$B844-1)*36+HEX2DEC(9))*2,2)&amp;MID('paste from garc here'!$C$1,1+(('table for research'!$B844-1)*36+HEX2DEC(8))*2,2)),1920),7),2)</f>
        <v>00</v>
      </c>
      <c r="O844" t="str">
        <f>DEC2HEX(_xlfn.BITRSHIFT(HEX2DEC(MID('paste from garc here'!$C$1,1+(('table for research'!$B844-1)*36+HEX2DEC(9))*2,2)&amp;MID('paste from garc here'!$C$1,1+(('table for research'!$B844-1)*36+HEX2DEC(8))*2,2)),11),2)</f>
        <v>00</v>
      </c>
      <c r="P844" t="str">
        <f>MID('paste from garc here'!$C$2,1+(('table for research'!$B844-456)*36+HEX2DEC('table for research'!P$1))*2,2)</f>
        <v>00</v>
      </c>
      <c r="Q844" t="str">
        <f>MID('paste from garc here'!$C$2,1+(('table for research'!$B844-456)*36+HEX2DEC('table for research'!Q$1))*2,2)</f>
        <v>00</v>
      </c>
      <c r="R844" t="str">
        <f>MID('paste from garc here'!$C$2,1+(('table for research'!$B844-456)*36+HEX2DEC('table for research'!R$1))*2,2)</f>
        <v>00</v>
      </c>
      <c r="S844" t="str">
        <f>MID('paste from garc here'!$C$2,1+(('table for research'!$B844-456)*36+HEX2DEC('table for research'!S$1))*2,2)</f>
        <v>08</v>
      </c>
      <c r="T844" t="str">
        <f>MID('paste from garc here'!$C$2,1+(('table for research'!$B844-456)*36+HEX2DEC('table for research'!T$1))*2,2)</f>
        <v>00</v>
      </c>
      <c r="U844" t="str">
        <f>MID('paste from garc here'!$C$2,1+(('table for research'!$B844-456)*36+HEX2DEC('table for research'!U$1))*2,2)</f>
        <v>20</v>
      </c>
      <c r="V844" t="str">
        <f>MID('paste from garc here'!$C$2,1+(('table for research'!$B844-456)*36+HEX2DEC('table for research'!V$1))*2,2)</f>
        <v>00</v>
      </c>
      <c r="W844" t="str">
        <f>MID('paste from garc here'!$C$2,1+(('table for research'!$B844-456)*36+HEX2DEC('table for research'!W$1))*2,2)</f>
        <v>00</v>
      </c>
      <c r="X844" t="str">
        <f>MID('paste from garc here'!$C$2,1+(('table for research'!$B844-456)*36+HEX2DEC('table for research'!X$1))*2,2)</f>
        <v>00</v>
      </c>
      <c r="Y844" t="str">
        <f>MID('paste from garc here'!$C$2,1+(('table for research'!$B844-456)*36+HEX2DEC('table for research'!Y$1))*2,2)</f>
        <v>00</v>
      </c>
      <c r="Z844" t="str">
        <f>MID('paste from garc here'!$C$2,1+(('table for research'!$B844-456)*36+HEX2DEC('table for research'!Z$1))*2,2)</f>
        <v>00</v>
      </c>
      <c r="AA844" t="str">
        <f>MID('paste from garc here'!$C$2,1+(('table for research'!$B844-456)*36+HEX2DEC('table for research'!AA$1))*2,2)</f>
        <v>00</v>
      </c>
      <c r="AB844" t="str">
        <f>MID('paste from garc here'!$C$2,1+(('table for research'!$B844-456)*36+HEX2DEC('table for research'!AB$1))*2,2)</f>
        <v>00</v>
      </c>
      <c r="AC844" t="str">
        <f>MID('paste from garc here'!$C$2,1+(('table for research'!$B844-456)*36+HEX2DEC('table for research'!AC$1))*2,2)</f>
        <v>00</v>
      </c>
      <c r="AD844" t="str">
        <f>MID('paste from garc here'!$C$2,1+(('table for research'!$B844-456)*36+HEX2DEC('table for research'!AD$1))*2,2)</f>
        <v>00</v>
      </c>
      <c r="AE844" t="str">
        <f>MID('paste from garc here'!$C$2,1+(('table for research'!$B844-456)*36+HEX2DEC('table for research'!AE$1))*2,2)</f>
        <v>00</v>
      </c>
      <c r="AF844" t="str">
        <f>MID('paste from garc here'!$C$2,1+(('table for research'!$B844-456)*36+HEX2DEC('table for research'!AF$1))*2,2)</f>
        <v>00</v>
      </c>
      <c r="AG844" t="str">
        <f>MID('paste from garc here'!$C$2,1+(('table for research'!$B844-456)*36+HEX2DEC('table for research'!AG$1))*2,2)</f>
        <v>00</v>
      </c>
      <c r="AH844" t="str">
        <f>MID('paste from garc here'!$C$2,1+(('table for research'!$B844-456)*36+HEX2DEC('table for research'!AH$1))*2,2)</f>
        <v>00</v>
      </c>
      <c r="AI844" t="str">
        <f>MID('paste from garc here'!$C$2,1+(('table for research'!$B844-456)*36+HEX2DEC('table for research'!AI$1))*2,2)</f>
        <v>00</v>
      </c>
      <c r="AJ844" t="str">
        <f>MID('paste from garc here'!$C$2,1+(('table for research'!$B844-456)*36+HEX2DEC('table for research'!AJ$1))*2,2)</f>
        <v>00</v>
      </c>
      <c r="AK844" t="str">
        <f>MID('paste from garc here'!$C$2,1+(('table for research'!$B844-456)*36+HEX2DEC('table for research'!AK$1))*2,2)</f>
        <v>00</v>
      </c>
      <c r="AL844" t="str">
        <f>MID('paste from garc here'!$C$2,1+(('table for research'!$B844-456)*36+HEX2DEC('table for research'!AL$1))*2,2)</f>
        <v>00</v>
      </c>
      <c r="AM844" t="str">
        <f>MID('paste from garc here'!$C$2,1+(('table for research'!$B844-456)*36+HEX2DEC('table for research'!AM$1))*2,2)</f>
        <v>00</v>
      </c>
      <c r="AN844" t="str">
        <f>MID('paste from garc here'!$C$2,1+(('table for research'!$B844-456)*36+HEX2DEC('table for research'!AN$1))*2,2)</f>
        <v>00</v>
      </c>
      <c r="AO844" t="str">
        <f>MID('paste from garc here'!$C$2,1+(('table for research'!$B844-456)*36+HEX2DEC('table for research'!AO$1))*2,2)</f>
        <v>00</v>
      </c>
    </row>
    <row r="845" spans="1:41" x14ac:dyDescent="0.4">
      <c r="A845" t="s">
        <v>832</v>
      </c>
      <c r="B845">
        <f>B844+1</f>
        <v>843</v>
      </c>
      <c r="C845" t="str">
        <f>MID('paste from garc here'!$C$2,1+(('table for research'!$B845-456)*36+HEX2DEC('table for research'!C$1))*2,2)</f>
        <v>00</v>
      </c>
      <c r="D845" t="str">
        <f>MID('paste from garc here'!$C$2,1+(('table for research'!$B845-456)*36+HEX2DEC('table for research'!D$1))*2,2)</f>
        <v>00</v>
      </c>
      <c r="E845" t="str">
        <f>MID('paste from garc here'!$C$2,1+(('table for research'!$B845-456)*36+HEX2DEC('table for research'!E$1))*2,2)</f>
        <v>00</v>
      </c>
      <c r="F845" t="str">
        <f>MID('paste from garc here'!$C$2,1+(('table for research'!$B845-456)*36+HEX2DEC('table for research'!F$1))*2,2)</f>
        <v>00</v>
      </c>
      <c r="G845" t="str">
        <f>MID('paste from garc here'!$C$2,1+(('table for research'!$B845-456)*36+HEX2DEC('table for research'!G$1))*2,2)</f>
        <v>00</v>
      </c>
      <c r="H845" t="str">
        <f>MID('paste from garc here'!$C$2,1+(('table for research'!$B845-456)*36+HEX2DEC('table for research'!H$1))*2,2)</f>
        <v>00</v>
      </c>
      <c r="I845" t="str">
        <f>MID('paste from garc here'!$C$2,1+(('table for research'!$B845-456)*36+HEX2DEC('table for research'!I$1))*2,2)</f>
        <v>00</v>
      </c>
      <c r="J845" t="str">
        <f>MID('paste from garc here'!$C$2,1+(('table for research'!$B845-456)*36+HEX2DEC('table for research'!J$1))*2,2)</f>
        <v>00</v>
      </c>
      <c r="K845" t="str">
        <f>DEC2HEX(_xlfn.BITAND(HEX2DEC(MID('paste from garc here'!$C$1,1+(('table for research'!$B845-1)*36+HEX2DEC(8))*2,2)),31),2)</f>
        <v>00</v>
      </c>
      <c r="L845" t="str">
        <f>DEC2HEX(_xlfn.BITAND(HEX2DEC(MID('paste from garc here'!$C$1,1+(('table for research'!$B845-1)*36+HEX2DEC(8))*2,2)),32),2)</f>
        <v>00</v>
      </c>
      <c r="M845" t="str">
        <f>DEC2HEX(_xlfn.BITAND(HEX2DEC(MID('paste from garc here'!$C$1,1+(('table for research'!$B845-1)*36+HEX2DEC(8))*2,2)),64),2)</f>
        <v>00</v>
      </c>
      <c r="N845" t="str">
        <f>DEC2HEX(_xlfn.BITRSHIFT(_xlfn.BITAND(HEX2DEC(MID('paste from garc here'!$C$1,1+(('table for research'!$B845-1)*36+HEX2DEC(9))*2,2)&amp;MID('paste from garc here'!$C$1,1+(('table for research'!$B845-1)*36+HEX2DEC(8))*2,2)),1920),7),2)</f>
        <v>00</v>
      </c>
      <c r="O845" t="str">
        <f>DEC2HEX(_xlfn.BITRSHIFT(HEX2DEC(MID('paste from garc here'!$C$1,1+(('table for research'!$B845-1)*36+HEX2DEC(9))*2,2)&amp;MID('paste from garc here'!$C$1,1+(('table for research'!$B845-1)*36+HEX2DEC(8))*2,2)),11),2)</f>
        <v>00</v>
      </c>
      <c r="P845" t="str">
        <f>MID('paste from garc here'!$C$2,1+(('table for research'!$B845-456)*36+HEX2DEC('table for research'!P$1))*2,2)</f>
        <v>00</v>
      </c>
      <c r="Q845" t="str">
        <f>MID('paste from garc here'!$C$2,1+(('table for research'!$B845-456)*36+HEX2DEC('table for research'!Q$1))*2,2)</f>
        <v>00</v>
      </c>
      <c r="R845" t="str">
        <f>MID('paste from garc here'!$C$2,1+(('table for research'!$B845-456)*36+HEX2DEC('table for research'!R$1))*2,2)</f>
        <v>00</v>
      </c>
      <c r="S845" t="str">
        <f>MID('paste from garc here'!$C$2,1+(('table for research'!$B845-456)*36+HEX2DEC('table for research'!S$1))*2,2)</f>
        <v>08</v>
      </c>
      <c r="T845" t="str">
        <f>MID('paste from garc here'!$C$2,1+(('table for research'!$B845-456)*36+HEX2DEC('table for research'!T$1))*2,2)</f>
        <v>00</v>
      </c>
      <c r="U845" t="str">
        <f>MID('paste from garc here'!$C$2,1+(('table for research'!$B845-456)*36+HEX2DEC('table for research'!U$1))*2,2)</f>
        <v>21</v>
      </c>
      <c r="V845" t="str">
        <f>MID('paste from garc here'!$C$2,1+(('table for research'!$B845-456)*36+HEX2DEC('table for research'!V$1))*2,2)</f>
        <v>00</v>
      </c>
      <c r="W845" t="str">
        <f>MID('paste from garc here'!$C$2,1+(('table for research'!$B845-456)*36+HEX2DEC('table for research'!W$1))*2,2)</f>
        <v>00</v>
      </c>
      <c r="X845" t="str">
        <f>MID('paste from garc here'!$C$2,1+(('table for research'!$B845-456)*36+HEX2DEC('table for research'!X$1))*2,2)</f>
        <v>00</v>
      </c>
      <c r="Y845" t="str">
        <f>MID('paste from garc here'!$C$2,1+(('table for research'!$B845-456)*36+HEX2DEC('table for research'!Y$1))*2,2)</f>
        <v>00</v>
      </c>
      <c r="Z845" t="str">
        <f>MID('paste from garc here'!$C$2,1+(('table for research'!$B845-456)*36+HEX2DEC('table for research'!Z$1))*2,2)</f>
        <v>00</v>
      </c>
      <c r="AA845" t="str">
        <f>MID('paste from garc here'!$C$2,1+(('table for research'!$B845-456)*36+HEX2DEC('table for research'!AA$1))*2,2)</f>
        <v>00</v>
      </c>
      <c r="AB845" t="str">
        <f>MID('paste from garc here'!$C$2,1+(('table for research'!$B845-456)*36+HEX2DEC('table for research'!AB$1))*2,2)</f>
        <v>00</v>
      </c>
      <c r="AC845" t="str">
        <f>MID('paste from garc here'!$C$2,1+(('table for research'!$B845-456)*36+HEX2DEC('table for research'!AC$1))*2,2)</f>
        <v>00</v>
      </c>
      <c r="AD845" t="str">
        <f>MID('paste from garc here'!$C$2,1+(('table for research'!$B845-456)*36+HEX2DEC('table for research'!AD$1))*2,2)</f>
        <v>00</v>
      </c>
      <c r="AE845" t="str">
        <f>MID('paste from garc here'!$C$2,1+(('table for research'!$B845-456)*36+HEX2DEC('table for research'!AE$1))*2,2)</f>
        <v>00</v>
      </c>
      <c r="AF845" t="str">
        <f>MID('paste from garc here'!$C$2,1+(('table for research'!$B845-456)*36+HEX2DEC('table for research'!AF$1))*2,2)</f>
        <v>00</v>
      </c>
      <c r="AG845" t="str">
        <f>MID('paste from garc here'!$C$2,1+(('table for research'!$B845-456)*36+HEX2DEC('table for research'!AG$1))*2,2)</f>
        <v>00</v>
      </c>
      <c r="AH845" t="str">
        <f>MID('paste from garc here'!$C$2,1+(('table for research'!$B845-456)*36+HEX2DEC('table for research'!AH$1))*2,2)</f>
        <v>00</v>
      </c>
      <c r="AI845" t="str">
        <f>MID('paste from garc here'!$C$2,1+(('table for research'!$B845-456)*36+HEX2DEC('table for research'!AI$1))*2,2)</f>
        <v>00</v>
      </c>
      <c r="AJ845" t="str">
        <f>MID('paste from garc here'!$C$2,1+(('table for research'!$B845-456)*36+HEX2DEC('table for research'!AJ$1))*2,2)</f>
        <v>00</v>
      </c>
      <c r="AK845" t="str">
        <f>MID('paste from garc here'!$C$2,1+(('table for research'!$B845-456)*36+HEX2DEC('table for research'!AK$1))*2,2)</f>
        <v>00</v>
      </c>
      <c r="AL845" t="str">
        <f>MID('paste from garc here'!$C$2,1+(('table for research'!$B845-456)*36+HEX2DEC('table for research'!AL$1))*2,2)</f>
        <v>00</v>
      </c>
      <c r="AM845" t="str">
        <f>MID('paste from garc here'!$C$2,1+(('table for research'!$B845-456)*36+HEX2DEC('table for research'!AM$1))*2,2)</f>
        <v>00</v>
      </c>
      <c r="AN845" t="str">
        <f>MID('paste from garc here'!$C$2,1+(('table for research'!$B845-456)*36+HEX2DEC('table for research'!AN$1))*2,2)</f>
        <v>00</v>
      </c>
      <c r="AO845" t="str">
        <f>MID('paste from garc here'!$C$2,1+(('table for research'!$B845-456)*36+HEX2DEC('table for research'!AO$1))*2,2)</f>
        <v>00</v>
      </c>
    </row>
    <row r="846" spans="1:41" x14ac:dyDescent="0.4">
      <c r="A846" t="s">
        <v>833</v>
      </c>
      <c r="B846">
        <f>B845+1</f>
        <v>844</v>
      </c>
      <c r="C846" t="str">
        <f>MID('paste from garc here'!$C$2,1+(('table for research'!$B846-456)*36+HEX2DEC('table for research'!C$1))*2,2)</f>
        <v>01</v>
      </c>
      <c r="D846" t="str">
        <f>MID('paste from garc here'!$C$2,1+(('table for research'!$B846-456)*36+HEX2DEC('table for research'!D$1))*2,2)</f>
        <v>00</v>
      </c>
      <c r="E846" t="str">
        <f>MID('paste from garc here'!$C$2,1+(('table for research'!$B846-456)*36+HEX2DEC('table for research'!E$1))*2,2)</f>
        <v>00</v>
      </c>
      <c r="F846" t="str">
        <f>MID('paste from garc here'!$C$2,1+(('table for research'!$B846-456)*36+HEX2DEC('table for research'!F$1))*2,2)</f>
        <v>00</v>
      </c>
      <c r="G846" t="str">
        <f>MID('paste from garc here'!$C$2,1+(('table for research'!$B846-456)*36+HEX2DEC('table for research'!G$1))*2,2)</f>
        <v>00</v>
      </c>
      <c r="H846" t="str">
        <f>MID('paste from garc here'!$C$2,1+(('table for research'!$B846-456)*36+HEX2DEC('table for research'!H$1))*2,2)</f>
        <v>00</v>
      </c>
      <c r="I846" t="str">
        <f>MID('paste from garc here'!$C$2,1+(('table for research'!$B846-456)*36+HEX2DEC('table for research'!I$1))*2,2)</f>
        <v>00</v>
      </c>
      <c r="J846" t="str">
        <f>MID('paste from garc here'!$C$2,1+(('table for research'!$B846-456)*36+HEX2DEC('table for research'!J$1))*2,2)</f>
        <v>00</v>
      </c>
      <c r="K846" t="str">
        <f>DEC2HEX(_xlfn.BITAND(HEX2DEC(MID('paste from garc here'!$C$1,1+(('table for research'!$B846-1)*36+HEX2DEC(8))*2,2)),31),2)</f>
        <v>00</v>
      </c>
      <c r="L846" t="str">
        <f>DEC2HEX(_xlfn.BITAND(HEX2DEC(MID('paste from garc here'!$C$1,1+(('table for research'!$B846-1)*36+HEX2DEC(8))*2,2)),32),2)</f>
        <v>00</v>
      </c>
      <c r="M846" t="str">
        <f>DEC2HEX(_xlfn.BITAND(HEX2DEC(MID('paste from garc here'!$C$1,1+(('table for research'!$B846-1)*36+HEX2DEC(8))*2,2)),64),2)</f>
        <v>00</v>
      </c>
      <c r="N846" t="str">
        <f>DEC2HEX(_xlfn.BITRSHIFT(_xlfn.BITAND(HEX2DEC(MID('paste from garc here'!$C$1,1+(('table for research'!$B846-1)*36+HEX2DEC(9))*2,2)&amp;MID('paste from garc here'!$C$1,1+(('table for research'!$B846-1)*36+HEX2DEC(8))*2,2)),1920),7),2)</f>
        <v>00</v>
      </c>
      <c r="O846" t="str">
        <f>DEC2HEX(_xlfn.BITRSHIFT(HEX2DEC(MID('paste from garc here'!$C$1,1+(('table for research'!$B846-1)*36+HEX2DEC(9))*2,2)&amp;MID('paste from garc here'!$C$1,1+(('table for research'!$B846-1)*36+HEX2DEC(8))*2,2)),11),2)</f>
        <v>00</v>
      </c>
      <c r="P846" t="str">
        <f>MID('paste from garc here'!$C$2,1+(('table for research'!$B846-456)*36+HEX2DEC('table for research'!P$1))*2,2)</f>
        <v>00</v>
      </c>
      <c r="Q846" t="str">
        <f>MID('paste from garc here'!$C$2,1+(('table for research'!$B846-456)*36+HEX2DEC('table for research'!Q$1))*2,2)</f>
        <v>00</v>
      </c>
      <c r="R846" t="str">
        <f>MID('paste from garc here'!$C$2,1+(('table for research'!$B846-456)*36+HEX2DEC('table for research'!R$1))*2,2)</f>
        <v>00</v>
      </c>
      <c r="S846" t="str">
        <f>MID('paste from garc here'!$C$2,1+(('table for research'!$B846-456)*36+HEX2DEC('table for research'!S$1))*2,2)</f>
        <v>02</v>
      </c>
      <c r="T846" t="str">
        <f>MID('paste from garc here'!$C$2,1+(('table for research'!$B846-456)*36+HEX2DEC('table for research'!T$1))*2,2)</f>
        <v>00</v>
      </c>
      <c r="U846" t="str">
        <f>MID('paste from garc here'!$C$2,1+(('table for research'!$B846-456)*36+HEX2DEC('table for research'!U$1))*2,2)</f>
        <v>07</v>
      </c>
      <c r="V846" t="str">
        <f>MID('paste from garc here'!$C$2,1+(('table for research'!$B846-456)*36+HEX2DEC('table for research'!V$1))*2,2)</f>
        <v>00</v>
      </c>
      <c r="W846" t="str">
        <f>MID('paste from garc here'!$C$2,1+(('table for research'!$B846-456)*36+HEX2DEC('table for research'!W$1))*2,2)</f>
        <v>00</v>
      </c>
      <c r="X846" t="str">
        <f>MID('paste from garc here'!$C$2,1+(('table for research'!$B846-456)*36+HEX2DEC('table for research'!X$1))*2,2)</f>
        <v>00</v>
      </c>
      <c r="Y846" t="str">
        <f>MID('paste from garc here'!$C$2,1+(('table for research'!$B846-456)*36+HEX2DEC('table for research'!Y$1))*2,2)</f>
        <v>00</v>
      </c>
      <c r="Z846" t="str">
        <f>MID('paste from garc here'!$C$2,1+(('table for research'!$B846-456)*36+HEX2DEC('table for research'!Z$1))*2,2)</f>
        <v>00</v>
      </c>
      <c r="AA846" t="str">
        <f>MID('paste from garc here'!$C$2,1+(('table for research'!$B846-456)*36+HEX2DEC('table for research'!AA$1))*2,2)</f>
        <v>00</v>
      </c>
      <c r="AB846" t="str">
        <f>MID('paste from garc here'!$C$2,1+(('table for research'!$B846-456)*36+HEX2DEC('table for research'!AB$1))*2,2)</f>
        <v>00</v>
      </c>
      <c r="AC846" t="str">
        <f>MID('paste from garc here'!$C$2,1+(('table for research'!$B846-456)*36+HEX2DEC('table for research'!AC$1))*2,2)</f>
        <v>00</v>
      </c>
      <c r="AD846" t="str">
        <f>MID('paste from garc here'!$C$2,1+(('table for research'!$B846-456)*36+HEX2DEC('table for research'!AD$1))*2,2)</f>
        <v>00</v>
      </c>
      <c r="AE846" t="str">
        <f>MID('paste from garc here'!$C$2,1+(('table for research'!$B846-456)*36+HEX2DEC('table for research'!AE$1))*2,2)</f>
        <v>00</v>
      </c>
      <c r="AF846" t="str">
        <f>MID('paste from garc here'!$C$2,1+(('table for research'!$B846-456)*36+HEX2DEC('table for research'!AF$1))*2,2)</f>
        <v>00</v>
      </c>
      <c r="AG846" t="str">
        <f>MID('paste from garc here'!$C$2,1+(('table for research'!$B846-456)*36+HEX2DEC('table for research'!AG$1))*2,2)</f>
        <v>00</v>
      </c>
      <c r="AH846" t="str">
        <f>MID('paste from garc here'!$C$2,1+(('table for research'!$B846-456)*36+HEX2DEC('table for research'!AH$1))*2,2)</f>
        <v>00</v>
      </c>
      <c r="AI846" t="str">
        <f>MID('paste from garc here'!$C$2,1+(('table for research'!$B846-456)*36+HEX2DEC('table for research'!AI$1))*2,2)</f>
        <v>00</v>
      </c>
      <c r="AJ846" t="str">
        <f>MID('paste from garc here'!$C$2,1+(('table for research'!$B846-456)*36+HEX2DEC('table for research'!AJ$1))*2,2)</f>
        <v>00</v>
      </c>
      <c r="AK846" t="str">
        <f>MID('paste from garc here'!$C$2,1+(('table for research'!$B846-456)*36+HEX2DEC('table for research'!AK$1))*2,2)</f>
        <v>00</v>
      </c>
      <c r="AL846" t="str">
        <f>MID('paste from garc here'!$C$2,1+(('table for research'!$B846-456)*36+HEX2DEC('table for research'!AL$1))*2,2)</f>
        <v>00</v>
      </c>
      <c r="AM846" t="str">
        <f>MID('paste from garc here'!$C$2,1+(('table for research'!$B846-456)*36+HEX2DEC('table for research'!AM$1))*2,2)</f>
        <v>00</v>
      </c>
      <c r="AN846" t="str">
        <f>MID('paste from garc here'!$C$2,1+(('table for research'!$B846-456)*36+HEX2DEC('table for research'!AN$1))*2,2)</f>
        <v>00</v>
      </c>
      <c r="AO846" t="str">
        <f>MID('paste from garc here'!$C$2,1+(('table for research'!$B846-456)*36+HEX2DEC('table for research'!AO$1))*2,2)</f>
        <v>00</v>
      </c>
    </row>
    <row r="847" spans="1:41" x14ac:dyDescent="0.4">
      <c r="A847" t="s">
        <v>834</v>
      </c>
      <c r="B847">
        <f>B846+1</f>
        <v>845</v>
      </c>
      <c r="C847" t="str">
        <f>MID('paste from garc here'!$C$2,1+(('table for research'!$B847-456)*36+HEX2DEC('table for research'!C$1))*2,2)</f>
        <v>00</v>
      </c>
      <c r="D847" t="str">
        <f>MID('paste from garc here'!$C$2,1+(('table for research'!$B847-456)*36+HEX2DEC('table for research'!D$1))*2,2)</f>
        <v>00</v>
      </c>
      <c r="E847" t="str">
        <f>MID('paste from garc here'!$C$2,1+(('table for research'!$B847-456)*36+HEX2DEC('table for research'!E$1))*2,2)</f>
        <v>00</v>
      </c>
      <c r="F847" t="str">
        <f>MID('paste from garc here'!$C$2,1+(('table for research'!$B847-456)*36+HEX2DEC('table for research'!F$1))*2,2)</f>
        <v>00</v>
      </c>
      <c r="G847" t="str">
        <f>MID('paste from garc here'!$C$2,1+(('table for research'!$B847-456)*36+HEX2DEC('table for research'!G$1))*2,2)</f>
        <v>00</v>
      </c>
      <c r="H847" t="str">
        <f>MID('paste from garc here'!$C$2,1+(('table for research'!$B847-456)*36+HEX2DEC('table for research'!H$1))*2,2)</f>
        <v>00</v>
      </c>
      <c r="I847" t="str">
        <f>MID('paste from garc here'!$C$2,1+(('table for research'!$B847-456)*36+HEX2DEC('table for research'!I$1))*2,2)</f>
        <v>00</v>
      </c>
      <c r="J847" t="str">
        <f>MID('paste from garc here'!$C$2,1+(('table for research'!$B847-456)*36+HEX2DEC('table for research'!J$1))*2,2)</f>
        <v>00</v>
      </c>
      <c r="K847" t="str">
        <f>DEC2HEX(_xlfn.BITAND(HEX2DEC(MID('paste from garc here'!$C$1,1+(('table for research'!$B847-1)*36+HEX2DEC(8))*2,2)),31),2)</f>
        <v>00</v>
      </c>
      <c r="L847" t="str">
        <f>DEC2HEX(_xlfn.BITAND(HEX2DEC(MID('paste from garc here'!$C$1,1+(('table for research'!$B847-1)*36+HEX2DEC(8))*2,2)),32),2)</f>
        <v>00</v>
      </c>
      <c r="M847" t="str">
        <f>DEC2HEX(_xlfn.BITAND(HEX2DEC(MID('paste from garc here'!$C$1,1+(('table for research'!$B847-1)*36+HEX2DEC(8))*2,2)),64),2)</f>
        <v>00</v>
      </c>
      <c r="N847" t="str">
        <f>DEC2HEX(_xlfn.BITRSHIFT(_xlfn.BITAND(HEX2DEC(MID('paste from garc here'!$C$1,1+(('table for research'!$B847-1)*36+HEX2DEC(9))*2,2)&amp;MID('paste from garc here'!$C$1,1+(('table for research'!$B847-1)*36+HEX2DEC(8))*2,2)),1920),7),2)</f>
        <v>00</v>
      </c>
      <c r="O847" t="str">
        <f>DEC2HEX(_xlfn.BITRSHIFT(HEX2DEC(MID('paste from garc here'!$C$1,1+(('table for research'!$B847-1)*36+HEX2DEC(9))*2,2)&amp;MID('paste from garc here'!$C$1,1+(('table for research'!$B847-1)*36+HEX2DEC(8))*2,2)),11),2)</f>
        <v>00</v>
      </c>
      <c r="P847" t="str">
        <f>MID('paste from garc here'!$C$2,1+(('table for research'!$B847-456)*36+HEX2DEC('table for research'!P$1))*2,2)</f>
        <v>00</v>
      </c>
      <c r="Q847" t="str">
        <f>MID('paste from garc here'!$C$2,1+(('table for research'!$B847-456)*36+HEX2DEC('table for research'!Q$1))*2,2)</f>
        <v>00</v>
      </c>
      <c r="R847" t="str">
        <f>MID('paste from garc here'!$C$2,1+(('table for research'!$B847-456)*36+HEX2DEC('table for research'!R$1))*2,2)</f>
        <v>00</v>
      </c>
      <c r="S847" t="str">
        <f>MID('paste from garc here'!$C$2,1+(('table for research'!$B847-456)*36+HEX2DEC('table for research'!S$1))*2,2)</f>
        <v>08</v>
      </c>
      <c r="T847" t="str">
        <f>MID('paste from garc here'!$C$2,1+(('table for research'!$B847-456)*36+HEX2DEC('table for research'!T$1))*2,2)</f>
        <v>00</v>
      </c>
      <c r="U847" t="str">
        <f>MID('paste from garc here'!$C$2,1+(('table for research'!$B847-456)*36+HEX2DEC('table for research'!U$1))*2,2)</f>
        <v>09</v>
      </c>
      <c r="V847" t="str">
        <f>MID('paste from garc here'!$C$2,1+(('table for research'!$B847-456)*36+HEX2DEC('table for research'!V$1))*2,2)</f>
        <v>00</v>
      </c>
      <c r="W847" t="str">
        <f>MID('paste from garc here'!$C$2,1+(('table for research'!$B847-456)*36+HEX2DEC('table for research'!W$1))*2,2)</f>
        <v>00</v>
      </c>
      <c r="X847" t="str">
        <f>MID('paste from garc here'!$C$2,1+(('table for research'!$B847-456)*36+HEX2DEC('table for research'!X$1))*2,2)</f>
        <v>00</v>
      </c>
      <c r="Y847" t="str">
        <f>MID('paste from garc here'!$C$2,1+(('table for research'!$B847-456)*36+HEX2DEC('table for research'!Y$1))*2,2)</f>
        <v>00</v>
      </c>
      <c r="Z847" t="str">
        <f>MID('paste from garc here'!$C$2,1+(('table for research'!$B847-456)*36+HEX2DEC('table for research'!Z$1))*2,2)</f>
        <v>00</v>
      </c>
      <c r="AA847" t="str">
        <f>MID('paste from garc here'!$C$2,1+(('table for research'!$B847-456)*36+HEX2DEC('table for research'!AA$1))*2,2)</f>
        <v>00</v>
      </c>
      <c r="AB847" t="str">
        <f>MID('paste from garc here'!$C$2,1+(('table for research'!$B847-456)*36+HEX2DEC('table for research'!AB$1))*2,2)</f>
        <v>00</v>
      </c>
      <c r="AC847" t="str">
        <f>MID('paste from garc here'!$C$2,1+(('table for research'!$B847-456)*36+HEX2DEC('table for research'!AC$1))*2,2)</f>
        <v>00</v>
      </c>
      <c r="AD847" t="str">
        <f>MID('paste from garc here'!$C$2,1+(('table for research'!$B847-456)*36+HEX2DEC('table for research'!AD$1))*2,2)</f>
        <v>00</v>
      </c>
      <c r="AE847" t="str">
        <f>MID('paste from garc here'!$C$2,1+(('table for research'!$B847-456)*36+HEX2DEC('table for research'!AE$1))*2,2)</f>
        <v>00</v>
      </c>
      <c r="AF847" t="str">
        <f>MID('paste from garc here'!$C$2,1+(('table for research'!$B847-456)*36+HEX2DEC('table for research'!AF$1))*2,2)</f>
        <v>00</v>
      </c>
      <c r="AG847" t="str">
        <f>MID('paste from garc here'!$C$2,1+(('table for research'!$B847-456)*36+HEX2DEC('table for research'!AG$1))*2,2)</f>
        <v>00</v>
      </c>
      <c r="AH847" t="str">
        <f>MID('paste from garc here'!$C$2,1+(('table for research'!$B847-456)*36+HEX2DEC('table for research'!AH$1))*2,2)</f>
        <v>00</v>
      </c>
      <c r="AI847" t="str">
        <f>MID('paste from garc here'!$C$2,1+(('table for research'!$B847-456)*36+HEX2DEC('table for research'!AI$1))*2,2)</f>
        <v>00</v>
      </c>
      <c r="AJ847" t="str">
        <f>MID('paste from garc here'!$C$2,1+(('table for research'!$B847-456)*36+HEX2DEC('table for research'!AJ$1))*2,2)</f>
        <v>00</v>
      </c>
      <c r="AK847" t="str">
        <f>MID('paste from garc here'!$C$2,1+(('table for research'!$B847-456)*36+HEX2DEC('table for research'!AK$1))*2,2)</f>
        <v>00</v>
      </c>
      <c r="AL847" t="str">
        <f>MID('paste from garc here'!$C$2,1+(('table for research'!$B847-456)*36+HEX2DEC('table for research'!AL$1))*2,2)</f>
        <v>00</v>
      </c>
      <c r="AM847" t="str">
        <f>MID('paste from garc here'!$C$2,1+(('table for research'!$B847-456)*36+HEX2DEC('table for research'!AM$1))*2,2)</f>
        <v>00</v>
      </c>
      <c r="AN847" t="str">
        <f>MID('paste from garc here'!$C$2,1+(('table for research'!$B847-456)*36+HEX2DEC('table for research'!AN$1))*2,2)</f>
        <v>00</v>
      </c>
      <c r="AO847" t="str">
        <f>MID('paste from garc here'!$C$2,1+(('table for research'!$B847-456)*36+HEX2DEC('table for research'!AO$1))*2,2)</f>
        <v>00</v>
      </c>
    </row>
    <row r="848" spans="1:41" x14ac:dyDescent="0.4">
      <c r="A848" t="s">
        <v>835</v>
      </c>
      <c r="B848">
        <f>B847+1</f>
        <v>846</v>
      </c>
      <c r="C848" t="str">
        <f>MID('paste from garc here'!$C$2,1+(('table for research'!$B848-456)*36+HEX2DEC('table for research'!C$1))*2,2)</f>
        <v>1E</v>
      </c>
      <c r="D848" t="str">
        <f>MID('paste from garc here'!$C$2,1+(('table for research'!$B848-456)*36+HEX2DEC('table for research'!D$1))*2,2)</f>
        <v>00</v>
      </c>
      <c r="E848" t="str">
        <f>MID('paste from garc here'!$C$2,1+(('table for research'!$B848-456)*36+HEX2DEC('table for research'!E$1))*2,2)</f>
        <v>B7</v>
      </c>
      <c r="F848" t="str">
        <f>MID('paste from garc here'!$C$2,1+(('table for research'!$B848-456)*36+HEX2DEC('table for research'!F$1))*2,2)</f>
        <v>00</v>
      </c>
      <c r="G848" t="str">
        <f>MID('paste from garc here'!$C$2,1+(('table for research'!$B848-456)*36+HEX2DEC('table for research'!G$1))*2,2)</f>
        <v>00</v>
      </c>
      <c r="H848" t="str">
        <f>MID('paste from garc here'!$C$2,1+(('table for research'!$B848-456)*36+HEX2DEC('table for research'!H$1))*2,2)</f>
        <v>00</v>
      </c>
      <c r="I848" t="str">
        <f>MID('paste from garc here'!$C$2,1+(('table for research'!$B848-456)*36+HEX2DEC('table for research'!I$1))*2,2)</f>
        <v>1E</v>
      </c>
      <c r="J848" t="str">
        <f>MID('paste from garc here'!$C$2,1+(('table for research'!$B848-456)*36+HEX2DEC('table for research'!J$1))*2,2)</f>
        <v>00</v>
      </c>
      <c r="K848" t="str">
        <f>DEC2HEX(_xlfn.BITAND(HEX2DEC(MID('paste from garc here'!$C$1,1+(('table for research'!$B848-1)*36+HEX2DEC(8))*2,2)),31),2)</f>
        <v>00</v>
      </c>
      <c r="L848" t="str">
        <f>DEC2HEX(_xlfn.BITAND(HEX2DEC(MID('paste from garc here'!$C$1,1+(('table for research'!$B848-1)*36+HEX2DEC(8))*2,2)),32),2)</f>
        <v>00</v>
      </c>
      <c r="M848" t="str">
        <f>DEC2HEX(_xlfn.BITAND(HEX2DEC(MID('paste from garc here'!$C$1,1+(('table for research'!$B848-1)*36+HEX2DEC(8))*2,2)),64),2)</f>
        <v>00</v>
      </c>
      <c r="N848" t="str">
        <f>DEC2HEX(_xlfn.BITRSHIFT(_xlfn.BITAND(HEX2DEC(MID('paste from garc here'!$C$1,1+(('table for research'!$B848-1)*36+HEX2DEC(9))*2,2)&amp;MID('paste from garc here'!$C$1,1+(('table for research'!$B848-1)*36+HEX2DEC(8))*2,2)),1920),7),2)</f>
        <v>00</v>
      </c>
      <c r="O848" t="str">
        <f>DEC2HEX(_xlfn.BITRSHIFT(HEX2DEC(MID('paste from garc here'!$C$1,1+(('table for research'!$B848-1)*36+HEX2DEC(9))*2,2)&amp;MID('paste from garc here'!$C$1,1+(('table for research'!$B848-1)*36+HEX2DEC(8))*2,2)),11),2)</f>
        <v>00</v>
      </c>
      <c r="P848" t="str">
        <f>MID('paste from garc here'!$C$2,1+(('table for research'!$B848-456)*36+HEX2DEC('table for research'!P$1))*2,2)</f>
        <v>00</v>
      </c>
      <c r="Q848" t="str">
        <f>MID('paste from garc here'!$C$2,1+(('table for research'!$B848-456)*36+HEX2DEC('table for research'!Q$1))*2,2)</f>
        <v>00</v>
      </c>
      <c r="R848" t="str">
        <f>MID('paste from garc here'!$C$2,1+(('table for research'!$B848-456)*36+HEX2DEC('table for research'!R$1))*2,2)</f>
        <v>01</v>
      </c>
      <c r="S848" t="str">
        <f>MID('paste from garc here'!$C$2,1+(('table for research'!$B848-456)*36+HEX2DEC('table for research'!S$1))*2,2)</f>
        <v>03</v>
      </c>
      <c r="T848" t="str">
        <f>MID('paste from garc here'!$C$2,1+(('table for research'!$B848-456)*36+HEX2DEC('table for research'!T$1))*2,2)</f>
        <v>01</v>
      </c>
      <c r="U848" t="str">
        <f>MID('paste from garc here'!$C$2,1+(('table for research'!$B848-456)*36+HEX2DEC('table for research'!U$1))*2,2)</f>
        <v>0B</v>
      </c>
      <c r="V848" t="str">
        <f>MID('paste from garc here'!$C$2,1+(('table for research'!$B848-456)*36+HEX2DEC('table for research'!V$1))*2,2)</f>
        <v>00</v>
      </c>
      <c r="W848" t="str">
        <f>MID('paste from garc here'!$C$2,1+(('table for research'!$B848-456)*36+HEX2DEC('table for research'!W$1))*2,2)</f>
        <v>00</v>
      </c>
      <c r="X848" t="str">
        <f>MID('paste from garc here'!$C$2,1+(('table for research'!$B848-456)*36+HEX2DEC('table for research'!X$1))*2,2)</f>
        <v>00</v>
      </c>
      <c r="Y848" t="str">
        <f>MID('paste from garc here'!$C$2,1+(('table for research'!$B848-456)*36+HEX2DEC('table for research'!Y$1))*2,2)</f>
        <v>00</v>
      </c>
      <c r="Z848" t="str">
        <f>MID('paste from garc here'!$C$2,1+(('table for research'!$B848-456)*36+HEX2DEC('table for research'!Z$1))*2,2)</f>
        <v>00</v>
      </c>
      <c r="AA848" t="str">
        <f>MID('paste from garc here'!$C$2,1+(('table for research'!$B848-456)*36+HEX2DEC('table for research'!AA$1))*2,2)</f>
        <v>00</v>
      </c>
      <c r="AB848" t="str">
        <f>MID('paste from garc here'!$C$2,1+(('table for research'!$B848-456)*36+HEX2DEC('table for research'!AB$1))*2,2)</f>
        <v>00</v>
      </c>
      <c r="AC848" t="str">
        <f>MID('paste from garc here'!$C$2,1+(('table for research'!$B848-456)*36+HEX2DEC('table for research'!AC$1))*2,2)</f>
        <v>00</v>
      </c>
      <c r="AD848" t="str">
        <f>MID('paste from garc here'!$C$2,1+(('table for research'!$B848-456)*36+HEX2DEC('table for research'!AD$1))*2,2)</f>
        <v>00</v>
      </c>
      <c r="AE848" t="str">
        <f>MID('paste from garc here'!$C$2,1+(('table for research'!$B848-456)*36+HEX2DEC('table for research'!AE$1))*2,2)</f>
        <v>00</v>
      </c>
      <c r="AF848" t="str">
        <f>MID('paste from garc here'!$C$2,1+(('table for research'!$B848-456)*36+HEX2DEC('table for research'!AF$1))*2,2)</f>
        <v>00</v>
      </c>
      <c r="AG848" t="str">
        <f>MID('paste from garc here'!$C$2,1+(('table for research'!$B848-456)*36+HEX2DEC('table for research'!AG$1))*2,2)</f>
        <v>00</v>
      </c>
      <c r="AH848" t="str">
        <f>MID('paste from garc here'!$C$2,1+(('table for research'!$B848-456)*36+HEX2DEC('table for research'!AH$1))*2,2)</f>
        <v>00</v>
      </c>
      <c r="AI848" t="str">
        <f>MID('paste from garc here'!$C$2,1+(('table for research'!$B848-456)*36+HEX2DEC('table for research'!AI$1))*2,2)</f>
        <v>00</v>
      </c>
      <c r="AJ848" t="str">
        <f>MID('paste from garc here'!$C$2,1+(('table for research'!$B848-456)*36+HEX2DEC('table for research'!AJ$1))*2,2)</f>
        <v>00</v>
      </c>
      <c r="AK848" t="str">
        <f>MID('paste from garc here'!$C$2,1+(('table for research'!$B848-456)*36+HEX2DEC('table for research'!AK$1))*2,2)</f>
        <v>00</v>
      </c>
      <c r="AL848" t="str">
        <f>MID('paste from garc here'!$C$2,1+(('table for research'!$B848-456)*36+HEX2DEC('table for research'!AL$1))*2,2)</f>
        <v>00</v>
      </c>
      <c r="AM848" t="str">
        <f>MID('paste from garc here'!$C$2,1+(('table for research'!$B848-456)*36+HEX2DEC('table for research'!AM$1))*2,2)</f>
        <v>00</v>
      </c>
      <c r="AN848" t="str">
        <f>MID('paste from garc here'!$C$2,1+(('table for research'!$B848-456)*36+HEX2DEC('table for research'!AN$1))*2,2)</f>
        <v>00</v>
      </c>
      <c r="AO848" t="str">
        <f>MID('paste from garc here'!$C$2,1+(('table for research'!$B848-456)*36+HEX2DEC('table for research'!AO$1))*2,2)</f>
        <v>00</v>
      </c>
    </row>
    <row r="849" spans="1:41" x14ac:dyDescent="0.4">
      <c r="A849" t="s">
        <v>836</v>
      </c>
      <c r="B849">
        <f>B848+1</f>
        <v>847</v>
      </c>
      <c r="C849" t="str">
        <f>MID('paste from garc here'!$C$2,1+(('table for research'!$B849-456)*36+HEX2DEC('table for research'!C$1))*2,2)</f>
        <v>00</v>
      </c>
      <c r="D849" t="str">
        <f>MID('paste from garc here'!$C$2,1+(('table for research'!$B849-456)*36+HEX2DEC('table for research'!D$1))*2,2)</f>
        <v>00</v>
      </c>
      <c r="E849" t="str">
        <f>MID('paste from garc here'!$C$2,1+(('table for research'!$B849-456)*36+HEX2DEC('table for research'!E$1))*2,2)</f>
        <v>00</v>
      </c>
      <c r="F849" t="str">
        <f>MID('paste from garc here'!$C$2,1+(('table for research'!$B849-456)*36+HEX2DEC('table for research'!F$1))*2,2)</f>
        <v>00</v>
      </c>
      <c r="G849" t="str">
        <f>MID('paste from garc here'!$C$2,1+(('table for research'!$B849-456)*36+HEX2DEC('table for research'!G$1))*2,2)</f>
        <v>00</v>
      </c>
      <c r="H849" t="str">
        <f>MID('paste from garc here'!$C$2,1+(('table for research'!$B849-456)*36+HEX2DEC('table for research'!H$1))*2,2)</f>
        <v>00</v>
      </c>
      <c r="I849" t="str">
        <f>MID('paste from garc here'!$C$2,1+(('table for research'!$B849-456)*36+HEX2DEC('table for research'!I$1))*2,2)</f>
        <v>00</v>
      </c>
      <c r="J849" t="str">
        <f>MID('paste from garc here'!$C$2,1+(('table for research'!$B849-456)*36+HEX2DEC('table for research'!J$1))*2,2)</f>
        <v>00</v>
      </c>
      <c r="K849" t="str">
        <f>DEC2HEX(_xlfn.BITAND(HEX2DEC(MID('paste from garc here'!$C$1,1+(('table for research'!$B849-1)*36+HEX2DEC(8))*2,2)),31),2)</f>
        <v>00</v>
      </c>
      <c r="L849" t="str">
        <f>DEC2HEX(_xlfn.BITAND(HEX2DEC(MID('paste from garc here'!$C$1,1+(('table for research'!$B849-1)*36+HEX2DEC(8))*2,2)),32),2)</f>
        <v>00</v>
      </c>
      <c r="M849" t="str">
        <f>DEC2HEX(_xlfn.BITAND(HEX2DEC(MID('paste from garc here'!$C$1,1+(('table for research'!$B849-1)*36+HEX2DEC(8))*2,2)),64),2)</f>
        <v>00</v>
      </c>
      <c r="N849" t="str">
        <f>DEC2HEX(_xlfn.BITRSHIFT(_xlfn.BITAND(HEX2DEC(MID('paste from garc here'!$C$1,1+(('table for research'!$B849-1)*36+HEX2DEC(9))*2,2)&amp;MID('paste from garc here'!$C$1,1+(('table for research'!$B849-1)*36+HEX2DEC(8))*2,2)),1920),7),2)</f>
        <v>00</v>
      </c>
      <c r="O849" t="str">
        <f>DEC2HEX(_xlfn.BITRSHIFT(HEX2DEC(MID('paste from garc here'!$C$1,1+(('table for research'!$B849-1)*36+HEX2DEC(9))*2,2)&amp;MID('paste from garc here'!$C$1,1+(('table for research'!$B849-1)*36+HEX2DEC(8))*2,2)),11),2)</f>
        <v>00</v>
      </c>
      <c r="P849" t="str">
        <f>MID('paste from garc here'!$C$2,1+(('table for research'!$B849-456)*36+HEX2DEC('table for research'!P$1))*2,2)</f>
        <v>08</v>
      </c>
      <c r="Q849" t="str">
        <f>MID('paste from garc here'!$C$2,1+(('table for research'!$B849-456)*36+HEX2DEC('table for research'!Q$1))*2,2)</f>
        <v>00</v>
      </c>
      <c r="R849" t="str">
        <f>MID('paste from garc here'!$C$2,1+(('table for research'!$B849-456)*36+HEX2DEC('table for research'!R$1))*2,2)</f>
        <v>00</v>
      </c>
      <c r="S849" t="str">
        <f>MID('paste from garc here'!$C$2,1+(('table for research'!$B849-456)*36+HEX2DEC('table for research'!S$1))*2,2)</f>
        <v>08</v>
      </c>
      <c r="T849" t="str">
        <f>MID('paste from garc here'!$C$2,1+(('table for research'!$B849-456)*36+HEX2DEC('table for research'!T$1))*2,2)</f>
        <v>00</v>
      </c>
      <c r="U849" t="str">
        <f>MID('paste from garc here'!$C$2,1+(('table for research'!$B849-456)*36+HEX2DEC('table for research'!U$1))*2,2)</f>
        <v>0A</v>
      </c>
      <c r="V849" t="str">
        <f>MID('paste from garc here'!$C$2,1+(('table for research'!$B849-456)*36+HEX2DEC('table for research'!V$1))*2,2)</f>
        <v>00</v>
      </c>
      <c r="W849" t="str">
        <f>MID('paste from garc here'!$C$2,1+(('table for research'!$B849-456)*36+HEX2DEC('table for research'!W$1))*2,2)</f>
        <v>00</v>
      </c>
      <c r="X849" t="str">
        <f>MID('paste from garc here'!$C$2,1+(('table for research'!$B849-456)*36+HEX2DEC('table for research'!X$1))*2,2)</f>
        <v>00</v>
      </c>
      <c r="Y849" t="str">
        <f>MID('paste from garc here'!$C$2,1+(('table for research'!$B849-456)*36+HEX2DEC('table for research'!Y$1))*2,2)</f>
        <v>00</v>
      </c>
      <c r="Z849" t="str">
        <f>MID('paste from garc here'!$C$2,1+(('table for research'!$B849-456)*36+HEX2DEC('table for research'!Z$1))*2,2)</f>
        <v>00</v>
      </c>
      <c r="AA849" t="str">
        <f>MID('paste from garc here'!$C$2,1+(('table for research'!$B849-456)*36+HEX2DEC('table for research'!AA$1))*2,2)</f>
        <v>00</v>
      </c>
      <c r="AB849" t="str">
        <f>MID('paste from garc here'!$C$2,1+(('table for research'!$B849-456)*36+HEX2DEC('table for research'!AB$1))*2,2)</f>
        <v>00</v>
      </c>
      <c r="AC849" t="str">
        <f>MID('paste from garc here'!$C$2,1+(('table for research'!$B849-456)*36+HEX2DEC('table for research'!AC$1))*2,2)</f>
        <v>00</v>
      </c>
      <c r="AD849" t="str">
        <f>MID('paste from garc here'!$C$2,1+(('table for research'!$B849-456)*36+HEX2DEC('table for research'!AD$1))*2,2)</f>
        <v>00</v>
      </c>
      <c r="AE849" t="str">
        <f>MID('paste from garc here'!$C$2,1+(('table for research'!$B849-456)*36+HEX2DEC('table for research'!AE$1))*2,2)</f>
        <v>00</v>
      </c>
      <c r="AF849" t="str">
        <f>MID('paste from garc here'!$C$2,1+(('table for research'!$B849-456)*36+HEX2DEC('table for research'!AF$1))*2,2)</f>
        <v>00</v>
      </c>
      <c r="AG849" t="str">
        <f>MID('paste from garc here'!$C$2,1+(('table for research'!$B849-456)*36+HEX2DEC('table for research'!AG$1))*2,2)</f>
        <v>00</v>
      </c>
      <c r="AH849" t="str">
        <f>MID('paste from garc here'!$C$2,1+(('table for research'!$B849-456)*36+HEX2DEC('table for research'!AH$1))*2,2)</f>
        <v>00</v>
      </c>
      <c r="AI849" t="str">
        <f>MID('paste from garc here'!$C$2,1+(('table for research'!$B849-456)*36+HEX2DEC('table for research'!AI$1))*2,2)</f>
        <v>00</v>
      </c>
      <c r="AJ849" t="str">
        <f>MID('paste from garc here'!$C$2,1+(('table for research'!$B849-456)*36+HEX2DEC('table for research'!AJ$1))*2,2)</f>
        <v>00</v>
      </c>
      <c r="AK849" t="str">
        <f>MID('paste from garc here'!$C$2,1+(('table for research'!$B849-456)*36+HEX2DEC('table for research'!AK$1))*2,2)</f>
        <v>00</v>
      </c>
      <c r="AL849" t="str">
        <f>MID('paste from garc here'!$C$2,1+(('table for research'!$B849-456)*36+HEX2DEC('table for research'!AL$1))*2,2)</f>
        <v>00</v>
      </c>
      <c r="AM849" t="str">
        <f>MID('paste from garc here'!$C$2,1+(('table for research'!$B849-456)*36+HEX2DEC('table for research'!AM$1))*2,2)</f>
        <v>00</v>
      </c>
      <c r="AN849" t="str">
        <f>MID('paste from garc here'!$C$2,1+(('table for research'!$B849-456)*36+HEX2DEC('table for research'!AN$1))*2,2)</f>
        <v>00</v>
      </c>
      <c r="AO849" t="str">
        <f>MID('paste from garc here'!$C$2,1+(('table for research'!$B849-456)*36+HEX2DEC('table for research'!AO$1))*2,2)</f>
        <v>00</v>
      </c>
    </row>
    <row r="850" spans="1:41" x14ac:dyDescent="0.4">
      <c r="A850" t="s">
        <v>138</v>
      </c>
      <c r="B850">
        <f>B849+1</f>
        <v>848</v>
      </c>
      <c r="C850" t="str">
        <f>MID('paste from garc here'!$C$2,1+(('table for research'!$B850-456)*36+HEX2DEC('table for research'!C$1))*2,2)</f>
        <v>00</v>
      </c>
      <c r="D850" t="str">
        <f>MID('paste from garc here'!$C$2,1+(('table for research'!$B850-456)*36+HEX2DEC('table for research'!D$1))*2,2)</f>
        <v>00</v>
      </c>
      <c r="E850" t="str">
        <f>MID('paste from garc here'!$C$2,1+(('table for research'!$B850-456)*36+HEX2DEC('table for research'!E$1))*2,2)</f>
        <v>00</v>
      </c>
      <c r="F850" t="str">
        <f>MID('paste from garc here'!$C$2,1+(('table for research'!$B850-456)*36+HEX2DEC('table for research'!F$1))*2,2)</f>
        <v>00</v>
      </c>
      <c r="G850" t="str">
        <f>MID('paste from garc here'!$C$2,1+(('table for research'!$B850-456)*36+HEX2DEC('table for research'!G$1))*2,2)</f>
        <v>00</v>
      </c>
      <c r="H850" t="str">
        <f>MID('paste from garc here'!$C$2,1+(('table for research'!$B850-456)*36+HEX2DEC('table for research'!H$1))*2,2)</f>
        <v>00</v>
      </c>
      <c r="I850" t="str">
        <f>MID('paste from garc here'!$C$2,1+(('table for research'!$B850-456)*36+HEX2DEC('table for research'!I$1))*2,2)</f>
        <v>00</v>
      </c>
      <c r="J850" t="str">
        <f>MID('paste from garc here'!$C$2,1+(('table for research'!$B850-456)*36+HEX2DEC('table for research'!J$1))*2,2)</f>
        <v>00</v>
      </c>
      <c r="K850" t="str">
        <f>DEC2HEX(_xlfn.BITAND(HEX2DEC(MID('paste from garc here'!$C$1,1+(('table for research'!$B850-1)*36+HEX2DEC(8))*2,2)),31),2)</f>
        <v>00</v>
      </c>
      <c r="L850" t="str">
        <f>DEC2HEX(_xlfn.BITAND(HEX2DEC(MID('paste from garc here'!$C$1,1+(('table for research'!$B850-1)*36+HEX2DEC(8))*2,2)),32),2)</f>
        <v>00</v>
      </c>
      <c r="M850" t="str">
        <f>DEC2HEX(_xlfn.BITAND(HEX2DEC(MID('paste from garc here'!$C$1,1+(('table for research'!$B850-1)*36+HEX2DEC(8))*2,2)),64),2)</f>
        <v>00</v>
      </c>
      <c r="N850" t="str">
        <f>DEC2HEX(_xlfn.BITRSHIFT(_xlfn.BITAND(HEX2DEC(MID('paste from garc here'!$C$1,1+(('table for research'!$B850-1)*36+HEX2DEC(9))*2,2)&amp;MID('paste from garc here'!$C$1,1+(('table for research'!$B850-1)*36+HEX2DEC(8))*2,2)),1920),7),2)</f>
        <v>00</v>
      </c>
      <c r="O850" t="str">
        <f>DEC2HEX(_xlfn.BITRSHIFT(HEX2DEC(MID('paste from garc here'!$C$1,1+(('table for research'!$B850-1)*36+HEX2DEC(9))*2,2)&amp;MID('paste from garc here'!$C$1,1+(('table for research'!$B850-1)*36+HEX2DEC(8))*2,2)),11),2)</f>
        <v>00</v>
      </c>
      <c r="P850" t="str">
        <f>MID('paste from garc here'!$C$2,1+(('table for research'!$B850-456)*36+HEX2DEC('table for research'!P$1))*2,2)</f>
        <v>00</v>
      </c>
      <c r="Q850" t="str">
        <f>MID('paste from garc here'!$C$2,1+(('table for research'!$B850-456)*36+HEX2DEC('table for research'!Q$1))*2,2)</f>
        <v>00</v>
      </c>
      <c r="R850" t="str">
        <f>MID('paste from garc here'!$C$2,1+(('table for research'!$B850-456)*36+HEX2DEC('table for research'!R$1))*2,2)</f>
        <v>00</v>
      </c>
      <c r="S850" t="str">
        <f>MID('paste from garc here'!$C$2,1+(('table for research'!$B850-456)*36+HEX2DEC('table for research'!S$1))*2,2)</f>
        <v>08</v>
      </c>
      <c r="T850" t="str">
        <f>MID('paste from garc here'!$C$2,1+(('table for research'!$B850-456)*36+HEX2DEC('table for research'!T$1))*2,2)</f>
        <v>00</v>
      </c>
      <c r="U850" t="str">
        <f>MID('paste from garc here'!$C$2,1+(('table for research'!$B850-456)*36+HEX2DEC('table for research'!U$1))*2,2)</f>
        <v>FF</v>
      </c>
      <c r="V850" t="str">
        <f>MID('paste from garc here'!$C$2,1+(('table for research'!$B850-456)*36+HEX2DEC('table for research'!V$1))*2,2)</f>
        <v>00</v>
      </c>
      <c r="W850" t="str">
        <f>MID('paste from garc here'!$C$2,1+(('table for research'!$B850-456)*36+HEX2DEC('table for research'!W$1))*2,2)</f>
        <v>00</v>
      </c>
      <c r="X850" t="str">
        <f>MID('paste from garc here'!$C$2,1+(('table for research'!$B850-456)*36+HEX2DEC('table for research'!X$1))*2,2)</f>
        <v>00</v>
      </c>
      <c r="Y850" t="str">
        <f>MID('paste from garc here'!$C$2,1+(('table for research'!$B850-456)*36+HEX2DEC('table for research'!Y$1))*2,2)</f>
        <v>00</v>
      </c>
      <c r="Z850" t="str">
        <f>MID('paste from garc here'!$C$2,1+(('table for research'!$B850-456)*36+HEX2DEC('table for research'!Z$1))*2,2)</f>
        <v>00</v>
      </c>
      <c r="AA850" t="str">
        <f>MID('paste from garc here'!$C$2,1+(('table for research'!$B850-456)*36+HEX2DEC('table for research'!AA$1))*2,2)</f>
        <v>00</v>
      </c>
      <c r="AB850" t="str">
        <f>MID('paste from garc here'!$C$2,1+(('table for research'!$B850-456)*36+HEX2DEC('table for research'!AB$1))*2,2)</f>
        <v>00</v>
      </c>
      <c r="AC850" t="str">
        <f>MID('paste from garc here'!$C$2,1+(('table for research'!$B850-456)*36+HEX2DEC('table for research'!AC$1))*2,2)</f>
        <v>00</v>
      </c>
      <c r="AD850" t="str">
        <f>MID('paste from garc here'!$C$2,1+(('table for research'!$B850-456)*36+HEX2DEC('table for research'!AD$1))*2,2)</f>
        <v>00</v>
      </c>
      <c r="AE850" t="str">
        <f>MID('paste from garc here'!$C$2,1+(('table for research'!$B850-456)*36+HEX2DEC('table for research'!AE$1))*2,2)</f>
        <v>00</v>
      </c>
      <c r="AF850" t="str">
        <f>MID('paste from garc here'!$C$2,1+(('table for research'!$B850-456)*36+HEX2DEC('table for research'!AF$1))*2,2)</f>
        <v>00</v>
      </c>
      <c r="AG850" t="str">
        <f>MID('paste from garc here'!$C$2,1+(('table for research'!$B850-456)*36+HEX2DEC('table for research'!AG$1))*2,2)</f>
        <v>00</v>
      </c>
      <c r="AH850" t="str">
        <f>MID('paste from garc here'!$C$2,1+(('table for research'!$B850-456)*36+HEX2DEC('table for research'!AH$1))*2,2)</f>
        <v>00</v>
      </c>
      <c r="AI850" t="str">
        <f>MID('paste from garc here'!$C$2,1+(('table for research'!$B850-456)*36+HEX2DEC('table for research'!AI$1))*2,2)</f>
        <v>00</v>
      </c>
      <c r="AJ850" t="str">
        <f>MID('paste from garc here'!$C$2,1+(('table for research'!$B850-456)*36+HEX2DEC('table for research'!AJ$1))*2,2)</f>
        <v>00</v>
      </c>
      <c r="AK850" t="str">
        <f>MID('paste from garc here'!$C$2,1+(('table for research'!$B850-456)*36+HEX2DEC('table for research'!AK$1))*2,2)</f>
        <v>00</v>
      </c>
      <c r="AL850" t="str">
        <f>MID('paste from garc here'!$C$2,1+(('table for research'!$B850-456)*36+HEX2DEC('table for research'!AL$1))*2,2)</f>
        <v>00</v>
      </c>
      <c r="AM850" t="str">
        <f>MID('paste from garc here'!$C$2,1+(('table for research'!$B850-456)*36+HEX2DEC('table for research'!AM$1))*2,2)</f>
        <v>00</v>
      </c>
      <c r="AN850" t="str">
        <f>MID('paste from garc here'!$C$2,1+(('table for research'!$B850-456)*36+HEX2DEC('table for research'!AN$1))*2,2)</f>
        <v>00</v>
      </c>
      <c r="AO850" t="str">
        <f>MID('paste from garc here'!$C$2,1+(('table for research'!$B850-456)*36+HEX2DEC('table for research'!AO$1))*2,2)</f>
        <v>00</v>
      </c>
    </row>
    <row r="851" spans="1:41" x14ac:dyDescent="0.4">
      <c r="A851" t="s">
        <v>837</v>
      </c>
      <c r="B851">
        <f>B850+1</f>
        <v>849</v>
      </c>
      <c r="C851" t="str">
        <f>MID('paste from garc here'!$C$2,1+(('table for research'!$B851-456)*36+HEX2DEC('table for research'!C$1))*2,2)</f>
        <v>2C</v>
      </c>
      <c r="D851" t="str">
        <f>MID('paste from garc here'!$C$2,1+(('table for research'!$B851-456)*36+HEX2DEC('table for research'!D$1))*2,2)</f>
        <v>01</v>
      </c>
      <c r="E851" t="str">
        <f>MID('paste from garc here'!$C$2,1+(('table for research'!$B851-456)*36+HEX2DEC('table for research'!E$1))*2,2)</f>
        <v>00</v>
      </c>
      <c r="F851" t="str">
        <f>MID('paste from garc here'!$C$2,1+(('table for research'!$B851-456)*36+HEX2DEC('table for research'!F$1))*2,2)</f>
        <v>00</v>
      </c>
      <c r="G851" t="str">
        <f>MID('paste from garc here'!$C$2,1+(('table for research'!$B851-456)*36+HEX2DEC('table for research'!G$1))*2,2)</f>
        <v>00</v>
      </c>
      <c r="H851" t="str">
        <f>MID('paste from garc here'!$C$2,1+(('table for research'!$B851-456)*36+HEX2DEC('table for research'!H$1))*2,2)</f>
        <v>00</v>
      </c>
      <c r="I851" t="str">
        <f>MID('paste from garc here'!$C$2,1+(('table for research'!$B851-456)*36+HEX2DEC('table for research'!I$1))*2,2)</f>
        <v>1E</v>
      </c>
      <c r="J851" t="str">
        <f>MID('paste from garc here'!$C$2,1+(('table for research'!$B851-456)*36+HEX2DEC('table for research'!J$1))*2,2)</f>
        <v>00</v>
      </c>
      <c r="K851" t="str">
        <f>DEC2HEX(_xlfn.BITAND(HEX2DEC(MID('paste from garc here'!$C$1,1+(('table for research'!$B851-1)*36+HEX2DEC(8))*2,2)),31),2)</f>
        <v>00</v>
      </c>
      <c r="L851" t="str">
        <f>DEC2HEX(_xlfn.BITAND(HEX2DEC(MID('paste from garc here'!$C$1,1+(('table for research'!$B851-1)*36+HEX2DEC(8))*2,2)),32),2)</f>
        <v>00</v>
      </c>
      <c r="M851" t="str">
        <f>DEC2HEX(_xlfn.BITAND(HEX2DEC(MID('paste from garc here'!$C$1,1+(('table for research'!$B851-1)*36+HEX2DEC(8))*2,2)),64),2)</f>
        <v>00</v>
      </c>
      <c r="N851" t="str">
        <f>DEC2HEX(_xlfn.BITRSHIFT(_xlfn.BITAND(HEX2DEC(MID('paste from garc here'!$C$1,1+(('table for research'!$B851-1)*36+HEX2DEC(9))*2,2)&amp;MID('paste from garc here'!$C$1,1+(('table for research'!$B851-1)*36+HEX2DEC(8))*2,2)),1920),7),2)</f>
        <v>00</v>
      </c>
      <c r="O851" t="str">
        <f>DEC2HEX(_xlfn.BITRSHIFT(HEX2DEC(MID('paste from garc here'!$C$1,1+(('table for research'!$B851-1)*36+HEX2DEC(9))*2,2)&amp;MID('paste from garc here'!$C$1,1+(('table for research'!$B851-1)*36+HEX2DEC(8))*2,2)),11),2)</f>
        <v>00</v>
      </c>
      <c r="P851" t="str">
        <f>MID('paste from garc here'!$C$2,1+(('table for research'!$B851-456)*36+HEX2DEC('table for research'!P$1))*2,2)</f>
        <v>06</v>
      </c>
      <c r="Q851" t="str">
        <f>MID('paste from garc here'!$C$2,1+(('table for research'!$B851-456)*36+HEX2DEC('table for research'!Q$1))*2,2)</f>
        <v>00</v>
      </c>
      <c r="R851" t="str">
        <f>MID('paste from garc here'!$C$2,1+(('table for research'!$B851-456)*36+HEX2DEC('table for research'!R$1))*2,2)</f>
        <v>01</v>
      </c>
      <c r="S851" t="str">
        <f>MID('paste from garc here'!$C$2,1+(('table for research'!$B851-456)*36+HEX2DEC('table for research'!S$1))*2,2)</f>
        <v>02</v>
      </c>
      <c r="T851" t="str">
        <f>MID('paste from garc here'!$C$2,1+(('table for research'!$B851-456)*36+HEX2DEC('table for research'!T$1))*2,2)</f>
        <v>00</v>
      </c>
      <c r="U851" t="str">
        <f>MID('paste from garc here'!$C$2,1+(('table for research'!$B851-456)*36+HEX2DEC('table for research'!U$1))*2,2)</f>
        <v>4B</v>
      </c>
      <c r="V851" t="str">
        <f>MID('paste from garc here'!$C$2,1+(('table for research'!$B851-456)*36+HEX2DEC('table for research'!V$1))*2,2)</f>
        <v>00</v>
      </c>
      <c r="W851" t="str">
        <f>MID('paste from garc here'!$C$2,1+(('table for research'!$B851-456)*36+HEX2DEC('table for research'!W$1))*2,2)</f>
        <v>08</v>
      </c>
      <c r="X851" t="str">
        <f>MID('paste from garc here'!$C$2,1+(('table for research'!$B851-456)*36+HEX2DEC('table for research'!X$1))*2,2)</f>
        <v>00</v>
      </c>
      <c r="Y851" t="str">
        <f>MID('paste from garc here'!$C$2,1+(('table for research'!$B851-456)*36+HEX2DEC('table for research'!Y$1))*2,2)</f>
        <v>00</v>
      </c>
      <c r="Z851" t="str">
        <f>MID('paste from garc here'!$C$2,1+(('table for research'!$B851-456)*36+HEX2DEC('table for research'!Z$1))*2,2)</f>
        <v>00</v>
      </c>
      <c r="AA851" t="str">
        <f>MID('paste from garc here'!$C$2,1+(('table for research'!$B851-456)*36+HEX2DEC('table for research'!AA$1))*2,2)</f>
        <v>00</v>
      </c>
      <c r="AB851" t="str">
        <f>MID('paste from garc here'!$C$2,1+(('table for research'!$B851-456)*36+HEX2DEC('table for research'!AB$1))*2,2)</f>
        <v>00</v>
      </c>
      <c r="AC851" t="str">
        <f>MID('paste from garc here'!$C$2,1+(('table for research'!$B851-456)*36+HEX2DEC('table for research'!AC$1))*2,2)</f>
        <v>00</v>
      </c>
      <c r="AD851" t="str">
        <f>MID('paste from garc here'!$C$2,1+(('table for research'!$B851-456)*36+HEX2DEC('table for research'!AD$1))*2,2)</f>
        <v>00</v>
      </c>
      <c r="AE851" t="str">
        <f>MID('paste from garc here'!$C$2,1+(('table for research'!$B851-456)*36+HEX2DEC('table for research'!AE$1))*2,2)</f>
        <v>00</v>
      </c>
      <c r="AF851" t="str">
        <f>MID('paste from garc here'!$C$2,1+(('table for research'!$B851-456)*36+HEX2DEC('table for research'!AF$1))*2,2)</f>
        <v>00</v>
      </c>
      <c r="AG851" t="str">
        <f>MID('paste from garc here'!$C$2,1+(('table for research'!$B851-456)*36+HEX2DEC('table for research'!AG$1))*2,2)</f>
        <v>00</v>
      </c>
      <c r="AH851" t="str">
        <f>MID('paste from garc here'!$C$2,1+(('table for research'!$B851-456)*36+HEX2DEC('table for research'!AH$1))*2,2)</f>
        <v>00</v>
      </c>
      <c r="AI851" t="str">
        <f>MID('paste from garc here'!$C$2,1+(('table for research'!$B851-456)*36+HEX2DEC('table for research'!AI$1))*2,2)</f>
        <v>00</v>
      </c>
      <c r="AJ851" t="str">
        <f>MID('paste from garc here'!$C$2,1+(('table for research'!$B851-456)*36+HEX2DEC('table for research'!AJ$1))*2,2)</f>
        <v>00</v>
      </c>
      <c r="AK851" t="str">
        <f>MID('paste from garc here'!$C$2,1+(('table for research'!$B851-456)*36+HEX2DEC('table for research'!AK$1))*2,2)</f>
        <v>00</v>
      </c>
      <c r="AL851" t="str">
        <f>MID('paste from garc here'!$C$2,1+(('table for research'!$B851-456)*36+HEX2DEC('table for research'!AL$1))*2,2)</f>
        <v>00</v>
      </c>
      <c r="AM851" t="str">
        <f>MID('paste from garc here'!$C$2,1+(('table for research'!$B851-456)*36+HEX2DEC('table for research'!AM$1))*2,2)</f>
        <v>00</v>
      </c>
      <c r="AN851" t="str">
        <f>MID('paste from garc here'!$C$2,1+(('table for research'!$B851-456)*36+HEX2DEC('table for research'!AN$1))*2,2)</f>
        <v>00</v>
      </c>
      <c r="AO851" t="str">
        <f>MID('paste from garc here'!$C$2,1+(('table for research'!$B851-456)*36+HEX2DEC('table for research'!AO$1))*2,2)</f>
        <v>00</v>
      </c>
    </row>
    <row r="852" spans="1:41" x14ac:dyDescent="0.4">
      <c r="A852" t="s">
        <v>838</v>
      </c>
      <c r="B852">
        <f>B851+1</f>
        <v>850</v>
      </c>
      <c r="C852" t="str">
        <f>MID('paste from garc here'!$C$2,1+(('table for research'!$B852-456)*36+HEX2DEC('table for research'!C$1))*2,2)</f>
        <v>00</v>
      </c>
      <c r="D852" t="str">
        <f>MID('paste from garc here'!$C$2,1+(('table for research'!$B852-456)*36+HEX2DEC('table for research'!D$1))*2,2)</f>
        <v>00</v>
      </c>
      <c r="E852" t="str">
        <f>MID('paste from garc here'!$C$2,1+(('table for research'!$B852-456)*36+HEX2DEC('table for research'!E$1))*2,2)</f>
        <v>00</v>
      </c>
      <c r="F852" t="str">
        <f>MID('paste from garc here'!$C$2,1+(('table for research'!$B852-456)*36+HEX2DEC('table for research'!F$1))*2,2)</f>
        <v>00</v>
      </c>
      <c r="G852" t="str">
        <f>MID('paste from garc here'!$C$2,1+(('table for research'!$B852-456)*36+HEX2DEC('table for research'!G$1))*2,2)</f>
        <v>00</v>
      </c>
      <c r="H852" t="str">
        <f>MID('paste from garc here'!$C$2,1+(('table for research'!$B852-456)*36+HEX2DEC('table for research'!H$1))*2,2)</f>
        <v>00</v>
      </c>
      <c r="I852" t="str">
        <f>MID('paste from garc here'!$C$2,1+(('table for research'!$B852-456)*36+HEX2DEC('table for research'!I$1))*2,2)</f>
        <v>00</v>
      </c>
      <c r="J852" t="str">
        <f>MID('paste from garc here'!$C$2,1+(('table for research'!$B852-456)*36+HEX2DEC('table for research'!J$1))*2,2)</f>
        <v>00</v>
      </c>
      <c r="K852" t="str">
        <f>DEC2HEX(_xlfn.BITAND(HEX2DEC(MID('paste from garc here'!$C$1,1+(('table for research'!$B852-1)*36+HEX2DEC(8))*2,2)),31),2)</f>
        <v>00</v>
      </c>
      <c r="L852" t="str">
        <f>DEC2HEX(_xlfn.BITAND(HEX2DEC(MID('paste from garc here'!$C$1,1+(('table for research'!$B852-1)*36+HEX2DEC(8))*2,2)),32),2)</f>
        <v>00</v>
      </c>
      <c r="M852" t="str">
        <f>DEC2HEX(_xlfn.BITAND(HEX2DEC(MID('paste from garc here'!$C$1,1+(('table for research'!$B852-1)*36+HEX2DEC(8))*2,2)),64),2)</f>
        <v>00</v>
      </c>
      <c r="N852" t="str">
        <f>DEC2HEX(_xlfn.BITRSHIFT(_xlfn.BITAND(HEX2DEC(MID('paste from garc here'!$C$1,1+(('table for research'!$B852-1)*36+HEX2DEC(9))*2,2)&amp;MID('paste from garc here'!$C$1,1+(('table for research'!$B852-1)*36+HEX2DEC(8))*2,2)),1920),7),2)</f>
        <v>00</v>
      </c>
      <c r="O852" t="str">
        <f>DEC2HEX(_xlfn.BITRSHIFT(HEX2DEC(MID('paste from garc here'!$C$1,1+(('table for research'!$B852-1)*36+HEX2DEC(9))*2,2)&amp;MID('paste from garc here'!$C$1,1+(('table for research'!$B852-1)*36+HEX2DEC(8))*2,2)),11),2)</f>
        <v>00</v>
      </c>
      <c r="P852" t="str">
        <f>MID('paste from garc here'!$C$2,1+(('table for research'!$B852-456)*36+HEX2DEC('table for research'!P$1))*2,2)</f>
        <v>00</v>
      </c>
      <c r="Q852" t="str">
        <f>MID('paste from garc here'!$C$2,1+(('table for research'!$B852-456)*36+HEX2DEC('table for research'!Q$1))*2,2)</f>
        <v>00</v>
      </c>
      <c r="R852" t="str">
        <f>MID('paste from garc here'!$C$2,1+(('table for research'!$B852-456)*36+HEX2DEC('table for research'!R$1))*2,2)</f>
        <v>00</v>
      </c>
      <c r="S852" t="str">
        <f>MID('paste from garc here'!$C$2,1+(('table for research'!$B852-456)*36+HEX2DEC('table for research'!S$1))*2,2)</f>
        <v>08</v>
      </c>
      <c r="T852" t="str">
        <f>MID('paste from garc here'!$C$2,1+(('table for research'!$B852-456)*36+HEX2DEC('table for research'!T$1))*2,2)</f>
        <v>00</v>
      </c>
      <c r="U852" t="str">
        <f>MID('paste from garc here'!$C$2,1+(('table for research'!$B852-456)*36+HEX2DEC('table for research'!U$1))*2,2)</f>
        <v>02</v>
      </c>
      <c r="V852" t="str">
        <f>MID('paste from garc here'!$C$2,1+(('table for research'!$B852-456)*36+HEX2DEC('table for research'!V$1))*2,2)</f>
        <v>00</v>
      </c>
      <c r="W852" t="str">
        <f>MID('paste from garc here'!$C$2,1+(('table for research'!$B852-456)*36+HEX2DEC('table for research'!W$1))*2,2)</f>
        <v>00</v>
      </c>
      <c r="X852" t="str">
        <f>MID('paste from garc here'!$C$2,1+(('table for research'!$B852-456)*36+HEX2DEC('table for research'!X$1))*2,2)</f>
        <v>00</v>
      </c>
      <c r="Y852" t="str">
        <f>MID('paste from garc here'!$C$2,1+(('table for research'!$B852-456)*36+HEX2DEC('table for research'!Y$1))*2,2)</f>
        <v>00</v>
      </c>
      <c r="Z852" t="str">
        <f>MID('paste from garc here'!$C$2,1+(('table for research'!$B852-456)*36+HEX2DEC('table for research'!Z$1))*2,2)</f>
        <v>00</v>
      </c>
      <c r="AA852" t="str">
        <f>MID('paste from garc here'!$C$2,1+(('table for research'!$B852-456)*36+HEX2DEC('table for research'!AA$1))*2,2)</f>
        <v>00</v>
      </c>
      <c r="AB852" t="str">
        <f>MID('paste from garc here'!$C$2,1+(('table for research'!$B852-456)*36+HEX2DEC('table for research'!AB$1))*2,2)</f>
        <v>00</v>
      </c>
      <c r="AC852" t="str">
        <f>MID('paste from garc here'!$C$2,1+(('table for research'!$B852-456)*36+HEX2DEC('table for research'!AC$1))*2,2)</f>
        <v>00</v>
      </c>
      <c r="AD852" t="str">
        <f>MID('paste from garc here'!$C$2,1+(('table for research'!$B852-456)*36+HEX2DEC('table for research'!AD$1))*2,2)</f>
        <v>00</v>
      </c>
      <c r="AE852" t="str">
        <f>MID('paste from garc here'!$C$2,1+(('table for research'!$B852-456)*36+HEX2DEC('table for research'!AE$1))*2,2)</f>
        <v>00</v>
      </c>
      <c r="AF852" t="str">
        <f>MID('paste from garc here'!$C$2,1+(('table for research'!$B852-456)*36+HEX2DEC('table for research'!AF$1))*2,2)</f>
        <v>00</v>
      </c>
      <c r="AG852" t="str">
        <f>MID('paste from garc here'!$C$2,1+(('table for research'!$B852-456)*36+HEX2DEC('table for research'!AG$1))*2,2)</f>
        <v>00</v>
      </c>
      <c r="AH852" t="str">
        <f>MID('paste from garc here'!$C$2,1+(('table for research'!$B852-456)*36+HEX2DEC('table for research'!AH$1))*2,2)</f>
        <v>00</v>
      </c>
      <c r="AI852" t="str">
        <f>MID('paste from garc here'!$C$2,1+(('table for research'!$B852-456)*36+HEX2DEC('table for research'!AI$1))*2,2)</f>
        <v>00</v>
      </c>
      <c r="AJ852" t="str">
        <f>MID('paste from garc here'!$C$2,1+(('table for research'!$B852-456)*36+HEX2DEC('table for research'!AJ$1))*2,2)</f>
        <v>00</v>
      </c>
      <c r="AK852" t="str">
        <f>MID('paste from garc here'!$C$2,1+(('table for research'!$B852-456)*36+HEX2DEC('table for research'!AK$1))*2,2)</f>
        <v>00</v>
      </c>
      <c r="AL852" t="str">
        <f>MID('paste from garc here'!$C$2,1+(('table for research'!$B852-456)*36+HEX2DEC('table for research'!AL$1))*2,2)</f>
        <v>00</v>
      </c>
      <c r="AM852" t="str">
        <f>MID('paste from garc here'!$C$2,1+(('table for research'!$B852-456)*36+HEX2DEC('table for research'!AM$1))*2,2)</f>
        <v>00</v>
      </c>
      <c r="AN852" t="str">
        <f>MID('paste from garc here'!$C$2,1+(('table for research'!$B852-456)*36+HEX2DEC('table for research'!AN$1))*2,2)</f>
        <v>00</v>
      </c>
      <c r="AO852" t="str">
        <f>MID('paste from garc here'!$C$2,1+(('table for research'!$B852-456)*36+HEX2DEC('table for research'!AO$1))*2,2)</f>
        <v>00</v>
      </c>
    </row>
    <row r="853" spans="1:41" x14ac:dyDescent="0.4">
      <c r="A853" t="s">
        <v>839</v>
      </c>
      <c r="B853">
        <f>B852+1</f>
        <v>851</v>
      </c>
      <c r="C853" t="str">
        <f>MID('paste from garc here'!$C$2,1+(('table for research'!$B853-456)*36+HEX2DEC('table for research'!C$1))*2,2)</f>
        <v>2C</v>
      </c>
      <c r="D853" t="str">
        <f>MID('paste from garc here'!$C$2,1+(('table for research'!$B853-456)*36+HEX2DEC('table for research'!D$1))*2,2)</f>
        <v>01</v>
      </c>
      <c r="E853" t="str">
        <f>MID('paste from garc here'!$C$2,1+(('table for research'!$B853-456)*36+HEX2DEC('table for research'!E$1))*2,2)</f>
        <v>00</v>
      </c>
      <c r="F853" t="str">
        <f>MID('paste from garc here'!$C$2,1+(('table for research'!$B853-456)*36+HEX2DEC('table for research'!F$1))*2,2)</f>
        <v>00</v>
      </c>
      <c r="G853" t="str">
        <f>MID('paste from garc here'!$C$2,1+(('table for research'!$B853-456)*36+HEX2DEC('table for research'!G$1))*2,2)</f>
        <v>00</v>
      </c>
      <c r="H853" t="str">
        <f>MID('paste from garc here'!$C$2,1+(('table for research'!$B853-456)*36+HEX2DEC('table for research'!H$1))*2,2)</f>
        <v>00</v>
      </c>
      <c r="I853" t="str">
        <f>MID('paste from garc here'!$C$2,1+(('table for research'!$B853-456)*36+HEX2DEC('table for research'!I$1))*2,2)</f>
        <v>00</v>
      </c>
      <c r="J853" t="str">
        <f>MID('paste from garc here'!$C$2,1+(('table for research'!$B853-456)*36+HEX2DEC('table for research'!J$1))*2,2)</f>
        <v>00</v>
      </c>
      <c r="K853" t="str">
        <f>DEC2HEX(_xlfn.BITAND(HEX2DEC(MID('paste from garc here'!$C$1,1+(('table for research'!$B853-1)*36+HEX2DEC(8))*2,2)),31),2)</f>
        <v>00</v>
      </c>
      <c r="L853" t="str">
        <f>DEC2HEX(_xlfn.BITAND(HEX2DEC(MID('paste from garc here'!$C$1,1+(('table for research'!$B853-1)*36+HEX2DEC(8))*2,2)),32),2)</f>
        <v>00</v>
      </c>
      <c r="M853" t="str">
        <f>DEC2HEX(_xlfn.BITAND(HEX2DEC(MID('paste from garc here'!$C$1,1+(('table for research'!$B853-1)*36+HEX2DEC(8))*2,2)),64),2)</f>
        <v>00</v>
      </c>
      <c r="N853" t="str">
        <f>DEC2HEX(_xlfn.BITRSHIFT(_xlfn.BITAND(HEX2DEC(MID('paste from garc here'!$C$1,1+(('table for research'!$B853-1)*36+HEX2DEC(9))*2,2)&amp;MID('paste from garc here'!$C$1,1+(('table for research'!$B853-1)*36+HEX2DEC(8))*2,2)),1920),7),2)</f>
        <v>00</v>
      </c>
      <c r="O853" t="str">
        <f>DEC2HEX(_xlfn.BITRSHIFT(HEX2DEC(MID('paste from garc here'!$C$1,1+(('table for research'!$B853-1)*36+HEX2DEC(9))*2,2)&amp;MID('paste from garc here'!$C$1,1+(('table for research'!$B853-1)*36+HEX2DEC(8))*2,2)),11),2)</f>
        <v>00</v>
      </c>
      <c r="P853" t="str">
        <f>MID('paste from garc here'!$C$2,1+(('table for research'!$B853-456)*36+HEX2DEC('table for research'!P$1))*2,2)</f>
        <v>00</v>
      </c>
      <c r="Q853" t="str">
        <f>MID('paste from garc here'!$C$2,1+(('table for research'!$B853-456)*36+HEX2DEC('table for research'!Q$1))*2,2)</f>
        <v>01</v>
      </c>
      <c r="R853" t="str">
        <f>MID('paste from garc here'!$C$2,1+(('table for research'!$B853-456)*36+HEX2DEC('table for research'!R$1))*2,2)</f>
        <v>02</v>
      </c>
      <c r="S853" t="str">
        <f>MID('paste from garc here'!$C$2,1+(('table for research'!$B853-456)*36+HEX2DEC('table for research'!S$1))*2,2)</f>
        <v>04</v>
      </c>
      <c r="T853" t="str">
        <f>MID('paste from garc here'!$C$2,1+(('table for research'!$B853-456)*36+HEX2DEC('table for research'!T$1))*2,2)</f>
        <v>00</v>
      </c>
      <c r="U853" t="str">
        <f>MID('paste from garc here'!$C$2,1+(('table for research'!$B853-456)*36+HEX2DEC('table for research'!U$1))*2,2)</f>
        <v>19</v>
      </c>
      <c r="V853" t="str">
        <f>MID('paste from garc here'!$C$2,1+(('table for research'!$B853-456)*36+HEX2DEC('table for research'!V$1))*2,2)</f>
        <v>19</v>
      </c>
      <c r="W853" t="str">
        <f>MID('paste from garc here'!$C$2,1+(('table for research'!$B853-456)*36+HEX2DEC('table for research'!W$1))*2,2)</f>
        <v>00</v>
      </c>
      <c r="X853" t="str">
        <f>MID('paste from garc here'!$C$2,1+(('table for research'!$B853-456)*36+HEX2DEC('table for research'!X$1))*2,2)</f>
        <v>00</v>
      </c>
      <c r="Y853" t="str">
        <f>MID('paste from garc here'!$C$2,1+(('table for research'!$B853-456)*36+HEX2DEC('table for research'!Y$1))*2,2)</f>
        <v>00</v>
      </c>
      <c r="Z853" t="str">
        <f>MID('paste from garc here'!$C$2,1+(('table for research'!$B853-456)*36+HEX2DEC('table for research'!Z$1))*2,2)</f>
        <v>00</v>
      </c>
      <c r="AA853" t="str">
        <f>MID('paste from garc here'!$C$2,1+(('table for research'!$B853-456)*36+HEX2DEC('table for research'!AA$1))*2,2)</f>
        <v>00</v>
      </c>
      <c r="AB853" t="str">
        <f>MID('paste from garc here'!$C$2,1+(('table for research'!$B853-456)*36+HEX2DEC('table for research'!AB$1))*2,2)</f>
        <v>00</v>
      </c>
      <c r="AC853" t="str">
        <f>MID('paste from garc here'!$C$2,1+(('table for research'!$B853-456)*36+HEX2DEC('table for research'!AC$1))*2,2)</f>
        <v>00</v>
      </c>
      <c r="AD853" t="str">
        <f>MID('paste from garc here'!$C$2,1+(('table for research'!$B853-456)*36+HEX2DEC('table for research'!AD$1))*2,2)</f>
        <v>00</v>
      </c>
      <c r="AE853" t="str">
        <f>MID('paste from garc here'!$C$2,1+(('table for research'!$B853-456)*36+HEX2DEC('table for research'!AE$1))*2,2)</f>
        <v>00</v>
      </c>
      <c r="AF853" t="str">
        <f>MID('paste from garc here'!$C$2,1+(('table for research'!$B853-456)*36+HEX2DEC('table for research'!AF$1))*2,2)</f>
        <v>00</v>
      </c>
      <c r="AG853" t="str">
        <f>MID('paste from garc here'!$C$2,1+(('table for research'!$B853-456)*36+HEX2DEC('table for research'!AG$1))*2,2)</f>
        <v>00</v>
      </c>
      <c r="AH853" t="str">
        <f>MID('paste from garc here'!$C$2,1+(('table for research'!$B853-456)*36+HEX2DEC('table for research'!AH$1))*2,2)</f>
        <v>00</v>
      </c>
      <c r="AI853" t="str">
        <f>MID('paste from garc here'!$C$2,1+(('table for research'!$B853-456)*36+HEX2DEC('table for research'!AI$1))*2,2)</f>
        <v>00</v>
      </c>
      <c r="AJ853" t="str">
        <f>MID('paste from garc here'!$C$2,1+(('table for research'!$B853-456)*36+HEX2DEC('table for research'!AJ$1))*2,2)</f>
        <v>00</v>
      </c>
      <c r="AK853" t="str">
        <f>MID('paste from garc here'!$C$2,1+(('table for research'!$B853-456)*36+HEX2DEC('table for research'!AK$1))*2,2)</f>
        <v>00</v>
      </c>
      <c r="AL853" t="str">
        <f>MID('paste from garc here'!$C$2,1+(('table for research'!$B853-456)*36+HEX2DEC('table for research'!AL$1))*2,2)</f>
        <v>00</v>
      </c>
      <c r="AM853" t="str">
        <f>MID('paste from garc here'!$C$2,1+(('table for research'!$B853-456)*36+HEX2DEC('table for research'!AM$1))*2,2)</f>
        <v>00</v>
      </c>
      <c r="AN853" t="str">
        <f>MID('paste from garc here'!$C$2,1+(('table for research'!$B853-456)*36+HEX2DEC('table for research'!AN$1))*2,2)</f>
        <v>00</v>
      </c>
      <c r="AO853" t="str">
        <f>MID('paste from garc here'!$C$2,1+(('table for research'!$B853-456)*36+HEX2DEC('table for research'!AO$1))*2,2)</f>
        <v>00</v>
      </c>
    </row>
    <row r="854" spans="1:41" x14ac:dyDescent="0.4">
      <c r="A854" t="s">
        <v>840</v>
      </c>
      <c r="B854">
        <f>B853+1</f>
        <v>852</v>
      </c>
      <c r="C854" t="str">
        <f>MID('paste from garc here'!$C$2,1+(('table for research'!$B854-456)*36+HEX2DEC('table for research'!C$1))*2,2)</f>
        <v>8C</v>
      </c>
      <c r="D854" t="str">
        <f>MID('paste from garc here'!$C$2,1+(('table for research'!$B854-456)*36+HEX2DEC('table for research'!D$1))*2,2)</f>
        <v>00</v>
      </c>
      <c r="E854" t="str">
        <f>MID('paste from garc here'!$C$2,1+(('table for research'!$B854-456)*36+HEX2DEC('table for research'!E$1))*2,2)</f>
        <v>00</v>
      </c>
      <c r="F854" t="str">
        <f>MID('paste from garc here'!$C$2,1+(('table for research'!$B854-456)*36+HEX2DEC('table for research'!F$1))*2,2)</f>
        <v>00</v>
      </c>
      <c r="G854" t="str">
        <f>MID('paste from garc here'!$C$2,1+(('table for research'!$B854-456)*36+HEX2DEC('table for research'!G$1))*2,2)</f>
        <v>00</v>
      </c>
      <c r="H854" t="str">
        <f>MID('paste from garc here'!$C$2,1+(('table for research'!$B854-456)*36+HEX2DEC('table for research'!H$1))*2,2)</f>
        <v>00</v>
      </c>
      <c r="I854" t="str">
        <f>MID('paste from garc here'!$C$2,1+(('table for research'!$B854-456)*36+HEX2DEC('table for research'!I$1))*2,2)</f>
        <v>1E</v>
      </c>
      <c r="J854" t="str">
        <f>MID('paste from garc here'!$C$2,1+(('table for research'!$B854-456)*36+HEX2DEC('table for research'!J$1))*2,2)</f>
        <v>00</v>
      </c>
      <c r="K854" t="str">
        <f>DEC2HEX(_xlfn.BITAND(HEX2DEC(MID('paste from garc here'!$C$1,1+(('table for research'!$B854-1)*36+HEX2DEC(8))*2,2)),31),2)</f>
        <v>00</v>
      </c>
      <c r="L854" t="str">
        <f>DEC2HEX(_xlfn.BITAND(HEX2DEC(MID('paste from garc here'!$C$1,1+(('table for research'!$B854-1)*36+HEX2DEC(8))*2,2)),32),2)</f>
        <v>00</v>
      </c>
      <c r="M854" t="str">
        <f>DEC2HEX(_xlfn.BITAND(HEX2DEC(MID('paste from garc here'!$C$1,1+(('table for research'!$B854-1)*36+HEX2DEC(8))*2,2)),64),2)</f>
        <v>00</v>
      </c>
      <c r="N854" t="str">
        <f>DEC2HEX(_xlfn.BITRSHIFT(_xlfn.BITAND(HEX2DEC(MID('paste from garc here'!$C$1,1+(('table for research'!$B854-1)*36+HEX2DEC(9))*2,2)&amp;MID('paste from garc here'!$C$1,1+(('table for research'!$B854-1)*36+HEX2DEC(8))*2,2)),1920),7),2)</f>
        <v>00</v>
      </c>
      <c r="O854" t="str">
        <f>DEC2HEX(_xlfn.BITRSHIFT(HEX2DEC(MID('paste from garc here'!$C$1,1+(('table for research'!$B854-1)*36+HEX2DEC(9))*2,2)&amp;MID('paste from garc here'!$C$1,1+(('table for research'!$B854-1)*36+HEX2DEC(8))*2,2)),11),2)</f>
        <v>00</v>
      </c>
      <c r="P854" t="str">
        <f>MID('paste from garc here'!$C$2,1+(('table for research'!$B854-456)*36+HEX2DEC('table for research'!P$1))*2,2)</f>
        <v>01</v>
      </c>
      <c r="Q854" t="str">
        <f>MID('paste from garc here'!$C$2,1+(('table for research'!$B854-456)*36+HEX2DEC('table for research'!Q$1))*2,2)</f>
        <v>02</v>
      </c>
      <c r="R854" t="str">
        <f>MID('paste from garc here'!$C$2,1+(('table for research'!$B854-456)*36+HEX2DEC('table for research'!R$1))*2,2)</f>
        <v>01</v>
      </c>
      <c r="S854" t="str">
        <f>MID('paste from garc here'!$C$2,1+(('table for research'!$B854-456)*36+HEX2DEC('table for research'!S$1))*2,2)</f>
        <v>00</v>
      </c>
      <c r="T854" t="str">
        <f>MID('paste from garc here'!$C$2,1+(('table for research'!$B854-456)*36+HEX2DEC('table for research'!T$1))*2,2)</f>
        <v>00</v>
      </c>
      <c r="U854" t="str">
        <f>MID('paste from garc here'!$C$2,1+(('table for research'!$B854-456)*36+HEX2DEC('table for research'!U$1))*2,2)</f>
        <v>21</v>
      </c>
      <c r="V854" t="str">
        <f>MID('paste from garc here'!$C$2,1+(('table for research'!$B854-456)*36+HEX2DEC('table for research'!V$1))*2,2)</f>
        <v>3F</v>
      </c>
      <c r="W854" t="str">
        <f>MID('paste from garc here'!$C$2,1+(('table for research'!$B854-456)*36+HEX2DEC('table for research'!W$1))*2,2)</f>
        <v>00</v>
      </c>
      <c r="X854" t="str">
        <f>MID('paste from garc here'!$C$2,1+(('table for research'!$B854-456)*36+HEX2DEC('table for research'!X$1))*2,2)</f>
        <v>00</v>
      </c>
      <c r="Y854" t="str">
        <f>MID('paste from garc here'!$C$2,1+(('table for research'!$B854-456)*36+HEX2DEC('table for research'!Y$1))*2,2)</f>
        <v>00</v>
      </c>
      <c r="Z854" t="str">
        <f>MID('paste from garc here'!$C$2,1+(('table for research'!$B854-456)*36+HEX2DEC('table for research'!Z$1))*2,2)</f>
        <v>00</v>
      </c>
      <c r="AA854" t="str">
        <f>MID('paste from garc here'!$C$2,1+(('table for research'!$B854-456)*36+HEX2DEC('table for research'!AA$1))*2,2)</f>
        <v>00</v>
      </c>
      <c r="AB854" t="str">
        <f>MID('paste from garc here'!$C$2,1+(('table for research'!$B854-456)*36+HEX2DEC('table for research'!AB$1))*2,2)</f>
        <v>00</v>
      </c>
      <c r="AC854" t="str">
        <f>MID('paste from garc here'!$C$2,1+(('table for research'!$B854-456)*36+HEX2DEC('table for research'!AC$1))*2,2)</f>
        <v>00</v>
      </c>
      <c r="AD854" t="str">
        <f>MID('paste from garc here'!$C$2,1+(('table for research'!$B854-456)*36+HEX2DEC('table for research'!AD$1))*2,2)</f>
        <v>00</v>
      </c>
      <c r="AE854" t="str">
        <f>MID('paste from garc here'!$C$2,1+(('table for research'!$B854-456)*36+HEX2DEC('table for research'!AE$1))*2,2)</f>
        <v>00</v>
      </c>
      <c r="AF854" t="str">
        <f>MID('paste from garc here'!$C$2,1+(('table for research'!$B854-456)*36+HEX2DEC('table for research'!AF$1))*2,2)</f>
        <v>00</v>
      </c>
      <c r="AG854" t="str">
        <f>MID('paste from garc here'!$C$2,1+(('table for research'!$B854-456)*36+HEX2DEC('table for research'!AG$1))*2,2)</f>
        <v>00</v>
      </c>
      <c r="AH854" t="str">
        <f>MID('paste from garc here'!$C$2,1+(('table for research'!$B854-456)*36+HEX2DEC('table for research'!AH$1))*2,2)</f>
        <v>00</v>
      </c>
      <c r="AI854" t="str">
        <f>MID('paste from garc here'!$C$2,1+(('table for research'!$B854-456)*36+HEX2DEC('table for research'!AI$1))*2,2)</f>
        <v>00</v>
      </c>
      <c r="AJ854" t="str">
        <f>MID('paste from garc here'!$C$2,1+(('table for research'!$B854-456)*36+HEX2DEC('table for research'!AJ$1))*2,2)</f>
        <v>00</v>
      </c>
      <c r="AK854" t="str">
        <f>MID('paste from garc here'!$C$2,1+(('table for research'!$B854-456)*36+HEX2DEC('table for research'!AK$1))*2,2)</f>
        <v>00</v>
      </c>
      <c r="AL854" t="str">
        <f>MID('paste from garc here'!$C$2,1+(('table for research'!$B854-456)*36+HEX2DEC('table for research'!AL$1))*2,2)</f>
        <v>00</v>
      </c>
      <c r="AM854" t="str">
        <f>MID('paste from garc here'!$C$2,1+(('table for research'!$B854-456)*36+HEX2DEC('table for research'!AM$1))*2,2)</f>
        <v>00</v>
      </c>
      <c r="AN854" t="str">
        <f>MID('paste from garc here'!$C$2,1+(('table for research'!$B854-456)*36+HEX2DEC('table for research'!AN$1))*2,2)</f>
        <v>00</v>
      </c>
      <c r="AO854" t="str">
        <f>MID('paste from garc here'!$C$2,1+(('table for research'!$B854-456)*36+HEX2DEC('table for research'!AO$1))*2,2)</f>
        <v>00</v>
      </c>
    </row>
    <row r="855" spans="1:41" x14ac:dyDescent="0.4">
      <c r="A855" t="s">
        <v>841</v>
      </c>
      <c r="B855">
        <f>B854+1</f>
        <v>853</v>
      </c>
      <c r="C855" t="str">
        <f>MID('paste from garc here'!$C$2,1+(('table for research'!$B855-456)*36+HEX2DEC('table for research'!C$1))*2,2)</f>
        <v>1E</v>
      </c>
      <c r="D855" t="str">
        <f>MID('paste from garc here'!$C$2,1+(('table for research'!$B855-456)*36+HEX2DEC('table for research'!D$1))*2,2)</f>
        <v>00</v>
      </c>
      <c r="E855" t="str">
        <f>MID('paste from garc here'!$C$2,1+(('table for research'!$B855-456)*36+HEX2DEC('table for research'!E$1))*2,2)</f>
        <v>00</v>
      </c>
      <c r="F855" t="str">
        <f>MID('paste from garc here'!$C$2,1+(('table for research'!$B855-456)*36+HEX2DEC('table for research'!F$1))*2,2)</f>
        <v>00</v>
      </c>
      <c r="G855" t="str">
        <f>MID('paste from garc here'!$C$2,1+(('table for research'!$B855-456)*36+HEX2DEC('table for research'!G$1))*2,2)</f>
        <v>00</v>
      </c>
      <c r="H855" t="str">
        <f>MID('paste from garc here'!$C$2,1+(('table for research'!$B855-456)*36+HEX2DEC('table for research'!H$1))*2,2)</f>
        <v>00</v>
      </c>
      <c r="I855" t="str">
        <f>MID('paste from garc here'!$C$2,1+(('table for research'!$B855-456)*36+HEX2DEC('table for research'!I$1))*2,2)</f>
        <v>0A</v>
      </c>
      <c r="J855" t="str">
        <f>MID('paste from garc here'!$C$2,1+(('table for research'!$B855-456)*36+HEX2DEC('table for research'!J$1))*2,2)</f>
        <v>00</v>
      </c>
      <c r="K855" t="str">
        <f>DEC2HEX(_xlfn.BITAND(HEX2DEC(MID('paste from garc here'!$C$1,1+(('table for research'!$B855-1)*36+HEX2DEC(8))*2,2)),31),2)</f>
        <v>00</v>
      </c>
      <c r="L855" t="str">
        <f>DEC2HEX(_xlfn.BITAND(HEX2DEC(MID('paste from garc here'!$C$1,1+(('table for research'!$B855-1)*36+HEX2DEC(8))*2,2)),32),2)</f>
        <v>00</v>
      </c>
      <c r="M855" t="str">
        <f>DEC2HEX(_xlfn.BITAND(HEX2DEC(MID('paste from garc here'!$C$1,1+(('table for research'!$B855-1)*36+HEX2DEC(8))*2,2)),64),2)</f>
        <v>00</v>
      </c>
      <c r="N855" t="str">
        <f>DEC2HEX(_xlfn.BITRSHIFT(_xlfn.BITAND(HEX2DEC(MID('paste from garc here'!$C$1,1+(('table for research'!$B855-1)*36+HEX2DEC(9))*2,2)&amp;MID('paste from garc here'!$C$1,1+(('table for research'!$B855-1)*36+HEX2DEC(8))*2,2)),1920),7),2)</f>
        <v>00</v>
      </c>
      <c r="O855" t="str">
        <f>DEC2HEX(_xlfn.BITRSHIFT(HEX2DEC(MID('paste from garc here'!$C$1,1+(('table for research'!$B855-1)*36+HEX2DEC(9))*2,2)&amp;MID('paste from garc here'!$C$1,1+(('table for research'!$B855-1)*36+HEX2DEC(8))*2,2)),11),2)</f>
        <v>00</v>
      </c>
      <c r="P855" t="str">
        <f>MID('paste from garc here'!$C$2,1+(('table for research'!$B855-456)*36+HEX2DEC('table for research'!P$1))*2,2)</f>
        <v>0F</v>
      </c>
      <c r="Q855" t="str">
        <f>MID('paste from garc here'!$C$2,1+(('table for research'!$B855-456)*36+HEX2DEC('table for research'!Q$1))*2,2)</f>
        <v>00</v>
      </c>
      <c r="R855" t="str">
        <f>MID('paste from garc here'!$C$2,1+(('table for research'!$B855-456)*36+HEX2DEC('table for research'!R$1))*2,2)</f>
        <v>00</v>
      </c>
      <c r="S855" t="str">
        <f>MID('paste from garc here'!$C$2,1+(('table for research'!$B855-456)*36+HEX2DEC('table for research'!S$1))*2,2)</f>
        <v>02</v>
      </c>
      <c r="T855" t="str">
        <f>MID('paste from garc here'!$C$2,1+(('table for research'!$B855-456)*36+HEX2DEC('table for research'!T$1))*2,2)</f>
        <v>00</v>
      </c>
      <c r="U855" t="str">
        <f>MID('paste from garc here'!$C$2,1+(('table for research'!$B855-456)*36+HEX2DEC('table for research'!U$1))*2,2)</f>
        <v>AB</v>
      </c>
      <c r="V855" t="str">
        <f>MID('paste from garc here'!$C$2,1+(('table for research'!$B855-456)*36+HEX2DEC('table for research'!V$1))*2,2)</f>
        <v>00</v>
      </c>
      <c r="W855" t="str">
        <f>MID('paste from garc here'!$C$2,1+(('table for research'!$B855-456)*36+HEX2DEC('table for research'!W$1))*2,2)</f>
        <v>00</v>
      </c>
      <c r="X855" t="str">
        <f>MID('paste from garc here'!$C$2,1+(('table for research'!$B855-456)*36+HEX2DEC('table for research'!X$1))*2,2)</f>
        <v>00</v>
      </c>
      <c r="Y855" t="str">
        <f>MID('paste from garc here'!$C$2,1+(('table for research'!$B855-456)*36+HEX2DEC('table for research'!Y$1))*2,2)</f>
        <v>00</v>
      </c>
      <c r="Z855" t="str">
        <f>MID('paste from garc here'!$C$2,1+(('table for research'!$B855-456)*36+HEX2DEC('table for research'!Z$1))*2,2)</f>
        <v>00</v>
      </c>
      <c r="AA855" t="str">
        <f>MID('paste from garc here'!$C$2,1+(('table for research'!$B855-456)*36+HEX2DEC('table for research'!AA$1))*2,2)</f>
        <v>00</v>
      </c>
      <c r="AB855" t="str">
        <f>MID('paste from garc here'!$C$2,1+(('table for research'!$B855-456)*36+HEX2DEC('table for research'!AB$1))*2,2)</f>
        <v>00</v>
      </c>
      <c r="AC855" t="str">
        <f>MID('paste from garc here'!$C$2,1+(('table for research'!$B855-456)*36+HEX2DEC('table for research'!AC$1))*2,2)</f>
        <v>00</v>
      </c>
      <c r="AD855" t="str">
        <f>MID('paste from garc here'!$C$2,1+(('table for research'!$B855-456)*36+HEX2DEC('table for research'!AD$1))*2,2)</f>
        <v>00</v>
      </c>
      <c r="AE855" t="str">
        <f>MID('paste from garc here'!$C$2,1+(('table for research'!$B855-456)*36+HEX2DEC('table for research'!AE$1))*2,2)</f>
        <v>00</v>
      </c>
      <c r="AF855" t="str">
        <f>MID('paste from garc here'!$C$2,1+(('table for research'!$B855-456)*36+HEX2DEC('table for research'!AF$1))*2,2)</f>
        <v>00</v>
      </c>
      <c r="AG855" t="str">
        <f>MID('paste from garc here'!$C$2,1+(('table for research'!$B855-456)*36+HEX2DEC('table for research'!AG$1))*2,2)</f>
        <v>00</v>
      </c>
      <c r="AH855" t="str">
        <f>MID('paste from garc here'!$C$2,1+(('table for research'!$B855-456)*36+HEX2DEC('table for research'!AH$1))*2,2)</f>
        <v>00</v>
      </c>
      <c r="AI855" t="str">
        <f>MID('paste from garc here'!$C$2,1+(('table for research'!$B855-456)*36+HEX2DEC('table for research'!AI$1))*2,2)</f>
        <v>00</v>
      </c>
      <c r="AJ855" t="str">
        <f>MID('paste from garc here'!$C$2,1+(('table for research'!$B855-456)*36+HEX2DEC('table for research'!AJ$1))*2,2)</f>
        <v>00</v>
      </c>
      <c r="AK855" t="str">
        <f>MID('paste from garc here'!$C$2,1+(('table for research'!$B855-456)*36+HEX2DEC('table for research'!AK$1))*2,2)</f>
        <v>00</v>
      </c>
      <c r="AL855" t="str">
        <f>MID('paste from garc here'!$C$2,1+(('table for research'!$B855-456)*36+HEX2DEC('table for research'!AL$1))*2,2)</f>
        <v>00</v>
      </c>
      <c r="AM855" t="str">
        <f>MID('paste from garc here'!$C$2,1+(('table for research'!$B855-456)*36+HEX2DEC('table for research'!AM$1))*2,2)</f>
        <v>00</v>
      </c>
      <c r="AN855" t="str">
        <f>MID('paste from garc here'!$C$2,1+(('table for research'!$B855-456)*36+HEX2DEC('table for research'!AN$1))*2,2)</f>
        <v>00</v>
      </c>
      <c r="AO855" t="str">
        <f>MID('paste from garc here'!$C$2,1+(('table for research'!$B855-456)*36+HEX2DEC('table for research'!AO$1))*2,2)</f>
        <v>00</v>
      </c>
    </row>
    <row r="856" spans="1:41" x14ac:dyDescent="0.4">
      <c r="A856" t="s">
        <v>842</v>
      </c>
      <c r="B856">
        <f>B855+1</f>
        <v>854</v>
      </c>
      <c r="C856" t="str">
        <f>MID('paste from garc here'!$C$2,1+(('table for research'!$B856-456)*36+HEX2DEC('table for research'!C$1))*2,2)</f>
        <v>1E</v>
      </c>
      <c r="D856" t="str">
        <f>MID('paste from garc here'!$C$2,1+(('table for research'!$B856-456)*36+HEX2DEC('table for research'!D$1))*2,2)</f>
        <v>00</v>
      </c>
      <c r="E856" t="str">
        <f>MID('paste from garc here'!$C$2,1+(('table for research'!$B856-456)*36+HEX2DEC('table for research'!E$1))*2,2)</f>
        <v>00</v>
      </c>
      <c r="F856" t="str">
        <f>MID('paste from garc here'!$C$2,1+(('table for research'!$B856-456)*36+HEX2DEC('table for research'!F$1))*2,2)</f>
        <v>00</v>
      </c>
      <c r="G856" t="str">
        <f>MID('paste from garc here'!$C$2,1+(('table for research'!$B856-456)*36+HEX2DEC('table for research'!G$1))*2,2)</f>
        <v>00</v>
      </c>
      <c r="H856" t="str">
        <f>MID('paste from garc here'!$C$2,1+(('table for research'!$B856-456)*36+HEX2DEC('table for research'!H$1))*2,2)</f>
        <v>00</v>
      </c>
      <c r="I856" t="str">
        <f>MID('paste from garc here'!$C$2,1+(('table for research'!$B856-456)*36+HEX2DEC('table for research'!I$1))*2,2)</f>
        <v>0A</v>
      </c>
      <c r="J856" t="str">
        <f>MID('paste from garc here'!$C$2,1+(('table for research'!$B856-456)*36+HEX2DEC('table for research'!J$1))*2,2)</f>
        <v>00</v>
      </c>
      <c r="K856" t="str">
        <f>DEC2HEX(_xlfn.BITAND(HEX2DEC(MID('paste from garc here'!$C$1,1+(('table for research'!$B856-1)*36+HEX2DEC(8))*2,2)),31),2)</f>
        <v>00</v>
      </c>
      <c r="L856" t="str">
        <f>DEC2HEX(_xlfn.BITAND(HEX2DEC(MID('paste from garc here'!$C$1,1+(('table for research'!$B856-1)*36+HEX2DEC(8))*2,2)),32),2)</f>
        <v>00</v>
      </c>
      <c r="M856" t="str">
        <f>DEC2HEX(_xlfn.BITAND(HEX2DEC(MID('paste from garc here'!$C$1,1+(('table for research'!$B856-1)*36+HEX2DEC(8))*2,2)),64),2)</f>
        <v>00</v>
      </c>
      <c r="N856" t="str">
        <f>DEC2HEX(_xlfn.BITRSHIFT(_xlfn.BITAND(HEX2DEC(MID('paste from garc here'!$C$1,1+(('table for research'!$B856-1)*36+HEX2DEC(9))*2,2)&amp;MID('paste from garc here'!$C$1,1+(('table for research'!$B856-1)*36+HEX2DEC(8))*2,2)),1920),7),2)</f>
        <v>00</v>
      </c>
      <c r="O856" t="str">
        <f>DEC2HEX(_xlfn.BITRSHIFT(HEX2DEC(MID('paste from garc here'!$C$1,1+(('table for research'!$B856-1)*36+HEX2DEC(9))*2,2)&amp;MID('paste from garc here'!$C$1,1+(('table for research'!$B856-1)*36+HEX2DEC(8))*2,2)),11),2)</f>
        <v>00</v>
      </c>
      <c r="P856" t="str">
        <f>MID('paste from garc here'!$C$2,1+(('table for research'!$B856-456)*36+HEX2DEC('table for research'!P$1))*2,2)</f>
        <v>0F</v>
      </c>
      <c r="Q856" t="str">
        <f>MID('paste from garc here'!$C$2,1+(('table for research'!$B856-456)*36+HEX2DEC('table for research'!Q$1))*2,2)</f>
        <v>00</v>
      </c>
      <c r="R856" t="str">
        <f>MID('paste from garc here'!$C$2,1+(('table for research'!$B856-456)*36+HEX2DEC('table for research'!R$1))*2,2)</f>
        <v>00</v>
      </c>
      <c r="S856" t="str">
        <f>MID('paste from garc here'!$C$2,1+(('table for research'!$B856-456)*36+HEX2DEC('table for research'!S$1))*2,2)</f>
        <v>02</v>
      </c>
      <c r="T856" t="str">
        <f>MID('paste from garc here'!$C$2,1+(('table for research'!$B856-456)*36+HEX2DEC('table for research'!T$1))*2,2)</f>
        <v>00</v>
      </c>
      <c r="U856" t="str">
        <f>MID('paste from garc here'!$C$2,1+(('table for research'!$B856-456)*36+HEX2DEC('table for research'!U$1))*2,2)</f>
        <v>AC</v>
      </c>
      <c r="V856" t="str">
        <f>MID('paste from garc here'!$C$2,1+(('table for research'!$B856-456)*36+HEX2DEC('table for research'!V$1))*2,2)</f>
        <v>00</v>
      </c>
      <c r="W856" t="str">
        <f>MID('paste from garc here'!$C$2,1+(('table for research'!$B856-456)*36+HEX2DEC('table for research'!W$1))*2,2)</f>
        <v>00</v>
      </c>
      <c r="X856" t="str">
        <f>MID('paste from garc here'!$C$2,1+(('table for research'!$B856-456)*36+HEX2DEC('table for research'!X$1))*2,2)</f>
        <v>00</v>
      </c>
      <c r="Y856" t="str">
        <f>MID('paste from garc here'!$C$2,1+(('table for research'!$B856-456)*36+HEX2DEC('table for research'!Y$1))*2,2)</f>
        <v>00</v>
      </c>
      <c r="Z856" t="str">
        <f>MID('paste from garc here'!$C$2,1+(('table for research'!$B856-456)*36+HEX2DEC('table for research'!Z$1))*2,2)</f>
        <v>00</v>
      </c>
      <c r="AA856" t="str">
        <f>MID('paste from garc here'!$C$2,1+(('table for research'!$B856-456)*36+HEX2DEC('table for research'!AA$1))*2,2)</f>
        <v>00</v>
      </c>
      <c r="AB856" t="str">
        <f>MID('paste from garc here'!$C$2,1+(('table for research'!$B856-456)*36+HEX2DEC('table for research'!AB$1))*2,2)</f>
        <v>00</v>
      </c>
      <c r="AC856" t="str">
        <f>MID('paste from garc here'!$C$2,1+(('table for research'!$B856-456)*36+HEX2DEC('table for research'!AC$1))*2,2)</f>
        <v>00</v>
      </c>
      <c r="AD856" t="str">
        <f>MID('paste from garc here'!$C$2,1+(('table for research'!$B856-456)*36+HEX2DEC('table for research'!AD$1))*2,2)</f>
        <v>00</v>
      </c>
      <c r="AE856" t="str">
        <f>MID('paste from garc here'!$C$2,1+(('table for research'!$B856-456)*36+HEX2DEC('table for research'!AE$1))*2,2)</f>
        <v>00</v>
      </c>
      <c r="AF856" t="str">
        <f>MID('paste from garc here'!$C$2,1+(('table for research'!$B856-456)*36+HEX2DEC('table for research'!AF$1))*2,2)</f>
        <v>00</v>
      </c>
      <c r="AG856" t="str">
        <f>MID('paste from garc here'!$C$2,1+(('table for research'!$B856-456)*36+HEX2DEC('table for research'!AG$1))*2,2)</f>
        <v>00</v>
      </c>
      <c r="AH856" t="str">
        <f>MID('paste from garc here'!$C$2,1+(('table for research'!$B856-456)*36+HEX2DEC('table for research'!AH$1))*2,2)</f>
        <v>00</v>
      </c>
      <c r="AI856" t="str">
        <f>MID('paste from garc here'!$C$2,1+(('table for research'!$B856-456)*36+HEX2DEC('table for research'!AI$1))*2,2)</f>
        <v>00</v>
      </c>
      <c r="AJ856" t="str">
        <f>MID('paste from garc here'!$C$2,1+(('table for research'!$B856-456)*36+HEX2DEC('table for research'!AJ$1))*2,2)</f>
        <v>00</v>
      </c>
      <c r="AK856" t="str">
        <f>MID('paste from garc here'!$C$2,1+(('table for research'!$B856-456)*36+HEX2DEC('table for research'!AK$1))*2,2)</f>
        <v>00</v>
      </c>
      <c r="AL856" t="str">
        <f>MID('paste from garc here'!$C$2,1+(('table for research'!$B856-456)*36+HEX2DEC('table for research'!AL$1))*2,2)</f>
        <v>00</v>
      </c>
      <c r="AM856" t="str">
        <f>MID('paste from garc here'!$C$2,1+(('table for research'!$B856-456)*36+HEX2DEC('table for research'!AM$1))*2,2)</f>
        <v>00</v>
      </c>
      <c r="AN856" t="str">
        <f>MID('paste from garc here'!$C$2,1+(('table for research'!$B856-456)*36+HEX2DEC('table for research'!AN$1))*2,2)</f>
        <v>00</v>
      </c>
      <c r="AO856" t="str">
        <f>MID('paste from garc here'!$C$2,1+(('table for research'!$B856-456)*36+HEX2DEC('table for research'!AO$1))*2,2)</f>
        <v>00</v>
      </c>
    </row>
    <row r="857" spans="1:41" x14ac:dyDescent="0.4">
      <c r="A857" t="s">
        <v>843</v>
      </c>
      <c r="B857">
        <f>B856+1</f>
        <v>855</v>
      </c>
      <c r="C857" t="str">
        <f>MID('paste from garc here'!$C$2,1+(('table for research'!$B857-456)*36+HEX2DEC('table for research'!C$1))*2,2)</f>
        <v>1E</v>
      </c>
      <c r="D857" t="str">
        <f>MID('paste from garc here'!$C$2,1+(('table for research'!$B857-456)*36+HEX2DEC('table for research'!D$1))*2,2)</f>
        <v>00</v>
      </c>
      <c r="E857" t="str">
        <f>MID('paste from garc here'!$C$2,1+(('table for research'!$B857-456)*36+HEX2DEC('table for research'!E$1))*2,2)</f>
        <v>00</v>
      </c>
      <c r="F857" t="str">
        <f>MID('paste from garc here'!$C$2,1+(('table for research'!$B857-456)*36+HEX2DEC('table for research'!F$1))*2,2)</f>
        <v>00</v>
      </c>
      <c r="G857" t="str">
        <f>MID('paste from garc here'!$C$2,1+(('table for research'!$B857-456)*36+HEX2DEC('table for research'!G$1))*2,2)</f>
        <v>00</v>
      </c>
      <c r="H857" t="str">
        <f>MID('paste from garc here'!$C$2,1+(('table for research'!$B857-456)*36+HEX2DEC('table for research'!H$1))*2,2)</f>
        <v>00</v>
      </c>
      <c r="I857" t="str">
        <f>MID('paste from garc here'!$C$2,1+(('table for research'!$B857-456)*36+HEX2DEC('table for research'!I$1))*2,2)</f>
        <v>0A</v>
      </c>
      <c r="J857" t="str">
        <f>MID('paste from garc here'!$C$2,1+(('table for research'!$B857-456)*36+HEX2DEC('table for research'!J$1))*2,2)</f>
        <v>00</v>
      </c>
      <c r="K857" t="str">
        <f>DEC2HEX(_xlfn.BITAND(HEX2DEC(MID('paste from garc here'!$C$1,1+(('table for research'!$B857-1)*36+HEX2DEC(8))*2,2)),31),2)</f>
        <v>00</v>
      </c>
      <c r="L857" t="str">
        <f>DEC2HEX(_xlfn.BITAND(HEX2DEC(MID('paste from garc here'!$C$1,1+(('table for research'!$B857-1)*36+HEX2DEC(8))*2,2)),32),2)</f>
        <v>00</v>
      </c>
      <c r="M857" t="str">
        <f>DEC2HEX(_xlfn.BITAND(HEX2DEC(MID('paste from garc here'!$C$1,1+(('table for research'!$B857-1)*36+HEX2DEC(8))*2,2)),64),2)</f>
        <v>00</v>
      </c>
      <c r="N857" t="str">
        <f>DEC2HEX(_xlfn.BITRSHIFT(_xlfn.BITAND(HEX2DEC(MID('paste from garc here'!$C$1,1+(('table for research'!$B857-1)*36+HEX2DEC(9))*2,2)&amp;MID('paste from garc here'!$C$1,1+(('table for research'!$B857-1)*36+HEX2DEC(8))*2,2)),1920),7),2)</f>
        <v>00</v>
      </c>
      <c r="O857" t="str">
        <f>DEC2HEX(_xlfn.BITRSHIFT(HEX2DEC(MID('paste from garc here'!$C$1,1+(('table for research'!$B857-1)*36+HEX2DEC(9))*2,2)&amp;MID('paste from garc here'!$C$1,1+(('table for research'!$B857-1)*36+HEX2DEC(8))*2,2)),11),2)</f>
        <v>00</v>
      </c>
      <c r="P857" t="str">
        <f>MID('paste from garc here'!$C$2,1+(('table for research'!$B857-456)*36+HEX2DEC('table for research'!P$1))*2,2)</f>
        <v>0F</v>
      </c>
      <c r="Q857" t="str">
        <f>MID('paste from garc here'!$C$2,1+(('table for research'!$B857-456)*36+HEX2DEC('table for research'!Q$1))*2,2)</f>
        <v>00</v>
      </c>
      <c r="R857" t="str">
        <f>MID('paste from garc here'!$C$2,1+(('table for research'!$B857-456)*36+HEX2DEC('table for research'!R$1))*2,2)</f>
        <v>00</v>
      </c>
      <c r="S857" t="str">
        <f>MID('paste from garc here'!$C$2,1+(('table for research'!$B857-456)*36+HEX2DEC('table for research'!S$1))*2,2)</f>
        <v>02</v>
      </c>
      <c r="T857" t="str">
        <f>MID('paste from garc here'!$C$2,1+(('table for research'!$B857-456)*36+HEX2DEC('table for research'!T$1))*2,2)</f>
        <v>00</v>
      </c>
      <c r="U857" t="str">
        <f>MID('paste from garc here'!$C$2,1+(('table for research'!$B857-456)*36+HEX2DEC('table for research'!U$1))*2,2)</f>
        <v>AD</v>
      </c>
      <c r="V857" t="str">
        <f>MID('paste from garc here'!$C$2,1+(('table for research'!$B857-456)*36+HEX2DEC('table for research'!V$1))*2,2)</f>
        <v>00</v>
      </c>
      <c r="W857" t="str">
        <f>MID('paste from garc here'!$C$2,1+(('table for research'!$B857-456)*36+HEX2DEC('table for research'!W$1))*2,2)</f>
        <v>00</v>
      </c>
      <c r="X857" t="str">
        <f>MID('paste from garc here'!$C$2,1+(('table for research'!$B857-456)*36+HEX2DEC('table for research'!X$1))*2,2)</f>
        <v>00</v>
      </c>
      <c r="Y857" t="str">
        <f>MID('paste from garc here'!$C$2,1+(('table for research'!$B857-456)*36+HEX2DEC('table for research'!Y$1))*2,2)</f>
        <v>00</v>
      </c>
      <c r="Z857" t="str">
        <f>MID('paste from garc here'!$C$2,1+(('table for research'!$B857-456)*36+HEX2DEC('table for research'!Z$1))*2,2)</f>
        <v>00</v>
      </c>
      <c r="AA857" t="str">
        <f>MID('paste from garc here'!$C$2,1+(('table for research'!$B857-456)*36+HEX2DEC('table for research'!AA$1))*2,2)</f>
        <v>00</v>
      </c>
      <c r="AB857" t="str">
        <f>MID('paste from garc here'!$C$2,1+(('table for research'!$B857-456)*36+HEX2DEC('table for research'!AB$1))*2,2)</f>
        <v>00</v>
      </c>
      <c r="AC857" t="str">
        <f>MID('paste from garc here'!$C$2,1+(('table for research'!$B857-456)*36+HEX2DEC('table for research'!AC$1))*2,2)</f>
        <v>00</v>
      </c>
      <c r="AD857" t="str">
        <f>MID('paste from garc here'!$C$2,1+(('table for research'!$B857-456)*36+HEX2DEC('table for research'!AD$1))*2,2)</f>
        <v>00</v>
      </c>
      <c r="AE857" t="str">
        <f>MID('paste from garc here'!$C$2,1+(('table for research'!$B857-456)*36+HEX2DEC('table for research'!AE$1))*2,2)</f>
        <v>00</v>
      </c>
      <c r="AF857" t="str">
        <f>MID('paste from garc here'!$C$2,1+(('table for research'!$B857-456)*36+HEX2DEC('table for research'!AF$1))*2,2)</f>
        <v>00</v>
      </c>
      <c r="AG857" t="str">
        <f>MID('paste from garc here'!$C$2,1+(('table for research'!$B857-456)*36+HEX2DEC('table for research'!AG$1))*2,2)</f>
        <v>00</v>
      </c>
      <c r="AH857" t="str">
        <f>MID('paste from garc here'!$C$2,1+(('table for research'!$B857-456)*36+HEX2DEC('table for research'!AH$1))*2,2)</f>
        <v>00</v>
      </c>
      <c r="AI857" t="str">
        <f>MID('paste from garc here'!$C$2,1+(('table for research'!$B857-456)*36+HEX2DEC('table for research'!AI$1))*2,2)</f>
        <v>00</v>
      </c>
      <c r="AJ857" t="str">
        <f>MID('paste from garc here'!$C$2,1+(('table for research'!$B857-456)*36+HEX2DEC('table for research'!AJ$1))*2,2)</f>
        <v>00</v>
      </c>
      <c r="AK857" t="str">
        <f>MID('paste from garc here'!$C$2,1+(('table for research'!$B857-456)*36+HEX2DEC('table for research'!AK$1))*2,2)</f>
        <v>00</v>
      </c>
      <c r="AL857" t="str">
        <f>MID('paste from garc here'!$C$2,1+(('table for research'!$B857-456)*36+HEX2DEC('table for research'!AL$1))*2,2)</f>
        <v>00</v>
      </c>
      <c r="AM857" t="str">
        <f>MID('paste from garc here'!$C$2,1+(('table for research'!$B857-456)*36+HEX2DEC('table for research'!AM$1))*2,2)</f>
        <v>00</v>
      </c>
      <c r="AN857" t="str">
        <f>MID('paste from garc here'!$C$2,1+(('table for research'!$B857-456)*36+HEX2DEC('table for research'!AN$1))*2,2)</f>
        <v>00</v>
      </c>
      <c r="AO857" t="str">
        <f>MID('paste from garc here'!$C$2,1+(('table for research'!$B857-456)*36+HEX2DEC('table for research'!AO$1))*2,2)</f>
        <v>00</v>
      </c>
    </row>
    <row r="858" spans="1:41" x14ac:dyDescent="0.4">
      <c r="A858" t="s">
        <v>844</v>
      </c>
      <c r="B858">
        <f>B857+1</f>
        <v>856</v>
      </c>
      <c r="C858" t="str">
        <f>MID('paste from garc here'!$C$2,1+(('table for research'!$B858-456)*36+HEX2DEC('table for research'!C$1))*2,2)</f>
        <v>1E</v>
      </c>
      <c r="D858" t="str">
        <f>MID('paste from garc here'!$C$2,1+(('table for research'!$B858-456)*36+HEX2DEC('table for research'!D$1))*2,2)</f>
        <v>00</v>
      </c>
      <c r="E858" t="str">
        <f>MID('paste from garc here'!$C$2,1+(('table for research'!$B858-456)*36+HEX2DEC('table for research'!E$1))*2,2)</f>
        <v>00</v>
      </c>
      <c r="F858" t="str">
        <f>MID('paste from garc here'!$C$2,1+(('table for research'!$B858-456)*36+HEX2DEC('table for research'!F$1))*2,2)</f>
        <v>00</v>
      </c>
      <c r="G858" t="str">
        <f>MID('paste from garc here'!$C$2,1+(('table for research'!$B858-456)*36+HEX2DEC('table for research'!G$1))*2,2)</f>
        <v>00</v>
      </c>
      <c r="H858" t="str">
        <f>MID('paste from garc here'!$C$2,1+(('table for research'!$B858-456)*36+HEX2DEC('table for research'!H$1))*2,2)</f>
        <v>00</v>
      </c>
      <c r="I858" t="str">
        <f>MID('paste from garc here'!$C$2,1+(('table for research'!$B858-456)*36+HEX2DEC('table for research'!I$1))*2,2)</f>
        <v>0A</v>
      </c>
      <c r="J858" t="str">
        <f>MID('paste from garc here'!$C$2,1+(('table for research'!$B858-456)*36+HEX2DEC('table for research'!J$1))*2,2)</f>
        <v>00</v>
      </c>
      <c r="K858" t="str">
        <f>DEC2HEX(_xlfn.BITAND(HEX2DEC(MID('paste from garc here'!$C$1,1+(('table for research'!$B858-1)*36+HEX2DEC(8))*2,2)),31),2)</f>
        <v>00</v>
      </c>
      <c r="L858" t="str">
        <f>DEC2HEX(_xlfn.BITAND(HEX2DEC(MID('paste from garc here'!$C$1,1+(('table for research'!$B858-1)*36+HEX2DEC(8))*2,2)),32),2)</f>
        <v>00</v>
      </c>
      <c r="M858" t="str">
        <f>DEC2HEX(_xlfn.BITAND(HEX2DEC(MID('paste from garc here'!$C$1,1+(('table for research'!$B858-1)*36+HEX2DEC(8))*2,2)),64),2)</f>
        <v>00</v>
      </c>
      <c r="N858" t="str">
        <f>DEC2HEX(_xlfn.BITRSHIFT(_xlfn.BITAND(HEX2DEC(MID('paste from garc here'!$C$1,1+(('table for research'!$B858-1)*36+HEX2DEC(9))*2,2)&amp;MID('paste from garc here'!$C$1,1+(('table for research'!$B858-1)*36+HEX2DEC(8))*2,2)),1920),7),2)</f>
        <v>00</v>
      </c>
      <c r="O858" t="str">
        <f>DEC2HEX(_xlfn.BITRSHIFT(HEX2DEC(MID('paste from garc here'!$C$1,1+(('table for research'!$B858-1)*36+HEX2DEC(9))*2,2)&amp;MID('paste from garc here'!$C$1,1+(('table for research'!$B858-1)*36+HEX2DEC(8))*2,2)),11),2)</f>
        <v>00</v>
      </c>
      <c r="P858" t="str">
        <f>MID('paste from garc here'!$C$2,1+(('table for research'!$B858-456)*36+HEX2DEC('table for research'!P$1))*2,2)</f>
        <v>0F</v>
      </c>
      <c r="Q858" t="str">
        <f>MID('paste from garc here'!$C$2,1+(('table for research'!$B858-456)*36+HEX2DEC('table for research'!Q$1))*2,2)</f>
        <v>00</v>
      </c>
      <c r="R858" t="str">
        <f>MID('paste from garc here'!$C$2,1+(('table for research'!$B858-456)*36+HEX2DEC('table for research'!R$1))*2,2)</f>
        <v>00</v>
      </c>
      <c r="S858" t="str">
        <f>MID('paste from garc here'!$C$2,1+(('table for research'!$B858-456)*36+HEX2DEC('table for research'!S$1))*2,2)</f>
        <v>02</v>
      </c>
      <c r="T858" t="str">
        <f>MID('paste from garc here'!$C$2,1+(('table for research'!$B858-456)*36+HEX2DEC('table for research'!T$1))*2,2)</f>
        <v>00</v>
      </c>
      <c r="U858" t="str">
        <f>MID('paste from garc here'!$C$2,1+(('table for research'!$B858-456)*36+HEX2DEC('table for research'!U$1))*2,2)</f>
        <v>AE</v>
      </c>
      <c r="V858" t="str">
        <f>MID('paste from garc here'!$C$2,1+(('table for research'!$B858-456)*36+HEX2DEC('table for research'!V$1))*2,2)</f>
        <v>00</v>
      </c>
      <c r="W858" t="str">
        <f>MID('paste from garc here'!$C$2,1+(('table for research'!$B858-456)*36+HEX2DEC('table for research'!W$1))*2,2)</f>
        <v>00</v>
      </c>
      <c r="X858" t="str">
        <f>MID('paste from garc here'!$C$2,1+(('table for research'!$B858-456)*36+HEX2DEC('table for research'!X$1))*2,2)</f>
        <v>00</v>
      </c>
      <c r="Y858" t="str">
        <f>MID('paste from garc here'!$C$2,1+(('table for research'!$B858-456)*36+HEX2DEC('table for research'!Y$1))*2,2)</f>
        <v>00</v>
      </c>
      <c r="Z858" t="str">
        <f>MID('paste from garc here'!$C$2,1+(('table for research'!$B858-456)*36+HEX2DEC('table for research'!Z$1))*2,2)</f>
        <v>00</v>
      </c>
      <c r="AA858" t="str">
        <f>MID('paste from garc here'!$C$2,1+(('table for research'!$B858-456)*36+HEX2DEC('table for research'!AA$1))*2,2)</f>
        <v>00</v>
      </c>
      <c r="AB858" t="str">
        <f>MID('paste from garc here'!$C$2,1+(('table for research'!$B858-456)*36+HEX2DEC('table for research'!AB$1))*2,2)</f>
        <v>00</v>
      </c>
      <c r="AC858" t="str">
        <f>MID('paste from garc here'!$C$2,1+(('table for research'!$B858-456)*36+HEX2DEC('table for research'!AC$1))*2,2)</f>
        <v>00</v>
      </c>
      <c r="AD858" t="str">
        <f>MID('paste from garc here'!$C$2,1+(('table for research'!$B858-456)*36+HEX2DEC('table for research'!AD$1))*2,2)</f>
        <v>00</v>
      </c>
      <c r="AE858" t="str">
        <f>MID('paste from garc here'!$C$2,1+(('table for research'!$B858-456)*36+HEX2DEC('table for research'!AE$1))*2,2)</f>
        <v>00</v>
      </c>
      <c r="AF858" t="str">
        <f>MID('paste from garc here'!$C$2,1+(('table for research'!$B858-456)*36+HEX2DEC('table for research'!AF$1))*2,2)</f>
        <v>00</v>
      </c>
      <c r="AG858" t="str">
        <f>MID('paste from garc here'!$C$2,1+(('table for research'!$B858-456)*36+HEX2DEC('table for research'!AG$1))*2,2)</f>
        <v>00</v>
      </c>
      <c r="AH858" t="str">
        <f>MID('paste from garc here'!$C$2,1+(('table for research'!$B858-456)*36+HEX2DEC('table for research'!AH$1))*2,2)</f>
        <v>00</v>
      </c>
      <c r="AI858" t="str">
        <f>MID('paste from garc here'!$C$2,1+(('table for research'!$B858-456)*36+HEX2DEC('table for research'!AI$1))*2,2)</f>
        <v>00</v>
      </c>
      <c r="AJ858" t="str">
        <f>MID('paste from garc here'!$C$2,1+(('table for research'!$B858-456)*36+HEX2DEC('table for research'!AJ$1))*2,2)</f>
        <v>00</v>
      </c>
      <c r="AK858" t="str">
        <f>MID('paste from garc here'!$C$2,1+(('table for research'!$B858-456)*36+HEX2DEC('table for research'!AK$1))*2,2)</f>
        <v>00</v>
      </c>
      <c r="AL858" t="str">
        <f>MID('paste from garc here'!$C$2,1+(('table for research'!$B858-456)*36+HEX2DEC('table for research'!AL$1))*2,2)</f>
        <v>00</v>
      </c>
      <c r="AM858" t="str">
        <f>MID('paste from garc here'!$C$2,1+(('table for research'!$B858-456)*36+HEX2DEC('table for research'!AM$1))*2,2)</f>
        <v>00</v>
      </c>
      <c r="AN858" t="str">
        <f>MID('paste from garc here'!$C$2,1+(('table for research'!$B858-456)*36+HEX2DEC('table for research'!AN$1))*2,2)</f>
        <v>00</v>
      </c>
      <c r="AO858" t="str">
        <f>MID('paste from garc here'!$C$2,1+(('table for research'!$B858-456)*36+HEX2DEC('table for research'!AO$1))*2,2)</f>
        <v>00</v>
      </c>
    </row>
    <row r="859" spans="1:41" x14ac:dyDescent="0.4">
      <c r="A859" t="s">
        <v>845</v>
      </c>
      <c r="B859">
        <f>B858+1</f>
        <v>857</v>
      </c>
      <c r="C859" t="str">
        <f>MID('paste from garc here'!$C$2,1+(('table for research'!$B859-456)*36+HEX2DEC('table for research'!C$1))*2,2)</f>
        <v>00</v>
      </c>
      <c r="D859" t="str">
        <f>MID('paste from garc here'!$C$2,1+(('table for research'!$B859-456)*36+HEX2DEC('table for research'!D$1))*2,2)</f>
        <v>00</v>
      </c>
      <c r="E859" t="str">
        <f>MID('paste from garc here'!$C$2,1+(('table for research'!$B859-456)*36+HEX2DEC('table for research'!E$1))*2,2)</f>
        <v>00</v>
      </c>
      <c r="F859" t="str">
        <f>MID('paste from garc here'!$C$2,1+(('table for research'!$B859-456)*36+HEX2DEC('table for research'!F$1))*2,2)</f>
        <v>00</v>
      </c>
      <c r="G859" t="str">
        <f>MID('paste from garc here'!$C$2,1+(('table for research'!$B859-456)*36+HEX2DEC('table for research'!G$1))*2,2)</f>
        <v>00</v>
      </c>
      <c r="H859" t="str">
        <f>MID('paste from garc here'!$C$2,1+(('table for research'!$B859-456)*36+HEX2DEC('table for research'!H$1))*2,2)</f>
        <v>00</v>
      </c>
      <c r="I859" t="str">
        <f>MID('paste from garc here'!$C$2,1+(('table for research'!$B859-456)*36+HEX2DEC('table for research'!I$1))*2,2)</f>
        <v>00</v>
      </c>
      <c r="J859" t="str">
        <f>MID('paste from garc here'!$C$2,1+(('table for research'!$B859-456)*36+HEX2DEC('table for research'!J$1))*2,2)</f>
        <v>00</v>
      </c>
      <c r="K859" t="str">
        <f>DEC2HEX(_xlfn.BITAND(HEX2DEC(MID('paste from garc here'!$C$1,1+(('table for research'!$B859-1)*36+HEX2DEC(8))*2,2)),31),2)</f>
        <v>00</v>
      </c>
      <c r="L859" t="str">
        <f>DEC2HEX(_xlfn.BITAND(HEX2DEC(MID('paste from garc here'!$C$1,1+(('table for research'!$B859-1)*36+HEX2DEC(8))*2,2)),32),2)</f>
        <v>00</v>
      </c>
      <c r="M859" t="str">
        <f>DEC2HEX(_xlfn.BITAND(HEX2DEC(MID('paste from garc here'!$C$1,1+(('table for research'!$B859-1)*36+HEX2DEC(8))*2,2)),64),2)</f>
        <v>00</v>
      </c>
      <c r="N859" t="str">
        <f>DEC2HEX(_xlfn.BITRSHIFT(_xlfn.BITAND(HEX2DEC(MID('paste from garc here'!$C$1,1+(('table for research'!$B859-1)*36+HEX2DEC(9))*2,2)&amp;MID('paste from garc here'!$C$1,1+(('table for research'!$B859-1)*36+HEX2DEC(8))*2,2)),1920),7),2)</f>
        <v>00</v>
      </c>
      <c r="O859" t="str">
        <f>DEC2HEX(_xlfn.BITRSHIFT(HEX2DEC(MID('paste from garc here'!$C$1,1+(('table for research'!$B859-1)*36+HEX2DEC(9))*2,2)&amp;MID('paste from garc here'!$C$1,1+(('table for research'!$B859-1)*36+HEX2DEC(8))*2,2)),11),2)</f>
        <v>00</v>
      </c>
      <c r="P859" t="str">
        <f>MID('paste from garc here'!$C$2,1+(('table for research'!$B859-456)*36+HEX2DEC('table for research'!P$1))*2,2)</f>
        <v>00</v>
      </c>
      <c r="Q859" t="str">
        <f>MID('paste from garc here'!$C$2,1+(('table for research'!$B859-456)*36+HEX2DEC('table for research'!Q$1))*2,2)</f>
        <v>00</v>
      </c>
      <c r="R859" t="str">
        <f>MID('paste from garc here'!$C$2,1+(('table for research'!$B859-456)*36+HEX2DEC('table for research'!R$1))*2,2)</f>
        <v>00</v>
      </c>
      <c r="S859" t="str">
        <f>MID('paste from garc here'!$C$2,1+(('table for research'!$B859-456)*36+HEX2DEC('table for research'!S$1))*2,2)</f>
        <v>08</v>
      </c>
      <c r="T859" t="str">
        <f>MID('paste from garc here'!$C$2,1+(('table for research'!$B859-456)*36+HEX2DEC('table for research'!T$1))*2,2)</f>
        <v>00</v>
      </c>
      <c r="U859" t="str">
        <f>MID('paste from garc here'!$C$2,1+(('table for research'!$B859-456)*36+HEX2DEC('table for research'!U$1))*2,2)</f>
        <v>07</v>
      </c>
      <c r="V859" t="str">
        <f>MID('paste from garc here'!$C$2,1+(('table for research'!$B859-456)*36+HEX2DEC('table for research'!V$1))*2,2)</f>
        <v>00</v>
      </c>
      <c r="W859" t="str">
        <f>MID('paste from garc here'!$C$2,1+(('table for research'!$B859-456)*36+HEX2DEC('table for research'!W$1))*2,2)</f>
        <v>00</v>
      </c>
      <c r="X859" t="str">
        <f>MID('paste from garc here'!$C$2,1+(('table for research'!$B859-456)*36+HEX2DEC('table for research'!X$1))*2,2)</f>
        <v>00</v>
      </c>
      <c r="Y859" t="str">
        <f>MID('paste from garc here'!$C$2,1+(('table for research'!$B859-456)*36+HEX2DEC('table for research'!Y$1))*2,2)</f>
        <v>00</v>
      </c>
      <c r="Z859" t="str">
        <f>MID('paste from garc here'!$C$2,1+(('table for research'!$B859-456)*36+HEX2DEC('table for research'!Z$1))*2,2)</f>
        <v>00</v>
      </c>
      <c r="AA859" t="str">
        <f>MID('paste from garc here'!$C$2,1+(('table for research'!$B859-456)*36+HEX2DEC('table for research'!AA$1))*2,2)</f>
        <v>00</v>
      </c>
      <c r="AB859" t="str">
        <f>MID('paste from garc here'!$C$2,1+(('table for research'!$B859-456)*36+HEX2DEC('table for research'!AB$1))*2,2)</f>
        <v>00</v>
      </c>
      <c r="AC859" t="str">
        <f>MID('paste from garc here'!$C$2,1+(('table for research'!$B859-456)*36+HEX2DEC('table for research'!AC$1))*2,2)</f>
        <v>00</v>
      </c>
      <c r="AD859" t="str">
        <f>MID('paste from garc here'!$C$2,1+(('table for research'!$B859-456)*36+HEX2DEC('table for research'!AD$1))*2,2)</f>
        <v>00</v>
      </c>
      <c r="AE859" t="str">
        <f>MID('paste from garc here'!$C$2,1+(('table for research'!$B859-456)*36+HEX2DEC('table for research'!AE$1))*2,2)</f>
        <v>00</v>
      </c>
      <c r="AF859" t="str">
        <f>MID('paste from garc here'!$C$2,1+(('table for research'!$B859-456)*36+HEX2DEC('table for research'!AF$1))*2,2)</f>
        <v>00</v>
      </c>
      <c r="AG859" t="str">
        <f>MID('paste from garc here'!$C$2,1+(('table for research'!$B859-456)*36+HEX2DEC('table for research'!AG$1))*2,2)</f>
        <v>00</v>
      </c>
      <c r="AH859" t="str">
        <f>MID('paste from garc here'!$C$2,1+(('table for research'!$B859-456)*36+HEX2DEC('table for research'!AH$1))*2,2)</f>
        <v>00</v>
      </c>
      <c r="AI859" t="str">
        <f>MID('paste from garc here'!$C$2,1+(('table for research'!$B859-456)*36+HEX2DEC('table for research'!AI$1))*2,2)</f>
        <v>00</v>
      </c>
      <c r="AJ859" t="str">
        <f>MID('paste from garc here'!$C$2,1+(('table for research'!$B859-456)*36+HEX2DEC('table for research'!AJ$1))*2,2)</f>
        <v>00</v>
      </c>
      <c r="AK859" t="str">
        <f>MID('paste from garc here'!$C$2,1+(('table for research'!$B859-456)*36+HEX2DEC('table for research'!AK$1))*2,2)</f>
        <v>00</v>
      </c>
      <c r="AL859" t="str">
        <f>MID('paste from garc here'!$C$2,1+(('table for research'!$B859-456)*36+HEX2DEC('table for research'!AL$1))*2,2)</f>
        <v>00</v>
      </c>
      <c r="AM859" t="str">
        <f>MID('paste from garc here'!$C$2,1+(('table for research'!$B859-456)*36+HEX2DEC('table for research'!AM$1))*2,2)</f>
        <v>00</v>
      </c>
      <c r="AN859" t="str">
        <f>MID('paste from garc here'!$C$2,1+(('table for research'!$B859-456)*36+HEX2DEC('table for research'!AN$1))*2,2)</f>
        <v>00</v>
      </c>
      <c r="AO859" t="str">
        <f>MID('paste from garc here'!$C$2,1+(('table for research'!$B859-456)*36+HEX2DEC('table for research'!AO$1))*2,2)</f>
        <v>00</v>
      </c>
    </row>
    <row r="860" spans="1:41" x14ac:dyDescent="0.4">
      <c r="A860" t="s">
        <v>846</v>
      </c>
      <c r="B860">
        <f>B859+1</f>
        <v>858</v>
      </c>
      <c r="C860" t="str">
        <f>MID('paste from garc here'!$C$2,1+(('table for research'!$B860-456)*36+HEX2DEC('table for research'!C$1))*2,2)</f>
        <v>00</v>
      </c>
      <c r="D860" t="str">
        <f>MID('paste from garc here'!$C$2,1+(('table for research'!$B860-456)*36+HEX2DEC('table for research'!D$1))*2,2)</f>
        <v>00</v>
      </c>
      <c r="E860" t="str">
        <f>MID('paste from garc here'!$C$2,1+(('table for research'!$B860-456)*36+HEX2DEC('table for research'!E$1))*2,2)</f>
        <v>00</v>
      </c>
      <c r="F860" t="str">
        <f>MID('paste from garc here'!$C$2,1+(('table for research'!$B860-456)*36+HEX2DEC('table for research'!F$1))*2,2)</f>
        <v>00</v>
      </c>
      <c r="G860" t="str">
        <f>MID('paste from garc here'!$C$2,1+(('table for research'!$B860-456)*36+HEX2DEC('table for research'!G$1))*2,2)</f>
        <v>00</v>
      </c>
      <c r="H860" t="str">
        <f>MID('paste from garc here'!$C$2,1+(('table for research'!$B860-456)*36+HEX2DEC('table for research'!H$1))*2,2)</f>
        <v>00</v>
      </c>
      <c r="I860" t="str">
        <f>MID('paste from garc here'!$C$2,1+(('table for research'!$B860-456)*36+HEX2DEC('table for research'!I$1))*2,2)</f>
        <v>00</v>
      </c>
      <c r="J860" t="str">
        <f>MID('paste from garc here'!$C$2,1+(('table for research'!$B860-456)*36+HEX2DEC('table for research'!J$1))*2,2)</f>
        <v>00</v>
      </c>
      <c r="K860" t="str">
        <f>DEC2HEX(_xlfn.BITAND(HEX2DEC(MID('paste from garc here'!$C$1,1+(('table for research'!$B860-1)*36+HEX2DEC(8))*2,2)),31),2)</f>
        <v>00</v>
      </c>
      <c r="L860" t="str">
        <f>DEC2HEX(_xlfn.BITAND(HEX2DEC(MID('paste from garc here'!$C$1,1+(('table for research'!$B860-1)*36+HEX2DEC(8))*2,2)),32),2)</f>
        <v>00</v>
      </c>
      <c r="M860" t="str">
        <f>DEC2HEX(_xlfn.BITAND(HEX2DEC(MID('paste from garc here'!$C$1,1+(('table for research'!$B860-1)*36+HEX2DEC(8))*2,2)),64),2)</f>
        <v>00</v>
      </c>
      <c r="N860" t="str">
        <f>DEC2HEX(_xlfn.BITRSHIFT(_xlfn.BITAND(HEX2DEC(MID('paste from garc here'!$C$1,1+(('table for research'!$B860-1)*36+HEX2DEC(9))*2,2)&amp;MID('paste from garc here'!$C$1,1+(('table for research'!$B860-1)*36+HEX2DEC(8))*2,2)),1920),7),2)</f>
        <v>00</v>
      </c>
      <c r="O860" t="str">
        <f>DEC2HEX(_xlfn.BITRSHIFT(HEX2DEC(MID('paste from garc here'!$C$1,1+(('table for research'!$B860-1)*36+HEX2DEC(9))*2,2)&amp;MID('paste from garc here'!$C$1,1+(('table for research'!$B860-1)*36+HEX2DEC(8))*2,2)),11),2)</f>
        <v>00</v>
      </c>
      <c r="P860" t="str">
        <f>MID('paste from garc here'!$C$2,1+(('table for research'!$B860-456)*36+HEX2DEC('table for research'!P$1))*2,2)</f>
        <v>00</v>
      </c>
      <c r="Q860" t="str">
        <f>MID('paste from garc here'!$C$2,1+(('table for research'!$B860-456)*36+HEX2DEC('table for research'!Q$1))*2,2)</f>
        <v>00</v>
      </c>
      <c r="R860" t="str">
        <f>MID('paste from garc here'!$C$2,1+(('table for research'!$B860-456)*36+HEX2DEC('table for research'!R$1))*2,2)</f>
        <v>00</v>
      </c>
      <c r="S860" t="str">
        <f>MID('paste from garc here'!$C$2,1+(('table for research'!$B860-456)*36+HEX2DEC('table for research'!S$1))*2,2)</f>
        <v>08</v>
      </c>
      <c r="T860" t="str">
        <f>MID('paste from garc here'!$C$2,1+(('table for research'!$B860-456)*36+HEX2DEC('table for research'!T$1))*2,2)</f>
        <v>00</v>
      </c>
      <c r="U860" t="str">
        <f>MID('paste from garc here'!$C$2,1+(('table for research'!$B860-456)*36+HEX2DEC('table for research'!U$1))*2,2)</f>
        <v>08</v>
      </c>
      <c r="V860" t="str">
        <f>MID('paste from garc here'!$C$2,1+(('table for research'!$B860-456)*36+HEX2DEC('table for research'!V$1))*2,2)</f>
        <v>00</v>
      </c>
      <c r="W860" t="str">
        <f>MID('paste from garc here'!$C$2,1+(('table for research'!$B860-456)*36+HEX2DEC('table for research'!W$1))*2,2)</f>
        <v>00</v>
      </c>
      <c r="X860" t="str">
        <f>MID('paste from garc here'!$C$2,1+(('table for research'!$B860-456)*36+HEX2DEC('table for research'!X$1))*2,2)</f>
        <v>00</v>
      </c>
      <c r="Y860" t="str">
        <f>MID('paste from garc here'!$C$2,1+(('table for research'!$B860-456)*36+HEX2DEC('table for research'!Y$1))*2,2)</f>
        <v>00</v>
      </c>
      <c r="Z860" t="str">
        <f>MID('paste from garc here'!$C$2,1+(('table for research'!$B860-456)*36+HEX2DEC('table for research'!Z$1))*2,2)</f>
        <v>00</v>
      </c>
      <c r="AA860" t="str">
        <f>MID('paste from garc here'!$C$2,1+(('table for research'!$B860-456)*36+HEX2DEC('table for research'!AA$1))*2,2)</f>
        <v>00</v>
      </c>
      <c r="AB860" t="str">
        <f>MID('paste from garc here'!$C$2,1+(('table for research'!$B860-456)*36+HEX2DEC('table for research'!AB$1))*2,2)</f>
        <v>00</v>
      </c>
      <c r="AC860" t="str">
        <f>MID('paste from garc here'!$C$2,1+(('table for research'!$B860-456)*36+HEX2DEC('table for research'!AC$1))*2,2)</f>
        <v>00</v>
      </c>
      <c r="AD860" t="str">
        <f>MID('paste from garc here'!$C$2,1+(('table for research'!$B860-456)*36+HEX2DEC('table for research'!AD$1))*2,2)</f>
        <v>00</v>
      </c>
      <c r="AE860" t="str">
        <f>MID('paste from garc here'!$C$2,1+(('table for research'!$B860-456)*36+HEX2DEC('table for research'!AE$1))*2,2)</f>
        <v>00</v>
      </c>
      <c r="AF860" t="str">
        <f>MID('paste from garc here'!$C$2,1+(('table for research'!$B860-456)*36+HEX2DEC('table for research'!AF$1))*2,2)</f>
        <v>00</v>
      </c>
      <c r="AG860" t="str">
        <f>MID('paste from garc here'!$C$2,1+(('table for research'!$B860-456)*36+HEX2DEC('table for research'!AG$1))*2,2)</f>
        <v>00</v>
      </c>
      <c r="AH860" t="str">
        <f>MID('paste from garc here'!$C$2,1+(('table for research'!$B860-456)*36+HEX2DEC('table for research'!AH$1))*2,2)</f>
        <v>00</v>
      </c>
      <c r="AI860" t="str">
        <f>MID('paste from garc here'!$C$2,1+(('table for research'!$B860-456)*36+HEX2DEC('table for research'!AI$1))*2,2)</f>
        <v>00</v>
      </c>
      <c r="AJ860" t="str">
        <f>MID('paste from garc here'!$C$2,1+(('table for research'!$B860-456)*36+HEX2DEC('table for research'!AJ$1))*2,2)</f>
        <v>00</v>
      </c>
      <c r="AK860" t="str">
        <f>MID('paste from garc here'!$C$2,1+(('table for research'!$B860-456)*36+HEX2DEC('table for research'!AK$1))*2,2)</f>
        <v>00</v>
      </c>
      <c r="AL860" t="str">
        <f>MID('paste from garc here'!$C$2,1+(('table for research'!$B860-456)*36+HEX2DEC('table for research'!AL$1))*2,2)</f>
        <v>00</v>
      </c>
      <c r="AM860" t="str">
        <f>MID('paste from garc here'!$C$2,1+(('table for research'!$B860-456)*36+HEX2DEC('table for research'!AM$1))*2,2)</f>
        <v>00</v>
      </c>
      <c r="AN860" t="str">
        <f>MID('paste from garc here'!$C$2,1+(('table for research'!$B860-456)*36+HEX2DEC('table for research'!AN$1))*2,2)</f>
        <v>00</v>
      </c>
      <c r="AO860" t="str">
        <f>MID('paste from garc here'!$C$2,1+(('table for research'!$B860-456)*36+HEX2DEC('table for research'!AO$1))*2,2)</f>
        <v>00</v>
      </c>
    </row>
    <row r="861" spans="1:41" x14ac:dyDescent="0.4">
      <c r="A861" t="s">
        <v>138</v>
      </c>
      <c r="B861">
        <f>B860+1</f>
        <v>859</v>
      </c>
      <c r="C861" t="str">
        <f>MID('paste from garc here'!$C$2,1+(('table for research'!$B861-456)*36+HEX2DEC('table for research'!C$1))*2,2)</f>
        <v>00</v>
      </c>
      <c r="D861" t="str">
        <f>MID('paste from garc here'!$C$2,1+(('table for research'!$B861-456)*36+HEX2DEC('table for research'!D$1))*2,2)</f>
        <v>00</v>
      </c>
      <c r="E861" t="str">
        <f>MID('paste from garc here'!$C$2,1+(('table for research'!$B861-456)*36+HEX2DEC('table for research'!E$1))*2,2)</f>
        <v>00</v>
      </c>
      <c r="F861" t="str">
        <f>MID('paste from garc here'!$C$2,1+(('table for research'!$B861-456)*36+HEX2DEC('table for research'!F$1))*2,2)</f>
        <v>00</v>
      </c>
      <c r="G861" t="str">
        <f>MID('paste from garc here'!$C$2,1+(('table for research'!$B861-456)*36+HEX2DEC('table for research'!G$1))*2,2)</f>
        <v>00</v>
      </c>
      <c r="H861" t="str">
        <f>MID('paste from garc here'!$C$2,1+(('table for research'!$B861-456)*36+HEX2DEC('table for research'!H$1))*2,2)</f>
        <v>00</v>
      </c>
      <c r="I861" t="str">
        <f>MID('paste from garc here'!$C$2,1+(('table for research'!$B861-456)*36+HEX2DEC('table for research'!I$1))*2,2)</f>
        <v>00</v>
      </c>
      <c r="J861" t="str">
        <f>MID('paste from garc here'!$C$2,1+(('table for research'!$B861-456)*36+HEX2DEC('table for research'!J$1))*2,2)</f>
        <v>00</v>
      </c>
      <c r="K861" t="str">
        <f>DEC2HEX(_xlfn.BITAND(HEX2DEC(MID('paste from garc here'!$C$1,1+(('table for research'!$B861-1)*36+HEX2DEC(8))*2,2)),31),2)</f>
        <v>00</v>
      </c>
      <c r="L861" t="str">
        <f>DEC2HEX(_xlfn.BITAND(HEX2DEC(MID('paste from garc here'!$C$1,1+(('table for research'!$B861-1)*36+HEX2DEC(8))*2,2)),32),2)</f>
        <v>00</v>
      </c>
      <c r="M861" t="str">
        <f>DEC2HEX(_xlfn.BITAND(HEX2DEC(MID('paste from garc here'!$C$1,1+(('table for research'!$B861-1)*36+HEX2DEC(8))*2,2)),64),2)</f>
        <v>00</v>
      </c>
      <c r="N861" t="str">
        <f>DEC2HEX(_xlfn.BITRSHIFT(_xlfn.BITAND(HEX2DEC(MID('paste from garc here'!$C$1,1+(('table for research'!$B861-1)*36+HEX2DEC(9))*2,2)&amp;MID('paste from garc here'!$C$1,1+(('table for research'!$B861-1)*36+HEX2DEC(8))*2,2)),1920),7),2)</f>
        <v>00</v>
      </c>
      <c r="O861" t="str">
        <f>DEC2HEX(_xlfn.BITRSHIFT(HEX2DEC(MID('paste from garc here'!$C$1,1+(('table for research'!$B861-1)*36+HEX2DEC(9))*2,2)&amp;MID('paste from garc here'!$C$1,1+(('table for research'!$B861-1)*36+HEX2DEC(8))*2,2)),11),2)</f>
        <v>00</v>
      </c>
      <c r="P861" t="str">
        <f>MID('paste from garc here'!$C$2,1+(('table for research'!$B861-456)*36+HEX2DEC('table for research'!P$1))*2,2)</f>
        <v>00</v>
      </c>
      <c r="Q861" t="str">
        <f>MID('paste from garc here'!$C$2,1+(('table for research'!$B861-456)*36+HEX2DEC('table for research'!Q$1))*2,2)</f>
        <v>00</v>
      </c>
      <c r="R861" t="str">
        <f>MID('paste from garc here'!$C$2,1+(('table for research'!$B861-456)*36+HEX2DEC('table for research'!R$1))*2,2)</f>
        <v>00</v>
      </c>
      <c r="S861" t="str">
        <f>MID('paste from garc here'!$C$2,1+(('table for research'!$B861-456)*36+HEX2DEC('table for research'!S$1))*2,2)</f>
        <v>08</v>
      </c>
      <c r="T861" t="str">
        <f>MID('paste from garc here'!$C$2,1+(('table for research'!$B861-456)*36+HEX2DEC('table for research'!T$1))*2,2)</f>
        <v>00</v>
      </c>
      <c r="U861" t="str">
        <f>MID('paste from garc here'!$C$2,1+(('table for research'!$B861-456)*36+HEX2DEC('table for research'!U$1))*2,2)</f>
        <v>1E</v>
      </c>
      <c r="V861" t="str">
        <f>MID('paste from garc here'!$C$2,1+(('table for research'!$B861-456)*36+HEX2DEC('table for research'!V$1))*2,2)</f>
        <v>00</v>
      </c>
      <c r="W861" t="str">
        <f>MID('paste from garc here'!$C$2,1+(('table for research'!$B861-456)*36+HEX2DEC('table for research'!W$1))*2,2)</f>
        <v>00</v>
      </c>
      <c r="X861" t="str">
        <f>MID('paste from garc here'!$C$2,1+(('table for research'!$B861-456)*36+HEX2DEC('table for research'!X$1))*2,2)</f>
        <v>00</v>
      </c>
      <c r="Y861" t="str">
        <f>MID('paste from garc here'!$C$2,1+(('table for research'!$B861-456)*36+HEX2DEC('table for research'!Y$1))*2,2)</f>
        <v>00</v>
      </c>
      <c r="Z861" t="str">
        <f>MID('paste from garc here'!$C$2,1+(('table for research'!$B861-456)*36+HEX2DEC('table for research'!Z$1))*2,2)</f>
        <v>00</v>
      </c>
      <c r="AA861" t="str">
        <f>MID('paste from garc here'!$C$2,1+(('table for research'!$B861-456)*36+HEX2DEC('table for research'!AA$1))*2,2)</f>
        <v>00</v>
      </c>
      <c r="AB861" t="str">
        <f>MID('paste from garc here'!$C$2,1+(('table for research'!$B861-456)*36+HEX2DEC('table for research'!AB$1))*2,2)</f>
        <v>00</v>
      </c>
      <c r="AC861" t="str">
        <f>MID('paste from garc here'!$C$2,1+(('table for research'!$B861-456)*36+HEX2DEC('table for research'!AC$1))*2,2)</f>
        <v>00</v>
      </c>
      <c r="AD861" t="str">
        <f>MID('paste from garc here'!$C$2,1+(('table for research'!$B861-456)*36+HEX2DEC('table for research'!AD$1))*2,2)</f>
        <v>00</v>
      </c>
      <c r="AE861" t="str">
        <f>MID('paste from garc here'!$C$2,1+(('table for research'!$B861-456)*36+HEX2DEC('table for research'!AE$1))*2,2)</f>
        <v>00</v>
      </c>
      <c r="AF861" t="str">
        <f>MID('paste from garc here'!$C$2,1+(('table for research'!$B861-456)*36+HEX2DEC('table for research'!AF$1))*2,2)</f>
        <v>00</v>
      </c>
      <c r="AG861" t="str">
        <f>MID('paste from garc here'!$C$2,1+(('table for research'!$B861-456)*36+HEX2DEC('table for research'!AG$1))*2,2)</f>
        <v>00</v>
      </c>
      <c r="AH861" t="str">
        <f>MID('paste from garc here'!$C$2,1+(('table for research'!$B861-456)*36+HEX2DEC('table for research'!AH$1))*2,2)</f>
        <v>00</v>
      </c>
      <c r="AI861" t="str">
        <f>MID('paste from garc here'!$C$2,1+(('table for research'!$B861-456)*36+HEX2DEC('table for research'!AI$1))*2,2)</f>
        <v>00</v>
      </c>
      <c r="AJ861" t="str">
        <f>MID('paste from garc here'!$C$2,1+(('table for research'!$B861-456)*36+HEX2DEC('table for research'!AJ$1))*2,2)</f>
        <v>00</v>
      </c>
      <c r="AK861" t="str">
        <f>MID('paste from garc here'!$C$2,1+(('table for research'!$B861-456)*36+HEX2DEC('table for research'!AK$1))*2,2)</f>
        <v>00</v>
      </c>
      <c r="AL861" t="str">
        <f>MID('paste from garc here'!$C$2,1+(('table for research'!$B861-456)*36+HEX2DEC('table for research'!AL$1))*2,2)</f>
        <v>00</v>
      </c>
      <c r="AM861" t="str">
        <f>MID('paste from garc here'!$C$2,1+(('table for research'!$B861-456)*36+HEX2DEC('table for research'!AM$1))*2,2)</f>
        <v>00</v>
      </c>
      <c r="AN861" t="str">
        <f>MID('paste from garc here'!$C$2,1+(('table for research'!$B861-456)*36+HEX2DEC('table for research'!AN$1))*2,2)</f>
        <v>00</v>
      </c>
      <c r="AO861" t="str">
        <f>MID('paste from garc here'!$C$2,1+(('table for research'!$B861-456)*36+HEX2DEC('table for research'!AO$1))*2,2)</f>
        <v>00</v>
      </c>
    </row>
    <row r="862" spans="1:41" x14ac:dyDescent="0.4">
      <c r="A862" t="s">
        <v>847</v>
      </c>
      <c r="B862">
        <f>B861+1</f>
        <v>860</v>
      </c>
      <c r="C862" t="str">
        <f>MID('paste from garc here'!$C$2,1+(('table for research'!$B862-456)*36+HEX2DEC('table for research'!C$1))*2,2)</f>
        <v>00</v>
      </c>
      <c r="D862" t="str">
        <f>MID('paste from garc here'!$C$2,1+(('table for research'!$B862-456)*36+HEX2DEC('table for research'!D$1))*2,2)</f>
        <v>00</v>
      </c>
      <c r="E862" t="str">
        <f>MID('paste from garc here'!$C$2,1+(('table for research'!$B862-456)*36+HEX2DEC('table for research'!E$1))*2,2)</f>
        <v>00</v>
      </c>
      <c r="F862" t="str">
        <f>MID('paste from garc here'!$C$2,1+(('table for research'!$B862-456)*36+HEX2DEC('table for research'!F$1))*2,2)</f>
        <v>00</v>
      </c>
      <c r="G862" t="str">
        <f>MID('paste from garc here'!$C$2,1+(('table for research'!$B862-456)*36+HEX2DEC('table for research'!G$1))*2,2)</f>
        <v>00</v>
      </c>
      <c r="H862" t="str">
        <f>MID('paste from garc here'!$C$2,1+(('table for research'!$B862-456)*36+HEX2DEC('table for research'!H$1))*2,2)</f>
        <v>00</v>
      </c>
      <c r="I862" t="str">
        <f>MID('paste from garc here'!$C$2,1+(('table for research'!$B862-456)*36+HEX2DEC('table for research'!I$1))*2,2)</f>
        <v>00</v>
      </c>
      <c r="J862" t="str">
        <f>MID('paste from garc here'!$C$2,1+(('table for research'!$B862-456)*36+HEX2DEC('table for research'!J$1))*2,2)</f>
        <v>00</v>
      </c>
      <c r="K862" t="str">
        <f>DEC2HEX(_xlfn.BITAND(HEX2DEC(MID('paste from garc here'!$C$1,1+(('table for research'!$B862-1)*36+HEX2DEC(8))*2,2)),31),2)</f>
        <v>00</v>
      </c>
      <c r="L862" t="str">
        <f>DEC2HEX(_xlfn.BITAND(HEX2DEC(MID('paste from garc here'!$C$1,1+(('table for research'!$B862-1)*36+HEX2DEC(8))*2,2)),32),2)</f>
        <v>00</v>
      </c>
      <c r="M862" t="str">
        <f>DEC2HEX(_xlfn.BITAND(HEX2DEC(MID('paste from garc here'!$C$1,1+(('table for research'!$B862-1)*36+HEX2DEC(8))*2,2)),64),2)</f>
        <v>00</v>
      </c>
      <c r="N862" t="str">
        <f>DEC2HEX(_xlfn.BITRSHIFT(_xlfn.BITAND(HEX2DEC(MID('paste from garc here'!$C$1,1+(('table for research'!$B862-1)*36+HEX2DEC(9))*2,2)&amp;MID('paste from garc here'!$C$1,1+(('table for research'!$B862-1)*36+HEX2DEC(8))*2,2)),1920),7),2)</f>
        <v>00</v>
      </c>
      <c r="O862" t="str">
        <f>DEC2HEX(_xlfn.BITRSHIFT(HEX2DEC(MID('paste from garc here'!$C$1,1+(('table for research'!$B862-1)*36+HEX2DEC(9))*2,2)&amp;MID('paste from garc here'!$C$1,1+(('table for research'!$B862-1)*36+HEX2DEC(8))*2,2)),11),2)</f>
        <v>00</v>
      </c>
      <c r="P862" t="str">
        <f>MID('paste from garc here'!$C$2,1+(('table for research'!$B862-456)*36+HEX2DEC('table for research'!P$1))*2,2)</f>
        <v>00</v>
      </c>
      <c r="Q862" t="str">
        <f>MID('paste from garc here'!$C$2,1+(('table for research'!$B862-456)*36+HEX2DEC('table for research'!Q$1))*2,2)</f>
        <v>00</v>
      </c>
      <c r="R862" t="str">
        <f>MID('paste from garc here'!$C$2,1+(('table for research'!$B862-456)*36+HEX2DEC('table for research'!R$1))*2,2)</f>
        <v>00</v>
      </c>
      <c r="S862" t="str">
        <f>MID('paste from garc here'!$C$2,1+(('table for research'!$B862-456)*36+HEX2DEC('table for research'!S$1))*2,2)</f>
        <v>08</v>
      </c>
      <c r="T862" t="str">
        <f>MID('paste from garc here'!$C$2,1+(('table for research'!$B862-456)*36+HEX2DEC('table for research'!T$1))*2,2)</f>
        <v>00</v>
      </c>
      <c r="U862" t="str">
        <f>MID('paste from garc here'!$C$2,1+(('table for research'!$B862-456)*36+HEX2DEC('table for research'!U$1))*2,2)</f>
        <v>22</v>
      </c>
      <c r="V862" t="str">
        <f>MID('paste from garc here'!$C$2,1+(('table for research'!$B862-456)*36+HEX2DEC('table for research'!V$1))*2,2)</f>
        <v>00</v>
      </c>
      <c r="W862" t="str">
        <f>MID('paste from garc here'!$C$2,1+(('table for research'!$B862-456)*36+HEX2DEC('table for research'!W$1))*2,2)</f>
        <v>00</v>
      </c>
      <c r="X862" t="str">
        <f>MID('paste from garc here'!$C$2,1+(('table for research'!$B862-456)*36+HEX2DEC('table for research'!X$1))*2,2)</f>
        <v>00</v>
      </c>
      <c r="Y862" t="str">
        <f>MID('paste from garc here'!$C$2,1+(('table for research'!$B862-456)*36+HEX2DEC('table for research'!Y$1))*2,2)</f>
        <v>00</v>
      </c>
      <c r="Z862" t="str">
        <f>MID('paste from garc here'!$C$2,1+(('table for research'!$B862-456)*36+HEX2DEC('table for research'!Z$1))*2,2)</f>
        <v>00</v>
      </c>
      <c r="AA862" t="str">
        <f>MID('paste from garc here'!$C$2,1+(('table for research'!$B862-456)*36+HEX2DEC('table for research'!AA$1))*2,2)</f>
        <v>00</v>
      </c>
      <c r="AB862" t="str">
        <f>MID('paste from garc here'!$C$2,1+(('table for research'!$B862-456)*36+HEX2DEC('table for research'!AB$1))*2,2)</f>
        <v>00</v>
      </c>
      <c r="AC862" t="str">
        <f>MID('paste from garc here'!$C$2,1+(('table for research'!$B862-456)*36+HEX2DEC('table for research'!AC$1))*2,2)</f>
        <v>00</v>
      </c>
      <c r="AD862" t="str">
        <f>MID('paste from garc here'!$C$2,1+(('table for research'!$B862-456)*36+HEX2DEC('table for research'!AD$1))*2,2)</f>
        <v>00</v>
      </c>
      <c r="AE862" t="str">
        <f>MID('paste from garc here'!$C$2,1+(('table for research'!$B862-456)*36+HEX2DEC('table for research'!AE$1))*2,2)</f>
        <v>00</v>
      </c>
      <c r="AF862" t="str">
        <f>MID('paste from garc here'!$C$2,1+(('table for research'!$B862-456)*36+HEX2DEC('table for research'!AF$1))*2,2)</f>
        <v>00</v>
      </c>
      <c r="AG862" t="str">
        <f>MID('paste from garc here'!$C$2,1+(('table for research'!$B862-456)*36+HEX2DEC('table for research'!AG$1))*2,2)</f>
        <v>00</v>
      </c>
      <c r="AH862" t="str">
        <f>MID('paste from garc here'!$C$2,1+(('table for research'!$B862-456)*36+HEX2DEC('table for research'!AH$1))*2,2)</f>
        <v>00</v>
      </c>
      <c r="AI862" t="str">
        <f>MID('paste from garc here'!$C$2,1+(('table for research'!$B862-456)*36+HEX2DEC('table for research'!AI$1))*2,2)</f>
        <v>00</v>
      </c>
      <c r="AJ862" t="str">
        <f>MID('paste from garc here'!$C$2,1+(('table for research'!$B862-456)*36+HEX2DEC('table for research'!AJ$1))*2,2)</f>
        <v>00</v>
      </c>
      <c r="AK862" t="str">
        <f>MID('paste from garc here'!$C$2,1+(('table for research'!$B862-456)*36+HEX2DEC('table for research'!AK$1))*2,2)</f>
        <v>00</v>
      </c>
      <c r="AL862" t="str">
        <f>MID('paste from garc here'!$C$2,1+(('table for research'!$B862-456)*36+HEX2DEC('table for research'!AL$1))*2,2)</f>
        <v>00</v>
      </c>
      <c r="AM862" t="str">
        <f>MID('paste from garc here'!$C$2,1+(('table for research'!$B862-456)*36+HEX2DEC('table for research'!AM$1))*2,2)</f>
        <v>00</v>
      </c>
      <c r="AN862" t="str">
        <f>MID('paste from garc here'!$C$2,1+(('table for research'!$B862-456)*36+HEX2DEC('table for research'!AN$1))*2,2)</f>
        <v>00</v>
      </c>
      <c r="AO862" t="str">
        <f>MID('paste from garc here'!$C$2,1+(('table for research'!$B862-456)*36+HEX2DEC('table for research'!AO$1))*2,2)</f>
        <v>00</v>
      </c>
    </row>
    <row r="863" spans="1:41" x14ac:dyDescent="0.4">
      <c r="A863" t="s">
        <v>138</v>
      </c>
      <c r="B863">
        <f>B862+1</f>
        <v>861</v>
      </c>
      <c r="C863" t="str">
        <f>MID('paste from garc here'!$C$2,1+(('table for research'!$B863-456)*36+HEX2DEC('table for research'!C$1))*2,2)</f>
        <v>00</v>
      </c>
      <c r="D863" t="str">
        <f>MID('paste from garc here'!$C$2,1+(('table for research'!$B863-456)*36+HEX2DEC('table for research'!D$1))*2,2)</f>
        <v>00</v>
      </c>
      <c r="E863" t="str">
        <f>MID('paste from garc here'!$C$2,1+(('table for research'!$B863-456)*36+HEX2DEC('table for research'!E$1))*2,2)</f>
        <v>00</v>
      </c>
      <c r="F863" t="str">
        <f>MID('paste from garc here'!$C$2,1+(('table for research'!$B863-456)*36+HEX2DEC('table for research'!F$1))*2,2)</f>
        <v>00</v>
      </c>
      <c r="G863" t="str">
        <f>MID('paste from garc here'!$C$2,1+(('table for research'!$B863-456)*36+HEX2DEC('table for research'!G$1))*2,2)</f>
        <v>00</v>
      </c>
      <c r="H863" t="str">
        <f>MID('paste from garc here'!$C$2,1+(('table for research'!$B863-456)*36+HEX2DEC('table for research'!H$1))*2,2)</f>
        <v>00</v>
      </c>
      <c r="I863" t="str">
        <f>MID('paste from garc here'!$C$2,1+(('table for research'!$B863-456)*36+HEX2DEC('table for research'!I$1))*2,2)</f>
        <v>00</v>
      </c>
      <c r="J863" t="str">
        <f>MID('paste from garc here'!$C$2,1+(('table for research'!$B863-456)*36+HEX2DEC('table for research'!J$1))*2,2)</f>
        <v>00</v>
      </c>
      <c r="K863" t="str">
        <f>DEC2HEX(_xlfn.BITAND(HEX2DEC(MID('paste from garc here'!$C$1,1+(('table for research'!$B863-1)*36+HEX2DEC(8))*2,2)),31),2)</f>
        <v>00</v>
      </c>
      <c r="L863" t="str">
        <f>DEC2HEX(_xlfn.BITAND(HEX2DEC(MID('paste from garc here'!$C$1,1+(('table for research'!$B863-1)*36+HEX2DEC(8))*2,2)),32),2)</f>
        <v>00</v>
      </c>
      <c r="M863" t="str">
        <f>DEC2HEX(_xlfn.BITAND(HEX2DEC(MID('paste from garc here'!$C$1,1+(('table for research'!$B863-1)*36+HEX2DEC(8))*2,2)),64),2)</f>
        <v>00</v>
      </c>
      <c r="N863" t="str">
        <f>DEC2HEX(_xlfn.BITRSHIFT(_xlfn.BITAND(HEX2DEC(MID('paste from garc here'!$C$1,1+(('table for research'!$B863-1)*36+HEX2DEC(9))*2,2)&amp;MID('paste from garc here'!$C$1,1+(('table for research'!$B863-1)*36+HEX2DEC(8))*2,2)),1920),7),2)</f>
        <v>00</v>
      </c>
      <c r="O863" t="str">
        <f>DEC2HEX(_xlfn.BITRSHIFT(HEX2DEC(MID('paste from garc here'!$C$1,1+(('table for research'!$B863-1)*36+HEX2DEC(9))*2,2)&amp;MID('paste from garc here'!$C$1,1+(('table for research'!$B863-1)*36+HEX2DEC(8))*2,2)),11),2)</f>
        <v>00</v>
      </c>
      <c r="P863" t="str">
        <f>MID('paste from garc here'!$C$2,1+(('table for research'!$B863-456)*36+HEX2DEC('table for research'!P$1))*2,2)</f>
        <v>00</v>
      </c>
      <c r="Q863" t="str">
        <f>MID('paste from garc here'!$C$2,1+(('table for research'!$B863-456)*36+HEX2DEC('table for research'!Q$1))*2,2)</f>
        <v>00</v>
      </c>
      <c r="R863" t="str">
        <f>MID('paste from garc here'!$C$2,1+(('table for research'!$B863-456)*36+HEX2DEC('table for research'!R$1))*2,2)</f>
        <v>00</v>
      </c>
      <c r="S863" t="str">
        <f>MID('paste from garc here'!$C$2,1+(('table for research'!$B863-456)*36+HEX2DEC('table for research'!S$1))*2,2)</f>
        <v>08</v>
      </c>
      <c r="T863" t="str">
        <f>MID('paste from garc here'!$C$2,1+(('table for research'!$B863-456)*36+HEX2DEC('table for research'!T$1))*2,2)</f>
        <v>00</v>
      </c>
      <c r="U863" t="str">
        <f>MID('paste from garc here'!$C$2,1+(('table for research'!$B863-456)*36+HEX2DEC('table for research'!U$1))*2,2)</f>
        <v>FF</v>
      </c>
      <c r="V863" t="str">
        <f>MID('paste from garc here'!$C$2,1+(('table for research'!$B863-456)*36+HEX2DEC('table for research'!V$1))*2,2)</f>
        <v>00</v>
      </c>
      <c r="W863" t="str">
        <f>MID('paste from garc here'!$C$2,1+(('table for research'!$B863-456)*36+HEX2DEC('table for research'!W$1))*2,2)</f>
        <v>00</v>
      </c>
      <c r="X863" t="str">
        <f>MID('paste from garc here'!$C$2,1+(('table for research'!$B863-456)*36+HEX2DEC('table for research'!X$1))*2,2)</f>
        <v>00</v>
      </c>
      <c r="Y863" t="str">
        <f>MID('paste from garc here'!$C$2,1+(('table for research'!$B863-456)*36+HEX2DEC('table for research'!Y$1))*2,2)</f>
        <v>00</v>
      </c>
      <c r="Z863" t="str">
        <f>MID('paste from garc here'!$C$2,1+(('table for research'!$B863-456)*36+HEX2DEC('table for research'!Z$1))*2,2)</f>
        <v>00</v>
      </c>
      <c r="AA863" t="str">
        <f>MID('paste from garc here'!$C$2,1+(('table for research'!$B863-456)*36+HEX2DEC('table for research'!AA$1))*2,2)</f>
        <v>00</v>
      </c>
      <c r="AB863" t="str">
        <f>MID('paste from garc here'!$C$2,1+(('table for research'!$B863-456)*36+HEX2DEC('table for research'!AB$1))*2,2)</f>
        <v>00</v>
      </c>
      <c r="AC863" t="str">
        <f>MID('paste from garc here'!$C$2,1+(('table for research'!$B863-456)*36+HEX2DEC('table for research'!AC$1))*2,2)</f>
        <v>00</v>
      </c>
      <c r="AD863" t="str">
        <f>MID('paste from garc here'!$C$2,1+(('table for research'!$B863-456)*36+HEX2DEC('table for research'!AD$1))*2,2)</f>
        <v>00</v>
      </c>
      <c r="AE863" t="str">
        <f>MID('paste from garc here'!$C$2,1+(('table for research'!$B863-456)*36+HEX2DEC('table for research'!AE$1))*2,2)</f>
        <v>00</v>
      </c>
      <c r="AF863" t="str">
        <f>MID('paste from garc here'!$C$2,1+(('table for research'!$B863-456)*36+HEX2DEC('table for research'!AF$1))*2,2)</f>
        <v>00</v>
      </c>
      <c r="AG863" t="str">
        <f>MID('paste from garc here'!$C$2,1+(('table for research'!$B863-456)*36+HEX2DEC('table for research'!AG$1))*2,2)</f>
        <v>00</v>
      </c>
      <c r="AH863" t="str">
        <f>MID('paste from garc here'!$C$2,1+(('table for research'!$B863-456)*36+HEX2DEC('table for research'!AH$1))*2,2)</f>
        <v>00</v>
      </c>
      <c r="AI863" t="str">
        <f>MID('paste from garc here'!$C$2,1+(('table for research'!$B863-456)*36+HEX2DEC('table for research'!AI$1))*2,2)</f>
        <v>00</v>
      </c>
      <c r="AJ863" t="str">
        <f>MID('paste from garc here'!$C$2,1+(('table for research'!$B863-456)*36+HEX2DEC('table for research'!AJ$1))*2,2)</f>
        <v>00</v>
      </c>
      <c r="AK863" t="str">
        <f>MID('paste from garc here'!$C$2,1+(('table for research'!$B863-456)*36+HEX2DEC('table for research'!AK$1))*2,2)</f>
        <v>00</v>
      </c>
      <c r="AL863" t="str">
        <f>MID('paste from garc here'!$C$2,1+(('table for research'!$B863-456)*36+HEX2DEC('table for research'!AL$1))*2,2)</f>
        <v>00</v>
      </c>
      <c r="AM863" t="str">
        <f>MID('paste from garc here'!$C$2,1+(('table for research'!$B863-456)*36+HEX2DEC('table for research'!AM$1))*2,2)</f>
        <v>00</v>
      </c>
      <c r="AN863" t="str">
        <f>MID('paste from garc here'!$C$2,1+(('table for research'!$B863-456)*36+HEX2DEC('table for research'!AN$1))*2,2)</f>
        <v>00</v>
      </c>
      <c r="AO863" t="str">
        <f>MID('paste from garc here'!$C$2,1+(('table for research'!$B863-456)*36+HEX2DEC('table for research'!AO$1))*2,2)</f>
        <v>00</v>
      </c>
    </row>
    <row r="864" spans="1:41" x14ac:dyDescent="0.4">
      <c r="A864" t="s">
        <v>138</v>
      </c>
      <c r="B864">
        <f>B863+1</f>
        <v>862</v>
      </c>
      <c r="C864" t="str">
        <f>MID('paste from garc here'!$C$2,1+(('table for research'!$B864-456)*36+HEX2DEC('table for research'!C$1))*2,2)</f>
        <v>00</v>
      </c>
      <c r="D864" t="str">
        <f>MID('paste from garc here'!$C$2,1+(('table for research'!$B864-456)*36+HEX2DEC('table for research'!D$1))*2,2)</f>
        <v>00</v>
      </c>
      <c r="E864" t="str">
        <f>MID('paste from garc here'!$C$2,1+(('table for research'!$B864-456)*36+HEX2DEC('table for research'!E$1))*2,2)</f>
        <v>00</v>
      </c>
      <c r="F864" t="str">
        <f>MID('paste from garc here'!$C$2,1+(('table for research'!$B864-456)*36+HEX2DEC('table for research'!F$1))*2,2)</f>
        <v>00</v>
      </c>
      <c r="G864" t="str">
        <f>MID('paste from garc here'!$C$2,1+(('table for research'!$B864-456)*36+HEX2DEC('table for research'!G$1))*2,2)</f>
        <v>00</v>
      </c>
      <c r="H864" t="str">
        <f>MID('paste from garc here'!$C$2,1+(('table for research'!$B864-456)*36+HEX2DEC('table for research'!H$1))*2,2)</f>
        <v>00</v>
      </c>
      <c r="I864" t="str">
        <f>MID('paste from garc here'!$C$2,1+(('table for research'!$B864-456)*36+HEX2DEC('table for research'!I$1))*2,2)</f>
        <v>00</v>
      </c>
      <c r="J864" t="str">
        <f>MID('paste from garc here'!$C$2,1+(('table for research'!$B864-456)*36+HEX2DEC('table for research'!J$1))*2,2)</f>
        <v>00</v>
      </c>
      <c r="K864" t="str">
        <f>DEC2HEX(_xlfn.BITAND(HEX2DEC(MID('paste from garc here'!$C$1,1+(('table for research'!$B864-1)*36+HEX2DEC(8))*2,2)),31),2)</f>
        <v>00</v>
      </c>
      <c r="L864" t="str">
        <f>DEC2HEX(_xlfn.BITAND(HEX2DEC(MID('paste from garc here'!$C$1,1+(('table for research'!$B864-1)*36+HEX2DEC(8))*2,2)),32),2)</f>
        <v>00</v>
      </c>
      <c r="M864" t="str">
        <f>DEC2HEX(_xlfn.BITAND(HEX2DEC(MID('paste from garc here'!$C$1,1+(('table for research'!$B864-1)*36+HEX2DEC(8))*2,2)),64),2)</f>
        <v>00</v>
      </c>
      <c r="N864" t="str">
        <f>DEC2HEX(_xlfn.BITRSHIFT(_xlfn.BITAND(HEX2DEC(MID('paste from garc here'!$C$1,1+(('table for research'!$B864-1)*36+HEX2DEC(9))*2,2)&amp;MID('paste from garc here'!$C$1,1+(('table for research'!$B864-1)*36+HEX2DEC(8))*2,2)),1920),7),2)</f>
        <v>00</v>
      </c>
      <c r="O864" t="str">
        <f>DEC2HEX(_xlfn.BITRSHIFT(HEX2DEC(MID('paste from garc here'!$C$1,1+(('table for research'!$B864-1)*36+HEX2DEC(9))*2,2)&amp;MID('paste from garc here'!$C$1,1+(('table for research'!$B864-1)*36+HEX2DEC(8))*2,2)),11),2)</f>
        <v>00</v>
      </c>
      <c r="P864" t="str">
        <f>MID('paste from garc here'!$C$2,1+(('table for research'!$B864-456)*36+HEX2DEC('table for research'!P$1))*2,2)</f>
        <v>00</v>
      </c>
      <c r="Q864" t="str">
        <f>MID('paste from garc here'!$C$2,1+(('table for research'!$B864-456)*36+HEX2DEC('table for research'!Q$1))*2,2)</f>
        <v>00</v>
      </c>
      <c r="R864" t="str">
        <f>MID('paste from garc here'!$C$2,1+(('table for research'!$B864-456)*36+HEX2DEC('table for research'!R$1))*2,2)</f>
        <v>00</v>
      </c>
      <c r="S864" t="str">
        <f>MID('paste from garc here'!$C$2,1+(('table for research'!$B864-456)*36+HEX2DEC('table for research'!S$1))*2,2)</f>
        <v>08</v>
      </c>
      <c r="T864" t="str">
        <f>MID('paste from garc here'!$C$2,1+(('table for research'!$B864-456)*36+HEX2DEC('table for research'!T$1))*2,2)</f>
        <v>00</v>
      </c>
      <c r="U864" t="str">
        <f>MID('paste from garc here'!$C$2,1+(('table for research'!$B864-456)*36+HEX2DEC('table for research'!U$1))*2,2)</f>
        <v>FF</v>
      </c>
      <c r="V864" t="str">
        <f>MID('paste from garc here'!$C$2,1+(('table for research'!$B864-456)*36+HEX2DEC('table for research'!V$1))*2,2)</f>
        <v>00</v>
      </c>
      <c r="W864" t="str">
        <f>MID('paste from garc here'!$C$2,1+(('table for research'!$B864-456)*36+HEX2DEC('table for research'!W$1))*2,2)</f>
        <v>00</v>
      </c>
      <c r="X864" t="str">
        <f>MID('paste from garc here'!$C$2,1+(('table for research'!$B864-456)*36+HEX2DEC('table for research'!X$1))*2,2)</f>
        <v>00</v>
      </c>
      <c r="Y864" t="str">
        <f>MID('paste from garc here'!$C$2,1+(('table for research'!$B864-456)*36+HEX2DEC('table for research'!Y$1))*2,2)</f>
        <v>00</v>
      </c>
      <c r="Z864" t="str">
        <f>MID('paste from garc here'!$C$2,1+(('table for research'!$B864-456)*36+HEX2DEC('table for research'!Z$1))*2,2)</f>
        <v>00</v>
      </c>
      <c r="AA864" t="str">
        <f>MID('paste from garc here'!$C$2,1+(('table for research'!$B864-456)*36+HEX2DEC('table for research'!AA$1))*2,2)</f>
        <v>00</v>
      </c>
      <c r="AB864" t="str">
        <f>MID('paste from garc here'!$C$2,1+(('table for research'!$B864-456)*36+HEX2DEC('table for research'!AB$1))*2,2)</f>
        <v>00</v>
      </c>
      <c r="AC864" t="str">
        <f>MID('paste from garc here'!$C$2,1+(('table for research'!$B864-456)*36+HEX2DEC('table for research'!AC$1))*2,2)</f>
        <v>00</v>
      </c>
      <c r="AD864" t="str">
        <f>MID('paste from garc here'!$C$2,1+(('table for research'!$B864-456)*36+HEX2DEC('table for research'!AD$1))*2,2)</f>
        <v>00</v>
      </c>
      <c r="AE864" t="str">
        <f>MID('paste from garc here'!$C$2,1+(('table for research'!$B864-456)*36+HEX2DEC('table for research'!AE$1))*2,2)</f>
        <v>00</v>
      </c>
      <c r="AF864" t="str">
        <f>MID('paste from garc here'!$C$2,1+(('table for research'!$B864-456)*36+HEX2DEC('table for research'!AF$1))*2,2)</f>
        <v>00</v>
      </c>
      <c r="AG864" t="str">
        <f>MID('paste from garc here'!$C$2,1+(('table for research'!$B864-456)*36+HEX2DEC('table for research'!AG$1))*2,2)</f>
        <v>00</v>
      </c>
      <c r="AH864" t="str">
        <f>MID('paste from garc here'!$C$2,1+(('table for research'!$B864-456)*36+HEX2DEC('table for research'!AH$1))*2,2)</f>
        <v>00</v>
      </c>
      <c r="AI864" t="str">
        <f>MID('paste from garc here'!$C$2,1+(('table for research'!$B864-456)*36+HEX2DEC('table for research'!AI$1))*2,2)</f>
        <v>00</v>
      </c>
      <c r="AJ864" t="str">
        <f>MID('paste from garc here'!$C$2,1+(('table for research'!$B864-456)*36+HEX2DEC('table for research'!AJ$1))*2,2)</f>
        <v>00</v>
      </c>
      <c r="AK864" t="str">
        <f>MID('paste from garc here'!$C$2,1+(('table for research'!$B864-456)*36+HEX2DEC('table for research'!AK$1))*2,2)</f>
        <v>00</v>
      </c>
      <c r="AL864" t="str">
        <f>MID('paste from garc here'!$C$2,1+(('table for research'!$B864-456)*36+HEX2DEC('table for research'!AL$1))*2,2)</f>
        <v>00</v>
      </c>
      <c r="AM864" t="str">
        <f>MID('paste from garc here'!$C$2,1+(('table for research'!$B864-456)*36+HEX2DEC('table for research'!AM$1))*2,2)</f>
        <v>00</v>
      </c>
      <c r="AN864" t="str">
        <f>MID('paste from garc here'!$C$2,1+(('table for research'!$B864-456)*36+HEX2DEC('table for research'!AN$1))*2,2)</f>
        <v>00</v>
      </c>
      <c r="AO864" t="str">
        <f>MID('paste from garc here'!$C$2,1+(('table for research'!$B864-456)*36+HEX2DEC('table for research'!AO$1))*2,2)</f>
        <v>00</v>
      </c>
    </row>
    <row r="865" spans="1:41" x14ac:dyDescent="0.4">
      <c r="A865" t="s">
        <v>138</v>
      </c>
      <c r="B865">
        <f>B864+1</f>
        <v>863</v>
      </c>
      <c r="C865" t="str">
        <f>MID('paste from garc here'!$C$2,1+(('table for research'!$B865-456)*36+HEX2DEC('table for research'!C$1))*2,2)</f>
        <v>00</v>
      </c>
      <c r="D865" t="str">
        <f>MID('paste from garc here'!$C$2,1+(('table for research'!$B865-456)*36+HEX2DEC('table for research'!D$1))*2,2)</f>
        <v>00</v>
      </c>
      <c r="E865" t="str">
        <f>MID('paste from garc here'!$C$2,1+(('table for research'!$B865-456)*36+HEX2DEC('table for research'!E$1))*2,2)</f>
        <v>00</v>
      </c>
      <c r="F865" t="str">
        <f>MID('paste from garc here'!$C$2,1+(('table for research'!$B865-456)*36+HEX2DEC('table for research'!F$1))*2,2)</f>
        <v>00</v>
      </c>
      <c r="G865" t="str">
        <f>MID('paste from garc here'!$C$2,1+(('table for research'!$B865-456)*36+HEX2DEC('table for research'!G$1))*2,2)</f>
        <v>00</v>
      </c>
      <c r="H865" t="str">
        <f>MID('paste from garc here'!$C$2,1+(('table for research'!$B865-456)*36+HEX2DEC('table for research'!H$1))*2,2)</f>
        <v>00</v>
      </c>
      <c r="I865" t="str">
        <f>MID('paste from garc here'!$C$2,1+(('table for research'!$B865-456)*36+HEX2DEC('table for research'!I$1))*2,2)</f>
        <v>00</v>
      </c>
      <c r="J865" t="str">
        <f>MID('paste from garc here'!$C$2,1+(('table for research'!$B865-456)*36+HEX2DEC('table for research'!J$1))*2,2)</f>
        <v>00</v>
      </c>
      <c r="K865" t="str">
        <f>DEC2HEX(_xlfn.BITAND(HEX2DEC(MID('paste from garc here'!$C$1,1+(('table for research'!$B865-1)*36+HEX2DEC(8))*2,2)),31),2)</f>
        <v>00</v>
      </c>
      <c r="L865" t="str">
        <f>DEC2HEX(_xlfn.BITAND(HEX2DEC(MID('paste from garc here'!$C$1,1+(('table for research'!$B865-1)*36+HEX2DEC(8))*2,2)),32),2)</f>
        <v>00</v>
      </c>
      <c r="M865" t="str">
        <f>DEC2HEX(_xlfn.BITAND(HEX2DEC(MID('paste from garc here'!$C$1,1+(('table for research'!$B865-1)*36+HEX2DEC(8))*2,2)),64),2)</f>
        <v>00</v>
      </c>
      <c r="N865" t="str">
        <f>DEC2HEX(_xlfn.BITRSHIFT(_xlfn.BITAND(HEX2DEC(MID('paste from garc here'!$C$1,1+(('table for research'!$B865-1)*36+HEX2DEC(9))*2,2)&amp;MID('paste from garc here'!$C$1,1+(('table for research'!$B865-1)*36+HEX2DEC(8))*2,2)),1920),7),2)</f>
        <v>00</v>
      </c>
      <c r="O865" t="str">
        <f>DEC2HEX(_xlfn.BITRSHIFT(HEX2DEC(MID('paste from garc here'!$C$1,1+(('table for research'!$B865-1)*36+HEX2DEC(9))*2,2)&amp;MID('paste from garc here'!$C$1,1+(('table for research'!$B865-1)*36+HEX2DEC(8))*2,2)),11),2)</f>
        <v>00</v>
      </c>
      <c r="P865" t="str">
        <f>MID('paste from garc here'!$C$2,1+(('table for research'!$B865-456)*36+HEX2DEC('table for research'!P$1))*2,2)</f>
        <v>00</v>
      </c>
      <c r="Q865" t="str">
        <f>MID('paste from garc here'!$C$2,1+(('table for research'!$B865-456)*36+HEX2DEC('table for research'!Q$1))*2,2)</f>
        <v>00</v>
      </c>
      <c r="R865" t="str">
        <f>MID('paste from garc here'!$C$2,1+(('table for research'!$B865-456)*36+HEX2DEC('table for research'!R$1))*2,2)</f>
        <v>00</v>
      </c>
      <c r="S865" t="str">
        <f>MID('paste from garc here'!$C$2,1+(('table for research'!$B865-456)*36+HEX2DEC('table for research'!S$1))*2,2)</f>
        <v>08</v>
      </c>
      <c r="T865" t="str">
        <f>MID('paste from garc here'!$C$2,1+(('table for research'!$B865-456)*36+HEX2DEC('table for research'!T$1))*2,2)</f>
        <v>00</v>
      </c>
      <c r="U865" t="str">
        <f>MID('paste from garc here'!$C$2,1+(('table for research'!$B865-456)*36+HEX2DEC('table for research'!U$1))*2,2)</f>
        <v>FF</v>
      </c>
      <c r="V865" t="str">
        <f>MID('paste from garc here'!$C$2,1+(('table for research'!$B865-456)*36+HEX2DEC('table for research'!V$1))*2,2)</f>
        <v>00</v>
      </c>
      <c r="W865" t="str">
        <f>MID('paste from garc here'!$C$2,1+(('table for research'!$B865-456)*36+HEX2DEC('table for research'!W$1))*2,2)</f>
        <v>00</v>
      </c>
      <c r="X865" t="str">
        <f>MID('paste from garc here'!$C$2,1+(('table for research'!$B865-456)*36+HEX2DEC('table for research'!X$1))*2,2)</f>
        <v>00</v>
      </c>
      <c r="Y865" t="str">
        <f>MID('paste from garc here'!$C$2,1+(('table for research'!$B865-456)*36+HEX2DEC('table for research'!Y$1))*2,2)</f>
        <v>00</v>
      </c>
      <c r="Z865" t="str">
        <f>MID('paste from garc here'!$C$2,1+(('table for research'!$B865-456)*36+HEX2DEC('table for research'!Z$1))*2,2)</f>
        <v>00</v>
      </c>
      <c r="AA865" t="str">
        <f>MID('paste from garc here'!$C$2,1+(('table for research'!$B865-456)*36+HEX2DEC('table for research'!AA$1))*2,2)</f>
        <v>00</v>
      </c>
      <c r="AB865" t="str">
        <f>MID('paste from garc here'!$C$2,1+(('table for research'!$B865-456)*36+HEX2DEC('table for research'!AB$1))*2,2)</f>
        <v>00</v>
      </c>
      <c r="AC865" t="str">
        <f>MID('paste from garc here'!$C$2,1+(('table for research'!$B865-456)*36+HEX2DEC('table for research'!AC$1))*2,2)</f>
        <v>00</v>
      </c>
      <c r="AD865" t="str">
        <f>MID('paste from garc here'!$C$2,1+(('table for research'!$B865-456)*36+HEX2DEC('table for research'!AD$1))*2,2)</f>
        <v>00</v>
      </c>
      <c r="AE865" t="str">
        <f>MID('paste from garc here'!$C$2,1+(('table for research'!$B865-456)*36+HEX2DEC('table for research'!AE$1))*2,2)</f>
        <v>00</v>
      </c>
      <c r="AF865" t="str">
        <f>MID('paste from garc here'!$C$2,1+(('table for research'!$B865-456)*36+HEX2DEC('table for research'!AF$1))*2,2)</f>
        <v>00</v>
      </c>
      <c r="AG865" t="str">
        <f>MID('paste from garc here'!$C$2,1+(('table for research'!$B865-456)*36+HEX2DEC('table for research'!AG$1))*2,2)</f>
        <v>00</v>
      </c>
      <c r="AH865" t="str">
        <f>MID('paste from garc here'!$C$2,1+(('table for research'!$B865-456)*36+HEX2DEC('table for research'!AH$1))*2,2)</f>
        <v>00</v>
      </c>
      <c r="AI865" t="str">
        <f>MID('paste from garc here'!$C$2,1+(('table for research'!$B865-456)*36+HEX2DEC('table for research'!AI$1))*2,2)</f>
        <v>00</v>
      </c>
      <c r="AJ865" t="str">
        <f>MID('paste from garc here'!$C$2,1+(('table for research'!$B865-456)*36+HEX2DEC('table for research'!AJ$1))*2,2)</f>
        <v>00</v>
      </c>
      <c r="AK865" t="str">
        <f>MID('paste from garc here'!$C$2,1+(('table for research'!$B865-456)*36+HEX2DEC('table for research'!AK$1))*2,2)</f>
        <v>00</v>
      </c>
      <c r="AL865" t="str">
        <f>MID('paste from garc here'!$C$2,1+(('table for research'!$B865-456)*36+HEX2DEC('table for research'!AL$1))*2,2)</f>
        <v>00</v>
      </c>
      <c r="AM865" t="str">
        <f>MID('paste from garc here'!$C$2,1+(('table for research'!$B865-456)*36+HEX2DEC('table for research'!AM$1))*2,2)</f>
        <v>00</v>
      </c>
      <c r="AN865" t="str">
        <f>MID('paste from garc here'!$C$2,1+(('table for research'!$B865-456)*36+HEX2DEC('table for research'!AN$1))*2,2)</f>
        <v>00</v>
      </c>
      <c r="AO865" t="str">
        <f>MID('paste from garc here'!$C$2,1+(('table for research'!$B865-456)*36+HEX2DEC('table for research'!AO$1))*2,2)</f>
        <v>00</v>
      </c>
    </row>
    <row r="866" spans="1:41" x14ac:dyDescent="0.4">
      <c r="A866" t="s">
        <v>138</v>
      </c>
      <c r="B866">
        <f>B865+1</f>
        <v>864</v>
      </c>
      <c r="C866" t="str">
        <f>MID('paste from garc here'!$C$2,1+(('table for research'!$B866-456)*36+HEX2DEC('table for research'!C$1))*2,2)</f>
        <v>00</v>
      </c>
      <c r="D866" t="str">
        <f>MID('paste from garc here'!$C$2,1+(('table for research'!$B866-456)*36+HEX2DEC('table for research'!D$1))*2,2)</f>
        <v>00</v>
      </c>
      <c r="E866" t="str">
        <f>MID('paste from garc here'!$C$2,1+(('table for research'!$B866-456)*36+HEX2DEC('table for research'!E$1))*2,2)</f>
        <v>00</v>
      </c>
      <c r="F866" t="str">
        <f>MID('paste from garc here'!$C$2,1+(('table for research'!$B866-456)*36+HEX2DEC('table for research'!F$1))*2,2)</f>
        <v>00</v>
      </c>
      <c r="G866" t="str">
        <f>MID('paste from garc here'!$C$2,1+(('table for research'!$B866-456)*36+HEX2DEC('table for research'!G$1))*2,2)</f>
        <v>00</v>
      </c>
      <c r="H866" t="str">
        <f>MID('paste from garc here'!$C$2,1+(('table for research'!$B866-456)*36+HEX2DEC('table for research'!H$1))*2,2)</f>
        <v>00</v>
      </c>
      <c r="I866" t="str">
        <f>MID('paste from garc here'!$C$2,1+(('table for research'!$B866-456)*36+HEX2DEC('table for research'!I$1))*2,2)</f>
        <v>00</v>
      </c>
      <c r="J866" t="str">
        <f>MID('paste from garc here'!$C$2,1+(('table for research'!$B866-456)*36+HEX2DEC('table for research'!J$1))*2,2)</f>
        <v>00</v>
      </c>
      <c r="K866" t="str">
        <f>DEC2HEX(_xlfn.BITAND(HEX2DEC(MID('paste from garc here'!$C$1,1+(('table for research'!$B866-1)*36+HEX2DEC(8))*2,2)),31),2)</f>
        <v>00</v>
      </c>
      <c r="L866" t="str">
        <f>DEC2HEX(_xlfn.BITAND(HEX2DEC(MID('paste from garc here'!$C$1,1+(('table for research'!$B866-1)*36+HEX2DEC(8))*2,2)),32),2)</f>
        <v>00</v>
      </c>
      <c r="M866" t="str">
        <f>DEC2HEX(_xlfn.BITAND(HEX2DEC(MID('paste from garc here'!$C$1,1+(('table for research'!$B866-1)*36+HEX2DEC(8))*2,2)),64),2)</f>
        <v>00</v>
      </c>
      <c r="N866" t="str">
        <f>DEC2HEX(_xlfn.BITRSHIFT(_xlfn.BITAND(HEX2DEC(MID('paste from garc here'!$C$1,1+(('table for research'!$B866-1)*36+HEX2DEC(9))*2,2)&amp;MID('paste from garc here'!$C$1,1+(('table for research'!$B866-1)*36+HEX2DEC(8))*2,2)),1920),7),2)</f>
        <v>00</v>
      </c>
      <c r="O866" t="str">
        <f>DEC2HEX(_xlfn.BITRSHIFT(HEX2DEC(MID('paste from garc here'!$C$1,1+(('table for research'!$B866-1)*36+HEX2DEC(9))*2,2)&amp;MID('paste from garc here'!$C$1,1+(('table for research'!$B866-1)*36+HEX2DEC(8))*2,2)),11),2)</f>
        <v>00</v>
      </c>
      <c r="P866" t="str">
        <f>MID('paste from garc here'!$C$2,1+(('table for research'!$B866-456)*36+HEX2DEC('table for research'!P$1))*2,2)</f>
        <v>00</v>
      </c>
      <c r="Q866" t="str">
        <f>MID('paste from garc here'!$C$2,1+(('table for research'!$B866-456)*36+HEX2DEC('table for research'!Q$1))*2,2)</f>
        <v>00</v>
      </c>
      <c r="R866" t="str">
        <f>MID('paste from garc here'!$C$2,1+(('table for research'!$B866-456)*36+HEX2DEC('table for research'!R$1))*2,2)</f>
        <v>00</v>
      </c>
      <c r="S866" t="str">
        <f>MID('paste from garc here'!$C$2,1+(('table for research'!$B866-456)*36+HEX2DEC('table for research'!S$1))*2,2)</f>
        <v>08</v>
      </c>
      <c r="T866" t="str">
        <f>MID('paste from garc here'!$C$2,1+(('table for research'!$B866-456)*36+HEX2DEC('table for research'!T$1))*2,2)</f>
        <v>00</v>
      </c>
      <c r="U866" t="str">
        <f>MID('paste from garc here'!$C$2,1+(('table for research'!$B866-456)*36+HEX2DEC('table for research'!U$1))*2,2)</f>
        <v>FF</v>
      </c>
      <c r="V866" t="str">
        <f>MID('paste from garc here'!$C$2,1+(('table for research'!$B866-456)*36+HEX2DEC('table for research'!V$1))*2,2)</f>
        <v>00</v>
      </c>
      <c r="W866" t="str">
        <f>MID('paste from garc here'!$C$2,1+(('table for research'!$B866-456)*36+HEX2DEC('table for research'!W$1))*2,2)</f>
        <v>00</v>
      </c>
      <c r="X866" t="str">
        <f>MID('paste from garc here'!$C$2,1+(('table for research'!$B866-456)*36+HEX2DEC('table for research'!X$1))*2,2)</f>
        <v>00</v>
      </c>
      <c r="Y866" t="str">
        <f>MID('paste from garc here'!$C$2,1+(('table for research'!$B866-456)*36+HEX2DEC('table for research'!Y$1))*2,2)</f>
        <v>00</v>
      </c>
      <c r="Z866" t="str">
        <f>MID('paste from garc here'!$C$2,1+(('table for research'!$B866-456)*36+HEX2DEC('table for research'!Z$1))*2,2)</f>
        <v>00</v>
      </c>
      <c r="AA866" t="str">
        <f>MID('paste from garc here'!$C$2,1+(('table for research'!$B866-456)*36+HEX2DEC('table for research'!AA$1))*2,2)</f>
        <v>00</v>
      </c>
      <c r="AB866" t="str">
        <f>MID('paste from garc here'!$C$2,1+(('table for research'!$B866-456)*36+HEX2DEC('table for research'!AB$1))*2,2)</f>
        <v>00</v>
      </c>
      <c r="AC866" t="str">
        <f>MID('paste from garc here'!$C$2,1+(('table for research'!$B866-456)*36+HEX2DEC('table for research'!AC$1))*2,2)</f>
        <v>00</v>
      </c>
      <c r="AD866" t="str">
        <f>MID('paste from garc here'!$C$2,1+(('table for research'!$B866-456)*36+HEX2DEC('table for research'!AD$1))*2,2)</f>
        <v>00</v>
      </c>
      <c r="AE866" t="str">
        <f>MID('paste from garc here'!$C$2,1+(('table for research'!$B866-456)*36+HEX2DEC('table for research'!AE$1))*2,2)</f>
        <v>00</v>
      </c>
      <c r="AF866" t="str">
        <f>MID('paste from garc here'!$C$2,1+(('table for research'!$B866-456)*36+HEX2DEC('table for research'!AF$1))*2,2)</f>
        <v>00</v>
      </c>
      <c r="AG866" t="str">
        <f>MID('paste from garc here'!$C$2,1+(('table for research'!$B866-456)*36+HEX2DEC('table for research'!AG$1))*2,2)</f>
        <v>00</v>
      </c>
      <c r="AH866" t="str">
        <f>MID('paste from garc here'!$C$2,1+(('table for research'!$B866-456)*36+HEX2DEC('table for research'!AH$1))*2,2)</f>
        <v>00</v>
      </c>
      <c r="AI866" t="str">
        <f>MID('paste from garc here'!$C$2,1+(('table for research'!$B866-456)*36+HEX2DEC('table for research'!AI$1))*2,2)</f>
        <v>00</v>
      </c>
      <c r="AJ866" t="str">
        <f>MID('paste from garc here'!$C$2,1+(('table for research'!$B866-456)*36+HEX2DEC('table for research'!AJ$1))*2,2)</f>
        <v>00</v>
      </c>
      <c r="AK866" t="str">
        <f>MID('paste from garc here'!$C$2,1+(('table for research'!$B866-456)*36+HEX2DEC('table for research'!AK$1))*2,2)</f>
        <v>00</v>
      </c>
      <c r="AL866" t="str">
        <f>MID('paste from garc here'!$C$2,1+(('table for research'!$B866-456)*36+HEX2DEC('table for research'!AL$1))*2,2)</f>
        <v>00</v>
      </c>
      <c r="AM866" t="str">
        <f>MID('paste from garc here'!$C$2,1+(('table for research'!$B866-456)*36+HEX2DEC('table for research'!AM$1))*2,2)</f>
        <v>00</v>
      </c>
      <c r="AN866" t="str">
        <f>MID('paste from garc here'!$C$2,1+(('table for research'!$B866-456)*36+HEX2DEC('table for research'!AN$1))*2,2)</f>
        <v>00</v>
      </c>
      <c r="AO866" t="str">
        <f>MID('paste from garc here'!$C$2,1+(('table for research'!$B866-456)*36+HEX2DEC('table for research'!AO$1))*2,2)</f>
        <v>00</v>
      </c>
    </row>
    <row r="867" spans="1:41" x14ac:dyDescent="0.4">
      <c r="A867" t="s">
        <v>138</v>
      </c>
      <c r="B867">
        <f>B866+1</f>
        <v>865</v>
      </c>
      <c r="C867" t="str">
        <f>MID('paste from garc here'!$C$2,1+(('table for research'!$B867-456)*36+HEX2DEC('table for research'!C$1))*2,2)</f>
        <v>00</v>
      </c>
      <c r="D867" t="str">
        <f>MID('paste from garc here'!$C$2,1+(('table for research'!$B867-456)*36+HEX2DEC('table for research'!D$1))*2,2)</f>
        <v>00</v>
      </c>
      <c r="E867" t="str">
        <f>MID('paste from garc here'!$C$2,1+(('table for research'!$B867-456)*36+HEX2DEC('table for research'!E$1))*2,2)</f>
        <v>00</v>
      </c>
      <c r="F867" t="str">
        <f>MID('paste from garc here'!$C$2,1+(('table for research'!$B867-456)*36+HEX2DEC('table for research'!F$1))*2,2)</f>
        <v>00</v>
      </c>
      <c r="G867" t="str">
        <f>MID('paste from garc here'!$C$2,1+(('table for research'!$B867-456)*36+HEX2DEC('table for research'!G$1))*2,2)</f>
        <v>00</v>
      </c>
      <c r="H867" t="str">
        <f>MID('paste from garc here'!$C$2,1+(('table for research'!$B867-456)*36+HEX2DEC('table for research'!H$1))*2,2)</f>
        <v>00</v>
      </c>
      <c r="I867" t="str">
        <f>MID('paste from garc here'!$C$2,1+(('table for research'!$B867-456)*36+HEX2DEC('table for research'!I$1))*2,2)</f>
        <v>00</v>
      </c>
      <c r="J867" t="str">
        <f>MID('paste from garc here'!$C$2,1+(('table for research'!$B867-456)*36+HEX2DEC('table for research'!J$1))*2,2)</f>
        <v>00</v>
      </c>
      <c r="K867" t="str">
        <f>DEC2HEX(_xlfn.BITAND(HEX2DEC(MID('paste from garc here'!$C$1,1+(('table for research'!$B867-1)*36+HEX2DEC(8))*2,2)),31),2)</f>
        <v>00</v>
      </c>
      <c r="L867" t="str">
        <f>DEC2HEX(_xlfn.BITAND(HEX2DEC(MID('paste from garc here'!$C$1,1+(('table for research'!$B867-1)*36+HEX2DEC(8))*2,2)),32),2)</f>
        <v>00</v>
      </c>
      <c r="M867" t="str">
        <f>DEC2HEX(_xlfn.BITAND(HEX2DEC(MID('paste from garc here'!$C$1,1+(('table for research'!$B867-1)*36+HEX2DEC(8))*2,2)),64),2)</f>
        <v>00</v>
      </c>
      <c r="N867" t="str">
        <f>DEC2HEX(_xlfn.BITRSHIFT(_xlfn.BITAND(HEX2DEC(MID('paste from garc here'!$C$1,1+(('table for research'!$B867-1)*36+HEX2DEC(9))*2,2)&amp;MID('paste from garc here'!$C$1,1+(('table for research'!$B867-1)*36+HEX2DEC(8))*2,2)),1920),7),2)</f>
        <v>00</v>
      </c>
      <c r="O867" t="str">
        <f>DEC2HEX(_xlfn.BITRSHIFT(HEX2DEC(MID('paste from garc here'!$C$1,1+(('table for research'!$B867-1)*36+HEX2DEC(9))*2,2)&amp;MID('paste from garc here'!$C$1,1+(('table for research'!$B867-1)*36+HEX2DEC(8))*2,2)),11),2)</f>
        <v>00</v>
      </c>
      <c r="P867" t="str">
        <f>MID('paste from garc here'!$C$2,1+(('table for research'!$B867-456)*36+HEX2DEC('table for research'!P$1))*2,2)</f>
        <v>00</v>
      </c>
      <c r="Q867" t="str">
        <f>MID('paste from garc here'!$C$2,1+(('table for research'!$B867-456)*36+HEX2DEC('table for research'!Q$1))*2,2)</f>
        <v>00</v>
      </c>
      <c r="R867" t="str">
        <f>MID('paste from garc here'!$C$2,1+(('table for research'!$B867-456)*36+HEX2DEC('table for research'!R$1))*2,2)</f>
        <v>00</v>
      </c>
      <c r="S867" t="str">
        <f>MID('paste from garc here'!$C$2,1+(('table for research'!$B867-456)*36+HEX2DEC('table for research'!S$1))*2,2)</f>
        <v>08</v>
      </c>
      <c r="T867" t="str">
        <f>MID('paste from garc here'!$C$2,1+(('table for research'!$B867-456)*36+HEX2DEC('table for research'!T$1))*2,2)</f>
        <v>00</v>
      </c>
      <c r="U867" t="str">
        <f>MID('paste from garc here'!$C$2,1+(('table for research'!$B867-456)*36+HEX2DEC('table for research'!U$1))*2,2)</f>
        <v>FF</v>
      </c>
      <c r="V867" t="str">
        <f>MID('paste from garc here'!$C$2,1+(('table for research'!$B867-456)*36+HEX2DEC('table for research'!V$1))*2,2)</f>
        <v>00</v>
      </c>
      <c r="W867" t="str">
        <f>MID('paste from garc here'!$C$2,1+(('table for research'!$B867-456)*36+HEX2DEC('table for research'!W$1))*2,2)</f>
        <v>00</v>
      </c>
      <c r="X867" t="str">
        <f>MID('paste from garc here'!$C$2,1+(('table for research'!$B867-456)*36+HEX2DEC('table for research'!X$1))*2,2)</f>
        <v>00</v>
      </c>
      <c r="Y867" t="str">
        <f>MID('paste from garc here'!$C$2,1+(('table for research'!$B867-456)*36+HEX2DEC('table for research'!Y$1))*2,2)</f>
        <v>00</v>
      </c>
      <c r="Z867" t="str">
        <f>MID('paste from garc here'!$C$2,1+(('table for research'!$B867-456)*36+HEX2DEC('table for research'!Z$1))*2,2)</f>
        <v>00</v>
      </c>
      <c r="AA867" t="str">
        <f>MID('paste from garc here'!$C$2,1+(('table for research'!$B867-456)*36+HEX2DEC('table for research'!AA$1))*2,2)</f>
        <v>00</v>
      </c>
      <c r="AB867" t="str">
        <f>MID('paste from garc here'!$C$2,1+(('table for research'!$B867-456)*36+HEX2DEC('table for research'!AB$1))*2,2)</f>
        <v>00</v>
      </c>
      <c r="AC867" t="str">
        <f>MID('paste from garc here'!$C$2,1+(('table for research'!$B867-456)*36+HEX2DEC('table for research'!AC$1))*2,2)</f>
        <v>00</v>
      </c>
      <c r="AD867" t="str">
        <f>MID('paste from garc here'!$C$2,1+(('table for research'!$B867-456)*36+HEX2DEC('table for research'!AD$1))*2,2)</f>
        <v>00</v>
      </c>
      <c r="AE867" t="str">
        <f>MID('paste from garc here'!$C$2,1+(('table for research'!$B867-456)*36+HEX2DEC('table for research'!AE$1))*2,2)</f>
        <v>00</v>
      </c>
      <c r="AF867" t="str">
        <f>MID('paste from garc here'!$C$2,1+(('table for research'!$B867-456)*36+HEX2DEC('table for research'!AF$1))*2,2)</f>
        <v>00</v>
      </c>
      <c r="AG867" t="str">
        <f>MID('paste from garc here'!$C$2,1+(('table for research'!$B867-456)*36+HEX2DEC('table for research'!AG$1))*2,2)</f>
        <v>00</v>
      </c>
      <c r="AH867" t="str">
        <f>MID('paste from garc here'!$C$2,1+(('table for research'!$B867-456)*36+HEX2DEC('table for research'!AH$1))*2,2)</f>
        <v>00</v>
      </c>
      <c r="AI867" t="str">
        <f>MID('paste from garc here'!$C$2,1+(('table for research'!$B867-456)*36+HEX2DEC('table for research'!AI$1))*2,2)</f>
        <v>00</v>
      </c>
      <c r="AJ867" t="str">
        <f>MID('paste from garc here'!$C$2,1+(('table for research'!$B867-456)*36+HEX2DEC('table for research'!AJ$1))*2,2)</f>
        <v>00</v>
      </c>
      <c r="AK867" t="str">
        <f>MID('paste from garc here'!$C$2,1+(('table for research'!$B867-456)*36+HEX2DEC('table for research'!AK$1))*2,2)</f>
        <v>00</v>
      </c>
      <c r="AL867" t="str">
        <f>MID('paste from garc here'!$C$2,1+(('table for research'!$B867-456)*36+HEX2DEC('table for research'!AL$1))*2,2)</f>
        <v>00</v>
      </c>
      <c r="AM867" t="str">
        <f>MID('paste from garc here'!$C$2,1+(('table for research'!$B867-456)*36+HEX2DEC('table for research'!AM$1))*2,2)</f>
        <v>00</v>
      </c>
      <c r="AN867" t="str">
        <f>MID('paste from garc here'!$C$2,1+(('table for research'!$B867-456)*36+HEX2DEC('table for research'!AN$1))*2,2)</f>
        <v>00</v>
      </c>
      <c r="AO867" t="str">
        <f>MID('paste from garc here'!$C$2,1+(('table for research'!$B867-456)*36+HEX2DEC('table for research'!AO$1))*2,2)</f>
        <v>00</v>
      </c>
    </row>
    <row r="868" spans="1:41" x14ac:dyDescent="0.4">
      <c r="A868" t="s">
        <v>138</v>
      </c>
      <c r="B868">
        <f>B867+1</f>
        <v>866</v>
      </c>
      <c r="C868" t="str">
        <f>MID('paste from garc here'!$C$2,1+(('table for research'!$B868-456)*36+HEX2DEC('table for research'!C$1))*2,2)</f>
        <v>00</v>
      </c>
      <c r="D868" t="str">
        <f>MID('paste from garc here'!$C$2,1+(('table for research'!$B868-456)*36+HEX2DEC('table for research'!D$1))*2,2)</f>
        <v>00</v>
      </c>
      <c r="E868" t="str">
        <f>MID('paste from garc here'!$C$2,1+(('table for research'!$B868-456)*36+HEX2DEC('table for research'!E$1))*2,2)</f>
        <v>00</v>
      </c>
      <c r="F868" t="str">
        <f>MID('paste from garc here'!$C$2,1+(('table for research'!$B868-456)*36+HEX2DEC('table for research'!F$1))*2,2)</f>
        <v>00</v>
      </c>
      <c r="G868" t="str">
        <f>MID('paste from garc here'!$C$2,1+(('table for research'!$B868-456)*36+HEX2DEC('table for research'!G$1))*2,2)</f>
        <v>00</v>
      </c>
      <c r="H868" t="str">
        <f>MID('paste from garc here'!$C$2,1+(('table for research'!$B868-456)*36+HEX2DEC('table for research'!H$1))*2,2)</f>
        <v>00</v>
      </c>
      <c r="I868" t="str">
        <f>MID('paste from garc here'!$C$2,1+(('table for research'!$B868-456)*36+HEX2DEC('table for research'!I$1))*2,2)</f>
        <v>00</v>
      </c>
      <c r="J868" t="str">
        <f>MID('paste from garc here'!$C$2,1+(('table for research'!$B868-456)*36+HEX2DEC('table for research'!J$1))*2,2)</f>
        <v>00</v>
      </c>
      <c r="K868" t="str">
        <f>DEC2HEX(_xlfn.BITAND(HEX2DEC(MID('paste from garc here'!$C$1,1+(('table for research'!$B868-1)*36+HEX2DEC(8))*2,2)),31),2)</f>
        <v>00</v>
      </c>
      <c r="L868" t="str">
        <f>DEC2HEX(_xlfn.BITAND(HEX2DEC(MID('paste from garc here'!$C$1,1+(('table for research'!$B868-1)*36+HEX2DEC(8))*2,2)),32),2)</f>
        <v>00</v>
      </c>
      <c r="M868" t="str">
        <f>DEC2HEX(_xlfn.BITAND(HEX2DEC(MID('paste from garc here'!$C$1,1+(('table for research'!$B868-1)*36+HEX2DEC(8))*2,2)),64),2)</f>
        <v>00</v>
      </c>
      <c r="N868" t="str">
        <f>DEC2HEX(_xlfn.BITRSHIFT(_xlfn.BITAND(HEX2DEC(MID('paste from garc here'!$C$1,1+(('table for research'!$B868-1)*36+HEX2DEC(9))*2,2)&amp;MID('paste from garc here'!$C$1,1+(('table for research'!$B868-1)*36+HEX2DEC(8))*2,2)),1920),7),2)</f>
        <v>00</v>
      </c>
      <c r="O868" t="str">
        <f>DEC2HEX(_xlfn.BITRSHIFT(HEX2DEC(MID('paste from garc here'!$C$1,1+(('table for research'!$B868-1)*36+HEX2DEC(9))*2,2)&amp;MID('paste from garc here'!$C$1,1+(('table for research'!$B868-1)*36+HEX2DEC(8))*2,2)),11),2)</f>
        <v>00</v>
      </c>
      <c r="P868" t="str">
        <f>MID('paste from garc here'!$C$2,1+(('table for research'!$B868-456)*36+HEX2DEC('table for research'!P$1))*2,2)</f>
        <v>00</v>
      </c>
      <c r="Q868" t="str">
        <f>MID('paste from garc here'!$C$2,1+(('table for research'!$B868-456)*36+HEX2DEC('table for research'!Q$1))*2,2)</f>
        <v>00</v>
      </c>
      <c r="R868" t="str">
        <f>MID('paste from garc here'!$C$2,1+(('table for research'!$B868-456)*36+HEX2DEC('table for research'!R$1))*2,2)</f>
        <v>00</v>
      </c>
      <c r="S868" t="str">
        <f>MID('paste from garc here'!$C$2,1+(('table for research'!$B868-456)*36+HEX2DEC('table for research'!S$1))*2,2)</f>
        <v>08</v>
      </c>
      <c r="T868" t="str">
        <f>MID('paste from garc here'!$C$2,1+(('table for research'!$B868-456)*36+HEX2DEC('table for research'!T$1))*2,2)</f>
        <v>00</v>
      </c>
      <c r="U868" t="str">
        <f>MID('paste from garc here'!$C$2,1+(('table for research'!$B868-456)*36+HEX2DEC('table for research'!U$1))*2,2)</f>
        <v>FF</v>
      </c>
      <c r="V868" t="str">
        <f>MID('paste from garc here'!$C$2,1+(('table for research'!$B868-456)*36+HEX2DEC('table for research'!V$1))*2,2)</f>
        <v>00</v>
      </c>
      <c r="W868" t="str">
        <f>MID('paste from garc here'!$C$2,1+(('table for research'!$B868-456)*36+HEX2DEC('table for research'!W$1))*2,2)</f>
        <v>00</v>
      </c>
      <c r="X868" t="str">
        <f>MID('paste from garc here'!$C$2,1+(('table for research'!$B868-456)*36+HEX2DEC('table for research'!X$1))*2,2)</f>
        <v>00</v>
      </c>
      <c r="Y868" t="str">
        <f>MID('paste from garc here'!$C$2,1+(('table for research'!$B868-456)*36+HEX2DEC('table for research'!Y$1))*2,2)</f>
        <v>00</v>
      </c>
      <c r="Z868" t="str">
        <f>MID('paste from garc here'!$C$2,1+(('table for research'!$B868-456)*36+HEX2DEC('table for research'!Z$1))*2,2)</f>
        <v>00</v>
      </c>
      <c r="AA868" t="str">
        <f>MID('paste from garc here'!$C$2,1+(('table for research'!$B868-456)*36+HEX2DEC('table for research'!AA$1))*2,2)</f>
        <v>00</v>
      </c>
      <c r="AB868" t="str">
        <f>MID('paste from garc here'!$C$2,1+(('table for research'!$B868-456)*36+HEX2DEC('table for research'!AB$1))*2,2)</f>
        <v>00</v>
      </c>
      <c r="AC868" t="str">
        <f>MID('paste from garc here'!$C$2,1+(('table for research'!$B868-456)*36+HEX2DEC('table for research'!AC$1))*2,2)</f>
        <v>00</v>
      </c>
      <c r="AD868" t="str">
        <f>MID('paste from garc here'!$C$2,1+(('table for research'!$B868-456)*36+HEX2DEC('table for research'!AD$1))*2,2)</f>
        <v>00</v>
      </c>
      <c r="AE868" t="str">
        <f>MID('paste from garc here'!$C$2,1+(('table for research'!$B868-456)*36+HEX2DEC('table for research'!AE$1))*2,2)</f>
        <v>00</v>
      </c>
      <c r="AF868" t="str">
        <f>MID('paste from garc here'!$C$2,1+(('table for research'!$B868-456)*36+HEX2DEC('table for research'!AF$1))*2,2)</f>
        <v>00</v>
      </c>
      <c r="AG868" t="str">
        <f>MID('paste from garc here'!$C$2,1+(('table for research'!$B868-456)*36+HEX2DEC('table for research'!AG$1))*2,2)</f>
        <v>00</v>
      </c>
      <c r="AH868" t="str">
        <f>MID('paste from garc here'!$C$2,1+(('table for research'!$B868-456)*36+HEX2DEC('table for research'!AH$1))*2,2)</f>
        <v>00</v>
      </c>
      <c r="AI868" t="str">
        <f>MID('paste from garc here'!$C$2,1+(('table for research'!$B868-456)*36+HEX2DEC('table for research'!AI$1))*2,2)</f>
        <v>00</v>
      </c>
      <c r="AJ868" t="str">
        <f>MID('paste from garc here'!$C$2,1+(('table for research'!$B868-456)*36+HEX2DEC('table for research'!AJ$1))*2,2)</f>
        <v>00</v>
      </c>
      <c r="AK868" t="str">
        <f>MID('paste from garc here'!$C$2,1+(('table for research'!$B868-456)*36+HEX2DEC('table for research'!AK$1))*2,2)</f>
        <v>00</v>
      </c>
      <c r="AL868" t="str">
        <f>MID('paste from garc here'!$C$2,1+(('table for research'!$B868-456)*36+HEX2DEC('table for research'!AL$1))*2,2)</f>
        <v>00</v>
      </c>
      <c r="AM868" t="str">
        <f>MID('paste from garc here'!$C$2,1+(('table for research'!$B868-456)*36+HEX2DEC('table for research'!AM$1))*2,2)</f>
        <v>00</v>
      </c>
      <c r="AN868" t="str">
        <f>MID('paste from garc here'!$C$2,1+(('table for research'!$B868-456)*36+HEX2DEC('table for research'!AN$1))*2,2)</f>
        <v>00</v>
      </c>
      <c r="AO868" t="str">
        <f>MID('paste from garc here'!$C$2,1+(('table for research'!$B868-456)*36+HEX2DEC('table for research'!AO$1))*2,2)</f>
        <v>00</v>
      </c>
    </row>
    <row r="869" spans="1:41" x14ac:dyDescent="0.4">
      <c r="A869" t="s">
        <v>138</v>
      </c>
      <c r="B869">
        <f>B868+1</f>
        <v>867</v>
      </c>
      <c r="C869" t="str">
        <f>MID('paste from garc here'!$C$2,1+(('table for research'!$B869-456)*36+HEX2DEC('table for research'!C$1))*2,2)</f>
        <v>00</v>
      </c>
      <c r="D869" t="str">
        <f>MID('paste from garc here'!$C$2,1+(('table for research'!$B869-456)*36+HEX2DEC('table for research'!D$1))*2,2)</f>
        <v>00</v>
      </c>
      <c r="E869" t="str">
        <f>MID('paste from garc here'!$C$2,1+(('table for research'!$B869-456)*36+HEX2DEC('table for research'!E$1))*2,2)</f>
        <v>00</v>
      </c>
      <c r="F869" t="str">
        <f>MID('paste from garc here'!$C$2,1+(('table for research'!$B869-456)*36+HEX2DEC('table for research'!F$1))*2,2)</f>
        <v>00</v>
      </c>
      <c r="G869" t="str">
        <f>MID('paste from garc here'!$C$2,1+(('table for research'!$B869-456)*36+HEX2DEC('table for research'!G$1))*2,2)</f>
        <v>00</v>
      </c>
      <c r="H869" t="str">
        <f>MID('paste from garc here'!$C$2,1+(('table for research'!$B869-456)*36+HEX2DEC('table for research'!H$1))*2,2)</f>
        <v>00</v>
      </c>
      <c r="I869" t="str">
        <f>MID('paste from garc here'!$C$2,1+(('table for research'!$B869-456)*36+HEX2DEC('table for research'!I$1))*2,2)</f>
        <v>00</v>
      </c>
      <c r="J869" t="str">
        <f>MID('paste from garc here'!$C$2,1+(('table for research'!$B869-456)*36+HEX2DEC('table for research'!J$1))*2,2)</f>
        <v>00</v>
      </c>
      <c r="K869" t="str">
        <f>DEC2HEX(_xlfn.BITAND(HEX2DEC(MID('paste from garc here'!$C$1,1+(('table for research'!$B869-1)*36+HEX2DEC(8))*2,2)),31),2)</f>
        <v>00</v>
      </c>
      <c r="L869" t="str">
        <f>DEC2HEX(_xlfn.BITAND(HEX2DEC(MID('paste from garc here'!$C$1,1+(('table for research'!$B869-1)*36+HEX2DEC(8))*2,2)),32),2)</f>
        <v>00</v>
      </c>
      <c r="M869" t="str">
        <f>DEC2HEX(_xlfn.BITAND(HEX2DEC(MID('paste from garc here'!$C$1,1+(('table for research'!$B869-1)*36+HEX2DEC(8))*2,2)),64),2)</f>
        <v>00</v>
      </c>
      <c r="N869" t="str">
        <f>DEC2HEX(_xlfn.BITRSHIFT(_xlfn.BITAND(HEX2DEC(MID('paste from garc here'!$C$1,1+(('table for research'!$B869-1)*36+HEX2DEC(9))*2,2)&amp;MID('paste from garc here'!$C$1,1+(('table for research'!$B869-1)*36+HEX2DEC(8))*2,2)),1920),7),2)</f>
        <v>00</v>
      </c>
      <c r="O869" t="str">
        <f>DEC2HEX(_xlfn.BITRSHIFT(HEX2DEC(MID('paste from garc here'!$C$1,1+(('table for research'!$B869-1)*36+HEX2DEC(9))*2,2)&amp;MID('paste from garc here'!$C$1,1+(('table for research'!$B869-1)*36+HEX2DEC(8))*2,2)),11),2)</f>
        <v>00</v>
      </c>
      <c r="P869" t="str">
        <f>MID('paste from garc here'!$C$2,1+(('table for research'!$B869-456)*36+HEX2DEC('table for research'!P$1))*2,2)</f>
        <v>00</v>
      </c>
      <c r="Q869" t="str">
        <f>MID('paste from garc here'!$C$2,1+(('table for research'!$B869-456)*36+HEX2DEC('table for research'!Q$1))*2,2)</f>
        <v>00</v>
      </c>
      <c r="R869" t="str">
        <f>MID('paste from garc here'!$C$2,1+(('table for research'!$B869-456)*36+HEX2DEC('table for research'!R$1))*2,2)</f>
        <v>00</v>
      </c>
      <c r="S869" t="str">
        <f>MID('paste from garc here'!$C$2,1+(('table for research'!$B869-456)*36+HEX2DEC('table for research'!S$1))*2,2)</f>
        <v>08</v>
      </c>
      <c r="T869" t="str">
        <f>MID('paste from garc here'!$C$2,1+(('table for research'!$B869-456)*36+HEX2DEC('table for research'!T$1))*2,2)</f>
        <v>00</v>
      </c>
      <c r="U869" t="str">
        <f>MID('paste from garc here'!$C$2,1+(('table for research'!$B869-456)*36+HEX2DEC('table for research'!U$1))*2,2)</f>
        <v>FF</v>
      </c>
      <c r="V869" t="str">
        <f>MID('paste from garc here'!$C$2,1+(('table for research'!$B869-456)*36+HEX2DEC('table for research'!V$1))*2,2)</f>
        <v>00</v>
      </c>
      <c r="W869" t="str">
        <f>MID('paste from garc here'!$C$2,1+(('table for research'!$B869-456)*36+HEX2DEC('table for research'!W$1))*2,2)</f>
        <v>00</v>
      </c>
      <c r="X869" t="str">
        <f>MID('paste from garc here'!$C$2,1+(('table for research'!$B869-456)*36+HEX2DEC('table for research'!X$1))*2,2)</f>
        <v>00</v>
      </c>
      <c r="Y869" t="str">
        <f>MID('paste from garc here'!$C$2,1+(('table for research'!$B869-456)*36+HEX2DEC('table for research'!Y$1))*2,2)</f>
        <v>00</v>
      </c>
      <c r="Z869" t="str">
        <f>MID('paste from garc here'!$C$2,1+(('table for research'!$B869-456)*36+HEX2DEC('table for research'!Z$1))*2,2)</f>
        <v>00</v>
      </c>
      <c r="AA869" t="str">
        <f>MID('paste from garc here'!$C$2,1+(('table for research'!$B869-456)*36+HEX2DEC('table for research'!AA$1))*2,2)</f>
        <v>00</v>
      </c>
      <c r="AB869" t="str">
        <f>MID('paste from garc here'!$C$2,1+(('table for research'!$B869-456)*36+HEX2DEC('table for research'!AB$1))*2,2)</f>
        <v>00</v>
      </c>
      <c r="AC869" t="str">
        <f>MID('paste from garc here'!$C$2,1+(('table for research'!$B869-456)*36+HEX2DEC('table for research'!AC$1))*2,2)</f>
        <v>00</v>
      </c>
      <c r="AD869" t="str">
        <f>MID('paste from garc here'!$C$2,1+(('table for research'!$B869-456)*36+HEX2DEC('table for research'!AD$1))*2,2)</f>
        <v>00</v>
      </c>
      <c r="AE869" t="str">
        <f>MID('paste from garc here'!$C$2,1+(('table for research'!$B869-456)*36+HEX2DEC('table for research'!AE$1))*2,2)</f>
        <v>00</v>
      </c>
      <c r="AF869" t="str">
        <f>MID('paste from garc here'!$C$2,1+(('table for research'!$B869-456)*36+HEX2DEC('table for research'!AF$1))*2,2)</f>
        <v>00</v>
      </c>
      <c r="AG869" t="str">
        <f>MID('paste from garc here'!$C$2,1+(('table for research'!$B869-456)*36+HEX2DEC('table for research'!AG$1))*2,2)</f>
        <v>00</v>
      </c>
      <c r="AH869" t="str">
        <f>MID('paste from garc here'!$C$2,1+(('table for research'!$B869-456)*36+HEX2DEC('table for research'!AH$1))*2,2)</f>
        <v>00</v>
      </c>
      <c r="AI869" t="str">
        <f>MID('paste from garc here'!$C$2,1+(('table for research'!$B869-456)*36+HEX2DEC('table for research'!AI$1))*2,2)</f>
        <v>00</v>
      </c>
      <c r="AJ869" t="str">
        <f>MID('paste from garc here'!$C$2,1+(('table for research'!$B869-456)*36+HEX2DEC('table for research'!AJ$1))*2,2)</f>
        <v>00</v>
      </c>
      <c r="AK869" t="str">
        <f>MID('paste from garc here'!$C$2,1+(('table for research'!$B869-456)*36+HEX2DEC('table for research'!AK$1))*2,2)</f>
        <v>00</v>
      </c>
      <c r="AL869" t="str">
        <f>MID('paste from garc here'!$C$2,1+(('table for research'!$B869-456)*36+HEX2DEC('table for research'!AL$1))*2,2)</f>
        <v>00</v>
      </c>
      <c r="AM869" t="str">
        <f>MID('paste from garc here'!$C$2,1+(('table for research'!$B869-456)*36+HEX2DEC('table for research'!AM$1))*2,2)</f>
        <v>00</v>
      </c>
      <c r="AN869" t="str">
        <f>MID('paste from garc here'!$C$2,1+(('table for research'!$B869-456)*36+HEX2DEC('table for research'!AN$1))*2,2)</f>
        <v>00</v>
      </c>
      <c r="AO869" t="str">
        <f>MID('paste from garc here'!$C$2,1+(('table for research'!$B869-456)*36+HEX2DEC('table for research'!AO$1))*2,2)</f>
        <v>00</v>
      </c>
    </row>
    <row r="870" spans="1:41" x14ac:dyDescent="0.4">
      <c r="A870" t="s">
        <v>138</v>
      </c>
      <c r="B870">
        <f>B869+1</f>
        <v>868</v>
      </c>
      <c r="C870" t="str">
        <f>MID('paste from garc here'!$C$2,1+(('table for research'!$B870-456)*36+HEX2DEC('table for research'!C$1))*2,2)</f>
        <v>00</v>
      </c>
      <c r="D870" t="str">
        <f>MID('paste from garc here'!$C$2,1+(('table for research'!$B870-456)*36+HEX2DEC('table for research'!D$1))*2,2)</f>
        <v>00</v>
      </c>
      <c r="E870" t="str">
        <f>MID('paste from garc here'!$C$2,1+(('table for research'!$B870-456)*36+HEX2DEC('table for research'!E$1))*2,2)</f>
        <v>00</v>
      </c>
      <c r="F870" t="str">
        <f>MID('paste from garc here'!$C$2,1+(('table for research'!$B870-456)*36+HEX2DEC('table for research'!F$1))*2,2)</f>
        <v>00</v>
      </c>
      <c r="G870" t="str">
        <f>MID('paste from garc here'!$C$2,1+(('table for research'!$B870-456)*36+HEX2DEC('table for research'!G$1))*2,2)</f>
        <v>00</v>
      </c>
      <c r="H870" t="str">
        <f>MID('paste from garc here'!$C$2,1+(('table for research'!$B870-456)*36+HEX2DEC('table for research'!H$1))*2,2)</f>
        <v>00</v>
      </c>
      <c r="I870" t="str">
        <f>MID('paste from garc here'!$C$2,1+(('table for research'!$B870-456)*36+HEX2DEC('table for research'!I$1))*2,2)</f>
        <v>00</v>
      </c>
      <c r="J870" t="str">
        <f>MID('paste from garc here'!$C$2,1+(('table for research'!$B870-456)*36+HEX2DEC('table for research'!J$1))*2,2)</f>
        <v>00</v>
      </c>
      <c r="K870" t="str">
        <f>DEC2HEX(_xlfn.BITAND(HEX2DEC(MID('paste from garc here'!$C$1,1+(('table for research'!$B870-1)*36+HEX2DEC(8))*2,2)),31),2)</f>
        <v>00</v>
      </c>
      <c r="L870" t="str">
        <f>DEC2HEX(_xlfn.BITAND(HEX2DEC(MID('paste from garc here'!$C$1,1+(('table for research'!$B870-1)*36+HEX2DEC(8))*2,2)),32),2)</f>
        <v>00</v>
      </c>
      <c r="M870" t="str">
        <f>DEC2HEX(_xlfn.BITAND(HEX2DEC(MID('paste from garc here'!$C$1,1+(('table for research'!$B870-1)*36+HEX2DEC(8))*2,2)),64),2)</f>
        <v>00</v>
      </c>
      <c r="N870" t="str">
        <f>DEC2HEX(_xlfn.BITRSHIFT(_xlfn.BITAND(HEX2DEC(MID('paste from garc here'!$C$1,1+(('table for research'!$B870-1)*36+HEX2DEC(9))*2,2)&amp;MID('paste from garc here'!$C$1,1+(('table for research'!$B870-1)*36+HEX2DEC(8))*2,2)),1920),7),2)</f>
        <v>00</v>
      </c>
      <c r="O870" t="str">
        <f>DEC2HEX(_xlfn.BITRSHIFT(HEX2DEC(MID('paste from garc here'!$C$1,1+(('table for research'!$B870-1)*36+HEX2DEC(9))*2,2)&amp;MID('paste from garc here'!$C$1,1+(('table for research'!$B870-1)*36+HEX2DEC(8))*2,2)),11),2)</f>
        <v>00</v>
      </c>
      <c r="P870" t="str">
        <f>MID('paste from garc here'!$C$2,1+(('table for research'!$B870-456)*36+HEX2DEC('table for research'!P$1))*2,2)</f>
        <v>00</v>
      </c>
      <c r="Q870" t="str">
        <f>MID('paste from garc here'!$C$2,1+(('table for research'!$B870-456)*36+HEX2DEC('table for research'!Q$1))*2,2)</f>
        <v>00</v>
      </c>
      <c r="R870" t="str">
        <f>MID('paste from garc here'!$C$2,1+(('table for research'!$B870-456)*36+HEX2DEC('table for research'!R$1))*2,2)</f>
        <v>00</v>
      </c>
      <c r="S870" t="str">
        <f>MID('paste from garc here'!$C$2,1+(('table for research'!$B870-456)*36+HEX2DEC('table for research'!S$1))*2,2)</f>
        <v>08</v>
      </c>
      <c r="T870" t="str">
        <f>MID('paste from garc here'!$C$2,1+(('table for research'!$B870-456)*36+HEX2DEC('table for research'!T$1))*2,2)</f>
        <v>00</v>
      </c>
      <c r="U870" t="str">
        <f>MID('paste from garc here'!$C$2,1+(('table for research'!$B870-456)*36+HEX2DEC('table for research'!U$1))*2,2)</f>
        <v>FF</v>
      </c>
      <c r="V870" t="str">
        <f>MID('paste from garc here'!$C$2,1+(('table for research'!$B870-456)*36+HEX2DEC('table for research'!V$1))*2,2)</f>
        <v>00</v>
      </c>
      <c r="W870" t="str">
        <f>MID('paste from garc here'!$C$2,1+(('table for research'!$B870-456)*36+HEX2DEC('table for research'!W$1))*2,2)</f>
        <v>00</v>
      </c>
      <c r="X870" t="str">
        <f>MID('paste from garc here'!$C$2,1+(('table for research'!$B870-456)*36+HEX2DEC('table for research'!X$1))*2,2)</f>
        <v>00</v>
      </c>
      <c r="Y870" t="str">
        <f>MID('paste from garc here'!$C$2,1+(('table for research'!$B870-456)*36+HEX2DEC('table for research'!Y$1))*2,2)</f>
        <v>00</v>
      </c>
      <c r="Z870" t="str">
        <f>MID('paste from garc here'!$C$2,1+(('table for research'!$B870-456)*36+HEX2DEC('table for research'!Z$1))*2,2)</f>
        <v>00</v>
      </c>
      <c r="AA870" t="str">
        <f>MID('paste from garc here'!$C$2,1+(('table for research'!$B870-456)*36+HEX2DEC('table for research'!AA$1))*2,2)</f>
        <v>00</v>
      </c>
      <c r="AB870" t="str">
        <f>MID('paste from garc here'!$C$2,1+(('table for research'!$B870-456)*36+HEX2DEC('table for research'!AB$1))*2,2)</f>
        <v>00</v>
      </c>
      <c r="AC870" t="str">
        <f>MID('paste from garc here'!$C$2,1+(('table for research'!$B870-456)*36+HEX2DEC('table for research'!AC$1))*2,2)</f>
        <v>00</v>
      </c>
      <c r="AD870" t="str">
        <f>MID('paste from garc here'!$C$2,1+(('table for research'!$B870-456)*36+HEX2DEC('table for research'!AD$1))*2,2)</f>
        <v>00</v>
      </c>
      <c r="AE870" t="str">
        <f>MID('paste from garc here'!$C$2,1+(('table for research'!$B870-456)*36+HEX2DEC('table for research'!AE$1))*2,2)</f>
        <v>00</v>
      </c>
      <c r="AF870" t="str">
        <f>MID('paste from garc here'!$C$2,1+(('table for research'!$B870-456)*36+HEX2DEC('table for research'!AF$1))*2,2)</f>
        <v>00</v>
      </c>
      <c r="AG870" t="str">
        <f>MID('paste from garc here'!$C$2,1+(('table for research'!$B870-456)*36+HEX2DEC('table for research'!AG$1))*2,2)</f>
        <v>00</v>
      </c>
      <c r="AH870" t="str">
        <f>MID('paste from garc here'!$C$2,1+(('table for research'!$B870-456)*36+HEX2DEC('table for research'!AH$1))*2,2)</f>
        <v>00</v>
      </c>
      <c r="AI870" t="str">
        <f>MID('paste from garc here'!$C$2,1+(('table for research'!$B870-456)*36+HEX2DEC('table for research'!AI$1))*2,2)</f>
        <v>00</v>
      </c>
      <c r="AJ870" t="str">
        <f>MID('paste from garc here'!$C$2,1+(('table for research'!$B870-456)*36+HEX2DEC('table for research'!AJ$1))*2,2)</f>
        <v>00</v>
      </c>
      <c r="AK870" t="str">
        <f>MID('paste from garc here'!$C$2,1+(('table for research'!$B870-456)*36+HEX2DEC('table for research'!AK$1))*2,2)</f>
        <v>00</v>
      </c>
      <c r="AL870" t="str">
        <f>MID('paste from garc here'!$C$2,1+(('table for research'!$B870-456)*36+HEX2DEC('table for research'!AL$1))*2,2)</f>
        <v>00</v>
      </c>
      <c r="AM870" t="str">
        <f>MID('paste from garc here'!$C$2,1+(('table for research'!$B870-456)*36+HEX2DEC('table for research'!AM$1))*2,2)</f>
        <v>00</v>
      </c>
      <c r="AN870" t="str">
        <f>MID('paste from garc here'!$C$2,1+(('table for research'!$B870-456)*36+HEX2DEC('table for research'!AN$1))*2,2)</f>
        <v>00</v>
      </c>
      <c r="AO870" t="str">
        <f>MID('paste from garc here'!$C$2,1+(('table for research'!$B870-456)*36+HEX2DEC('table for research'!AO$1))*2,2)</f>
        <v>00</v>
      </c>
    </row>
    <row r="871" spans="1:41" x14ac:dyDescent="0.4">
      <c r="A871" t="s">
        <v>138</v>
      </c>
      <c r="B871">
        <f>B870+1</f>
        <v>869</v>
      </c>
      <c r="C871" t="str">
        <f>MID('paste from garc here'!$C$2,1+(('table for research'!$B871-456)*36+HEX2DEC('table for research'!C$1))*2,2)</f>
        <v>00</v>
      </c>
      <c r="D871" t="str">
        <f>MID('paste from garc here'!$C$2,1+(('table for research'!$B871-456)*36+HEX2DEC('table for research'!D$1))*2,2)</f>
        <v>00</v>
      </c>
      <c r="E871" t="str">
        <f>MID('paste from garc here'!$C$2,1+(('table for research'!$B871-456)*36+HEX2DEC('table for research'!E$1))*2,2)</f>
        <v>00</v>
      </c>
      <c r="F871" t="str">
        <f>MID('paste from garc here'!$C$2,1+(('table for research'!$B871-456)*36+HEX2DEC('table for research'!F$1))*2,2)</f>
        <v>00</v>
      </c>
      <c r="G871" t="str">
        <f>MID('paste from garc here'!$C$2,1+(('table for research'!$B871-456)*36+HEX2DEC('table for research'!G$1))*2,2)</f>
        <v>00</v>
      </c>
      <c r="H871" t="str">
        <f>MID('paste from garc here'!$C$2,1+(('table for research'!$B871-456)*36+HEX2DEC('table for research'!H$1))*2,2)</f>
        <v>00</v>
      </c>
      <c r="I871" t="str">
        <f>MID('paste from garc here'!$C$2,1+(('table for research'!$B871-456)*36+HEX2DEC('table for research'!I$1))*2,2)</f>
        <v>00</v>
      </c>
      <c r="J871" t="str">
        <f>MID('paste from garc here'!$C$2,1+(('table for research'!$B871-456)*36+HEX2DEC('table for research'!J$1))*2,2)</f>
        <v>00</v>
      </c>
      <c r="K871" t="str">
        <f>DEC2HEX(_xlfn.BITAND(HEX2DEC(MID('paste from garc here'!$C$1,1+(('table for research'!$B871-1)*36+HEX2DEC(8))*2,2)),31),2)</f>
        <v>00</v>
      </c>
      <c r="L871" t="str">
        <f>DEC2HEX(_xlfn.BITAND(HEX2DEC(MID('paste from garc here'!$C$1,1+(('table for research'!$B871-1)*36+HEX2DEC(8))*2,2)),32),2)</f>
        <v>00</v>
      </c>
      <c r="M871" t="str">
        <f>DEC2HEX(_xlfn.BITAND(HEX2DEC(MID('paste from garc here'!$C$1,1+(('table for research'!$B871-1)*36+HEX2DEC(8))*2,2)),64),2)</f>
        <v>00</v>
      </c>
      <c r="N871" t="str">
        <f>DEC2HEX(_xlfn.BITRSHIFT(_xlfn.BITAND(HEX2DEC(MID('paste from garc here'!$C$1,1+(('table for research'!$B871-1)*36+HEX2DEC(9))*2,2)&amp;MID('paste from garc here'!$C$1,1+(('table for research'!$B871-1)*36+HEX2DEC(8))*2,2)),1920),7),2)</f>
        <v>00</v>
      </c>
      <c r="O871" t="str">
        <f>DEC2HEX(_xlfn.BITRSHIFT(HEX2DEC(MID('paste from garc here'!$C$1,1+(('table for research'!$B871-1)*36+HEX2DEC(9))*2,2)&amp;MID('paste from garc here'!$C$1,1+(('table for research'!$B871-1)*36+HEX2DEC(8))*2,2)),11),2)</f>
        <v>00</v>
      </c>
      <c r="P871" t="str">
        <f>MID('paste from garc here'!$C$2,1+(('table for research'!$B871-456)*36+HEX2DEC('table for research'!P$1))*2,2)</f>
        <v>00</v>
      </c>
      <c r="Q871" t="str">
        <f>MID('paste from garc here'!$C$2,1+(('table for research'!$B871-456)*36+HEX2DEC('table for research'!Q$1))*2,2)</f>
        <v>00</v>
      </c>
      <c r="R871" t="str">
        <f>MID('paste from garc here'!$C$2,1+(('table for research'!$B871-456)*36+HEX2DEC('table for research'!R$1))*2,2)</f>
        <v>00</v>
      </c>
      <c r="S871" t="str">
        <f>MID('paste from garc here'!$C$2,1+(('table for research'!$B871-456)*36+HEX2DEC('table for research'!S$1))*2,2)</f>
        <v>08</v>
      </c>
      <c r="T871" t="str">
        <f>MID('paste from garc here'!$C$2,1+(('table for research'!$B871-456)*36+HEX2DEC('table for research'!T$1))*2,2)</f>
        <v>00</v>
      </c>
      <c r="U871" t="str">
        <f>MID('paste from garc here'!$C$2,1+(('table for research'!$B871-456)*36+HEX2DEC('table for research'!U$1))*2,2)</f>
        <v>FF</v>
      </c>
      <c r="V871" t="str">
        <f>MID('paste from garc here'!$C$2,1+(('table for research'!$B871-456)*36+HEX2DEC('table for research'!V$1))*2,2)</f>
        <v>00</v>
      </c>
      <c r="W871" t="str">
        <f>MID('paste from garc here'!$C$2,1+(('table for research'!$B871-456)*36+HEX2DEC('table for research'!W$1))*2,2)</f>
        <v>00</v>
      </c>
      <c r="X871" t="str">
        <f>MID('paste from garc here'!$C$2,1+(('table for research'!$B871-456)*36+HEX2DEC('table for research'!X$1))*2,2)</f>
        <v>00</v>
      </c>
      <c r="Y871" t="str">
        <f>MID('paste from garc here'!$C$2,1+(('table for research'!$B871-456)*36+HEX2DEC('table for research'!Y$1))*2,2)</f>
        <v>00</v>
      </c>
      <c r="Z871" t="str">
        <f>MID('paste from garc here'!$C$2,1+(('table for research'!$B871-456)*36+HEX2DEC('table for research'!Z$1))*2,2)</f>
        <v>00</v>
      </c>
      <c r="AA871" t="str">
        <f>MID('paste from garc here'!$C$2,1+(('table for research'!$B871-456)*36+HEX2DEC('table for research'!AA$1))*2,2)</f>
        <v>00</v>
      </c>
      <c r="AB871" t="str">
        <f>MID('paste from garc here'!$C$2,1+(('table for research'!$B871-456)*36+HEX2DEC('table for research'!AB$1))*2,2)</f>
        <v>00</v>
      </c>
      <c r="AC871" t="str">
        <f>MID('paste from garc here'!$C$2,1+(('table for research'!$B871-456)*36+HEX2DEC('table for research'!AC$1))*2,2)</f>
        <v>00</v>
      </c>
      <c r="AD871" t="str">
        <f>MID('paste from garc here'!$C$2,1+(('table for research'!$B871-456)*36+HEX2DEC('table for research'!AD$1))*2,2)</f>
        <v>00</v>
      </c>
      <c r="AE871" t="str">
        <f>MID('paste from garc here'!$C$2,1+(('table for research'!$B871-456)*36+HEX2DEC('table for research'!AE$1))*2,2)</f>
        <v>00</v>
      </c>
      <c r="AF871" t="str">
        <f>MID('paste from garc here'!$C$2,1+(('table for research'!$B871-456)*36+HEX2DEC('table for research'!AF$1))*2,2)</f>
        <v>00</v>
      </c>
      <c r="AG871" t="str">
        <f>MID('paste from garc here'!$C$2,1+(('table for research'!$B871-456)*36+HEX2DEC('table for research'!AG$1))*2,2)</f>
        <v>00</v>
      </c>
      <c r="AH871" t="str">
        <f>MID('paste from garc here'!$C$2,1+(('table for research'!$B871-456)*36+HEX2DEC('table for research'!AH$1))*2,2)</f>
        <v>00</v>
      </c>
      <c r="AI871" t="str">
        <f>MID('paste from garc here'!$C$2,1+(('table for research'!$B871-456)*36+HEX2DEC('table for research'!AI$1))*2,2)</f>
        <v>00</v>
      </c>
      <c r="AJ871" t="str">
        <f>MID('paste from garc here'!$C$2,1+(('table for research'!$B871-456)*36+HEX2DEC('table for research'!AJ$1))*2,2)</f>
        <v>00</v>
      </c>
      <c r="AK871" t="str">
        <f>MID('paste from garc here'!$C$2,1+(('table for research'!$B871-456)*36+HEX2DEC('table for research'!AK$1))*2,2)</f>
        <v>00</v>
      </c>
      <c r="AL871" t="str">
        <f>MID('paste from garc here'!$C$2,1+(('table for research'!$B871-456)*36+HEX2DEC('table for research'!AL$1))*2,2)</f>
        <v>00</v>
      </c>
      <c r="AM871" t="str">
        <f>MID('paste from garc here'!$C$2,1+(('table for research'!$B871-456)*36+HEX2DEC('table for research'!AM$1))*2,2)</f>
        <v>00</v>
      </c>
      <c r="AN871" t="str">
        <f>MID('paste from garc here'!$C$2,1+(('table for research'!$B871-456)*36+HEX2DEC('table for research'!AN$1))*2,2)</f>
        <v>00</v>
      </c>
      <c r="AO871" t="str">
        <f>MID('paste from garc here'!$C$2,1+(('table for research'!$B871-456)*36+HEX2DEC('table for research'!AO$1))*2,2)</f>
        <v>00</v>
      </c>
    </row>
    <row r="872" spans="1:41" x14ac:dyDescent="0.4">
      <c r="A872" t="s">
        <v>138</v>
      </c>
      <c r="B872">
        <f>B871+1</f>
        <v>870</v>
      </c>
      <c r="C872" t="str">
        <f>MID('paste from garc here'!$C$2,1+(('table for research'!$B872-456)*36+HEX2DEC('table for research'!C$1))*2,2)</f>
        <v>00</v>
      </c>
      <c r="D872" t="str">
        <f>MID('paste from garc here'!$C$2,1+(('table for research'!$B872-456)*36+HEX2DEC('table for research'!D$1))*2,2)</f>
        <v>00</v>
      </c>
      <c r="E872" t="str">
        <f>MID('paste from garc here'!$C$2,1+(('table for research'!$B872-456)*36+HEX2DEC('table for research'!E$1))*2,2)</f>
        <v>00</v>
      </c>
      <c r="F872" t="str">
        <f>MID('paste from garc here'!$C$2,1+(('table for research'!$B872-456)*36+HEX2DEC('table for research'!F$1))*2,2)</f>
        <v>00</v>
      </c>
      <c r="G872" t="str">
        <f>MID('paste from garc here'!$C$2,1+(('table for research'!$B872-456)*36+HEX2DEC('table for research'!G$1))*2,2)</f>
        <v>00</v>
      </c>
      <c r="H872" t="str">
        <f>MID('paste from garc here'!$C$2,1+(('table for research'!$B872-456)*36+HEX2DEC('table for research'!H$1))*2,2)</f>
        <v>00</v>
      </c>
      <c r="I872" t="str">
        <f>MID('paste from garc here'!$C$2,1+(('table for research'!$B872-456)*36+HEX2DEC('table for research'!I$1))*2,2)</f>
        <v>00</v>
      </c>
      <c r="J872" t="str">
        <f>MID('paste from garc here'!$C$2,1+(('table for research'!$B872-456)*36+HEX2DEC('table for research'!J$1))*2,2)</f>
        <v>00</v>
      </c>
      <c r="K872" t="str">
        <f>DEC2HEX(_xlfn.BITAND(HEX2DEC(MID('paste from garc here'!$C$1,1+(('table for research'!$B872-1)*36+HEX2DEC(8))*2,2)),31),2)</f>
        <v>00</v>
      </c>
      <c r="L872" t="str">
        <f>DEC2HEX(_xlfn.BITAND(HEX2DEC(MID('paste from garc here'!$C$1,1+(('table for research'!$B872-1)*36+HEX2DEC(8))*2,2)),32),2)</f>
        <v>00</v>
      </c>
      <c r="M872" t="str">
        <f>DEC2HEX(_xlfn.BITAND(HEX2DEC(MID('paste from garc here'!$C$1,1+(('table for research'!$B872-1)*36+HEX2DEC(8))*2,2)),64),2)</f>
        <v>00</v>
      </c>
      <c r="N872" t="str">
        <f>DEC2HEX(_xlfn.BITRSHIFT(_xlfn.BITAND(HEX2DEC(MID('paste from garc here'!$C$1,1+(('table for research'!$B872-1)*36+HEX2DEC(9))*2,2)&amp;MID('paste from garc here'!$C$1,1+(('table for research'!$B872-1)*36+HEX2DEC(8))*2,2)),1920),7),2)</f>
        <v>00</v>
      </c>
      <c r="O872" t="str">
        <f>DEC2HEX(_xlfn.BITRSHIFT(HEX2DEC(MID('paste from garc here'!$C$1,1+(('table for research'!$B872-1)*36+HEX2DEC(9))*2,2)&amp;MID('paste from garc here'!$C$1,1+(('table for research'!$B872-1)*36+HEX2DEC(8))*2,2)),11),2)</f>
        <v>00</v>
      </c>
      <c r="P872" t="str">
        <f>MID('paste from garc here'!$C$2,1+(('table for research'!$B872-456)*36+HEX2DEC('table for research'!P$1))*2,2)</f>
        <v>00</v>
      </c>
      <c r="Q872" t="str">
        <f>MID('paste from garc here'!$C$2,1+(('table for research'!$B872-456)*36+HEX2DEC('table for research'!Q$1))*2,2)</f>
        <v>00</v>
      </c>
      <c r="R872" t="str">
        <f>MID('paste from garc here'!$C$2,1+(('table for research'!$B872-456)*36+HEX2DEC('table for research'!R$1))*2,2)</f>
        <v>00</v>
      </c>
      <c r="S872" t="str">
        <f>MID('paste from garc here'!$C$2,1+(('table for research'!$B872-456)*36+HEX2DEC('table for research'!S$1))*2,2)</f>
        <v>08</v>
      </c>
      <c r="T872" t="str">
        <f>MID('paste from garc here'!$C$2,1+(('table for research'!$B872-456)*36+HEX2DEC('table for research'!T$1))*2,2)</f>
        <v>00</v>
      </c>
      <c r="U872" t="str">
        <f>MID('paste from garc here'!$C$2,1+(('table for research'!$B872-456)*36+HEX2DEC('table for research'!U$1))*2,2)</f>
        <v>FF</v>
      </c>
      <c r="V872" t="str">
        <f>MID('paste from garc here'!$C$2,1+(('table for research'!$B872-456)*36+HEX2DEC('table for research'!V$1))*2,2)</f>
        <v>00</v>
      </c>
      <c r="W872" t="str">
        <f>MID('paste from garc here'!$C$2,1+(('table for research'!$B872-456)*36+HEX2DEC('table for research'!W$1))*2,2)</f>
        <v>00</v>
      </c>
      <c r="X872" t="str">
        <f>MID('paste from garc here'!$C$2,1+(('table for research'!$B872-456)*36+HEX2DEC('table for research'!X$1))*2,2)</f>
        <v>00</v>
      </c>
      <c r="Y872" t="str">
        <f>MID('paste from garc here'!$C$2,1+(('table for research'!$B872-456)*36+HEX2DEC('table for research'!Y$1))*2,2)</f>
        <v>00</v>
      </c>
      <c r="Z872" t="str">
        <f>MID('paste from garc here'!$C$2,1+(('table for research'!$B872-456)*36+HEX2DEC('table for research'!Z$1))*2,2)</f>
        <v>00</v>
      </c>
      <c r="AA872" t="str">
        <f>MID('paste from garc here'!$C$2,1+(('table for research'!$B872-456)*36+HEX2DEC('table for research'!AA$1))*2,2)</f>
        <v>00</v>
      </c>
      <c r="AB872" t="str">
        <f>MID('paste from garc here'!$C$2,1+(('table for research'!$B872-456)*36+HEX2DEC('table for research'!AB$1))*2,2)</f>
        <v>00</v>
      </c>
      <c r="AC872" t="str">
        <f>MID('paste from garc here'!$C$2,1+(('table for research'!$B872-456)*36+HEX2DEC('table for research'!AC$1))*2,2)</f>
        <v>00</v>
      </c>
      <c r="AD872" t="str">
        <f>MID('paste from garc here'!$C$2,1+(('table for research'!$B872-456)*36+HEX2DEC('table for research'!AD$1))*2,2)</f>
        <v>00</v>
      </c>
      <c r="AE872" t="str">
        <f>MID('paste from garc here'!$C$2,1+(('table for research'!$B872-456)*36+HEX2DEC('table for research'!AE$1))*2,2)</f>
        <v>00</v>
      </c>
      <c r="AF872" t="str">
        <f>MID('paste from garc here'!$C$2,1+(('table for research'!$B872-456)*36+HEX2DEC('table for research'!AF$1))*2,2)</f>
        <v>00</v>
      </c>
      <c r="AG872" t="str">
        <f>MID('paste from garc here'!$C$2,1+(('table for research'!$B872-456)*36+HEX2DEC('table for research'!AG$1))*2,2)</f>
        <v>00</v>
      </c>
      <c r="AH872" t="str">
        <f>MID('paste from garc here'!$C$2,1+(('table for research'!$B872-456)*36+HEX2DEC('table for research'!AH$1))*2,2)</f>
        <v>00</v>
      </c>
      <c r="AI872" t="str">
        <f>MID('paste from garc here'!$C$2,1+(('table for research'!$B872-456)*36+HEX2DEC('table for research'!AI$1))*2,2)</f>
        <v>00</v>
      </c>
      <c r="AJ872" t="str">
        <f>MID('paste from garc here'!$C$2,1+(('table for research'!$B872-456)*36+HEX2DEC('table for research'!AJ$1))*2,2)</f>
        <v>00</v>
      </c>
      <c r="AK872" t="str">
        <f>MID('paste from garc here'!$C$2,1+(('table for research'!$B872-456)*36+HEX2DEC('table for research'!AK$1))*2,2)</f>
        <v>00</v>
      </c>
      <c r="AL872" t="str">
        <f>MID('paste from garc here'!$C$2,1+(('table for research'!$B872-456)*36+HEX2DEC('table for research'!AL$1))*2,2)</f>
        <v>00</v>
      </c>
      <c r="AM872" t="str">
        <f>MID('paste from garc here'!$C$2,1+(('table for research'!$B872-456)*36+HEX2DEC('table for research'!AM$1))*2,2)</f>
        <v>00</v>
      </c>
      <c r="AN872" t="str">
        <f>MID('paste from garc here'!$C$2,1+(('table for research'!$B872-456)*36+HEX2DEC('table for research'!AN$1))*2,2)</f>
        <v>00</v>
      </c>
      <c r="AO872" t="str">
        <f>MID('paste from garc here'!$C$2,1+(('table for research'!$B872-456)*36+HEX2DEC('table for research'!AO$1))*2,2)</f>
        <v>00</v>
      </c>
    </row>
    <row r="873" spans="1:41" x14ac:dyDescent="0.4">
      <c r="A873" t="s">
        <v>138</v>
      </c>
      <c r="B873">
        <f>B872+1</f>
        <v>871</v>
      </c>
      <c r="C873" t="str">
        <f>MID('paste from garc here'!$C$2,1+(('table for research'!$B873-456)*36+HEX2DEC('table for research'!C$1))*2,2)</f>
        <v>00</v>
      </c>
      <c r="D873" t="str">
        <f>MID('paste from garc here'!$C$2,1+(('table for research'!$B873-456)*36+HEX2DEC('table for research'!D$1))*2,2)</f>
        <v>00</v>
      </c>
      <c r="E873" t="str">
        <f>MID('paste from garc here'!$C$2,1+(('table for research'!$B873-456)*36+HEX2DEC('table for research'!E$1))*2,2)</f>
        <v>00</v>
      </c>
      <c r="F873" t="str">
        <f>MID('paste from garc here'!$C$2,1+(('table for research'!$B873-456)*36+HEX2DEC('table for research'!F$1))*2,2)</f>
        <v>00</v>
      </c>
      <c r="G873" t="str">
        <f>MID('paste from garc here'!$C$2,1+(('table for research'!$B873-456)*36+HEX2DEC('table for research'!G$1))*2,2)</f>
        <v>00</v>
      </c>
      <c r="H873" t="str">
        <f>MID('paste from garc here'!$C$2,1+(('table for research'!$B873-456)*36+HEX2DEC('table for research'!H$1))*2,2)</f>
        <v>00</v>
      </c>
      <c r="I873" t="str">
        <f>MID('paste from garc here'!$C$2,1+(('table for research'!$B873-456)*36+HEX2DEC('table for research'!I$1))*2,2)</f>
        <v>00</v>
      </c>
      <c r="J873" t="str">
        <f>MID('paste from garc here'!$C$2,1+(('table for research'!$B873-456)*36+HEX2DEC('table for research'!J$1))*2,2)</f>
        <v>00</v>
      </c>
      <c r="K873" t="str">
        <f>DEC2HEX(_xlfn.BITAND(HEX2DEC(MID('paste from garc here'!$C$1,1+(('table for research'!$B873-1)*36+HEX2DEC(8))*2,2)),31),2)</f>
        <v>00</v>
      </c>
      <c r="L873" t="str">
        <f>DEC2HEX(_xlfn.BITAND(HEX2DEC(MID('paste from garc here'!$C$1,1+(('table for research'!$B873-1)*36+HEX2DEC(8))*2,2)),32),2)</f>
        <v>00</v>
      </c>
      <c r="M873" t="str">
        <f>DEC2HEX(_xlfn.BITAND(HEX2DEC(MID('paste from garc here'!$C$1,1+(('table for research'!$B873-1)*36+HEX2DEC(8))*2,2)),64),2)</f>
        <v>00</v>
      </c>
      <c r="N873" t="str">
        <f>DEC2HEX(_xlfn.BITRSHIFT(_xlfn.BITAND(HEX2DEC(MID('paste from garc here'!$C$1,1+(('table for research'!$B873-1)*36+HEX2DEC(9))*2,2)&amp;MID('paste from garc here'!$C$1,1+(('table for research'!$B873-1)*36+HEX2DEC(8))*2,2)),1920),7),2)</f>
        <v>00</v>
      </c>
      <c r="O873" t="str">
        <f>DEC2HEX(_xlfn.BITRSHIFT(HEX2DEC(MID('paste from garc here'!$C$1,1+(('table for research'!$B873-1)*36+HEX2DEC(9))*2,2)&amp;MID('paste from garc here'!$C$1,1+(('table for research'!$B873-1)*36+HEX2DEC(8))*2,2)),11),2)</f>
        <v>00</v>
      </c>
      <c r="P873" t="str">
        <f>MID('paste from garc here'!$C$2,1+(('table for research'!$B873-456)*36+HEX2DEC('table for research'!P$1))*2,2)</f>
        <v>00</v>
      </c>
      <c r="Q873" t="str">
        <f>MID('paste from garc here'!$C$2,1+(('table for research'!$B873-456)*36+HEX2DEC('table for research'!Q$1))*2,2)</f>
        <v>00</v>
      </c>
      <c r="R873" t="str">
        <f>MID('paste from garc here'!$C$2,1+(('table for research'!$B873-456)*36+HEX2DEC('table for research'!R$1))*2,2)</f>
        <v>00</v>
      </c>
      <c r="S873" t="str">
        <f>MID('paste from garc here'!$C$2,1+(('table for research'!$B873-456)*36+HEX2DEC('table for research'!S$1))*2,2)</f>
        <v>08</v>
      </c>
      <c r="T873" t="str">
        <f>MID('paste from garc here'!$C$2,1+(('table for research'!$B873-456)*36+HEX2DEC('table for research'!T$1))*2,2)</f>
        <v>00</v>
      </c>
      <c r="U873" t="str">
        <f>MID('paste from garc here'!$C$2,1+(('table for research'!$B873-456)*36+HEX2DEC('table for research'!U$1))*2,2)</f>
        <v>FF</v>
      </c>
      <c r="V873" t="str">
        <f>MID('paste from garc here'!$C$2,1+(('table for research'!$B873-456)*36+HEX2DEC('table for research'!V$1))*2,2)</f>
        <v>00</v>
      </c>
      <c r="W873" t="str">
        <f>MID('paste from garc here'!$C$2,1+(('table for research'!$B873-456)*36+HEX2DEC('table for research'!W$1))*2,2)</f>
        <v>00</v>
      </c>
      <c r="X873" t="str">
        <f>MID('paste from garc here'!$C$2,1+(('table for research'!$B873-456)*36+HEX2DEC('table for research'!X$1))*2,2)</f>
        <v>00</v>
      </c>
      <c r="Y873" t="str">
        <f>MID('paste from garc here'!$C$2,1+(('table for research'!$B873-456)*36+HEX2DEC('table for research'!Y$1))*2,2)</f>
        <v>00</v>
      </c>
      <c r="Z873" t="str">
        <f>MID('paste from garc here'!$C$2,1+(('table for research'!$B873-456)*36+HEX2DEC('table for research'!Z$1))*2,2)</f>
        <v>00</v>
      </c>
      <c r="AA873" t="str">
        <f>MID('paste from garc here'!$C$2,1+(('table for research'!$B873-456)*36+HEX2DEC('table for research'!AA$1))*2,2)</f>
        <v>00</v>
      </c>
      <c r="AB873" t="str">
        <f>MID('paste from garc here'!$C$2,1+(('table for research'!$B873-456)*36+HEX2DEC('table for research'!AB$1))*2,2)</f>
        <v>00</v>
      </c>
      <c r="AC873" t="str">
        <f>MID('paste from garc here'!$C$2,1+(('table for research'!$B873-456)*36+HEX2DEC('table for research'!AC$1))*2,2)</f>
        <v>00</v>
      </c>
      <c r="AD873" t="str">
        <f>MID('paste from garc here'!$C$2,1+(('table for research'!$B873-456)*36+HEX2DEC('table for research'!AD$1))*2,2)</f>
        <v>00</v>
      </c>
      <c r="AE873" t="str">
        <f>MID('paste from garc here'!$C$2,1+(('table for research'!$B873-456)*36+HEX2DEC('table for research'!AE$1))*2,2)</f>
        <v>00</v>
      </c>
      <c r="AF873" t="str">
        <f>MID('paste from garc here'!$C$2,1+(('table for research'!$B873-456)*36+HEX2DEC('table for research'!AF$1))*2,2)</f>
        <v>00</v>
      </c>
      <c r="AG873" t="str">
        <f>MID('paste from garc here'!$C$2,1+(('table for research'!$B873-456)*36+HEX2DEC('table for research'!AG$1))*2,2)</f>
        <v>00</v>
      </c>
      <c r="AH873" t="str">
        <f>MID('paste from garc here'!$C$2,1+(('table for research'!$B873-456)*36+HEX2DEC('table for research'!AH$1))*2,2)</f>
        <v>00</v>
      </c>
      <c r="AI873" t="str">
        <f>MID('paste from garc here'!$C$2,1+(('table for research'!$B873-456)*36+HEX2DEC('table for research'!AI$1))*2,2)</f>
        <v>00</v>
      </c>
      <c r="AJ873" t="str">
        <f>MID('paste from garc here'!$C$2,1+(('table for research'!$B873-456)*36+HEX2DEC('table for research'!AJ$1))*2,2)</f>
        <v>00</v>
      </c>
      <c r="AK873" t="str">
        <f>MID('paste from garc here'!$C$2,1+(('table for research'!$B873-456)*36+HEX2DEC('table for research'!AK$1))*2,2)</f>
        <v>00</v>
      </c>
      <c r="AL873" t="str">
        <f>MID('paste from garc here'!$C$2,1+(('table for research'!$B873-456)*36+HEX2DEC('table for research'!AL$1))*2,2)</f>
        <v>00</v>
      </c>
      <c r="AM873" t="str">
        <f>MID('paste from garc here'!$C$2,1+(('table for research'!$B873-456)*36+HEX2DEC('table for research'!AM$1))*2,2)</f>
        <v>00</v>
      </c>
      <c r="AN873" t="str">
        <f>MID('paste from garc here'!$C$2,1+(('table for research'!$B873-456)*36+HEX2DEC('table for research'!AN$1))*2,2)</f>
        <v>00</v>
      </c>
      <c r="AO873" t="str">
        <f>MID('paste from garc here'!$C$2,1+(('table for research'!$B873-456)*36+HEX2DEC('table for research'!AO$1))*2,2)</f>
        <v>00</v>
      </c>
    </row>
    <row r="874" spans="1:41" x14ac:dyDescent="0.4">
      <c r="A874" t="s">
        <v>138</v>
      </c>
      <c r="B874">
        <f>B873+1</f>
        <v>872</v>
      </c>
      <c r="C874" t="str">
        <f>MID('paste from garc here'!$C$2,1+(('table for research'!$B874-456)*36+HEX2DEC('table for research'!C$1))*2,2)</f>
        <v>00</v>
      </c>
      <c r="D874" t="str">
        <f>MID('paste from garc here'!$C$2,1+(('table for research'!$B874-456)*36+HEX2DEC('table for research'!D$1))*2,2)</f>
        <v>00</v>
      </c>
      <c r="E874" t="str">
        <f>MID('paste from garc here'!$C$2,1+(('table for research'!$B874-456)*36+HEX2DEC('table for research'!E$1))*2,2)</f>
        <v>00</v>
      </c>
      <c r="F874" t="str">
        <f>MID('paste from garc here'!$C$2,1+(('table for research'!$B874-456)*36+HEX2DEC('table for research'!F$1))*2,2)</f>
        <v>00</v>
      </c>
      <c r="G874" t="str">
        <f>MID('paste from garc here'!$C$2,1+(('table for research'!$B874-456)*36+HEX2DEC('table for research'!G$1))*2,2)</f>
        <v>00</v>
      </c>
      <c r="H874" t="str">
        <f>MID('paste from garc here'!$C$2,1+(('table for research'!$B874-456)*36+HEX2DEC('table for research'!H$1))*2,2)</f>
        <v>00</v>
      </c>
      <c r="I874" t="str">
        <f>MID('paste from garc here'!$C$2,1+(('table for research'!$B874-456)*36+HEX2DEC('table for research'!I$1))*2,2)</f>
        <v>00</v>
      </c>
      <c r="J874" t="str">
        <f>MID('paste from garc here'!$C$2,1+(('table for research'!$B874-456)*36+HEX2DEC('table for research'!J$1))*2,2)</f>
        <v>00</v>
      </c>
      <c r="K874" t="str">
        <f>DEC2HEX(_xlfn.BITAND(HEX2DEC(MID('paste from garc here'!$C$1,1+(('table for research'!$B874-1)*36+HEX2DEC(8))*2,2)),31),2)</f>
        <v>00</v>
      </c>
      <c r="L874" t="str">
        <f>DEC2HEX(_xlfn.BITAND(HEX2DEC(MID('paste from garc here'!$C$1,1+(('table for research'!$B874-1)*36+HEX2DEC(8))*2,2)),32),2)</f>
        <v>00</v>
      </c>
      <c r="M874" t="str">
        <f>DEC2HEX(_xlfn.BITAND(HEX2DEC(MID('paste from garc here'!$C$1,1+(('table for research'!$B874-1)*36+HEX2DEC(8))*2,2)),64),2)</f>
        <v>00</v>
      </c>
      <c r="N874" t="str">
        <f>DEC2HEX(_xlfn.BITRSHIFT(_xlfn.BITAND(HEX2DEC(MID('paste from garc here'!$C$1,1+(('table for research'!$B874-1)*36+HEX2DEC(9))*2,2)&amp;MID('paste from garc here'!$C$1,1+(('table for research'!$B874-1)*36+HEX2DEC(8))*2,2)),1920),7),2)</f>
        <v>00</v>
      </c>
      <c r="O874" t="str">
        <f>DEC2HEX(_xlfn.BITRSHIFT(HEX2DEC(MID('paste from garc here'!$C$1,1+(('table for research'!$B874-1)*36+HEX2DEC(9))*2,2)&amp;MID('paste from garc here'!$C$1,1+(('table for research'!$B874-1)*36+HEX2DEC(8))*2,2)),11),2)</f>
        <v>00</v>
      </c>
      <c r="P874" t="str">
        <f>MID('paste from garc here'!$C$2,1+(('table for research'!$B874-456)*36+HEX2DEC('table for research'!P$1))*2,2)</f>
        <v>00</v>
      </c>
      <c r="Q874" t="str">
        <f>MID('paste from garc here'!$C$2,1+(('table for research'!$B874-456)*36+HEX2DEC('table for research'!Q$1))*2,2)</f>
        <v>00</v>
      </c>
      <c r="R874" t="str">
        <f>MID('paste from garc here'!$C$2,1+(('table for research'!$B874-456)*36+HEX2DEC('table for research'!R$1))*2,2)</f>
        <v>00</v>
      </c>
      <c r="S874" t="str">
        <f>MID('paste from garc here'!$C$2,1+(('table for research'!$B874-456)*36+HEX2DEC('table for research'!S$1))*2,2)</f>
        <v>08</v>
      </c>
      <c r="T874" t="str">
        <f>MID('paste from garc here'!$C$2,1+(('table for research'!$B874-456)*36+HEX2DEC('table for research'!T$1))*2,2)</f>
        <v>00</v>
      </c>
      <c r="U874" t="str">
        <f>MID('paste from garc here'!$C$2,1+(('table for research'!$B874-456)*36+HEX2DEC('table for research'!U$1))*2,2)</f>
        <v>FF</v>
      </c>
      <c r="V874" t="str">
        <f>MID('paste from garc here'!$C$2,1+(('table for research'!$B874-456)*36+HEX2DEC('table for research'!V$1))*2,2)</f>
        <v>00</v>
      </c>
      <c r="W874" t="str">
        <f>MID('paste from garc here'!$C$2,1+(('table for research'!$B874-456)*36+HEX2DEC('table for research'!W$1))*2,2)</f>
        <v>00</v>
      </c>
      <c r="X874" t="str">
        <f>MID('paste from garc here'!$C$2,1+(('table for research'!$B874-456)*36+HEX2DEC('table for research'!X$1))*2,2)</f>
        <v>00</v>
      </c>
      <c r="Y874" t="str">
        <f>MID('paste from garc here'!$C$2,1+(('table for research'!$B874-456)*36+HEX2DEC('table for research'!Y$1))*2,2)</f>
        <v>00</v>
      </c>
      <c r="Z874" t="str">
        <f>MID('paste from garc here'!$C$2,1+(('table for research'!$B874-456)*36+HEX2DEC('table for research'!Z$1))*2,2)</f>
        <v>00</v>
      </c>
      <c r="AA874" t="str">
        <f>MID('paste from garc here'!$C$2,1+(('table for research'!$B874-456)*36+HEX2DEC('table for research'!AA$1))*2,2)</f>
        <v>00</v>
      </c>
      <c r="AB874" t="str">
        <f>MID('paste from garc here'!$C$2,1+(('table for research'!$B874-456)*36+HEX2DEC('table for research'!AB$1))*2,2)</f>
        <v>00</v>
      </c>
      <c r="AC874" t="str">
        <f>MID('paste from garc here'!$C$2,1+(('table for research'!$B874-456)*36+HEX2DEC('table for research'!AC$1))*2,2)</f>
        <v>00</v>
      </c>
      <c r="AD874" t="str">
        <f>MID('paste from garc here'!$C$2,1+(('table for research'!$B874-456)*36+HEX2DEC('table for research'!AD$1))*2,2)</f>
        <v>00</v>
      </c>
      <c r="AE874" t="str">
        <f>MID('paste from garc here'!$C$2,1+(('table for research'!$B874-456)*36+HEX2DEC('table for research'!AE$1))*2,2)</f>
        <v>00</v>
      </c>
      <c r="AF874" t="str">
        <f>MID('paste from garc here'!$C$2,1+(('table for research'!$B874-456)*36+HEX2DEC('table for research'!AF$1))*2,2)</f>
        <v>00</v>
      </c>
      <c r="AG874" t="str">
        <f>MID('paste from garc here'!$C$2,1+(('table for research'!$B874-456)*36+HEX2DEC('table for research'!AG$1))*2,2)</f>
        <v>00</v>
      </c>
      <c r="AH874" t="str">
        <f>MID('paste from garc here'!$C$2,1+(('table for research'!$B874-456)*36+HEX2DEC('table for research'!AH$1))*2,2)</f>
        <v>00</v>
      </c>
      <c r="AI874" t="str">
        <f>MID('paste from garc here'!$C$2,1+(('table for research'!$B874-456)*36+HEX2DEC('table for research'!AI$1))*2,2)</f>
        <v>00</v>
      </c>
      <c r="AJ874" t="str">
        <f>MID('paste from garc here'!$C$2,1+(('table for research'!$B874-456)*36+HEX2DEC('table for research'!AJ$1))*2,2)</f>
        <v>00</v>
      </c>
      <c r="AK874" t="str">
        <f>MID('paste from garc here'!$C$2,1+(('table for research'!$B874-456)*36+HEX2DEC('table for research'!AK$1))*2,2)</f>
        <v>00</v>
      </c>
      <c r="AL874" t="str">
        <f>MID('paste from garc here'!$C$2,1+(('table for research'!$B874-456)*36+HEX2DEC('table for research'!AL$1))*2,2)</f>
        <v>00</v>
      </c>
      <c r="AM874" t="str">
        <f>MID('paste from garc here'!$C$2,1+(('table for research'!$B874-456)*36+HEX2DEC('table for research'!AM$1))*2,2)</f>
        <v>00</v>
      </c>
      <c r="AN874" t="str">
        <f>MID('paste from garc here'!$C$2,1+(('table for research'!$B874-456)*36+HEX2DEC('table for research'!AN$1))*2,2)</f>
        <v>00</v>
      </c>
      <c r="AO874" t="str">
        <f>MID('paste from garc here'!$C$2,1+(('table for research'!$B874-456)*36+HEX2DEC('table for research'!AO$1))*2,2)</f>
        <v>00</v>
      </c>
    </row>
    <row r="875" spans="1:41" x14ac:dyDescent="0.4">
      <c r="A875" t="s">
        <v>138</v>
      </c>
      <c r="B875">
        <f>B874+1</f>
        <v>873</v>
      </c>
      <c r="C875" t="str">
        <f>MID('paste from garc here'!$C$2,1+(('table for research'!$B875-456)*36+HEX2DEC('table for research'!C$1))*2,2)</f>
        <v>00</v>
      </c>
      <c r="D875" t="str">
        <f>MID('paste from garc here'!$C$2,1+(('table for research'!$B875-456)*36+HEX2DEC('table for research'!D$1))*2,2)</f>
        <v>00</v>
      </c>
      <c r="E875" t="str">
        <f>MID('paste from garc here'!$C$2,1+(('table for research'!$B875-456)*36+HEX2DEC('table for research'!E$1))*2,2)</f>
        <v>00</v>
      </c>
      <c r="F875" t="str">
        <f>MID('paste from garc here'!$C$2,1+(('table for research'!$B875-456)*36+HEX2DEC('table for research'!F$1))*2,2)</f>
        <v>00</v>
      </c>
      <c r="G875" t="str">
        <f>MID('paste from garc here'!$C$2,1+(('table for research'!$B875-456)*36+HEX2DEC('table for research'!G$1))*2,2)</f>
        <v>00</v>
      </c>
      <c r="H875" t="str">
        <f>MID('paste from garc here'!$C$2,1+(('table for research'!$B875-456)*36+HEX2DEC('table for research'!H$1))*2,2)</f>
        <v>00</v>
      </c>
      <c r="I875" t="str">
        <f>MID('paste from garc here'!$C$2,1+(('table for research'!$B875-456)*36+HEX2DEC('table for research'!I$1))*2,2)</f>
        <v>00</v>
      </c>
      <c r="J875" t="str">
        <f>MID('paste from garc here'!$C$2,1+(('table for research'!$B875-456)*36+HEX2DEC('table for research'!J$1))*2,2)</f>
        <v>00</v>
      </c>
      <c r="K875" t="str">
        <f>DEC2HEX(_xlfn.BITAND(HEX2DEC(MID('paste from garc here'!$C$1,1+(('table for research'!$B875-1)*36+HEX2DEC(8))*2,2)),31),2)</f>
        <v>00</v>
      </c>
      <c r="L875" t="str">
        <f>DEC2HEX(_xlfn.BITAND(HEX2DEC(MID('paste from garc here'!$C$1,1+(('table for research'!$B875-1)*36+HEX2DEC(8))*2,2)),32),2)</f>
        <v>00</v>
      </c>
      <c r="M875" t="str">
        <f>DEC2HEX(_xlfn.BITAND(HEX2DEC(MID('paste from garc here'!$C$1,1+(('table for research'!$B875-1)*36+HEX2DEC(8))*2,2)),64),2)</f>
        <v>00</v>
      </c>
      <c r="N875" t="str">
        <f>DEC2HEX(_xlfn.BITRSHIFT(_xlfn.BITAND(HEX2DEC(MID('paste from garc here'!$C$1,1+(('table for research'!$B875-1)*36+HEX2DEC(9))*2,2)&amp;MID('paste from garc here'!$C$1,1+(('table for research'!$B875-1)*36+HEX2DEC(8))*2,2)),1920),7),2)</f>
        <v>00</v>
      </c>
      <c r="O875" t="str">
        <f>DEC2HEX(_xlfn.BITRSHIFT(HEX2DEC(MID('paste from garc here'!$C$1,1+(('table for research'!$B875-1)*36+HEX2DEC(9))*2,2)&amp;MID('paste from garc here'!$C$1,1+(('table for research'!$B875-1)*36+HEX2DEC(8))*2,2)),11),2)</f>
        <v>00</v>
      </c>
      <c r="P875" t="str">
        <f>MID('paste from garc here'!$C$2,1+(('table for research'!$B875-456)*36+HEX2DEC('table for research'!P$1))*2,2)</f>
        <v>00</v>
      </c>
      <c r="Q875" t="str">
        <f>MID('paste from garc here'!$C$2,1+(('table for research'!$B875-456)*36+HEX2DEC('table for research'!Q$1))*2,2)</f>
        <v>00</v>
      </c>
      <c r="R875" t="str">
        <f>MID('paste from garc here'!$C$2,1+(('table for research'!$B875-456)*36+HEX2DEC('table for research'!R$1))*2,2)</f>
        <v>00</v>
      </c>
      <c r="S875" t="str">
        <f>MID('paste from garc here'!$C$2,1+(('table for research'!$B875-456)*36+HEX2DEC('table for research'!S$1))*2,2)</f>
        <v>08</v>
      </c>
      <c r="T875" t="str">
        <f>MID('paste from garc here'!$C$2,1+(('table for research'!$B875-456)*36+HEX2DEC('table for research'!T$1))*2,2)</f>
        <v>00</v>
      </c>
      <c r="U875" t="str">
        <f>MID('paste from garc here'!$C$2,1+(('table for research'!$B875-456)*36+HEX2DEC('table for research'!U$1))*2,2)</f>
        <v>FF</v>
      </c>
      <c r="V875" t="str">
        <f>MID('paste from garc here'!$C$2,1+(('table for research'!$B875-456)*36+HEX2DEC('table for research'!V$1))*2,2)</f>
        <v>00</v>
      </c>
      <c r="W875" t="str">
        <f>MID('paste from garc here'!$C$2,1+(('table for research'!$B875-456)*36+HEX2DEC('table for research'!W$1))*2,2)</f>
        <v>00</v>
      </c>
      <c r="X875" t="str">
        <f>MID('paste from garc here'!$C$2,1+(('table for research'!$B875-456)*36+HEX2DEC('table for research'!X$1))*2,2)</f>
        <v>00</v>
      </c>
      <c r="Y875" t="str">
        <f>MID('paste from garc here'!$C$2,1+(('table for research'!$B875-456)*36+HEX2DEC('table for research'!Y$1))*2,2)</f>
        <v>00</v>
      </c>
      <c r="Z875" t="str">
        <f>MID('paste from garc here'!$C$2,1+(('table for research'!$B875-456)*36+HEX2DEC('table for research'!Z$1))*2,2)</f>
        <v>00</v>
      </c>
      <c r="AA875" t="str">
        <f>MID('paste from garc here'!$C$2,1+(('table for research'!$B875-456)*36+HEX2DEC('table for research'!AA$1))*2,2)</f>
        <v>00</v>
      </c>
      <c r="AB875" t="str">
        <f>MID('paste from garc here'!$C$2,1+(('table for research'!$B875-456)*36+HEX2DEC('table for research'!AB$1))*2,2)</f>
        <v>00</v>
      </c>
      <c r="AC875" t="str">
        <f>MID('paste from garc here'!$C$2,1+(('table for research'!$B875-456)*36+HEX2DEC('table for research'!AC$1))*2,2)</f>
        <v>00</v>
      </c>
      <c r="AD875" t="str">
        <f>MID('paste from garc here'!$C$2,1+(('table for research'!$B875-456)*36+HEX2DEC('table for research'!AD$1))*2,2)</f>
        <v>00</v>
      </c>
      <c r="AE875" t="str">
        <f>MID('paste from garc here'!$C$2,1+(('table for research'!$B875-456)*36+HEX2DEC('table for research'!AE$1))*2,2)</f>
        <v>00</v>
      </c>
      <c r="AF875" t="str">
        <f>MID('paste from garc here'!$C$2,1+(('table for research'!$B875-456)*36+HEX2DEC('table for research'!AF$1))*2,2)</f>
        <v>00</v>
      </c>
      <c r="AG875" t="str">
        <f>MID('paste from garc here'!$C$2,1+(('table for research'!$B875-456)*36+HEX2DEC('table for research'!AG$1))*2,2)</f>
        <v>00</v>
      </c>
      <c r="AH875" t="str">
        <f>MID('paste from garc here'!$C$2,1+(('table for research'!$B875-456)*36+HEX2DEC('table for research'!AH$1))*2,2)</f>
        <v>00</v>
      </c>
      <c r="AI875" t="str">
        <f>MID('paste from garc here'!$C$2,1+(('table for research'!$B875-456)*36+HEX2DEC('table for research'!AI$1))*2,2)</f>
        <v>00</v>
      </c>
      <c r="AJ875" t="str">
        <f>MID('paste from garc here'!$C$2,1+(('table for research'!$B875-456)*36+HEX2DEC('table for research'!AJ$1))*2,2)</f>
        <v>00</v>
      </c>
      <c r="AK875" t="str">
        <f>MID('paste from garc here'!$C$2,1+(('table for research'!$B875-456)*36+HEX2DEC('table for research'!AK$1))*2,2)</f>
        <v>00</v>
      </c>
      <c r="AL875" t="str">
        <f>MID('paste from garc here'!$C$2,1+(('table for research'!$B875-456)*36+HEX2DEC('table for research'!AL$1))*2,2)</f>
        <v>00</v>
      </c>
      <c r="AM875" t="str">
        <f>MID('paste from garc here'!$C$2,1+(('table for research'!$B875-456)*36+HEX2DEC('table for research'!AM$1))*2,2)</f>
        <v>00</v>
      </c>
      <c r="AN875" t="str">
        <f>MID('paste from garc here'!$C$2,1+(('table for research'!$B875-456)*36+HEX2DEC('table for research'!AN$1))*2,2)</f>
        <v>00</v>
      </c>
      <c r="AO875" t="str">
        <f>MID('paste from garc here'!$C$2,1+(('table for research'!$B875-456)*36+HEX2DEC('table for research'!AO$1))*2,2)</f>
        <v>00</v>
      </c>
    </row>
    <row r="876" spans="1:41" x14ac:dyDescent="0.4">
      <c r="A876" t="s">
        <v>138</v>
      </c>
      <c r="B876">
        <f>B875+1</f>
        <v>874</v>
      </c>
      <c r="C876" t="str">
        <f>MID('paste from garc here'!$C$2,1+(('table for research'!$B876-456)*36+HEX2DEC('table for research'!C$1))*2,2)</f>
        <v>00</v>
      </c>
      <c r="D876" t="str">
        <f>MID('paste from garc here'!$C$2,1+(('table for research'!$B876-456)*36+HEX2DEC('table for research'!D$1))*2,2)</f>
        <v>00</v>
      </c>
      <c r="E876" t="str">
        <f>MID('paste from garc here'!$C$2,1+(('table for research'!$B876-456)*36+HEX2DEC('table for research'!E$1))*2,2)</f>
        <v>00</v>
      </c>
      <c r="F876" t="str">
        <f>MID('paste from garc here'!$C$2,1+(('table for research'!$B876-456)*36+HEX2DEC('table for research'!F$1))*2,2)</f>
        <v>00</v>
      </c>
      <c r="G876" t="str">
        <f>MID('paste from garc here'!$C$2,1+(('table for research'!$B876-456)*36+HEX2DEC('table for research'!G$1))*2,2)</f>
        <v>00</v>
      </c>
      <c r="H876" t="str">
        <f>MID('paste from garc here'!$C$2,1+(('table for research'!$B876-456)*36+HEX2DEC('table for research'!H$1))*2,2)</f>
        <v>00</v>
      </c>
      <c r="I876" t="str">
        <f>MID('paste from garc here'!$C$2,1+(('table for research'!$B876-456)*36+HEX2DEC('table for research'!I$1))*2,2)</f>
        <v>00</v>
      </c>
      <c r="J876" t="str">
        <f>MID('paste from garc here'!$C$2,1+(('table for research'!$B876-456)*36+HEX2DEC('table for research'!J$1))*2,2)</f>
        <v>00</v>
      </c>
      <c r="K876" t="str">
        <f>DEC2HEX(_xlfn.BITAND(HEX2DEC(MID('paste from garc here'!$C$1,1+(('table for research'!$B876-1)*36+HEX2DEC(8))*2,2)),31),2)</f>
        <v>00</v>
      </c>
      <c r="L876" t="str">
        <f>DEC2HEX(_xlfn.BITAND(HEX2DEC(MID('paste from garc here'!$C$1,1+(('table for research'!$B876-1)*36+HEX2DEC(8))*2,2)),32),2)</f>
        <v>00</v>
      </c>
      <c r="M876" t="str">
        <f>DEC2HEX(_xlfn.BITAND(HEX2DEC(MID('paste from garc here'!$C$1,1+(('table for research'!$B876-1)*36+HEX2DEC(8))*2,2)),64),2)</f>
        <v>00</v>
      </c>
      <c r="N876" t="str">
        <f>DEC2HEX(_xlfn.BITRSHIFT(_xlfn.BITAND(HEX2DEC(MID('paste from garc here'!$C$1,1+(('table for research'!$B876-1)*36+HEX2DEC(9))*2,2)&amp;MID('paste from garc here'!$C$1,1+(('table for research'!$B876-1)*36+HEX2DEC(8))*2,2)),1920),7),2)</f>
        <v>00</v>
      </c>
      <c r="O876" t="str">
        <f>DEC2HEX(_xlfn.BITRSHIFT(HEX2DEC(MID('paste from garc here'!$C$1,1+(('table for research'!$B876-1)*36+HEX2DEC(9))*2,2)&amp;MID('paste from garc here'!$C$1,1+(('table for research'!$B876-1)*36+HEX2DEC(8))*2,2)),11),2)</f>
        <v>00</v>
      </c>
      <c r="P876" t="str">
        <f>MID('paste from garc here'!$C$2,1+(('table for research'!$B876-456)*36+HEX2DEC('table for research'!P$1))*2,2)</f>
        <v>00</v>
      </c>
      <c r="Q876" t="str">
        <f>MID('paste from garc here'!$C$2,1+(('table for research'!$B876-456)*36+HEX2DEC('table for research'!Q$1))*2,2)</f>
        <v>00</v>
      </c>
      <c r="R876" t="str">
        <f>MID('paste from garc here'!$C$2,1+(('table for research'!$B876-456)*36+HEX2DEC('table for research'!R$1))*2,2)</f>
        <v>00</v>
      </c>
      <c r="S876" t="str">
        <f>MID('paste from garc here'!$C$2,1+(('table for research'!$B876-456)*36+HEX2DEC('table for research'!S$1))*2,2)</f>
        <v>08</v>
      </c>
      <c r="T876" t="str">
        <f>MID('paste from garc here'!$C$2,1+(('table for research'!$B876-456)*36+HEX2DEC('table for research'!T$1))*2,2)</f>
        <v>00</v>
      </c>
      <c r="U876" t="str">
        <f>MID('paste from garc here'!$C$2,1+(('table for research'!$B876-456)*36+HEX2DEC('table for research'!U$1))*2,2)</f>
        <v>FF</v>
      </c>
      <c r="V876" t="str">
        <f>MID('paste from garc here'!$C$2,1+(('table for research'!$B876-456)*36+HEX2DEC('table for research'!V$1))*2,2)</f>
        <v>00</v>
      </c>
      <c r="W876" t="str">
        <f>MID('paste from garc here'!$C$2,1+(('table for research'!$B876-456)*36+HEX2DEC('table for research'!W$1))*2,2)</f>
        <v>00</v>
      </c>
      <c r="X876" t="str">
        <f>MID('paste from garc here'!$C$2,1+(('table for research'!$B876-456)*36+HEX2DEC('table for research'!X$1))*2,2)</f>
        <v>00</v>
      </c>
      <c r="Y876" t="str">
        <f>MID('paste from garc here'!$C$2,1+(('table for research'!$B876-456)*36+HEX2DEC('table for research'!Y$1))*2,2)</f>
        <v>00</v>
      </c>
      <c r="Z876" t="str">
        <f>MID('paste from garc here'!$C$2,1+(('table for research'!$B876-456)*36+HEX2DEC('table for research'!Z$1))*2,2)</f>
        <v>00</v>
      </c>
      <c r="AA876" t="str">
        <f>MID('paste from garc here'!$C$2,1+(('table for research'!$B876-456)*36+HEX2DEC('table for research'!AA$1))*2,2)</f>
        <v>00</v>
      </c>
      <c r="AB876" t="str">
        <f>MID('paste from garc here'!$C$2,1+(('table for research'!$B876-456)*36+HEX2DEC('table for research'!AB$1))*2,2)</f>
        <v>00</v>
      </c>
      <c r="AC876" t="str">
        <f>MID('paste from garc here'!$C$2,1+(('table for research'!$B876-456)*36+HEX2DEC('table for research'!AC$1))*2,2)</f>
        <v>00</v>
      </c>
      <c r="AD876" t="str">
        <f>MID('paste from garc here'!$C$2,1+(('table for research'!$B876-456)*36+HEX2DEC('table for research'!AD$1))*2,2)</f>
        <v>00</v>
      </c>
      <c r="AE876" t="str">
        <f>MID('paste from garc here'!$C$2,1+(('table for research'!$B876-456)*36+HEX2DEC('table for research'!AE$1))*2,2)</f>
        <v>00</v>
      </c>
      <c r="AF876" t="str">
        <f>MID('paste from garc here'!$C$2,1+(('table for research'!$B876-456)*36+HEX2DEC('table for research'!AF$1))*2,2)</f>
        <v>00</v>
      </c>
      <c r="AG876" t="str">
        <f>MID('paste from garc here'!$C$2,1+(('table for research'!$B876-456)*36+HEX2DEC('table for research'!AG$1))*2,2)</f>
        <v>00</v>
      </c>
      <c r="AH876" t="str">
        <f>MID('paste from garc here'!$C$2,1+(('table for research'!$B876-456)*36+HEX2DEC('table for research'!AH$1))*2,2)</f>
        <v>00</v>
      </c>
      <c r="AI876" t="str">
        <f>MID('paste from garc here'!$C$2,1+(('table for research'!$B876-456)*36+HEX2DEC('table for research'!AI$1))*2,2)</f>
        <v>00</v>
      </c>
      <c r="AJ876" t="str">
        <f>MID('paste from garc here'!$C$2,1+(('table for research'!$B876-456)*36+HEX2DEC('table for research'!AJ$1))*2,2)</f>
        <v>00</v>
      </c>
      <c r="AK876" t="str">
        <f>MID('paste from garc here'!$C$2,1+(('table for research'!$B876-456)*36+HEX2DEC('table for research'!AK$1))*2,2)</f>
        <v>00</v>
      </c>
      <c r="AL876" t="str">
        <f>MID('paste from garc here'!$C$2,1+(('table for research'!$B876-456)*36+HEX2DEC('table for research'!AL$1))*2,2)</f>
        <v>00</v>
      </c>
      <c r="AM876" t="str">
        <f>MID('paste from garc here'!$C$2,1+(('table for research'!$B876-456)*36+HEX2DEC('table for research'!AM$1))*2,2)</f>
        <v>00</v>
      </c>
      <c r="AN876" t="str">
        <f>MID('paste from garc here'!$C$2,1+(('table for research'!$B876-456)*36+HEX2DEC('table for research'!AN$1))*2,2)</f>
        <v>00</v>
      </c>
      <c r="AO876" t="str">
        <f>MID('paste from garc here'!$C$2,1+(('table for research'!$B876-456)*36+HEX2DEC('table for research'!AO$1))*2,2)</f>
        <v>00</v>
      </c>
    </row>
    <row r="877" spans="1:41" x14ac:dyDescent="0.4">
      <c r="A877" t="s">
        <v>138</v>
      </c>
      <c r="B877">
        <f>B876+1</f>
        <v>875</v>
      </c>
      <c r="C877" t="str">
        <f>MID('paste from garc here'!$C$2,1+(('table for research'!$B877-456)*36+HEX2DEC('table for research'!C$1))*2,2)</f>
        <v>00</v>
      </c>
      <c r="D877" t="str">
        <f>MID('paste from garc here'!$C$2,1+(('table for research'!$B877-456)*36+HEX2DEC('table for research'!D$1))*2,2)</f>
        <v>00</v>
      </c>
      <c r="E877" t="str">
        <f>MID('paste from garc here'!$C$2,1+(('table for research'!$B877-456)*36+HEX2DEC('table for research'!E$1))*2,2)</f>
        <v>00</v>
      </c>
      <c r="F877" t="str">
        <f>MID('paste from garc here'!$C$2,1+(('table for research'!$B877-456)*36+HEX2DEC('table for research'!F$1))*2,2)</f>
        <v>00</v>
      </c>
      <c r="G877" t="str">
        <f>MID('paste from garc here'!$C$2,1+(('table for research'!$B877-456)*36+HEX2DEC('table for research'!G$1))*2,2)</f>
        <v>00</v>
      </c>
      <c r="H877" t="str">
        <f>MID('paste from garc here'!$C$2,1+(('table for research'!$B877-456)*36+HEX2DEC('table for research'!H$1))*2,2)</f>
        <v>00</v>
      </c>
      <c r="I877" t="str">
        <f>MID('paste from garc here'!$C$2,1+(('table for research'!$B877-456)*36+HEX2DEC('table for research'!I$1))*2,2)</f>
        <v>00</v>
      </c>
      <c r="J877" t="str">
        <f>MID('paste from garc here'!$C$2,1+(('table for research'!$B877-456)*36+HEX2DEC('table for research'!J$1))*2,2)</f>
        <v>00</v>
      </c>
      <c r="K877" t="str">
        <f>DEC2HEX(_xlfn.BITAND(HEX2DEC(MID('paste from garc here'!$C$1,1+(('table for research'!$B877-1)*36+HEX2DEC(8))*2,2)),31),2)</f>
        <v>00</v>
      </c>
      <c r="L877" t="str">
        <f>DEC2HEX(_xlfn.BITAND(HEX2DEC(MID('paste from garc here'!$C$1,1+(('table for research'!$B877-1)*36+HEX2DEC(8))*2,2)),32),2)</f>
        <v>00</v>
      </c>
      <c r="M877" t="str">
        <f>DEC2HEX(_xlfn.BITAND(HEX2DEC(MID('paste from garc here'!$C$1,1+(('table for research'!$B877-1)*36+HEX2DEC(8))*2,2)),64),2)</f>
        <v>00</v>
      </c>
      <c r="N877" t="str">
        <f>DEC2HEX(_xlfn.BITRSHIFT(_xlfn.BITAND(HEX2DEC(MID('paste from garc here'!$C$1,1+(('table for research'!$B877-1)*36+HEX2DEC(9))*2,2)&amp;MID('paste from garc here'!$C$1,1+(('table for research'!$B877-1)*36+HEX2DEC(8))*2,2)),1920),7),2)</f>
        <v>00</v>
      </c>
      <c r="O877" t="str">
        <f>DEC2HEX(_xlfn.BITRSHIFT(HEX2DEC(MID('paste from garc here'!$C$1,1+(('table for research'!$B877-1)*36+HEX2DEC(9))*2,2)&amp;MID('paste from garc here'!$C$1,1+(('table for research'!$B877-1)*36+HEX2DEC(8))*2,2)),11),2)</f>
        <v>00</v>
      </c>
      <c r="P877" t="str">
        <f>MID('paste from garc here'!$C$2,1+(('table for research'!$B877-456)*36+HEX2DEC('table for research'!P$1))*2,2)</f>
        <v>00</v>
      </c>
      <c r="Q877" t="str">
        <f>MID('paste from garc here'!$C$2,1+(('table for research'!$B877-456)*36+HEX2DEC('table for research'!Q$1))*2,2)</f>
        <v>00</v>
      </c>
      <c r="R877" t="str">
        <f>MID('paste from garc here'!$C$2,1+(('table for research'!$B877-456)*36+HEX2DEC('table for research'!R$1))*2,2)</f>
        <v>00</v>
      </c>
      <c r="S877" t="str">
        <f>MID('paste from garc here'!$C$2,1+(('table for research'!$B877-456)*36+HEX2DEC('table for research'!S$1))*2,2)</f>
        <v>08</v>
      </c>
      <c r="T877" t="str">
        <f>MID('paste from garc here'!$C$2,1+(('table for research'!$B877-456)*36+HEX2DEC('table for research'!T$1))*2,2)</f>
        <v>00</v>
      </c>
      <c r="U877" t="str">
        <f>MID('paste from garc here'!$C$2,1+(('table for research'!$B877-456)*36+HEX2DEC('table for research'!U$1))*2,2)</f>
        <v>FF</v>
      </c>
      <c r="V877" t="str">
        <f>MID('paste from garc here'!$C$2,1+(('table for research'!$B877-456)*36+HEX2DEC('table for research'!V$1))*2,2)</f>
        <v>00</v>
      </c>
      <c r="W877" t="str">
        <f>MID('paste from garc here'!$C$2,1+(('table for research'!$B877-456)*36+HEX2DEC('table for research'!W$1))*2,2)</f>
        <v>00</v>
      </c>
      <c r="X877" t="str">
        <f>MID('paste from garc here'!$C$2,1+(('table for research'!$B877-456)*36+HEX2DEC('table for research'!X$1))*2,2)</f>
        <v>00</v>
      </c>
      <c r="Y877" t="str">
        <f>MID('paste from garc here'!$C$2,1+(('table for research'!$B877-456)*36+HEX2DEC('table for research'!Y$1))*2,2)</f>
        <v>00</v>
      </c>
      <c r="Z877" t="str">
        <f>MID('paste from garc here'!$C$2,1+(('table for research'!$B877-456)*36+HEX2DEC('table for research'!Z$1))*2,2)</f>
        <v>00</v>
      </c>
      <c r="AA877" t="str">
        <f>MID('paste from garc here'!$C$2,1+(('table for research'!$B877-456)*36+HEX2DEC('table for research'!AA$1))*2,2)</f>
        <v>00</v>
      </c>
      <c r="AB877" t="str">
        <f>MID('paste from garc here'!$C$2,1+(('table for research'!$B877-456)*36+HEX2DEC('table for research'!AB$1))*2,2)</f>
        <v>00</v>
      </c>
      <c r="AC877" t="str">
        <f>MID('paste from garc here'!$C$2,1+(('table for research'!$B877-456)*36+HEX2DEC('table for research'!AC$1))*2,2)</f>
        <v>00</v>
      </c>
      <c r="AD877" t="str">
        <f>MID('paste from garc here'!$C$2,1+(('table for research'!$B877-456)*36+HEX2DEC('table for research'!AD$1))*2,2)</f>
        <v>00</v>
      </c>
      <c r="AE877" t="str">
        <f>MID('paste from garc here'!$C$2,1+(('table for research'!$B877-456)*36+HEX2DEC('table for research'!AE$1))*2,2)</f>
        <v>00</v>
      </c>
      <c r="AF877" t="str">
        <f>MID('paste from garc here'!$C$2,1+(('table for research'!$B877-456)*36+HEX2DEC('table for research'!AF$1))*2,2)</f>
        <v>00</v>
      </c>
      <c r="AG877" t="str">
        <f>MID('paste from garc here'!$C$2,1+(('table for research'!$B877-456)*36+HEX2DEC('table for research'!AG$1))*2,2)</f>
        <v>00</v>
      </c>
      <c r="AH877" t="str">
        <f>MID('paste from garc here'!$C$2,1+(('table for research'!$B877-456)*36+HEX2DEC('table for research'!AH$1))*2,2)</f>
        <v>00</v>
      </c>
      <c r="AI877" t="str">
        <f>MID('paste from garc here'!$C$2,1+(('table for research'!$B877-456)*36+HEX2DEC('table for research'!AI$1))*2,2)</f>
        <v>00</v>
      </c>
      <c r="AJ877" t="str">
        <f>MID('paste from garc here'!$C$2,1+(('table for research'!$B877-456)*36+HEX2DEC('table for research'!AJ$1))*2,2)</f>
        <v>00</v>
      </c>
      <c r="AK877" t="str">
        <f>MID('paste from garc here'!$C$2,1+(('table for research'!$B877-456)*36+HEX2DEC('table for research'!AK$1))*2,2)</f>
        <v>00</v>
      </c>
      <c r="AL877" t="str">
        <f>MID('paste from garc here'!$C$2,1+(('table for research'!$B877-456)*36+HEX2DEC('table for research'!AL$1))*2,2)</f>
        <v>00</v>
      </c>
      <c r="AM877" t="str">
        <f>MID('paste from garc here'!$C$2,1+(('table for research'!$B877-456)*36+HEX2DEC('table for research'!AM$1))*2,2)</f>
        <v>00</v>
      </c>
      <c r="AN877" t="str">
        <f>MID('paste from garc here'!$C$2,1+(('table for research'!$B877-456)*36+HEX2DEC('table for research'!AN$1))*2,2)</f>
        <v>00</v>
      </c>
      <c r="AO877" t="str">
        <f>MID('paste from garc here'!$C$2,1+(('table for research'!$B877-456)*36+HEX2DEC('table for research'!AO$1))*2,2)</f>
        <v>00</v>
      </c>
    </row>
    <row r="878" spans="1:41" x14ac:dyDescent="0.4">
      <c r="A878" t="s">
        <v>138</v>
      </c>
      <c r="B878">
        <f>B877+1</f>
        <v>876</v>
      </c>
      <c r="C878" t="str">
        <f>MID('paste from garc here'!$C$2,1+(('table for research'!$B878-456)*36+HEX2DEC('table for research'!C$1))*2,2)</f>
        <v>00</v>
      </c>
      <c r="D878" t="str">
        <f>MID('paste from garc here'!$C$2,1+(('table for research'!$B878-456)*36+HEX2DEC('table for research'!D$1))*2,2)</f>
        <v>00</v>
      </c>
      <c r="E878" t="str">
        <f>MID('paste from garc here'!$C$2,1+(('table for research'!$B878-456)*36+HEX2DEC('table for research'!E$1))*2,2)</f>
        <v>00</v>
      </c>
      <c r="F878" t="str">
        <f>MID('paste from garc here'!$C$2,1+(('table for research'!$B878-456)*36+HEX2DEC('table for research'!F$1))*2,2)</f>
        <v>00</v>
      </c>
      <c r="G878" t="str">
        <f>MID('paste from garc here'!$C$2,1+(('table for research'!$B878-456)*36+HEX2DEC('table for research'!G$1))*2,2)</f>
        <v>00</v>
      </c>
      <c r="H878" t="str">
        <f>MID('paste from garc here'!$C$2,1+(('table for research'!$B878-456)*36+HEX2DEC('table for research'!H$1))*2,2)</f>
        <v>00</v>
      </c>
      <c r="I878" t="str">
        <f>MID('paste from garc here'!$C$2,1+(('table for research'!$B878-456)*36+HEX2DEC('table for research'!I$1))*2,2)</f>
        <v>00</v>
      </c>
      <c r="J878" t="str">
        <f>MID('paste from garc here'!$C$2,1+(('table for research'!$B878-456)*36+HEX2DEC('table for research'!J$1))*2,2)</f>
        <v>00</v>
      </c>
      <c r="K878" t="str">
        <f>DEC2HEX(_xlfn.BITAND(HEX2DEC(MID('paste from garc here'!$C$1,1+(('table for research'!$B878-1)*36+HEX2DEC(8))*2,2)),31),2)</f>
        <v>00</v>
      </c>
      <c r="L878" t="str">
        <f>DEC2HEX(_xlfn.BITAND(HEX2DEC(MID('paste from garc here'!$C$1,1+(('table for research'!$B878-1)*36+HEX2DEC(8))*2,2)),32),2)</f>
        <v>00</v>
      </c>
      <c r="M878" t="str">
        <f>DEC2HEX(_xlfn.BITAND(HEX2DEC(MID('paste from garc here'!$C$1,1+(('table for research'!$B878-1)*36+HEX2DEC(8))*2,2)),64),2)</f>
        <v>00</v>
      </c>
      <c r="N878" t="str">
        <f>DEC2HEX(_xlfn.BITRSHIFT(_xlfn.BITAND(HEX2DEC(MID('paste from garc here'!$C$1,1+(('table for research'!$B878-1)*36+HEX2DEC(9))*2,2)&amp;MID('paste from garc here'!$C$1,1+(('table for research'!$B878-1)*36+HEX2DEC(8))*2,2)),1920),7),2)</f>
        <v>00</v>
      </c>
      <c r="O878" t="str">
        <f>DEC2HEX(_xlfn.BITRSHIFT(HEX2DEC(MID('paste from garc here'!$C$1,1+(('table for research'!$B878-1)*36+HEX2DEC(9))*2,2)&amp;MID('paste from garc here'!$C$1,1+(('table for research'!$B878-1)*36+HEX2DEC(8))*2,2)),11),2)</f>
        <v>00</v>
      </c>
      <c r="P878" t="str">
        <f>MID('paste from garc here'!$C$2,1+(('table for research'!$B878-456)*36+HEX2DEC('table for research'!P$1))*2,2)</f>
        <v>00</v>
      </c>
      <c r="Q878" t="str">
        <f>MID('paste from garc here'!$C$2,1+(('table for research'!$B878-456)*36+HEX2DEC('table for research'!Q$1))*2,2)</f>
        <v>00</v>
      </c>
      <c r="R878" t="str">
        <f>MID('paste from garc here'!$C$2,1+(('table for research'!$B878-456)*36+HEX2DEC('table for research'!R$1))*2,2)</f>
        <v>00</v>
      </c>
      <c r="S878" t="str">
        <f>MID('paste from garc here'!$C$2,1+(('table for research'!$B878-456)*36+HEX2DEC('table for research'!S$1))*2,2)</f>
        <v>08</v>
      </c>
      <c r="T878" t="str">
        <f>MID('paste from garc here'!$C$2,1+(('table for research'!$B878-456)*36+HEX2DEC('table for research'!T$1))*2,2)</f>
        <v>00</v>
      </c>
      <c r="U878" t="str">
        <f>MID('paste from garc here'!$C$2,1+(('table for research'!$B878-456)*36+HEX2DEC('table for research'!U$1))*2,2)</f>
        <v>FF</v>
      </c>
      <c r="V878" t="str">
        <f>MID('paste from garc here'!$C$2,1+(('table for research'!$B878-456)*36+HEX2DEC('table for research'!V$1))*2,2)</f>
        <v>00</v>
      </c>
      <c r="W878" t="str">
        <f>MID('paste from garc here'!$C$2,1+(('table for research'!$B878-456)*36+HEX2DEC('table for research'!W$1))*2,2)</f>
        <v>00</v>
      </c>
      <c r="X878" t="str">
        <f>MID('paste from garc here'!$C$2,1+(('table for research'!$B878-456)*36+HEX2DEC('table for research'!X$1))*2,2)</f>
        <v>00</v>
      </c>
      <c r="Y878" t="str">
        <f>MID('paste from garc here'!$C$2,1+(('table for research'!$B878-456)*36+HEX2DEC('table for research'!Y$1))*2,2)</f>
        <v>00</v>
      </c>
      <c r="Z878" t="str">
        <f>MID('paste from garc here'!$C$2,1+(('table for research'!$B878-456)*36+HEX2DEC('table for research'!Z$1))*2,2)</f>
        <v>00</v>
      </c>
      <c r="AA878" t="str">
        <f>MID('paste from garc here'!$C$2,1+(('table for research'!$B878-456)*36+HEX2DEC('table for research'!AA$1))*2,2)</f>
        <v>00</v>
      </c>
      <c r="AB878" t="str">
        <f>MID('paste from garc here'!$C$2,1+(('table for research'!$B878-456)*36+HEX2DEC('table for research'!AB$1))*2,2)</f>
        <v>00</v>
      </c>
      <c r="AC878" t="str">
        <f>MID('paste from garc here'!$C$2,1+(('table for research'!$B878-456)*36+HEX2DEC('table for research'!AC$1))*2,2)</f>
        <v>00</v>
      </c>
      <c r="AD878" t="str">
        <f>MID('paste from garc here'!$C$2,1+(('table for research'!$B878-456)*36+HEX2DEC('table for research'!AD$1))*2,2)</f>
        <v>00</v>
      </c>
      <c r="AE878" t="str">
        <f>MID('paste from garc here'!$C$2,1+(('table for research'!$B878-456)*36+HEX2DEC('table for research'!AE$1))*2,2)</f>
        <v>00</v>
      </c>
      <c r="AF878" t="str">
        <f>MID('paste from garc here'!$C$2,1+(('table for research'!$B878-456)*36+HEX2DEC('table for research'!AF$1))*2,2)</f>
        <v>00</v>
      </c>
      <c r="AG878" t="str">
        <f>MID('paste from garc here'!$C$2,1+(('table for research'!$B878-456)*36+HEX2DEC('table for research'!AG$1))*2,2)</f>
        <v>00</v>
      </c>
      <c r="AH878" t="str">
        <f>MID('paste from garc here'!$C$2,1+(('table for research'!$B878-456)*36+HEX2DEC('table for research'!AH$1))*2,2)</f>
        <v>00</v>
      </c>
      <c r="AI878" t="str">
        <f>MID('paste from garc here'!$C$2,1+(('table for research'!$B878-456)*36+HEX2DEC('table for research'!AI$1))*2,2)</f>
        <v>00</v>
      </c>
      <c r="AJ878" t="str">
        <f>MID('paste from garc here'!$C$2,1+(('table for research'!$B878-456)*36+HEX2DEC('table for research'!AJ$1))*2,2)</f>
        <v>00</v>
      </c>
      <c r="AK878" t="str">
        <f>MID('paste from garc here'!$C$2,1+(('table for research'!$B878-456)*36+HEX2DEC('table for research'!AK$1))*2,2)</f>
        <v>00</v>
      </c>
      <c r="AL878" t="str">
        <f>MID('paste from garc here'!$C$2,1+(('table for research'!$B878-456)*36+HEX2DEC('table for research'!AL$1))*2,2)</f>
        <v>00</v>
      </c>
      <c r="AM878" t="str">
        <f>MID('paste from garc here'!$C$2,1+(('table for research'!$B878-456)*36+HEX2DEC('table for research'!AM$1))*2,2)</f>
        <v>00</v>
      </c>
      <c r="AN878" t="str">
        <f>MID('paste from garc here'!$C$2,1+(('table for research'!$B878-456)*36+HEX2DEC('table for research'!AN$1))*2,2)</f>
        <v>00</v>
      </c>
      <c r="AO878" t="str">
        <f>MID('paste from garc here'!$C$2,1+(('table for research'!$B878-456)*36+HEX2DEC('table for research'!AO$1))*2,2)</f>
        <v>00</v>
      </c>
    </row>
    <row r="879" spans="1:41" x14ac:dyDescent="0.4">
      <c r="A879" t="s">
        <v>138</v>
      </c>
      <c r="B879">
        <f>B878+1</f>
        <v>877</v>
      </c>
      <c r="C879" t="str">
        <f>MID('paste from garc here'!$C$2,1+(('table for research'!$B879-456)*36+HEX2DEC('table for research'!C$1))*2,2)</f>
        <v>00</v>
      </c>
      <c r="D879" t="str">
        <f>MID('paste from garc here'!$C$2,1+(('table for research'!$B879-456)*36+HEX2DEC('table for research'!D$1))*2,2)</f>
        <v>00</v>
      </c>
      <c r="E879" t="str">
        <f>MID('paste from garc here'!$C$2,1+(('table for research'!$B879-456)*36+HEX2DEC('table for research'!E$1))*2,2)</f>
        <v>00</v>
      </c>
      <c r="F879" t="str">
        <f>MID('paste from garc here'!$C$2,1+(('table for research'!$B879-456)*36+HEX2DEC('table for research'!F$1))*2,2)</f>
        <v>00</v>
      </c>
      <c r="G879" t="str">
        <f>MID('paste from garc here'!$C$2,1+(('table for research'!$B879-456)*36+HEX2DEC('table for research'!G$1))*2,2)</f>
        <v>00</v>
      </c>
      <c r="H879" t="str">
        <f>MID('paste from garc here'!$C$2,1+(('table for research'!$B879-456)*36+HEX2DEC('table for research'!H$1))*2,2)</f>
        <v>00</v>
      </c>
      <c r="I879" t="str">
        <f>MID('paste from garc here'!$C$2,1+(('table for research'!$B879-456)*36+HEX2DEC('table for research'!I$1))*2,2)</f>
        <v>00</v>
      </c>
      <c r="J879" t="str">
        <f>MID('paste from garc here'!$C$2,1+(('table for research'!$B879-456)*36+HEX2DEC('table for research'!J$1))*2,2)</f>
        <v>00</v>
      </c>
      <c r="K879" t="str">
        <f>DEC2HEX(_xlfn.BITAND(HEX2DEC(MID('paste from garc here'!$C$1,1+(('table for research'!$B879-1)*36+HEX2DEC(8))*2,2)),31),2)</f>
        <v>00</v>
      </c>
      <c r="L879" t="str">
        <f>DEC2HEX(_xlfn.BITAND(HEX2DEC(MID('paste from garc here'!$C$1,1+(('table for research'!$B879-1)*36+HEX2DEC(8))*2,2)),32),2)</f>
        <v>00</v>
      </c>
      <c r="M879" t="str">
        <f>DEC2HEX(_xlfn.BITAND(HEX2DEC(MID('paste from garc here'!$C$1,1+(('table for research'!$B879-1)*36+HEX2DEC(8))*2,2)),64),2)</f>
        <v>00</v>
      </c>
      <c r="N879" t="str">
        <f>DEC2HEX(_xlfn.BITRSHIFT(_xlfn.BITAND(HEX2DEC(MID('paste from garc here'!$C$1,1+(('table for research'!$B879-1)*36+HEX2DEC(9))*2,2)&amp;MID('paste from garc here'!$C$1,1+(('table for research'!$B879-1)*36+HEX2DEC(8))*2,2)),1920),7),2)</f>
        <v>00</v>
      </c>
      <c r="O879" t="str">
        <f>DEC2HEX(_xlfn.BITRSHIFT(HEX2DEC(MID('paste from garc here'!$C$1,1+(('table for research'!$B879-1)*36+HEX2DEC(9))*2,2)&amp;MID('paste from garc here'!$C$1,1+(('table for research'!$B879-1)*36+HEX2DEC(8))*2,2)),11),2)</f>
        <v>00</v>
      </c>
      <c r="P879" t="str">
        <f>MID('paste from garc here'!$C$2,1+(('table for research'!$B879-456)*36+HEX2DEC('table for research'!P$1))*2,2)</f>
        <v>00</v>
      </c>
      <c r="Q879" t="str">
        <f>MID('paste from garc here'!$C$2,1+(('table for research'!$B879-456)*36+HEX2DEC('table for research'!Q$1))*2,2)</f>
        <v>00</v>
      </c>
      <c r="R879" t="str">
        <f>MID('paste from garc here'!$C$2,1+(('table for research'!$B879-456)*36+HEX2DEC('table for research'!R$1))*2,2)</f>
        <v>00</v>
      </c>
      <c r="S879" t="str">
        <f>MID('paste from garc here'!$C$2,1+(('table for research'!$B879-456)*36+HEX2DEC('table for research'!S$1))*2,2)</f>
        <v>08</v>
      </c>
      <c r="T879" t="str">
        <f>MID('paste from garc here'!$C$2,1+(('table for research'!$B879-456)*36+HEX2DEC('table for research'!T$1))*2,2)</f>
        <v>00</v>
      </c>
      <c r="U879" t="str">
        <f>MID('paste from garc here'!$C$2,1+(('table for research'!$B879-456)*36+HEX2DEC('table for research'!U$1))*2,2)</f>
        <v>FF</v>
      </c>
      <c r="V879" t="str">
        <f>MID('paste from garc here'!$C$2,1+(('table for research'!$B879-456)*36+HEX2DEC('table for research'!V$1))*2,2)</f>
        <v>00</v>
      </c>
      <c r="W879" t="str">
        <f>MID('paste from garc here'!$C$2,1+(('table for research'!$B879-456)*36+HEX2DEC('table for research'!W$1))*2,2)</f>
        <v>00</v>
      </c>
      <c r="X879" t="str">
        <f>MID('paste from garc here'!$C$2,1+(('table for research'!$B879-456)*36+HEX2DEC('table for research'!X$1))*2,2)</f>
        <v>00</v>
      </c>
      <c r="Y879" t="str">
        <f>MID('paste from garc here'!$C$2,1+(('table for research'!$B879-456)*36+HEX2DEC('table for research'!Y$1))*2,2)</f>
        <v>00</v>
      </c>
      <c r="Z879" t="str">
        <f>MID('paste from garc here'!$C$2,1+(('table for research'!$B879-456)*36+HEX2DEC('table for research'!Z$1))*2,2)</f>
        <v>00</v>
      </c>
      <c r="AA879" t="str">
        <f>MID('paste from garc here'!$C$2,1+(('table for research'!$B879-456)*36+HEX2DEC('table for research'!AA$1))*2,2)</f>
        <v>00</v>
      </c>
      <c r="AB879" t="str">
        <f>MID('paste from garc here'!$C$2,1+(('table for research'!$B879-456)*36+HEX2DEC('table for research'!AB$1))*2,2)</f>
        <v>00</v>
      </c>
      <c r="AC879" t="str">
        <f>MID('paste from garc here'!$C$2,1+(('table for research'!$B879-456)*36+HEX2DEC('table for research'!AC$1))*2,2)</f>
        <v>00</v>
      </c>
      <c r="AD879" t="str">
        <f>MID('paste from garc here'!$C$2,1+(('table for research'!$B879-456)*36+HEX2DEC('table for research'!AD$1))*2,2)</f>
        <v>00</v>
      </c>
      <c r="AE879" t="str">
        <f>MID('paste from garc here'!$C$2,1+(('table for research'!$B879-456)*36+HEX2DEC('table for research'!AE$1))*2,2)</f>
        <v>00</v>
      </c>
      <c r="AF879" t="str">
        <f>MID('paste from garc here'!$C$2,1+(('table for research'!$B879-456)*36+HEX2DEC('table for research'!AF$1))*2,2)</f>
        <v>00</v>
      </c>
      <c r="AG879" t="str">
        <f>MID('paste from garc here'!$C$2,1+(('table for research'!$B879-456)*36+HEX2DEC('table for research'!AG$1))*2,2)</f>
        <v>00</v>
      </c>
      <c r="AH879" t="str">
        <f>MID('paste from garc here'!$C$2,1+(('table for research'!$B879-456)*36+HEX2DEC('table for research'!AH$1))*2,2)</f>
        <v>00</v>
      </c>
      <c r="AI879" t="str">
        <f>MID('paste from garc here'!$C$2,1+(('table for research'!$B879-456)*36+HEX2DEC('table for research'!AI$1))*2,2)</f>
        <v>00</v>
      </c>
      <c r="AJ879" t="str">
        <f>MID('paste from garc here'!$C$2,1+(('table for research'!$B879-456)*36+HEX2DEC('table for research'!AJ$1))*2,2)</f>
        <v>00</v>
      </c>
      <c r="AK879" t="str">
        <f>MID('paste from garc here'!$C$2,1+(('table for research'!$B879-456)*36+HEX2DEC('table for research'!AK$1))*2,2)</f>
        <v>00</v>
      </c>
      <c r="AL879" t="str">
        <f>MID('paste from garc here'!$C$2,1+(('table for research'!$B879-456)*36+HEX2DEC('table for research'!AL$1))*2,2)</f>
        <v>00</v>
      </c>
      <c r="AM879" t="str">
        <f>MID('paste from garc here'!$C$2,1+(('table for research'!$B879-456)*36+HEX2DEC('table for research'!AM$1))*2,2)</f>
        <v>00</v>
      </c>
      <c r="AN879" t="str">
        <f>MID('paste from garc here'!$C$2,1+(('table for research'!$B879-456)*36+HEX2DEC('table for research'!AN$1))*2,2)</f>
        <v>00</v>
      </c>
      <c r="AO879" t="str">
        <f>MID('paste from garc here'!$C$2,1+(('table for research'!$B879-456)*36+HEX2DEC('table for research'!AO$1))*2,2)</f>
        <v>00</v>
      </c>
    </row>
    <row r="880" spans="1:41" x14ac:dyDescent="0.4">
      <c r="A880" t="s">
        <v>138</v>
      </c>
      <c r="B880">
        <f>B879+1</f>
        <v>878</v>
      </c>
      <c r="C880" t="str">
        <f>MID('paste from garc here'!$C$2,1+(('table for research'!$B880-456)*36+HEX2DEC('table for research'!C$1))*2,2)</f>
        <v>00</v>
      </c>
      <c r="D880" t="str">
        <f>MID('paste from garc here'!$C$2,1+(('table for research'!$B880-456)*36+HEX2DEC('table for research'!D$1))*2,2)</f>
        <v>00</v>
      </c>
      <c r="E880" t="str">
        <f>MID('paste from garc here'!$C$2,1+(('table for research'!$B880-456)*36+HEX2DEC('table for research'!E$1))*2,2)</f>
        <v>00</v>
      </c>
      <c r="F880" t="str">
        <f>MID('paste from garc here'!$C$2,1+(('table for research'!$B880-456)*36+HEX2DEC('table for research'!F$1))*2,2)</f>
        <v>00</v>
      </c>
      <c r="G880" t="str">
        <f>MID('paste from garc here'!$C$2,1+(('table for research'!$B880-456)*36+HEX2DEC('table for research'!G$1))*2,2)</f>
        <v>00</v>
      </c>
      <c r="H880" t="str">
        <f>MID('paste from garc here'!$C$2,1+(('table for research'!$B880-456)*36+HEX2DEC('table for research'!H$1))*2,2)</f>
        <v>00</v>
      </c>
      <c r="I880" t="str">
        <f>MID('paste from garc here'!$C$2,1+(('table for research'!$B880-456)*36+HEX2DEC('table for research'!I$1))*2,2)</f>
        <v>00</v>
      </c>
      <c r="J880" t="str">
        <f>MID('paste from garc here'!$C$2,1+(('table for research'!$B880-456)*36+HEX2DEC('table for research'!J$1))*2,2)</f>
        <v>00</v>
      </c>
      <c r="K880" t="str">
        <f>DEC2HEX(_xlfn.BITAND(HEX2DEC(MID('paste from garc here'!$C$1,1+(('table for research'!$B880-1)*36+HEX2DEC(8))*2,2)),31),2)</f>
        <v>00</v>
      </c>
      <c r="L880" t="str">
        <f>DEC2HEX(_xlfn.BITAND(HEX2DEC(MID('paste from garc here'!$C$1,1+(('table for research'!$B880-1)*36+HEX2DEC(8))*2,2)),32),2)</f>
        <v>00</v>
      </c>
      <c r="M880" t="str">
        <f>DEC2HEX(_xlfn.BITAND(HEX2DEC(MID('paste from garc here'!$C$1,1+(('table for research'!$B880-1)*36+HEX2DEC(8))*2,2)),64),2)</f>
        <v>00</v>
      </c>
      <c r="N880" t="str">
        <f>DEC2HEX(_xlfn.BITRSHIFT(_xlfn.BITAND(HEX2DEC(MID('paste from garc here'!$C$1,1+(('table for research'!$B880-1)*36+HEX2DEC(9))*2,2)&amp;MID('paste from garc here'!$C$1,1+(('table for research'!$B880-1)*36+HEX2DEC(8))*2,2)),1920),7),2)</f>
        <v>00</v>
      </c>
      <c r="O880" t="str">
        <f>DEC2HEX(_xlfn.BITRSHIFT(HEX2DEC(MID('paste from garc here'!$C$1,1+(('table for research'!$B880-1)*36+HEX2DEC(9))*2,2)&amp;MID('paste from garc here'!$C$1,1+(('table for research'!$B880-1)*36+HEX2DEC(8))*2,2)),11),2)</f>
        <v>00</v>
      </c>
      <c r="P880" t="str">
        <f>MID('paste from garc here'!$C$2,1+(('table for research'!$B880-456)*36+HEX2DEC('table for research'!P$1))*2,2)</f>
        <v>00</v>
      </c>
      <c r="Q880" t="str">
        <f>MID('paste from garc here'!$C$2,1+(('table for research'!$B880-456)*36+HEX2DEC('table for research'!Q$1))*2,2)</f>
        <v>00</v>
      </c>
      <c r="R880" t="str">
        <f>MID('paste from garc here'!$C$2,1+(('table for research'!$B880-456)*36+HEX2DEC('table for research'!R$1))*2,2)</f>
        <v>00</v>
      </c>
      <c r="S880" t="str">
        <f>MID('paste from garc here'!$C$2,1+(('table for research'!$B880-456)*36+HEX2DEC('table for research'!S$1))*2,2)</f>
        <v>08</v>
      </c>
      <c r="T880" t="str">
        <f>MID('paste from garc here'!$C$2,1+(('table for research'!$B880-456)*36+HEX2DEC('table for research'!T$1))*2,2)</f>
        <v>00</v>
      </c>
      <c r="U880" t="str">
        <f>MID('paste from garc here'!$C$2,1+(('table for research'!$B880-456)*36+HEX2DEC('table for research'!U$1))*2,2)</f>
        <v>FF</v>
      </c>
      <c r="V880" t="str">
        <f>MID('paste from garc here'!$C$2,1+(('table for research'!$B880-456)*36+HEX2DEC('table for research'!V$1))*2,2)</f>
        <v>00</v>
      </c>
      <c r="W880" t="str">
        <f>MID('paste from garc here'!$C$2,1+(('table for research'!$B880-456)*36+HEX2DEC('table for research'!W$1))*2,2)</f>
        <v>00</v>
      </c>
      <c r="X880" t="str">
        <f>MID('paste from garc here'!$C$2,1+(('table for research'!$B880-456)*36+HEX2DEC('table for research'!X$1))*2,2)</f>
        <v>00</v>
      </c>
      <c r="Y880" t="str">
        <f>MID('paste from garc here'!$C$2,1+(('table for research'!$B880-456)*36+HEX2DEC('table for research'!Y$1))*2,2)</f>
        <v>00</v>
      </c>
      <c r="Z880" t="str">
        <f>MID('paste from garc here'!$C$2,1+(('table for research'!$B880-456)*36+HEX2DEC('table for research'!Z$1))*2,2)</f>
        <v>00</v>
      </c>
      <c r="AA880" t="str">
        <f>MID('paste from garc here'!$C$2,1+(('table for research'!$B880-456)*36+HEX2DEC('table for research'!AA$1))*2,2)</f>
        <v>00</v>
      </c>
      <c r="AB880" t="str">
        <f>MID('paste from garc here'!$C$2,1+(('table for research'!$B880-456)*36+HEX2DEC('table for research'!AB$1))*2,2)</f>
        <v>00</v>
      </c>
      <c r="AC880" t="str">
        <f>MID('paste from garc here'!$C$2,1+(('table for research'!$B880-456)*36+HEX2DEC('table for research'!AC$1))*2,2)</f>
        <v>00</v>
      </c>
      <c r="AD880" t="str">
        <f>MID('paste from garc here'!$C$2,1+(('table for research'!$B880-456)*36+HEX2DEC('table for research'!AD$1))*2,2)</f>
        <v>00</v>
      </c>
      <c r="AE880" t="str">
        <f>MID('paste from garc here'!$C$2,1+(('table for research'!$B880-456)*36+HEX2DEC('table for research'!AE$1))*2,2)</f>
        <v>00</v>
      </c>
      <c r="AF880" t="str">
        <f>MID('paste from garc here'!$C$2,1+(('table for research'!$B880-456)*36+HEX2DEC('table for research'!AF$1))*2,2)</f>
        <v>00</v>
      </c>
      <c r="AG880" t="str">
        <f>MID('paste from garc here'!$C$2,1+(('table for research'!$B880-456)*36+HEX2DEC('table for research'!AG$1))*2,2)</f>
        <v>00</v>
      </c>
      <c r="AH880" t="str">
        <f>MID('paste from garc here'!$C$2,1+(('table for research'!$B880-456)*36+HEX2DEC('table for research'!AH$1))*2,2)</f>
        <v>00</v>
      </c>
      <c r="AI880" t="str">
        <f>MID('paste from garc here'!$C$2,1+(('table for research'!$B880-456)*36+HEX2DEC('table for research'!AI$1))*2,2)</f>
        <v>00</v>
      </c>
      <c r="AJ880" t="str">
        <f>MID('paste from garc here'!$C$2,1+(('table for research'!$B880-456)*36+HEX2DEC('table for research'!AJ$1))*2,2)</f>
        <v>00</v>
      </c>
      <c r="AK880" t="str">
        <f>MID('paste from garc here'!$C$2,1+(('table for research'!$B880-456)*36+HEX2DEC('table for research'!AK$1))*2,2)</f>
        <v>00</v>
      </c>
      <c r="AL880" t="str">
        <f>MID('paste from garc here'!$C$2,1+(('table for research'!$B880-456)*36+HEX2DEC('table for research'!AL$1))*2,2)</f>
        <v>00</v>
      </c>
      <c r="AM880" t="str">
        <f>MID('paste from garc here'!$C$2,1+(('table for research'!$B880-456)*36+HEX2DEC('table for research'!AM$1))*2,2)</f>
        <v>00</v>
      </c>
      <c r="AN880" t="str">
        <f>MID('paste from garc here'!$C$2,1+(('table for research'!$B880-456)*36+HEX2DEC('table for research'!AN$1))*2,2)</f>
        <v>00</v>
      </c>
      <c r="AO880" t="str">
        <f>MID('paste from garc here'!$C$2,1+(('table for research'!$B880-456)*36+HEX2DEC('table for research'!AO$1))*2,2)</f>
        <v>00</v>
      </c>
    </row>
    <row r="881" spans="1:41" x14ac:dyDescent="0.4">
      <c r="A881" t="s">
        <v>848</v>
      </c>
      <c r="B881">
        <f>B880+1</f>
        <v>879</v>
      </c>
      <c r="C881" t="str">
        <f>MID('paste from garc here'!$C$2,1+(('table for research'!$B881-456)*36+HEX2DEC('table for research'!C$1))*2,2)</f>
        <v>F4</v>
      </c>
      <c r="D881" t="str">
        <f>MID('paste from garc here'!$C$2,1+(('table for research'!$B881-456)*36+HEX2DEC('table for research'!D$1))*2,2)</f>
        <v>01</v>
      </c>
      <c r="E881" t="str">
        <f>MID('paste from garc here'!$C$2,1+(('table for research'!$B881-456)*36+HEX2DEC('table for research'!E$1))*2,2)</f>
        <v>B8</v>
      </c>
      <c r="F881" t="str">
        <f>MID('paste from garc here'!$C$2,1+(('table for research'!$B881-456)*36+HEX2DEC('table for research'!F$1))*2,2)</f>
        <v>00</v>
      </c>
      <c r="G881" t="str">
        <f>MID('paste from garc here'!$C$2,1+(('table for research'!$B881-456)*36+HEX2DEC('table for research'!G$1))*2,2)</f>
        <v>00</v>
      </c>
      <c r="H881" t="str">
        <f>MID('paste from garc here'!$C$2,1+(('table for research'!$B881-456)*36+HEX2DEC('table for research'!H$1))*2,2)</f>
        <v>00</v>
      </c>
      <c r="I881" t="str">
        <f>MID('paste from garc here'!$C$2,1+(('table for research'!$B881-456)*36+HEX2DEC('table for research'!I$1))*2,2)</f>
        <v>3C</v>
      </c>
      <c r="J881" t="str">
        <f>MID('paste from garc here'!$C$2,1+(('table for research'!$B881-456)*36+HEX2DEC('table for research'!J$1))*2,2)</f>
        <v>00</v>
      </c>
      <c r="K881" t="str">
        <f>DEC2HEX(_xlfn.BITAND(HEX2DEC(MID('paste from garc here'!$C$1,1+(('table for research'!$B881-1)*36+HEX2DEC(8))*2,2)),31),2)</f>
        <v>00</v>
      </c>
      <c r="L881" t="str">
        <f>DEC2HEX(_xlfn.BITAND(HEX2DEC(MID('paste from garc here'!$C$1,1+(('table for research'!$B881-1)*36+HEX2DEC(8))*2,2)),32),2)</f>
        <v>00</v>
      </c>
      <c r="M881" t="str">
        <f>DEC2HEX(_xlfn.BITAND(HEX2DEC(MID('paste from garc here'!$C$1,1+(('table for research'!$B881-1)*36+HEX2DEC(8))*2,2)),64),2)</f>
        <v>00</v>
      </c>
      <c r="N881" t="str">
        <f>DEC2HEX(_xlfn.BITRSHIFT(_xlfn.BITAND(HEX2DEC(MID('paste from garc here'!$C$1,1+(('table for research'!$B881-1)*36+HEX2DEC(9))*2,2)&amp;MID('paste from garc here'!$C$1,1+(('table for research'!$B881-1)*36+HEX2DEC(8))*2,2)),1920),7),2)</f>
        <v>00</v>
      </c>
      <c r="O881" t="str">
        <f>DEC2HEX(_xlfn.BITRSHIFT(HEX2DEC(MID('paste from garc here'!$C$1,1+(('table for research'!$B881-1)*36+HEX2DEC(9))*2,2)&amp;MID('paste from garc here'!$C$1,1+(('table for research'!$B881-1)*36+HEX2DEC(8))*2,2)),11),2)</f>
        <v>00</v>
      </c>
      <c r="P881" t="str">
        <f>MID('paste from garc here'!$C$2,1+(('table for research'!$B881-456)*36+HEX2DEC('table for research'!P$1))*2,2)</f>
        <v>00</v>
      </c>
      <c r="Q881" t="str">
        <f>MID('paste from garc here'!$C$2,1+(('table for research'!$B881-456)*36+HEX2DEC('table for research'!Q$1))*2,2)</f>
        <v>00</v>
      </c>
      <c r="R881" t="str">
        <f>MID('paste from garc here'!$C$2,1+(('table for research'!$B881-456)*36+HEX2DEC('table for research'!R$1))*2,2)</f>
        <v>00</v>
      </c>
      <c r="S881" t="str">
        <f>MID('paste from garc here'!$C$2,1+(('table for research'!$B881-456)*36+HEX2DEC('table for research'!S$1))*2,2)</f>
        <v>01</v>
      </c>
      <c r="T881" t="str">
        <f>MID('paste from garc here'!$C$2,1+(('table for research'!$B881-456)*36+HEX2DEC('table for research'!T$1))*2,2)</f>
        <v>00</v>
      </c>
      <c r="U881" t="str">
        <f>MID('paste from garc here'!$C$2,1+(('table for research'!$B881-456)*36+HEX2DEC('table for research'!U$1))*2,2)</f>
        <v>70</v>
      </c>
      <c r="V881" t="str">
        <f>MID('paste from garc here'!$C$2,1+(('table for research'!$B881-456)*36+HEX2DEC('table for research'!V$1))*2,2)</f>
        <v>00</v>
      </c>
      <c r="W881" t="str">
        <f>MID('paste from garc here'!$C$2,1+(('table for research'!$B881-456)*36+HEX2DEC('table for research'!W$1))*2,2)</f>
        <v>00</v>
      </c>
      <c r="X881" t="str">
        <f>MID('paste from garc here'!$C$2,1+(('table for research'!$B881-456)*36+HEX2DEC('table for research'!X$1))*2,2)</f>
        <v>00</v>
      </c>
      <c r="Y881" t="str">
        <f>MID('paste from garc here'!$C$2,1+(('table for research'!$B881-456)*36+HEX2DEC('table for research'!Y$1))*2,2)</f>
        <v>00</v>
      </c>
      <c r="Z881" t="str">
        <f>MID('paste from garc here'!$C$2,1+(('table for research'!$B881-456)*36+HEX2DEC('table for research'!Z$1))*2,2)</f>
        <v>00</v>
      </c>
      <c r="AA881" t="str">
        <f>MID('paste from garc here'!$C$2,1+(('table for research'!$B881-456)*36+HEX2DEC('table for research'!AA$1))*2,2)</f>
        <v>00</v>
      </c>
      <c r="AB881" t="str">
        <f>MID('paste from garc here'!$C$2,1+(('table for research'!$B881-456)*36+HEX2DEC('table for research'!AB$1))*2,2)</f>
        <v>00</v>
      </c>
      <c r="AC881" t="str">
        <f>MID('paste from garc here'!$C$2,1+(('table for research'!$B881-456)*36+HEX2DEC('table for research'!AC$1))*2,2)</f>
        <v>00</v>
      </c>
      <c r="AD881" t="str">
        <f>MID('paste from garc here'!$C$2,1+(('table for research'!$B881-456)*36+HEX2DEC('table for research'!AD$1))*2,2)</f>
        <v>00</v>
      </c>
      <c r="AE881" t="str">
        <f>MID('paste from garc here'!$C$2,1+(('table for research'!$B881-456)*36+HEX2DEC('table for research'!AE$1))*2,2)</f>
        <v>00</v>
      </c>
      <c r="AF881" t="str">
        <f>MID('paste from garc here'!$C$2,1+(('table for research'!$B881-456)*36+HEX2DEC('table for research'!AF$1))*2,2)</f>
        <v>00</v>
      </c>
      <c r="AG881" t="str">
        <f>MID('paste from garc here'!$C$2,1+(('table for research'!$B881-456)*36+HEX2DEC('table for research'!AG$1))*2,2)</f>
        <v>00</v>
      </c>
      <c r="AH881" t="str">
        <f>MID('paste from garc here'!$C$2,1+(('table for research'!$B881-456)*36+HEX2DEC('table for research'!AH$1))*2,2)</f>
        <v>00</v>
      </c>
      <c r="AI881" t="str">
        <f>MID('paste from garc here'!$C$2,1+(('table for research'!$B881-456)*36+HEX2DEC('table for research'!AI$1))*2,2)</f>
        <v>00</v>
      </c>
      <c r="AJ881" t="str">
        <f>MID('paste from garc here'!$C$2,1+(('table for research'!$B881-456)*36+HEX2DEC('table for research'!AJ$1))*2,2)</f>
        <v>00</v>
      </c>
      <c r="AK881" t="str">
        <f>MID('paste from garc here'!$C$2,1+(('table for research'!$B881-456)*36+HEX2DEC('table for research'!AK$1))*2,2)</f>
        <v>00</v>
      </c>
      <c r="AL881" t="str">
        <f>MID('paste from garc here'!$C$2,1+(('table for research'!$B881-456)*36+HEX2DEC('table for research'!AL$1))*2,2)</f>
        <v>00</v>
      </c>
      <c r="AM881" t="str">
        <f>MID('paste from garc here'!$C$2,1+(('table for research'!$B881-456)*36+HEX2DEC('table for research'!AM$1))*2,2)</f>
        <v>00</v>
      </c>
      <c r="AN881" t="str">
        <f>MID('paste from garc here'!$C$2,1+(('table for research'!$B881-456)*36+HEX2DEC('table for research'!AN$1))*2,2)</f>
        <v>00</v>
      </c>
      <c r="AO881" t="str">
        <f>MID('paste from garc here'!$C$2,1+(('table for research'!$B881-456)*36+HEX2DEC('table for research'!AO$1))*2,2)</f>
        <v>00</v>
      </c>
    </row>
    <row r="882" spans="1:41" x14ac:dyDescent="0.4">
      <c r="A882" t="s">
        <v>849</v>
      </c>
      <c r="B882">
        <f>B881+1</f>
        <v>880</v>
      </c>
      <c r="C882" t="str">
        <f>MID('paste from garc here'!$C$2,1+(('table for research'!$B882-456)*36+HEX2DEC('table for research'!C$1))*2,2)</f>
        <v>C4</v>
      </c>
      <c r="D882" t="str">
        <f>MID('paste from garc here'!$C$2,1+(('table for research'!$B882-456)*36+HEX2DEC('table for research'!D$1))*2,2)</f>
        <v>09</v>
      </c>
      <c r="E882" t="str">
        <f>MID('paste from garc here'!$C$2,1+(('table for research'!$B882-456)*36+HEX2DEC('table for research'!E$1))*2,2)</f>
        <v>B9</v>
      </c>
      <c r="F882" t="str">
        <f>MID('paste from garc here'!$C$2,1+(('table for research'!$B882-456)*36+HEX2DEC('table for research'!F$1))*2,2)</f>
        <v>00</v>
      </c>
      <c r="G882" t="str">
        <f>MID('paste from garc here'!$C$2,1+(('table for research'!$B882-456)*36+HEX2DEC('table for research'!G$1))*2,2)</f>
        <v>00</v>
      </c>
      <c r="H882" t="str">
        <f>MID('paste from garc here'!$C$2,1+(('table for research'!$B882-456)*36+HEX2DEC('table for research'!H$1))*2,2)</f>
        <v>00</v>
      </c>
      <c r="I882" t="str">
        <f>MID('paste from garc here'!$C$2,1+(('table for research'!$B882-456)*36+HEX2DEC('table for research'!I$1))*2,2)</f>
        <v>1E</v>
      </c>
      <c r="J882" t="str">
        <f>MID('paste from garc here'!$C$2,1+(('table for research'!$B882-456)*36+HEX2DEC('table for research'!J$1))*2,2)</f>
        <v>00</v>
      </c>
      <c r="K882" t="str">
        <f>DEC2HEX(_xlfn.BITAND(HEX2DEC(MID('paste from garc here'!$C$1,1+(('table for research'!$B882-1)*36+HEX2DEC(8))*2,2)),31),2)</f>
        <v>00</v>
      </c>
      <c r="L882" t="str">
        <f>DEC2HEX(_xlfn.BITAND(HEX2DEC(MID('paste from garc here'!$C$1,1+(('table for research'!$B882-1)*36+HEX2DEC(8))*2,2)),32),2)</f>
        <v>00</v>
      </c>
      <c r="M882" t="str">
        <f>DEC2HEX(_xlfn.BITAND(HEX2DEC(MID('paste from garc here'!$C$1,1+(('table for research'!$B882-1)*36+HEX2DEC(8))*2,2)),64),2)</f>
        <v>00</v>
      </c>
      <c r="N882" t="str">
        <f>DEC2HEX(_xlfn.BITRSHIFT(_xlfn.BITAND(HEX2DEC(MID('paste from garc here'!$C$1,1+(('table for research'!$B882-1)*36+HEX2DEC(9))*2,2)&amp;MID('paste from garc here'!$C$1,1+(('table for research'!$B882-1)*36+HEX2DEC(8))*2,2)),1920),7),2)</f>
        <v>00</v>
      </c>
      <c r="O882" t="str">
        <f>DEC2HEX(_xlfn.BITRSHIFT(HEX2DEC(MID('paste from garc here'!$C$1,1+(('table for research'!$B882-1)*36+HEX2DEC(9))*2,2)&amp;MID('paste from garc here'!$C$1,1+(('table for research'!$B882-1)*36+HEX2DEC(8))*2,2)),11),2)</f>
        <v>00</v>
      </c>
      <c r="P882" t="str">
        <f>MID('paste from garc here'!$C$2,1+(('table for research'!$B882-456)*36+HEX2DEC('table for research'!P$1))*2,2)</f>
        <v>00</v>
      </c>
      <c r="Q882" t="str">
        <f>MID('paste from garc here'!$C$2,1+(('table for research'!$B882-456)*36+HEX2DEC('table for research'!Q$1))*2,2)</f>
        <v>00</v>
      </c>
      <c r="R882" t="str">
        <f>MID('paste from garc here'!$C$2,1+(('table for research'!$B882-456)*36+HEX2DEC('table for research'!R$1))*2,2)</f>
        <v>00</v>
      </c>
      <c r="S882" t="str">
        <f>MID('paste from garc here'!$C$2,1+(('table for research'!$B882-456)*36+HEX2DEC('table for research'!S$1))*2,2)</f>
        <v>01</v>
      </c>
      <c r="T882" t="str">
        <f>MID('paste from garc here'!$C$2,1+(('table for research'!$B882-456)*36+HEX2DEC('table for research'!T$1))*2,2)</f>
        <v>00</v>
      </c>
      <c r="U882" t="str">
        <f>MID('paste from garc here'!$C$2,1+(('table for research'!$B882-456)*36+HEX2DEC('table for research'!U$1))*2,2)</f>
        <v>71</v>
      </c>
      <c r="V882" t="str">
        <f>MID('paste from garc here'!$C$2,1+(('table for research'!$B882-456)*36+HEX2DEC('table for research'!V$1))*2,2)</f>
        <v>00</v>
      </c>
      <c r="W882" t="str">
        <f>MID('paste from garc here'!$C$2,1+(('table for research'!$B882-456)*36+HEX2DEC('table for research'!W$1))*2,2)</f>
        <v>00</v>
      </c>
      <c r="X882" t="str">
        <f>MID('paste from garc here'!$C$2,1+(('table for research'!$B882-456)*36+HEX2DEC('table for research'!X$1))*2,2)</f>
        <v>00</v>
      </c>
      <c r="Y882" t="str">
        <f>MID('paste from garc here'!$C$2,1+(('table for research'!$B882-456)*36+HEX2DEC('table for research'!Y$1))*2,2)</f>
        <v>00</v>
      </c>
      <c r="Z882" t="str">
        <f>MID('paste from garc here'!$C$2,1+(('table for research'!$B882-456)*36+HEX2DEC('table for research'!Z$1))*2,2)</f>
        <v>00</v>
      </c>
      <c r="AA882" t="str">
        <f>MID('paste from garc here'!$C$2,1+(('table for research'!$B882-456)*36+HEX2DEC('table for research'!AA$1))*2,2)</f>
        <v>00</v>
      </c>
      <c r="AB882" t="str">
        <f>MID('paste from garc here'!$C$2,1+(('table for research'!$B882-456)*36+HEX2DEC('table for research'!AB$1))*2,2)</f>
        <v>00</v>
      </c>
      <c r="AC882" t="str">
        <f>MID('paste from garc here'!$C$2,1+(('table for research'!$B882-456)*36+HEX2DEC('table for research'!AC$1))*2,2)</f>
        <v>00</v>
      </c>
      <c r="AD882" t="str">
        <f>MID('paste from garc here'!$C$2,1+(('table for research'!$B882-456)*36+HEX2DEC('table for research'!AD$1))*2,2)</f>
        <v>00</v>
      </c>
      <c r="AE882" t="str">
        <f>MID('paste from garc here'!$C$2,1+(('table for research'!$B882-456)*36+HEX2DEC('table for research'!AE$1))*2,2)</f>
        <v>00</v>
      </c>
      <c r="AF882" t="str">
        <f>MID('paste from garc here'!$C$2,1+(('table for research'!$B882-456)*36+HEX2DEC('table for research'!AF$1))*2,2)</f>
        <v>00</v>
      </c>
      <c r="AG882" t="str">
        <f>MID('paste from garc here'!$C$2,1+(('table for research'!$B882-456)*36+HEX2DEC('table for research'!AG$1))*2,2)</f>
        <v>00</v>
      </c>
      <c r="AH882" t="str">
        <f>MID('paste from garc here'!$C$2,1+(('table for research'!$B882-456)*36+HEX2DEC('table for research'!AH$1))*2,2)</f>
        <v>00</v>
      </c>
      <c r="AI882" t="str">
        <f>MID('paste from garc here'!$C$2,1+(('table for research'!$B882-456)*36+HEX2DEC('table for research'!AI$1))*2,2)</f>
        <v>00</v>
      </c>
      <c r="AJ882" t="str">
        <f>MID('paste from garc here'!$C$2,1+(('table for research'!$B882-456)*36+HEX2DEC('table for research'!AJ$1))*2,2)</f>
        <v>00</v>
      </c>
      <c r="AK882" t="str">
        <f>MID('paste from garc here'!$C$2,1+(('table for research'!$B882-456)*36+HEX2DEC('table for research'!AK$1))*2,2)</f>
        <v>00</v>
      </c>
      <c r="AL882" t="str">
        <f>MID('paste from garc here'!$C$2,1+(('table for research'!$B882-456)*36+HEX2DEC('table for research'!AL$1))*2,2)</f>
        <v>00</v>
      </c>
      <c r="AM882" t="str">
        <f>MID('paste from garc here'!$C$2,1+(('table for research'!$B882-456)*36+HEX2DEC('table for research'!AM$1))*2,2)</f>
        <v>00</v>
      </c>
      <c r="AN882" t="str">
        <f>MID('paste from garc here'!$C$2,1+(('table for research'!$B882-456)*36+HEX2DEC('table for research'!AN$1))*2,2)</f>
        <v>00</v>
      </c>
      <c r="AO882" t="str">
        <f>MID('paste from garc here'!$C$2,1+(('table for research'!$B882-456)*36+HEX2DEC('table for research'!AO$1))*2,2)</f>
        <v>00</v>
      </c>
    </row>
    <row r="883" spans="1:41" x14ac:dyDescent="0.4">
      <c r="A883" t="s">
        <v>850</v>
      </c>
      <c r="B883">
        <f>B882+1</f>
        <v>881</v>
      </c>
      <c r="C883" t="str">
        <f>MID('paste from garc here'!$C$2,1+(('table for research'!$B883-456)*36+HEX2DEC('table for research'!C$1))*2,2)</f>
        <v>50</v>
      </c>
      <c r="D883" t="str">
        <f>MID('paste from garc here'!$C$2,1+(('table for research'!$B883-456)*36+HEX2DEC('table for research'!D$1))*2,2)</f>
        <v>00</v>
      </c>
      <c r="E883" t="str">
        <f>MID('paste from garc here'!$C$2,1+(('table for research'!$B883-456)*36+HEX2DEC('table for research'!E$1))*2,2)</f>
        <v>BA</v>
      </c>
      <c r="F883" t="str">
        <f>MID('paste from garc here'!$C$2,1+(('table for research'!$B883-456)*36+HEX2DEC('table for research'!F$1))*2,2)</f>
        <v>00</v>
      </c>
      <c r="G883" t="str">
        <f>MID('paste from garc here'!$C$2,1+(('table for research'!$B883-456)*36+HEX2DEC('table for research'!G$1))*2,2)</f>
        <v>00</v>
      </c>
      <c r="H883" t="str">
        <f>MID('paste from garc here'!$C$2,1+(('table for research'!$B883-456)*36+HEX2DEC('table for research'!H$1))*2,2)</f>
        <v>00</v>
      </c>
      <c r="I883" t="str">
        <f>MID('paste from garc here'!$C$2,1+(('table for research'!$B883-456)*36+HEX2DEC('table for research'!I$1))*2,2)</f>
        <v>0A</v>
      </c>
      <c r="J883" t="str">
        <f>MID('paste from garc here'!$C$2,1+(('table for research'!$B883-456)*36+HEX2DEC('table for research'!J$1))*2,2)</f>
        <v>00</v>
      </c>
      <c r="K883" t="str">
        <f>DEC2HEX(_xlfn.BITAND(HEX2DEC(MID('paste from garc here'!$C$1,1+(('table for research'!$B883-1)*36+HEX2DEC(8))*2,2)),31),2)</f>
        <v>00</v>
      </c>
      <c r="L883" t="str">
        <f>DEC2HEX(_xlfn.BITAND(HEX2DEC(MID('paste from garc here'!$C$1,1+(('table for research'!$B883-1)*36+HEX2DEC(8))*2,2)),32),2)</f>
        <v>00</v>
      </c>
      <c r="M883" t="str">
        <f>DEC2HEX(_xlfn.BITAND(HEX2DEC(MID('paste from garc here'!$C$1,1+(('table for research'!$B883-1)*36+HEX2DEC(8))*2,2)),64),2)</f>
        <v>00</v>
      </c>
      <c r="N883" t="str">
        <f>DEC2HEX(_xlfn.BITRSHIFT(_xlfn.BITAND(HEX2DEC(MID('paste from garc here'!$C$1,1+(('table for research'!$B883-1)*36+HEX2DEC(9))*2,2)&amp;MID('paste from garc here'!$C$1,1+(('table for research'!$B883-1)*36+HEX2DEC(8))*2,2)),1920),7),2)</f>
        <v>00</v>
      </c>
      <c r="O883" t="str">
        <f>DEC2HEX(_xlfn.BITRSHIFT(HEX2DEC(MID('paste from garc here'!$C$1,1+(('table for research'!$B883-1)*36+HEX2DEC(9))*2,2)&amp;MID('paste from garc here'!$C$1,1+(('table for research'!$B883-1)*36+HEX2DEC(8))*2,2)),11),2)</f>
        <v>00</v>
      </c>
      <c r="P883" t="str">
        <f>MID('paste from garc here'!$C$2,1+(('table for research'!$B883-456)*36+HEX2DEC('table for research'!P$1))*2,2)</f>
        <v>00</v>
      </c>
      <c r="Q883" t="str">
        <f>MID('paste from garc here'!$C$2,1+(('table for research'!$B883-456)*36+HEX2DEC('table for research'!Q$1))*2,2)</f>
        <v>00</v>
      </c>
      <c r="R883" t="str">
        <f>MID('paste from garc here'!$C$2,1+(('table for research'!$B883-456)*36+HEX2DEC('table for research'!R$1))*2,2)</f>
        <v>00</v>
      </c>
      <c r="S883" t="str">
        <f>MID('paste from garc here'!$C$2,1+(('table for research'!$B883-456)*36+HEX2DEC('table for research'!S$1))*2,2)</f>
        <v>01</v>
      </c>
      <c r="T883" t="str">
        <f>MID('paste from garc here'!$C$2,1+(('table for research'!$B883-456)*36+HEX2DEC('table for research'!T$1))*2,2)</f>
        <v>01</v>
      </c>
      <c r="U883" t="str">
        <f>MID('paste from garc here'!$C$2,1+(('table for research'!$B883-456)*36+HEX2DEC('table for research'!U$1))*2,2)</f>
        <v>72</v>
      </c>
      <c r="V883" t="str">
        <f>MID('paste from garc here'!$C$2,1+(('table for research'!$B883-456)*36+HEX2DEC('table for research'!V$1))*2,2)</f>
        <v>00</v>
      </c>
      <c r="W883" t="str">
        <f>MID('paste from garc here'!$C$2,1+(('table for research'!$B883-456)*36+HEX2DEC('table for research'!W$1))*2,2)</f>
        <v>00</v>
      </c>
      <c r="X883" t="str">
        <f>MID('paste from garc here'!$C$2,1+(('table for research'!$B883-456)*36+HEX2DEC('table for research'!X$1))*2,2)</f>
        <v>00</v>
      </c>
      <c r="Y883" t="str">
        <f>MID('paste from garc here'!$C$2,1+(('table for research'!$B883-456)*36+HEX2DEC('table for research'!Y$1))*2,2)</f>
        <v>00</v>
      </c>
      <c r="Z883" t="str">
        <f>MID('paste from garc here'!$C$2,1+(('table for research'!$B883-456)*36+HEX2DEC('table for research'!Z$1))*2,2)</f>
        <v>00</v>
      </c>
      <c r="AA883" t="str">
        <f>MID('paste from garc here'!$C$2,1+(('table for research'!$B883-456)*36+HEX2DEC('table for research'!AA$1))*2,2)</f>
        <v>00</v>
      </c>
      <c r="AB883" t="str">
        <f>MID('paste from garc here'!$C$2,1+(('table for research'!$B883-456)*36+HEX2DEC('table for research'!AB$1))*2,2)</f>
        <v>00</v>
      </c>
      <c r="AC883" t="str">
        <f>MID('paste from garc here'!$C$2,1+(('table for research'!$B883-456)*36+HEX2DEC('table for research'!AC$1))*2,2)</f>
        <v>00</v>
      </c>
      <c r="AD883" t="str">
        <f>MID('paste from garc here'!$C$2,1+(('table for research'!$B883-456)*36+HEX2DEC('table for research'!AD$1))*2,2)</f>
        <v>00</v>
      </c>
      <c r="AE883" t="str">
        <f>MID('paste from garc here'!$C$2,1+(('table for research'!$B883-456)*36+HEX2DEC('table for research'!AE$1))*2,2)</f>
        <v>00</v>
      </c>
      <c r="AF883" t="str">
        <f>MID('paste from garc here'!$C$2,1+(('table for research'!$B883-456)*36+HEX2DEC('table for research'!AF$1))*2,2)</f>
        <v>00</v>
      </c>
      <c r="AG883" t="str">
        <f>MID('paste from garc here'!$C$2,1+(('table for research'!$B883-456)*36+HEX2DEC('table for research'!AG$1))*2,2)</f>
        <v>00</v>
      </c>
      <c r="AH883" t="str">
        <f>MID('paste from garc here'!$C$2,1+(('table for research'!$B883-456)*36+HEX2DEC('table for research'!AH$1))*2,2)</f>
        <v>00</v>
      </c>
      <c r="AI883" t="str">
        <f>MID('paste from garc here'!$C$2,1+(('table for research'!$B883-456)*36+HEX2DEC('table for research'!AI$1))*2,2)</f>
        <v>00</v>
      </c>
      <c r="AJ883" t="str">
        <f>MID('paste from garc here'!$C$2,1+(('table for research'!$B883-456)*36+HEX2DEC('table for research'!AJ$1))*2,2)</f>
        <v>00</v>
      </c>
      <c r="AK883" t="str">
        <f>MID('paste from garc here'!$C$2,1+(('table for research'!$B883-456)*36+HEX2DEC('table for research'!AK$1))*2,2)</f>
        <v>00</v>
      </c>
      <c r="AL883" t="str">
        <f>MID('paste from garc here'!$C$2,1+(('table for research'!$B883-456)*36+HEX2DEC('table for research'!AL$1))*2,2)</f>
        <v>00</v>
      </c>
      <c r="AM883" t="str">
        <f>MID('paste from garc here'!$C$2,1+(('table for research'!$B883-456)*36+HEX2DEC('table for research'!AM$1))*2,2)</f>
        <v>00</v>
      </c>
      <c r="AN883" t="str">
        <f>MID('paste from garc here'!$C$2,1+(('table for research'!$B883-456)*36+HEX2DEC('table for research'!AN$1))*2,2)</f>
        <v>00</v>
      </c>
      <c r="AO883" t="str">
        <f>MID('paste from garc here'!$C$2,1+(('table for research'!$B883-456)*36+HEX2DEC('table for research'!AO$1))*2,2)</f>
        <v>00</v>
      </c>
    </row>
    <row r="884" spans="1:41" x14ac:dyDescent="0.4">
      <c r="A884" t="s">
        <v>851</v>
      </c>
      <c r="B884">
        <f>B883+1</f>
        <v>882</v>
      </c>
      <c r="C884" t="str">
        <f>MID('paste from garc here'!$C$2,1+(('table for research'!$B884-456)*36+HEX2DEC('table for research'!C$1))*2,2)</f>
        <v>50</v>
      </c>
      <c r="D884" t="str">
        <f>MID('paste from garc here'!$C$2,1+(('table for research'!$B884-456)*36+HEX2DEC('table for research'!D$1))*2,2)</f>
        <v>00</v>
      </c>
      <c r="E884" t="str">
        <f>MID('paste from garc here'!$C$2,1+(('table for research'!$B884-456)*36+HEX2DEC('table for research'!E$1))*2,2)</f>
        <v>BB</v>
      </c>
      <c r="F884" t="str">
        <f>MID('paste from garc here'!$C$2,1+(('table for research'!$B884-456)*36+HEX2DEC('table for research'!F$1))*2,2)</f>
        <v>00</v>
      </c>
      <c r="G884" t="str">
        <f>MID('paste from garc here'!$C$2,1+(('table for research'!$B884-456)*36+HEX2DEC('table for research'!G$1))*2,2)</f>
        <v>00</v>
      </c>
      <c r="H884" t="str">
        <f>MID('paste from garc here'!$C$2,1+(('table for research'!$B884-456)*36+HEX2DEC('table for research'!H$1))*2,2)</f>
        <v>00</v>
      </c>
      <c r="I884" t="str">
        <f>MID('paste from garc here'!$C$2,1+(('table for research'!$B884-456)*36+HEX2DEC('table for research'!I$1))*2,2)</f>
        <v>0A</v>
      </c>
      <c r="J884" t="str">
        <f>MID('paste from garc here'!$C$2,1+(('table for research'!$B884-456)*36+HEX2DEC('table for research'!J$1))*2,2)</f>
        <v>00</v>
      </c>
      <c r="K884" t="str">
        <f>DEC2HEX(_xlfn.BITAND(HEX2DEC(MID('paste from garc here'!$C$1,1+(('table for research'!$B884-1)*36+HEX2DEC(8))*2,2)),31),2)</f>
        <v>00</v>
      </c>
      <c r="L884" t="str">
        <f>DEC2HEX(_xlfn.BITAND(HEX2DEC(MID('paste from garc here'!$C$1,1+(('table for research'!$B884-1)*36+HEX2DEC(8))*2,2)),32),2)</f>
        <v>00</v>
      </c>
      <c r="M884" t="str">
        <f>DEC2HEX(_xlfn.BITAND(HEX2DEC(MID('paste from garc here'!$C$1,1+(('table for research'!$B884-1)*36+HEX2DEC(8))*2,2)),64),2)</f>
        <v>00</v>
      </c>
      <c r="N884" t="str">
        <f>DEC2HEX(_xlfn.BITRSHIFT(_xlfn.BITAND(HEX2DEC(MID('paste from garc here'!$C$1,1+(('table for research'!$B884-1)*36+HEX2DEC(9))*2,2)&amp;MID('paste from garc here'!$C$1,1+(('table for research'!$B884-1)*36+HEX2DEC(8))*2,2)),1920),7),2)</f>
        <v>00</v>
      </c>
      <c r="O884" t="str">
        <f>DEC2HEX(_xlfn.BITRSHIFT(HEX2DEC(MID('paste from garc here'!$C$1,1+(('table for research'!$B884-1)*36+HEX2DEC(9))*2,2)&amp;MID('paste from garc here'!$C$1,1+(('table for research'!$B884-1)*36+HEX2DEC(8))*2,2)),11),2)</f>
        <v>00</v>
      </c>
      <c r="P884" t="str">
        <f>MID('paste from garc here'!$C$2,1+(('table for research'!$B884-456)*36+HEX2DEC('table for research'!P$1))*2,2)</f>
        <v>00</v>
      </c>
      <c r="Q884" t="str">
        <f>MID('paste from garc here'!$C$2,1+(('table for research'!$B884-456)*36+HEX2DEC('table for research'!Q$1))*2,2)</f>
        <v>00</v>
      </c>
      <c r="R884" t="str">
        <f>MID('paste from garc here'!$C$2,1+(('table for research'!$B884-456)*36+HEX2DEC('table for research'!R$1))*2,2)</f>
        <v>00</v>
      </c>
      <c r="S884" t="str">
        <f>MID('paste from garc here'!$C$2,1+(('table for research'!$B884-456)*36+HEX2DEC('table for research'!S$1))*2,2)</f>
        <v>01</v>
      </c>
      <c r="T884" t="str">
        <f>MID('paste from garc here'!$C$2,1+(('table for research'!$B884-456)*36+HEX2DEC('table for research'!T$1))*2,2)</f>
        <v>01</v>
      </c>
      <c r="U884" t="str">
        <f>MID('paste from garc here'!$C$2,1+(('table for research'!$B884-456)*36+HEX2DEC('table for research'!U$1))*2,2)</f>
        <v>73</v>
      </c>
      <c r="V884" t="str">
        <f>MID('paste from garc here'!$C$2,1+(('table for research'!$B884-456)*36+HEX2DEC('table for research'!V$1))*2,2)</f>
        <v>00</v>
      </c>
      <c r="W884" t="str">
        <f>MID('paste from garc here'!$C$2,1+(('table for research'!$B884-456)*36+HEX2DEC('table for research'!W$1))*2,2)</f>
        <v>00</v>
      </c>
      <c r="X884" t="str">
        <f>MID('paste from garc here'!$C$2,1+(('table for research'!$B884-456)*36+HEX2DEC('table for research'!X$1))*2,2)</f>
        <v>00</v>
      </c>
      <c r="Y884" t="str">
        <f>MID('paste from garc here'!$C$2,1+(('table for research'!$B884-456)*36+HEX2DEC('table for research'!Y$1))*2,2)</f>
        <v>00</v>
      </c>
      <c r="Z884" t="str">
        <f>MID('paste from garc here'!$C$2,1+(('table for research'!$B884-456)*36+HEX2DEC('table for research'!Z$1))*2,2)</f>
        <v>00</v>
      </c>
      <c r="AA884" t="str">
        <f>MID('paste from garc here'!$C$2,1+(('table for research'!$B884-456)*36+HEX2DEC('table for research'!AA$1))*2,2)</f>
        <v>00</v>
      </c>
      <c r="AB884" t="str">
        <f>MID('paste from garc here'!$C$2,1+(('table for research'!$B884-456)*36+HEX2DEC('table for research'!AB$1))*2,2)</f>
        <v>00</v>
      </c>
      <c r="AC884" t="str">
        <f>MID('paste from garc here'!$C$2,1+(('table for research'!$B884-456)*36+HEX2DEC('table for research'!AC$1))*2,2)</f>
        <v>00</v>
      </c>
      <c r="AD884" t="str">
        <f>MID('paste from garc here'!$C$2,1+(('table for research'!$B884-456)*36+HEX2DEC('table for research'!AD$1))*2,2)</f>
        <v>00</v>
      </c>
      <c r="AE884" t="str">
        <f>MID('paste from garc here'!$C$2,1+(('table for research'!$B884-456)*36+HEX2DEC('table for research'!AE$1))*2,2)</f>
        <v>00</v>
      </c>
      <c r="AF884" t="str">
        <f>MID('paste from garc here'!$C$2,1+(('table for research'!$B884-456)*36+HEX2DEC('table for research'!AF$1))*2,2)</f>
        <v>00</v>
      </c>
      <c r="AG884" t="str">
        <f>MID('paste from garc here'!$C$2,1+(('table for research'!$B884-456)*36+HEX2DEC('table for research'!AG$1))*2,2)</f>
        <v>00</v>
      </c>
      <c r="AH884" t="str">
        <f>MID('paste from garc here'!$C$2,1+(('table for research'!$B884-456)*36+HEX2DEC('table for research'!AH$1))*2,2)</f>
        <v>00</v>
      </c>
      <c r="AI884" t="str">
        <f>MID('paste from garc here'!$C$2,1+(('table for research'!$B884-456)*36+HEX2DEC('table for research'!AI$1))*2,2)</f>
        <v>00</v>
      </c>
      <c r="AJ884" t="str">
        <f>MID('paste from garc here'!$C$2,1+(('table for research'!$B884-456)*36+HEX2DEC('table for research'!AJ$1))*2,2)</f>
        <v>00</v>
      </c>
      <c r="AK884" t="str">
        <f>MID('paste from garc here'!$C$2,1+(('table for research'!$B884-456)*36+HEX2DEC('table for research'!AK$1))*2,2)</f>
        <v>00</v>
      </c>
      <c r="AL884" t="str">
        <f>MID('paste from garc here'!$C$2,1+(('table for research'!$B884-456)*36+HEX2DEC('table for research'!AL$1))*2,2)</f>
        <v>00</v>
      </c>
      <c r="AM884" t="str">
        <f>MID('paste from garc here'!$C$2,1+(('table for research'!$B884-456)*36+HEX2DEC('table for research'!AM$1))*2,2)</f>
        <v>00</v>
      </c>
      <c r="AN884" t="str">
        <f>MID('paste from garc here'!$C$2,1+(('table for research'!$B884-456)*36+HEX2DEC('table for research'!AN$1))*2,2)</f>
        <v>00</v>
      </c>
      <c r="AO884" t="str">
        <f>MID('paste from garc here'!$C$2,1+(('table for research'!$B884-456)*36+HEX2DEC('table for research'!AO$1))*2,2)</f>
        <v>00</v>
      </c>
    </row>
    <row r="885" spans="1:41" x14ac:dyDescent="0.4">
      <c r="A885" t="s">
        <v>852</v>
      </c>
      <c r="B885">
        <f>B884+1</f>
        <v>883</v>
      </c>
      <c r="C885" t="str">
        <f>MID('paste from garc here'!$C$2,1+(('table for research'!$B885-456)*36+HEX2DEC('table for research'!C$1))*2,2)</f>
        <v>50</v>
      </c>
      <c r="D885" t="str">
        <f>MID('paste from garc here'!$C$2,1+(('table for research'!$B885-456)*36+HEX2DEC('table for research'!D$1))*2,2)</f>
        <v>00</v>
      </c>
      <c r="E885" t="str">
        <f>MID('paste from garc here'!$C$2,1+(('table for research'!$B885-456)*36+HEX2DEC('table for research'!E$1))*2,2)</f>
        <v>BC</v>
      </c>
      <c r="F885" t="str">
        <f>MID('paste from garc here'!$C$2,1+(('table for research'!$B885-456)*36+HEX2DEC('table for research'!F$1))*2,2)</f>
        <v>00</v>
      </c>
      <c r="G885" t="str">
        <f>MID('paste from garc here'!$C$2,1+(('table for research'!$B885-456)*36+HEX2DEC('table for research'!G$1))*2,2)</f>
        <v>00</v>
      </c>
      <c r="H885" t="str">
        <f>MID('paste from garc here'!$C$2,1+(('table for research'!$B885-456)*36+HEX2DEC('table for research'!H$1))*2,2)</f>
        <v>00</v>
      </c>
      <c r="I885" t="str">
        <f>MID('paste from garc here'!$C$2,1+(('table for research'!$B885-456)*36+HEX2DEC('table for research'!I$1))*2,2)</f>
        <v>0A</v>
      </c>
      <c r="J885" t="str">
        <f>MID('paste from garc here'!$C$2,1+(('table for research'!$B885-456)*36+HEX2DEC('table for research'!J$1))*2,2)</f>
        <v>00</v>
      </c>
      <c r="K885" t="str">
        <f>DEC2HEX(_xlfn.BITAND(HEX2DEC(MID('paste from garc here'!$C$1,1+(('table for research'!$B885-1)*36+HEX2DEC(8))*2,2)),31),2)</f>
        <v>00</v>
      </c>
      <c r="L885" t="str">
        <f>DEC2HEX(_xlfn.BITAND(HEX2DEC(MID('paste from garc here'!$C$1,1+(('table for research'!$B885-1)*36+HEX2DEC(8))*2,2)),32),2)</f>
        <v>00</v>
      </c>
      <c r="M885" t="str">
        <f>DEC2HEX(_xlfn.BITAND(HEX2DEC(MID('paste from garc here'!$C$1,1+(('table for research'!$B885-1)*36+HEX2DEC(8))*2,2)),64),2)</f>
        <v>00</v>
      </c>
      <c r="N885" t="str">
        <f>DEC2HEX(_xlfn.BITRSHIFT(_xlfn.BITAND(HEX2DEC(MID('paste from garc here'!$C$1,1+(('table for research'!$B885-1)*36+HEX2DEC(9))*2,2)&amp;MID('paste from garc here'!$C$1,1+(('table for research'!$B885-1)*36+HEX2DEC(8))*2,2)),1920),7),2)</f>
        <v>00</v>
      </c>
      <c r="O885" t="str">
        <f>DEC2HEX(_xlfn.BITRSHIFT(HEX2DEC(MID('paste from garc here'!$C$1,1+(('table for research'!$B885-1)*36+HEX2DEC(9))*2,2)&amp;MID('paste from garc here'!$C$1,1+(('table for research'!$B885-1)*36+HEX2DEC(8))*2,2)),11),2)</f>
        <v>00</v>
      </c>
      <c r="P885" t="str">
        <f>MID('paste from garc here'!$C$2,1+(('table for research'!$B885-456)*36+HEX2DEC('table for research'!P$1))*2,2)</f>
        <v>00</v>
      </c>
      <c r="Q885" t="str">
        <f>MID('paste from garc here'!$C$2,1+(('table for research'!$B885-456)*36+HEX2DEC('table for research'!Q$1))*2,2)</f>
        <v>00</v>
      </c>
      <c r="R885" t="str">
        <f>MID('paste from garc here'!$C$2,1+(('table for research'!$B885-456)*36+HEX2DEC('table for research'!R$1))*2,2)</f>
        <v>00</v>
      </c>
      <c r="S885" t="str">
        <f>MID('paste from garc here'!$C$2,1+(('table for research'!$B885-456)*36+HEX2DEC('table for research'!S$1))*2,2)</f>
        <v>01</v>
      </c>
      <c r="T885" t="str">
        <f>MID('paste from garc here'!$C$2,1+(('table for research'!$B885-456)*36+HEX2DEC('table for research'!T$1))*2,2)</f>
        <v>01</v>
      </c>
      <c r="U885" t="str">
        <f>MID('paste from garc here'!$C$2,1+(('table for research'!$B885-456)*36+HEX2DEC('table for research'!U$1))*2,2)</f>
        <v>74</v>
      </c>
      <c r="V885" t="str">
        <f>MID('paste from garc here'!$C$2,1+(('table for research'!$B885-456)*36+HEX2DEC('table for research'!V$1))*2,2)</f>
        <v>00</v>
      </c>
      <c r="W885" t="str">
        <f>MID('paste from garc here'!$C$2,1+(('table for research'!$B885-456)*36+HEX2DEC('table for research'!W$1))*2,2)</f>
        <v>00</v>
      </c>
      <c r="X885" t="str">
        <f>MID('paste from garc here'!$C$2,1+(('table for research'!$B885-456)*36+HEX2DEC('table for research'!X$1))*2,2)</f>
        <v>00</v>
      </c>
      <c r="Y885" t="str">
        <f>MID('paste from garc here'!$C$2,1+(('table for research'!$B885-456)*36+HEX2DEC('table for research'!Y$1))*2,2)</f>
        <v>00</v>
      </c>
      <c r="Z885" t="str">
        <f>MID('paste from garc here'!$C$2,1+(('table for research'!$B885-456)*36+HEX2DEC('table for research'!Z$1))*2,2)</f>
        <v>00</v>
      </c>
      <c r="AA885" t="str">
        <f>MID('paste from garc here'!$C$2,1+(('table for research'!$B885-456)*36+HEX2DEC('table for research'!AA$1))*2,2)</f>
        <v>00</v>
      </c>
      <c r="AB885" t="str">
        <f>MID('paste from garc here'!$C$2,1+(('table for research'!$B885-456)*36+HEX2DEC('table for research'!AB$1))*2,2)</f>
        <v>00</v>
      </c>
      <c r="AC885" t="str">
        <f>MID('paste from garc here'!$C$2,1+(('table for research'!$B885-456)*36+HEX2DEC('table for research'!AC$1))*2,2)</f>
        <v>00</v>
      </c>
      <c r="AD885" t="str">
        <f>MID('paste from garc here'!$C$2,1+(('table for research'!$B885-456)*36+HEX2DEC('table for research'!AD$1))*2,2)</f>
        <v>00</v>
      </c>
      <c r="AE885" t="str">
        <f>MID('paste from garc here'!$C$2,1+(('table for research'!$B885-456)*36+HEX2DEC('table for research'!AE$1))*2,2)</f>
        <v>00</v>
      </c>
      <c r="AF885" t="str">
        <f>MID('paste from garc here'!$C$2,1+(('table for research'!$B885-456)*36+HEX2DEC('table for research'!AF$1))*2,2)</f>
        <v>00</v>
      </c>
      <c r="AG885" t="str">
        <f>MID('paste from garc here'!$C$2,1+(('table for research'!$B885-456)*36+HEX2DEC('table for research'!AG$1))*2,2)</f>
        <v>00</v>
      </c>
      <c r="AH885" t="str">
        <f>MID('paste from garc here'!$C$2,1+(('table for research'!$B885-456)*36+HEX2DEC('table for research'!AH$1))*2,2)</f>
        <v>00</v>
      </c>
      <c r="AI885" t="str">
        <f>MID('paste from garc here'!$C$2,1+(('table for research'!$B885-456)*36+HEX2DEC('table for research'!AI$1))*2,2)</f>
        <v>00</v>
      </c>
      <c r="AJ885" t="str">
        <f>MID('paste from garc here'!$C$2,1+(('table for research'!$B885-456)*36+HEX2DEC('table for research'!AJ$1))*2,2)</f>
        <v>00</v>
      </c>
      <c r="AK885" t="str">
        <f>MID('paste from garc here'!$C$2,1+(('table for research'!$B885-456)*36+HEX2DEC('table for research'!AK$1))*2,2)</f>
        <v>00</v>
      </c>
      <c r="AL885" t="str">
        <f>MID('paste from garc here'!$C$2,1+(('table for research'!$B885-456)*36+HEX2DEC('table for research'!AL$1))*2,2)</f>
        <v>00</v>
      </c>
      <c r="AM885" t="str">
        <f>MID('paste from garc here'!$C$2,1+(('table for research'!$B885-456)*36+HEX2DEC('table for research'!AM$1))*2,2)</f>
        <v>00</v>
      </c>
      <c r="AN885" t="str">
        <f>MID('paste from garc here'!$C$2,1+(('table for research'!$B885-456)*36+HEX2DEC('table for research'!AN$1))*2,2)</f>
        <v>00</v>
      </c>
      <c r="AO885" t="str">
        <f>MID('paste from garc here'!$C$2,1+(('table for research'!$B885-456)*36+HEX2DEC('table for research'!AO$1))*2,2)</f>
        <v>00</v>
      </c>
    </row>
    <row r="886" spans="1:41" x14ac:dyDescent="0.4">
      <c r="A886" t="s">
        <v>853</v>
      </c>
      <c r="B886">
        <f>B885+1</f>
        <v>884</v>
      </c>
      <c r="C886" t="str">
        <f>MID('paste from garc here'!$C$2,1+(('table for research'!$B886-456)*36+HEX2DEC('table for research'!C$1))*2,2)</f>
        <v>50</v>
      </c>
      <c r="D886" t="str">
        <f>MID('paste from garc here'!$C$2,1+(('table for research'!$B886-456)*36+HEX2DEC('table for research'!D$1))*2,2)</f>
        <v>00</v>
      </c>
      <c r="E886" t="str">
        <f>MID('paste from garc here'!$C$2,1+(('table for research'!$B886-456)*36+HEX2DEC('table for research'!E$1))*2,2)</f>
        <v>BD</v>
      </c>
      <c r="F886" t="str">
        <f>MID('paste from garc here'!$C$2,1+(('table for research'!$B886-456)*36+HEX2DEC('table for research'!F$1))*2,2)</f>
        <v>00</v>
      </c>
      <c r="G886" t="str">
        <f>MID('paste from garc here'!$C$2,1+(('table for research'!$B886-456)*36+HEX2DEC('table for research'!G$1))*2,2)</f>
        <v>00</v>
      </c>
      <c r="H886" t="str">
        <f>MID('paste from garc here'!$C$2,1+(('table for research'!$B886-456)*36+HEX2DEC('table for research'!H$1))*2,2)</f>
        <v>00</v>
      </c>
      <c r="I886" t="str">
        <f>MID('paste from garc here'!$C$2,1+(('table for research'!$B886-456)*36+HEX2DEC('table for research'!I$1))*2,2)</f>
        <v>0A</v>
      </c>
      <c r="J886" t="str">
        <f>MID('paste from garc here'!$C$2,1+(('table for research'!$B886-456)*36+HEX2DEC('table for research'!J$1))*2,2)</f>
        <v>00</v>
      </c>
      <c r="K886" t="str">
        <f>DEC2HEX(_xlfn.BITAND(HEX2DEC(MID('paste from garc here'!$C$1,1+(('table for research'!$B886-1)*36+HEX2DEC(8))*2,2)),31),2)</f>
        <v>00</v>
      </c>
      <c r="L886" t="str">
        <f>DEC2HEX(_xlfn.BITAND(HEX2DEC(MID('paste from garc here'!$C$1,1+(('table for research'!$B886-1)*36+HEX2DEC(8))*2,2)),32),2)</f>
        <v>00</v>
      </c>
      <c r="M886" t="str">
        <f>DEC2HEX(_xlfn.BITAND(HEX2DEC(MID('paste from garc here'!$C$1,1+(('table for research'!$B886-1)*36+HEX2DEC(8))*2,2)),64),2)</f>
        <v>00</v>
      </c>
      <c r="N886" t="str">
        <f>DEC2HEX(_xlfn.BITRSHIFT(_xlfn.BITAND(HEX2DEC(MID('paste from garc here'!$C$1,1+(('table for research'!$B886-1)*36+HEX2DEC(9))*2,2)&amp;MID('paste from garc here'!$C$1,1+(('table for research'!$B886-1)*36+HEX2DEC(8))*2,2)),1920),7),2)</f>
        <v>00</v>
      </c>
      <c r="O886" t="str">
        <f>DEC2HEX(_xlfn.BITRSHIFT(HEX2DEC(MID('paste from garc here'!$C$1,1+(('table for research'!$B886-1)*36+HEX2DEC(9))*2,2)&amp;MID('paste from garc here'!$C$1,1+(('table for research'!$B886-1)*36+HEX2DEC(8))*2,2)),11),2)</f>
        <v>00</v>
      </c>
      <c r="P886" t="str">
        <f>MID('paste from garc here'!$C$2,1+(('table for research'!$B886-456)*36+HEX2DEC('table for research'!P$1))*2,2)</f>
        <v>00</v>
      </c>
      <c r="Q886" t="str">
        <f>MID('paste from garc here'!$C$2,1+(('table for research'!$B886-456)*36+HEX2DEC('table for research'!Q$1))*2,2)</f>
        <v>00</v>
      </c>
      <c r="R886" t="str">
        <f>MID('paste from garc here'!$C$2,1+(('table for research'!$B886-456)*36+HEX2DEC('table for research'!R$1))*2,2)</f>
        <v>00</v>
      </c>
      <c r="S886" t="str">
        <f>MID('paste from garc here'!$C$2,1+(('table for research'!$B886-456)*36+HEX2DEC('table for research'!S$1))*2,2)</f>
        <v>01</v>
      </c>
      <c r="T886" t="str">
        <f>MID('paste from garc here'!$C$2,1+(('table for research'!$B886-456)*36+HEX2DEC('table for research'!T$1))*2,2)</f>
        <v>01</v>
      </c>
      <c r="U886" t="str">
        <f>MID('paste from garc here'!$C$2,1+(('table for research'!$B886-456)*36+HEX2DEC('table for research'!U$1))*2,2)</f>
        <v>75</v>
      </c>
      <c r="V886" t="str">
        <f>MID('paste from garc here'!$C$2,1+(('table for research'!$B886-456)*36+HEX2DEC('table for research'!V$1))*2,2)</f>
        <v>00</v>
      </c>
      <c r="W886" t="str">
        <f>MID('paste from garc here'!$C$2,1+(('table for research'!$B886-456)*36+HEX2DEC('table for research'!W$1))*2,2)</f>
        <v>00</v>
      </c>
      <c r="X886" t="str">
        <f>MID('paste from garc here'!$C$2,1+(('table for research'!$B886-456)*36+HEX2DEC('table for research'!X$1))*2,2)</f>
        <v>00</v>
      </c>
      <c r="Y886" t="str">
        <f>MID('paste from garc here'!$C$2,1+(('table for research'!$B886-456)*36+HEX2DEC('table for research'!Y$1))*2,2)</f>
        <v>00</v>
      </c>
      <c r="Z886" t="str">
        <f>MID('paste from garc here'!$C$2,1+(('table for research'!$B886-456)*36+HEX2DEC('table for research'!Z$1))*2,2)</f>
        <v>00</v>
      </c>
      <c r="AA886" t="str">
        <f>MID('paste from garc here'!$C$2,1+(('table for research'!$B886-456)*36+HEX2DEC('table for research'!AA$1))*2,2)</f>
        <v>00</v>
      </c>
      <c r="AB886" t="str">
        <f>MID('paste from garc here'!$C$2,1+(('table for research'!$B886-456)*36+HEX2DEC('table for research'!AB$1))*2,2)</f>
        <v>00</v>
      </c>
      <c r="AC886" t="str">
        <f>MID('paste from garc here'!$C$2,1+(('table for research'!$B886-456)*36+HEX2DEC('table for research'!AC$1))*2,2)</f>
        <v>00</v>
      </c>
      <c r="AD886" t="str">
        <f>MID('paste from garc here'!$C$2,1+(('table for research'!$B886-456)*36+HEX2DEC('table for research'!AD$1))*2,2)</f>
        <v>00</v>
      </c>
      <c r="AE886" t="str">
        <f>MID('paste from garc here'!$C$2,1+(('table for research'!$B886-456)*36+HEX2DEC('table for research'!AE$1))*2,2)</f>
        <v>00</v>
      </c>
      <c r="AF886" t="str">
        <f>MID('paste from garc here'!$C$2,1+(('table for research'!$B886-456)*36+HEX2DEC('table for research'!AF$1))*2,2)</f>
        <v>00</v>
      </c>
      <c r="AG886" t="str">
        <f>MID('paste from garc here'!$C$2,1+(('table for research'!$B886-456)*36+HEX2DEC('table for research'!AG$1))*2,2)</f>
        <v>00</v>
      </c>
      <c r="AH886" t="str">
        <f>MID('paste from garc here'!$C$2,1+(('table for research'!$B886-456)*36+HEX2DEC('table for research'!AH$1))*2,2)</f>
        <v>00</v>
      </c>
      <c r="AI886" t="str">
        <f>MID('paste from garc here'!$C$2,1+(('table for research'!$B886-456)*36+HEX2DEC('table for research'!AI$1))*2,2)</f>
        <v>00</v>
      </c>
      <c r="AJ886" t="str">
        <f>MID('paste from garc here'!$C$2,1+(('table for research'!$B886-456)*36+HEX2DEC('table for research'!AJ$1))*2,2)</f>
        <v>00</v>
      </c>
      <c r="AK886" t="str">
        <f>MID('paste from garc here'!$C$2,1+(('table for research'!$B886-456)*36+HEX2DEC('table for research'!AK$1))*2,2)</f>
        <v>00</v>
      </c>
      <c r="AL886" t="str">
        <f>MID('paste from garc here'!$C$2,1+(('table for research'!$B886-456)*36+HEX2DEC('table for research'!AL$1))*2,2)</f>
        <v>00</v>
      </c>
      <c r="AM886" t="str">
        <f>MID('paste from garc here'!$C$2,1+(('table for research'!$B886-456)*36+HEX2DEC('table for research'!AM$1))*2,2)</f>
        <v>00</v>
      </c>
      <c r="AN886" t="str">
        <f>MID('paste from garc here'!$C$2,1+(('table for research'!$B886-456)*36+HEX2DEC('table for research'!AN$1))*2,2)</f>
        <v>00</v>
      </c>
      <c r="AO886" t="str">
        <f>MID('paste from garc here'!$C$2,1+(('table for research'!$B886-456)*36+HEX2DEC('table for research'!AO$1))*2,2)</f>
        <v>00</v>
      </c>
    </row>
    <row r="887" spans="1:41" x14ac:dyDescent="0.4">
      <c r="A887" t="s">
        <v>138</v>
      </c>
      <c r="B887">
        <f>B886+1</f>
        <v>885</v>
      </c>
      <c r="C887" t="str">
        <f>MID('paste from garc here'!$C$2,1+(('table for research'!$B887-456)*36+HEX2DEC('table for research'!C$1))*2,2)</f>
        <v>00</v>
      </c>
      <c r="D887" t="str">
        <f>MID('paste from garc here'!$C$2,1+(('table for research'!$B887-456)*36+HEX2DEC('table for research'!D$1))*2,2)</f>
        <v>00</v>
      </c>
      <c r="E887" t="str">
        <f>MID('paste from garc here'!$C$2,1+(('table for research'!$B887-456)*36+HEX2DEC('table for research'!E$1))*2,2)</f>
        <v>00</v>
      </c>
      <c r="F887" t="str">
        <f>MID('paste from garc here'!$C$2,1+(('table for research'!$B887-456)*36+HEX2DEC('table for research'!F$1))*2,2)</f>
        <v>00</v>
      </c>
      <c r="G887" t="str">
        <f>MID('paste from garc here'!$C$2,1+(('table for research'!$B887-456)*36+HEX2DEC('table for research'!G$1))*2,2)</f>
        <v>00</v>
      </c>
      <c r="H887" t="str">
        <f>MID('paste from garc here'!$C$2,1+(('table for research'!$B887-456)*36+HEX2DEC('table for research'!H$1))*2,2)</f>
        <v>00</v>
      </c>
      <c r="I887" t="str">
        <f>MID('paste from garc here'!$C$2,1+(('table for research'!$B887-456)*36+HEX2DEC('table for research'!I$1))*2,2)</f>
        <v>00</v>
      </c>
      <c r="J887" t="str">
        <f>MID('paste from garc here'!$C$2,1+(('table for research'!$B887-456)*36+HEX2DEC('table for research'!J$1))*2,2)</f>
        <v>00</v>
      </c>
      <c r="K887" t="str">
        <f>DEC2HEX(_xlfn.BITAND(HEX2DEC(MID('paste from garc here'!$C$1,1+(('table for research'!$B887-1)*36+HEX2DEC(8))*2,2)),31),2)</f>
        <v>00</v>
      </c>
      <c r="L887" t="str">
        <f>DEC2HEX(_xlfn.BITAND(HEX2DEC(MID('paste from garc here'!$C$1,1+(('table for research'!$B887-1)*36+HEX2DEC(8))*2,2)),32),2)</f>
        <v>00</v>
      </c>
      <c r="M887" t="str">
        <f>DEC2HEX(_xlfn.BITAND(HEX2DEC(MID('paste from garc here'!$C$1,1+(('table for research'!$B887-1)*36+HEX2DEC(8))*2,2)),64),2)</f>
        <v>00</v>
      </c>
      <c r="N887" t="str">
        <f>DEC2HEX(_xlfn.BITRSHIFT(_xlfn.BITAND(HEX2DEC(MID('paste from garc here'!$C$1,1+(('table for research'!$B887-1)*36+HEX2DEC(9))*2,2)&amp;MID('paste from garc here'!$C$1,1+(('table for research'!$B887-1)*36+HEX2DEC(8))*2,2)),1920),7),2)</f>
        <v>00</v>
      </c>
      <c r="O887" t="str">
        <f>DEC2HEX(_xlfn.BITRSHIFT(HEX2DEC(MID('paste from garc here'!$C$1,1+(('table for research'!$B887-1)*36+HEX2DEC(9))*2,2)&amp;MID('paste from garc here'!$C$1,1+(('table for research'!$B887-1)*36+HEX2DEC(8))*2,2)),11),2)</f>
        <v>00</v>
      </c>
      <c r="P887" t="str">
        <f>MID('paste from garc here'!$C$2,1+(('table for research'!$B887-456)*36+HEX2DEC('table for research'!P$1))*2,2)</f>
        <v>00</v>
      </c>
      <c r="Q887" t="str">
        <f>MID('paste from garc here'!$C$2,1+(('table for research'!$B887-456)*36+HEX2DEC('table for research'!Q$1))*2,2)</f>
        <v>00</v>
      </c>
      <c r="R887" t="str">
        <f>MID('paste from garc here'!$C$2,1+(('table for research'!$B887-456)*36+HEX2DEC('table for research'!R$1))*2,2)</f>
        <v>00</v>
      </c>
      <c r="S887" t="str">
        <f>MID('paste from garc here'!$C$2,1+(('table for research'!$B887-456)*36+HEX2DEC('table for research'!S$1))*2,2)</f>
        <v>02</v>
      </c>
      <c r="T887" t="str">
        <f>MID('paste from garc here'!$C$2,1+(('table for research'!$B887-456)*36+HEX2DEC('table for research'!T$1))*2,2)</f>
        <v>00</v>
      </c>
      <c r="U887" t="str">
        <f>MID('paste from garc here'!$C$2,1+(('table for research'!$B887-456)*36+HEX2DEC('table for research'!U$1))*2,2)</f>
        <v>FF</v>
      </c>
      <c r="V887" t="str">
        <f>MID('paste from garc here'!$C$2,1+(('table for research'!$B887-456)*36+HEX2DEC('table for research'!V$1))*2,2)</f>
        <v>00</v>
      </c>
      <c r="W887" t="str">
        <f>MID('paste from garc here'!$C$2,1+(('table for research'!$B887-456)*36+HEX2DEC('table for research'!W$1))*2,2)</f>
        <v>00</v>
      </c>
      <c r="X887" t="str">
        <f>MID('paste from garc here'!$C$2,1+(('table for research'!$B887-456)*36+HEX2DEC('table for research'!X$1))*2,2)</f>
        <v>00</v>
      </c>
      <c r="Y887" t="str">
        <f>MID('paste from garc here'!$C$2,1+(('table for research'!$B887-456)*36+HEX2DEC('table for research'!Y$1))*2,2)</f>
        <v>00</v>
      </c>
      <c r="Z887" t="str">
        <f>MID('paste from garc here'!$C$2,1+(('table for research'!$B887-456)*36+HEX2DEC('table for research'!Z$1))*2,2)</f>
        <v>00</v>
      </c>
      <c r="AA887" t="str">
        <f>MID('paste from garc here'!$C$2,1+(('table for research'!$B887-456)*36+HEX2DEC('table for research'!AA$1))*2,2)</f>
        <v>00</v>
      </c>
      <c r="AB887" t="str">
        <f>MID('paste from garc here'!$C$2,1+(('table for research'!$B887-456)*36+HEX2DEC('table for research'!AB$1))*2,2)</f>
        <v>00</v>
      </c>
      <c r="AC887" t="str">
        <f>MID('paste from garc here'!$C$2,1+(('table for research'!$B887-456)*36+HEX2DEC('table for research'!AC$1))*2,2)</f>
        <v>00</v>
      </c>
      <c r="AD887" t="str">
        <f>MID('paste from garc here'!$C$2,1+(('table for research'!$B887-456)*36+HEX2DEC('table for research'!AD$1))*2,2)</f>
        <v>00</v>
      </c>
      <c r="AE887" t="str">
        <f>MID('paste from garc here'!$C$2,1+(('table for research'!$B887-456)*36+HEX2DEC('table for research'!AE$1))*2,2)</f>
        <v>00</v>
      </c>
      <c r="AF887" t="str">
        <f>MID('paste from garc here'!$C$2,1+(('table for research'!$B887-456)*36+HEX2DEC('table for research'!AF$1))*2,2)</f>
        <v>00</v>
      </c>
      <c r="AG887" t="str">
        <f>MID('paste from garc here'!$C$2,1+(('table for research'!$B887-456)*36+HEX2DEC('table for research'!AG$1))*2,2)</f>
        <v>00</v>
      </c>
      <c r="AH887" t="str">
        <f>MID('paste from garc here'!$C$2,1+(('table for research'!$B887-456)*36+HEX2DEC('table for research'!AH$1))*2,2)</f>
        <v>00</v>
      </c>
      <c r="AI887" t="str">
        <f>MID('paste from garc here'!$C$2,1+(('table for research'!$B887-456)*36+HEX2DEC('table for research'!AI$1))*2,2)</f>
        <v>00</v>
      </c>
      <c r="AJ887" t="str">
        <f>MID('paste from garc here'!$C$2,1+(('table for research'!$B887-456)*36+HEX2DEC('table for research'!AJ$1))*2,2)</f>
        <v>00</v>
      </c>
      <c r="AK887" t="str">
        <f>MID('paste from garc here'!$C$2,1+(('table for research'!$B887-456)*36+HEX2DEC('table for research'!AK$1))*2,2)</f>
        <v>00</v>
      </c>
      <c r="AL887" t="str">
        <f>MID('paste from garc here'!$C$2,1+(('table for research'!$B887-456)*36+HEX2DEC('table for research'!AL$1))*2,2)</f>
        <v>00</v>
      </c>
      <c r="AM887" t="str">
        <f>MID('paste from garc here'!$C$2,1+(('table for research'!$B887-456)*36+HEX2DEC('table for research'!AM$1))*2,2)</f>
        <v>00</v>
      </c>
      <c r="AN887" t="str">
        <f>MID('paste from garc here'!$C$2,1+(('table for research'!$B887-456)*36+HEX2DEC('table for research'!AN$1))*2,2)</f>
        <v>00</v>
      </c>
      <c r="AO887" t="str">
        <f>MID('paste from garc here'!$C$2,1+(('table for research'!$B887-456)*36+HEX2DEC('table for research'!AO$1))*2,2)</f>
        <v>00</v>
      </c>
    </row>
    <row r="888" spans="1:41" x14ac:dyDescent="0.4">
      <c r="A888" t="s">
        <v>138</v>
      </c>
      <c r="B888">
        <f>B887+1</f>
        <v>886</v>
      </c>
      <c r="C888" t="str">
        <f>MID('paste from garc here'!$C$2,1+(('table for research'!$B888-456)*36+HEX2DEC('table for research'!C$1))*2,2)</f>
        <v>00</v>
      </c>
      <c r="D888" t="str">
        <f>MID('paste from garc here'!$C$2,1+(('table for research'!$B888-456)*36+HEX2DEC('table for research'!D$1))*2,2)</f>
        <v>00</v>
      </c>
      <c r="E888" t="str">
        <f>MID('paste from garc here'!$C$2,1+(('table for research'!$B888-456)*36+HEX2DEC('table for research'!E$1))*2,2)</f>
        <v>00</v>
      </c>
      <c r="F888" t="str">
        <f>MID('paste from garc here'!$C$2,1+(('table for research'!$B888-456)*36+HEX2DEC('table for research'!F$1))*2,2)</f>
        <v>00</v>
      </c>
      <c r="G888" t="str">
        <f>MID('paste from garc here'!$C$2,1+(('table for research'!$B888-456)*36+HEX2DEC('table for research'!G$1))*2,2)</f>
        <v>00</v>
      </c>
      <c r="H888" t="str">
        <f>MID('paste from garc here'!$C$2,1+(('table for research'!$B888-456)*36+HEX2DEC('table for research'!H$1))*2,2)</f>
        <v>00</v>
      </c>
      <c r="I888" t="str">
        <f>MID('paste from garc here'!$C$2,1+(('table for research'!$B888-456)*36+HEX2DEC('table for research'!I$1))*2,2)</f>
        <v>00</v>
      </c>
      <c r="J888" t="str">
        <f>MID('paste from garc here'!$C$2,1+(('table for research'!$B888-456)*36+HEX2DEC('table for research'!J$1))*2,2)</f>
        <v>00</v>
      </c>
      <c r="K888" t="str">
        <f>DEC2HEX(_xlfn.BITAND(HEX2DEC(MID('paste from garc here'!$C$1,1+(('table for research'!$B888-1)*36+HEX2DEC(8))*2,2)),31),2)</f>
        <v>00</v>
      </c>
      <c r="L888" t="str">
        <f>DEC2HEX(_xlfn.BITAND(HEX2DEC(MID('paste from garc here'!$C$1,1+(('table for research'!$B888-1)*36+HEX2DEC(8))*2,2)),32),2)</f>
        <v>00</v>
      </c>
      <c r="M888" t="str">
        <f>DEC2HEX(_xlfn.BITAND(HEX2DEC(MID('paste from garc here'!$C$1,1+(('table for research'!$B888-1)*36+HEX2DEC(8))*2,2)),64),2)</f>
        <v>00</v>
      </c>
      <c r="N888" t="str">
        <f>DEC2HEX(_xlfn.BITRSHIFT(_xlfn.BITAND(HEX2DEC(MID('paste from garc here'!$C$1,1+(('table for research'!$B888-1)*36+HEX2DEC(9))*2,2)&amp;MID('paste from garc here'!$C$1,1+(('table for research'!$B888-1)*36+HEX2DEC(8))*2,2)),1920),7),2)</f>
        <v>00</v>
      </c>
      <c r="O888" t="str">
        <f>DEC2HEX(_xlfn.BITRSHIFT(HEX2DEC(MID('paste from garc here'!$C$1,1+(('table for research'!$B888-1)*36+HEX2DEC(9))*2,2)&amp;MID('paste from garc here'!$C$1,1+(('table for research'!$B888-1)*36+HEX2DEC(8))*2,2)),11),2)</f>
        <v>00</v>
      </c>
      <c r="P888" t="str">
        <f>MID('paste from garc here'!$C$2,1+(('table for research'!$B888-456)*36+HEX2DEC('table for research'!P$1))*2,2)</f>
        <v>00</v>
      </c>
      <c r="Q888" t="str">
        <f>MID('paste from garc here'!$C$2,1+(('table for research'!$B888-456)*36+HEX2DEC('table for research'!Q$1))*2,2)</f>
        <v>00</v>
      </c>
      <c r="R888" t="str">
        <f>MID('paste from garc here'!$C$2,1+(('table for research'!$B888-456)*36+HEX2DEC('table for research'!R$1))*2,2)</f>
        <v>00</v>
      </c>
      <c r="S888" t="str">
        <f>MID('paste from garc here'!$C$2,1+(('table for research'!$B888-456)*36+HEX2DEC('table for research'!S$1))*2,2)</f>
        <v>02</v>
      </c>
      <c r="T888" t="str">
        <f>MID('paste from garc here'!$C$2,1+(('table for research'!$B888-456)*36+HEX2DEC('table for research'!T$1))*2,2)</f>
        <v>00</v>
      </c>
      <c r="U888" t="str">
        <f>MID('paste from garc here'!$C$2,1+(('table for research'!$B888-456)*36+HEX2DEC('table for research'!U$1))*2,2)</f>
        <v>FF</v>
      </c>
      <c r="V888" t="str">
        <f>MID('paste from garc here'!$C$2,1+(('table for research'!$B888-456)*36+HEX2DEC('table for research'!V$1))*2,2)</f>
        <v>00</v>
      </c>
      <c r="W888" t="str">
        <f>MID('paste from garc here'!$C$2,1+(('table for research'!$B888-456)*36+HEX2DEC('table for research'!W$1))*2,2)</f>
        <v>00</v>
      </c>
      <c r="X888" t="str">
        <f>MID('paste from garc here'!$C$2,1+(('table for research'!$B888-456)*36+HEX2DEC('table for research'!X$1))*2,2)</f>
        <v>00</v>
      </c>
      <c r="Y888" t="str">
        <f>MID('paste from garc here'!$C$2,1+(('table for research'!$B888-456)*36+HEX2DEC('table for research'!Y$1))*2,2)</f>
        <v>00</v>
      </c>
      <c r="Z888" t="str">
        <f>MID('paste from garc here'!$C$2,1+(('table for research'!$B888-456)*36+HEX2DEC('table for research'!Z$1))*2,2)</f>
        <v>00</v>
      </c>
      <c r="AA888" t="str">
        <f>MID('paste from garc here'!$C$2,1+(('table for research'!$B888-456)*36+HEX2DEC('table for research'!AA$1))*2,2)</f>
        <v>00</v>
      </c>
      <c r="AB888" t="str">
        <f>MID('paste from garc here'!$C$2,1+(('table for research'!$B888-456)*36+HEX2DEC('table for research'!AB$1))*2,2)</f>
        <v>00</v>
      </c>
      <c r="AC888" t="str">
        <f>MID('paste from garc here'!$C$2,1+(('table for research'!$B888-456)*36+HEX2DEC('table for research'!AC$1))*2,2)</f>
        <v>00</v>
      </c>
      <c r="AD888" t="str">
        <f>MID('paste from garc here'!$C$2,1+(('table for research'!$B888-456)*36+HEX2DEC('table for research'!AD$1))*2,2)</f>
        <v>00</v>
      </c>
      <c r="AE888" t="str">
        <f>MID('paste from garc here'!$C$2,1+(('table for research'!$B888-456)*36+HEX2DEC('table for research'!AE$1))*2,2)</f>
        <v>00</v>
      </c>
      <c r="AF888" t="str">
        <f>MID('paste from garc here'!$C$2,1+(('table for research'!$B888-456)*36+HEX2DEC('table for research'!AF$1))*2,2)</f>
        <v>00</v>
      </c>
      <c r="AG888" t="str">
        <f>MID('paste from garc here'!$C$2,1+(('table for research'!$B888-456)*36+HEX2DEC('table for research'!AG$1))*2,2)</f>
        <v>00</v>
      </c>
      <c r="AH888" t="str">
        <f>MID('paste from garc here'!$C$2,1+(('table for research'!$B888-456)*36+HEX2DEC('table for research'!AH$1))*2,2)</f>
        <v>00</v>
      </c>
      <c r="AI888" t="str">
        <f>MID('paste from garc here'!$C$2,1+(('table for research'!$B888-456)*36+HEX2DEC('table for research'!AI$1))*2,2)</f>
        <v>00</v>
      </c>
      <c r="AJ888" t="str">
        <f>MID('paste from garc here'!$C$2,1+(('table for research'!$B888-456)*36+HEX2DEC('table for research'!AJ$1))*2,2)</f>
        <v>00</v>
      </c>
      <c r="AK888" t="str">
        <f>MID('paste from garc here'!$C$2,1+(('table for research'!$B888-456)*36+HEX2DEC('table for research'!AK$1))*2,2)</f>
        <v>00</v>
      </c>
      <c r="AL888" t="str">
        <f>MID('paste from garc here'!$C$2,1+(('table for research'!$B888-456)*36+HEX2DEC('table for research'!AL$1))*2,2)</f>
        <v>00</v>
      </c>
      <c r="AM888" t="str">
        <f>MID('paste from garc here'!$C$2,1+(('table for research'!$B888-456)*36+HEX2DEC('table for research'!AM$1))*2,2)</f>
        <v>00</v>
      </c>
      <c r="AN888" t="str">
        <f>MID('paste from garc here'!$C$2,1+(('table for research'!$B888-456)*36+HEX2DEC('table for research'!AN$1))*2,2)</f>
        <v>00</v>
      </c>
      <c r="AO888" t="str">
        <f>MID('paste from garc here'!$C$2,1+(('table for research'!$B888-456)*36+HEX2DEC('table for research'!AO$1))*2,2)</f>
        <v>00</v>
      </c>
    </row>
    <row r="889" spans="1:41" x14ac:dyDescent="0.4">
      <c r="A889" t="s">
        <v>138</v>
      </c>
      <c r="B889">
        <f>B888+1</f>
        <v>887</v>
      </c>
      <c r="C889" t="str">
        <f>MID('paste from garc here'!$C$2,1+(('table for research'!$B889-456)*36+HEX2DEC('table for research'!C$1))*2,2)</f>
        <v>00</v>
      </c>
      <c r="D889" t="str">
        <f>MID('paste from garc here'!$C$2,1+(('table for research'!$B889-456)*36+HEX2DEC('table for research'!D$1))*2,2)</f>
        <v>00</v>
      </c>
      <c r="E889" t="str">
        <f>MID('paste from garc here'!$C$2,1+(('table for research'!$B889-456)*36+HEX2DEC('table for research'!E$1))*2,2)</f>
        <v>00</v>
      </c>
      <c r="F889" t="str">
        <f>MID('paste from garc here'!$C$2,1+(('table for research'!$B889-456)*36+HEX2DEC('table for research'!F$1))*2,2)</f>
        <v>00</v>
      </c>
      <c r="G889" t="str">
        <f>MID('paste from garc here'!$C$2,1+(('table for research'!$B889-456)*36+HEX2DEC('table for research'!G$1))*2,2)</f>
        <v>00</v>
      </c>
      <c r="H889" t="str">
        <f>MID('paste from garc here'!$C$2,1+(('table for research'!$B889-456)*36+HEX2DEC('table for research'!H$1))*2,2)</f>
        <v>00</v>
      </c>
      <c r="I889" t="str">
        <f>MID('paste from garc here'!$C$2,1+(('table for research'!$B889-456)*36+HEX2DEC('table for research'!I$1))*2,2)</f>
        <v>00</v>
      </c>
      <c r="J889" t="str">
        <f>MID('paste from garc here'!$C$2,1+(('table for research'!$B889-456)*36+HEX2DEC('table for research'!J$1))*2,2)</f>
        <v>00</v>
      </c>
      <c r="K889" t="str">
        <f>DEC2HEX(_xlfn.BITAND(HEX2DEC(MID('paste from garc here'!$C$1,1+(('table for research'!$B889-1)*36+HEX2DEC(8))*2,2)),31),2)</f>
        <v>00</v>
      </c>
      <c r="L889" t="str">
        <f>DEC2HEX(_xlfn.BITAND(HEX2DEC(MID('paste from garc here'!$C$1,1+(('table for research'!$B889-1)*36+HEX2DEC(8))*2,2)),32),2)</f>
        <v>00</v>
      </c>
      <c r="M889" t="str">
        <f>DEC2HEX(_xlfn.BITAND(HEX2DEC(MID('paste from garc here'!$C$1,1+(('table for research'!$B889-1)*36+HEX2DEC(8))*2,2)),64),2)</f>
        <v>00</v>
      </c>
      <c r="N889" t="str">
        <f>DEC2HEX(_xlfn.BITRSHIFT(_xlfn.BITAND(HEX2DEC(MID('paste from garc here'!$C$1,1+(('table for research'!$B889-1)*36+HEX2DEC(9))*2,2)&amp;MID('paste from garc here'!$C$1,1+(('table for research'!$B889-1)*36+HEX2DEC(8))*2,2)),1920),7),2)</f>
        <v>00</v>
      </c>
      <c r="O889" t="str">
        <f>DEC2HEX(_xlfn.BITRSHIFT(HEX2DEC(MID('paste from garc here'!$C$1,1+(('table for research'!$B889-1)*36+HEX2DEC(9))*2,2)&amp;MID('paste from garc here'!$C$1,1+(('table for research'!$B889-1)*36+HEX2DEC(8))*2,2)),11),2)</f>
        <v>00</v>
      </c>
      <c r="P889" t="str">
        <f>MID('paste from garc here'!$C$2,1+(('table for research'!$B889-456)*36+HEX2DEC('table for research'!P$1))*2,2)</f>
        <v>00</v>
      </c>
      <c r="Q889" t="str">
        <f>MID('paste from garc here'!$C$2,1+(('table for research'!$B889-456)*36+HEX2DEC('table for research'!Q$1))*2,2)</f>
        <v>00</v>
      </c>
      <c r="R889" t="str">
        <f>MID('paste from garc here'!$C$2,1+(('table for research'!$B889-456)*36+HEX2DEC('table for research'!R$1))*2,2)</f>
        <v>00</v>
      </c>
      <c r="S889" t="str">
        <f>MID('paste from garc here'!$C$2,1+(('table for research'!$B889-456)*36+HEX2DEC('table for research'!S$1))*2,2)</f>
        <v>02</v>
      </c>
      <c r="T889" t="str">
        <f>MID('paste from garc here'!$C$2,1+(('table for research'!$B889-456)*36+HEX2DEC('table for research'!T$1))*2,2)</f>
        <v>00</v>
      </c>
      <c r="U889" t="str">
        <f>MID('paste from garc here'!$C$2,1+(('table for research'!$B889-456)*36+HEX2DEC('table for research'!U$1))*2,2)</f>
        <v>FF</v>
      </c>
      <c r="V889" t="str">
        <f>MID('paste from garc here'!$C$2,1+(('table for research'!$B889-456)*36+HEX2DEC('table for research'!V$1))*2,2)</f>
        <v>00</v>
      </c>
      <c r="W889" t="str">
        <f>MID('paste from garc here'!$C$2,1+(('table for research'!$B889-456)*36+HEX2DEC('table for research'!W$1))*2,2)</f>
        <v>00</v>
      </c>
      <c r="X889" t="str">
        <f>MID('paste from garc here'!$C$2,1+(('table for research'!$B889-456)*36+HEX2DEC('table for research'!X$1))*2,2)</f>
        <v>00</v>
      </c>
      <c r="Y889" t="str">
        <f>MID('paste from garc here'!$C$2,1+(('table for research'!$B889-456)*36+HEX2DEC('table for research'!Y$1))*2,2)</f>
        <v>00</v>
      </c>
      <c r="Z889" t="str">
        <f>MID('paste from garc here'!$C$2,1+(('table for research'!$B889-456)*36+HEX2DEC('table for research'!Z$1))*2,2)</f>
        <v>00</v>
      </c>
      <c r="AA889" t="str">
        <f>MID('paste from garc here'!$C$2,1+(('table for research'!$B889-456)*36+HEX2DEC('table for research'!AA$1))*2,2)</f>
        <v>00</v>
      </c>
      <c r="AB889" t="str">
        <f>MID('paste from garc here'!$C$2,1+(('table for research'!$B889-456)*36+HEX2DEC('table for research'!AB$1))*2,2)</f>
        <v>00</v>
      </c>
      <c r="AC889" t="str">
        <f>MID('paste from garc here'!$C$2,1+(('table for research'!$B889-456)*36+HEX2DEC('table for research'!AC$1))*2,2)</f>
        <v>00</v>
      </c>
      <c r="AD889" t="str">
        <f>MID('paste from garc here'!$C$2,1+(('table for research'!$B889-456)*36+HEX2DEC('table for research'!AD$1))*2,2)</f>
        <v>00</v>
      </c>
      <c r="AE889" t="str">
        <f>MID('paste from garc here'!$C$2,1+(('table for research'!$B889-456)*36+HEX2DEC('table for research'!AE$1))*2,2)</f>
        <v>00</v>
      </c>
      <c r="AF889" t="str">
        <f>MID('paste from garc here'!$C$2,1+(('table for research'!$B889-456)*36+HEX2DEC('table for research'!AF$1))*2,2)</f>
        <v>00</v>
      </c>
      <c r="AG889" t="str">
        <f>MID('paste from garc here'!$C$2,1+(('table for research'!$B889-456)*36+HEX2DEC('table for research'!AG$1))*2,2)</f>
        <v>00</v>
      </c>
      <c r="AH889" t="str">
        <f>MID('paste from garc here'!$C$2,1+(('table for research'!$B889-456)*36+HEX2DEC('table for research'!AH$1))*2,2)</f>
        <v>00</v>
      </c>
      <c r="AI889" t="str">
        <f>MID('paste from garc here'!$C$2,1+(('table for research'!$B889-456)*36+HEX2DEC('table for research'!AI$1))*2,2)</f>
        <v>00</v>
      </c>
      <c r="AJ889" t="str">
        <f>MID('paste from garc here'!$C$2,1+(('table for research'!$B889-456)*36+HEX2DEC('table for research'!AJ$1))*2,2)</f>
        <v>00</v>
      </c>
      <c r="AK889" t="str">
        <f>MID('paste from garc here'!$C$2,1+(('table for research'!$B889-456)*36+HEX2DEC('table for research'!AK$1))*2,2)</f>
        <v>00</v>
      </c>
      <c r="AL889" t="str">
        <f>MID('paste from garc here'!$C$2,1+(('table for research'!$B889-456)*36+HEX2DEC('table for research'!AL$1))*2,2)</f>
        <v>00</v>
      </c>
      <c r="AM889" t="str">
        <f>MID('paste from garc here'!$C$2,1+(('table for research'!$B889-456)*36+HEX2DEC('table for research'!AM$1))*2,2)</f>
        <v>00</v>
      </c>
      <c r="AN889" t="str">
        <f>MID('paste from garc here'!$C$2,1+(('table for research'!$B889-456)*36+HEX2DEC('table for research'!AN$1))*2,2)</f>
        <v>00</v>
      </c>
      <c r="AO889" t="str">
        <f>MID('paste from garc here'!$C$2,1+(('table for research'!$B889-456)*36+HEX2DEC('table for research'!AO$1))*2,2)</f>
        <v>00</v>
      </c>
    </row>
    <row r="890" spans="1:41" x14ac:dyDescent="0.4">
      <c r="A890" t="s">
        <v>138</v>
      </c>
      <c r="B890">
        <f>B889+1</f>
        <v>888</v>
      </c>
      <c r="C890" t="str">
        <f>MID('paste from garc here'!$C$2,1+(('table for research'!$B890-456)*36+HEX2DEC('table for research'!C$1))*2,2)</f>
        <v>00</v>
      </c>
      <c r="D890" t="str">
        <f>MID('paste from garc here'!$C$2,1+(('table for research'!$B890-456)*36+HEX2DEC('table for research'!D$1))*2,2)</f>
        <v>00</v>
      </c>
      <c r="E890" t="str">
        <f>MID('paste from garc here'!$C$2,1+(('table for research'!$B890-456)*36+HEX2DEC('table for research'!E$1))*2,2)</f>
        <v>00</v>
      </c>
      <c r="F890" t="str">
        <f>MID('paste from garc here'!$C$2,1+(('table for research'!$B890-456)*36+HEX2DEC('table for research'!F$1))*2,2)</f>
        <v>00</v>
      </c>
      <c r="G890" t="str">
        <f>MID('paste from garc here'!$C$2,1+(('table for research'!$B890-456)*36+HEX2DEC('table for research'!G$1))*2,2)</f>
        <v>00</v>
      </c>
      <c r="H890" t="str">
        <f>MID('paste from garc here'!$C$2,1+(('table for research'!$B890-456)*36+HEX2DEC('table for research'!H$1))*2,2)</f>
        <v>00</v>
      </c>
      <c r="I890" t="str">
        <f>MID('paste from garc here'!$C$2,1+(('table for research'!$B890-456)*36+HEX2DEC('table for research'!I$1))*2,2)</f>
        <v>00</v>
      </c>
      <c r="J890" t="str">
        <f>MID('paste from garc here'!$C$2,1+(('table for research'!$B890-456)*36+HEX2DEC('table for research'!J$1))*2,2)</f>
        <v>00</v>
      </c>
      <c r="K890" t="str">
        <f>DEC2HEX(_xlfn.BITAND(HEX2DEC(MID('paste from garc here'!$C$1,1+(('table for research'!$B890-1)*36+HEX2DEC(8))*2,2)),31),2)</f>
        <v>00</v>
      </c>
      <c r="L890" t="str">
        <f>DEC2HEX(_xlfn.BITAND(HEX2DEC(MID('paste from garc here'!$C$1,1+(('table for research'!$B890-1)*36+HEX2DEC(8))*2,2)),32),2)</f>
        <v>00</v>
      </c>
      <c r="M890" t="str">
        <f>DEC2HEX(_xlfn.BITAND(HEX2DEC(MID('paste from garc here'!$C$1,1+(('table for research'!$B890-1)*36+HEX2DEC(8))*2,2)),64),2)</f>
        <v>00</v>
      </c>
      <c r="N890" t="str">
        <f>DEC2HEX(_xlfn.BITRSHIFT(_xlfn.BITAND(HEX2DEC(MID('paste from garc here'!$C$1,1+(('table for research'!$B890-1)*36+HEX2DEC(9))*2,2)&amp;MID('paste from garc here'!$C$1,1+(('table for research'!$B890-1)*36+HEX2DEC(8))*2,2)),1920),7),2)</f>
        <v>00</v>
      </c>
      <c r="O890" t="str">
        <f>DEC2HEX(_xlfn.BITRSHIFT(HEX2DEC(MID('paste from garc here'!$C$1,1+(('table for research'!$B890-1)*36+HEX2DEC(9))*2,2)&amp;MID('paste from garc here'!$C$1,1+(('table for research'!$B890-1)*36+HEX2DEC(8))*2,2)),11),2)</f>
        <v>00</v>
      </c>
      <c r="P890" t="str">
        <f>MID('paste from garc here'!$C$2,1+(('table for research'!$B890-456)*36+HEX2DEC('table for research'!P$1))*2,2)</f>
        <v>00</v>
      </c>
      <c r="Q890" t="str">
        <f>MID('paste from garc here'!$C$2,1+(('table for research'!$B890-456)*36+HEX2DEC('table for research'!Q$1))*2,2)</f>
        <v>00</v>
      </c>
      <c r="R890" t="str">
        <f>MID('paste from garc here'!$C$2,1+(('table for research'!$B890-456)*36+HEX2DEC('table for research'!R$1))*2,2)</f>
        <v>00</v>
      </c>
      <c r="S890" t="str">
        <f>MID('paste from garc here'!$C$2,1+(('table for research'!$B890-456)*36+HEX2DEC('table for research'!S$1))*2,2)</f>
        <v>02</v>
      </c>
      <c r="T890" t="str">
        <f>MID('paste from garc here'!$C$2,1+(('table for research'!$B890-456)*36+HEX2DEC('table for research'!T$1))*2,2)</f>
        <v>00</v>
      </c>
      <c r="U890" t="str">
        <f>MID('paste from garc here'!$C$2,1+(('table for research'!$B890-456)*36+HEX2DEC('table for research'!U$1))*2,2)</f>
        <v>FF</v>
      </c>
      <c r="V890" t="str">
        <f>MID('paste from garc here'!$C$2,1+(('table for research'!$B890-456)*36+HEX2DEC('table for research'!V$1))*2,2)</f>
        <v>00</v>
      </c>
      <c r="W890" t="str">
        <f>MID('paste from garc here'!$C$2,1+(('table for research'!$B890-456)*36+HEX2DEC('table for research'!W$1))*2,2)</f>
        <v>00</v>
      </c>
      <c r="X890" t="str">
        <f>MID('paste from garc here'!$C$2,1+(('table for research'!$B890-456)*36+HEX2DEC('table for research'!X$1))*2,2)</f>
        <v>00</v>
      </c>
      <c r="Y890" t="str">
        <f>MID('paste from garc here'!$C$2,1+(('table for research'!$B890-456)*36+HEX2DEC('table for research'!Y$1))*2,2)</f>
        <v>00</v>
      </c>
      <c r="Z890" t="str">
        <f>MID('paste from garc here'!$C$2,1+(('table for research'!$B890-456)*36+HEX2DEC('table for research'!Z$1))*2,2)</f>
        <v>00</v>
      </c>
      <c r="AA890" t="str">
        <f>MID('paste from garc here'!$C$2,1+(('table for research'!$B890-456)*36+HEX2DEC('table for research'!AA$1))*2,2)</f>
        <v>00</v>
      </c>
      <c r="AB890" t="str">
        <f>MID('paste from garc here'!$C$2,1+(('table for research'!$B890-456)*36+HEX2DEC('table for research'!AB$1))*2,2)</f>
        <v>00</v>
      </c>
      <c r="AC890" t="str">
        <f>MID('paste from garc here'!$C$2,1+(('table for research'!$B890-456)*36+HEX2DEC('table for research'!AC$1))*2,2)</f>
        <v>00</v>
      </c>
      <c r="AD890" t="str">
        <f>MID('paste from garc here'!$C$2,1+(('table for research'!$B890-456)*36+HEX2DEC('table for research'!AD$1))*2,2)</f>
        <v>00</v>
      </c>
      <c r="AE890" t="str">
        <f>MID('paste from garc here'!$C$2,1+(('table for research'!$B890-456)*36+HEX2DEC('table for research'!AE$1))*2,2)</f>
        <v>00</v>
      </c>
      <c r="AF890" t="str">
        <f>MID('paste from garc here'!$C$2,1+(('table for research'!$B890-456)*36+HEX2DEC('table for research'!AF$1))*2,2)</f>
        <v>00</v>
      </c>
      <c r="AG890" t="str">
        <f>MID('paste from garc here'!$C$2,1+(('table for research'!$B890-456)*36+HEX2DEC('table for research'!AG$1))*2,2)</f>
        <v>00</v>
      </c>
      <c r="AH890" t="str">
        <f>MID('paste from garc here'!$C$2,1+(('table for research'!$B890-456)*36+HEX2DEC('table for research'!AH$1))*2,2)</f>
        <v>00</v>
      </c>
      <c r="AI890" t="str">
        <f>MID('paste from garc here'!$C$2,1+(('table for research'!$B890-456)*36+HEX2DEC('table for research'!AI$1))*2,2)</f>
        <v>00</v>
      </c>
      <c r="AJ890" t="str">
        <f>MID('paste from garc here'!$C$2,1+(('table for research'!$B890-456)*36+HEX2DEC('table for research'!AJ$1))*2,2)</f>
        <v>00</v>
      </c>
      <c r="AK890" t="str">
        <f>MID('paste from garc here'!$C$2,1+(('table for research'!$B890-456)*36+HEX2DEC('table for research'!AK$1))*2,2)</f>
        <v>00</v>
      </c>
      <c r="AL890" t="str">
        <f>MID('paste from garc here'!$C$2,1+(('table for research'!$B890-456)*36+HEX2DEC('table for research'!AL$1))*2,2)</f>
        <v>00</v>
      </c>
      <c r="AM890" t="str">
        <f>MID('paste from garc here'!$C$2,1+(('table for research'!$B890-456)*36+HEX2DEC('table for research'!AM$1))*2,2)</f>
        <v>00</v>
      </c>
      <c r="AN890" t="str">
        <f>MID('paste from garc here'!$C$2,1+(('table for research'!$B890-456)*36+HEX2DEC('table for research'!AN$1))*2,2)</f>
        <v>00</v>
      </c>
      <c r="AO890" t="str">
        <f>MID('paste from garc here'!$C$2,1+(('table for research'!$B890-456)*36+HEX2DEC('table for research'!AO$1))*2,2)</f>
        <v>00</v>
      </c>
    </row>
    <row r="891" spans="1:41" x14ac:dyDescent="0.4">
      <c r="A891" t="s">
        <v>138</v>
      </c>
      <c r="B891">
        <f>B890+1</f>
        <v>889</v>
      </c>
      <c r="C891" t="str">
        <f>MID('paste from garc here'!$C$2,1+(('table for research'!$B891-456)*36+HEX2DEC('table for research'!C$1))*2,2)</f>
        <v>00</v>
      </c>
      <c r="D891" t="str">
        <f>MID('paste from garc here'!$C$2,1+(('table for research'!$B891-456)*36+HEX2DEC('table for research'!D$1))*2,2)</f>
        <v>00</v>
      </c>
      <c r="E891" t="str">
        <f>MID('paste from garc here'!$C$2,1+(('table for research'!$B891-456)*36+HEX2DEC('table for research'!E$1))*2,2)</f>
        <v>00</v>
      </c>
      <c r="F891" t="str">
        <f>MID('paste from garc here'!$C$2,1+(('table for research'!$B891-456)*36+HEX2DEC('table for research'!F$1))*2,2)</f>
        <v>00</v>
      </c>
      <c r="G891" t="str">
        <f>MID('paste from garc here'!$C$2,1+(('table for research'!$B891-456)*36+HEX2DEC('table for research'!G$1))*2,2)</f>
        <v>00</v>
      </c>
      <c r="H891" t="str">
        <f>MID('paste from garc here'!$C$2,1+(('table for research'!$B891-456)*36+HEX2DEC('table for research'!H$1))*2,2)</f>
        <v>00</v>
      </c>
      <c r="I891" t="str">
        <f>MID('paste from garc here'!$C$2,1+(('table for research'!$B891-456)*36+HEX2DEC('table for research'!I$1))*2,2)</f>
        <v>00</v>
      </c>
      <c r="J891" t="str">
        <f>MID('paste from garc here'!$C$2,1+(('table for research'!$B891-456)*36+HEX2DEC('table for research'!J$1))*2,2)</f>
        <v>00</v>
      </c>
      <c r="K891" t="str">
        <f>DEC2HEX(_xlfn.BITAND(HEX2DEC(MID('paste from garc here'!$C$1,1+(('table for research'!$B891-1)*36+HEX2DEC(8))*2,2)),31),2)</f>
        <v>00</v>
      </c>
      <c r="L891" t="str">
        <f>DEC2HEX(_xlfn.BITAND(HEX2DEC(MID('paste from garc here'!$C$1,1+(('table for research'!$B891-1)*36+HEX2DEC(8))*2,2)),32),2)</f>
        <v>00</v>
      </c>
      <c r="M891" t="str">
        <f>DEC2HEX(_xlfn.BITAND(HEX2DEC(MID('paste from garc here'!$C$1,1+(('table for research'!$B891-1)*36+HEX2DEC(8))*2,2)),64),2)</f>
        <v>00</v>
      </c>
      <c r="N891" t="str">
        <f>DEC2HEX(_xlfn.BITRSHIFT(_xlfn.BITAND(HEX2DEC(MID('paste from garc here'!$C$1,1+(('table for research'!$B891-1)*36+HEX2DEC(9))*2,2)&amp;MID('paste from garc here'!$C$1,1+(('table for research'!$B891-1)*36+HEX2DEC(8))*2,2)),1920),7),2)</f>
        <v>00</v>
      </c>
      <c r="O891" t="str">
        <f>DEC2HEX(_xlfn.BITRSHIFT(HEX2DEC(MID('paste from garc here'!$C$1,1+(('table for research'!$B891-1)*36+HEX2DEC(9))*2,2)&amp;MID('paste from garc here'!$C$1,1+(('table for research'!$B891-1)*36+HEX2DEC(8))*2,2)),11),2)</f>
        <v>00</v>
      </c>
      <c r="P891" t="str">
        <f>MID('paste from garc here'!$C$2,1+(('table for research'!$B891-456)*36+HEX2DEC('table for research'!P$1))*2,2)</f>
        <v>00</v>
      </c>
      <c r="Q891" t="str">
        <f>MID('paste from garc here'!$C$2,1+(('table for research'!$B891-456)*36+HEX2DEC('table for research'!Q$1))*2,2)</f>
        <v>00</v>
      </c>
      <c r="R891" t="str">
        <f>MID('paste from garc here'!$C$2,1+(('table for research'!$B891-456)*36+HEX2DEC('table for research'!R$1))*2,2)</f>
        <v>00</v>
      </c>
      <c r="S891" t="str">
        <f>MID('paste from garc here'!$C$2,1+(('table for research'!$B891-456)*36+HEX2DEC('table for research'!S$1))*2,2)</f>
        <v>02</v>
      </c>
      <c r="T891" t="str">
        <f>MID('paste from garc here'!$C$2,1+(('table for research'!$B891-456)*36+HEX2DEC('table for research'!T$1))*2,2)</f>
        <v>00</v>
      </c>
      <c r="U891" t="str">
        <f>MID('paste from garc here'!$C$2,1+(('table for research'!$B891-456)*36+HEX2DEC('table for research'!U$1))*2,2)</f>
        <v>FF</v>
      </c>
      <c r="V891" t="str">
        <f>MID('paste from garc here'!$C$2,1+(('table for research'!$B891-456)*36+HEX2DEC('table for research'!V$1))*2,2)</f>
        <v>00</v>
      </c>
      <c r="W891" t="str">
        <f>MID('paste from garc here'!$C$2,1+(('table for research'!$B891-456)*36+HEX2DEC('table for research'!W$1))*2,2)</f>
        <v>00</v>
      </c>
      <c r="X891" t="str">
        <f>MID('paste from garc here'!$C$2,1+(('table for research'!$B891-456)*36+HEX2DEC('table for research'!X$1))*2,2)</f>
        <v>00</v>
      </c>
      <c r="Y891" t="str">
        <f>MID('paste from garc here'!$C$2,1+(('table for research'!$B891-456)*36+HEX2DEC('table for research'!Y$1))*2,2)</f>
        <v>00</v>
      </c>
      <c r="Z891" t="str">
        <f>MID('paste from garc here'!$C$2,1+(('table for research'!$B891-456)*36+HEX2DEC('table for research'!Z$1))*2,2)</f>
        <v>00</v>
      </c>
      <c r="AA891" t="str">
        <f>MID('paste from garc here'!$C$2,1+(('table for research'!$B891-456)*36+HEX2DEC('table for research'!AA$1))*2,2)</f>
        <v>00</v>
      </c>
      <c r="AB891" t="str">
        <f>MID('paste from garc here'!$C$2,1+(('table for research'!$B891-456)*36+HEX2DEC('table for research'!AB$1))*2,2)</f>
        <v>00</v>
      </c>
      <c r="AC891" t="str">
        <f>MID('paste from garc here'!$C$2,1+(('table for research'!$B891-456)*36+HEX2DEC('table for research'!AC$1))*2,2)</f>
        <v>00</v>
      </c>
      <c r="AD891" t="str">
        <f>MID('paste from garc here'!$C$2,1+(('table for research'!$B891-456)*36+HEX2DEC('table for research'!AD$1))*2,2)</f>
        <v>00</v>
      </c>
      <c r="AE891" t="str">
        <f>MID('paste from garc here'!$C$2,1+(('table for research'!$B891-456)*36+HEX2DEC('table for research'!AE$1))*2,2)</f>
        <v>00</v>
      </c>
      <c r="AF891" t="str">
        <f>MID('paste from garc here'!$C$2,1+(('table for research'!$B891-456)*36+HEX2DEC('table for research'!AF$1))*2,2)</f>
        <v>00</v>
      </c>
      <c r="AG891" t="str">
        <f>MID('paste from garc here'!$C$2,1+(('table for research'!$B891-456)*36+HEX2DEC('table for research'!AG$1))*2,2)</f>
        <v>00</v>
      </c>
      <c r="AH891" t="str">
        <f>MID('paste from garc here'!$C$2,1+(('table for research'!$B891-456)*36+HEX2DEC('table for research'!AH$1))*2,2)</f>
        <v>00</v>
      </c>
      <c r="AI891" t="str">
        <f>MID('paste from garc here'!$C$2,1+(('table for research'!$B891-456)*36+HEX2DEC('table for research'!AI$1))*2,2)</f>
        <v>00</v>
      </c>
      <c r="AJ891" t="str">
        <f>MID('paste from garc here'!$C$2,1+(('table for research'!$B891-456)*36+HEX2DEC('table for research'!AJ$1))*2,2)</f>
        <v>00</v>
      </c>
      <c r="AK891" t="str">
        <f>MID('paste from garc here'!$C$2,1+(('table for research'!$B891-456)*36+HEX2DEC('table for research'!AK$1))*2,2)</f>
        <v>00</v>
      </c>
      <c r="AL891" t="str">
        <f>MID('paste from garc here'!$C$2,1+(('table for research'!$B891-456)*36+HEX2DEC('table for research'!AL$1))*2,2)</f>
        <v>00</v>
      </c>
      <c r="AM891" t="str">
        <f>MID('paste from garc here'!$C$2,1+(('table for research'!$B891-456)*36+HEX2DEC('table for research'!AM$1))*2,2)</f>
        <v>00</v>
      </c>
      <c r="AN891" t="str">
        <f>MID('paste from garc here'!$C$2,1+(('table for research'!$B891-456)*36+HEX2DEC('table for research'!AN$1))*2,2)</f>
        <v>00</v>
      </c>
      <c r="AO891" t="str">
        <f>MID('paste from garc here'!$C$2,1+(('table for research'!$B891-456)*36+HEX2DEC('table for research'!AO$1))*2,2)</f>
        <v>00</v>
      </c>
    </row>
    <row r="892" spans="1:41" x14ac:dyDescent="0.4">
      <c r="A892" t="s">
        <v>138</v>
      </c>
      <c r="B892">
        <f>B891+1</f>
        <v>890</v>
      </c>
      <c r="C892" t="str">
        <f>MID('paste from garc here'!$C$2,1+(('table for research'!$B892-456)*36+HEX2DEC('table for research'!C$1))*2,2)</f>
        <v>00</v>
      </c>
      <c r="D892" t="str">
        <f>MID('paste from garc here'!$C$2,1+(('table for research'!$B892-456)*36+HEX2DEC('table for research'!D$1))*2,2)</f>
        <v>00</v>
      </c>
      <c r="E892" t="str">
        <f>MID('paste from garc here'!$C$2,1+(('table for research'!$B892-456)*36+HEX2DEC('table for research'!E$1))*2,2)</f>
        <v>00</v>
      </c>
      <c r="F892" t="str">
        <f>MID('paste from garc here'!$C$2,1+(('table for research'!$B892-456)*36+HEX2DEC('table for research'!F$1))*2,2)</f>
        <v>00</v>
      </c>
      <c r="G892" t="str">
        <f>MID('paste from garc here'!$C$2,1+(('table for research'!$B892-456)*36+HEX2DEC('table for research'!G$1))*2,2)</f>
        <v>00</v>
      </c>
      <c r="H892" t="str">
        <f>MID('paste from garc here'!$C$2,1+(('table for research'!$B892-456)*36+HEX2DEC('table for research'!H$1))*2,2)</f>
        <v>00</v>
      </c>
      <c r="I892" t="str">
        <f>MID('paste from garc here'!$C$2,1+(('table for research'!$B892-456)*36+HEX2DEC('table for research'!I$1))*2,2)</f>
        <v>00</v>
      </c>
      <c r="J892" t="str">
        <f>MID('paste from garc here'!$C$2,1+(('table for research'!$B892-456)*36+HEX2DEC('table for research'!J$1))*2,2)</f>
        <v>00</v>
      </c>
      <c r="K892" t="str">
        <f>DEC2HEX(_xlfn.BITAND(HEX2DEC(MID('paste from garc here'!$C$1,1+(('table for research'!$B892-1)*36+HEX2DEC(8))*2,2)),31),2)</f>
        <v>00</v>
      </c>
      <c r="L892" t="str">
        <f>DEC2HEX(_xlfn.BITAND(HEX2DEC(MID('paste from garc here'!$C$1,1+(('table for research'!$B892-1)*36+HEX2DEC(8))*2,2)),32),2)</f>
        <v>00</v>
      </c>
      <c r="M892" t="str">
        <f>DEC2HEX(_xlfn.BITAND(HEX2DEC(MID('paste from garc here'!$C$1,1+(('table for research'!$B892-1)*36+HEX2DEC(8))*2,2)),64),2)</f>
        <v>00</v>
      </c>
      <c r="N892" t="str">
        <f>DEC2HEX(_xlfn.BITRSHIFT(_xlfn.BITAND(HEX2DEC(MID('paste from garc here'!$C$1,1+(('table for research'!$B892-1)*36+HEX2DEC(9))*2,2)&amp;MID('paste from garc here'!$C$1,1+(('table for research'!$B892-1)*36+HEX2DEC(8))*2,2)),1920),7),2)</f>
        <v>00</v>
      </c>
      <c r="O892" t="str">
        <f>DEC2HEX(_xlfn.BITRSHIFT(HEX2DEC(MID('paste from garc here'!$C$1,1+(('table for research'!$B892-1)*36+HEX2DEC(9))*2,2)&amp;MID('paste from garc here'!$C$1,1+(('table for research'!$B892-1)*36+HEX2DEC(8))*2,2)),11),2)</f>
        <v>00</v>
      </c>
      <c r="P892" t="str">
        <f>MID('paste from garc here'!$C$2,1+(('table for research'!$B892-456)*36+HEX2DEC('table for research'!P$1))*2,2)</f>
        <v>00</v>
      </c>
      <c r="Q892" t="str">
        <f>MID('paste from garc here'!$C$2,1+(('table for research'!$B892-456)*36+HEX2DEC('table for research'!Q$1))*2,2)</f>
        <v>00</v>
      </c>
      <c r="R892" t="str">
        <f>MID('paste from garc here'!$C$2,1+(('table for research'!$B892-456)*36+HEX2DEC('table for research'!R$1))*2,2)</f>
        <v>00</v>
      </c>
      <c r="S892" t="str">
        <f>MID('paste from garc here'!$C$2,1+(('table for research'!$B892-456)*36+HEX2DEC('table for research'!S$1))*2,2)</f>
        <v>02</v>
      </c>
      <c r="T892" t="str">
        <f>MID('paste from garc here'!$C$2,1+(('table for research'!$B892-456)*36+HEX2DEC('table for research'!T$1))*2,2)</f>
        <v>00</v>
      </c>
      <c r="U892" t="str">
        <f>MID('paste from garc here'!$C$2,1+(('table for research'!$B892-456)*36+HEX2DEC('table for research'!U$1))*2,2)</f>
        <v>FF</v>
      </c>
      <c r="V892" t="str">
        <f>MID('paste from garc here'!$C$2,1+(('table for research'!$B892-456)*36+HEX2DEC('table for research'!V$1))*2,2)</f>
        <v>00</v>
      </c>
      <c r="W892" t="str">
        <f>MID('paste from garc here'!$C$2,1+(('table for research'!$B892-456)*36+HEX2DEC('table for research'!W$1))*2,2)</f>
        <v>00</v>
      </c>
      <c r="X892" t="str">
        <f>MID('paste from garc here'!$C$2,1+(('table for research'!$B892-456)*36+HEX2DEC('table for research'!X$1))*2,2)</f>
        <v>00</v>
      </c>
      <c r="Y892" t="str">
        <f>MID('paste from garc here'!$C$2,1+(('table for research'!$B892-456)*36+HEX2DEC('table for research'!Y$1))*2,2)</f>
        <v>00</v>
      </c>
      <c r="Z892" t="str">
        <f>MID('paste from garc here'!$C$2,1+(('table for research'!$B892-456)*36+HEX2DEC('table for research'!Z$1))*2,2)</f>
        <v>00</v>
      </c>
      <c r="AA892" t="str">
        <f>MID('paste from garc here'!$C$2,1+(('table for research'!$B892-456)*36+HEX2DEC('table for research'!AA$1))*2,2)</f>
        <v>00</v>
      </c>
      <c r="AB892" t="str">
        <f>MID('paste from garc here'!$C$2,1+(('table for research'!$B892-456)*36+HEX2DEC('table for research'!AB$1))*2,2)</f>
        <v>00</v>
      </c>
      <c r="AC892" t="str">
        <f>MID('paste from garc here'!$C$2,1+(('table for research'!$B892-456)*36+HEX2DEC('table for research'!AC$1))*2,2)</f>
        <v>00</v>
      </c>
      <c r="AD892" t="str">
        <f>MID('paste from garc here'!$C$2,1+(('table for research'!$B892-456)*36+HEX2DEC('table for research'!AD$1))*2,2)</f>
        <v>00</v>
      </c>
      <c r="AE892" t="str">
        <f>MID('paste from garc here'!$C$2,1+(('table for research'!$B892-456)*36+HEX2DEC('table for research'!AE$1))*2,2)</f>
        <v>00</v>
      </c>
      <c r="AF892" t="str">
        <f>MID('paste from garc here'!$C$2,1+(('table for research'!$B892-456)*36+HEX2DEC('table for research'!AF$1))*2,2)</f>
        <v>00</v>
      </c>
      <c r="AG892" t="str">
        <f>MID('paste from garc here'!$C$2,1+(('table for research'!$B892-456)*36+HEX2DEC('table for research'!AG$1))*2,2)</f>
        <v>00</v>
      </c>
      <c r="AH892" t="str">
        <f>MID('paste from garc here'!$C$2,1+(('table for research'!$B892-456)*36+HEX2DEC('table for research'!AH$1))*2,2)</f>
        <v>00</v>
      </c>
      <c r="AI892" t="str">
        <f>MID('paste from garc here'!$C$2,1+(('table for research'!$B892-456)*36+HEX2DEC('table for research'!AI$1))*2,2)</f>
        <v>00</v>
      </c>
      <c r="AJ892" t="str">
        <f>MID('paste from garc here'!$C$2,1+(('table for research'!$B892-456)*36+HEX2DEC('table for research'!AJ$1))*2,2)</f>
        <v>00</v>
      </c>
      <c r="AK892" t="str">
        <f>MID('paste from garc here'!$C$2,1+(('table for research'!$B892-456)*36+HEX2DEC('table for research'!AK$1))*2,2)</f>
        <v>00</v>
      </c>
      <c r="AL892" t="str">
        <f>MID('paste from garc here'!$C$2,1+(('table for research'!$B892-456)*36+HEX2DEC('table for research'!AL$1))*2,2)</f>
        <v>00</v>
      </c>
      <c r="AM892" t="str">
        <f>MID('paste from garc here'!$C$2,1+(('table for research'!$B892-456)*36+HEX2DEC('table for research'!AM$1))*2,2)</f>
        <v>00</v>
      </c>
      <c r="AN892" t="str">
        <f>MID('paste from garc here'!$C$2,1+(('table for research'!$B892-456)*36+HEX2DEC('table for research'!AN$1))*2,2)</f>
        <v>00</v>
      </c>
      <c r="AO892" t="str">
        <f>MID('paste from garc here'!$C$2,1+(('table for research'!$B892-456)*36+HEX2DEC('table for research'!AO$1))*2,2)</f>
        <v>00</v>
      </c>
    </row>
    <row r="893" spans="1:41" x14ac:dyDescent="0.4">
      <c r="A893" t="s">
        <v>138</v>
      </c>
      <c r="B893">
        <f>B892+1</f>
        <v>891</v>
      </c>
      <c r="C893" t="str">
        <f>MID('paste from garc here'!$C$2,1+(('table for research'!$B893-456)*36+HEX2DEC('table for research'!C$1))*2,2)</f>
        <v>00</v>
      </c>
      <c r="D893" t="str">
        <f>MID('paste from garc here'!$C$2,1+(('table for research'!$B893-456)*36+HEX2DEC('table for research'!D$1))*2,2)</f>
        <v>00</v>
      </c>
      <c r="E893" t="str">
        <f>MID('paste from garc here'!$C$2,1+(('table for research'!$B893-456)*36+HEX2DEC('table for research'!E$1))*2,2)</f>
        <v>00</v>
      </c>
      <c r="F893" t="str">
        <f>MID('paste from garc here'!$C$2,1+(('table for research'!$B893-456)*36+HEX2DEC('table for research'!F$1))*2,2)</f>
        <v>00</v>
      </c>
      <c r="G893" t="str">
        <f>MID('paste from garc here'!$C$2,1+(('table for research'!$B893-456)*36+HEX2DEC('table for research'!G$1))*2,2)</f>
        <v>00</v>
      </c>
      <c r="H893" t="str">
        <f>MID('paste from garc here'!$C$2,1+(('table for research'!$B893-456)*36+HEX2DEC('table for research'!H$1))*2,2)</f>
        <v>00</v>
      </c>
      <c r="I893" t="str">
        <f>MID('paste from garc here'!$C$2,1+(('table for research'!$B893-456)*36+HEX2DEC('table for research'!I$1))*2,2)</f>
        <v>00</v>
      </c>
      <c r="J893" t="str">
        <f>MID('paste from garc here'!$C$2,1+(('table for research'!$B893-456)*36+HEX2DEC('table for research'!J$1))*2,2)</f>
        <v>00</v>
      </c>
      <c r="K893" t="str">
        <f>DEC2HEX(_xlfn.BITAND(HEX2DEC(MID('paste from garc here'!$C$1,1+(('table for research'!$B893-1)*36+HEX2DEC(8))*2,2)),31),2)</f>
        <v>00</v>
      </c>
      <c r="L893" t="str">
        <f>DEC2HEX(_xlfn.BITAND(HEX2DEC(MID('paste from garc here'!$C$1,1+(('table for research'!$B893-1)*36+HEX2DEC(8))*2,2)),32),2)</f>
        <v>00</v>
      </c>
      <c r="M893" t="str">
        <f>DEC2HEX(_xlfn.BITAND(HEX2DEC(MID('paste from garc here'!$C$1,1+(('table for research'!$B893-1)*36+HEX2DEC(8))*2,2)),64),2)</f>
        <v>00</v>
      </c>
      <c r="N893" t="str">
        <f>DEC2HEX(_xlfn.BITRSHIFT(_xlfn.BITAND(HEX2DEC(MID('paste from garc here'!$C$1,1+(('table for research'!$B893-1)*36+HEX2DEC(9))*2,2)&amp;MID('paste from garc here'!$C$1,1+(('table for research'!$B893-1)*36+HEX2DEC(8))*2,2)),1920),7),2)</f>
        <v>00</v>
      </c>
      <c r="O893" t="str">
        <f>DEC2HEX(_xlfn.BITRSHIFT(HEX2DEC(MID('paste from garc here'!$C$1,1+(('table for research'!$B893-1)*36+HEX2DEC(9))*2,2)&amp;MID('paste from garc here'!$C$1,1+(('table for research'!$B893-1)*36+HEX2DEC(8))*2,2)),11),2)</f>
        <v>00</v>
      </c>
      <c r="P893" t="str">
        <f>MID('paste from garc here'!$C$2,1+(('table for research'!$B893-456)*36+HEX2DEC('table for research'!P$1))*2,2)</f>
        <v>00</v>
      </c>
      <c r="Q893" t="str">
        <f>MID('paste from garc here'!$C$2,1+(('table for research'!$B893-456)*36+HEX2DEC('table for research'!Q$1))*2,2)</f>
        <v>00</v>
      </c>
      <c r="R893" t="str">
        <f>MID('paste from garc here'!$C$2,1+(('table for research'!$B893-456)*36+HEX2DEC('table for research'!R$1))*2,2)</f>
        <v>00</v>
      </c>
      <c r="S893" t="str">
        <f>MID('paste from garc here'!$C$2,1+(('table for research'!$B893-456)*36+HEX2DEC('table for research'!S$1))*2,2)</f>
        <v>02</v>
      </c>
      <c r="T893" t="str">
        <f>MID('paste from garc here'!$C$2,1+(('table for research'!$B893-456)*36+HEX2DEC('table for research'!T$1))*2,2)</f>
        <v>00</v>
      </c>
      <c r="U893" t="str">
        <f>MID('paste from garc here'!$C$2,1+(('table for research'!$B893-456)*36+HEX2DEC('table for research'!U$1))*2,2)</f>
        <v>FF</v>
      </c>
      <c r="V893" t="str">
        <f>MID('paste from garc here'!$C$2,1+(('table for research'!$B893-456)*36+HEX2DEC('table for research'!V$1))*2,2)</f>
        <v>00</v>
      </c>
      <c r="W893" t="str">
        <f>MID('paste from garc here'!$C$2,1+(('table for research'!$B893-456)*36+HEX2DEC('table for research'!W$1))*2,2)</f>
        <v>00</v>
      </c>
      <c r="X893" t="str">
        <f>MID('paste from garc here'!$C$2,1+(('table for research'!$B893-456)*36+HEX2DEC('table for research'!X$1))*2,2)</f>
        <v>00</v>
      </c>
      <c r="Y893" t="str">
        <f>MID('paste from garc here'!$C$2,1+(('table for research'!$B893-456)*36+HEX2DEC('table for research'!Y$1))*2,2)</f>
        <v>00</v>
      </c>
      <c r="Z893" t="str">
        <f>MID('paste from garc here'!$C$2,1+(('table for research'!$B893-456)*36+HEX2DEC('table for research'!Z$1))*2,2)</f>
        <v>00</v>
      </c>
      <c r="AA893" t="str">
        <f>MID('paste from garc here'!$C$2,1+(('table for research'!$B893-456)*36+HEX2DEC('table for research'!AA$1))*2,2)</f>
        <v>00</v>
      </c>
      <c r="AB893" t="str">
        <f>MID('paste from garc here'!$C$2,1+(('table for research'!$B893-456)*36+HEX2DEC('table for research'!AB$1))*2,2)</f>
        <v>00</v>
      </c>
      <c r="AC893" t="str">
        <f>MID('paste from garc here'!$C$2,1+(('table for research'!$B893-456)*36+HEX2DEC('table for research'!AC$1))*2,2)</f>
        <v>00</v>
      </c>
      <c r="AD893" t="str">
        <f>MID('paste from garc here'!$C$2,1+(('table for research'!$B893-456)*36+HEX2DEC('table for research'!AD$1))*2,2)</f>
        <v>00</v>
      </c>
      <c r="AE893" t="str">
        <f>MID('paste from garc here'!$C$2,1+(('table for research'!$B893-456)*36+HEX2DEC('table for research'!AE$1))*2,2)</f>
        <v>00</v>
      </c>
      <c r="AF893" t="str">
        <f>MID('paste from garc here'!$C$2,1+(('table for research'!$B893-456)*36+HEX2DEC('table for research'!AF$1))*2,2)</f>
        <v>00</v>
      </c>
      <c r="AG893" t="str">
        <f>MID('paste from garc here'!$C$2,1+(('table for research'!$B893-456)*36+HEX2DEC('table for research'!AG$1))*2,2)</f>
        <v>00</v>
      </c>
      <c r="AH893" t="str">
        <f>MID('paste from garc here'!$C$2,1+(('table for research'!$B893-456)*36+HEX2DEC('table for research'!AH$1))*2,2)</f>
        <v>00</v>
      </c>
      <c r="AI893" t="str">
        <f>MID('paste from garc here'!$C$2,1+(('table for research'!$B893-456)*36+HEX2DEC('table for research'!AI$1))*2,2)</f>
        <v>00</v>
      </c>
      <c r="AJ893" t="str">
        <f>MID('paste from garc here'!$C$2,1+(('table for research'!$B893-456)*36+HEX2DEC('table for research'!AJ$1))*2,2)</f>
        <v>00</v>
      </c>
      <c r="AK893" t="str">
        <f>MID('paste from garc here'!$C$2,1+(('table for research'!$B893-456)*36+HEX2DEC('table for research'!AK$1))*2,2)</f>
        <v>00</v>
      </c>
      <c r="AL893" t="str">
        <f>MID('paste from garc here'!$C$2,1+(('table for research'!$B893-456)*36+HEX2DEC('table for research'!AL$1))*2,2)</f>
        <v>00</v>
      </c>
      <c r="AM893" t="str">
        <f>MID('paste from garc here'!$C$2,1+(('table for research'!$B893-456)*36+HEX2DEC('table for research'!AM$1))*2,2)</f>
        <v>00</v>
      </c>
      <c r="AN893" t="str">
        <f>MID('paste from garc here'!$C$2,1+(('table for research'!$B893-456)*36+HEX2DEC('table for research'!AN$1))*2,2)</f>
        <v>00</v>
      </c>
      <c r="AO893" t="str">
        <f>MID('paste from garc here'!$C$2,1+(('table for research'!$B893-456)*36+HEX2DEC('table for research'!AO$1))*2,2)</f>
        <v>00</v>
      </c>
    </row>
    <row r="894" spans="1:41" x14ac:dyDescent="0.4">
      <c r="A894" t="s">
        <v>138</v>
      </c>
      <c r="B894">
        <f>B893+1</f>
        <v>892</v>
      </c>
      <c r="C894" t="str">
        <f>MID('paste from garc here'!$C$2,1+(('table for research'!$B894-456)*36+HEX2DEC('table for research'!C$1))*2,2)</f>
        <v>00</v>
      </c>
      <c r="D894" t="str">
        <f>MID('paste from garc here'!$C$2,1+(('table for research'!$B894-456)*36+HEX2DEC('table for research'!D$1))*2,2)</f>
        <v>00</v>
      </c>
      <c r="E894" t="str">
        <f>MID('paste from garc here'!$C$2,1+(('table for research'!$B894-456)*36+HEX2DEC('table for research'!E$1))*2,2)</f>
        <v>00</v>
      </c>
      <c r="F894" t="str">
        <f>MID('paste from garc here'!$C$2,1+(('table for research'!$B894-456)*36+HEX2DEC('table for research'!F$1))*2,2)</f>
        <v>00</v>
      </c>
      <c r="G894" t="str">
        <f>MID('paste from garc here'!$C$2,1+(('table for research'!$B894-456)*36+HEX2DEC('table for research'!G$1))*2,2)</f>
        <v>00</v>
      </c>
      <c r="H894" t="str">
        <f>MID('paste from garc here'!$C$2,1+(('table for research'!$B894-456)*36+HEX2DEC('table for research'!H$1))*2,2)</f>
        <v>00</v>
      </c>
      <c r="I894" t="str">
        <f>MID('paste from garc here'!$C$2,1+(('table for research'!$B894-456)*36+HEX2DEC('table for research'!I$1))*2,2)</f>
        <v>00</v>
      </c>
      <c r="J894" t="str">
        <f>MID('paste from garc here'!$C$2,1+(('table for research'!$B894-456)*36+HEX2DEC('table for research'!J$1))*2,2)</f>
        <v>00</v>
      </c>
      <c r="K894" t="str">
        <f>DEC2HEX(_xlfn.BITAND(HEX2DEC(MID('paste from garc here'!$C$1,1+(('table for research'!$B894-1)*36+HEX2DEC(8))*2,2)),31),2)</f>
        <v>00</v>
      </c>
      <c r="L894" t="str">
        <f>DEC2HEX(_xlfn.BITAND(HEX2DEC(MID('paste from garc here'!$C$1,1+(('table for research'!$B894-1)*36+HEX2DEC(8))*2,2)),32),2)</f>
        <v>00</v>
      </c>
      <c r="M894" t="str">
        <f>DEC2HEX(_xlfn.BITAND(HEX2DEC(MID('paste from garc here'!$C$1,1+(('table for research'!$B894-1)*36+HEX2DEC(8))*2,2)),64),2)</f>
        <v>00</v>
      </c>
      <c r="N894" t="str">
        <f>DEC2HEX(_xlfn.BITRSHIFT(_xlfn.BITAND(HEX2DEC(MID('paste from garc here'!$C$1,1+(('table for research'!$B894-1)*36+HEX2DEC(9))*2,2)&amp;MID('paste from garc here'!$C$1,1+(('table for research'!$B894-1)*36+HEX2DEC(8))*2,2)),1920),7),2)</f>
        <v>00</v>
      </c>
      <c r="O894" t="str">
        <f>DEC2HEX(_xlfn.BITRSHIFT(HEX2DEC(MID('paste from garc here'!$C$1,1+(('table for research'!$B894-1)*36+HEX2DEC(9))*2,2)&amp;MID('paste from garc here'!$C$1,1+(('table for research'!$B894-1)*36+HEX2DEC(8))*2,2)),11),2)</f>
        <v>00</v>
      </c>
      <c r="P894" t="str">
        <f>MID('paste from garc here'!$C$2,1+(('table for research'!$B894-456)*36+HEX2DEC('table for research'!P$1))*2,2)</f>
        <v>00</v>
      </c>
      <c r="Q894" t="str">
        <f>MID('paste from garc here'!$C$2,1+(('table for research'!$B894-456)*36+HEX2DEC('table for research'!Q$1))*2,2)</f>
        <v>00</v>
      </c>
      <c r="R894" t="str">
        <f>MID('paste from garc here'!$C$2,1+(('table for research'!$B894-456)*36+HEX2DEC('table for research'!R$1))*2,2)</f>
        <v>00</v>
      </c>
      <c r="S894" t="str">
        <f>MID('paste from garc here'!$C$2,1+(('table for research'!$B894-456)*36+HEX2DEC('table for research'!S$1))*2,2)</f>
        <v>02</v>
      </c>
      <c r="T894" t="str">
        <f>MID('paste from garc here'!$C$2,1+(('table for research'!$B894-456)*36+HEX2DEC('table for research'!T$1))*2,2)</f>
        <v>00</v>
      </c>
      <c r="U894" t="str">
        <f>MID('paste from garc here'!$C$2,1+(('table for research'!$B894-456)*36+HEX2DEC('table for research'!U$1))*2,2)</f>
        <v>FF</v>
      </c>
      <c r="V894" t="str">
        <f>MID('paste from garc here'!$C$2,1+(('table for research'!$B894-456)*36+HEX2DEC('table for research'!V$1))*2,2)</f>
        <v>00</v>
      </c>
      <c r="W894" t="str">
        <f>MID('paste from garc here'!$C$2,1+(('table for research'!$B894-456)*36+HEX2DEC('table for research'!W$1))*2,2)</f>
        <v>00</v>
      </c>
      <c r="X894" t="str">
        <f>MID('paste from garc here'!$C$2,1+(('table for research'!$B894-456)*36+HEX2DEC('table for research'!X$1))*2,2)</f>
        <v>00</v>
      </c>
      <c r="Y894" t="str">
        <f>MID('paste from garc here'!$C$2,1+(('table for research'!$B894-456)*36+HEX2DEC('table for research'!Y$1))*2,2)</f>
        <v>00</v>
      </c>
      <c r="Z894" t="str">
        <f>MID('paste from garc here'!$C$2,1+(('table for research'!$B894-456)*36+HEX2DEC('table for research'!Z$1))*2,2)</f>
        <v>00</v>
      </c>
      <c r="AA894" t="str">
        <f>MID('paste from garc here'!$C$2,1+(('table for research'!$B894-456)*36+HEX2DEC('table for research'!AA$1))*2,2)</f>
        <v>00</v>
      </c>
      <c r="AB894" t="str">
        <f>MID('paste from garc here'!$C$2,1+(('table for research'!$B894-456)*36+HEX2DEC('table for research'!AB$1))*2,2)</f>
        <v>00</v>
      </c>
      <c r="AC894" t="str">
        <f>MID('paste from garc here'!$C$2,1+(('table for research'!$B894-456)*36+HEX2DEC('table for research'!AC$1))*2,2)</f>
        <v>00</v>
      </c>
      <c r="AD894" t="str">
        <f>MID('paste from garc here'!$C$2,1+(('table for research'!$B894-456)*36+HEX2DEC('table for research'!AD$1))*2,2)</f>
        <v>00</v>
      </c>
      <c r="AE894" t="str">
        <f>MID('paste from garc here'!$C$2,1+(('table for research'!$B894-456)*36+HEX2DEC('table for research'!AE$1))*2,2)</f>
        <v>00</v>
      </c>
      <c r="AF894" t="str">
        <f>MID('paste from garc here'!$C$2,1+(('table for research'!$B894-456)*36+HEX2DEC('table for research'!AF$1))*2,2)</f>
        <v>00</v>
      </c>
      <c r="AG894" t="str">
        <f>MID('paste from garc here'!$C$2,1+(('table for research'!$B894-456)*36+HEX2DEC('table for research'!AG$1))*2,2)</f>
        <v>00</v>
      </c>
      <c r="AH894" t="str">
        <f>MID('paste from garc here'!$C$2,1+(('table for research'!$B894-456)*36+HEX2DEC('table for research'!AH$1))*2,2)</f>
        <v>00</v>
      </c>
      <c r="AI894" t="str">
        <f>MID('paste from garc here'!$C$2,1+(('table for research'!$B894-456)*36+HEX2DEC('table for research'!AI$1))*2,2)</f>
        <v>00</v>
      </c>
      <c r="AJ894" t="str">
        <f>MID('paste from garc here'!$C$2,1+(('table for research'!$B894-456)*36+HEX2DEC('table for research'!AJ$1))*2,2)</f>
        <v>00</v>
      </c>
      <c r="AK894" t="str">
        <f>MID('paste from garc here'!$C$2,1+(('table for research'!$B894-456)*36+HEX2DEC('table for research'!AK$1))*2,2)</f>
        <v>00</v>
      </c>
      <c r="AL894" t="str">
        <f>MID('paste from garc here'!$C$2,1+(('table for research'!$B894-456)*36+HEX2DEC('table for research'!AL$1))*2,2)</f>
        <v>00</v>
      </c>
      <c r="AM894" t="str">
        <f>MID('paste from garc here'!$C$2,1+(('table for research'!$B894-456)*36+HEX2DEC('table for research'!AM$1))*2,2)</f>
        <v>00</v>
      </c>
      <c r="AN894" t="str">
        <f>MID('paste from garc here'!$C$2,1+(('table for research'!$B894-456)*36+HEX2DEC('table for research'!AN$1))*2,2)</f>
        <v>00</v>
      </c>
      <c r="AO894" t="str">
        <f>MID('paste from garc here'!$C$2,1+(('table for research'!$B894-456)*36+HEX2DEC('table for research'!AO$1))*2,2)</f>
        <v>00</v>
      </c>
    </row>
    <row r="895" spans="1:41" x14ac:dyDescent="0.4">
      <c r="A895" t="s">
        <v>138</v>
      </c>
      <c r="B895">
        <f>B894+1</f>
        <v>893</v>
      </c>
      <c r="C895" t="str">
        <f>MID('paste from garc here'!$C$2,1+(('table for research'!$B895-456)*36+HEX2DEC('table for research'!C$1))*2,2)</f>
        <v>00</v>
      </c>
      <c r="D895" t="str">
        <f>MID('paste from garc here'!$C$2,1+(('table for research'!$B895-456)*36+HEX2DEC('table for research'!D$1))*2,2)</f>
        <v>00</v>
      </c>
      <c r="E895" t="str">
        <f>MID('paste from garc here'!$C$2,1+(('table for research'!$B895-456)*36+HEX2DEC('table for research'!E$1))*2,2)</f>
        <v>00</v>
      </c>
      <c r="F895" t="str">
        <f>MID('paste from garc here'!$C$2,1+(('table for research'!$B895-456)*36+HEX2DEC('table for research'!F$1))*2,2)</f>
        <v>00</v>
      </c>
      <c r="G895" t="str">
        <f>MID('paste from garc here'!$C$2,1+(('table for research'!$B895-456)*36+HEX2DEC('table for research'!G$1))*2,2)</f>
        <v>00</v>
      </c>
      <c r="H895" t="str">
        <f>MID('paste from garc here'!$C$2,1+(('table for research'!$B895-456)*36+HEX2DEC('table for research'!H$1))*2,2)</f>
        <v>00</v>
      </c>
      <c r="I895" t="str">
        <f>MID('paste from garc here'!$C$2,1+(('table for research'!$B895-456)*36+HEX2DEC('table for research'!I$1))*2,2)</f>
        <v>00</v>
      </c>
      <c r="J895" t="str">
        <f>MID('paste from garc here'!$C$2,1+(('table for research'!$B895-456)*36+HEX2DEC('table for research'!J$1))*2,2)</f>
        <v>00</v>
      </c>
      <c r="K895" t="str">
        <f>DEC2HEX(_xlfn.BITAND(HEX2DEC(MID('paste from garc here'!$C$1,1+(('table for research'!$B895-1)*36+HEX2DEC(8))*2,2)),31),2)</f>
        <v>00</v>
      </c>
      <c r="L895" t="str">
        <f>DEC2HEX(_xlfn.BITAND(HEX2DEC(MID('paste from garc here'!$C$1,1+(('table for research'!$B895-1)*36+HEX2DEC(8))*2,2)),32),2)</f>
        <v>00</v>
      </c>
      <c r="M895" t="str">
        <f>DEC2HEX(_xlfn.BITAND(HEX2DEC(MID('paste from garc here'!$C$1,1+(('table for research'!$B895-1)*36+HEX2DEC(8))*2,2)),64),2)</f>
        <v>00</v>
      </c>
      <c r="N895" t="str">
        <f>DEC2HEX(_xlfn.BITRSHIFT(_xlfn.BITAND(HEX2DEC(MID('paste from garc here'!$C$1,1+(('table for research'!$B895-1)*36+HEX2DEC(9))*2,2)&amp;MID('paste from garc here'!$C$1,1+(('table for research'!$B895-1)*36+HEX2DEC(8))*2,2)),1920),7),2)</f>
        <v>00</v>
      </c>
      <c r="O895" t="str">
        <f>DEC2HEX(_xlfn.BITRSHIFT(HEX2DEC(MID('paste from garc here'!$C$1,1+(('table for research'!$B895-1)*36+HEX2DEC(9))*2,2)&amp;MID('paste from garc here'!$C$1,1+(('table for research'!$B895-1)*36+HEX2DEC(8))*2,2)),11),2)</f>
        <v>00</v>
      </c>
      <c r="P895" t="str">
        <f>MID('paste from garc here'!$C$2,1+(('table for research'!$B895-456)*36+HEX2DEC('table for research'!P$1))*2,2)</f>
        <v>00</v>
      </c>
      <c r="Q895" t="str">
        <f>MID('paste from garc here'!$C$2,1+(('table for research'!$B895-456)*36+HEX2DEC('table for research'!Q$1))*2,2)</f>
        <v>00</v>
      </c>
      <c r="R895" t="str">
        <f>MID('paste from garc here'!$C$2,1+(('table for research'!$B895-456)*36+HEX2DEC('table for research'!R$1))*2,2)</f>
        <v>00</v>
      </c>
      <c r="S895" t="str">
        <f>MID('paste from garc here'!$C$2,1+(('table for research'!$B895-456)*36+HEX2DEC('table for research'!S$1))*2,2)</f>
        <v>02</v>
      </c>
      <c r="T895" t="str">
        <f>MID('paste from garc here'!$C$2,1+(('table for research'!$B895-456)*36+HEX2DEC('table for research'!T$1))*2,2)</f>
        <v>00</v>
      </c>
      <c r="U895" t="str">
        <f>MID('paste from garc here'!$C$2,1+(('table for research'!$B895-456)*36+HEX2DEC('table for research'!U$1))*2,2)</f>
        <v>FF</v>
      </c>
      <c r="V895" t="str">
        <f>MID('paste from garc here'!$C$2,1+(('table for research'!$B895-456)*36+HEX2DEC('table for research'!V$1))*2,2)</f>
        <v>00</v>
      </c>
      <c r="W895" t="str">
        <f>MID('paste from garc here'!$C$2,1+(('table for research'!$B895-456)*36+HEX2DEC('table for research'!W$1))*2,2)</f>
        <v>00</v>
      </c>
      <c r="X895" t="str">
        <f>MID('paste from garc here'!$C$2,1+(('table for research'!$B895-456)*36+HEX2DEC('table for research'!X$1))*2,2)</f>
        <v>00</v>
      </c>
      <c r="Y895" t="str">
        <f>MID('paste from garc here'!$C$2,1+(('table for research'!$B895-456)*36+HEX2DEC('table for research'!Y$1))*2,2)</f>
        <v>00</v>
      </c>
      <c r="Z895" t="str">
        <f>MID('paste from garc here'!$C$2,1+(('table for research'!$B895-456)*36+HEX2DEC('table for research'!Z$1))*2,2)</f>
        <v>00</v>
      </c>
      <c r="AA895" t="str">
        <f>MID('paste from garc here'!$C$2,1+(('table for research'!$B895-456)*36+HEX2DEC('table for research'!AA$1))*2,2)</f>
        <v>00</v>
      </c>
      <c r="AB895" t="str">
        <f>MID('paste from garc here'!$C$2,1+(('table for research'!$B895-456)*36+HEX2DEC('table for research'!AB$1))*2,2)</f>
        <v>00</v>
      </c>
      <c r="AC895" t="str">
        <f>MID('paste from garc here'!$C$2,1+(('table for research'!$B895-456)*36+HEX2DEC('table for research'!AC$1))*2,2)</f>
        <v>00</v>
      </c>
      <c r="AD895" t="str">
        <f>MID('paste from garc here'!$C$2,1+(('table for research'!$B895-456)*36+HEX2DEC('table for research'!AD$1))*2,2)</f>
        <v>00</v>
      </c>
      <c r="AE895" t="str">
        <f>MID('paste from garc here'!$C$2,1+(('table for research'!$B895-456)*36+HEX2DEC('table for research'!AE$1))*2,2)</f>
        <v>00</v>
      </c>
      <c r="AF895" t="str">
        <f>MID('paste from garc here'!$C$2,1+(('table for research'!$B895-456)*36+HEX2DEC('table for research'!AF$1))*2,2)</f>
        <v>00</v>
      </c>
      <c r="AG895" t="str">
        <f>MID('paste from garc here'!$C$2,1+(('table for research'!$B895-456)*36+HEX2DEC('table for research'!AG$1))*2,2)</f>
        <v>00</v>
      </c>
      <c r="AH895" t="str">
        <f>MID('paste from garc here'!$C$2,1+(('table for research'!$B895-456)*36+HEX2DEC('table for research'!AH$1))*2,2)</f>
        <v>00</v>
      </c>
      <c r="AI895" t="str">
        <f>MID('paste from garc here'!$C$2,1+(('table for research'!$B895-456)*36+HEX2DEC('table for research'!AI$1))*2,2)</f>
        <v>00</v>
      </c>
      <c r="AJ895" t="str">
        <f>MID('paste from garc here'!$C$2,1+(('table for research'!$B895-456)*36+HEX2DEC('table for research'!AJ$1))*2,2)</f>
        <v>00</v>
      </c>
      <c r="AK895" t="str">
        <f>MID('paste from garc here'!$C$2,1+(('table for research'!$B895-456)*36+HEX2DEC('table for research'!AK$1))*2,2)</f>
        <v>00</v>
      </c>
      <c r="AL895" t="str">
        <f>MID('paste from garc here'!$C$2,1+(('table for research'!$B895-456)*36+HEX2DEC('table for research'!AL$1))*2,2)</f>
        <v>00</v>
      </c>
      <c r="AM895" t="str">
        <f>MID('paste from garc here'!$C$2,1+(('table for research'!$B895-456)*36+HEX2DEC('table for research'!AM$1))*2,2)</f>
        <v>00</v>
      </c>
      <c r="AN895" t="str">
        <f>MID('paste from garc here'!$C$2,1+(('table for research'!$B895-456)*36+HEX2DEC('table for research'!AN$1))*2,2)</f>
        <v>00</v>
      </c>
      <c r="AO895" t="str">
        <f>MID('paste from garc here'!$C$2,1+(('table for research'!$B895-456)*36+HEX2DEC('table for research'!AO$1))*2,2)</f>
        <v>00</v>
      </c>
    </row>
    <row r="896" spans="1:41" x14ac:dyDescent="0.4">
      <c r="A896" t="s">
        <v>138</v>
      </c>
      <c r="B896">
        <f>B895+1</f>
        <v>894</v>
      </c>
      <c r="C896" t="str">
        <f>MID('paste from garc here'!$C$2,1+(('table for research'!$B896-456)*36+HEX2DEC('table for research'!C$1))*2,2)</f>
        <v>00</v>
      </c>
      <c r="D896" t="str">
        <f>MID('paste from garc here'!$C$2,1+(('table for research'!$B896-456)*36+HEX2DEC('table for research'!D$1))*2,2)</f>
        <v>00</v>
      </c>
      <c r="E896" t="str">
        <f>MID('paste from garc here'!$C$2,1+(('table for research'!$B896-456)*36+HEX2DEC('table for research'!E$1))*2,2)</f>
        <v>00</v>
      </c>
      <c r="F896" t="str">
        <f>MID('paste from garc here'!$C$2,1+(('table for research'!$B896-456)*36+HEX2DEC('table for research'!F$1))*2,2)</f>
        <v>00</v>
      </c>
      <c r="G896" t="str">
        <f>MID('paste from garc here'!$C$2,1+(('table for research'!$B896-456)*36+HEX2DEC('table for research'!G$1))*2,2)</f>
        <v>00</v>
      </c>
      <c r="H896" t="str">
        <f>MID('paste from garc here'!$C$2,1+(('table for research'!$B896-456)*36+HEX2DEC('table for research'!H$1))*2,2)</f>
        <v>00</v>
      </c>
      <c r="I896" t="str">
        <f>MID('paste from garc here'!$C$2,1+(('table for research'!$B896-456)*36+HEX2DEC('table for research'!I$1))*2,2)</f>
        <v>00</v>
      </c>
      <c r="J896" t="str">
        <f>MID('paste from garc here'!$C$2,1+(('table for research'!$B896-456)*36+HEX2DEC('table for research'!J$1))*2,2)</f>
        <v>00</v>
      </c>
      <c r="K896" t="str">
        <f>DEC2HEX(_xlfn.BITAND(HEX2DEC(MID('paste from garc here'!$C$1,1+(('table for research'!$B896-1)*36+HEX2DEC(8))*2,2)),31),2)</f>
        <v>00</v>
      </c>
      <c r="L896" t="str">
        <f>DEC2HEX(_xlfn.BITAND(HEX2DEC(MID('paste from garc here'!$C$1,1+(('table for research'!$B896-1)*36+HEX2DEC(8))*2,2)),32),2)</f>
        <v>00</v>
      </c>
      <c r="M896" t="str">
        <f>DEC2HEX(_xlfn.BITAND(HEX2DEC(MID('paste from garc here'!$C$1,1+(('table for research'!$B896-1)*36+HEX2DEC(8))*2,2)),64),2)</f>
        <v>00</v>
      </c>
      <c r="N896" t="str">
        <f>DEC2HEX(_xlfn.BITRSHIFT(_xlfn.BITAND(HEX2DEC(MID('paste from garc here'!$C$1,1+(('table for research'!$B896-1)*36+HEX2DEC(9))*2,2)&amp;MID('paste from garc here'!$C$1,1+(('table for research'!$B896-1)*36+HEX2DEC(8))*2,2)),1920),7),2)</f>
        <v>00</v>
      </c>
      <c r="O896" t="str">
        <f>DEC2HEX(_xlfn.BITRSHIFT(HEX2DEC(MID('paste from garc here'!$C$1,1+(('table for research'!$B896-1)*36+HEX2DEC(9))*2,2)&amp;MID('paste from garc here'!$C$1,1+(('table for research'!$B896-1)*36+HEX2DEC(8))*2,2)),11),2)</f>
        <v>00</v>
      </c>
      <c r="P896" t="str">
        <f>MID('paste from garc here'!$C$2,1+(('table for research'!$B896-456)*36+HEX2DEC('table for research'!P$1))*2,2)</f>
        <v>00</v>
      </c>
      <c r="Q896" t="str">
        <f>MID('paste from garc here'!$C$2,1+(('table for research'!$B896-456)*36+HEX2DEC('table for research'!Q$1))*2,2)</f>
        <v>00</v>
      </c>
      <c r="R896" t="str">
        <f>MID('paste from garc here'!$C$2,1+(('table for research'!$B896-456)*36+HEX2DEC('table for research'!R$1))*2,2)</f>
        <v>00</v>
      </c>
      <c r="S896" t="str">
        <f>MID('paste from garc here'!$C$2,1+(('table for research'!$B896-456)*36+HEX2DEC('table for research'!S$1))*2,2)</f>
        <v>02</v>
      </c>
      <c r="T896" t="str">
        <f>MID('paste from garc here'!$C$2,1+(('table for research'!$B896-456)*36+HEX2DEC('table for research'!T$1))*2,2)</f>
        <v>00</v>
      </c>
      <c r="U896" t="str">
        <f>MID('paste from garc here'!$C$2,1+(('table for research'!$B896-456)*36+HEX2DEC('table for research'!U$1))*2,2)</f>
        <v>FF</v>
      </c>
      <c r="V896" t="str">
        <f>MID('paste from garc here'!$C$2,1+(('table for research'!$B896-456)*36+HEX2DEC('table for research'!V$1))*2,2)</f>
        <v>00</v>
      </c>
      <c r="W896" t="str">
        <f>MID('paste from garc here'!$C$2,1+(('table for research'!$B896-456)*36+HEX2DEC('table for research'!W$1))*2,2)</f>
        <v>00</v>
      </c>
      <c r="X896" t="str">
        <f>MID('paste from garc here'!$C$2,1+(('table for research'!$B896-456)*36+HEX2DEC('table for research'!X$1))*2,2)</f>
        <v>00</v>
      </c>
      <c r="Y896" t="str">
        <f>MID('paste from garc here'!$C$2,1+(('table for research'!$B896-456)*36+HEX2DEC('table for research'!Y$1))*2,2)</f>
        <v>00</v>
      </c>
      <c r="Z896" t="str">
        <f>MID('paste from garc here'!$C$2,1+(('table for research'!$B896-456)*36+HEX2DEC('table for research'!Z$1))*2,2)</f>
        <v>00</v>
      </c>
      <c r="AA896" t="str">
        <f>MID('paste from garc here'!$C$2,1+(('table for research'!$B896-456)*36+HEX2DEC('table for research'!AA$1))*2,2)</f>
        <v>00</v>
      </c>
      <c r="AB896" t="str">
        <f>MID('paste from garc here'!$C$2,1+(('table for research'!$B896-456)*36+HEX2DEC('table for research'!AB$1))*2,2)</f>
        <v>00</v>
      </c>
      <c r="AC896" t="str">
        <f>MID('paste from garc here'!$C$2,1+(('table for research'!$B896-456)*36+HEX2DEC('table for research'!AC$1))*2,2)</f>
        <v>00</v>
      </c>
      <c r="AD896" t="str">
        <f>MID('paste from garc here'!$C$2,1+(('table for research'!$B896-456)*36+HEX2DEC('table for research'!AD$1))*2,2)</f>
        <v>00</v>
      </c>
      <c r="AE896" t="str">
        <f>MID('paste from garc here'!$C$2,1+(('table for research'!$B896-456)*36+HEX2DEC('table for research'!AE$1))*2,2)</f>
        <v>00</v>
      </c>
      <c r="AF896" t="str">
        <f>MID('paste from garc here'!$C$2,1+(('table for research'!$B896-456)*36+HEX2DEC('table for research'!AF$1))*2,2)</f>
        <v>00</v>
      </c>
      <c r="AG896" t="str">
        <f>MID('paste from garc here'!$C$2,1+(('table for research'!$B896-456)*36+HEX2DEC('table for research'!AG$1))*2,2)</f>
        <v>00</v>
      </c>
      <c r="AH896" t="str">
        <f>MID('paste from garc here'!$C$2,1+(('table for research'!$B896-456)*36+HEX2DEC('table for research'!AH$1))*2,2)</f>
        <v>00</v>
      </c>
      <c r="AI896" t="str">
        <f>MID('paste from garc here'!$C$2,1+(('table for research'!$B896-456)*36+HEX2DEC('table for research'!AI$1))*2,2)</f>
        <v>00</v>
      </c>
      <c r="AJ896" t="str">
        <f>MID('paste from garc here'!$C$2,1+(('table for research'!$B896-456)*36+HEX2DEC('table for research'!AJ$1))*2,2)</f>
        <v>00</v>
      </c>
      <c r="AK896" t="str">
        <f>MID('paste from garc here'!$C$2,1+(('table for research'!$B896-456)*36+HEX2DEC('table for research'!AK$1))*2,2)</f>
        <v>00</v>
      </c>
      <c r="AL896" t="str">
        <f>MID('paste from garc here'!$C$2,1+(('table for research'!$B896-456)*36+HEX2DEC('table for research'!AL$1))*2,2)</f>
        <v>00</v>
      </c>
      <c r="AM896" t="str">
        <f>MID('paste from garc here'!$C$2,1+(('table for research'!$B896-456)*36+HEX2DEC('table for research'!AM$1))*2,2)</f>
        <v>00</v>
      </c>
      <c r="AN896" t="str">
        <f>MID('paste from garc here'!$C$2,1+(('table for research'!$B896-456)*36+HEX2DEC('table for research'!AN$1))*2,2)</f>
        <v>00</v>
      </c>
      <c r="AO896" t="str">
        <f>MID('paste from garc here'!$C$2,1+(('table for research'!$B896-456)*36+HEX2DEC('table for research'!AO$1))*2,2)</f>
        <v>00</v>
      </c>
    </row>
    <row r="897" spans="1:41" x14ac:dyDescent="0.4">
      <c r="A897" t="s">
        <v>138</v>
      </c>
      <c r="B897">
        <f>B896+1</f>
        <v>895</v>
      </c>
      <c r="C897" t="str">
        <f>MID('paste from garc here'!$C$2,1+(('table for research'!$B897-456)*36+HEX2DEC('table for research'!C$1))*2,2)</f>
        <v>00</v>
      </c>
      <c r="D897" t="str">
        <f>MID('paste from garc here'!$C$2,1+(('table for research'!$B897-456)*36+HEX2DEC('table for research'!D$1))*2,2)</f>
        <v>00</v>
      </c>
      <c r="E897" t="str">
        <f>MID('paste from garc here'!$C$2,1+(('table for research'!$B897-456)*36+HEX2DEC('table for research'!E$1))*2,2)</f>
        <v>00</v>
      </c>
      <c r="F897" t="str">
        <f>MID('paste from garc here'!$C$2,1+(('table for research'!$B897-456)*36+HEX2DEC('table for research'!F$1))*2,2)</f>
        <v>00</v>
      </c>
      <c r="G897" t="str">
        <f>MID('paste from garc here'!$C$2,1+(('table for research'!$B897-456)*36+HEX2DEC('table for research'!G$1))*2,2)</f>
        <v>00</v>
      </c>
      <c r="H897" t="str">
        <f>MID('paste from garc here'!$C$2,1+(('table for research'!$B897-456)*36+HEX2DEC('table for research'!H$1))*2,2)</f>
        <v>00</v>
      </c>
      <c r="I897" t="str">
        <f>MID('paste from garc here'!$C$2,1+(('table for research'!$B897-456)*36+HEX2DEC('table for research'!I$1))*2,2)</f>
        <v>00</v>
      </c>
      <c r="J897" t="str">
        <f>MID('paste from garc here'!$C$2,1+(('table for research'!$B897-456)*36+HEX2DEC('table for research'!J$1))*2,2)</f>
        <v>00</v>
      </c>
      <c r="K897" t="str">
        <f>DEC2HEX(_xlfn.BITAND(HEX2DEC(MID('paste from garc here'!$C$1,1+(('table for research'!$B897-1)*36+HEX2DEC(8))*2,2)),31),2)</f>
        <v>00</v>
      </c>
      <c r="L897" t="str">
        <f>DEC2HEX(_xlfn.BITAND(HEX2DEC(MID('paste from garc here'!$C$1,1+(('table for research'!$B897-1)*36+HEX2DEC(8))*2,2)),32),2)</f>
        <v>00</v>
      </c>
      <c r="M897" t="str">
        <f>DEC2HEX(_xlfn.BITAND(HEX2DEC(MID('paste from garc here'!$C$1,1+(('table for research'!$B897-1)*36+HEX2DEC(8))*2,2)),64),2)</f>
        <v>00</v>
      </c>
      <c r="N897" t="str">
        <f>DEC2HEX(_xlfn.BITRSHIFT(_xlfn.BITAND(HEX2DEC(MID('paste from garc here'!$C$1,1+(('table for research'!$B897-1)*36+HEX2DEC(9))*2,2)&amp;MID('paste from garc here'!$C$1,1+(('table for research'!$B897-1)*36+HEX2DEC(8))*2,2)),1920),7),2)</f>
        <v>00</v>
      </c>
      <c r="O897" t="str">
        <f>DEC2HEX(_xlfn.BITRSHIFT(HEX2DEC(MID('paste from garc here'!$C$1,1+(('table for research'!$B897-1)*36+HEX2DEC(9))*2,2)&amp;MID('paste from garc here'!$C$1,1+(('table for research'!$B897-1)*36+HEX2DEC(8))*2,2)),11),2)</f>
        <v>00</v>
      </c>
      <c r="P897" t="str">
        <f>MID('paste from garc here'!$C$2,1+(('table for research'!$B897-456)*36+HEX2DEC('table for research'!P$1))*2,2)</f>
        <v>00</v>
      </c>
      <c r="Q897" t="str">
        <f>MID('paste from garc here'!$C$2,1+(('table for research'!$B897-456)*36+HEX2DEC('table for research'!Q$1))*2,2)</f>
        <v>00</v>
      </c>
      <c r="R897" t="str">
        <f>MID('paste from garc here'!$C$2,1+(('table for research'!$B897-456)*36+HEX2DEC('table for research'!R$1))*2,2)</f>
        <v>00</v>
      </c>
      <c r="S897" t="str">
        <f>MID('paste from garc here'!$C$2,1+(('table for research'!$B897-456)*36+HEX2DEC('table for research'!S$1))*2,2)</f>
        <v>02</v>
      </c>
      <c r="T897" t="str">
        <f>MID('paste from garc here'!$C$2,1+(('table for research'!$B897-456)*36+HEX2DEC('table for research'!T$1))*2,2)</f>
        <v>00</v>
      </c>
      <c r="U897" t="str">
        <f>MID('paste from garc here'!$C$2,1+(('table for research'!$B897-456)*36+HEX2DEC('table for research'!U$1))*2,2)</f>
        <v>FF</v>
      </c>
      <c r="V897" t="str">
        <f>MID('paste from garc here'!$C$2,1+(('table for research'!$B897-456)*36+HEX2DEC('table for research'!V$1))*2,2)</f>
        <v>00</v>
      </c>
      <c r="W897" t="str">
        <f>MID('paste from garc here'!$C$2,1+(('table for research'!$B897-456)*36+HEX2DEC('table for research'!W$1))*2,2)</f>
        <v>00</v>
      </c>
      <c r="X897" t="str">
        <f>MID('paste from garc here'!$C$2,1+(('table for research'!$B897-456)*36+HEX2DEC('table for research'!X$1))*2,2)</f>
        <v>00</v>
      </c>
      <c r="Y897" t="str">
        <f>MID('paste from garc here'!$C$2,1+(('table for research'!$B897-456)*36+HEX2DEC('table for research'!Y$1))*2,2)</f>
        <v>00</v>
      </c>
      <c r="Z897" t="str">
        <f>MID('paste from garc here'!$C$2,1+(('table for research'!$B897-456)*36+HEX2DEC('table for research'!Z$1))*2,2)</f>
        <v>00</v>
      </c>
      <c r="AA897" t="str">
        <f>MID('paste from garc here'!$C$2,1+(('table for research'!$B897-456)*36+HEX2DEC('table for research'!AA$1))*2,2)</f>
        <v>00</v>
      </c>
      <c r="AB897" t="str">
        <f>MID('paste from garc here'!$C$2,1+(('table for research'!$B897-456)*36+HEX2DEC('table for research'!AB$1))*2,2)</f>
        <v>00</v>
      </c>
      <c r="AC897" t="str">
        <f>MID('paste from garc here'!$C$2,1+(('table for research'!$B897-456)*36+HEX2DEC('table for research'!AC$1))*2,2)</f>
        <v>00</v>
      </c>
      <c r="AD897" t="str">
        <f>MID('paste from garc here'!$C$2,1+(('table for research'!$B897-456)*36+HEX2DEC('table for research'!AD$1))*2,2)</f>
        <v>00</v>
      </c>
      <c r="AE897" t="str">
        <f>MID('paste from garc here'!$C$2,1+(('table for research'!$B897-456)*36+HEX2DEC('table for research'!AE$1))*2,2)</f>
        <v>00</v>
      </c>
      <c r="AF897" t="str">
        <f>MID('paste from garc here'!$C$2,1+(('table for research'!$B897-456)*36+HEX2DEC('table for research'!AF$1))*2,2)</f>
        <v>00</v>
      </c>
      <c r="AG897" t="str">
        <f>MID('paste from garc here'!$C$2,1+(('table for research'!$B897-456)*36+HEX2DEC('table for research'!AG$1))*2,2)</f>
        <v>00</v>
      </c>
      <c r="AH897" t="str">
        <f>MID('paste from garc here'!$C$2,1+(('table for research'!$B897-456)*36+HEX2DEC('table for research'!AH$1))*2,2)</f>
        <v>00</v>
      </c>
      <c r="AI897" t="str">
        <f>MID('paste from garc here'!$C$2,1+(('table for research'!$B897-456)*36+HEX2DEC('table for research'!AI$1))*2,2)</f>
        <v>00</v>
      </c>
      <c r="AJ897" t="str">
        <f>MID('paste from garc here'!$C$2,1+(('table for research'!$B897-456)*36+HEX2DEC('table for research'!AJ$1))*2,2)</f>
        <v>00</v>
      </c>
      <c r="AK897" t="str">
        <f>MID('paste from garc here'!$C$2,1+(('table for research'!$B897-456)*36+HEX2DEC('table for research'!AK$1))*2,2)</f>
        <v>00</v>
      </c>
      <c r="AL897" t="str">
        <f>MID('paste from garc here'!$C$2,1+(('table for research'!$B897-456)*36+HEX2DEC('table for research'!AL$1))*2,2)</f>
        <v>00</v>
      </c>
      <c r="AM897" t="str">
        <f>MID('paste from garc here'!$C$2,1+(('table for research'!$B897-456)*36+HEX2DEC('table for research'!AM$1))*2,2)</f>
        <v>00</v>
      </c>
      <c r="AN897" t="str">
        <f>MID('paste from garc here'!$C$2,1+(('table for research'!$B897-456)*36+HEX2DEC('table for research'!AN$1))*2,2)</f>
        <v>00</v>
      </c>
      <c r="AO897" t="str">
        <f>MID('paste from garc here'!$C$2,1+(('table for research'!$B897-456)*36+HEX2DEC('table for research'!AO$1))*2,2)</f>
        <v>00</v>
      </c>
    </row>
    <row r="898" spans="1:41" x14ac:dyDescent="0.4">
      <c r="A898" t="s">
        <v>138</v>
      </c>
      <c r="B898">
        <f>B897+1</f>
        <v>896</v>
      </c>
      <c r="C898" t="str">
        <f>MID('paste from garc here'!$C$2,1+(('table for research'!$B898-456)*36+HEX2DEC('table for research'!C$1))*2,2)</f>
        <v>00</v>
      </c>
      <c r="D898" t="str">
        <f>MID('paste from garc here'!$C$2,1+(('table for research'!$B898-456)*36+HEX2DEC('table for research'!D$1))*2,2)</f>
        <v>00</v>
      </c>
      <c r="E898" t="str">
        <f>MID('paste from garc here'!$C$2,1+(('table for research'!$B898-456)*36+HEX2DEC('table for research'!E$1))*2,2)</f>
        <v>00</v>
      </c>
      <c r="F898" t="str">
        <f>MID('paste from garc here'!$C$2,1+(('table for research'!$B898-456)*36+HEX2DEC('table for research'!F$1))*2,2)</f>
        <v>00</v>
      </c>
      <c r="G898" t="str">
        <f>MID('paste from garc here'!$C$2,1+(('table for research'!$B898-456)*36+HEX2DEC('table for research'!G$1))*2,2)</f>
        <v>00</v>
      </c>
      <c r="H898" t="str">
        <f>MID('paste from garc here'!$C$2,1+(('table for research'!$B898-456)*36+HEX2DEC('table for research'!H$1))*2,2)</f>
        <v>00</v>
      </c>
      <c r="I898" t="str">
        <f>MID('paste from garc here'!$C$2,1+(('table for research'!$B898-456)*36+HEX2DEC('table for research'!I$1))*2,2)</f>
        <v>00</v>
      </c>
      <c r="J898" t="str">
        <f>MID('paste from garc here'!$C$2,1+(('table for research'!$B898-456)*36+HEX2DEC('table for research'!J$1))*2,2)</f>
        <v>00</v>
      </c>
      <c r="K898" t="str">
        <f>DEC2HEX(_xlfn.BITAND(HEX2DEC(MID('paste from garc here'!$C$1,1+(('table for research'!$B898-1)*36+HEX2DEC(8))*2,2)),31),2)</f>
        <v>00</v>
      </c>
      <c r="L898" t="str">
        <f>DEC2HEX(_xlfn.BITAND(HEX2DEC(MID('paste from garc here'!$C$1,1+(('table for research'!$B898-1)*36+HEX2DEC(8))*2,2)),32),2)</f>
        <v>00</v>
      </c>
      <c r="M898" t="str">
        <f>DEC2HEX(_xlfn.BITAND(HEX2DEC(MID('paste from garc here'!$C$1,1+(('table for research'!$B898-1)*36+HEX2DEC(8))*2,2)),64),2)</f>
        <v>00</v>
      </c>
      <c r="N898" t="str">
        <f>DEC2HEX(_xlfn.BITRSHIFT(_xlfn.BITAND(HEX2DEC(MID('paste from garc here'!$C$1,1+(('table for research'!$B898-1)*36+HEX2DEC(9))*2,2)&amp;MID('paste from garc here'!$C$1,1+(('table for research'!$B898-1)*36+HEX2DEC(8))*2,2)),1920),7),2)</f>
        <v>00</v>
      </c>
      <c r="O898" t="str">
        <f>DEC2HEX(_xlfn.BITRSHIFT(HEX2DEC(MID('paste from garc here'!$C$1,1+(('table for research'!$B898-1)*36+HEX2DEC(9))*2,2)&amp;MID('paste from garc here'!$C$1,1+(('table for research'!$B898-1)*36+HEX2DEC(8))*2,2)),11),2)</f>
        <v>00</v>
      </c>
      <c r="P898" t="str">
        <f>MID('paste from garc here'!$C$2,1+(('table for research'!$B898-456)*36+HEX2DEC('table for research'!P$1))*2,2)</f>
        <v>00</v>
      </c>
      <c r="Q898" t="str">
        <f>MID('paste from garc here'!$C$2,1+(('table for research'!$B898-456)*36+HEX2DEC('table for research'!Q$1))*2,2)</f>
        <v>00</v>
      </c>
      <c r="R898" t="str">
        <f>MID('paste from garc here'!$C$2,1+(('table for research'!$B898-456)*36+HEX2DEC('table for research'!R$1))*2,2)</f>
        <v>00</v>
      </c>
      <c r="S898" t="str">
        <f>MID('paste from garc here'!$C$2,1+(('table for research'!$B898-456)*36+HEX2DEC('table for research'!S$1))*2,2)</f>
        <v>02</v>
      </c>
      <c r="T898" t="str">
        <f>MID('paste from garc here'!$C$2,1+(('table for research'!$B898-456)*36+HEX2DEC('table for research'!T$1))*2,2)</f>
        <v>00</v>
      </c>
      <c r="U898" t="str">
        <f>MID('paste from garc here'!$C$2,1+(('table for research'!$B898-456)*36+HEX2DEC('table for research'!U$1))*2,2)</f>
        <v>FF</v>
      </c>
      <c r="V898" t="str">
        <f>MID('paste from garc here'!$C$2,1+(('table for research'!$B898-456)*36+HEX2DEC('table for research'!V$1))*2,2)</f>
        <v>00</v>
      </c>
      <c r="W898" t="str">
        <f>MID('paste from garc here'!$C$2,1+(('table for research'!$B898-456)*36+HEX2DEC('table for research'!W$1))*2,2)</f>
        <v>00</v>
      </c>
      <c r="X898" t="str">
        <f>MID('paste from garc here'!$C$2,1+(('table for research'!$B898-456)*36+HEX2DEC('table for research'!X$1))*2,2)</f>
        <v>00</v>
      </c>
      <c r="Y898" t="str">
        <f>MID('paste from garc here'!$C$2,1+(('table for research'!$B898-456)*36+HEX2DEC('table for research'!Y$1))*2,2)</f>
        <v>00</v>
      </c>
      <c r="Z898" t="str">
        <f>MID('paste from garc here'!$C$2,1+(('table for research'!$B898-456)*36+HEX2DEC('table for research'!Z$1))*2,2)</f>
        <v>00</v>
      </c>
      <c r="AA898" t="str">
        <f>MID('paste from garc here'!$C$2,1+(('table for research'!$B898-456)*36+HEX2DEC('table for research'!AA$1))*2,2)</f>
        <v>00</v>
      </c>
      <c r="AB898" t="str">
        <f>MID('paste from garc here'!$C$2,1+(('table for research'!$B898-456)*36+HEX2DEC('table for research'!AB$1))*2,2)</f>
        <v>00</v>
      </c>
      <c r="AC898" t="str">
        <f>MID('paste from garc here'!$C$2,1+(('table for research'!$B898-456)*36+HEX2DEC('table for research'!AC$1))*2,2)</f>
        <v>00</v>
      </c>
      <c r="AD898" t="str">
        <f>MID('paste from garc here'!$C$2,1+(('table for research'!$B898-456)*36+HEX2DEC('table for research'!AD$1))*2,2)</f>
        <v>00</v>
      </c>
      <c r="AE898" t="str">
        <f>MID('paste from garc here'!$C$2,1+(('table for research'!$B898-456)*36+HEX2DEC('table for research'!AE$1))*2,2)</f>
        <v>00</v>
      </c>
      <c r="AF898" t="str">
        <f>MID('paste from garc here'!$C$2,1+(('table for research'!$B898-456)*36+HEX2DEC('table for research'!AF$1))*2,2)</f>
        <v>00</v>
      </c>
      <c r="AG898" t="str">
        <f>MID('paste from garc here'!$C$2,1+(('table for research'!$B898-456)*36+HEX2DEC('table for research'!AG$1))*2,2)</f>
        <v>00</v>
      </c>
      <c r="AH898" t="str">
        <f>MID('paste from garc here'!$C$2,1+(('table for research'!$B898-456)*36+HEX2DEC('table for research'!AH$1))*2,2)</f>
        <v>00</v>
      </c>
      <c r="AI898" t="str">
        <f>MID('paste from garc here'!$C$2,1+(('table for research'!$B898-456)*36+HEX2DEC('table for research'!AI$1))*2,2)</f>
        <v>00</v>
      </c>
      <c r="AJ898" t="str">
        <f>MID('paste from garc here'!$C$2,1+(('table for research'!$B898-456)*36+HEX2DEC('table for research'!AJ$1))*2,2)</f>
        <v>00</v>
      </c>
      <c r="AK898" t="str">
        <f>MID('paste from garc here'!$C$2,1+(('table for research'!$B898-456)*36+HEX2DEC('table for research'!AK$1))*2,2)</f>
        <v>00</v>
      </c>
      <c r="AL898" t="str">
        <f>MID('paste from garc here'!$C$2,1+(('table for research'!$B898-456)*36+HEX2DEC('table for research'!AL$1))*2,2)</f>
        <v>00</v>
      </c>
      <c r="AM898" t="str">
        <f>MID('paste from garc here'!$C$2,1+(('table for research'!$B898-456)*36+HEX2DEC('table for research'!AM$1))*2,2)</f>
        <v>00</v>
      </c>
      <c r="AN898" t="str">
        <f>MID('paste from garc here'!$C$2,1+(('table for research'!$B898-456)*36+HEX2DEC('table for research'!AN$1))*2,2)</f>
        <v>00</v>
      </c>
      <c r="AO898" t="str">
        <f>MID('paste from garc here'!$C$2,1+(('table for research'!$B898-456)*36+HEX2DEC('table for research'!AO$1))*2,2)</f>
        <v>00</v>
      </c>
    </row>
    <row r="899" spans="1:41" x14ac:dyDescent="0.4">
      <c r="A899" t="s">
        <v>138</v>
      </c>
      <c r="B899">
        <f>B898+1</f>
        <v>897</v>
      </c>
      <c r="C899" t="str">
        <f>MID('paste from garc here'!$C$2,1+(('table for research'!$B899-456)*36+HEX2DEC('table for research'!C$1))*2,2)</f>
        <v>00</v>
      </c>
      <c r="D899" t="str">
        <f>MID('paste from garc here'!$C$2,1+(('table for research'!$B899-456)*36+HEX2DEC('table for research'!D$1))*2,2)</f>
        <v>00</v>
      </c>
      <c r="E899" t="str">
        <f>MID('paste from garc here'!$C$2,1+(('table for research'!$B899-456)*36+HEX2DEC('table for research'!E$1))*2,2)</f>
        <v>00</v>
      </c>
      <c r="F899" t="str">
        <f>MID('paste from garc here'!$C$2,1+(('table for research'!$B899-456)*36+HEX2DEC('table for research'!F$1))*2,2)</f>
        <v>00</v>
      </c>
      <c r="G899" t="str">
        <f>MID('paste from garc here'!$C$2,1+(('table for research'!$B899-456)*36+HEX2DEC('table for research'!G$1))*2,2)</f>
        <v>00</v>
      </c>
      <c r="H899" t="str">
        <f>MID('paste from garc here'!$C$2,1+(('table for research'!$B899-456)*36+HEX2DEC('table for research'!H$1))*2,2)</f>
        <v>00</v>
      </c>
      <c r="I899" t="str">
        <f>MID('paste from garc here'!$C$2,1+(('table for research'!$B899-456)*36+HEX2DEC('table for research'!I$1))*2,2)</f>
        <v>00</v>
      </c>
      <c r="J899" t="str">
        <f>MID('paste from garc here'!$C$2,1+(('table for research'!$B899-456)*36+HEX2DEC('table for research'!J$1))*2,2)</f>
        <v>00</v>
      </c>
      <c r="K899" t="str">
        <f>DEC2HEX(_xlfn.BITAND(HEX2DEC(MID('paste from garc here'!$C$1,1+(('table for research'!$B899-1)*36+HEX2DEC(8))*2,2)),31),2)</f>
        <v>00</v>
      </c>
      <c r="L899" t="str">
        <f>DEC2HEX(_xlfn.BITAND(HEX2DEC(MID('paste from garc here'!$C$1,1+(('table for research'!$B899-1)*36+HEX2DEC(8))*2,2)),32),2)</f>
        <v>00</v>
      </c>
      <c r="M899" t="str">
        <f>DEC2HEX(_xlfn.BITAND(HEX2DEC(MID('paste from garc here'!$C$1,1+(('table for research'!$B899-1)*36+HEX2DEC(8))*2,2)),64),2)</f>
        <v>00</v>
      </c>
      <c r="N899" t="str">
        <f>DEC2HEX(_xlfn.BITRSHIFT(_xlfn.BITAND(HEX2DEC(MID('paste from garc here'!$C$1,1+(('table for research'!$B899-1)*36+HEX2DEC(9))*2,2)&amp;MID('paste from garc here'!$C$1,1+(('table for research'!$B899-1)*36+HEX2DEC(8))*2,2)),1920),7),2)</f>
        <v>00</v>
      </c>
      <c r="O899" t="str">
        <f>DEC2HEX(_xlfn.BITRSHIFT(HEX2DEC(MID('paste from garc here'!$C$1,1+(('table for research'!$B899-1)*36+HEX2DEC(9))*2,2)&amp;MID('paste from garc here'!$C$1,1+(('table for research'!$B899-1)*36+HEX2DEC(8))*2,2)),11),2)</f>
        <v>00</v>
      </c>
      <c r="P899" t="str">
        <f>MID('paste from garc here'!$C$2,1+(('table for research'!$B899-456)*36+HEX2DEC('table for research'!P$1))*2,2)</f>
        <v>00</v>
      </c>
      <c r="Q899" t="str">
        <f>MID('paste from garc here'!$C$2,1+(('table for research'!$B899-456)*36+HEX2DEC('table for research'!Q$1))*2,2)</f>
        <v>00</v>
      </c>
      <c r="R899" t="str">
        <f>MID('paste from garc here'!$C$2,1+(('table for research'!$B899-456)*36+HEX2DEC('table for research'!R$1))*2,2)</f>
        <v>00</v>
      </c>
      <c r="S899" t="str">
        <f>MID('paste from garc here'!$C$2,1+(('table for research'!$B899-456)*36+HEX2DEC('table for research'!S$1))*2,2)</f>
        <v>02</v>
      </c>
      <c r="T899" t="str">
        <f>MID('paste from garc here'!$C$2,1+(('table for research'!$B899-456)*36+HEX2DEC('table for research'!T$1))*2,2)</f>
        <v>00</v>
      </c>
      <c r="U899" t="str">
        <f>MID('paste from garc here'!$C$2,1+(('table for research'!$B899-456)*36+HEX2DEC('table for research'!U$1))*2,2)</f>
        <v>FF</v>
      </c>
      <c r="V899" t="str">
        <f>MID('paste from garc here'!$C$2,1+(('table for research'!$B899-456)*36+HEX2DEC('table for research'!V$1))*2,2)</f>
        <v>00</v>
      </c>
      <c r="W899" t="str">
        <f>MID('paste from garc here'!$C$2,1+(('table for research'!$B899-456)*36+HEX2DEC('table for research'!W$1))*2,2)</f>
        <v>00</v>
      </c>
      <c r="X899" t="str">
        <f>MID('paste from garc here'!$C$2,1+(('table for research'!$B899-456)*36+HEX2DEC('table for research'!X$1))*2,2)</f>
        <v>00</v>
      </c>
      <c r="Y899" t="str">
        <f>MID('paste from garc here'!$C$2,1+(('table for research'!$B899-456)*36+HEX2DEC('table for research'!Y$1))*2,2)</f>
        <v>00</v>
      </c>
      <c r="Z899" t="str">
        <f>MID('paste from garc here'!$C$2,1+(('table for research'!$B899-456)*36+HEX2DEC('table for research'!Z$1))*2,2)</f>
        <v>00</v>
      </c>
      <c r="AA899" t="str">
        <f>MID('paste from garc here'!$C$2,1+(('table for research'!$B899-456)*36+HEX2DEC('table for research'!AA$1))*2,2)</f>
        <v>00</v>
      </c>
      <c r="AB899" t="str">
        <f>MID('paste from garc here'!$C$2,1+(('table for research'!$B899-456)*36+HEX2DEC('table for research'!AB$1))*2,2)</f>
        <v>00</v>
      </c>
      <c r="AC899" t="str">
        <f>MID('paste from garc here'!$C$2,1+(('table for research'!$B899-456)*36+HEX2DEC('table for research'!AC$1))*2,2)</f>
        <v>00</v>
      </c>
      <c r="AD899" t="str">
        <f>MID('paste from garc here'!$C$2,1+(('table for research'!$B899-456)*36+HEX2DEC('table for research'!AD$1))*2,2)</f>
        <v>00</v>
      </c>
      <c r="AE899" t="str">
        <f>MID('paste from garc here'!$C$2,1+(('table for research'!$B899-456)*36+HEX2DEC('table for research'!AE$1))*2,2)</f>
        <v>00</v>
      </c>
      <c r="AF899" t="str">
        <f>MID('paste from garc here'!$C$2,1+(('table for research'!$B899-456)*36+HEX2DEC('table for research'!AF$1))*2,2)</f>
        <v>00</v>
      </c>
      <c r="AG899" t="str">
        <f>MID('paste from garc here'!$C$2,1+(('table for research'!$B899-456)*36+HEX2DEC('table for research'!AG$1))*2,2)</f>
        <v>00</v>
      </c>
      <c r="AH899" t="str">
        <f>MID('paste from garc here'!$C$2,1+(('table for research'!$B899-456)*36+HEX2DEC('table for research'!AH$1))*2,2)</f>
        <v>00</v>
      </c>
      <c r="AI899" t="str">
        <f>MID('paste from garc here'!$C$2,1+(('table for research'!$B899-456)*36+HEX2DEC('table for research'!AI$1))*2,2)</f>
        <v>00</v>
      </c>
      <c r="AJ899" t="str">
        <f>MID('paste from garc here'!$C$2,1+(('table for research'!$B899-456)*36+HEX2DEC('table for research'!AJ$1))*2,2)</f>
        <v>00</v>
      </c>
      <c r="AK899" t="str">
        <f>MID('paste from garc here'!$C$2,1+(('table for research'!$B899-456)*36+HEX2DEC('table for research'!AK$1))*2,2)</f>
        <v>00</v>
      </c>
      <c r="AL899" t="str">
        <f>MID('paste from garc here'!$C$2,1+(('table for research'!$B899-456)*36+HEX2DEC('table for research'!AL$1))*2,2)</f>
        <v>00</v>
      </c>
      <c r="AM899" t="str">
        <f>MID('paste from garc here'!$C$2,1+(('table for research'!$B899-456)*36+HEX2DEC('table for research'!AM$1))*2,2)</f>
        <v>00</v>
      </c>
      <c r="AN899" t="str">
        <f>MID('paste from garc here'!$C$2,1+(('table for research'!$B899-456)*36+HEX2DEC('table for research'!AN$1))*2,2)</f>
        <v>00</v>
      </c>
      <c r="AO899" t="str">
        <f>MID('paste from garc here'!$C$2,1+(('table for research'!$B899-456)*36+HEX2DEC('table for research'!AO$1))*2,2)</f>
        <v>00</v>
      </c>
    </row>
    <row r="900" spans="1:41" x14ac:dyDescent="0.4">
      <c r="A900" t="s">
        <v>138</v>
      </c>
      <c r="B900">
        <f>B899+1</f>
        <v>898</v>
      </c>
      <c r="C900" t="str">
        <f>MID('paste from garc here'!$C$2,1+(('table for research'!$B900-456)*36+HEX2DEC('table for research'!C$1))*2,2)</f>
        <v>00</v>
      </c>
      <c r="D900" t="str">
        <f>MID('paste from garc here'!$C$2,1+(('table for research'!$B900-456)*36+HEX2DEC('table for research'!D$1))*2,2)</f>
        <v>00</v>
      </c>
      <c r="E900" t="str">
        <f>MID('paste from garc here'!$C$2,1+(('table for research'!$B900-456)*36+HEX2DEC('table for research'!E$1))*2,2)</f>
        <v>00</v>
      </c>
      <c r="F900" t="str">
        <f>MID('paste from garc here'!$C$2,1+(('table for research'!$B900-456)*36+HEX2DEC('table for research'!F$1))*2,2)</f>
        <v>00</v>
      </c>
      <c r="G900" t="str">
        <f>MID('paste from garc here'!$C$2,1+(('table for research'!$B900-456)*36+HEX2DEC('table for research'!G$1))*2,2)</f>
        <v>00</v>
      </c>
      <c r="H900" t="str">
        <f>MID('paste from garc here'!$C$2,1+(('table for research'!$B900-456)*36+HEX2DEC('table for research'!H$1))*2,2)</f>
        <v>00</v>
      </c>
      <c r="I900" t="str">
        <f>MID('paste from garc here'!$C$2,1+(('table for research'!$B900-456)*36+HEX2DEC('table for research'!I$1))*2,2)</f>
        <v>00</v>
      </c>
      <c r="J900" t="str">
        <f>MID('paste from garc here'!$C$2,1+(('table for research'!$B900-456)*36+HEX2DEC('table for research'!J$1))*2,2)</f>
        <v>00</v>
      </c>
      <c r="K900" t="str">
        <f>DEC2HEX(_xlfn.BITAND(HEX2DEC(MID('paste from garc here'!$C$1,1+(('table for research'!$B900-1)*36+HEX2DEC(8))*2,2)),31),2)</f>
        <v>00</v>
      </c>
      <c r="L900" t="str">
        <f>DEC2HEX(_xlfn.BITAND(HEX2DEC(MID('paste from garc here'!$C$1,1+(('table for research'!$B900-1)*36+HEX2DEC(8))*2,2)),32),2)</f>
        <v>00</v>
      </c>
      <c r="M900" t="str">
        <f>DEC2HEX(_xlfn.BITAND(HEX2DEC(MID('paste from garc here'!$C$1,1+(('table for research'!$B900-1)*36+HEX2DEC(8))*2,2)),64),2)</f>
        <v>00</v>
      </c>
      <c r="N900" t="str">
        <f>DEC2HEX(_xlfn.BITRSHIFT(_xlfn.BITAND(HEX2DEC(MID('paste from garc here'!$C$1,1+(('table for research'!$B900-1)*36+HEX2DEC(9))*2,2)&amp;MID('paste from garc here'!$C$1,1+(('table for research'!$B900-1)*36+HEX2DEC(8))*2,2)),1920),7),2)</f>
        <v>00</v>
      </c>
      <c r="O900" t="str">
        <f>DEC2HEX(_xlfn.BITRSHIFT(HEX2DEC(MID('paste from garc here'!$C$1,1+(('table for research'!$B900-1)*36+HEX2DEC(9))*2,2)&amp;MID('paste from garc here'!$C$1,1+(('table for research'!$B900-1)*36+HEX2DEC(8))*2,2)),11),2)</f>
        <v>00</v>
      </c>
      <c r="P900" t="str">
        <f>MID('paste from garc here'!$C$2,1+(('table for research'!$B900-456)*36+HEX2DEC('table for research'!P$1))*2,2)</f>
        <v>00</v>
      </c>
      <c r="Q900" t="str">
        <f>MID('paste from garc here'!$C$2,1+(('table for research'!$B900-456)*36+HEX2DEC('table for research'!Q$1))*2,2)</f>
        <v>00</v>
      </c>
      <c r="R900" t="str">
        <f>MID('paste from garc here'!$C$2,1+(('table for research'!$B900-456)*36+HEX2DEC('table for research'!R$1))*2,2)</f>
        <v>00</v>
      </c>
      <c r="S900" t="str">
        <f>MID('paste from garc here'!$C$2,1+(('table for research'!$B900-456)*36+HEX2DEC('table for research'!S$1))*2,2)</f>
        <v>02</v>
      </c>
      <c r="T900" t="str">
        <f>MID('paste from garc here'!$C$2,1+(('table for research'!$B900-456)*36+HEX2DEC('table for research'!T$1))*2,2)</f>
        <v>00</v>
      </c>
      <c r="U900" t="str">
        <f>MID('paste from garc here'!$C$2,1+(('table for research'!$B900-456)*36+HEX2DEC('table for research'!U$1))*2,2)</f>
        <v>FF</v>
      </c>
      <c r="V900" t="str">
        <f>MID('paste from garc here'!$C$2,1+(('table for research'!$B900-456)*36+HEX2DEC('table for research'!V$1))*2,2)</f>
        <v>00</v>
      </c>
      <c r="W900" t="str">
        <f>MID('paste from garc here'!$C$2,1+(('table for research'!$B900-456)*36+HEX2DEC('table for research'!W$1))*2,2)</f>
        <v>00</v>
      </c>
      <c r="X900" t="str">
        <f>MID('paste from garc here'!$C$2,1+(('table for research'!$B900-456)*36+HEX2DEC('table for research'!X$1))*2,2)</f>
        <v>00</v>
      </c>
      <c r="Y900" t="str">
        <f>MID('paste from garc here'!$C$2,1+(('table for research'!$B900-456)*36+HEX2DEC('table for research'!Y$1))*2,2)</f>
        <v>00</v>
      </c>
      <c r="Z900" t="str">
        <f>MID('paste from garc here'!$C$2,1+(('table for research'!$B900-456)*36+HEX2DEC('table for research'!Z$1))*2,2)</f>
        <v>00</v>
      </c>
      <c r="AA900" t="str">
        <f>MID('paste from garc here'!$C$2,1+(('table for research'!$B900-456)*36+HEX2DEC('table for research'!AA$1))*2,2)</f>
        <v>00</v>
      </c>
      <c r="AB900" t="str">
        <f>MID('paste from garc here'!$C$2,1+(('table for research'!$B900-456)*36+HEX2DEC('table for research'!AB$1))*2,2)</f>
        <v>00</v>
      </c>
      <c r="AC900" t="str">
        <f>MID('paste from garc here'!$C$2,1+(('table for research'!$B900-456)*36+HEX2DEC('table for research'!AC$1))*2,2)</f>
        <v>00</v>
      </c>
      <c r="AD900" t="str">
        <f>MID('paste from garc here'!$C$2,1+(('table for research'!$B900-456)*36+HEX2DEC('table for research'!AD$1))*2,2)</f>
        <v>00</v>
      </c>
      <c r="AE900" t="str">
        <f>MID('paste from garc here'!$C$2,1+(('table for research'!$B900-456)*36+HEX2DEC('table for research'!AE$1))*2,2)</f>
        <v>00</v>
      </c>
      <c r="AF900" t="str">
        <f>MID('paste from garc here'!$C$2,1+(('table for research'!$B900-456)*36+HEX2DEC('table for research'!AF$1))*2,2)</f>
        <v>00</v>
      </c>
      <c r="AG900" t="str">
        <f>MID('paste from garc here'!$C$2,1+(('table for research'!$B900-456)*36+HEX2DEC('table for research'!AG$1))*2,2)</f>
        <v>00</v>
      </c>
      <c r="AH900" t="str">
        <f>MID('paste from garc here'!$C$2,1+(('table for research'!$B900-456)*36+HEX2DEC('table for research'!AH$1))*2,2)</f>
        <v>00</v>
      </c>
      <c r="AI900" t="str">
        <f>MID('paste from garc here'!$C$2,1+(('table for research'!$B900-456)*36+HEX2DEC('table for research'!AI$1))*2,2)</f>
        <v>00</v>
      </c>
      <c r="AJ900" t="str">
        <f>MID('paste from garc here'!$C$2,1+(('table for research'!$B900-456)*36+HEX2DEC('table for research'!AJ$1))*2,2)</f>
        <v>00</v>
      </c>
      <c r="AK900" t="str">
        <f>MID('paste from garc here'!$C$2,1+(('table for research'!$B900-456)*36+HEX2DEC('table for research'!AK$1))*2,2)</f>
        <v>00</v>
      </c>
      <c r="AL900" t="str">
        <f>MID('paste from garc here'!$C$2,1+(('table for research'!$B900-456)*36+HEX2DEC('table for research'!AL$1))*2,2)</f>
        <v>00</v>
      </c>
      <c r="AM900" t="str">
        <f>MID('paste from garc here'!$C$2,1+(('table for research'!$B900-456)*36+HEX2DEC('table for research'!AM$1))*2,2)</f>
        <v>00</v>
      </c>
      <c r="AN900" t="str">
        <f>MID('paste from garc here'!$C$2,1+(('table for research'!$B900-456)*36+HEX2DEC('table for research'!AN$1))*2,2)</f>
        <v>00</v>
      </c>
      <c r="AO900" t="str">
        <f>MID('paste from garc here'!$C$2,1+(('table for research'!$B900-456)*36+HEX2DEC('table for research'!AO$1))*2,2)</f>
        <v>00</v>
      </c>
    </row>
    <row r="901" spans="1:41" x14ac:dyDescent="0.4">
      <c r="A901" t="s">
        <v>138</v>
      </c>
      <c r="B901">
        <f>B900+1</f>
        <v>899</v>
      </c>
      <c r="C901" t="str">
        <f>MID('paste from garc here'!$C$2,1+(('table for research'!$B901-456)*36+HEX2DEC('table for research'!C$1))*2,2)</f>
        <v>00</v>
      </c>
      <c r="D901" t="str">
        <f>MID('paste from garc here'!$C$2,1+(('table for research'!$B901-456)*36+HEX2DEC('table for research'!D$1))*2,2)</f>
        <v>00</v>
      </c>
      <c r="E901" t="str">
        <f>MID('paste from garc here'!$C$2,1+(('table for research'!$B901-456)*36+HEX2DEC('table for research'!E$1))*2,2)</f>
        <v>00</v>
      </c>
      <c r="F901" t="str">
        <f>MID('paste from garc here'!$C$2,1+(('table for research'!$B901-456)*36+HEX2DEC('table for research'!F$1))*2,2)</f>
        <v>00</v>
      </c>
      <c r="G901" t="str">
        <f>MID('paste from garc here'!$C$2,1+(('table for research'!$B901-456)*36+HEX2DEC('table for research'!G$1))*2,2)</f>
        <v>00</v>
      </c>
      <c r="H901" t="str">
        <f>MID('paste from garc here'!$C$2,1+(('table for research'!$B901-456)*36+HEX2DEC('table for research'!H$1))*2,2)</f>
        <v>00</v>
      </c>
      <c r="I901" t="str">
        <f>MID('paste from garc here'!$C$2,1+(('table for research'!$B901-456)*36+HEX2DEC('table for research'!I$1))*2,2)</f>
        <v>00</v>
      </c>
      <c r="J901" t="str">
        <f>MID('paste from garc here'!$C$2,1+(('table for research'!$B901-456)*36+HEX2DEC('table for research'!J$1))*2,2)</f>
        <v>00</v>
      </c>
      <c r="K901" t="str">
        <f>DEC2HEX(_xlfn.BITAND(HEX2DEC(MID('paste from garc here'!$C$1,1+(('table for research'!$B901-1)*36+HEX2DEC(8))*2,2)),31),2)</f>
        <v>00</v>
      </c>
      <c r="L901" t="str">
        <f>DEC2HEX(_xlfn.BITAND(HEX2DEC(MID('paste from garc here'!$C$1,1+(('table for research'!$B901-1)*36+HEX2DEC(8))*2,2)),32),2)</f>
        <v>00</v>
      </c>
      <c r="M901" t="str">
        <f>DEC2HEX(_xlfn.BITAND(HEX2DEC(MID('paste from garc here'!$C$1,1+(('table for research'!$B901-1)*36+HEX2DEC(8))*2,2)),64),2)</f>
        <v>00</v>
      </c>
      <c r="N901" t="str">
        <f>DEC2HEX(_xlfn.BITRSHIFT(_xlfn.BITAND(HEX2DEC(MID('paste from garc here'!$C$1,1+(('table for research'!$B901-1)*36+HEX2DEC(9))*2,2)&amp;MID('paste from garc here'!$C$1,1+(('table for research'!$B901-1)*36+HEX2DEC(8))*2,2)),1920),7),2)</f>
        <v>00</v>
      </c>
      <c r="O901" t="str">
        <f>DEC2HEX(_xlfn.BITRSHIFT(HEX2DEC(MID('paste from garc here'!$C$1,1+(('table for research'!$B901-1)*36+HEX2DEC(9))*2,2)&amp;MID('paste from garc here'!$C$1,1+(('table for research'!$B901-1)*36+HEX2DEC(8))*2,2)),11),2)</f>
        <v>00</v>
      </c>
      <c r="P901" t="str">
        <f>MID('paste from garc here'!$C$2,1+(('table for research'!$B901-456)*36+HEX2DEC('table for research'!P$1))*2,2)</f>
        <v>01</v>
      </c>
      <c r="Q901" t="str">
        <f>MID('paste from garc here'!$C$2,1+(('table for research'!$B901-456)*36+HEX2DEC('table for research'!Q$1))*2,2)</f>
        <v>02</v>
      </c>
      <c r="R901" t="str">
        <f>MID('paste from garc here'!$C$2,1+(('table for research'!$B901-456)*36+HEX2DEC('table for research'!R$1))*2,2)</f>
        <v>01</v>
      </c>
      <c r="S901" t="str">
        <f>MID('paste from garc here'!$C$2,1+(('table for research'!$B901-456)*36+HEX2DEC('table for research'!S$1))*2,2)</f>
        <v>00</v>
      </c>
      <c r="T901" t="str">
        <f>MID('paste from garc here'!$C$2,1+(('table for research'!$B901-456)*36+HEX2DEC('table for research'!T$1))*2,2)</f>
        <v>00</v>
      </c>
      <c r="U901" t="str">
        <f>MID('paste from garc here'!$C$2,1+(('table for research'!$B901-456)*36+HEX2DEC('table for research'!U$1))*2,2)</f>
        <v>FF</v>
      </c>
      <c r="V901" t="str">
        <f>MID('paste from garc here'!$C$2,1+(('table for research'!$B901-456)*36+HEX2DEC('table for research'!V$1))*2,2)</f>
        <v>00</v>
      </c>
      <c r="W901" t="str">
        <f>MID('paste from garc here'!$C$2,1+(('table for research'!$B901-456)*36+HEX2DEC('table for research'!W$1))*2,2)</f>
        <v>00</v>
      </c>
      <c r="X901" t="str">
        <f>MID('paste from garc here'!$C$2,1+(('table for research'!$B901-456)*36+HEX2DEC('table for research'!X$1))*2,2)</f>
        <v>00</v>
      </c>
      <c r="Y901" t="str">
        <f>MID('paste from garc here'!$C$2,1+(('table for research'!$B901-456)*36+HEX2DEC('table for research'!Y$1))*2,2)</f>
        <v>00</v>
      </c>
      <c r="Z901" t="str">
        <f>MID('paste from garc here'!$C$2,1+(('table for research'!$B901-456)*36+HEX2DEC('table for research'!Z$1))*2,2)</f>
        <v>00</v>
      </c>
      <c r="AA901" t="str">
        <f>MID('paste from garc here'!$C$2,1+(('table for research'!$B901-456)*36+HEX2DEC('table for research'!AA$1))*2,2)</f>
        <v>00</v>
      </c>
      <c r="AB901" t="str">
        <f>MID('paste from garc here'!$C$2,1+(('table for research'!$B901-456)*36+HEX2DEC('table for research'!AB$1))*2,2)</f>
        <v>00</v>
      </c>
      <c r="AC901" t="str">
        <f>MID('paste from garc here'!$C$2,1+(('table for research'!$B901-456)*36+HEX2DEC('table for research'!AC$1))*2,2)</f>
        <v>00</v>
      </c>
      <c r="AD901" t="str">
        <f>MID('paste from garc here'!$C$2,1+(('table for research'!$B901-456)*36+HEX2DEC('table for research'!AD$1))*2,2)</f>
        <v>00</v>
      </c>
      <c r="AE901" t="str">
        <f>MID('paste from garc here'!$C$2,1+(('table for research'!$B901-456)*36+HEX2DEC('table for research'!AE$1))*2,2)</f>
        <v>00</v>
      </c>
      <c r="AF901" t="str">
        <f>MID('paste from garc here'!$C$2,1+(('table for research'!$B901-456)*36+HEX2DEC('table for research'!AF$1))*2,2)</f>
        <v>00</v>
      </c>
      <c r="AG901" t="str">
        <f>MID('paste from garc here'!$C$2,1+(('table for research'!$B901-456)*36+HEX2DEC('table for research'!AG$1))*2,2)</f>
        <v>00</v>
      </c>
      <c r="AH901" t="str">
        <f>MID('paste from garc here'!$C$2,1+(('table for research'!$B901-456)*36+HEX2DEC('table for research'!AH$1))*2,2)</f>
        <v>00</v>
      </c>
      <c r="AI901" t="str">
        <f>MID('paste from garc here'!$C$2,1+(('table for research'!$B901-456)*36+HEX2DEC('table for research'!AI$1))*2,2)</f>
        <v>00</v>
      </c>
      <c r="AJ901" t="str">
        <f>MID('paste from garc here'!$C$2,1+(('table for research'!$B901-456)*36+HEX2DEC('table for research'!AJ$1))*2,2)</f>
        <v>00</v>
      </c>
      <c r="AK901" t="str">
        <f>MID('paste from garc here'!$C$2,1+(('table for research'!$B901-456)*36+HEX2DEC('table for research'!AK$1))*2,2)</f>
        <v>00</v>
      </c>
      <c r="AL901" t="str">
        <f>MID('paste from garc here'!$C$2,1+(('table for research'!$B901-456)*36+HEX2DEC('table for research'!AL$1))*2,2)</f>
        <v>00</v>
      </c>
      <c r="AM901" t="str">
        <f>MID('paste from garc here'!$C$2,1+(('table for research'!$B901-456)*36+HEX2DEC('table for research'!AM$1))*2,2)</f>
        <v>00</v>
      </c>
      <c r="AN901" t="str">
        <f>MID('paste from garc here'!$C$2,1+(('table for research'!$B901-456)*36+HEX2DEC('table for research'!AN$1))*2,2)</f>
        <v>00</v>
      </c>
      <c r="AO901" t="str">
        <f>MID('paste from garc here'!$C$2,1+(('table for research'!$B901-456)*36+HEX2DEC('table for research'!AO$1))*2,2)</f>
        <v>00</v>
      </c>
    </row>
    <row r="902" spans="1:41" x14ac:dyDescent="0.4">
      <c r="A902" t="s">
        <v>138</v>
      </c>
      <c r="B902">
        <f>B901+1</f>
        <v>900</v>
      </c>
      <c r="C902" t="str">
        <f>MID('paste from garc here'!$C$2,1+(('table for research'!$B902-456)*36+HEX2DEC('table for research'!C$1))*2,2)</f>
        <v>00</v>
      </c>
      <c r="D902" t="str">
        <f>MID('paste from garc here'!$C$2,1+(('table for research'!$B902-456)*36+HEX2DEC('table for research'!D$1))*2,2)</f>
        <v>00</v>
      </c>
      <c r="E902" t="str">
        <f>MID('paste from garc here'!$C$2,1+(('table for research'!$B902-456)*36+HEX2DEC('table for research'!E$1))*2,2)</f>
        <v>00</v>
      </c>
      <c r="F902" t="str">
        <f>MID('paste from garc here'!$C$2,1+(('table for research'!$B902-456)*36+HEX2DEC('table for research'!F$1))*2,2)</f>
        <v>00</v>
      </c>
      <c r="G902" t="str">
        <f>MID('paste from garc here'!$C$2,1+(('table for research'!$B902-456)*36+HEX2DEC('table for research'!G$1))*2,2)</f>
        <v>00</v>
      </c>
      <c r="H902" t="str">
        <f>MID('paste from garc here'!$C$2,1+(('table for research'!$B902-456)*36+HEX2DEC('table for research'!H$1))*2,2)</f>
        <v>00</v>
      </c>
      <c r="I902" t="str">
        <f>MID('paste from garc here'!$C$2,1+(('table for research'!$B902-456)*36+HEX2DEC('table for research'!I$1))*2,2)</f>
        <v>00</v>
      </c>
      <c r="J902" t="str">
        <f>MID('paste from garc here'!$C$2,1+(('table for research'!$B902-456)*36+HEX2DEC('table for research'!J$1))*2,2)</f>
        <v>00</v>
      </c>
      <c r="K902" t="str">
        <f>DEC2HEX(_xlfn.BITAND(HEX2DEC(MID('paste from garc here'!$C$1,1+(('table for research'!$B902-1)*36+HEX2DEC(8))*2,2)),31),2)</f>
        <v>00</v>
      </c>
      <c r="L902" t="str">
        <f>DEC2HEX(_xlfn.BITAND(HEX2DEC(MID('paste from garc here'!$C$1,1+(('table for research'!$B902-1)*36+HEX2DEC(8))*2,2)),32),2)</f>
        <v>00</v>
      </c>
      <c r="M902" t="str">
        <f>DEC2HEX(_xlfn.BITAND(HEX2DEC(MID('paste from garc here'!$C$1,1+(('table for research'!$B902-1)*36+HEX2DEC(8))*2,2)),64),2)</f>
        <v>00</v>
      </c>
      <c r="N902" t="str">
        <f>DEC2HEX(_xlfn.BITRSHIFT(_xlfn.BITAND(HEX2DEC(MID('paste from garc here'!$C$1,1+(('table for research'!$B902-1)*36+HEX2DEC(9))*2,2)&amp;MID('paste from garc here'!$C$1,1+(('table for research'!$B902-1)*36+HEX2DEC(8))*2,2)),1920),7),2)</f>
        <v>00</v>
      </c>
      <c r="O902" t="str">
        <f>DEC2HEX(_xlfn.BITRSHIFT(HEX2DEC(MID('paste from garc here'!$C$1,1+(('table for research'!$B902-1)*36+HEX2DEC(9))*2,2)&amp;MID('paste from garc here'!$C$1,1+(('table for research'!$B902-1)*36+HEX2DEC(8))*2,2)),11),2)</f>
        <v>00</v>
      </c>
      <c r="P902" t="str">
        <f>MID('paste from garc here'!$C$2,1+(('table for research'!$B902-456)*36+HEX2DEC('table for research'!P$1))*2,2)</f>
        <v>01</v>
      </c>
      <c r="Q902" t="str">
        <f>MID('paste from garc here'!$C$2,1+(('table for research'!$B902-456)*36+HEX2DEC('table for research'!Q$1))*2,2)</f>
        <v>02</v>
      </c>
      <c r="R902" t="str">
        <f>MID('paste from garc here'!$C$2,1+(('table for research'!$B902-456)*36+HEX2DEC('table for research'!R$1))*2,2)</f>
        <v>01</v>
      </c>
      <c r="S902" t="str">
        <f>MID('paste from garc here'!$C$2,1+(('table for research'!$B902-456)*36+HEX2DEC('table for research'!S$1))*2,2)</f>
        <v>00</v>
      </c>
      <c r="T902" t="str">
        <f>MID('paste from garc here'!$C$2,1+(('table for research'!$B902-456)*36+HEX2DEC('table for research'!T$1))*2,2)</f>
        <v>00</v>
      </c>
      <c r="U902" t="str">
        <f>MID('paste from garc here'!$C$2,1+(('table for research'!$B902-456)*36+HEX2DEC('table for research'!U$1))*2,2)</f>
        <v>FF</v>
      </c>
      <c r="V902" t="str">
        <f>MID('paste from garc here'!$C$2,1+(('table for research'!$B902-456)*36+HEX2DEC('table for research'!V$1))*2,2)</f>
        <v>00</v>
      </c>
      <c r="W902" t="str">
        <f>MID('paste from garc here'!$C$2,1+(('table for research'!$B902-456)*36+HEX2DEC('table for research'!W$1))*2,2)</f>
        <v>00</v>
      </c>
      <c r="X902" t="str">
        <f>MID('paste from garc here'!$C$2,1+(('table for research'!$B902-456)*36+HEX2DEC('table for research'!X$1))*2,2)</f>
        <v>00</v>
      </c>
      <c r="Y902" t="str">
        <f>MID('paste from garc here'!$C$2,1+(('table for research'!$B902-456)*36+HEX2DEC('table for research'!Y$1))*2,2)</f>
        <v>00</v>
      </c>
      <c r="Z902" t="str">
        <f>MID('paste from garc here'!$C$2,1+(('table for research'!$B902-456)*36+HEX2DEC('table for research'!Z$1))*2,2)</f>
        <v>00</v>
      </c>
      <c r="AA902" t="str">
        <f>MID('paste from garc here'!$C$2,1+(('table for research'!$B902-456)*36+HEX2DEC('table for research'!AA$1))*2,2)</f>
        <v>00</v>
      </c>
      <c r="AB902" t="str">
        <f>MID('paste from garc here'!$C$2,1+(('table for research'!$B902-456)*36+HEX2DEC('table for research'!AB$1))*2,2)</f>
        <v>00</v>
      </c>
      <c r="AC902" t="str">
        <f>MID('paste from garc here'!$C$2,1+(('table for research'!$B902-456)*36+HEX2DEC('table for research'!AC$1))*2,2)</f>
        <v>00</v>
      </c>
      <c r="AD902" t="str">
        <f>MID('paste from garc here'!$C$2,1+(('table for research'!$B902-456)*36+HEX2DEC('table for research'!AD$1))*2,2)</f>
        <v>00</v>
      </c>
      <c r="AE902" t="str">
        <f>MID('paste from garc here'!$C$2,1+(('table for research'!$B902-456)*36+HEX2DEC('table for research'!AE$1))*2,2)</f>
        <v>00</v>
      </c>
      <c r="AF902" t="str">
        <f>MID('paste from garc here'!$C$2,1+(('table for research'!$B902-456)*36+HEX2DEC('table for research'!AF$1))*2,2)</f>
        <v>00</v>
      </c>
      <c r="AG902" t="str">
        <f>MID('paste from garc here'!$C$2,1+(('table for research'!$B902-456)*36+HEX2DEC('table for research'!AG$1))*2,2)</f>
        <v>00</v>
      </c>
      <c r="AH902" t="str">
        <f>MID('paste from garc here'!$C$2,1+(('table for research'!$B902-456)*36+HEX2DEC('table for research'!AH$1))*2,2)</f>
        <v>00</v>
      </c>
      <c r="AI902" t="str">
        <f>MID('paste from garc here'!$C$2,1+(('table for research'!$B902-456)*36+HEX2DEC('table for research'!AI$1))*2,2)</f>
        <v>00</v>
      </c>
      <c r="AJ902" t="str">
        <f>MID('paste from garc here'!$C$2,1+(('table for research'!$B902-456)*36+HEX2DEC('table for research'!AJ$1))*2,2)</f>
        <v>00</v>
      </c>
      <c r="AK902" t="str">
        <f>MID('paste from garc here'!$C$2,1+(('table for research'!$B902-456)*36+HEX2DEC('table for research'!AK$1))*2,2)</f>
        <v>00</v>
      </c>
      <c r="AL902" t="str">
        <f>MID('paste from garc here'!$C$2,1+(('table for research'!$B902-456)*36+HEX2DEC('table for research'!AL$1))*2,2)</f>
        <v>00</v>
      </c>
      <c r="AM902" t="str">
        <f>MID('paste from garc here'!$C$2,1+(('table for research'!$B902-456)*36+HEX2DEC('table for research'!AM$1))*2,2)</f>
        <v>00</v>
      </c>
      <c r="AN902" t="str">
        <f>MID('paste from garc here'!$C$2,1+(('table for research'!$B902-456)*36+HEX2DEC('table for research'!AN$1))*2,2)</f>
        <v>00</v>
      </c>
      <c r="AO902" t="str">
        <f>MID('paste from garc here'!$C$2,1+(('table for research'!$B902-456)*36+HEX2DEC('table for research'!AO$1))*2,2)</f>
        <v>00</v>
      </c>
    </row>
    <row r="903" spans="1:41" x14ac:dyDescent="0.4">
      <c r="A903" t="s">
        <v>138</v>
      </c>
      <c r="B903">
        <f>B902+1</f>
        <v>901</v>
      </c>
      <c r="C903" t="str">
        <f>MID('paste from garc here'!$C$2,1+(('table for research'!$B903-456)*36+HEX2DEC('table for research'!C$1))*2,2)</f>
        <v>00</v>
      </c>
      <c r="D903" t="str">
        <f>MID('paste from garc here'!$C$2,1+(('table for research'!$B903-456)*36+HEX2DEC('table for research'!D$1))*2,2)</f>
        <v>00</v>
      </c>
      <c r="E903" t="str">
        <f>MID('paste from garc here'!$C$2,1+(('table for research'!$B903-456)*36+HEX2DEC('table for research'!E$1))*2,2)</f>
        <v>00</v>
      </c>
      <c r="F903" t="str">
        <f>MID('paste from garc here'!$C$2,1+(('table for research'!$B903-456)*36+HEX2DEC('table for research'!F$1))*2,2)</f>
        <v>00</v>
      </c>
      <c r="G903" t="str">
        <f>MID('paste from garc here'!$C$2,1+(('table for research'!$B903-456)*36+HEX2DEC('table for research'!G$1))*2,2)</f>
        <v>00</v>
      </c>
      <c r="H903" t="str">
        <f>MID('paste from garc here'!$C$2,1+(('table for research'!$B903-456)*36+HEX2DEC('table for research'!H$1))*2,2)</f>
        <v>00</v>
      </c>
      <c r="I903" t="str">
        <f>MID('paste from garc here'!$C$2,1+(('table for research'!$B903-456)*36+HEX2DEC('table for research'!I$1))*2,2)</f>
        <v>00</v>
      </c>
      <c r="J903" t="str">
        <f>MID('paste from garc here'!$C$2,1+(('table for research'!$B903-456)*36+HEX2DEC('table for research'!J$1))*2,2)</f>
        <v>00</v>
      </c>
      <c r="K903" t="str">
        <f>DEC2HEX(_xlfn.BITAND(HEX2DEC(MID('paste from garc here'!$C$1,1+(('table for research'!$B903-1)*36+HEX2DEC(8))*2,2)),31),2)</f>
        <v>00</v>
      </c>
      <c r="L903" t="str">
        <f>DEC2HEX(_xlfn.BITAND(HEX2DEC(MID('paste from garc here'!$C$1,1+(('table for research'!$B903-1)*36+HEX2DEC(8))*2,2)),32),2)</f>
        <v>00</v>
      </c>
      <c r="M903" t="str">
        <f>DEC2HEX(_xlfn.BITAND(HEX2DEC(MID('paste from garc here'!$C$1,1+(('table for research'!$B903-1)*36+HEX2DEC(8))*2,2)),64),2)</f>
        <v>00</v>
      </c>
      <c r="N903" t="str">
        <f>DEC2HEX(_xlfn.BITRSHIFT(_xlfn.BITAND(HEX2DEC(MID('paste from garc here'!$C$1,1+(('table for research'!$B903-1)*36+HEX2DEC(9))*2,2)&amp;MID('paste from garc here'!$C$1,1+(('table for research'!$B903-1)*36+HEX2DEC(8))*2,2)),1920),7),2)</f>
        <v>00</v>
      </c>
      <c r="O903" t="str">
        <f>DEC2HEX(_xlfn.BITRSHIFT(HEX2DEC(MID('paste from garc here'!$C$1,1+(('table for research'!$B903-1)*36+HEX2DEC(9))*2,2)&amp;MID('paste from garc here'!$C$1,1+(('table for research'!$B903-1)*36+HEX2DEC(8))*2,2)),11),2)</f>
        <v>00</v>
      </c>
      <c r="P903" t="str">
        <f>MID('paste from garc here'!$C$2,1+(('table for research'!$B903-456)*36+HEX2DEC('table for research'!P$1))*2,2)</f>
        <v>01</v>
      </c>
      <c r="Q903" t="str">
        <f>MID('paste from garc here'!$C$2,1+(('table for research'!$B903-456)*36+HEX2DEC('table for research'!Q$1))*2,2)</f>
        <v>02</v>
      </c>
      <c r="R903" t="str">
        <f>MID('paste from garc here'!$C$2,1+(('table for research'!$B903-456)*36+HEX2DEC('table for research'!R$1))*2,2)</f>
        <v>01</v>
      </c>
      <c r="S903" t="str">
        <f>MID('paste from garc here'!$C$2,1+(('table for research'!$B903-456)*36+HEX2DEC('table for research'!S$1))*2,2)</f>
        <v>00</v>
      </c>
      <c r="T903" t="str">
        <f>MID('paste from garc here'!$C$2,1+(('table for research'!$B903-456)*36+HEX2DEC('table for research'!T$1))*2,2)</f>
        <v>00</v>
      </c>
      <c r="U903" t="str">
        <f>MID('paste from garc here'!$C$2,1+(('table for research'!$B903-456)*36+HEX2DEC('table for research'!U$1))*2,2)</f>
        <v>FF</v>
      </c>
      <c r="V903" t="str">
        <f>MID('paste from garc here'!$C$2,1+(('table for research'!$B903-456)*36+HEX2DEC('table for research'!V$1))*2,2)</f>
        <v>00</v>
      </c>
      <c r="W903" t="str">
        <f>MID('paste from garc here'!$C$2,1+(('table for research'!$B903-456)*36+HEX2DEC('table for research'!W$1))*2,2)</f>
        <v>00</v>
      </c>
      <c r="X903" t="str">
        <f>MID('paste from garc here'!$C$2,1+(('table for research'!$B903-456)*36+HEX2DEC('table for research'!X$1))*2,2)</f>
        <v>00</v>
      </c>
      <c r="Y903" t="str">
        <f>MID('paste from garc here'!$C$2,1+(('table for research'!$B903-456)*36+HEX2DEC('table for research'!Y$1))*2,2)</f>
        <v>00</v>
      </c>
      <c r="Z903" t="str">
        <f>MID('paste from garc here'!$C$2,1+(('table for research'!$B903-456)*36+HEX2DEC('table for research'!Z$1))*2,2)</f>
        <v>00</v>
      </c>
      <c r="AA903" t="str">
        <f>MID('paste from garc here'!$C$2,1+(('table for research'!$B903-456)*36+HEX2DEC('table for research'!AA$1))*2,2)</f>
        <v>00</v>
      </c>
      <c r="AB903" t="str">
        <f>MID('paste from garc here'!$C$2,1+(('table for research'!$B903-456)*36+HEX2DEC('table for research'!AB$1))*2,2)</f>
        <v>00</v>
      </c>
      <c r="AC903" t="str">
        <f>MID('paste from garc here'!$C$2,1+(('table for research'!$B903-456)*36+HEX2DEC('table for research'!AC$1))*2,2)</f>
        <v>00</v>
      </c>
      <c r="AD903" t="str">
        <f>MID('paste from garc here'!$C$2,1+(('table for research'!$B903-456)*36+HEX2DEC('table for research'!AD$1))*2,2)</f>
        <v>00</v>
      </c>
      <c r="AE903" t="str">
        <f>MID('paste from garc here'!$C$2,1+(('table for research'!$B903-456)*36+HEX2DEC('table for research'!AE$1))*2,2)</f>
        <v>00</v>
      </c>
      <c r="AF903" t="str">
        <f>MID('paste from garc here'!$C$2,1+(('table for research'!$B903-456)*36+HEX2DEC('table for research'!AF$1))*2,2)</f>
        <v>00</v>
      </c>
      <c r="AG903" t="str">
        <f>MID('paste from garc here'!$C$2,1+(('table for research'!$B903-456)*36+HEX2DEC('table for research'!AG$1))*2,2)</f>
        <v>00</v>
      </c>
      <c r="AH903" t="str">
        <f>MID('paste from garc here'!$C$2,1+(('table for research'!$B903-456)*36+HEX2DEC('table for research'!AH$1))*2,2)</f>
        <v>00</v>
      </c>
      <c r="AI903" t="str">
        <f>MID('paste from garc here'!$C$2,1+(('table for research'!$B903-456)*36+HEX2DEC('table for research'!AI$1))*2,2)</f>
        <v>00</v>
      </c>
      <c r="AJ903" t="str">
        <f>MID('paste from garc here'!$C$2,1+(('table for research'!$B903-456)*36+HEX2DEC('table for research'!AJ$1))*2,2)</f>
        <v>00</v>
      </c>
      <c r="AK903" t="str">
        <f>MID('paste from garc here'!$C$2,1+(('table for research'!$B903-456)*36+HEX2DEC('table for research'!AK$1))*2,2)</f>
        <v>00</v>
      </c>
      <c r="AL903" t="str">
        <f>MID('paste from garc here'!$C$2,1+(('table for research'!$B903-456)*36+HEX2DEC('table for research'!AL$1))*2,2)</f>
        <v>00</v>
      </c>
      <c r="AM903" t="str">
        <f>MID('paste from garc here'!$C$2,1+(('table for research'!$B903-456)*36+HEX2DEC('table for research'!AM$1))*2,2)</f>
        <v>00</v>
      </c>
      <c r="AN903" t="str">
        <f>MID('paste from garc here'!$C$2,1+(('table for research'!$B903-456)*36+HEX2DEC('table for research'!AN$1))*2,2)</f>
        <v>00</v>
      </c>
      <c r="AO903" t="str">
        <f>MID('paste from garc here'!$C$2,1+(('table for research'!$B903-456)*36+HEX2DEC('table for research'!AO$1))*2,2)</f>
        <v>00</v>
      </c>
    </row>
    <row r="904" spans="1:41" x14ac:dyDescent="0.4">
      <c r="A904" t="s">
        <v>138</v>
      </c>
      <c r="B904">
        <f>B903+1</f>
        <v>902</v>
      </c>
      <c r="C904" t="str">
        <f>MID('paste from garc here'!$C$2,1+(('table for research'!$B904-456)*36+HEX2DEC('table for research'!C$1))*2,2)</f>
        <v>00</v>
      </c>
      <c r="D904" t="str">
        <f>MID('paste from garc here'!$C$2,1+(('table for research'!$B904-456)*36+HEX2DEC('table for research'!D$1))*2,2)</f>
        <v>00</v>
      </c>
      <c r="E904" t="str">
        <f>MID('paste from garc here'!$C$2,1+(('table for research'!$B904-456)*36+HEX2DEC('table for research'!E$1))*2,2)</f>
        <v>00</v>
      </c>
      <c r="F904" t="str">
        <f>MID('paste from garc here'!$C$2,1+(('table for research'!$B904-456)*36+HEX2DEC('table for research'!F$1))*2,2)</f>
        <v>00</v>
      </c>
      <c r="G904" t="str">
        <f>MID('paste from garc here'!$C$2,1+(('table for research'!$B904-456)*36+HEX2DEC('table for research'!G$1))*2,2)</f>
        <v>00</v>
      </c>
      <c r="H904" t="str">
        <f>MID('paste from garc here'!$C$2,1+(('table for research'!$B904-456)*36+HEX2DEC('table for research'!H$1))*2,2)</f>
        <v>00</v>
      </c>
      <c r="I904" t="str">
        <f>MID('paste from garc here'!$C$2,1+(('table for research'!$B904-456)*36+HEX2DEC('table for research'!I$1))*2,2)</f>
        <v>00</v>
      </c>
      <c r="J904" t="str">
        <f>MID('paste from garc here'!$C$2,1+(('table for research'!$B904-456)*36+HEX2DEC('table for research'!J$1))*2,2)</f>
        <v>00</v>
      </c>
      <c r="K904" t="str">
        <f>DEC2HEX(_xlfn.BITAND(HEX2DEC(MID('paste from garc here'!$C$1,1+(('table for research'!$B904-1)*36+HEX2DEC(8))*2,2)),31),2)</f>
        <v>00</v>
      </c>
      <c r="L904" t="str">
        <f>DEC2HEX(_xlfn.BITAND(HEX2DEC(MID('paste from garc here'!$C$1,1+(('table for research'!$B904-1)*36+HEX2DEC(8))*2,2)),32),2)</f>
        <v>00</v>
      </c>
      <c r="M904" t="str">
        <f>DEC2HEX(_xlfn.BITAND(HEX2DEC(MID('paste from garc here'!$C$1,1+(('table for research'!$B904-1)*36+HEX2DEC(8))*2,2)),64),2)</f>
        <v>00</v>
      </c>
      <c r="N904" t="str">
        <f>DEC2HEX(_xlfn.BITRSHIFT(_xlfn.BITAND(HEX2DEC(MID('paste from garc here'!$C$1,1+(('table for research'!$B904-1)*36+HEX2DEC(9))*2,2)&amp;MID('paste from garc here'!$C$1,1+(('table for research'!$B904-1)*36+HEX2DEC(8))*2,2)),1920),7),2)</f>
        <v>00</v>
      </c>
      <c r="O904" t="str">
        <f>DEC2HEX(_xlfn.BITRSHIFT(HEX2DEC(MID('paste from garc here'!$C$1,1+(('table for research'!$B904-1)*36+HEX2DEC(9))*2,2)&amp;MID('paste from garc here'!$C$1,1+(('table for research'!$B904-1)*36+HEX2DEC(8))*2,2)),11),2)</f>
        <v>00</v>
      </c>
      <c r="P904" t="str">
        <f>MID('paste from garc here'!$C$2,1+(('table for research'!$B904-456)*36+HEX2DEC('table for research'!P$1))*2,2)</f>
        <v>01</v>
      </c>
      <c r="Q904" t="str">
        <f>MID('paste from garc here'!$C$2,1+(('table for research'!$B904-456)*36+HEX2DEC('table for research'!Q$1))*2,2)</f>
        <v>02</v>
      </c>
      <c r="R904" t="str">
        <f>MID('paste from garc here'!$C$2,1+(('table for research'!$B904-456)*36+HEX2DEC('table for research'!R$1))*2,2)</f>
        <v>01</v>
      </c>
      <c r="S904" t="str">
        <f>MID('paste from garc here'!$C$2,1+(('table for research'!$B904-456)*36+HEX2DEC('table for research'!S$1))*2,2)</f>
        <v>00</v>
      </c>
      <c r="T904" t="str">
        <f>MID('paste from garc here'!$C$2,1+(('table for research'!$B904-456)*36+HEX2DEC('table for research'!T$1))*2,2)</f>
        <v>00</v>
      </c>
      <c r="U904" t="str">
        <f>MID('paste from garc here'!$C$2,1+(('table for research'!$B904-456)*36+HEX2DEC('table for research'!U$1))*2,2)</f>
        <v>FF</v>
      </c>
      <c r="V904" t="str">
        <f>MID('paste from garc here'!$C$2,1+(('table for research'!$B904-456)*36+HEX2DEC('table for research'!V$1))*2,2)</f>
        <v>00</v>
      </c>
      <c r="W904" t="str">
        <f>MID('paste from garc here'!$C$2,1+(('table for research'!$B904-456)*36+HEX2DEC('table for research'!W$1))*2,2)</f>
        <v>00</v>
      </c>
      <c r="X904" t="str">
        <f>MID('paste from garc here'!$C$2,1+(('table for research'!$B904-456)*36+HEX2DEC('table for research'!X$1))*2,2)</f>
        <v>00</v>
      </c>
      <c r="Y904" t="str">
        <f>MID('paste from garc here'!$C$2,1+(('table for research'!$B904-456)*36+HEX2DEC('table for research'!Y$1))*2,2)</f>
        <v>00</v>
      </c>
      <c r="Z904" t="str">
        <f>MID('paste from garc here'!$C$2,1+(('table for research'!$B904-456)*36+HEX2DEC('table for research'!Z$1))*2,2)</f>
        <v>00</v>
      </c>
      <c r="AA904" t="str">
        <f>MID('paste from garc here'!$C$2,1+(('table for research'!$B904-456)*36+HEX2DEC('table for research'!AA$1))*2,2)</f>
        <v>00</v>
      </c>
      <c r="AB904" t="str">
        <f>MID('paste from garc here'!$C$2,1+(('table for research'!$B904-456)*36+HEX2DEC('table for research'!AB$1))*2,2)</f>
        <v>00</v>
      </c>
      <c r="AC904" t="str">
        <f>MID('paste from garc here'!$C$2,1+(('table for research'!$B904-456)*36+HEX2DEC('table for research'!AC$1))*2,2)</f>
        <v>00</v>
      </c>
      <c r="AD904" t="str">
        <f>MID('paste from garc here'!$C$2,1+(('table for research'!$B904-456)*36+HEX2DEC('table for research'!AD$1))*2,2)</f>
        <v>00</v>
      </c>
      <c r="AE904" t="str">
        <f>MID('paste from garc here'!$C$2,1+(('table for research'!$B904-456)*36+HEX2DEC('table for research'!AE$1))*2,2)</f>
        <v>00</v>
      </c>
      <c r="AF904" t="str">
        <f>MID('paste from garc here'!$C$2,1+(('table for research'!$B904-456)*36+HEX2DEC('table for research'!AF$1))*2,2)</f>
        <v>00</v>
      </c>
      <c r="AG904" t="str">
        <f>MID('paste from garc here'!$C$2,1+(('table for research'!$B904-456)*36+HEX2DEC('table for research'!AG$1))*2,2)</f>
        <v>00</v>
      </c>
      <c r="AH904" t="str">
        <f>MID('paste from garc here'!$C$2,1+(('table for research'!$B904-456)*36+HEX2DEC('table for research'!AH$1))*2,2)</f>
        <v>00</v>
      </c>
      <c r="AI904" t="str">
        <f>MID('paste from garc here'!$C$2,1+(('table for research'!$B904-456)*36+HEX2DEC('table for research'!AI$1))*2,2)</f>
        <v>00</v>
      </c>
      <c r="AJ904" t="str">
        <f>MID('paste from garc here'!$C$2,1+(('table for research'!$B904-456)*36+HEX2DEC('table for research'!AJ$1))*2,2)</f>
        <v>00</v>
      </c>
      <c r="AK904" t="str">
        <f>MID('paste from garc here'!$C$2,1+(('table for research'!$B904-456)*36+HEX2DEC('table for research'!AK$1))*2,2)</f>
        <v>00</v>
      </c>
      <c r="AL904" t="str">
        <f>MID('paste from garc here'!$C$2,1+(('table for research'!$B904-456)*36+HEX2DEC('table for research'!AL$1))*2,2)</f>
        <v>00</v>
      </c>
      <c r="AM904" t="str">
        <f>MID('paste from garc here'!$C$2,1+(('table for research'!$B904-456)*36+HEX2DEC('table for research'!AM$1))*2,2)</f>
        <v>00</v>
      </c>
      <c r="AN904" t="str">
        <f>MID('paste from garc here'!$C$2,1+(('table for research'!$B904-456)*36+HEX2DEC('table for research'!AN$1))*2,2)</f>
        <v>00</v>
      </c>
      <c r="AO904" t="str">
        <f>MID('paste from garc here'!$C$2,1+(('table for research'!$B904-456)*36+HEX2DEC('table for research'!AO$1))*2,2)</f>
        <v>00</v>
      </c>
    </row>
    <row r="905" spans="1:41" x14ac:dyDescent="0.4">
      <c r="A905" t="s">
        <v>138</v>
      </c>
      <c r="B905">
        <f>B904+1</f>
        <v>903</v>
      </c>
      <c r="C905" t="str">
        <f>MID('paste from garc here'!$C$2,1+(('table for research'!$B905-456)*36+HEX2DEC('table for research'!C$1))*2,2)</f>
        <v>00</v>
      </c>
      <c r="D905" t="str">
        <f>MID('paste from garc here'!$C$2,1+(('table for research'!$B905-456)*36+HEX2DEC('table for research'!D$1))*2,2)</f>
        <v>00</v>
      </c>
      <c r="E905" t="str">
        <f>MID('paste from garc here'!$C$2,1+(('table for research'!$B905-456)*36+HEX2DEC('table for research'!E$1))*2,2)</f>
        <v>00</v>
      </c>
      <c r="F905" t="str">
        <f>MID('paste from garc here'!$C$2,1+(('table for research'!$B905-456)*36+HEX2DEC('table for research'!F$1))*2,2)</f>
        <v>00</v>
      </c>
      <c r="G905" t="str">
        <f>MID('paste from garc here'!$C$2,1+(('table for research'!$B905-456)*36+HEX2DEC('table for research'!G$1))*2,2)</f>
        <v>00</v>
      </c>
      <c r="H905" t="str">
        <f>MID('paste from garc here'!$C$2,1+(('table for research'!$B905-456)*36+HEX2DEC('table for research'!H$1))*2,2)</f>
        <v>00</v>
      </c>
      <c r="I905" t="str">
        <f>MID('paste from garc here'!$C$2,1+(('table for research'!$B905-456)*36+HEX2DEC('table for research'!I$1))*2,2)</f>
        <v>00</v>
      </c>
      <c r="J905" t="str">
        <f>MID('paste from garc here'!$C$2,1+(('table for research'!$B905-456)*36+HEX2DEC('table for research'!J$1))*2,2)</f>
        <v>00</v>
      </c>
      <c r="K905" t="str">
        <f>DEC2HEX(_xlfn.BITAND(HEX2DEC(MID('paste from garc here'!$C$1,1+(('table for research'!$B905-1)*36+HEX2DEC(8))*2,2)),31),2)</f>
        <v>00</v>
      </c>
      <c r="L905" t="str">
        <f>DEC2HEX(_xlfn.BITAND(HEX2DEC(MID('paste from garc here'!$C$1,1+(('table for research'!$B905-1)*36+HEX2DEC(8))*2,2)),32),2)</f>
        <v>00</v>
      </c>
      <c r="M905" t="str">
        <f>DEC2HEX(_xlfn.BITAND(HEX2DEC(MID('paste from garc here'!$C$1,1+(('table for research'!$B905-1)*36+HEX2DEC(8))*2,2)),64),2)</f>
        <v>00</v>
      </c>
      <c r="N905" t="str">
        <f>DEC2HEX(_xlfn.BITRSHIFT(_xlfn.BITAND(HEX2DEC(MID('paste from garc here'!$C$1,1+(('table for research'!$B905-1)*36+HEX2DEC(9))*2,2)&amp;MID('paste from garc here'!$C$1,1+(('table for research'!$B905-1)*36+HEX2DEC(8))*2,2)),1920),7),2)</f>
        <v>00</v>
      </c>
      <c r="O905" t="str">
        <f>DEC2HEX(_xlfn.BITRSHIFT(HEX2DEC(MID('paste from garc here'!$C$1,1+(('table for research'!$B905-1)*36+HEX2DEC(9))*2,2)&amp;MID('paste from garc here'!$C$1,1+(('table for research'!$B905-1)*36+HEX2DEC(8))*2,2)),11),2)</f>
        <v>00</v>
      </c>
      <c r="P905" t="str">
        <f>MID('paste from garc here'!$C$2,1+(('table for research'!$B905-456)*36+HEX2DEC('table for research'!P$1))*2,2)</f>
        <v>01</v>
      </c>
      <c r="Q905" t="str">
        <f>MID('paste from garc here'!$C$2,1+(('table for research'!$B905-456)*36+HEX2DEC('table for research'!Q$1))*2,2)</f>
        <v>02</v>
      </c>
      <c r="R905" t="str">
        <f>MID('paste from garc here'!$C$2,1+(('table for research'!$B905-456)*36+HEX2DEC('table for research'!R$1))*2,2)</f>
        <v>01</v>
      </c>
      <c r="S905" t="str">
        <f>MID('paste from garc here'!$C$2,1+(('table for research'!$B905-456)*36+HEX2DEC('table for research'!S$1))*2,2)</f>
        <v>00</v>
      </c>
      <c r="T905" t="str">
        <f>MID('paste from garc here'!$C$2,1+(('table for research'!$B905-456)*36+HEX2DEC('table for research'!T$1))*2,2)</f>
        <v>00</v>
      </c>
      <c r="U905" t="str">
        <f>MID('paste from garc here'!$C$2,1+(('table for research'!$B905-456)*36+HEX2DEC('table for research'!U$1))*2,2)</f>
        <v>FF</v>
      </c>
      <c r="V905" t="str">
        <f>MID('paste from garc here'!$C$2,1+(('table for research'!$B905-456)*36+HEX2DEC('table for research'!V$1))*2,2)</f>
        <v>00</v>
      </c>
      <c r="W905" t="str">
        <f>MID('paste from garc here'!$C$2,1+(('table for research'!$B905-456)*36+HEX2DEC('table for research'!W$1))*2,2)</f>
        <v>00</v>
      </c>
      <c r="X905" t="str">
        <f>MID('paste from garc here'!$C$2,1+(('table for research'!$B905-456)*36+HEX2DEC('table for research'!X$1))*2,2)</f>
        <v>00</v>
      </c>
      <c r="Y905" t="str">
        <f>MID('paste from garc here'!$C$2,1+(('table for research'!$B905-456)*36+HEX2DEC('table for research'!Y$1))*2,2)</f>
        <v>00</v>
      </c>
      <c r="Z905" t="str">
        <f>MID('paste from garc here'!$C$2,1+(('table for research'!$B905-456)*36+HEX2DEC('table for research'!Z$1))*2,2)</f>
        <v>00</v>
      </c>
      <c r="AA905" t="str">
        <f>MID('paste from garc here'!$C$2,1+(('table for research'!$B905-456)*36+HEX2DEC('table for research'!AA$1))*2,2)</f>
        <v>00</v>
      </c>
      <c r="AB905" t="str">
        <f>MID('paste from garc here'!$C$2,1+(('table for research'!$B905-456)*36+HEX2DEC('table for research'!AB$1))*2,2)</f>
        <v>00</v>
      </c>
      <c r="AC905" t="str">
        <f>MID('paste from garc here'!$C$2,1+(('table for research'!$B905-456)*36+HEX2DEC('table for research'!AC$1))*2,2)</f>
        <v>00</v>
      </c>
      <c r="AD905" t="str">
        <f>MID('paste from garc here'!$C$2,1+(('table for research'!$B905-456)*36+HEX2DEC('table for research'!AD$1))*2,2)</f>
        <v>00</v>
      </c>
      <c r="AE905" t="str">
        <f>MID('paste from garc here'!$C$2,1+(('table for research'!$B905-456)*36+HEX2DEC('table for research'!AE$1))*2,2)</f>
        <v>00</v>
      </c>
      <c r="AF905" t="str">
        <f>MID('paste from garc here'!$C$2,1+(('table for research'!$B905-456)*36+HEX2DEC('table for research'!AF$1))*2,2)</f>
        <v>00</v>
      </c>
      <c r="AG905" t="str">
        <f>MID('paste from garc here'!$C$2,1+(('table for research'!$B905-456)*36+HEX2DEC('table for research'!AG$1))*2,2)</f>
        <v>00</v>
      </c>
      <c r="AH905" t="str">
        <f>MID('paste from garc here'!$C$2,1+(('table for research'!$B905-456)*36+HEX2DEC('table for research'!AH$1))*2,2)</f>
        <v>00</v>
      </c>
      <c r="AI905" t="str">
        <f>MID('paste from garc here'!$C$2,1+(('table for research'!$B905-456)*36+HEX2DEC('table for research'!AI$1))*2,2)</f>
        <v>00</v>
      </c>
      <c r="AJ905" t="str">
        <f>MID('paste from garc here'!$C$2,1+(('table for research'!$B905-456)*36+HEX2DEC('table for research'!AJ$1))*2,2)</f>
        <v>00</v>
      </c>
      <c r="AK905" t="str">
        <f>MID('paste from garc here'!$C$2,1+(('table for research'!$B905-456)*36+HEX2DEC('table for research'!AK$1))*2,2)</f>
        <v>00</v>
      </c>
      <c r="AL905" t="str">
        <f>MID('paste from garc here'!$C$2,1+(('table for research'!$B905-456)*36+HEX2DEC('table for research'!AL$1))*2,2)</f>
        <v>00</v>
      </c>
      <c r="AM905" t="str">
        <f>MID('paste from garc here'!$C$2,1+(('table for research'!$B905-456)*36+HEX2DEC('table for research'!AM$1))*2,2)</f>
        <v>00</v>
      </c>
      <c r="AN905" t="str">
        <f>MID('paste from garc here'!$C$2,1+(('table for research'!$B905-456)*36+HEX2DEC('table for research'!AN$1))*2,2)</f>
        <v>00</v>
      </c>
      <c r="AO905" t="str">
        <f>MID('paste from garc here'!$C$2,1+(('table for research'!$B905-456)*36+HEX2DEC('table for research'!AO$1))*2,2)</f>
        <v>00</v>
      </c>
    </row>
    <row r="906" spans="1:41" x14ac:dyDescent="0.4">
      <c r="A906" t="s">
        <v>854</v>
      </c>
      <c r="B906">
        <f>B905+1</f>
        <v>904</v>
      </c>
      <c r="C906" t="str">
        <f>MID('paste from garc here'!$C$2,1+(('table for research'!$B906-456)*36+HEX2DEC('table for research'!C$1))*2,2)</f>
        <v>64</v>
      </c>
      <c r="D906" t="str">
        <f>MID('paste from garc here'!$C$2,1+(('table for research'!$B906-456)*36+HEX2DEC('table for research'!D$1))*2,2)</f>
        <v>00</v>
      </c>
      <c r="E906" t="str">
        <f>MID('paste from garc here'!$C$2,1+(('table for research'!$B906-456)*36+HEX2DEC('table for research'!E$1))*2,2)</f>
        <v>82</v>
      </c>
      <c r="F906" t="str">
        <f>MID('paste from garc here'!$C$2,1+(('table for research'!$B906-456)*36+HEX2DEC('table for research'!F$1))*2,2)</f>
        <v>00</v>
      </c>
      <c r="G906" t="str">
        <f>MID('paste from garc here'!$C$2,1+(('table for research'!$B906-456)*36+HEX2DEC('table for research'!G$1))*2,2)</f>
        <v>00</v>
      </c>
      <c r="H906" t="str">
        <f>MID('paste from garc here'!$C$2,1+(('table for research'!$B906-456)*36+HEX2DEC('table for research'!H$1))*2,2)</f>
        <v>00</v>
      </c>
      <c r="I906" t="str">
        <f>MID('paste from garc here'!$C$2,1+(('table for research'!$B906-456)*36+HEX2DEC('table for research'!I$1))*2,2)</f>
        <v>32</v>
      </c>
      <c r="J906" t="str">
        <f>MID('paste from garc here'!$C$2,1+(('table for research'!$B906-456)*36+HEX2DEC('table for research'!J$1))*2,2)</f>
        <v>00</v>
      </c>
      <c r="K906" t="str">
        <f>DEC2HEX(_xlfn.BITAND(HEX2DEC(MID('paste from garc here'!$C$1,1+(('table for research'!$B906-1)*36+HEX2DEC(8))*2,2)),31),2)</f>
        <v>00</v>
      </c>
      <c r="L906" t="str">
        <f>DEC2HEX(_xlfn.BITAND(HEX2DEC(MID('paste from garc here'!$C$1,1+(('table for research'!$B906-1)*36+HEX2DEC(8))*2,2)),32),2)</f>
        <v>00</v>
      </c>
      <c r="M906" t="str">
        <f>DEC2HEX(_xlfn.BITAND(HEX2DEC(MID('paste from garc here'!$C$1,1+(('table for research'!$B906-1)*36+HEX2DEC(8))*2,2)),64),2)</f>
        <v>00</v>
      </c>
      <c r="N906" t="str">
        <f>DEC2HEX(_xlfn.BITRSHIFT(_xlfn.BITAND(HEX2DEC(MID('paste from garc here'!$C$1,1+(('table for research'!$B906-1)*36+HEX2DEC(9))*2,2)&amp;MID('paste from garc here'!$C$1,1+(('table for research'!$B906-1)*36+HEX2DEC(8))*2,2)),1920),7),2)</f>
        <v>00</v>
      </c>
      <c r="O906" t="str">
        <f>DEC2HEX(_xlfn.BITRSHIFT(HEX2DEC(MID('paste from garc here'!$C$1,1+(('table for research'!$B906-1)*36+HEX2DEC(9))*2,2)&amp;MID('paste from garc here'!$C$1,1+(('table for research'!$B906-1)*36+HEX2DEC(8))*2,2)),11),2)</f>
        <v>00</v>
      </c>
      <c r="P906" t="str">
        <f>MID('paste from garc here'!$C$2,1+(('table for research'!$B906-456)*36+HEX2DEC('table for research'!P$1))*2,2)</f>
        <v>06</v>
      </c>
      <c r="Q906" t="str">
        <f>MID('paste from garc here'!$C$2,1+(('table for research'!$B906-456)*36+HEX2DEC('table for research'!Q$1))*2,2)</f>
        <v>00</v>
      </c>
      <c r="R906" t="str">
        <f>MID('paste from garc here'!$C$2,1+(('table for research'!$B906-456)*36+HEX2DEC('table for research'!R$1))*2,2)</f>
        <v>01</v>
      </c>
      <c r="S906" t="str">
        <f>MID('paste from garc here'!$C$2,1+(('table for research'!$B906-456)*36+HEX2DEC('table for research'!S$1))*2,2)</f>
        <v>01</v>
      </c>
      <c r="T906" t="str">
        <f>MID('paste from garc here'!$C$2,1+(('table for research'!$B906-456)*36+HEX2DEC('table for research'!T$1))*2,2)</f>
        <v>00</v>
      </c>
      <c r="U906" t="str">
        <f>MID('paste from garc here'!$C$2,1+(('table for research'!$B906-456)*36+HEX2DEC('table for research'!U$1))*2,2)</f>
        <v>AA</v>
      </c>
      <c r="V906" t="str">
        <f>MID('paste from garc here'!$C$2,1+(('table for research'!$B906-456)*36+HEX2DEC('table for research'!V$1))*2,2)</f>
        <v>00</v>
      </c>
      <c r="W906" t="str">
        <f>MID('paste from garc here'!$C$2,1+(('table for research'!$B906-456)*36+HEX2DEC('table for research'!W$1))*2,2)</f>
        <v>08</v>
      </c>
      <c r="X906" t="str">
        <f>MID('paste from garc here'!$C$2,1+(('table for research'!$B906-456)*36+HEX2DEC('table for research'!X$1))*2,2)</f>
        <v>00</v>
      </c>
      <c r="Y906" t="str">
        <f>MID('paste from garc here'!$C$2,1+(('table for research'!$B906-456)*36+HEX2DEC('table for research'!Y$1))*2,2)</f>
        <v>00</v>
      </c>
      <c r="Z906" t="str">
        <f>MID('paste from garc here'!$C$2,1+(('table for research'!$B906-456)*36+HEX2DEC('table for research'!Z$1))*2,2)</f>
        <v>00</v>
      </c>
      <c r="AA906" t="str">
        <f>MID('paste from garc here'!$C$2,1+(('table for research'!$B906-456)*36+HEX2DEC('table for research'!AA$1))*2,2)</f>
        <v>00</v>
      </c>
      <c r="AB906" t="str">
        <f>MID('paste from garc here'!$C$2,1+(('table for research'!$B906-456)*36+HEX2DEC('table for research'!AB$1))*2,2)</f>
        <v>00</v>
      </c>
      <c r="AC906" t="str">
        <f>MID('paste from garc here'!$C$2,1+(('table for research'!$B906-456)*36+HEX2DEC('table for research'!AC$1))*2,2)</f>
        <v>00</v>
      </c>
      <c r="AD906" t="str">
        <f>MID('paste from garc here'!$C$2,1+(('table for research'!$B906-456)*36+HEX2DEC('table for research'!AD$1))*2,2)</f>
        <v>00</v>
      </c>
      <c r="AE906" t="str">
        <f>MID('paste from garc here'!$C$2,1+(('table for research'!$B906-456)*36+HEX2DEC('table for research'!AE$1))*2,2)</f>
        <v>00</v>
      </c>
      <c r="AF906" t="str">
        <f>MID('paste from garc here'!$C$2,1+(('table for research'!$B906-456)*36+HEX2DEC('table for research'!AF$1))*2,2)</f>
        <v>00</v>
      </c>
      <c r="AG906" t="str">
        <f>MID('paste from garc here'!$C$2,1+(('table for research'!$B906-456)*36+HEX2DEC('table for research'!AG$1))*2,2)</f>
        <v>00</v>
      </c>
      <c r="AH906" t="str">
        <f>MID('paste from garc here'!$C$2,1+(('table for research'!$B906-456)*36+HEX2DEC('table for research'!AH$1))*2,2)</f>
        <v>00</v>
      </c>
      <c r="AI906" t="str">
        <f>MID('paste from garc here'!$C$2,1+(('table for research'!$B906-456)*36+HEX2DEC('table for research'!AI$1))*2,2)</f>
        <v>00</v>
      </c>
      <c r="AJ906" t="str">
        <f>MID('paste from garc here'!$C$2,1+(('table for research'!$B906-456)*36+HEX2DEC('table for research'!AJ$1))*2,2)</f>
        <v>00</v>
      </c>
      <c r="AK906" t="str">
        <f>MID('paste from garc here'!$C$2,1+(('table for research'!$B906-456)*36+HEX2DEC('table for research'!AK$1))*2,2)</f>
        <v>00</v>
      </c>
      <c r="AL906" t="str">
        <f>MID('paste from garc here'!$C$2,1+(('table for research'!$B906-456)*36+HEX2DEC('table for research'!AL$1))*2,2)</f>
        <v>00</v>
      </c>
      <c r="AM906" t="str">
        <f>MID('paste from garc here'!$C$2,1+(('table for research'!$B906-456)*36+HEX2DEC('table for research'!AM$1))*2,2)</f>
        <v>00</v>
      </c>
      <c r="AN906" t="str">
        <f>MID('paste from garc here'!$C$2,1+(('table for research'!$B906-456)*36+HEX2DEC('table for research'!AN$1))*2,2)</f>
        <v>00</v>
      </c>
      <c r="AO906" t="str">
        <f>MID('paste from garc here'!$C$2,1+(('table for research'!$B906-456)*36+HEX2DEC('table for research'!AO$1))*2,2)</f>
        <v>00</v>
      </c>
    </row>
    <row r="907" spans="1:41" x14ac:dyDescent="0.4">
      <c r="A907" t="s">
        <v>855</v>
      </c>
      <c r="B907">
        <f>B906+1</f>
        <v>905</v>
      </c>
      <c r="C907" t="str">
        <f>MID('paste from garc here'!$C$2,1+(('table for research'!$B907-456)*36+HEX2DEC('table for research'!C$1))*2,2)</f>
        <v>64</v>
      </c>
      <c r="D907" t="str">
        <f>MID('paste from garc here'!$C$2,1+(('table for research'!$B907-456)*36+HEX2DEC('table for research'!D$1))*2,2)</f>
        <v>00</v>
      </c>
      <c r="E907" t="str">
        <f>MID('paste from garc here'!$C$2,1+(('table for research'!$B907-456)*36+HEX2DEC('table for research'!E$1))*2,2)</f>
        <v>85</v>
      </c>
      <c r="F907" t="str">
        <f>MID('paste from garc here'!$C$2,1+(('table for research'!$B907-456)*36+HEX2DEC('table for research'!F$1))*2,2)</f>
        <v>00</v>
      </c>
      <c r="G907" t="str">
        <f>MID('paste from garc here'!$C$2,1+(('table for research'!$B907-456)*36+HEX2DEC('table for research'!G$1))*2,2)</f>
        <v>00</v>
      </c>
      <c r="H907" t="str">
        <f>MID('paste from garc here'!$C$2,1+(('table for research'!$B907-456)*36+HEX2DEC('table for research'!H$1))*2,2)</f>
        <v>00</v>
      </c>
      <c r="I907" t="str">
        <f>MID('paste from garc here'!$C$2,1+(('table for research'!$B907-456)*36+HEX2DEC('table for research'!I$1))*2,2)</f>
        <v>32</v>
      </c>
      <c r="J907" t="str">
        <f>MID('paste from garc here'!$C$2,1+(('table for research'!$B907-456)*36+HEX2DEC('table for research'!J$1))*2,2)</f>
        <v>00</v>
      </c>
      <c r="K907" t="str">
        <f>DEC2HEX(_xlfn.BITAND(HEX2DEC(MID('paste from garc here'!$C$1,1+(('table for research'!$B907-1)*36+HEX2DEC(8))*2,2)),31),2)</f>
        <v>00</v>
      </c>
      <c r="L907" t="str">
        <f>DEC2HEX(_xlfn.BITAND(HEX2DEC(MID('paste from garc here'!$C$1,1+(('table for research'!$B907-1)*36+HEX2DEC(8))*2,2)),32),2)</f>
        <v>00</v>
      </c>
      <c r="M907" t="str">
        <f>DEC2HEX(_xlfn.BITAND(HEX2DEC(MID('paste from garc here'!$C$1,1+(('table for research'!$B907-1)*36+HEX2DEC(8))*2,2)),64),2)</f>
        <v>00</v>
      </c>
      <c r="N907" t="str">
        <f>DEC2HEX(_xlfn.BITRSHIFT(_xlfn.BITAND(HEX2DEC(MID('paste from garc here'!$C$1,1+(('table for research'!$B907-1)*36+HEX2DEC(9))*2,2)&amp;MID('paste from garc here'!$C$1,1+(('table for research'!$B907-1)*36+HEX2DEC(8))*2,2)),1920),7),2)</f>
        <v>00</v>
      </c>
      <c r="O907" t="str">
        <f>DEC2HEX(_xlfn.BITRSHIFT(HEX2DEC(MID('paste from garc here'!$C$1,1+(('table for research'!$B907-1)*36+HEX2DEC(9))*2,2)&amp;MID('paste from garc here'!$C$1,1+(('table for research'!$B907-1)*36+HEX2DEC(8))*2,2)),11),2)</f>
        <v>00</v>
      </c>
      <c r="P907" t="str">
        <f>MID('paste from garc here'!$C$2,1+(('table for research'!$B907-456)*36+HEX2DEC('table for research'!P$1))*2,2)</f>
        <v>06</v>
      </c>
      <c r="Q907" t="str">
        <f>MID('paste from garc here'!$C$2,1+(('table for research'!$B907-456)*36+HEX2DEC('table for research'!Q$1))*2,2)</f>
        <v>00</v>
      </c>
      <c r="R907" t="str">
        <f>MID('paste from garc here'!$C$2,1+(('table for research'!$B907-456)*36+HEX2DEC('table for research'!R$1))*2,2)</f>
        <v>01</v>
      </c>
      <c r="S907" t="str">
        <f>MID('paste from garc here'!$C$2,1+(('table for research'!$B907-456)*36+HEX2DEC('table for research'!S$1))*2,2)</f>
        <v>01</v>
      </c>
      <c r="T907" t="str">
        <f>MID('paste from garc here'!$C$2,1+(('table for research'!$B907-456)*36+HEX2DEC('table for research'!T$1))*2,2)</f>
        <v>00</v>
      </c>
      <c r="U907" t="str">
        <f>MID('paste from garc here'!$C$2,1+(('table for research'!$B907-456)*36+HEX2DEC('table for research'!U$1))*2,2)</f>
        <v>AD</v>
      </c>
      <c r="V907" t="str">
        <f>MID('paste from garc here'!$C$2,1+(('table for research'!$B907-456)*36+HEX2DEC('table for research'!V$1))*2,2)</f>
        <v>00</v>
      </c>
      <c r="W907" t="str">
        <f>MID('paste from garc here'!$C$2,1+(('table for research'!$B907-456)*36+HEX2DEC('table for research'!W$1))*2,2)</f>
        <v>08</v>
      </c>
      <c r="X907" t="str">
        <f>MID('paste from garc here'!$C$2,1+(('table for research'!$B907-456)*36+HEX2DEC('table for research'!X$1))*2,2)</f>
        <v>00</v>
      </c>
      <c r="Y907" t="str">
        <f>MID('paste from garc here'!$C$2,1+(('table for research'!$B907-456)*36+HEX2DEC('table for research'!Y$1))*2,2)</f>
        <v>00</v>
      </c>
      <c r="Z907" t="str">
        <f>MID('paste from garc here'!$C$2,1+(('table for research'!$B907-456)*36+HEX2DEC('table for research'!Z$1))*2,2)</f>
        <v>00</v>
      </c>
      <c r="AA907" t="str">
        <f>MID('paste from garc here'!$C$2,1+(('table for research'!$B907-456)*36+HEX2DEC('table for research'!AA$1))*2,2)</f>
        <v>00</v>
      </c>
      <c r="AB907" t="str">
        <f>MID('paste from garc here'!$C$2,1+(('table for research'!$B907-456)*36+HEX2DEC('table for research'!AB$1))*2,2)</f>
        <v>00</v>
      </c>
      <c r="AC907" t="str">
        <f>MID('paste from garc here'!$C$2,1+(('table for research'!$B907-456)*36+HEX2DEC('table for research'!AC$1))*2,2)</f>
        <v>00</v>
      </c>
      <c r="AD907" t="str">
        <f>MID('paste from garc here'!$C$2,1+(('table for research'!$B907-456)*36+HEX2DEC('table for research'!AD$1))*2,2)</f>
        <v>00</v>
      </c>
      <c r="AE907" t="str">
        <f>MID('paste from garc here'!$C$2,1+(('table for research'!$B907-456)*36+HEX2DEC('table for research'!AE$1))*2,2)</f>
        <v>00</v>
      </c>
      <c r="AF907" t="str">
        <f>MID('paste from garc here'!$C$2,1+(('table for research'!$B907-456)*36+HEX2DEC('table for research'!AF$1))*2,2)</f>
        <v>00</v>
      </c>
      <c r="AG907" t="str">
        <f>MID('paste from garc here'!$C$2,1+(('table for research'!$B907-456)*36+HEX2DEC('table for research'!AG$1))*2,2)</f>
        <v>00</v>
      </c>
      <c r="AH907" t="str">
        <f>MID('paste from garc here'!$C$2,1+(('table for research'!$B907-456)*36+HEX2DEC('table for research'!AH$1))*2,2)</f>
        <v>00</v>
      </c>
      <c r="AI907" t="str">
        <f>MID('paste from garc here'!$C$2,1+(('table for research'!$B907-456)*36+HEX2DEC('table for research'!AI$1))*2,2)</f>
        <v>00</v>
      </c>
      <c r="AJ907" t="str">
        <f>MID('paste from garc here'!$C$2,1+(('table for research'!$B907-456)*36+HEX2DEC('table for research'!AJ$1))*2,2)</f>
        <v>00</v>
      </c>
      <c r="AK907" t="str">
        <f>MID('paste from garc here'!$C$2,1+(('table for research'!$B907-456)*36+HEX2DEC('table for research'!AK$1))*2,2)</f>
        <v>00</v>
      </c>
      <c r="AL907" t="str">
        <f>MID('paste from garc here'!$C$2,1+(('table for research'!$B907-456)*36+HEX2DEC('table for research'!AL$1))*2,2)</f>
        <v>00</v>
      </c>
      <c r="AM907" t="str">
        <f>MID('paste from garc here'!$C$2,1+(('table for research'!$B907-456)*36+HEX2DEC('table for research'!AM$1))*2,2)</f>
        <v>00</v>
      </c>
      <c r="AN907" t="str">
        <f>MID('paste from garc here'!$C$2,1+(('table for research'!$B907-456)*36+HEX2DEC('table for research'!AN$1))*2,2)</f>
        <v>00</v>
      </c>
      <c r="AO907" t="str">
        <f>MID('paste from garc here'!$C$2,1+(('table for research'!$B907-456)*36+HEX2DEC('table for research'!AO$1))*2,2)</f>
        <v>00</v>
      </c>
    </row>
    <row r="908" spans="1:41" x14ac:dyDescent="0.4">
      <c r="A908" t="s">
        <v>856</v>
      </c>
      <c r="B908">
        <f>B907+1</f>
        <v>906</v>
      </c>
      <c r="C908" t="str">
        <f>MID('paste from garc here'!$C$2,1+(('table for research'!$B908-456)*36+HEX2DEC('table for research'!C$1))*2,2)</f>
        <v>64</v>
      </c>
      <c r="D908" t="str">
        <f>MID('paste from garc here'!$C$2,1+(('table for research'!$B908-456)*36+HEX2DEC('table for research'!D$1))*2,2)</f>
        <v>00</v>
      </c>
      <c r="E908" t="str">
        <f>MID('paste from garc here'!$C$2,1+(('table for research'!$B908-456)*36+HEX2DEC('table for research'!E$1))*2,2)</f>
        <v>83</v>
      </c>
      <c r="F908" t="str">
        <f>MID('paste from garc here'!$C$2,1+(('table for research'!$B908-456)*36+HEX2DEC('table for research'!F$1))*2,2)</f>
        <v>00</v>
      </c>
      <c r="G908" t="str">
        <f>MID('paste from garc here'!$C$2,1+(('table for research'!$B908-456)*36+HEX2DEC('table for research'!G$1))*2,2)</f>
        <v>00</v>
      </c>
      <c r="H908" t="str">
        <f>MID('paste from garc here'!$C$2,1+(('table for research'!$B908-456)*36+HEX2DEC('table for research'!H$1))*2,2)</f>
        <v>00</v>
      </c>
      <c r="I908" t="str">
        <f>MID('paste from garc here'!$C$2,1+(('table for research'!$B908-456)*36+HEX2DEC('table for research'!I$1))*2,2)</f>
        <v>32</v>
      </c>
      <c r="J908" t="str">
        <f>MID('paste from garc here'!$C$2,1+(('table for research'!$B908-456)*36+HEX2DEC('table for research'!J$1))*2,2)</f>
        <v>00</v>
      </c>
      <c r="K908" t="str">
        <f>DEC2HEX(_xlfn.BITAND(HEX2DEC(MID('paste from garc here'!$C$1,1+(('table for research'!$B908-1)*36+HEX2DEC(8))*2,2)),31),2)</f>
        <v>00</v>
      </c>
      <c r="L908" t="str">
        <f>DEC2HEX(_xlfn.BITAND(HEX2DEC(MID('paste from garc here'!$C$1,1+(('table for research'!$B908-1)*36+HEX2DEC(8))*2,2)),32),2)</f>
        <v>00</v>
      </c>
      <c r="M908" t="str">
        <f>DEC2HEX(_xlfn.BITAND(HEX2DEC(MID('paste from garc here'!$C$1,1+(('table for research'!$B908-1)*36+HEX2DEC(8))*2,2)),64),2)</f>
        <v>00</v>
      </c>
      <c r="N908" t="str">
        <f>DEC2HEX(_xlfn.BITRSHIFT(_xlfn.BITAND(HEX2DEC(MID('paste from garc here'!$C$1,1+(('table for research'!$B908-1)*36+HEX2DEC(9))*2,2)&amp;MID('paste from garc here'!$C$1,1+(('table for research'!$B908-1)*36+HEX2DEC(8))*2,2)),1920),7),2)</f>
        <v>00</v>
      </c>
      <c r="O908" t="str">
        <f>DEC2HEX(_xlfn.BITRSHIFT(HEX2DEC(MID('paste from garc here'!$C$1,1+(('table for research'!$B908-1)*36+HEX2DEC(9))*2,2)&amp;MID('paste from garc here'!$C$1,1+(('table for research'!$B908-1)*36+HEX2DEC(8))*2,2)),11),2)</f>
        <v>00</v>
      </c>
      <c r="P908" t="str">
        <f>MID('paste from garc here'!$C$2,1+(('table for research'!$B908-456)*36+HEX2DEC('table for research'!P$1))*2,2)</f>
        <v>06</v>
      </c>
      <c r="Q908" t="str">
        <f>MID('paste from garc here'!$C$2,1+(('table for research'!$B908-456)*36+HEX2DEC('table for research'!Q$1))*2,2)</f>
        <v>00</v>
      </c>
      <c r="R908" t="str">
        <f>MID('paste from garc here'!$C$2,1+(('table for research'!$B908-456)*36+HEX2DEC('table for research'!R$1))*2,2)</f>
        <v>01</v>
      </c>
      <c r="S908" t="str">
        <f>MID('paste from garc here'!$C$2,1+(('table for research'!$B908-456)*36+HEX2DEC('table for research'!S$1))*2,2)</f>
        <v>01</v>
      </c>
      <c r="T908" t="str">
        <f>MID('paste from garc here'!$C$2,1+(('table for research'!$B908-456)*36+HEX2DEC('table for research'!T$1))*2,2)</f>
        <v>00</v>
      </c>
      <c r="U908" t="str">
        <f>MID('paste from garc here'!$C$2,1+(('table for research'!$B908-456)*36+HEX2DEC('table for research'!U$1))*2,2)</f>
        <v>AB</v>
      </c>
      <c r="V908" t="str">
        <f>MID('paste from garc here'!$C$2,1+(('table for research'!$B908-456)*36+HEX2DEC('table for research'!V$1))*2,2)</f>
        <v>00</v>
      </c>
      <c r="W908" t="str">
        <f>MID('paste from garc here'!$C$2,1+(('table for research'!$B908-456)*36+HEX2DEC('table for research'!W$1))*2,2)</f>
        <v>08</v>
      </c>
      <c r="X908" t="str">
        <f>MID('paste from garc here'!$C$2,1+(('table for research'!$B908-456)*36+HEX2DEC('table for research'!X$1))*2,2)</f>
        <v>00</v>
      </c>
      <c r="Y908" t="str">
        <f>MID('paste from garc here'!$C$2,1+(('table for research'!$B908-456)*36+HEX2DEC('table for research'!Y$1))*2,2)</f>
        <v>00</v>
      </c>
      <c r="Z908" t="str">
        <f>MID('paste from garc here'!$C$2,1+(('table for research'!$B908-456)*36+HEX2DEC('table for research'!Z$1))*2,2)</f>
        <v>00</v>
      </c>
      <c r="AA908" t="str">
        <f>MID('paste from garc here'!$C$2,1+(('table for research'!$B908-456)*36+HEX2DEC('table for research'!AA$1))*2,2)</f>
        <v>00</v>
      </c>
      <c r="AB908" t="str">
        <f>MID('paste from garc here'!$C$2,1+(('table for research'!$B908-456)*36+HEX2DEC('table for research'!AB$1))*2,2)</f>
        <v>00</v>
      </c>
      <c r="AC908" t="str">
        <f>MID('paste from garc here'!$C$2,1+(('table for research'!$B908-456)*36+HEX2DEC('table for research'!AC$1))*2,2)</f>
        <v>00</v>
      </c>
      <c r="AD908" t="str">
        <f>MID('paste from garc here'!$C$2,1+(('table for research'!$B908-456)*36+HEX2DEC('table for research'!AD$1))*2,2)</f>
        <v>00</v>
      </c>
      <c r="AE908" t="str">
        <f>MID('paste from garc here'!$C$2,1+(('table for research'!$B908-456)*36+HEX2DEC('table for research'!AE$1))*2,2)</f>
        <v>00</v>
      </c>
      <c r="AF908" t="str">
        <f>MID('paste from garc here'!$C$2,1+(('table for research'!$B908-456)*36+HEX2DEC('table for research'!AF$1))*2,2)</f>
        <v>00</v>
      </c>
      <c r="AG908" t="str">
        <f>MID('paste from garc here'!$C$2,1+(('table for research'!$B908-456)*36+HEX2DEC('table for research'!AG$1))*2,2)</f>
        <v>00</v>
      </c>
      <c r="AH908" t="str">
        <f>MID('paste from garc here'!$C$2,1+(('table for research'!$B908-456)*36+HEX2DEC('table for research'!AH$1))*2,2)</f>
        <v>00</v>
      </c>
      <c r="AI908" t="str">
        <f>MID('paste from garc here'!$C$2,1+(('table for research'!$B908-456)*36+HEX2DEC('table for research'!AI$1))*2,2)</f>
        <v>00</v>
      </c>
      <c r="AJ908" t="str">
        <f>MID('paste from garc here'!$C$2,1+(('table for research'!$B908-456)*36+HEX2DEC('table for research'!AJ$1))*2,2)</f>
        <v>00</v>
      </c>
      <c r="AK908" t="str">
        <f>MID('paste from garc here'!$C$2,1+(('table for research'!$B908-456)*36+HEX2DEC('table for research'!AK$1))*2,2)</f>
        <v>00</v>
      </c>
      <c r="AL908" t="str">
        <f>MID('paste from garc here'!$C$2,1+(('table for research'!$B908-456)*36+HEX2DEC('table for research'!AL$1))*2,2)</f>
        <v>00</v>
      </c>
      <c r="AM908" t="str">
        <f>MID('paste from garc here'!$C$2,1+(('table for research'!$B908-456)*36+HEX2DEC('table for research'!AM$1))*2,2)</f>
        <v>00</v>
      </c>
      <c r="AN908" t="str">
        <f>MID('paste from garc here'!$C$2,1+(('table for research'!$B908-456)*36+HEX2DEC('table for research'!AN$1))*2,2)</f>
        <v>00</v>
      </c>
      <c r="AO908" t="str">
        <f>MID('paste from garc here'!$C$2,1+(('table for research'!$B908-456)*36+HEX2DEC('table for research'!AO$1))*2,2)</f>
        <v>00</v>
      </c>
    </row>
    <row r="909" spans="1:41" x14ac:dyDescent="0.4">
      <c r="A909" t="s">
        <v>857</v>
      </c>
      <c r="B909">
        <f>B908+1</f>
        <v>907</v>
      </c>
      <c r="C909" t="str">
        <f>MID('paste from garc here'!$C$2,1+(('table for research'!$B909-456)*36+HEX2DEC('table for research'!C$1))*2,2)</f>
        <v>64</v>
      </c>
      <c r="D909" t="str">
        <f>MID('paste from garc here'!$C$2,1+(('table for research'!$B909-456)*36+HEX2DEC('table for research'!D$1))*2,2)</f>
        <v>00</v>
      </c>
      <c r="E909" t="str">
        <f>MID('paste from garc here'!$C$2,1+(('table for research'!$B909-456)*36+HEX2DEC('table for research'!E$1))*2,2)</f>
        <v>84</v>
      </c>
      <c r="F909" t="str">
        <f>MID('paste from garc here'!$C$2,1+(('table for research'!$B909-456)*36+HEX2DEC('table for research'!F$1))*2,2)</f>
        <v>00</v>
      </c>
      <c r="G909" t="str">
        <f>MID('paste from garc here'!$C$2,1+(('table for research'!$B909-456)*36+HEX2DEC('table for research'!G$1))*2,2)</f>
        <v>00</v>
      </c>
      <c r="H909" t="str">
        <f>MID('paste from garc here'!$C$2,1+(('table for research'!$B909-456)*36+HEX2DEC('table for research'!H$1))*2,2)</f>
        <v>00</v>
      </c>
      <c r="I909" t="str">
        <f>MID('paste from garc here'!$C$2,1+(('table for research'!$B909-456)*36+HEX2DEC('table for research'!I$1))*2,2)</f>
        <v>32</v>
      </c>
      <c r="J909" t="str">
        <f>MID('paste from garc here'!$C$2,1+(('table for research'!$B909-456)*36+HEX2DEC('table for research'!J$1))*2,2)</f>
        <v>00</v>
      </c>
      <c r="K909" t="str">
        <f>DEC2HEX(_xlfn.BITAND(HEX2DEC(MID('paste from garc here'!$C$1,1+(('table for research'!$B909-1)*36+HEX2DEC(8))*2,2)),31),2)</f>
        <v>00</v>
      </c>
      <c r="L909" t="str">
        <f>DEC2HEX(_xlfn.BITAND(HEX2DEC(MID('paste from garc here'!$C$1,1+(('table for research'!$B909-1)*36+HEX2DEC(8))*2,2)),32),2)</f>
        <v>00</v>
      </c>
      <c r="M909" t="str">
        <f>DEC2HEX(_xlfn.BITAND(HEX2DEC(MID('paste from garc here'!$C$1,1+(('table for research'!$B909-1)*36+HEX2DEC(8))*2,2)),64),2)</f>
        <v>00</v>
      </c>
      <c r="N909" t="str">
        <f>DEC2HEX(_xlfn.BITRSHIFT(_xlfn.BITAND(HEX2DEC(MID('paste from garc here'!$C$1,1+(('table for research'!$B909-1)*36+HEX2DEC(9))*2,2)&amp;MID('paste from garc here'!$C$1,1+(('table for research'!$B909-1)*36+HEX2DEC(8))*2,2)),1920),7),2)</f>
        <v>00</v>
      </c>
      <c r="O909" t="str">
        <f>DEC2HEX(_xlfn.BITRSHIFT(HEX2DEC(MID('paste from garc here'!$C$1,1+(('table for research'!$B909-1)*36+HEX2DEC(9))*2,2)&amp;MID('paste from garc here'!$C$1,1+(('table for research'!$B909-1)*36+HEX2DEC(8))*2,2)),11),2)</f>
        <v>00</v>
      </c>
      <c r="P909" t="str">
        <f>MID('paste from garc here'!$C$2,1+(('table for research'!$B909-456)*36+HEX2DEC('table for research'!P$1))*2,2)</f>
        <v>06</v>
      </c>
      <c r="Q909" t="str">
        <f>MID('paste from garc here'!$C$2,1+(('table for research'!$B909-456)*36+HEX2DEC('table for research'!Q$1))*2,2)</f>
        <v>00</v>
      </c>
      <c r="R909" t="str">
        <f>MID('paste from garc here'!$C$2,1+(('table for research'!$B909-456)*36+HEX2DEC('table for research'!R$1))*2,2)</f>
        <v>01</v>
      </c>
      <c r="S909" t="str">
        <f>MID('paste from garc here'!$C$2,1+(('table for research'!$B909-456)*36+HEX2DEC('table for research'!S$1))*2,2)</f>
        <v>01</v>
      </c>
      <c r="T909" t="str">
        <f>MID('paste from garc here'!$C$2,1+(('table for research'!$B909-456)*36+HEX2DEC('table for research'!T$1))*2,2)</f>
        <v>00</v>
      </c>
      <c r="U909" t="str">
        <f>MID('paste from garc here'!$C$2,1+(('table for research'!$B909-456)*36+HEX2DEC('table for research'!U$1))*2,2)</f>
        <v>AC</v>
      </c>
      <c r="V909" t="str">
        <f>MID('paste from garc here'!$C$2,1+(('table for research'!$B909-456)*36+HEX2DEC('table for research'!V$1))*2,2)</f>
        <v>00</v>
      </c>
      <c r="W909" t="str">
        <f>MID('paste from garc here'!$C$2,1+(('table for research'!$B909-456)*36+HEX2DEC('table for research'!W$1))*2,2)</f>
        <v>08</v>
      </c>
      <c r="X909" t="str">
        <f>MID('paste from garc here'!$C$2,1+(('table for research'!$B909-456)*36+HEX2DEC('table for research'!X$1))*2,2)</f>
        <v>00</v>
      </c>
      <c r="Y909" t="str">
        <f>MID('paste from garc here'!$C$2,1+(('table for research'!$B909-456)*36+HEX2DEC('table for research'!Y$1))*2,2)</f>
        <v>00</v>
      </c>
      <c r="Z909" t="str">
        <f>MID('paste from garc here'!$C$2,1+(('table for research'!$B909-456)*36+HEX2DEC('table for research'!Z$1))*2,2)</f>
        <v>00</v>
      </c>
      <c r="AA909" t="str">
        <f>MID('paste from garc here'!$C$2,1+(('table for research'!$B909-456)*36+HEX2DEC('table for research'!AA$1))*2,2)</f>
        <v>00</v>
      </c>
      <c r="AB909" t="str">
        <f>MID('paste from garc here'!$C$2,1+(('table for research'!$B909-456)*36+HEX2DEC('table for research'!AB$1))*2,2)</f>
        <v>00</v>
      </c>
      <c r="AC909" t="str">
        <f>MID('paste from garc here'!$C$2,1+(('table for research'!$B909-456)*36+HEX2DEC('table for research'!AC$1))*2,2)</f>
        <v>00</v>
      </c>
      <c r="AD909" t="str">
        <f>MID('paste from garc here'!$C$2,1+(('table for research'!$B909-456)*36+HEX2DEC('table for research'!AD$1))*2,2)</f>
        <v>00</v>
      </c>
      <c r="AE909" t="str">
        <f>MID('paste from garc here'!$C$2,1+(('table for research'!$B909-456)*36+HEX2DEC('table for research'!AE$1))*2,2)</f>
        <v>00</v>
      </c>
      <c r="AF909" t="str">
        <f>MID('paste from garc here'!$C$2,1+(('table for research'!$B909-456)*36+HEX2DEC('table for research'!AF$1))*2,2)</f>
        <v>00</v>
      </c>
      <c r="AG909" t="str">
        <f>MID('paste from garc here'!$C$2,1+(('table for research'!$B909-456)*36+HEX2DEC('table for research'!AG$1))*2,2)</f>
        <v>00</v>
      </c>
      <c r="AH909" t="str">
        <f>MID('paste from garc here'!$C$2,1+(('table for research'!$B909-456)*36+HEX2DEC('table for research'!AH$1))*2,2)</f>
        <v>00</v>
      </c>
      <c r="AI909" t="str">
        <f>MID('paste from garc here'!$C$2,1+(('table for research'!$B909-456)*36+HEX2DEC('table for research'!AI$1))*2,2)</f>
        <v>00</v>
      </c>
      <c r="AJ909" t="str">
        <f>MID('paste from garc here'!$C$2,1+(('table for research'!$B909-456)*36+HEX2DEC('table for research'!AJ$1))*2,2)</f>
        <v>00</v>
      </c>
      <c r="AK909" t="str">
        <f>MID('paste from garc here'!$C$2,1+(('table for research'!$B909-456)*36+HEX2DEC('table for research'!AK$1))*2,2)</f>
        <v>00</v>
      </c>
      <c r="AL909" t="str">
        <f>MID('paste from garc here'!$C$2,1+(('table for research'!$B909-456)*36+HEX2DEC('table for research'!AL$1))*2,2)</f>
        <v>00</v>
      </c>
      <c r="AM909" t="str">
        <f>MID('paste from garc here'!$C$2,1+(('table for research'!$B909-456)*36+HEX2DEC('table for research'!AM$1))*2,2)</f>
        <v>00</v>
      </c>
      <c r="AN909" t="str">
        <f>MID('paste from garc here'!$C$2,1+(('table for research'!$B909-456)*36+HEX2DEC('table for research'!AN$1))*2,2)</f>
        <v>00</v>
      </c>
      <c r="AO909" t="str">
        <f>MID('paste from garc here'!$C$2,1+(('table for research'!$B909-456)*36+HEX2DEC('table for research'!AO$1))*2,2)</f>
        <v>00</v>
      </c>
    </row>
    <row r="910" spans="1:41" x14ac:dyDescent="0.4">
      <c r="A910" t="s">
        <v>858</v>
      </c>
      <c r="B910">
        <f>B909+1</f>
        <v>908</v>
      </c>
      <c r="C910" t="str">
        <f>MID('paste from garc here'!$C$2,1+(('table for research'!$B910-456)*36+HEX2DEC('table for research'!C$1))*2,2)</f>
        <v>64</v>
      </c>
      <c r="D910" t="str">
        <f>MID('paste from garc here'!$C$2,1+(('table for research'!$B910-456)*36+HEX2DEC('table for research'!D$1))*2,2)</f>
        <v>00</v>
      </c>
      <c r="E910" t="str">
        <f>MID('paste from garc here'!$C$2,1+(('table for research'!$B910-456)*36+HEX2DEC('table for research'!E$1))*2,2)</f>
        <v>88</v>
      </c>
      <c r="F910" t="str">
        <f>MID('paste from garc here'!$C$2,1+(('table for research'!$B910-456)*36+HEX2DEC('table for research'!F$1))*2,2)</f>
        <v>00</v>
      </c>
      <c r="G910" t="str">
        <f>MID('paste from garc here'!$C$2,1+(('table for research'!$B910-456)*36+HEX2DEC('table for research'!G$1))*2,2)</f>
        <v>00</v>
      </c>
      <c r="H910" t="str">
        <f>MID('paste from garc here'!$C$2,1+(('table for research'!$B910-456)*36+HEX2DEC('table for research'!H$1))*2,2)</f>
        <v>00</v>
      </c>
      <c r="I910" t="str">
        <f>MID('paste from garc here'!$C$2,1+(('table for research'!$B910-456)*36+HEX2DEC('table for research'!I$1))*2,2)</f>
        <v>32</v>
      </c>
      <c r="J910" t="str">
        <f>MID('paste from garc here'!$C$2,1+(('table for research'!$B910-456)*36+HEX2DEC('table for research'!J$1))*2,2)</f>
        <v>00</v>
      </c>
      <c r="K910" t="str">
        <f>DEC2HEX(_xlfn.BITAND(HEX2DEC(MID('paste from garc here'!$C$1,1+(('table for research'!$B910-1)*36+HEX2DEC(8))*2,2)),31),2)</f>
        <v>00</v>
      </c>
      <c r="L910" t="str">
        <f>DEC2HEX(_xlfn.BITAND(HEX2DEC(MID('paste from garc here'!$C$1,1+(('table for research'!$B910-1)*36+HEX2DEC(8))*2,2)),32),2)</f>
        <v>00</v>
      </c>
      <c r="M910" t="str">
        <f>DEC2HEX(_xlfn.BITAND(HEX2DEC(MID('paste from garc here'!$C$1,1+(('table for research'!$B910-1)*36+HEX2DEC(8))*2,2)),64),2)</f>
        <v>00</v>
      </c>
      <c r="N910" t="str">
        <f>DEC2HEX(_xlfn.BITRSHIFT(_xlfn.BITAND(HEX2DEC(MID('paste from garc here'!$C$1,1+(('table for research'!$B910-1)*36+HEX2DEC(9))*2,2)&amp;MID('paste from garc here'!$C$1,1+(('table for research'!$B910-1)*36+HEX2DEC(8))*2,2)),1920),7),2)</f>
        <v>00</v>
      </c>
      <c r="O910" t="str">
        <f>DEC2HEX(_xlfn.BITRSHIFT(HEX2DEC(MID('paste from garc here'!$C$1,1+(('table for research'!$B910-1)*36+HEX2DEC(9))*2,2)&amp;MID('paste from garc here'!$C$1,1+(('table for research'!$B910-1)*36+HEX2DEC(8))*2,2)),11),2)</f>
        <v>00</v>
      </c>
      <c r="P910" t="str">
        <f>MID('paste from garc here'!$C$2,1+(('table for research'!$B910-456)*36+HEX2DEC('table for research'!P$1))*2,2)</f>
        <v>06</v>
      </c>
      <c r="Q910" t="str">
        <f>MID('paste from garc here'!$C$2,1+(('table for research'!$B910-456)*36+HEX2DEC('table for research'!Q$1))*2,2)</f>
        <v>00</v>
      </c>
      <c r="R910" t="str">
        <f>MID('paste from garc here'!$C$2,1+(('table for research'!$B910-456)*36+HEX2DEC('table for research'!R$1))*2,2)</f>
        <v>01</v>
      </c>
      <c r="S910" t="str">
        <f>MID('paste from garc here'!$C$2,1+(('table for research'!$B910-456)*36+HEX2DEC('table for research'!S$1))*2,2)</f>
        <v>01</v>
      </c>
      <c r="T910" t="str">
        <f>MID('paste from garc here'!$C$2,1+(('table for research'!$B910-456)*36+HEX2DEC('table for research'!T$1))*2,2)</f>
        <v>00</v>
      </c>
      <c r="U910" t="str">
        <f>MID('paste from garc here'!$C$2,1+(('table for research'!$B910-456)*36+HEX2DEC('table for research'!U$1))*2,2)</f>
        <v>B0</v>
      </c>
      <c r="V910" t="str">
        <f>MID('paste from garc here'!$C$2,1+(('table for research'!$B910-456)*36+HEX2DEC('table for research'!V$1))*2,2)</f>
        <v>00</v>
      </c>
      <c r="W910" t="str">
        <f>MID('paste from garc here'!$C$2,1+(('table for research'!$B910-456)*36+HEX2DEC('table for research'!W$1))*2,2)</f>
        <v>08</v>
      </c>
      <c r="X910" t="str">
        <f>MID('paste from garc here'!$C$2,1+(('table for research'!$B910-456)*36+HEX2DEC('table for research'!X$1))*2,2)</f>
        <v>00</v>
      </c>
      <c r="Y910" t="str">
        <f>MID('paste from garc here'!$C$2,1+(('table for research'!$B910-456)*36+HEX2DEC('table for research'!Y$1))*2,2)</f>
        <v>00</v>
      </c>
      <c r="Z910" t="str">
        <f>MID('paste from garc here'!$C$2,1+(('table for research'!$B910-456)*36+HEX2DEC('table for research'!Z$1))*2,2)</f>
        <v>00</v>
      </c>
      <c r="AA910" t="str">
        <f>MID('paste from garc here'!$C$2,1+(('table for research'!$B910-456)*36+HEX2DEC('table for research'!AA$1))*2,2)</f>
        <v>00</v>
      </c>
      <c r="AB910" t="str">
        <f>MID('paste from garc here'!$C$2,1+(('table for research'!$B910-456)*36+HEX2DEC('table for research'!AB$1))*2,2)</f>
        <v>00</v>
      </c>
      <c r="AC910" t="str">
        <f>MID('paste from garc here'!$C$2,1+(('table for research'!$B910-456)*36+HEX2DEC('table for research'!AC$1))*2,2)</f>
        <v>00</v>
      </c>
      <c r="AD910" t="str">
        <f>MID('paste from garc here'!$C$2,1+(('table for research'!$B910-456)*36+HEX2DEC('table for research'!AD$1))*2,2)</f>
        <v>00</v>
      </c>
      <c r="AE910" t="str">
        <f>MID('paste from garc here'!$C$2,1+(('table for research'!$B910-456)*36+HEX2DEC('table for research'!AE$1))*2,2)</f>
        <v>00</v>
      </c>
      <c r="AF910" t="str">
        <f>MID('paste from garc here'!$C$2,1+(('table for research'!$B910-456)*36+HEX2DEC('table for research'!AF$1))*2,2)</f>
        <v>00</v>
      </c>
      <c r="AG910" t="str">
        <f>MID('paste from garc here'!$C$2,1+(('table for research'!$B910-456)*36+HEX2DEC('table for research'!AG$1))*2,2)</f>
        <v>00</v>
      </c>
      <c r="AH910" t="str">
        <f>MID('paste from garc here'!$C$2,1+(('table for research'!$B910-456)*36+HEX2DEC('table for research'!AH$1))*2,2)</f>
        <v>00</v>
      </c>
      <c r="AI910" t="str">
        <f>MID('paste from garc here'!$C$2,1+(('table for research'!$B910-456)*36+HEX2DEC('table for research'!AI$1))*2,2)</f>
        <v>00</v>
      </c>
      <c r="AJ910" t="str">
        <f>MID('paste from garc here'!$C$2,1+(('table for research'!$B910-456)*36+HEX2DEC('table for research'!AJ$1))*2,2)</f>
        <v>00</v>
      </c>
      <c r="AK910" t="str">
        <f>MID('paste from garc here'!$C$2,1+(('table for research'!$B910-456)*36+HEX2DEC('table for research'!AK$1))*2,2)</f>
        <v>00</v>
      </c>
      <c r="AL910" t="str">
        <f>MID('paste from garc here'!$C$2,1+(('table for research'!$B910-456)*36+HEX2DEC('table for research'!AL$1))*2,2)</f>
        <v>00</v>
      </c>
      <c r="AM910" t="str">
        <f>MID('paste from garc here'!$C$2,1+(('table for research'!$B910-456)*36+HEX2DEC('table for research'!AM$1))*2,2)</f>
        <v>00</v>
      </c>
      <c r="AN910" t="str">
        <f>MID('paste from garc here'!$C$2,1+(('table for research'!$B910-456)*36+HEX2DEC('table for research'!AN$1))*2,2)</f>
        <v>00</v>
      </c>
      <c r="AO910" t="str">
        <f>MID('paste from garc here'!$C$2,1+(('table for research'!$B910-456)*36+HEX2DEC('table for research'!AO$1))*2,2)</f>
        <v>00</v>
      </c>
    </row>
    <row r="911" spans="1:41" x14ac:dyDescent="0.4">
      <c r="A911" t="s">
        <v>859</v>
      </c>
      <c r="B911">
        <f>B910+1</f>
        <v>909</v>
      </c>
      <c r="C911" t="str">
        <f>MID('paste from garc here'!$C$2,1+(('table for research'!$B911-456)*36+HEX2DEC('table for research'!C$1))*2,2)</f>
        <v>64</v>
      </c>
      <c r="D911" t="str">
        <f>MID('paste from garc here'!$C$2,1+(('table for research'!$B911-456)*36+HEX2DEC('table for research'!D$1))*2,2)</f>
        <v>00</v>
      </c>
      <c r="E911" t="str">
        <f>MID('paste from garc here'!$C$2,1+(('table for research'!$B911-456)*36+HEX2DEC('table for research'!E$1))*2,2)</f>
        <v>87</v>
      </c>
      <c r="F911" t="str">
        <f>MID('paste from garc here'!$C$2,1+(('table for research'!$B911-456)*36+HEX2DEC('table for research'!F$1))*2,2)</f>
        <v>00</v>
      </c>
      <c r="G911" t="str">
        <f>MID('paste from garc here'!$C$2,1+(('table for research'!$B911-456)*36+HEX2DEC('table for research'!G$1))*2,2)</f>
        <v>00</v>
      </c>
      <c r="H911" t="str">
        <f>MID('paste from garc here'!$C$2,1+(('table for research'!$B911-456)*36+HEX2DEC('table for research'!H$1))*2,2)</f>
        <v>00</v>
      </c>
      <c r="I911" t="str">
        <f>MID('paste from garc here'!$C$2,1+(('table for research'!$B911-456)*36+HEX2DEC('table for research'!I$1))*2,2)</f>
        <v>32</v>
      </c>
      <c r="J911" t="str">
        <f>MID('paste from garc here'!$C$2,1+(('table for research'!$B911-456)*36+HEX2DEC('table for research'!J$1))*2,2)</f>
        <v>00</v>
      </c>
      <c r="K911" t="str">
        <f>DEC2HEX(_xlfn.BITAND(HEX2DEC(MID('paste from garc here'!$C$1,1+(('table for research'!$B911-1)*36+HEX2DEC(8))*2,2)),31),2)</f>
        <v>00</v>
      </c>
      <c r="L911" t="str">
        <f>DEC2HEX(_xlfn.BITAND(HEX2DEC(MID('paste from garc here'!$C$1,1+(('table for research'!$B911-1)*36+HEX2DEC(8))*2,2)),32),2)</f>
        <v>00</v>
      </c>
      <c r="M911" t="str">
        <f>DEC2HEX(_xlfn.BITAND(HEX2DEC(MID('paste from garc here'!$C$1,1+(('table for research'!$B911-1)*36+HEX2DEC(8))*2,2)),64),2)</f>
        <v>00</v>
      </c>
      <c r="N911" t="str">
        <f>DEC2HEX(_xlfn.BITRSHIFT(_xlfn.BITAND(HEX2DEC(MID('paste from garc here'!$C$1,1+(('table for research'!$B911-1)*36+HEX2DEC(9))*2,2)&amp;MID('paste from garc here'!$C$1,1+(('table for research'!$B911-1)*36+HEX2DEC(8))*2,2)),1920),7),2)</f>
        <v>00</v>
      </c>
      <c r="O911" t="str">
        <f>DEC2HEX(_xlfn.BITRSHIFT(HEX2DEC(MID('paste from garc here'!$C$1,1+(('table for research'!$B911-1)*36+HEX2DEC(9))*2,2)&amp;MID('paste from garc here'!$C$1,1+(('table for research'!$B911-1)*36+HEX2DEC(8))*2,2)),11),2)</f>
        <v>00</v>
      </c>
      <c r="P911" t="str">
        <f>MID('paste from garc here'!$C$2,1+(('table for research'!$B911-456)*36+HEX2DEC('table for research'!P$1))*2,2)</f>
        <v>06</v>
      </c>
      <c r="Q911" t="str">
        <f>MID('paste from garc here'!$C$2,1+(('table for research'!$B911-456)*36+HEX2DEC('table for research'!Q$1))*2,2)</f>
        <v>00</v>
      </c>
      <c r="R911" t="str">
        <f>MID('paste from garc here'!$C$2,1+(('table for research'!$B911-456)*36+HEX2DEC('table for research'!R$1))*2,2)</f>
        <v>01</v>
      </c>
      <c r="S911" t="str">
        <f>MID('paste from garc here'!$C$2,1+(('table for research'!$B911-456)*36+HEX2DEC('table for research'!S$1))*2,2)</f>
        <v>01</v>
      </c>
      <c r="T911" t="str">
        <f>MID('paste from garc here'!$C$2,1+(('table for research'!$B911-456)*36+HEX2DEC('table for research'!T$1))*2,2)</f>
        <v>00</v>
      </c>
      <c r="U911" t="str">
        <f>MID('paste from garc here'!$C$2,1+(('table for research'!$B911-456)*36+HEX2DEC('table for research'!U$1))*2,2)</f>
        <v>AF</v>
      </c>
      <c r="V911" t="str">
        <f>MID('paste from garc here'!$C$2,1+(('table for research'!$B911-456)*36+HEX2DEC('table for research'!V$1))*2,2)</f>
        <v>00</v>
      </c>
      <c r="W911" t="str">
        <f>MID('paste from garc here'!$C$2,1+(('table for research'!$B911-456)*36+HEX2DEC('table for research'!W$1))*2,2)</f>
        <v>08</v>
      </c>
      <c r="X911" t="str">
        <f>MID('paste from garc here'!$C$2,1+(('table for research'!$B911-456)*36+HEX2DEC('table for research'!X$1))*2,2)</f>
        <v>00</v>
      </c>
      <c r="Y911" t="str">
        <f>MID('paste from garc here'!$C$2,1+(('table for research'!$B911-456)*36+HEX2DEC('table for research'!Y$1))*2,2)</f>
        <v>00</v>
      </c>
      <c r="Z911" t="str">
        <f>MID('paste from garc here'!$C$2,1+(('table for research'!$B911-456)*36+HEX2DEC('table for research'!Z$1))*2,2)</f>
        <v>00</v>
      </c>
      <c r="AA911" t="str">
        <f>MID('paste from garc here'!$C$2,1+(('table for research'!$B911-456)*36+HEX2DEC('table for research'!AA$1))*2,2)</f>
        <v>00</v>
      </c>
      <c r="AB911" t="str">
        <f>MID('paste from garc here'!$C$2,1+(('table for research'!$B911-456)*36+HEX2DEC('table for research'!AB$1))*2,2)</f>
        <v>00</v>
      </c>
      <c r="AC911" t="str">
        <f>MID('paste from garc here'!$C$2,1+(('table for research'!$B911-456)*36+HEX2DEC('table for research'!AC$1))*2,2)</f>
        <v>00</v>
      </c>
      <c r="AD911" t="str">
        <f>MID('paste from garc here'!$C$2,1+(('table for research'!$B911-456)*36+HEX2DEC('table for research'!AD$1))*2,2)</f>
        <v>00</v>
      </c>
      <c r="AE911" t="str">
        <f>MID('paste from garc here'!$C$2,1+(('table for research'!$B911-456)*36+HEX2DEC('table for research'!AE$1))*2,2)</f>
        <v>00</v>
      </c>
      <c r="AF911" t="str">
        <f>MID('paste from garc here'!$C$2,1+(('table for research'!$B911-456)*36+HEX2DEC('table for research'!AF$1))*2,2)</f>
        <v>00</v>
      </c>
      <c r="AG911" t="str">
        <f>MID('paste from garc here'!$C$2,1+(('table for research'!$B911-456)*36+HEX2DEC('table for research'!AG$1))*2,2)</f>
        <v>00</v>
      </c>
      <c r="AH911" t="str">
        <f>MID('paste from garc here'!$C$2,1+(('table for research'!$B911-456)*36+HEX2DEC('table for research'!AH$1))*2,2)</f>
        <v>00</v>
      </c>
      <c r="AI911" t="str">
        <f>MID('paste from garc here'!$C$2,1+(('table for research'!$B911-456)*36+HEX2DEC('table for research'!AI$1))*2,2)</f>
        <v>00</v>
      </c>
      <c r="AJ911" t="str">
        <f>MID('paste from garc here'!$C$2,1+(('table for research'!$B911-456)*36+HEX2DEC('table for research'!AJ$1))*2,2)</f>
        <v>00</v>
      </c>
      <c r="AK911" t="str">
        <f>MID('paste from garc here'!$C$2,1+(('table for research'!$B911-456)*36+HEX2DEC('table for research'!AK$1))*2,2)</f>
        <v>00</v>
      </c>
      <c r="AL911" t="str">
        <f>MID('paste from garc here'!$C$2,1+(('table for research'!$B911-456)*36+HEX2DEC('table for research'!AL$1))*2,2)</f>
        <v>00</v>
      </c>
      <c r="AM911" t="str">
        <f>MID('paste from garc here'!$C$2,1+(('table for research'!$B911-456)*36+HEX2DEC('table for research'!AM$1))*2,2)</f>
        <v>00</v>
      </c>
      <c r="AN911" t="str">
        <f>MID('paste from garc here'!$C$2,1+(('table for research'!$B911-456)*36+HEX2DEC('table for research'!AN$1))*2,2)</f>
        <v>00</v>
      </c>
      <c r="AO911" t="str">
        <f>MID('paste from garc here'!$C$2,1+(('table for research'!$B911-456)*36+HEX2DEC('table for research'!AO$1))*2,2)</f>
        <v>00</v>
      </c>
    </row>
    <row r="912" spans="1:41" x14ac:dyDescent="0.4">
      <c r="A912" t="s">
        <v>860</v>
      </c>
      <c r="B912">
        <f>B911+1</f>
        <v>910</v>
      </c>
      <c r="C912" t="str">
        <f>MID('paste from garc here'!$C$2,1+(('table for research'!$B912-456)*36+HEX2DEC('table for research'!C$1))*2,2)</f>
        <v>64</v>
      </c>
      <c r="D912" t="str">
        <f>MID('paste from garc here'!$C$2,1+(('table for research'!$B912-456)*36+HEX2DEC('table for research'!D$1))*2,2)</f>
        <v>00</v>
      </c>
      <c r="E912" t="str">
        <f>MID('paste from garc here'!$C$2,1+(('table for research'!$B912-456)*36+HEX2DEC('table for research'!E$1))*2,2)</f>
        <v>89</v>
      </c>
      <c r="F912" t="str">
        <f>MID('paste from garc here'!$C$2,1+(('table for research'!$B912-456)*36+HEX2DEC('table for research'!F$1))*2,2)</f>
        <v>00</v>
      </c>
      <c r="G912" t="str">
        <f>MID('paste from garc here'!$C$2,1+(('table for research'!$B912-456)*36+HEX2DEC('table for research'!G$1))*2,2)</f>
        <v>00</v>
      </c>
      <c r="H912" t="str">
        <f>MID('paste from garc here'!$C$2,1+(('table for research'!$B912-456)*36+HEX2DEC('table for research'!H$1))*2,2)</f>
        <v>00</v>
      </c>
      <c r="I912" t="str">
        <f>MID('paste from garc here'!$C$2,1+(('table for research'!$B912-456)*36+HEX2DEC('table for research'!I$1))*2,2)</f>
        <v>32</v>
      </c>
      <c r="J912" t="str">
        <f>MID('paste from garc here'!$C$2,1+(('table for research'!$B912-456)*36+HEX2DEC('table for research'!J$1))*2,2)</f>
        <v>00</v>
      </c>
      <c r="K912" t="str">
        <f>DEC2HEX(_xlfn.BITAND(HEX2DEC(MID('paste from garc here'!$C$1,1+(('table for research'!$B912-1)*36+HEX2DEC(8))*2,2)),31),2)</f>
        <v>00</v>
      </c>
      <c r="L912" t="str">
        <f>DEC2HEX(_xlfn.BITAND(HEX2DEC(MID('paste from garc here'!$C$1,1+(('table for research'!$B912-1)*36+HEX2DEC(8))*2,2)),32),2)</f>
        <v>00</v>
      </c>
      <c r="M912" t="str">
        <f>DEC2HEX(_xlfn.BITAND(HEX2DEC(MID('paste from garc here'!$C$1,1+(('table for research'!$B912-1)*36+HEX2DEC(8))*2,2)),64),2)</f>
        <v>00</v>
      </c>
      <c r="N912" t="str">
        <f>DEC2HEX(_xlfn.BITRSHIFT(_xlfn.BITAND(HEX2DEC(MID('paste from garc here'!$C$1,1+(('table for research'!$B912-1)*36+HEX2DEC(9))*2,2)&amp;MID('paste from garc here'!$C$1,1+(('table for research'!$B912-1)*36+HEX2DEC(8))*2,2)),1920),7),2)</f>
        <v>00</v>
      </c>
      <c r="O912" t="str">
        <f>DEC2HEX(_xlfn.BITRSHIFT(HEX2DEC(MID('paste from garc here'!$C$1,1+(('table for research'!$B912-1)*36+HEX2DEC(9))*2,2)&amp;MID('paste from garc here'!$C$1,1+(('table for research'!$B912-1)*36+HEX2DEC(8))*2,2)),11),2)</f>
        <v>00</v>
      </c>
      <c r="P912" t="str">
        <f>MID('paste from garc here'!$C$2,1+(('table for research'!$B912-456)*36+HEX2DEC('table for research'!P$1))*2,2)</f>
        <v>06</v>
      </c>
      <c r="Q912" t="str">
        <f>MID('paste from garc here'!$C$2,1+(('table for research'!$B912-456)*36+HEX2DEC('table for research'!Q$1))*2,2)</f>
        <v>00</v>
      </c>
      <c r="R912" t="str">
        <f>MID('paste from garc here'!$C$2,1+(('table for research'!$B912-456)*36+HEX2DEC('table for research'!R$1))*2,2)</f>
        <v>01</v>
      </c>
      <c r="S912" t="str">
        <f>MID('paste from garc here'!$C$2,1+(('table for research'!$B912-456)*36+HEX2DEC('table for research'!S$1))*2,2)</f>
        <v>01</v>
      </c>
      <c r="T912" t="str">
        <f>MID('paste from garc here'!$C$2,1+(('table for research'!$B912-456)*36+HEX2DEC('table for research'!T$1))*2,2)</f>
        <v>00</v>
      </c>
      <c r="U912" t="str">
        <f>MID('paste from garc here'!$C$2,1+(('table for research'!$B912-456)*36+HEX2DEC('table for research'!U$1))*2,2)</f>
        <v>B1</v>
      </c>
      <c r="V912" t="str">
        <f>MID('paste from garc here'!$C$2,1+(('table for research'!$B912-456)*36+HEX2DEC('table for research'!V$1))*2,2)</f>
        <v>00</v>
      </c>
      <c r="W912" t="str">
        <f>MID('paste from garc here'!$C$2,1+(('table for research'!$B912-456)*36+HEX2DEC('table for research'!W$1))*2,2)</f>
        <v>08</v>
      </c>
      <c r="X912" t="str">
        <f>MID('paste from garc here'!$C$2,1+(('table for research'!$B912-456)*36+HEX2DEC('table for research'!X$1))*2,2)</f>
        <v>00</v>
      </c>
      <c r="Y912" t="str">
        <f>MID('paste from garc here'!$C$2,1+(('table for research'!$B912-456)*36+HEX2DEC('table for research'!Y$1))*2,2)</f>
        <v>00</v>
      </c>
      <c r="Z912" t="str">
        <f>MID('paste from garc here'!$C$2,1+(('table for research'!$B912-456)*36+HEX2DEC('table for research'!Z$1))*2,2)</f>
        <v>00</v>
      </c>
      <c r="AA912" t="str">
        <f>MID('paste from garc here'!$C$2,1+(('table for research'!$B912-456)*36+HEX2DEC('table for research'!AA$1))*2,2)</f>
        <v>00</v>
      </c>
      <c r="AB912" t="str">
        <f>MID('paste from garc here'!$C$2,1+(('table for research'!$B912-456)*36+HEX2DEC('table for research'!AB$1))*2,2)</f>
        <v>00</v>
      </c>
      <c r="AC912" t="str">
        <f>MID('paste from garc here'!$C$2,1+(('table for research'!$B912-456)*36+HEX2DEC('table for research'!AC$1))*2,2)</f>
        <v>00</v>
      </c>
      <c r="AD912" t="str">
        <f>MID('paste from garc here'!$C$2,1+(('table for research'!$B912-456)*36+HEX2DEC('table for research'!AD$1))*2,2)</f>
        <v>00</v>
      </c>
      <c r="AE912" t="str">
        <f>MID('paste from garc here'!$C$2,1+(('table for research'!$B912-456)*36+HEX2DEC('table for research'!AE$1))*2,2)</f>
        <v>00</v>
      </c>
      <c r="AF912" t="str">
        <f>MID('paste from garc here'!$C$2,1+(('table for research'!$B912-456)*36+HEX2DEC('table for research'!AF$1))*2,2)</f>
        <v>00</v>
      </c>
      <c r="AG912" t="str">
        <f>MID('paste from garc here'!$C$2,1+(('table for research'!$B912-456)*36+HEX2DEC('table for research'!AG$1))*2,2)</f>
        <v>00</v>
      </c>
      <c r="AH912" t="str">
        <f>MID('paste from garc here'!$C$2,1+(('table for research'!$B912-456)*36+HEX2DEC('table for research'!AH$1))*2,2)</f>
        <v>00</v>
      </c>
      <c r="AI912" t="str">
        <f>MID('paste from garc here'!$C$2,1+(('table for research'!$B912-456)*36+HEX2DEC('table for research'!AI$1))*2,2)</f>
        <v>00</v>
      </c>
      <c r="AJ912" t="str">
        <f>MID('paste from garc here'!$C$2,1+(('table for research'!$B912-456)*36+HEX2DEC('table for research'!AJ$1))*2,2)</f>
        <v>00</v>
      </c>
      <c r="AK912" t="str">
        <f>MID('paste from garc here'!$C$2,1+(('table for research'!$B912-456)*36+HEX2DEC('table for research'!AK$1))*2,2)</f>
        <v>00</v>
      </c>
      <c r="AL912" t="str">
        <f>MID('paste from garc here'!$C$2,1+(('table for research'!$B912-456)*36+HEX2DEC('table for research'!AL$1))*2,2)</f>
        <v>00</v>
      </c>
      <c r="AM912" t="str">
        <f>MID('paste from garc here'!$C$2,1+(('table for research'!$B912-456)*36+HEX2DEC('table for research'!AM$1))*2,2)</f>
        <v>00</v>
      </c>
      <c r="AN912" t="str">
        <f>MID('paste from garc here'!$C$2,1+(('table for research'!$B912-456)*36+HEX2DEC('table for research'!AN$1))*2,2)</f>
        <v>00</v>
      </c>
      <c r="AO912" t="str">
        <f>MID('paste from garc here'!$C$2,1+(('table for research'!$B912-456)*36+HEX2DEC('table for research'!AO$1))*2,2)</f>
        <v>00</v>
      </c>
    </row>
    <row r="913" spans="1:41" x14ac:dyDescent="0.4">
      <c r="A913" t="s">
        <v>861</v>
      </c>
      <c r="B913">
        <f>B912+1</f>
        <v>911</v>
      </c>
      <c r="C913" t="str">
        <f>MID('paste from garc here'!$C$3,1+(('table for research'!$B913-911)*36+HEX2DEC('table for research'!C$1))*2,2)</f>
        <v>64</v>
      </c>
      <c r="D913" t="str">
        <f>MID('paste from garc here'!$C$3,1+(('table for research'!$B913-911)*36+HEX2DEC('table for research'!D$1))*2,2)</f>
        <v>00</v>
      </c>
      <c r="E913" t="str">
        <f>MID('paste from garc here'!$C$3,1+(('table for research'!$B913-911)*36+HEX2DEC('table for research'!E$1))*2,2)</f>
        <v>8C</v>
      </c>
      <c r="F913" t="str">
        <f>MID('paste from garc here'!$C$3,1+(('table for research'!$B913-911)*36+HEX2DEC('table for research'!F$1))*2,2)</f>
        <v>00</v>
      </c>
      <c r="G913" t="str">
        <f>MID('paste from garc here'!$C$3,1+(('table for research'!$B913-911)*36+HEX2DEC('table for research'!G$1))*2,2)</f>
        <v>00</v>
      </c>
      <c r="H913" t="str">
        <f>MID('paste from garc here'!$C$3,1+(('table for research'!$B913-911)*36+HEX2DEC('table for research'!H$1))*2,2)</f>
        <v>00</v>
      </c>
      <c r="I913" t="str">
        <f>MID('paste from garc here'!$C$3,1+(('table for research'!$B913-911)*36+HEX2DEC('table for research'!I$1))*2,2)</f>
        <v>32</v>
      </c>
      <c r="J913" t="str">
        <f>MID('paste from garc here'!$C$3,1+(('table for research'!$B913-911)*36+HEX2DEC('table for research'!J$1))*2,2)</f>
        <v>00</v>
      </c>
      <c r="K913" t="str">
        <f>DEC2HEX(_xlfn.BITAND(HEX2DEC(MID('paste from garc here'!$C$1,1+(('table for research'!$B913-1)*36+HEX2DEC(8))*2,2)),31),2)</f>
        <v>00</v>
      </c>
      <c r="L913" t="str">
        <f>DEC2HEX(_xlfn.BITAND(HEX2DEC(MID('paste from garc here'!$C$1,1+(('table for research'!$B913-1)*36+HEX2DEC(8))*2,2)),32),2)</f>
        <v>00</v>
      </c>
      <c r="M913" t="str">
        <f>DEC2HEX(_xlfn.BITAND(HEX2DEC(MID('paste from garc here'!$C$1,1+(('table for research'!$B913-1)*36+HEX2DEC(8))*2,2)),64),2)</f>
        <v>00</v>
      </c>
      <c r="N913" t="str">
        <f>DEC2HEX(_xlfn.BITRSHIFT(_xlfn.BITAND(HEX2DEC(MID('paste from garc here'!$C$1,1+(('table for research'!$B913-1)*36+HEX2DEC(9))*2,2)&amp;MID('paste from garc here'!$C$1,1+(('table for research'!$B913-1)*36+HEX2DEC(8))*2,2)),1920),7),2)</f>
        <v>00</v>
      </c>
      <c r="O913" t="str">
        <f>DEC2HEX(_xlfn.BITRSHIFT(HEX2DEC(MID('paste from garc here'!$C$1,1+(('table for research'!$B913-1)*36+HEX2DEC(9))*2,2)&amp;MID('paste from garc here'!$C$1,1+(('table for research'!$B913-1)*36+HEX2DEC(8))*2,2)),11),2)</f>
        <v>00</v>
      </c>
      <c r="P913" t="str">
        <f>MID('paste from garc here'!$C$3,1+(('table for research'!$B913-911)*36+HEX2DEC('table for research'!P$1))*2,2)</f>
        <v>06</v>
      </c>
      <c r="Q913" t="str">
        <f>MID('paste from garc here'!$C$3,1+(('table for research'!$B913-911)*36+HEX2DEC('table for research'!Q$1))*2,2)</f>
        <v>00</v>
      </c>
      <c r="R913" t="str">
        <f>MID('paste from garc here'!$C$3,1+(('table for research'!$B913-911)*36+HEX2DEC('table for research'!R$1))*2,2)</f>
        <v>01</v>
      </c>
      <c r="S913" t="str">
        <f>MID('paste from garc here'!$C$3,1+(('table for research'!$B913-911)*36+HEX2DEC('table for research'!S$1))*2,2)</f>
        <v>01</v>
      </c>
      <c r="T913" t="str">
        <f>MID('paste from garc here'!$C$3,1+(('table for research'!$B913-911)*36+HEX2DEC('table for research'!T$1))*2,2)</f>
        <v>00</v>
      </c>
      <c r="U913" t="str">
        <f>MID('paste from garc here'!$C$3,1+(('table for research'!$B913-911)*36+HEX2DEC('table for research'!U$1))*2,2)</f>
        <v>B4</v>
      </c>
      <c r="V913" t="str">
        <f>MID('paste from garc here'!$C$3,1+(('table for research'!$B913-911)*36+HEX2DEC('table for research'!V$1))*2,2)</f>
        <v>00</v>
      </c>
      <c r="W913" t="str">
        <f>MID('paste from garc here'!$C$3,1+(('table for research'!$B913-911)*36+HEX2DEC('table for research'!W$1))*2,2)</f>
        <v>08</v>
      </c>
      <c r="X913" t="str">
        <f>MID('paste from garc here'!$C$3,1+(('table for research'!$B913-911)*36+HEX2DEC('table for research'!X$1))*2,2)</f>
        <v>00</v>
      </c>
      <c r="Y913" t="str">
        <f>MID('paste from garc here'!$C$3,1+(('table for research'!$B913-911)*36+HEX2DEC('table for research'!Y$1))*2,2)</f>
        <v>00</v>
      </c>
      <c r="Z913" t="str">
        <f>MID('paste from garc here'!$C$3,1+(('table for research'!$B913-911)*36+HEX2DEC('table for research'!Z$1))*2,2)</f>
        <v>00</v>
      </c>
      <c r="AA913" t="str">
        <f>MID('paste from garc here'!$C$3,1+(('table for research'!$B913-911)*36+HEX2DEC('table for research'!AA$1))*2,2)</f>
        <v>00</v>
      </c>
      <c r="AB913" t="str">
        <f>MID('paste from garc here'!$C$3,1+(('table for research'!$B913-911)*36+HEX2DEC('table for research'!AB$1))*2,2)</f>
        <v>00</v>
      </c>
      <c r="AC913" t="str">
        <f>MID('paste from garc here'!$C$3,1+(('table for research'!$B913-911)*36+HEX2DEC('table for research'!AC$1))*2,2)</f>
        <v>00</v>
      </c>
      <c r="AD913" t="str">
        <f>MID('paste from garc here'!$C$3,1+(('table for research'!$B913-911)*36+HEX2DEC('table for research'!AD$1))*2,2)</f>
        <v>00</v>
      </c>
      <c r="AE913" t="str">
        <f>MID('paste from garc here'!$C$3,1+(('table for research'!$B913-911)*36+HEX2DEC('table for research'!AE$1))*2,2)</f>
        <v>00</v>
      </c>
      <c r="AF913" t="str">
        <f>MID('paste from garc here'!$C$3,1+(('table for research'!$B913-911)*36+HEX2DEC('table for research'!AF$1))*2,2)</f>
        <v>00</v>
      </c>
      <c r="AG913" t="str">
        <f>MID('paste from garc here'!$C$3,1+(('table for research'!$B913-911)*36+HEX2DEC('table for research'!AG$1))*2,2)</f>
        <v>00</v>
      </c>
      <c r="AH913" t="str">
        <f>MID('paste from garc here'!$C$3,1+(('table for research'!$B913-911)*36+HEX2DEC('table for research'!AH$1))*2,2)</f>
        <v>00</v>
      </c>
      <c r="AI913" t="str">
        <f>MID('paste from garc here'!$C$3,1+(('table for research'!$B913-911)*36+HEX2DEC('table for research'!AI$1))*2,2)</f>
        <v>00</v>
      </c>
      <c r="AJ913" t="str">
        <f>MID('paste from garc here'!$C$3,1+(('table for research'!$B913-911)*36+HEX2DEC('table for research'!AJ$1))*2,2)</f>
        <v>00</v>
      </c>
      <c r="AK913" t="str">
        <f>MID('paste from garc here'!$C$3,1+(('table for research'!$B913-911)*36+HEX2DEC('table for research'!AK$1))*2,2)</f>
        <v>00</v>
      </c>
      <c r="AL913" t="str">
        <f>MID('paste from garc here'!$C$3,1+(('table for research'!$B913-911)*36+HEX2DEC('table for research'!AL$1))*2,2)</f>
        <v>00</v>
      </c>
      <c r="AM913" t="str">
        <f>MID('paste from garc here'!$C$3,1+(('table for research'!$B913-911)*36+HEX2DEC('table for research'!AM$1))*2,2)</f>
        <v>00</v>
      </c>
      <c r="AN913" t="str">
        <f>MID('paste from garc here'!$C$3,1+(('table for research'!$B913-911)*36+HEX2DEC('table for research'!AN$1))*2,2)</f>
        <v>00</v>
      </c>
      <c r="AO913" t="str">
        <f>MID('paste from garc here'!$C$3,1+(('table for research'!$B913-911)*36+HEX2DEC('table for research'!AO$1))*2,2)</f>
        <v>00</v>
      </c>
    </row>
    <row r="914" spans="1:41" x14ac:dyDescent="0.4">
      <c r="A914" t="s">
        <v>862</v>
      </c>
      <c r="B914">
        <f>B913+1</f>
        <v>912</v>
      </c>
      <c r="C914" t="str">
        <f>MID('paste from garc here'!$C$3,1+(('table for research'!$B914-911)*36+HEX2DEC('table for research'!C$1))*2,2)</f>
        <v>64</v>
      </c>
      <c r="D914" t="str">
        <f>MID('paste from garc here'!$C$3,1+(('table for research'!$B914-911)*36+HEX2DEC('table for research'!D$1))*2,2)</f>
        <v>00</v>
      </c>
      <c r="E914" t="str">
        <f>MID('paste from garc here'!$C$3,1+(('table for research'!$B914-911)*36+HEX2DEC('table for research'!E$1))*2,2)</f>
        <v>7D</v>
      </c>
      <c r="F914" t="str">
        <f>MID('paste from garc here'!$C$3,1+(('table for research'!$B914-911)*36+HEX2DEC('table for research'!F$1))*2,2)</f>
        <v>00</v>
      </c>
      <c r="G914" t="str">
        <f>MID('paste from garc here'!$C$3,1+(('table for research'!$B914-911)*36+HEX2DEC('table for research'!G$1))*2,2)</f>
        <v>00</v>
      </c>
      <c r="H914" t="str">
        <f>MID('paste from garc here'!$C$3,1+(('table for research'!$B914-911)*36+HEX2DEC('table for research'!H$1))*2,2)</f>
        <v>00</v>
      </c>
      <c r="I914" t="str">
        <f>MID('paste from garc here'!$C$3,1+(('table for research'!$B914-911)*36+HEX2DEC('table for research'!I$1))*2,2)</f>
        <v>32</v>
      </c>
      <c r="J914" t="str">
        <f>MID('paste from garc here'!$C$3,1+(('table for research'!$B914-911)*36+HEX2DEC('table for research'!J$1))*2,2)</f>
        <v>00</v>
      </c>
      <c r="K914" t="str">
        <f>DEC2HEX(_xlfn.BITAND(HEX2DEC(MID('paste from garc here'!$C$1,1+(('table for research'!$B914-1)*36+HEX2DEC(8))*2,2)),31),2)</f>
        <v>00</v>
      </c>
      <c r="L914" t="str">
        <f>DEC2HEX(_xlfn.BITAND(HEX2DEC(MID('paste from garc here'!$C$1,1+(('table for research'!$B914-1)*36+HEX2DEC(8))*2,2)),32),2)</f>
        <v>00</v>
      </c>
      <c r="M914" t="str">
        <f>DEC2HEX(_xlfn.BITAND(HEX2DEC(MID('paste from garc here'!$C$1,1+(('table for research'!$B914-1)*36+HEX2DEC(8))*2,2)),64),2)</f>
        <v>00</v>
      </c>
      <c r="N914" t="str">
        <f>DEC2HEX(_xlfn.BITRSHIFT(_xlfn.BITAND(HEX2DEC(MID('paste from garc here'!$C$1,1+(('table for research'!$B914-1)*36+HEX2DEC(9))*2,2)&amp;MID('paste from garc here'!$C$1,1+(('table for research'!$B914-1)*36+HEX2DEC(8))*2,2)),1920),7),2)</f>
        <v>00</v>
      </c>
      <c r="O914" t="str">
        <f>DEC2HEX(_xlfn.BITRSHIFT(HEX2DEC(MID('paste from garc here'!$C$1,1+(('table for research'!$B914-1)*36+HEX2DEC(9))*2,2)&amp;MID('paste from garc here'!$C$1,1+(('table for research'!$B914-1)*36+HEX2DEC(8))*2,2)),11),2)</f>
        <v>00</v>
      </c>
      <c r="P914" t="str">
        <f>MID('paste from garc here'!$C$3,1+(('table for research'!$B914-911)*36+HEX2DEC('table for research'!P$1))*2,2)</f>
        <v>06</v>
      </c>
      <c r="Q914" t="str">
        <f>MID('paste from garc here'!$C$3,1+(('table for research'!$B914-911)*36+HEX2DEC('table for research'!Q$1))*2,2)</f>
        <v>00</v>
      </c>
      <c r="R914" t="str">
        <f>MID('paste from garc here'!$C$3,1+(('table for research'!$B914-911)*36+HEX2DEC('table for research'!R$1))*2,2)</f>
        <v>01</v>
      </c>
      <c r="S914" t="str">
        <f>MID('paste from garc here'!$C$3,1+(('table for research'!$B914-911)*36+HEX2DEC('table for research'!S$1))*2,2)</f>
        <v>01</v>
      </c>
      <c r="T914" t="str">
        <f>MID('paste from garc here'!$C$3,1+(('table for research'!$B914-911)*36+HEX2DEC('table for research'!T$1))*2,2)</f>
        <v>00</v>
      </c>
      <c r="U914" t="str">
        <f>MID('paste from garc here'!$C$3,1+(('table for research'!$B914-911)*36+HEX2DEC('table for research'!U$1))*2,2)</f>
        <v>A5</v>
      </c>
      <c r="V914" t="str">
        <f>MID('paste from garc here'!$C$3,1+(('table for research'!$B914-911)*36+HEX2DEC('table for research'!V$1))*2,2)</f>
        <v>00</v>
      </c>
      <c r="W914" t="str">
        <f>MID('paste from garc here'!$C$3,1+(('table for research'!$B914-911)*36+HEX2DEC('table for research'!W$1))*2,2)</f>
        <v>08</v>
      </c>
      <c r="X914" t="str">
        <f>MID('paste from garc here'!$C$3,1+(('table for research'!$B914-911)*36+HEX2DEC('table for research'!X$1))*2,2)</f>
        <v>00</v>
      </c>
      <c r="Y914" t="str">
        <f>MID('paste from garc here'!$C$3,1+(('table for research'!$B914-911)*36+HEX2DEC('table for research'!Y$1))*2,2)</f>
        <v>00</v>
      </c>
      <c r="Z914" t="str">
        <f>MID('paste from garc here'!$C$3,1+(('table for research'!$B914-911)*36+HEX2DEC('table for research'!Z$1))*2,2)</f>
        <v>00</v>
      </c>
      <c r="AA914" t="str">
        <f>MID('paste from garc here'!$C$3,1+(('table for research'!$B914-911)*36+HEX2DEC('table for research'!AA$1))*2,2)</f>
        <v>00</v>
      </c>
      <c r="AB914" t="str">
        <f>MID('paste from garc here'!$C$3,1+(('table for research'!$B914-911)*36+HEX2DEC('table for research'!AB$1))*2,2)</f>
        <v>00</v>
      </c>
      <c r="AC914" t="str">
        <f>MID('paste from garc here'!$C$3,1+(('table for research'!$B914-911)*36+HEX2DEC('table for research'!AC$1))*2,2)</f>
        <v>00</v>
      </c>
      <c r="AD914" t="str">
        <f>MID('paste from garc here'!$C$3,1+(('table for research'!$B914-911)*36+HEX2DEC('table for research'!AD$1))*2,2)</f>
        <v>00</v>
      </c>
      <c r="AE914" t="str">
        <f>MID('paste from garc here'!$C$3,1+(('table for research'!$B914-911)*36+HEX2DEC('table for research'!AE$1))*2,2)</f>
        <v>00</v>
      </c>
      <c r="AF914" t="str">
        <f>MID('paste from garc here'!$C$3,1+(('table for research'!$B914-911)*36+HEX2DEC('table for research'!AF$1))*2,2)</f>
        <v>00</v>
      </c>
      <c r="AG914" t="str">
        <f>MID('paste from garc here'!$C$3,1+(('table for research'!$B914-911)*36+HEX2DEC('table for research'!AG$1))*2,2)</f>
        <v>00</v>
      </c>
      <c r="AH914" t="str">
        <f>MID('paste from garc here'!$C$3,1+(('table for research'!$B914-911)*36+HEX2DEC('table for research'!AH$1))*2,2)</f>
        <v>00</v>
      </c>
      <c r="AI914" t="str">
        <f>MID('paste from garc here'!$C$3,1+(('table for research'!$B914-911)*36+HEX2DEC('table for research'!AI$1))*2,2)</f>
        <v>00</v>
      </c>
      <c r="AJ914" t="str">
        <f>MID('paste from garc here'!$C$3,1+(('table for research'!$B914-911)*36+HEX2DEC('table for research'!AJ$1))*2,2)</f>
        <v>00</v>
      </c>
      <c r="AK914" t="str">
        <f>MID('paste from garc here'!$C$3,1+(('table for research'!$B914-911)*36+HEX2DEC('table for research'!AK$1))*2,2)</f>
        <v>00</v>
      </c>
      <c r="AL914" t="str">
        <f>MID('paste from garc here'!$C$3,1+(('table for research'!$B914-911)*36+HEX2DEC('table for research'!AL$1))*2,2)</f>
        <v>00</v>
      </c>
      <c r="AM914" t="str">
        <f>MID('paste from garc here'!$C$3,1+(('table for research'!$B914-911)*36+HEX2DEC('table for research'!AM$1))*2,2)</f>
        <v>00</v>
      </c>
      <c r="AN914" t="str">
        <f>MID('paste from garc here'!$C$3,1+(('table for research'!$B914-911)*36+HEX2DEC('table for research'!AN$1))*2,2)</f>
        <v>00</v>
      </c>
      <c r="AO914" t="str">
        <f>MID('paste from garc here'!$C$3,1+(('table for research'!$B914-911)*36+HEX2DEC('table for research'!AO$1))*2,2)</f>
        <v>00</v>
      </c>
    </row>
    <row r="915" spans="1:41" x14ac:dyDescent="0.4">
      <c r="A915" t="s">
        <v>863</v>
      </c>
      <c r="B915">
        <f>B914+1</f>
        <v>913</v>
      </c>
      <c r="C915" t="str">
        <f>MID('paste from garc here'!$C$3,1+(('table for research'!$B915-911)*36+HEX2DEC('table for research'!C$1))*2,2)</f>
        <v>64</v>
      </c>
      <c r="D915" t="str">
        <f>MID('paste from garc here'!$C$3,1+(('table for research'!$B915-911)*36+HEX2DEC('table for research'!D$1))*2,2)</f>
        <v>00</v>
      </c>
      <c r="E915" t="str">
        <f>MID('paste from garc here'!$C$3,1+(('table for research'!$B915-911)*36+HEX2DEC('table for research'!E$1))*2,2)</f>
        <v>7E</v>
      </c>
      <c r="F915" t="str">
        <f>MID('paste from garc here'!$C$3,1+(('table for research'!$B915-911)*36+HEX2DEC('table for research'!F$1))*2,2)</f>
        <v>00</v>
      </c>
      <c r="G915" t="str">
        <f>MID('paste from garc here'!$C$3,1+(('table for research'!$B915-911)*36+HEX2DEC('table for research'!G$1))*2,2)</f>
        <v>00</v>
      </c>
      <c r="H915" t="str">
        <f>MID('paste from garc here'!$C$3,1+(('table for research'!$B915-911)*36+HEX2DEC('table for research'!H$1))*2,2)</f>
        <v>00</v>
      </c>
      <c r="I915" t="str">
        <f>MID('paste from garc here'!$C$3,1+(('table for research'!$B915-911)*36+HEX2DEC('table for research'!I$1))*2,2)</f>
        <v>32</v>
      </c>
      <c r="J915" t="str">
        <f>MID('paste from garc here'!$C$3,1+(('table for research'!$B915-911)*36+HEX2DEC('table for research'!J$1))*2,2)</f>
        <v>00</v>
      </c>
      <c r="K915" t="str">
        <f>DEC2HEX(_xlfn.BITAND(HEX2DEC(MID('paste from garc here'!$C$1,1+(('table for research'!$B915-1)*36+HEX2DEC(8))*2,2)),31),2)</f>
        <v>00</v>
      </c>
      <c r="L915" t="str">
        <f>DEC2HEX(_xlfn.BITAND(HEX2DEC(MID('paste from garc here'!$C$1,1+(('table for research'!$B915-1)*36+HEX2DEC(8))*2,2)),32),2)</f>
        <v>00</v>
      </c>
      <c r="M915" t="str">
        <f>DEC2HEX(_xlfn.BITAND(HEX2DEC(MID('paste from garc here'!$C$1,1+(('table for research'!$B915-1)*36+HEX2DEC(8))*2,2)),64),2)</f>
        <v>00</v>
      </c>
      <c r="N915" t="str">
        <f>DEC2HEX(_xlfn.BITRSHIFT(_xlfn.BITAND(HEX2DEC(MID('paste from garc here'!$C$1,1+(('table for research'!$B915-1)*36+HEX2DEC(9))*2,2)&amp;MID('paste from garc here'!$C$1,1+(('table for research'!$B915-1)*36+HEX2DEC(8))*2,2)),1920),7),2)</f>
        <v>00</v>
      </c>
      <c r="O915" t="str">
        <f>DEC2HEX(_xlfn.BITRSHIFT(HEX2DEC(MID('paste from garc here'!$C$1,1+(('table for research'!$B915-1)*36+HEX2DEC(9))*2,2)&amp;MID('paste from garc here'!$C$1,1+(('table for research'!$B915-1)*36+HEX2DEC(8))*2,2)),11),2)</f>
        <v>00</v>
      </c>
      <c r="P915" t="str">
        <f>MID('paste from garc here'!$C$3,1+(('table for research'!$B915-911)*36+HEX2DEC('table for research'!P$1))*2,2)</f>
        <v>06</v>
      </c>
      <c r="Q915" t="str">
        <f>MID('paste from garc here'!$C$3,1+(('table for research'!$B915-911)*36+HEX2DEC('table for research'!Q$1))*2,2)</f>
        <v>00</v>
      </c>
      <c r="R915" t="str">
        <f>MID('paste from garc here'!$C$3,1+(('table for research'!$B915-911)*36+HEX2DEC('table for research'!R$1))*2,2)</f>
        <v>01</v>
      </c>
      <c r="S915" t="str">
        <f>MID('paste from garc here'!$C$3,1+(('table for research'!$B915-911)*36+HEX2DEC('table for research'!S$1))*2,2)</f>
        <v>01</v>
      </c>
      <c r="T915" t="str">
        <f>MID('paste from garc here'!$C$3,1+(('table for research'!$B915-911)*36+HEX2DEC('table for research'!T$1))*2,2)</f>
        <v>00</v>
      </c>
      <c r="U915" t="str">
        <f>MID('paste from garc here'!$C$3,1+(('table for research'!$B915-911)*36+HEX2DEC('table for research'!U$1))*2,2)</f>
        <v>A6</v>
      </c>
      <c r="V915" t="str">
        <f>MID('paste from garc here'!$C$3,1+(('table for research'!$B915-911)*36+HEX2DEC('table for research'!V$1))*2,2)</f>
        <v>00</v>
      </c>
      <c r="W915" t="str">
        <f>MID('paste from garc here'!$C$3,1+(('table for research'!$B915-911)*36+HEX2DEC('table for research'!W$1))*2,2)</f>
        <v>08</v>
      </c>
      <c r="X915" t="str">
        <f>MID('paste from garc here'!$C$3,1+(('table for research'!$B915-911)*36+HEX2DEC('table for research'!X$1))*2,2)</f>
        <v>00</v>
      </c>
      <c r="Y915" t="str">
        <f>MID('paste from garc here'!$C$3,1+(('table for research'!$B915-911)*36+HEX2DEC('table for research'!Y$1))*2,2)</f>
        <v>00</v>
      </c>
      <c r="Z915" t="str">
        <f>MID('paste from garc here'!$C$3,1+(('table for research'!$B915-911)*36+HEX2DEC('table for research'!Z$1))*2,2)</f>
        <v>00</v>
      </c>
      <c r="AA915" t="str">
        <f>MID('paste from garc here'!$C$3,1+(('table for research'!$B915-911)*36+HEX2DEC('table for research'!AA$1))*2,2)</f>
        <v>00</v>
      </c>
      <c r="AB915" t="str">
        <f>MID('paste from garc here'!$C$3,1+(('table for research'!$B915-911)*36+HEX2DEC('table for research'!AB$1))*2,2)</f>
        <v>00</v>
      </c>
      <c r="AC915" t="str">
        <f>MID('paste from garc here'!$C$3,1+(('table for research'!$B915-911)*36+HEX2DEC('table for research'!AC$1))*2,2)</f>
        <v>00</v>
      </c>
      <c r="AD915" t="str">
        <f>MID('paste from garc here'!$C$3,1+(('table for research'!$B915-911)*36+HEX2DEC('table for research'!AD$1))*2,2)</f>
        <v>00</v>
      </c>
      <c r="AE915" t="str">
        <f>MID('paste from garc here'!$C$3,1+(('table for research'!$B915-911)*36+HEX2DEC('table for research'!AE$1))*2,2)</f>
        <v>00</v>
      </c>
      <c r="AF915" t="str">
        <f>MID('paste from garc here'!$C$3,1+(('table for research'!$B915-911)*36+HEX2DEC('table for research'!AF$1))*2,2)</f>
        <v>00</v>
      </c>
      <c r="AG915" t="str">
        <f>MID('paste from garc here'!$C$3,1+(('table for research'!$B915-911)*36+HEX2DEC('table for research'!AG$1))*2,2)</f>
        <v>00</v>
      </c>
      <c r="AH915" t="str">
        <f>MID('paste from garc here'!$C$3,1+(('table for research'!$B915-911)*36+HEX2DEC('table for research'!AH$1))*2,2)</f>
        <v>00</v>
      </c>
      <c r="AI915" t="str">
        <f>MID('paste from garc here'!$C$3,1+(('table for research'!$B915-911)*36+HEX2DEC('table for research'!AI$1))*2,2)</f>
        <v>00</v>
      </c>
      <c r="AJ915" t="str">
        <f>MID('paste from garc here'!$C$3,1+(('table for research'!$B915-911)*36+HEX2DEC('table for research'!AJ$1))*2,2)</f>
        <v>00</v>
      </c>
      <c r="AK915" t="str">
        <f>MID('paste from garc here'!$C$3,1+(('table for research'!$B915-911)*36+HEX2DEC('table for research'!AK$1))*2,2)</f>
        <v>00</v>
      </c>
      <c r="AL915" t="str">
        <f>MID('paste from garc here'!$C$3,1+(('table for research'!$B915-911)*36+HEX2DEC('table for research'!AL$1))*2,2)</f>
        <v>00</v>
      </c>
      <c r="AM915" t="str">
        <f>MID('paste from garc here'!$C$3,1+(('table for research'!$B915-911)*36+HEX2DEC('table for research'!AM$1))*2,2)</f>
        <v>00</v>
      </c>
      <c r="AN915" t="str">
        <f>MID('paste from garc here'!$C$3,1+(('table for research'!$B915-911)*36+HEX2DEC('table for research'!AN$1))*2,2)</f>
        <v>00</v>
      </c>
      <c r="AO915" t="str">
        <f>MID('paste from garc here'!$C$3,1+(('table for research'!$B915-911)*36+HEX2DEC('table for research'!AO$1))*2,2)</f>
        <v>00</v>
      </c>
    </row>
    <row r="916" spans="1:41" x14ac:dyDescent="0.4">
      <c r="A916" t="s">
        <v>864</v>
      </c>
      <c r="B916">
        <f>B915+1</f>
        <v>914</v>
      </c>
      <c r="C916" t="str">
        <f>MID('paste from garc here'!$C$3,1+(('table for research'!$B916-911)*36+HEX2DEC('table for research'!C$1))*2,2)</f>
        <v>64</v>
      </c>
      <c r="D916" t="str">
        <f>MID('paste from garc here'!$C$3,1+(('table for research'!$B916-911)*36+HEX2DEC('table for research'!D$1))*2,2)</f>
        <v>00</v>
      </c>
      <c r="E916" t="str">
        <f>MID('paste from garc here'!$C$3,1+(('table for research'!$B916-911)*36+HEX2DEC('table for research'!E$1))*2,2)</f>
        <v>80</v>
      </c>
      <c r="F916" t="str">
        <f>MID('paste from garc here'!$C$3,1+(('table for research'!$B916-911)*36+HEX2DEC('table for research'!F$1))*2,2)</f>
        <v>00</v>
      </c>
      <c r="G916" t="str">
        <f>MID('paste from garc here'!$C$3,1+(('table for research'!$B916-911)*36+HEX2DEC('table for research'!G$1))*2,2)</f>
        <v>00</v>
      </c>
      <c r="H916" t="str">
        <f>MID('paste from garc here'!$C$3,1+(('table for research'!$B916-911)*36+HEX2DEC('table for research'!H$1))*2,2)</f>
        <v>00</v>
      </c>
      <c r="I916" t="str">
        <f>MID('paste from garc here'!$C$3,1+(('table for research'!$B916-911)*36+HEX2DEC('table for research'!I$1))*2,2)</f>
        <v>32</v>
      </c>
      <c r="J916" t="str">
        <f>MID('paste from garc here'!$C$3,1+(('table for research'!$B916-911)*36+HEX2DEC('table for research'!J$1))*2,2)</f>
        <v>00</v>
      </c>
      <c r="K916" t="str">
        <f>DEC2HEX(_xlfn.BITAND(HEX2DEC(MID('paste from garc here'!$C$1,1+(('table for research'!$B916-1)*36+HEX2DEC(8))*2,2)),31),2)</f>
        <v>00</v>
      </c>
      <c r="L916" t="str">
        <f>DEC2HEX(_xlfn.BITAND(HEX2DEC(MID('paste from garc here'!$C$1,1+(('table for research'!$B916-1)*36+HEX2DEC(8))*2,2)),32),2)</f>
        <v>00</v>
      </c>
      <c r="M916" t="str">
        <f>DEC2HEX(_xlfn.BITAND(HEX2DEC(MID('paste from garc here'!$C$1,1+(('table for research'!$B916-1)*36+HEX2DEC(8))*2,2)),64),2)</f>
        <v>00</v>
      </c>
      <c r="N916" t="str">
        <f>DEC2HEX(_xlfn.BITRSHIFT(_xlfn.BITAND(HEX2DEC(MID('paste from garc here'!$C$1,1+(('table for research'!$B916-1)*36+HEX2DEC(9))*2,2)&amp;MID('paste from garc here'!$C$1,1+(('table for research'!$B916-1)*36+HEX2DEC(8))*2,2)),1920),7),2)</f>
        <v>00</v>
      </c>
      <c r="O916" t="str">
        <f>DEC2HEX(_xlfn.BITRSHIFT(HEX2DEC(MID('paste from garc here'!$C$1,1+(('table for research'!$B916-1)*36+HEX2DEC(9))*2,2)&amp;MID('paste from garc here'!$C$1,1+(('table for research'!$B916-1)*36+HEX2DEC(8))*2,2)),11),2)</f>
        <v>00</v>
      </c>
      <c r="P916" t="str">
        <f>MID('paste from garc here'!$C$3,1+(('table for research'!$B916-911)*36+HEX2DEC('table for research'!P$1))*2,2)</f>
        <v>06</v>
      </c>
      <c r="Q916" t="str">
        <f>MID('paste from garc here'!$C$3,1+(('table for research'!$B916-911)*36+HEX2DEC('table for research'!Q$1))*2,2)</f>
        <v>00</v>
      </c>
      <c r="R916" t="str">
        <f>MID('paste from garc here'!$C$3,1+(('table for research'!$B916-911)*36+HEX2DEC('table for research'!R$1))*2,2)</f>
        <v>01</v>
      </c>
      <c r="S916" t="str">
        <f>MID('paste from garc here'!$C$3,1+(('table for research'!$B916-911)*36+HEX2DEC('table for research'!S$1))*2,2)</f>
        <v>01</v>
      </c>
      <c r="T916" t="str">
        <f>MID('paste from garc here'!$C$3,1+(('table for research'!$B916-911)*36+HEX2DEC('table for research'!T$1))*2,2)</f>
        <v>00</v>
      </c>
      <c r="U916" t="str">
        <f>MID('paste from garc here'!$C$3,1+(('table for research'!$B916-911)*36+HEX2DEC('table for research'!U$1))*2,2)</f>
        <v>A8</v>
      </c>
      <c r="V916" t="str">
        <f>MID('paste from garc here'!$C$3,1+(('table for research'!$B916-911)*36+HEX2DEC('table for research'!V$1))*2,2)</f>
        <v>00</v>
      </c>
      <c r="W916" t="str">
        <f>MID('paste from garc here'!$C$3,1+(('table for research'!$B916-911)*36+HEX2DEC('table for research'!W$1))*2,2)</f>
        <v>08</v>
      </c>
      <c r="X916" t="str">
        <f>MID('paste from garc here'!$C$3,1+(('table for research'!$B916-911)*36+HEX2DEC('table for research'!X$1))*2,2)</f>
        <v>00</v>
      </c>
      <c r="Y916" t="str">
        <f>MID('paste from garc here'!$C$3,1+(('table for research'!$B916-911)*36+HEX2DEC('table for research'!Y$1))*2,2)</f>
        <v>00</v>
      </c>
      <c r="Z916" t="str">
        <f>MID('paste from garc here'!$C$3,1+(('table for research'!$B916-911)*36+HEX2DEC('table for research'!Z$1))*2,2)</f>
        <v>00</v>
      </c>
      <c r="AA916" t="str">
        <f>MID('paste from garc here'!$C$3,1+(('table for research'!$B916-911)*36+HEX2DEC('table for research'!AA$1))*2,2)</f>
        <v>00</v>
      </c>
      <c r="AB916" t="str">
        <f>MID('paste from garc here'!$C$3,1+(('table for research'!$B916-911)*36+HEX2DEC('table for research'!AB$1))*2,2)</f>
        <v>00</v>
      </c>
      <c r="AC916" t="str">
        <f>MID('paste from garc here'!$C$3,1+(('table for research'!$B916-911)*36+HEX2DEC('table for research'!AC$1))*2,2)</f>
        <v>00</v>
      </c>
      <c r="AD916" t="str">
        <f>MID('paste from garc here'!$C$3,1+(('table for research'!$B916-911)*36+HEX2DEC('table for research'!AD$1))*2,2)</f>
        <v>00</v>
      </c>
      <c r="AE916" t="str">
        <f>MID('paste from garc here'!$C$3,1+(('table for research'!$B916-911)*36+HEX2DEC('table for research'!AE$1))*2,2)</f>
        <v>00</v>
      </c>
      <c r="AF916" t="str">
        <f>MID('paste from garc here'!$C$3,1+(('table for research'!$B916-911)*36+HEX2DEC('table for research'!AF$1))*2,2)</f>
        <v>00</v>
      </c>
      <c r="AG916" t="str">
        <f>MID('paste from garc here'!$C$3,1+(('table for research'!$B916-911)*36+HEX2DEC('table for research'!AG$1))*2,2)</f>
        <v>00</v>
      </c>
      <c r="AH916" t="str">
        <f>MID('paste from garc here'!$C$3,1+(('table for research'!$B916-911)*36+HEX2DEC('table for research'!AH$1))*2,2)</f>
        <v>00</v>
      </c>
      <c r="AI916" t="str">
        <f>MID('paste from garc here'!$C$3,1+(('table for research'!$B916-911)*36+HEX2DEC('table for research'!AI$1))*2,2)</f>
        <v>00</v>
      </c>
      <c r="AJ916" t="str">
        <f>MID('paste from garc here'!$C$3,1+(('table for research'!$B916-911)*36+HEX2DEC('table for research'!AJ$1))*2,2)</f>
        <v>00</v>
      </c>
      <c r="AK916" t="str">
        <f>MID('paste from garc here'!$C$3,1+(('table for research'!$B916-911)*36+HEX2DEC('table for research'!AK$1))*2,2)</f>
        <v>00</v>
      </c>
      <c r="AL916" t="str">
        <f>MID('paste from garc here'!$C$3,1+(('table for research'!$B916-911)*36+HEX2DEC('table for research'!AL$1))*2,2)</f>
        <v>00</v>
      </c>
      <c r="AM916" t="str">
        <f>MID('paste from garc here'!$C$3,1+(('table for research'!$B916-911)*36+HEX2DEC('table for research'!AM$1))*2,2)</f>
        <v>00</v>
      </c>
      <c r="AN916" t="str">
        <f>MID('paste from garc here'!$C$3,1+(('table for research'!$B916-911)*36+HEX2DEC('table for research'!AN$1))*2,2)</f>
        <v>00</v>
      </c>
      <c r="AO916" t="str">
        <f>MID('paste from garc here'!$C$3,1+(('table for research'!$B916-911)*36+HEX2DEC('table for research'!AO$1))*2,2)</f>
        <v>00</v>
      </c>
    </row>
    <row r="917" spans="1:41" x14ac:dyDescent="0.4">
      <c r="A917" t="s">
        <v>865</v>
      </c>
      <c r="B917">
        <f>B916+1</f>
        <v>915</v>
      </c>
      <c r="C917" t="str">
        <f>MID('paste from garc here'!$C$3,1+(('table for research'!$B917-911)*36+HEX2DEC('table for research'!C$1))*2,2)</f>
        <v>64</v>
      </c>
      <c r="D917" t="str">
        <f>MID('paste from garc here'!$C$3,1+(('table for research'!$B917-911)*36+HEX2DEC('table for research'!D$1))*2,2)</f>
        <v>00</v>
      </c>
      <c r="E917" t="str">
        <f>MID('paste from garc here'!$C$3,1+(('table for research'!$B917-911)*36+HEX2DEC('table for research'!E$1))*2,2)</f>
        <v>7F</v>
      </c>
      <c r="F917" t="str">
        <f>MID('paste from garc here'!$C$3,1+(('table for research'!$B917-911)*36+HEX2DEC('table for research'!F$1))*2,2)</f>
        <v>00</v>
      </c>
      <c r="G917" t="str">
        <f>MID('paste from garc here'!$C$3,1+(('table for research'!$B917-911)*36+HEX2DEC('table for research'!G$1))*2,2)</f>
        <v>00</v>
      </c>
      <c r="H917" t="str">
        <f>MID('paste from garc here'!$C$3,1+(('table for research'!$B917-911)*36+HEX2DEC('table for research'!H$1))*2,2)</f>
        <v>00</v>
      </c>
      <c r="I917" t="str">
        <f>MID('paste from garc here'!$C$3,1+(('table for research'!$B917-911)*36+HEX2DEC('table for research'!I$1))*2,2)</f>
        <v>32</v>
      </c>
      <c r="J917" t="str">
        <f>MID('paste from garc here'!$C$3,1+(('table for research'!$B917-911)*36+HEX2DEC('table for research'!J$1))*2,2)</f>
        <v>00</v>
      </c>
      <c r="K917" t="str">
        <f>DEC2HEX(_xlfn.BITAND(HEX2DEC(MID('paste from garc here'!$C$1,1+(('table for research'!$B917-1)*36+HEX2DEC(8))*2,2)),31),2)</f>
        <v>00</v>
      </c>
      <c r="L917" t="str">
        <f>DEC2HEX(_xlfn.BITAND(HEX2DEC(MID('paste from garc here'!$C$1,1+(('table for research'!$B917-1)*36+HEX2DEC(8))*2,2)),32),2)</f>
        <v>00</v>
      </c>
      <c r="M917" t="str">
        <f>DEC2HEX(_xlfn.BITAND(HEX2DEC(MID('paste from garc here'!$C$1,1+(('table for research'!$B917-1)*36+HEX2DEC(8))*2,2)),64),2)</f>
        <v>00</v>
      </c>
      <c r="N917" t="str">
        <f>DEC2HEX(_xlfn.BITRSHIFT(_xlfn.BITAND(HEX2DEC(MID('paste from garc here'!$C$1,1+(('table for research'!$B917-1)*36+HEX2DEC(9))*2,2)&amp;MID('paste from garc here'!$C$1,1+(('table for research'!$B917-1)*36+HEX2DEC(8))*2,2)),1920),7),2)</f>
        <v>00</v>
      </c>
      <c r="O917" t="str">
        <f>DEC2HEX(_xlfn.BITRSHIFT(HEX2DEC(MID('paste from garc here'!$C$1,1+(('table for research'!$B917-1)*36+HEX2DEC(9))*2,2)&amp;MID('paste from garc here'!$C$1,1+(('table for research'!$B917-1)*36+HEX2DEC(8))*2,2)),11),2)</f>
        <v>00</v>
      </c>
      <c r="P917" t="str">
        <f>MID('paste from garc here'!$C$3,1+(('table for research'!$B917-911)*36+HEX2DEC('table for research'!P$1))*2,2)</f>
        <v>06</v>
      </c>
      <c r="Q917" t="str">
        <f>MID('paste from garc here'!$C$3,1+(('table for research'!$B917-911)*36+HEX2DEC('table for research'!Q$1))*2,2)</f>
        <v>00</v>
      </c>
      <c r="R917" t="str">
        <f>MID('paste from garc here'!$C$3,1+(('table for research'!$B917-911)*36+HEX2DEC('table for research'!R$1))*2,2)</f>
        <v>01</v>
      </c>
      <c r="S917" t="str">
        <f>MID('paste from garc here'!$C$3,1+(('table for research'!$B917-911)*36+HEX2DEC('table for research'!S$1))*2,2)</f>
        <v>01</v>
      </c>
      <c r="T917" t="str">
        <f>MID('paste from garc here'!$C$3,1+(('table for research'!$B917-911)*36+HEX2DEC('table for research'!T$1))*2,2)</f>
        <v>00</v>
      </c>
      <c r="U917" t="str">
        <f>MID('paste from garc here'!$C$3,1+(('table for research'!$B917-911)*36+HEX2DEC('table for research'!U$1))*2,2)</f>
        <v>A7</v>
      </c>
      <c r="V917" t="str">
        <f>MID('paste from garc here'!$C$3,1+(('table for research'!$B917-911)*36+HEX2DEC('table for research'!V$1))*2,2)</f>
        <v>00</v>
      </c>
      <c r="W917" t="str">
        <f>MID('paste from garc here'!$C$3,1+(('table for research'!$B917-911)*36+HEX2DEC('table for research'!W$1))*2,2)</f>
        <v>08</v>
      </c>
      <c r="X917" t="str">
        <f>MID('paste from garc here'!$C$3,1+(('table for research'!$B917-911)*36+HEX2DEC('table for research'!X$1))*2,2)</f>
        <v>00</v>
      </c>
      <c r="Y917" t="str">
        <f>MID('paste from garc here'!$C$3,1+(('table for research'!$B917-911)*36+HEX2DEC('table for research'!Y$1))*2,2)</f>
        <v>00</v>
      </c>
      <c r="Z917" t="str">
        <f>MID('paste from garc here'!$C$3,1+(('table for research'!$B917-911)*36+HEX2DEC('table for research'!Z$1))*2,2)</f>
        <v>00</v>
      </c>
      <c r="AA917" t="str">
        <f>MID('paste from garc here'!$C$3,1+(('table for research'!$B917-911)*36+HEX2DEC('table for research'!AA$1))*2,2)</f>
        <v>00</v>
      </c>
      <c r="AB917" t="str">
        <f>MID('paste from garc here'!$C$3,1+(('table for research'!$B917-911)*36+HEX2DEC('table for research'!AB$1))*2,2)</f>
        <v>00</v>
      </c>
      <c r="AC917" t="str">
        <f>MID('paste from garc here'!$C$3,1+(('table for research'!$B917-911)*36+HEX2DEC('table for research'!AC$1))*2,2)</f>
        <v>00</v>
      </c>
      <c r="AD917" t="str">
        <f>MID('paste from garc here'!$C$3,1+(('table for research'!$B917-911)*36+HEX2DEC('table for research'!AD$1))*2,2)</f>
        <v>00</v>
      </c>
      <c r="AE917" t="str">
        <f>MID('paste from garc here'!$C$3,1+(('table for research'!$B917-911)*36+HEX2DEC('table for research'!AE$1))*2,2)</f>
        <v>00</v>
      </c>
      <c r="AF917" t="str">
        <f>MID('paste from garc here'!$C$3,1+(('table for research'!$B917-911)*36+HEX2DEC('table for research'!AF$1))*2,2)</f>
        <v>00</v>
      </c>
      <c r="AG917" t="str">
        <f>MID('paste from garc here'!$C$3,1+(('table for research'!$B917-911)*36+HEX2DEC('table for research'!AG$1))*2,2)</f>
        <v>00</v>
      </c>
      <c r="AH917" t="str">
        <f>MID('paste from garc here'!$C$3,1+(('table for research'!$B917-911)*36+HEX2DEC('table for research'!AH$1))*2,2)</f>
        <v>00</v>
      </c>
      <c r="AI917" t="str">
        <f>MID('paste from garc here'!$C$3,1+(('table for research'!$B917-911)*36+HEX2DEC('table for research'!AI$1))*2,2)</f>
        <v>00</v>
      </c>
      <c r="AJ917" t="str">
        <f>MID('paste from garc here'!$C$3,1+(('table for research'!$B917-911)*36+HEX2DEC('table for research'!AJ$1))*2,2)</f>
        <v>00</v>
      </c>
      <c r="AK917" t="str">
        <f>MID('paste from garc here'!$C$3,1+(('table for research'!$B917-911)*36+HEX2DEC('table for research'!AK$1))*2,2)</f>
        <v>00</v>
      </c>
      <c r="AL917" t="str">
        <f>MID('paste from garc here'!$C$3,1+(('table for research'!$B917-911)*36+HEX2DEC('table for research'!AL$1))*2,2)</f>
        <v>00</v>
      </c>
      <c r="AM917" t="str">
        <f>MID('paste from garc here'!$C$3,1+(('table for research'!$B917-911)*36+HEX2DEC('table for research'!AM$1))*2,2)</f>
        <v>00</v>
      </c>
      <c r="AN917" t="str">
        <f>MID('paste from garc here'!$C$3,1+(('table for research'!$B917-911)*36+HEX2DEC('table for research'!AN$1))*2,2)</f>
        <v>00</v>
      </c>
      <c r="AO917" t="str">
        <f>MID('paste from garc here'!$C$3,1+(('table for research'!$B917-911)*36+HEX2DEC('table for research'!AO$1))*2,2)</f>
        <v>00</v>
      </c>
    </row>
    <row r="918" spans="1:41" x14ac:dyDescent="0.4">
      <c r="A918" t="s">
        <v>866</v>
      </c>
      <c r="B918">
        <f>B917+1</f>
        <v>916</v>
      </c>
      <c r="C918" t="str">
        <f>MID('paste from garc here'!$C$3,1+(('table for research'!$B918-911)*36+HEX2DEC('table for research'!C$1))*2,2)</f>
        <v>64</v>
      </c>
      <c r="D918" t="str">
        <f>MID('paste from garc here'!$C$3,1+(('table for research'!$B918-911)*36+HEX2DEC('table for research'!D$1))*2,2)</f>
        <v>00</v>
      </c>
      <c r="E918" t="str">
        <f>MID('paste from garc here'!$C$3,1+(('table for research'!$B918-911)*36+HEX2DEC('table for research'!E$1))*2,2)</f>
        <v>86</v>
      </c>
      <c r="F918" t="str">
        <f>MID('paste from garc here'!$C$3,1+(('table for research'!$B918-911)*36+HEX2DEC('table for research'!F$1))*2,2)</f>
        <v>00</v>
      </c>
      <c r="G918" t="str">
        <f>MID('paste from garc here'!$C$3,1+(('table for research'!$B918-911)*36+HEX2DEC('table for research'!G$1))*2,2)</f>
        <v>00</v>
      </c>
      <c r="H918" t="str">
        <f>MID('paste from garc here'!$C$3,1+(('table for research'!$B918-911)*36+HEX2DEC('table for research'!H$1))*2,2)</f>
        <v>00</v>
      </c>
      <c r="I918" t="str">
        <f>MID('paste from garc here'!$C$3,1+(('table for research'!$B918-911)*36+HEX2DEC('table for research'!I$1))*2,2)</f>
        <v>32</v>
      </c>
      <c r="J918" t="str">
        <f>MID('paste from garc here'!$C$3,1+(('table for research'!$B918-911)*36+HEX2DEC('table for research'!J$1))*2,2)</f>
        <v>00</v>
      </c>
      <c r="K918" t="str">
        <f>DEC2HEX(_xlfn.BITAND(HEX2DEC(MID('paste from garc here'!$C$1,1+(('table for research'!$B918-1)*36+HEX2DEC(8))*2,2)),31),2)</f>
        <v>00</v>
      </c>
      <c r="L918" t="str">
        <f>DEC2HEX(_xlfn.BITAND(HEX2DEC(MID('paste from garc here'!$C$1,1+(('table for research'!$B918-1)*36+HEX2DEC(8))*2,2)),32),2)</f>
        <v>00</v>
      </c>
      <c r="M918" t="str">
        <f>DEC2HEX(_xlfn.BITAND(HEX2DEC(MID('paste from garc here'!$C$1,1+(('table for research'!$B918-1)*36+HEX2DEC(8))*2,2)),64),2)</f>
        <v>00</v>
      </c>
      <c r="N918" t="str">
        <f>DEC2HEX(_xlfn.BITRSHIFT(_xlfn.BITAND(HEX2DEC(MID('paste from garc here'!$C$1,1+(('table for research'!$B918-1)*36+HEX2DEC(9))*2,2)&amp;MID('paste from garc here'!$C$1,1+(('table for research'!$B918-1)*36+HEX2DEC(8))*2,2)),1920),7),2)</f>
        <v>00</v>
      </c>
      <c r="O918" t="str">
        <f>DEC2HEX(_xlfn.BITRSHIFT(HEX2DEC(MID('paste from garc here'!$C$1,1+(('table for research'!$B918-1)*36+HEX2DEC(9))*2,2)&amp;MID('paste from garc here'!$C$1,1+(('table for research'!$B918-1)*36+HEX2DEC(8))*2,2)),11),2)</f>
        <v>00</v>
      </c>
      <c r="P918" t="str">
        <f>MID('paste from garc here'!$C$3,1+(('table for research'!$B918-911)*36+HEX2DEC('table for research'!P$1))*2,2)</f>
        <v>06</v>
      </c>
      <c r="Q918" t="str">
        <f>MID('paste from garc here'!$C$3,1+(('table for research'!$B918-911)*36+HEX2DEC('table for research'!Q$1))*2,2)</f>
        <v>00</v>
      </c>
      <c r="R918" t="str">
        <f>MID('paste from garc here'!$C$3,1+(('table for research'!$B918-911)*36+HEX2DEC('table for research'!R$1))*2,2)</f>
        <v>01</v>
      </c>
      <c r="S918" t="str">
        <f>MID('paste from garc here'!$C$3,1+(('table for research'!$B918-911)*36+HEX2DEC('table for research'!S$1))*2,2)</f>
        <v>01</v>
      </c>
      <c r="T918" t="str">
        <f>MID('paste from garc here'!$C$3,1+(('table for research'!$B918-911)*36+HEX2DEC('table for research'!T$1))*2,2)</f>
        <v>00</v>
      </c>
      <c r="U918" t="str">
        <f>MID('paste from garc here'!$C$3,1+(('table for research'!$B918-911)*36+HEX2DEC('table for research'!U$1))*2,2)</f>
        <v>AE</v>
      </c>
      <c r="V918" t="str">
        <f>MID('paste from garc here'!$C$3,1+(('table for research'!$B918-911)*36+HEX2DEC('table for research'!V$1))*2,2)</f>
        <v>00</v>
      </c>
      <c r="W918" t="str">
        <f>MID('paste from garc here'!$C$3,1+(('table for research'!$B918-911)*36+HEX2DEC('table for research'!W$1))*2,2)</f>
        <v>08</v>
      </c>
      <c r="X918" t="str">
        <f>MID('paste from garc here'!$C$3,1+(('table for research'!$B918-911)*36+HEX2DEC('table for research'!X$1))*2,2)</f>
        <v>00</v>
      </c>
      <c r="Y918" t="str">
        <f>MID('paste from garc here'!$C$3,1+(('table for research'!$B918-911)*36+HEX2DEC('table for research'!Y$1))*2,2)</f>
        <v>00</v>
      </c>
      <c r="Z918" t="str">
        <f>MID('paste from garc here'!$C$3,1+(('table for research'!$B918-911)*36+HEX2DEC('table for research'!Z$1))*2,2)</f>
        <v>00</v>
      </c>
      <c r="AA918" t="str">
        <f>MID('paste from garc here'!$C$3,1+(('table for research'!$B918-911)*36+HEX2DEC('table for research'!AA$1))*2,2)</f>
        <v>00</v>
      </c>
      <c r="AB918" t="str">
        <f>MID('paste from garc here'!$C$3,1+(('table for research'!$B918-911)*36+HEX2DEC('table for research'!AB$1))*2,2)</f>
        <v>00</v>
      </c>
      <c r="AC918" t="str">
        <f>MID('paste from garc here'!$C$3,1+(('table for research'!$B918-911)*36+HEX2DEC('table for research'!AC$1))*2,2)</f>
        <v>00</v>
      </c>
      <c r="AD918" t="str">
        <f>MID('paste from garc here'!$C$3,1+(('table for research'!$B918-911)*36+HEX2DEC('table for research'!AD$1))*2,2)</f>
        <v>00</v>
      </c>
      <c r="AE918" t="str">
        <f>MID('paste from garc here'!$C$3,1+(('table for research'!$B918-911)*36+HEX2DEC('table for research'!AE$1))*2,2)</f>
        <v>00</v>
      </c>
      <c r="AF918" t="str">
        <f>MID('paste from garc here'!$C$3,1+(('table for research'!$B918-911)*36+HEX2DEC('table for research'!AF$1))*2,2)</f>
        <v>00</v>
      </c>
      <c r="AG918" t="str">
        <f>MID('paste from garc here'!$C$3,1+(('table for research'!$B918-911)*36+HEX2DEC('table for research'!AG$1))*2,2)</f>
        <v>00</v>
      </c>
      <c r="AH918" t="str">
        <f>MID('paste from garc here'!$C$3,1+(('table for research'!$B918-911)*36+HEX2DEC('table for research'!AH$1))*2,2)</f>
        <v>00</v>
      </c>
      <c r="AI918" t="str">
        <f>MID('paste from garc here'!$C$3,1+(('table for research'!$B918-911)*36+HEX2DEC('table for research'!AI$1))*2,2)</f>
        <v>00</v>
      </c>
      <c r="AJ918" t="str">
        <f>MID('paste from garc here'!$C$3,1+(('table for research'!$B918-911)*36+HEX2DEC('table for research'!AJ$1))*2,2)</f>
        <v>00</v>
      </c>
      <c r="AK918" t="str">
        <f>MID('paste from garc here'!$C$3,1+(('table for research'!$B918-911)*36+HEX2DEC('table for research'!AK$1))*2,2)</f>
        <v>00</v>
      </c>
      <c r="AL918" t="str">
        <f>MID('paste from garc here'!$C$3,1+(('table for research'!$B918-911)*36+HEX2DEC('table for research'!AL$1))*2,2)</f>
        <v>00</v>
      </c>
      <c r="AM918" t="str">
        <f>MID('paste from garc here'!$C$3,1+(('table for research'!$B918-911)*36+HEX2DEC('table for research'!AM$1))*2,2)</f>
        <v>00</v>
      </c>
      <c r="AN918" t="str">
        <f>MID('paste from garc here'!$C$3,1+(('table for research'!$B918-911)*36+HEX2DEC('table for research'!AN$1))*2,2)</f>
        <v>00</v>
      </c>
      <c r="AO918" t="str">
        <f>MID('paste from garc here'!$C$3,1+(('table for research'!$B918-911)*36+HEX2DEC('table for research'!AO$1))*2,2)</f>
        <v>00</v>
      </c>
    </row>
    <row r="919" spans="1:41" x14ac:dyDescent="0.4">
      <c r="A919" t="s">
        <v>867</v>
      </c>
      <c r="B919">
        <f>B918+1</f>
        <v>917</v>
      </c>
      <c r="C919" t="str">
        <f>MID('paste from garc here'!$C$3,1+(('table for research'!$B919-911)*36+HEX2DEC('table for research'!C$1))*2,2)</f>
        <v>64</v>
      </c>
      <c r="D919" t="str">
        <f>MID('paste from garc here'!$C$3,1+(('table for research'!$B919-911)*36+HEX2DEC('table for research'!D$1))*2,2)</f>
        <v>00</v>
      </c>
      <c r="E919" t="str">
        <f>MID('paste from garc here'!$C$3,1+(('table for research'!$B919-911)*36+HEX2DEC('table for research'!E$1))*2,2)</f>
        <v>81</v>
      </c>
      <c r="F919" t="str">
        <f>MID('paste from garc here'!$C$3,1+(('table for research'!$B919-911)*36+HEX2DEC('table for research'!F$1))*2,2)</f>
        <v>14</v>
      </c>
      <c r="G919" t="str">
        <f>MID('paste from garc here'!$C$3,1+(('table for research'!$B919-911)*36+HEX2DEC('table for research'!G$1))*2,2)</f>
        <v>00</v>
      </c>
      <c r="H919" t="str">
        <f>MID('paste from garc here'!$C$3,1+(('table for research'!$B919-911)*36+HEX2DEC('table for research'!H$1))*2,2)</f>
        <v>00</v>
      </c>
      <c r="I919" t="str">
        <f>MID('paste from garc here'!$C$3,1+(('table for research'!$B919-911)*36+HEX2DEC('table for research'!I$1))*2,2)</f>
        <v>32</v>
      </c>
      <c r="J919" t="str">
        <f>MID('paste from garc here'!$C$3,1+(('table for research'!$B919-911)*36+HEX2DEC('table for research'!J$1))*2,2)</f>
        <v>00</v>
      </c>
      <c r="K919" t="str">
        <f>DEC2HEX(_xlfn.BITAND(HEX2DEC(MID('paste from garc here'!$C$1,1+(('table for research'!$B919-1)*36+HEX2DEC(8))*2,2)),31),2)</f>
        <v>00</v>
      </c>
      <c r="L919" t="str">
        <f>DEC2HEX(_xlfn.BITAND(HEX2DEC(MID('paste from garc here'!$C$1,1+(('table for research'!$B919-1)*36+HEX2DEC(8))*2,2)),32),2)</f>
        <v>00</v>
      </c>
      <c r="M919" t="str">
        <f>DEC2HEX(_xlfn.BITAND(HEX2DEC(MID('paste from garc here'!$C$1,1+(('table for research'!$B919-1)*36+HEX2DEC(8))*2,2)),64),2)</f>
        <v>00</v>
      </c>
      <c r="N919" t="str">
        <f>DEC2HEX(_xlfn.BITRSHIFT(_xlfn.BITAND(HEX2DEC(MID('paste from garc here'!$C$1,1+(('table for research'!$B919-1)*36+HEX2DEC(9))*2,2)&amp;MID('paste from garc here'!$C$1,1+(('table for research'!$B919-1)*36+HEX2DEC(8))*2,2)),1920),7),2)</f>
        <v>00</v>
      </c>
      <c r="O919" t="str">
        <f>DEC2HEX(_xlfn.BITRSHIFT(HEX2DEC(MID('paste from garc here'!$C$1,1+(('table for research'!$B919-1)*36+HEX2DEC(9))*2,2)&amp;MID('paste from garc here'!$C$1,1+(('table for research'!$B919-1)*36+HEX2DEC(8))*2,2)),11),2)</f>
        <v>00</v>
      </c>
      <c r="P919" t="str">
        <f>MID('paste from garc here'!$C$3,1+(('table for research'!$B919-911)*36+HEX2DEC('table for research'!P$1))*2,2)</f>
        <v>06</v>
      </c>
      <c r="Q919" t="str">
        <f>MID('paste from garc here'!$C$3,1+(('table for research'!$B919-911)*36+HEX2DEC('table for research'!Q$1))*2,2)</f>
        <v>00</v>
      </c>
      <c r="R919" t="str">
        <f>MID('paste from garc here'!$C$3,1+(('table for research'!$B919-911)*36+HEX2DEC('table for research'!R$1))*2,2)</f>
        <v>01</v>
      </c>
      <c r="S919" t="str">
        <f>MID('paste from garc here'!$C$3,1+(('table for research'!$B919-911)*36+HEX2DEC('table for research'!S$1))*2,2)</f>
        <v>01</v>
      </c>
      <c r="T919" t="str">
        <f>MID('paste from garc here'!$C$3,1+(('table for research'!$B919-911)*36+HEX2DEC('table for research'!T$1))*2,2)</f>
        <v>00</v>
      </c>
      <c r="U919" t="str">
        <f>MID('paste from garc here'!$C$3,1+(('table for research'!$B919-911)*36+HEX2DEC('table for research'!U$1))*2,2)</f>
        <v>A9</v>
      </c>
      <c r="V919" t="str">
        <f>MID('paste from garc here'!$C$3,1+(('table for research'!$B919-911)*36+HEX2DEC('table for research'!V$1))*2,2)</f>
        <v>00</v>
      </c>
      <c r="W919" t="str">
        <f>MID('paste from garc here'!$C$3,1+(('table for research'!$B919-911)*36+HEX2DEC('table for research'!W$1))*2,2)</f>
        <v>08</v>
      </c>
      <c r="X919" t="str">
        <f>MID('paste from garc here'!$C$3,1+(('table for research'!$B919-911)*36+HEX2DEC('table for research'!X$1))*2,2)</f>
        <v>00</v>
      </c>
      <c r="Y919" t="str">
        <f>MID('paste from garc here'!$C$3,1+(('table for research'!$B919-911)*36+HEX2DEC('table for research'!Y$1))*2,2)</f>
        <v>00</v>
      </c>
      <c r="Z919" t="str">
        <f>MID('paste from garc here'!$C$3,1+(('table for research'!$B919-911)*36+HEX2DEC('table for research'!Z$1))*2,2)</f>
        <v>00</v>
      </c>
      <c r="AA919" t="str">
        <f>MID('paste from garc here'!$C$3,1+(('table for research'!$B919-911)*36+HEX2DEC('table for research'!AA$1))*2,2)</f>
        <v>00</v>
      </c>
      <c r="AB919" t="str">
        <f>MID('paste from garc here'!$C$3,1+(('table for research'!$B919-911)*36+HEX2DEC('table for research'!AB$1))*2,2)</f>
        <v>00</v>
      </c>
      <c r="AC919" t="str">
        <f>MID('paste from garc here'!$C$3,1+(('table for research'!$B919-911)*36+HEX2DEC('table for research'!AC$1))*2,2)</f>
        <v>00</v>
      </c>
      <c r="AD919" t="str">
        <f>MID('paste from garc here'!$C$3,1+(('table for research'!$B919-911)*36+HEX2DEC('table for research'!AD$1))*2,2)</f>
        <v>00</v>
      </c>
      <c r="AE919" t="str">
        <f>MID('paste from garc here'!$C$3,1+(('table for research'!$B919-911)*36+HEX2DEC('table for research'!AE$1))*2,2)</f>
        <v>00</v>
      </c>
      <c r="AF919" t="str">
        <f>MID('paste from garc here'!$C$3,1+(('table for research'!$B919-911)*36+HEX2DEC('table for research'!AF$1))*2,2)</f>
        <v>00</v>
      </c>
      <c r="AG919" t="str">
        <f>MID('paste from garc here'!$C$3,1+(('table for research'!$B919-911)*36+HEX2DEC('table for research'!AG$1))*2,2)</f>
        <v>00</v>
      </c>
      <c r="AH919" t="str">
        <f>MID('paste from garc here'!$C$3,1+(('table for research'!$B919-911)*36+HEX2DEC('table for research'!AH$1))*2,2)</f>
        <v>00</v>
      </c>
      <c r="AI919" t="str">
        <f>MID('paste from garc here'!$C$3,1+(('table for research'!$B919-911)*36+HEX2DEC('table for research'!AI$1))*2,2)</f>
        <v>00</v>
      </c>
      <c r="AJ919" t="str">
        <f>MID('paste from garc here'!$C$3,1+(('table for research'!$B919-911)*36+HEX2DEC('table for research'!AJ$1))*2,2)</f>
        <v>00</v>
      </c>
      <c r="AK919" t="str">
        <f>MID('paste from garc here'!$C$3,1+(('table for research'!$B919-911)*36+HEX2DEC('table for research'!AK$1))*2,2)</f>
        <v>00</v>
      </c>
      <c r="AL919" t="str">
        <f>MID('paste from garc here'!$C$3,1+(('table for research'!$B919-911)*36+HEX2DEC('table for research'!AL$1))*2,2)</f>
        <v>00</v>
      </c>
      <c r="AM919" t="str">
        <f>MID('paste from garc here'!$C$3,1+(('table for research'!$B919-911)*36+HEX2DEC('table for research'!AM$1))*2,2)</f>
        <v>00</v>
      </c>
      <c r="AN919" t="str">
        <f>MID('paste from garc here'!$C$3,1+(('table for research'!$B919-911)*36+HEX2DEC('table for research'!AN$1))*2,2)</f>
        <v>00</v>
      </c>
      <c r="AO919" t="str">
        <f>MID('paste from garc here'!$C$3,1+(('table for research'!$B919-911)*36+HEX2DEC('table for research'!AO$1))*2,2)</f>
        <v>00</v>
      </c>
    </row>
    <row r="920" spans="1:41" x14ac:dyDescent="0.4">
      <c r="A920" t="s">
        <v>868</v>
      </c>
      <c r="B920">
        <f>B919+1</f>
        <v>918</v>
      </c>
      <c r="C920" t="str">
        <f>MID('paste from garc here'!$C$3,1+(('table for research'!$B920-911)*36+HEX2DEC('table for research'!C$1))*2,2)</f>
        <v>64</v>
      </c>
      <c r="D920" t="str">
        <f>MID('paste from garc here'!$C$3,1+(('table for research'!$B920-911)*36+HEX2DEC('table for research'!D$1))*2,2)</f>
        <v>00</v>
      </c>
      <c r="E920" t="str">
        <f>MID('paste from garc here'!$C$3,1+(('table for research'!$B920-911)*36+HEX2DEC('table for research'!E$1))*2,2)</f>
        <v>8A</v>
      </c>
      <c r="F920" t="str">
        <f>MID('paste from garc here'!$C$3,1+(('table for research'!$B920-911)*36+HEX2DEC('table for research'!F$1))*2,2)</f>
        <v>14</v>
      </c>
      <c r="G920" t="str">
        <f>MID('paste from garc here'!$C$3,1+(('table for research'!$B920-911)*36+HEX2DEC('table for research'!G$1))*2,2)</f>
        <v>00</v>
      </c>
      <c r="H920" t="str">
        <f>MID('paste from garc here'!$C$3,1+(('table for research'!$B920-911)*36+HEX2DEC('table for research'!H$1))*2,2)</f>
        <v>00</v>
      </c>
      <c r="I920" t="str">
        <f>MID('paste from garc here'!$C$3,1+(('table for research'!$B920-911)*36+HEX2DEC('table for research'!I$1))*2,2)</f>
        <v>32</v>
      </c>
      <c r="J920" t="str">
        <f>MID('paste from garc here'!$C$3,1+(('table for research'!$B920-911)*36+HEX2DEC('table for research'!J$1))*2,2)</f>
        <v>00</v>
      </c>
      <c r="K920" t="str">
        <f>DEC2HEX(_xlfn.BITAND(HEX2DEC(MID('paste from garc here'!$C$1,1+(('table for research'!$B920-1)*36+HEX2DEC(8))*2,2)),31),2)</f>
        <v>00</v>
      </c>
      <c r="L920" t="str">
        <f>DEC2HEX(_xlfn.BITAND(HEX2DEC(MID('paste from garc here'!$C$1,1+(('table for research'!$B920-1)*36+HEX2DEC(8))*2,2)),32),2)</f>
        <v>00</v>
      </c>
      <c r="M920" t="str">
        <f>DEC2HEX(_xlfn.BITAND(HEX2DEC(MID('paste from garc here'!$C$1,1+(('table for research'!$B920-1)*36+HEX2DEC(8))*2,2)),64),2)</f>
        <v>00</v>
      </c>
      <c r="N920" t="str">
        <f>DEC2HEX(_xlfn.BITRSHIFT(_xlfn.BITAND(HEX2DEC(MID('paste from garc here'!$C$1,1+(('table for research'!$B920-1)*36+HEX2DEC(9))*2,2)&amp;MID('paste from garc here'!$C$1,1+(('table for research'!$B920-1)*36+HEX2DEC(8))*2,2)),1920),7),2)</f>
        <v>00</v>
      </c>
      <c r="O920" t="str">
        <f>DEC2HEX(_xlfn.BITRSHIFT(HEX2DEC(MID('paste from garc here'!$C$1,1+(('table for research'!$B920-1)*36+HEX2DEC(9))*2,2)&amp;MID('paste from garc here'!$C$1,1+(('table for research'!$B920-1)*36+HEX2DEC(8))*2,2)),11),2)</f>
        <v>00</v>
      </c>
      <c r="P920" t="str">
        <f>MID('paste from garc here'!$C$3,1+(('table for research'!$B920-911)*36+HEX2DEC('table for research'!P$1))*2,2)</f>
        <v>06</v>
      </c>
      <c r="Q920" t="str">
        <f>MID('paste from garc here'!$C$3,1+(('table for research'!$B920-911)*36+HEX2DEC('table for research'!Q$1))*2,2)</f>
        <v>00</v>
      </c>
      <c r="R920" t="str">
        <f>MID('paste from garc here'!$C$3,1+(('table for research'!$B920-911)*36+HEX2DEC('table for research'!R$1))*2,2)</f>
        <v>01</v>
      </c>
      <c r="S920" t="str">
        <f>MID('paste from garc here'!$C$3,1+(('table for research'!$B920-911)*36+HEX2DEC('table for research'!S$1))*2,2)</f>
        <v>01</v>
      </c>
      <c r="T920" t="str">
        <f>MID('paste from garc here'!$C$3,1+(('table for research'!$B920-911)*36+HEX2DEC('table for research'!T$1))*2,2)</f>
        <v>00</v>
      </c>
      <c r="U920" t="str">
        <f>MID('paste from garc here'!$C$3,1+(('table for research'!$B920-911)*36+HEX2DEC('table for research'!U$1))*2,2)</f>
        <v>B2</v>
      </c>
      <c r="V920" t="str">
        <f>MID('paste from garc here'!$C$3,1+(('table for research'!$B920-911)*36+HEX2DEC('table for research'!V$1))*2,2)</f>
        <v>00</v>
      </c>
      <c r="W920" t="str">
        <f>MID('paste from garc here'!$C$3,1+(('table for research'!$B920-911)*36+HEX2DEC('table for research'!W$1))*2,2)</f>
        <v>08</v>
      </c>
      <c r="X920" t="str">
        <f>MID('paste from garc here'!$C$3,1+(('table for research'!$B920-911)*36+HEX2DEC('table for research'!X$1))*2,2)</f>
        <v>00</v>
      </c>
      <c r="Y920" t="str">
        <f>MID('paste from garc here'!$C$3,1+(('table for research'!$B920-911)*36+HEX2DEC('table for research'!Y$1))*2,2)</f>
        <v>00</v>
      </c>
      <c r="Z920" t="str">
        <f>MID('paste from garc here'!$C$3,1+(('table for research'!$B920-911)*36+HEX2DEC('table for research'!Z$1))*2,2)</f>
        <v>00</v>
      </c>
      <c r="AA920" t="str">
        <f>MID('paste from garc here'!$C$3,1+(('table for research'!$B920-911)*36+HEX2DEC('table for research'!AA$1))*2,2)</f>
        <v>00</v>
      </c>
      <c r="AB920" t="str">
        <f>MID('paste from garc here'!$C$3,1+(('table for research'!$B920-911)*36+HEX2DEC('table for research'!AB$1))*2,2)</f>
        <v>00</v>
      </c>
      <c r="AC920" t="str">
        <f>MID('paste from garc here'!$C$3,1+(('table for research'!$B920-911)*36+HEX2DEC('table for research'!AC$1))*2,2)</f>
        <v>00</v>
      </c>
      <c r="AD920" t="str">
        <f>MID('paste from garc here'!$C$3,1+(('table for research'!$B920-911)*36+HEX2DEC('table for research'!AD$1))*2,2)</f>
        <v>00</v>
      </c>
      <c r="AE920" t="str">
        <f>MID('paste from garc here'!$C$3,1+(('table for research'!$B920-911)*36+HEX2DEC('table for research'!AE$1))*2,2)</f>
        <v>00</v>
      </c>
      <c r="AF920" t="str">
        <f>MID('paste from garc here'!$C$3,1+(('table for research'!$B920-911)*36+HEX2DEC('table for research'!AF$1))*2,2)</f>
        <v>00</v>
      </c>
      <c r="AG920" t="str">
        <f>MID('paste from garc here'!$C$3,1+(('table for research'!$B920-911)*36+HEX2DEC('table for research'!AG$1))*2,2)</f>
        <v>00</v>
      </c>
      <c r="AH920" t="str">
        <f>MID('paste from garc here'!$C$3,1+(('table for research'!$B920-911)*36+HEX2DEC('table for research'!AH$1))*2,2)</f>
        <v>00</v>
      </c>
      <c r="AI920" t="str">
        <f>MID('paste from garc here'!$C$3,1+(('table for research'!$B920-911)*36+HEX2DEC('table for research'!AI$1))*2,2)</f>
        <v>00</v>
      </c>
      <c r="AJ920" t="str">
        <f>MID('paste from garc here'!$C$3,1+(('table for research'!$B920-911)*36+HEX2DEC('table for research'!AJ$1))*2,2)</f>
        <v>00</v>
      </c>
      <c r="AK920" t="str">
        <f>MID('paste from garc here'!$C$3,1+(('table for research'!$B920-911)*36+HEX2DEC('table for research'!AK$1))*2,2)</f>
        <v>00</v>
      </c>
      <c r="AL920" t="str">
        <f>MID('paste from garc here'!$C$3,1+(('table for research'!$B920-911)*36+HEX2DEC('table for research'!AL$1))*2,2)</f>
        <v>00</v>
      </c>
      <c r="AM920" t="str">
        <f>MID('paste from garc here'!$C$3,1+(('table for research'!$B920-911)*36+HEX2DEC('table for research'!AM$1))*2,2)</f>
        <v>00</v>
      </c>
      <c r="AN920" t="str">
        <f>MID('paste from garc here'!$C$3,1+(('table for research'!$B920-911)*36+HEX2DEC('table for research'!AN$1))*2,2)</f>
        <v>00</v>
      </c>
      <c r="AO920" t="str">
        <f>MID('paste from garc here'!$C$3,1+(('table for research'!$B920-911)*36+HEX2DEC('table for research'!AO$1))*2,2)</f>
        <v>00</v>
      </c>
    </row>
    <row r="921" spans="1:41" x14ac:dyDescent="0.4">
      <c r="A921" t="s">
        <v>869</v>
      </c>
      <c r="B921">
        <f>B920+1</f>
        <v>919</v>
      </c>
      <c r="C921" t="str">
        <f>MID('paste from garc here'!$C$3,1+(('table for research'!$B921-911)*36+HEX2DEC('table for research'!C$1))*2,2)</f>
        <v>64</v>
      </c>
      <c r="D921" t="str">
        <f>MID('paste from garc here'!$C$3,1+(('table for research'!$B921-911)*36+HEX2DEC('table for research'!D$1))*2,2)</f>
        <v>00</v>
      </c>
      <c r="E921" t="str">
        <f>MID('paste from garc here'!$C$3,1+(('table for research'!$B921-911)*36+HEX2DEC('table for research'!E$1))*2,2)</f>
        <v>8B</v>
      </c>
      <c r="F921" t="str">
        <f>MID('paste from garc here'!$C$3,1+(('table for research'!$B921-911)*36+HEX2DEC('table for research'!F$1))*2,2)</f>
        <v>14</v>
      </c>
      <c r="G921" t="str">
        <f>MID('paste from garc here'!$C$3,1+(('table for research'!$B921-911)*36+HEX2DEC('table for research'!G$1))*2,2)</f>
        <v>00</v>
      </c>
      <c r="H921" t="str">
        <f>MID('paste from garc here'!$C$3,1+(('table for research'!$B921-911)*36+HEX2DEC('table for research'!H$1))*2,2)</f>
        <v>00</v>
      </c>
      <c r="I921" t="str">
        <f>MID('paste from garc here'!$C$3,1+(('table for research'!$B921-911)*36+HEX2DEC('table for research'!I$1))*2,2)</f>
        <v>32</v>
      </c>
      <c r="J921" t="str">
        <f>MID('paste from garc here'!$C$3,1+(('table for research'!$B921-911)*36+HEX2DEC('table for research'!J$1))*2,2)</f>
        <v>00</v>
      </c>
      <c r="K921" t="str">
        <f>DEC2HEX(_xlfn.BITAND(HEX2DEC(MID('paste from garc here'!$C$1,1+(('table for research'!$B921-1)*36+HEX2DEC(8))*2,2)),31),2)</f>
        <v>00</v>
      </c>
      <c r="L921" t="str">
        <f>DEC2HEX(_xlfn.BITAND(HEX2DEC(MID('paste from garc here'!$C$1,1+(('table for research'!$B921-1)*36+HEX2DEC(8))*2,2)),32),2)</f>
        <v>00</v>
      </c>
      <c r="M921" t="str">
        <f>DEC2HEX(_xlfn.BITAND(HEX2DEC(MID('paste from garc here'!$C$1,1+(('table for research'!$B921-1)*36+HEX2DEC(8))*2,2)),64),2)</f>
        <v>00</v>
      </c>
      <c r="N921" t="str">
        <f>DEC2HEX(_xlfn.BITRSHIFT(_xlfn.BITAND(HEX2DEC(MID('paste from garc here'!$C$1,1+(('table for research'!$B921-1)*36+HEX2DEC(9))*2,2)&amp;MID('paste from garc here'!$C$1,1+(('table for research'!$B921-1)*36+HEX2DEC(8))*2,2)),1920),7),2)</f>
        <v>00</v>
      </c>
      <c r="O921" t="str">
        <f>DEC2HEX(_xlfn.BITRSHIFT(HEX2DEC(MID('paste from garc here'!$C$1,1+(('table for research'!$B921-1)*36+HEX2DEC(9))*2,2)&amp;MID('paste from garc here'!$C$1,1+(('table for research'!$B921-1)*36+HEX2DEC(8))*2,2)),11),2)</f>
        <v>00</v>
      </c>
      <c r="P921" t="str">
        <f>MID('paste from garc here'!$C$3,1+(('table for research'!$B921-911)*36+HEX2DEC('table for research'!P$1))*2,2)</f>
        <v>06</v>
      </c>
      <c r="Q921" t="str">
        <f>MID('paste from garc here'!$C$3,1+(('table for research'!$B921-911)*36+HEX2DEC('table for research'!Q$1))*2,2)</f>
        <v>00</v>
      </c>
      <c r="R921" t="str">
        <f>MID('paste from garc here'!$C$3,1+(('table for research'!$B921-911)*36+HEX2DEC('table for research'!R$1))*2,2)</f>
        <v>01</v>
      </c>
      <c r="S921" t="str">
        <f>MID('paste from garc here'!$C$3,1+(('table for research'!$B921-911)*36+HEX2DEC('table for research'!S$1))*2,2)</f>
        <v>01</v>
      </c>
      <c r="T921" t="str">
        <f>MID('paste from garc here'!$C$3,1+(('table for research'!$B921-911)*36+HEX2DEC('table for research'!T$1))*2,2)</f>
        <v>00</v>
      </c>
      <c r="U921" t="str">
        <f>MID('paste from garc here'!$C$3,1+(('table for research'!$B921-911)*36+HEX2DEC('table for research'!U$1))*2,2)</f>
        <v>B3</v>
      </c>
      <c r="V921" t="str">
        <f>MID('paste from garc here'!$C$3,1+(('table for research'!$B921-911)*36+HEX2DEC('table for research'!V$1))*2,2)</f>
        <v>00</v>
      </c>
      <c r="W921" t="str">
        <f>MID('paste from garc here'!$C$3,1+(('table for research'!$B921-911)*36+HEX2DEC('table for research'!W$1))*2,2)</f>
        <v>08</v>
      </c>
      <c r="X921" t="str">
        <f>MID('paste from garc here'!$C$3,1+(('table for research'!$B921-911)*36+HEX2DEC('table for research'!X$1))*2,2)</f>
        <v>00</v>
      </c>
      <c r="Y921" t="str">
        <f>MID('paste from garc here'!$C$3,1+(('table for research'!$B921-911)*36+HEX2DEC('table for research'!Y$1))*2,2)</f>
        <v>00</v>
      </c>
      <c r="Z921" t="str">
        <f>MID('paste from garc here'!$C$3,1+(('table for research'!$B921-911)*36+HEX2DEC('table for research'!Z$1))*2,2)</f>
        <v>00</v>
      </c>
      <c r="AA921" t="str">
        <f>MID('paste from garc here'!$C$3,1+(('table for research'!$B921-911)*36+HEX2DEC('table for research'!AA$1))*2,2)</f>
        <v>00</v>
      </c>
      <c r="AB921" t="str">
        <f>MID('paste from garc here'!$C$3,1+(('table for research'!$B921-911)*36+HEX2DEC('table for research'!AB$1))*2,2)</f>
        <v>00</v>
      </c>
      <c r="AC921" t="str">
        <f>MID('paste from garc here'!$C$3,1+(('table for research'!$B921-911)*36+HEX2DEC('table for research'!AC$1))*2,2)</f>
        <v>00</v>
      </c>
      <c r="AD921" t="str">
        <f>MID('paste from garc here'!$C$3,1+(('table for research'!$B921-911)*36+HEX2DEC('table for research'!AD$1))*2,2)</f>
        <v>00</v>
      </c>
      <c r="AE921" t="str">
        <f>MID('paste from garc here'!$C$3,1+(('table for research'!$B921-911)*36+HEX2DEC('table for research'!AE$1))*2,2)</f>
        <v>00</v>
      </c>
      <c r="AF921" t="str">
        <f>MID('paste from garc here'!$C$3,1+(('table for research'!$B921-911)*36+HEX2DEC('table for research'!AF$1))*2,2)</f>
        <v>00</v>
      </c>
      <c r="AG921" t="str">
        <f>MID('paste from garc here'!$C$3,1+(('table for research'!$B921-911)*36+HEX2DEC('table for research'!AG$1))*2,2)</f>
        <v>00</v>
      </c>
      <c r="AH921" t="str">
        <f>MID('paste from garc here'!$C$3,1+(('table for research'!$B921-911)*36+HEX2DEC('table for research'!AH$1))*2,2)</f>
        <v>00</v>
      </c>
      <c r="AI921" t="str">
        <f>MID('paste from garc here'!$C$3,1+(('table for research'!$B921-911)*36+HEX2DEC('table for research'!AI$1))*2,2)</f>
        <v>00</v>
      </c>
      <c r="AJ921" t="str">
        <f>MID('paste from garc here'!$C$3,1+(('table for research'!$B921-911)*36+HEX2DEC('table for research'!AJ$1))*2,2)</f>
        <v>00</v>
      </c>
      <c r="AK921" t="str">
        <f>MID('paste from garc here'!$C$3,1+(('table for research'!$B921-911)*36+HEX2DEC('table for research'!AK$1))*2,2)</f>
        <v>00</v>
      </c>
      <c r="AL921" t="str">
        <f>MID('paste from garc here'!$C$3,1+(('table for research'!$B921-911)*36+HEX2DEC('table for research'!AL$1))*2,2)</f>
        <v>00</v>
      </c>
      <c r="AM921" t="str">
        <f>MID('paste from garc here'!$C$3,1+(('table for research'!$B921-911)*36+HEX2DEC('table for research'!AM$1))*2,2)</f>
        <v>00</v>
      </c>
      <c r="AN921" t="str">
        <f>MID('paste from garc here'!$C$3,1+(('table for research'!$B921-911)*36+HEX2DEC('table for research'!AN$1))*2,2)</f>
        <v>00</v>
      </c>
      <c r="AO921" t="str">
        <f>MID('paste from garc here'!$C$3,1+(('table for research'!$B921-911)*36+HEX2DEC('table for research'!AO$1))*2,2)</f>
        <v>00</v>
      </c>
    </row>
    <row r="922" spans="1:41" x14ac:dyDescent="0.4">
      <c r="A922" t="s">
        <v>870</v>
      </c>
      <c r="B922">
        <f>B921+1</f>
        <v>920</v>
      </c>
      <c r="C922" t="str">
        <f>MID('paste from garc here'!$C$3,1+(('table for research'!$B922-911)*36+HEX2DEC('table for research'!C$1))*2,2)</f>
        <v>64</v>
      </c>
      <c r="D922" t="str">
        <f>MID('paste from garc here'!$C$3,1+(('table for research'!$B922-911)*36+HEX2DEC('table for research'!D$1))*2,2)</f>
        <v>00</v>
      </c>
      <c r="E922" t="str">
        <f>MID('paste from garc here'!$C$3,1+(('table for research'!$B922-911)*36+HEX2DEC('table for research'!E$1))*2,2)</f>
        <v>AF</v>
      </c>
      <c r="F922" t="str">
        <f>MID('paste from garc here'!$C$3,1+(('table for research'!$B922-911)*36+HEX2DEC('table for research'!F$1))*2,2)</f>
        <v>14</v>
      </c>
      <c r="G922" t="str">
        <f>MID('paste from garc here'!$C$3,1+(('table for research'!$B922-911)*36+HEX2DEC('table for research'!G$1))*2,2)</f>
        <v>00</v>
      </c>
      <c r="H922" t="str">
        <f>MID('paste from garc here'!$C$3,1+(('table for research'!$B922-911)*36+HEX2DEC('table for research'!H$1))*2,2)</f>
        <v>00</v>
      </c>
      <c r="I922" t="str">
        <f>MID('paste from garc here'!$C$3,1+(('table for research'!$B922-911)*36+HEX2DEC('table for research'!I$1))*2,2)</f>
        <v>32</v>
      </c>
      <c r="J922" t="str">
        <f>MID('paste from garc here'!$C$3,1+(('table for research'!$B922-911)*36+HEX2DEC('table for research'!J$1))*2,2)</f>
        <v>00</v>
      </c>
      <c r="K922" t="str">
        <f>DEC2HEX(_xlfn.BITAND(HEX2DEC(MID('paste from garc here'!$C$1,1+(('table for research'!$B922-1)*36+HEX2DEC(8))*2,2)),31),2)</f>
        <v>00</v>
      </c>
      <c r="L922" t="str">
        <f>DEC2HEX(_xlfn.BITAND(HEX2DEC(MID('paste from garc here'!$C$1,1+(('table for research'!$B922-1)*36+HEX2DEC(8))*2,2)),32),2)</f>
        <v>00</v>
      </c>
      <c r="M922" t="str">
        <f>DEC2HEX(_xlfn.BITAND(HEX2DEC(MID('paste from garc here'!$C$1,1+(('table for research'!$B922-1)*36+HEX2DEC(8))*2,2)),64),2)</f>
        <v>00</v>
      </c>
      <c r="N922" t="str">
        <f>DEC2HEX(_xlfn.BITRSHIFT(_xlfn.BITAND(HEX2DEC(MID('paste from garc here'!$C$1,1+(('table for research'!$B922-1)*36+HEX2DEC(9))*2,2)&amp;MID('paste from garc here'!$C$1,1+(('table for research'!$B922-1)*36+HEX2DEC(8))*2,2)),1920),7),2)</f>
        <v>00</v>
      </c>
      <c r="O922" t="str">
        <f>DEC2HEX(_xlfn.BITRSHIFT(HEX2DEC(MID('paste from garc here'!$C$1,1+(('table for research'!$B922-1)*36+HEX2DEC(9))*2,2)&amp;MID('paste from garc here'!$C$1,1+(('table for research'!$B922-1)*36+HEX2DEC(8))*2,2)),11),2)</f>
        <v>00</v>
      </c>
      <c r="P922" t="str">
        <f>MID('paste from garc here'!$C$3,1+(('table for research'!$B922-911)*36+HEX2DEC('table for research'!P$1))*2,2)</f>
        <v>06</v>
      </c>
      <c r="Q922" t="str">
        <f>MID('paste from garc here'!$C$3,1+(('table for research'!$B922-911)*36+HEX2DEC('table for research'!Q$1))*2,2)</f>
        <v>00</v>
      </c>
      <c r="R922" t="str">
        <f>MID('paste from garc here'!$C$3,1+(('table for research'!$B922-911)*36+HEX2DEC('table for research'!R$1))*2,2)</f>
        <v>01</v>
      </c>
      <c r="S922" t="str">
        <f>MID('paste from garc here'!$C$3,1+(('table for research'!$B922-911)*36+HEX2DEC('table for research'!S$1))*2,2)</f>
        <v>01</v>
      </c>
      <c r="T922" t="str">
        <f>MID('paste from garc here'!$C$3,1+(('table for research'!$B922-911)*36+HEX2DEC('table for research'!T$1))*2,2)</f>
        <v>00</v>
      </c>
      <c r="U922" t="str">
        <f>MID('paste from garc here'!$C$3,1+(('table for research'!$B922-911)*36+HEX2DEC('table for research'!U$1))*2,2)</f>
        <v>B5</v>
      </c>
      <c r="V922" t="str">
        <f>MID('paste from garc here'!$C$3,1+(('table for research'!$B922-911)*36+HEX2DEC('table for research'!V$1))*2,2)</f>
        <v>00</v>
      </c>
      <c r="W922" t="str">
        <f>MID('paste from garc here'!$C$3,1+(('table for research'!$B922-911)*36+HEX2DEC('table for research'!W$1))*2,2)</f>
        <v>08</v>
      </c>
      <c r="X922" t="str">
        <f>MID('paste from garc here'!$C$3,1+(('table for research'!$B922-911)*36+HEX2DEC('table for research'!X$1))*2,2)</f>
        <v>00</v>
      </c>
      <c r="Y922" t="str">
        <f>MID('paste from garc here'!$C$3,1+(('table for research'!$B922-911)*36+HEX2DEC('table for research'!Y$1))*2,2)</f>
        <v>00</v>
      </c>
      <c r="Z922" t="str">
        <f>MID('paste from garc here'!$C$3,1+(('table for research'!$B922-911)*36+HEX2DEC('table for research'!Z$1))*2,2)</f>
        <v>00</v>
      </c>
      <c r="AA922" t="str">
        <f>MID('paste from garc here'!$C$3,1+(('table for research'!$B922-911)*36+HEX2DEC('table for research'!AA$1))*2,2)</f>
        <v>00</v>
      </c>
      <c r="AB922" t="str">
        <f>MID('paste from garc here'!$C$3,1+(('table for research'!$B922-911)*36+HEX2DEC('table for research'!AB$1))*2,2)</f>
        <v>00</v>
      </c>
      <c r="AC922" t="str">
        <f>MID('paste from garc here'!$C$3,1+(('table for research'!$B922-911)*36+HEX2DEC('table for research'!AC$1))*2,2)</f>
        <v>00</v>
      </c>
      <c r="AD922" t="str">
        <f>MID('paste from garc here'!$C$3,1+(('table for research'!$B922-911)*36+HEX2DEC('table for research'!AD$1))*2,2)</f>
        <v>00</v>
      </c>
      <c r="AE922" t="str">
        <f>MID('paste from garc here'!$C$3,1+(('table for research'!$B922-911)*36+HEX2DEC('table for research'!AE$1))*2,2)</f>
        <v>00</v>
      </c>
      <c r="AF922" t="str">
        <f>MID('paste from garc here'!$C$3,1+(('table for research'!$B922-911)*36+HEX2DEC('table for research'!AF$1))*2,2)</f>
        <v>00</v>
      </c>
      <c r="AG922" t="str">
        <f>MID('paste from garc here'!$C$3,1+(('table for research'!$B922-911)*36+HEX2DEC('table for research'!AG$1))*2,2)</f>
        <v>00</v>
      </c>
      <c r="AH922" t="str">
        <f>MID('paste from garc here'!$C$3,1+(('table for research'!$B922-911)*36+HEX2DEC('table for research'!AH$1))*2,2)</f>
        <v>00</v>
      </c>
      <c r="AI922" t="str">
        <f>MID('paste from garc here'!$C$3,1+(('table for research'!$B922-911)*36+HEX2DEC('table for research'!AI$1))*2,2)</f>
        <v>00</v>
      </c>
      <c r="AJ922" t="str">
        <f>MID('paste from garc here'!$C$3,1+(('table for research'!$B922-911)*36+HEX2DEC('table for research'!AJ$1))*2,2)</f>
        <v>00</v>
      </c>
      <c r="AK922" t="str">
        <f>MID('paste from garc here'!$C$3,1+(('table for research'!$B922-911)*36+HEX2DEC('table for research'!AK$1))*2,2)</f>
        <v>00</v>
      </c>
      <c r="AL922" t="str">
        <f>MID('paste from garc here'!$C$3,1+(('table for research'!$B922-911)*36+HEX2DEC('table for research'!AL$1))*2,2)</f>
        <v>00</v>
      </c>
      <c r="AM922" t="str">
        <f>MID('paste from garc here'!$C$3,1+(('table for research'!$B922-911)*36+HEX2DEC('table for research'!AM$1))*2,2)</f>
        <v>00</v>
      </c>
      <c r="AN922" t="str">
        <f>MID('paste from garc here'!$C$3,1+(('table for research'!$B922-911)*36+HEX2DEC('table for research'!AN$1))*2,2)</f>
        <v>00</v>
      </c>
      <c r="AO922" t="str">
        <f>MID('paste from garc here'!$C$3,1+(('table for research'!$B922-911)*36+HEX2DEC('table for research'!AO$1))*2,2)</f>
        <v>00</v>
      </c>
    </row>
    <row r="923" spans="1:41" x14ac:dyDescent="0.4">
      <c r="A923" t="s">
        <v>871</v>
      </c>
      <c r="B923">
        <f>B922+1</f>
        <v>921</v>
      </c>
      <c r="C923" t="str">
        <f>MID('paste from garc here'!$C$3,1+(('table for research'!$B923-911)*36+HEX2DEC('table for research'!C$1))*2,2)</f>
        <v>00</v>
      </c>
      <c r="D923" t="str">
        <f>MID('paste from garc here'!$C$3,1+(('table for research'!$B923-911)*36+HEX2DEC('table for research'!D$1))*2,2)</f>
        <v>00</v>
      </c>
      <c r="E923" t="str">
        <f>MID('paste from garc here'!$C$3,1+(('table for research'!$B923-911)*36+HEX2DEC('table for research'!E$1))*2,2)</f>
        <v>00</v>
      </c>
      <c r="F923" t="str">
        <f>MID('paste from garc here'!$C$3,1+(('table for research'!$B923-911)*36+HEX2DEC('table for research'!F$1))*2,2)</f>
        <v>00</v>
      </c>
      <c r="G923" t="str">
        <f>MID('paste from garc here'!$C$3,1+(('table for research'!$B923-911)*36+HEX2DEC('table for research'!G$1))*2,2)</f>
        <v>00</v>
      </c>
      <c r="H923" t="str">
        <f>MID('paste from garc here'!$C$3,1+(('table for research'!$B923-911)*36+HEX2DEC('table for research'!H$1))*2,2)</f>
        <v>00</v>
      </c>
      <c r="I923" t="str">
        <f>MID('paste from garc here'!$C$3,1+(('table for research'!$B923-911)*36+HEX2DEC('table for research'!I$1))*2,2)</f>
        <v>00</v>
      </c>
      <c r="J923" t="str">
        <f>MID('paste from garc here'!$C$3,1+(('table for research'!$B923-911)*36+HEX2DEC('table for research'!J$1))*2,2)</f>
        <v>00</v>
      </c>
      <c r="K923" t="str">
        <f>DEC2HEX(_xlfn.BITAND(HEX2DEC(MID('paste from garc here'!$C$1,1+(('table for research'!$B923-1)*36+HEX2DEC(8))*2,2)),31),2)</f>
        <v>00</v>
      </c>
      <c r="L923" t="str">
        <f>DEC2HEX(_xlfn.BITAND(HEX2DEC(MID('paste from garc here'!$C$1,1+(('table for research'!$B923-1)*36+HEX2DEC(8))*2,2)),32),2)</f>
        <v>00</v>
      </c>
      <c r="M923" t="str">
        <f>DEC2HEX(_xlfn.BITAND(HEX2DEC(MID('paste from garc here'!$C$1,1+(('table for research'!$B923-1)*36+HEX2DEC(8))*2,2)),64),2)</f>
        <v>00</v>
      </c>
      <c r="N923" t="str">
        <f>DEC2HEX(_xlfn.BITRSHIFT(_xlfn.BITAND(HEX2DEC(MID('paste from garc here'!$C$1,1+(('table for research'!$B923-1)*36+HEX2DEC(9))*2,2)&amp;MID('paste from garc here'!$C$1,1+(('table for research'!$B923-1)*36+HEX2DEC(8))*2,2)),1920),7),2)</f>
        <v>00</v>
      </c>
      <c r="O923" t="str">
        <f>DEC2HEX(_xlfn.BITRSHIFT(HEX2DEC(MID('paste from garc here'!$C$1,1+(('table for research'!$B923-1)*36+HEX2DEC(9))*2,2)&amp;MID('paste from garc here'!$C$1,1+(('table for research'!$B923-1)*36+HEX2DEC(8))*2,2)),11),2)</f>
        <v>00</v>
      </c>
      <c r="P923" t="str">
        <f>MID('paste from garc here'!$C$3,1+(('table for research'!$B923-911)*36+HEX2DEC('table for research'!P$1))*2,2)</f>
        <v>00</v>
      </c>
      <c r="Q923" t="str">
        <f>MID('paste from garc here'!$C$3,1+(('table for research'!$B923-911)*36+HEX2DEC('table for research'!Q$1))*2,2)</f>
        <v>00</v>
      </c>
      <c r="R923" t="str">
        <f>MID('paste from garc here'!$C$3,1+(('table for research'!$B923-911)*36+HEX2DEC('table for research'!R$1))*2,2)</f>
        <v>00</v>
      </c>
      <c r="S923" t="str">
        <f>MID('paste from garc here'!$C$3,1+(('table for research'!$B923-911)*36+HEX2DEC('table for research'!S$1))*2,2)</f>
        <v>01</v>
      </c>
      <c r="T923" t="str">
        <f>MID('paste from garc here'!$C$3,1+(('table for research'!$B923-911)*36+HEX2DEC('table for research'!T$1))*2,2)</f>
        <v>00</v>
      </c>
      <c r="U923" t="str">
        <f>MID('paste from garc here'!$C$3,1+(('table for research'!$B923-911)*36+HEX2DEC('table for research'!U$1))*2,2)</f>
        <v>1E</v>
      </c>
      <c r="V923" t="str">
        <f>MID('paste from garc here'!$C$3,1+(('table for research'!$B923-911)*36+HEX2DEC('table for research'!V$1))*2,2)</f>
        <v>1E</v>
      </c>
      <c r="W923" t="str">
        <f>MID('paste from garc here'!$C$3,1+(('table for research'!$B923-911)*36+HEX2DEC('table for research'!W$1))*2,2)</f>
        <v>00</v>
      </c>
      <c r="X923" t="str">
        <f>MID('paste from garc here'!$C$3,1+(('table for research'!$B923-911)*36+HEX2DEC('table for research'!X$1))*2,2)</f>
        <v>00</v>
      </c>
      <c r="Y923" t="str">
        <f>MID('paste from garc here'!$C$3,1+(('table for research'!$B923-911)*36+HEX2DEC('table for research'!Y$1))*2,2)</f>
        <v>00</v>
      </c>
      <c r="Z923" t="str">
        <f>MID('paste from garc here'!$C$3,1+(('table for research'!$B923-911)*36+HEX2DEC('table for research'!Z$1))*2,2)</f>
        <v>00</v>
      </c>
      <c r="AA923" t="str">
        <f>MID('paste from garc here'!$C$3,1+(('table for research'!$B923-911)*36+HEX2DEC('table for research'!AA$1))*2,2)</f>
        <v>00</v>
      </c>
      <c r="AB923" t="str">
        <f>MID('paste from garc here'!$C$3,1+(('table for research'!$B923-911)*36+HEX2DEC('table for research'!AB$1))*2,2)</f>
        <v>00</v>
      </c>
      <c r="AC923" t="str">
        <f>MID('paste from garc here'!$C$3,1+(('table for research'!$B923-911)*36+HEX2DEC('table for research'!AC$1))*2,2)</f>
        <v>00</v>
      </c>
      <c r="AD923" t="str">
        <f>MID('paste from garc here'!$C$3,1+(('table for research'!$B923-911)*36+HEX2DEC('table for research'!AD$1))*2,2)</f>
        <v>00</v>
      </c>
      <c r="AE923" t="str">
        <f>MID('paste from garc here'!$C$3,1+(('table for research'!$B923-911)*36+HEX2DEC('table for research'!AE$1))*2,2)</f>
        <v>00</v>
      </c>
      <c r="AF923" t="str">
        <f>MID('paste from garc here'!$C$3,1+(('table for research'!$B923-911)*36+HEX2DEC('table for research'!AF$1))*2,2)</f>
        <v>00</v>
      </c>
      <c r="AG923" t="str">
        <f>MID('paste from garc here'!$C$3,1+(('table for research'!$B923-911)*36+HEX2DEC('table for research'!AG$1))*2,2)</f>
        <v>00</v>
      </c>
      <c r="AH923" t="str">
        <f>MID('paste from garc here'!$C$3,1+(('table for research'!$B923-911)*36+HEX2DEC('table for research'!AH$1))*2,2)</f>
        <v>00</v>
      </c>
      <c r="AI923" t="str">
        <f>MID('paste from garc here'!$C$3,1+(('table for research'!$B923-911)*36+HEX2DEC('table for research'!AI$1))*2,2)</f>
        <v>00</v>
      </c>
      <c r="AJ923" t="str">
        <f>MID('paste from garc here'!$C$3,1+(('table for research'!$B923-911)*36+HEX2DEC('table for research'!AJ$1))*2,2)</f>
        <v>00</v>
      </c>
      <c r="AK923" t="str">
        <f>MID('paste from garc here'!$C$3,1+(('table for research'!$B923-911)*36+HEX2DEC('table for research'!AK$1))*2,2)</f>
        <v>00</v>
      </c>
      <c r="AL923" t="str">
        <f>MID('paste from garc here'!$C$3,1+(('table for research'!$B923-911)*36+HEX2DEC('table for research'!AL$1))*2,2)</f>
        <v>00</v>
      </c>
      <c r="AM923" t="str">
        <f>MID('paste from garc here'!$C$3,1+(('table for research'!$B923-911)*36+HEX2DEC('table for research'!AM$1))*2,2)</f>
        <v>00</v>
      </c>
      <c r="AN923" t="str">
        <f>MID('paste from garc here'!$C$3,1+(('table for research'!$B923-911)*36+HEX2DEC('table for research'!AN$1))*2,2)</f>
        <v>00</v>
      </c>
      <c r="AO923" t="str">
        <f>MID('paste from garc here'!$C$3,1+(('table for research'!$B923-911)*36+HEX2DEC('table for research'!AO$1))*2,2)</f>
        <v>00</v>
      </c>
    </row>
    <row r="924" spans="1:41" x14ac:dyDescent="0.4">
      <c r="A924" t="s">
        <v>872</v>
      </c>
      <c r="B924">
        <f>B923+1</f>
        <v>922</v>
      </c>
      <c r="C924" t="str">
        <f>MID('paste from garc here'!$C$3,1+(('table for research'!$B924-911)*36+HEX2DEC('table for research'!C$1))*2,2)</f>
        <v>00</v>
      </c>
      <c r="D924" t="str">
        <f>MID('paste from garc here'!$C$3,1+(('table for research'!$B924-911)*36+HEX2DEC('table for research'!D$1))*2,2)</f>
        <v>00</v>
      </c>
      <c r="E924" t="str">
        <f>MID('paste from garc here'!$C$3,1+(('table for research'!$B924-911)*36+HEX2DEC('table for research'!E$1))*2,2)</f>
        <v>00</v>
      </c>
      <c r="F924" t="str">
        <f>MID('paste from garc here'!$C$3,1+(('table for research'!$B924-911)*36+HEX2DEC('table for research'!F$1))*2,2)</f>
        <v>00</v>
      </c>
      <c r="G924" t="str">
        <f>MID('paste from garc here'!$C$3,1+(('table for research'!$B924-911)*36+HEX2DEC('table for research'!G$1))*2,2)</f>
        <v>00</v>
      </c>
      <c r="H924" t="str">
        <f>MID('paste from garc here'!$C$3,1+(('table for research'!$B924-911)*36+HEX2DEC('table for research'!H$1))*2,2)</f>
        <v>00</v>
      </c>
      <c r="I924" t="str">
        <f>MID('paste from garc here'!$C$3,1+(('table for research'!$B924-911)*36+HEX2DEC('table for research'!I$1))*2,2)</f>
        <v>00</v>
      </c>
      <c r="J924" t="str">
        <f>MID('paste from garc here'!$C$3,1+(('table for research'!$B924-911)*36+HEX2DEC('table for research'!J$1))*2,2)</f>
        <v>00</v>
      </c>
      <c r="K924" t="str">
        <f>DEC2HEX(_xlfn.BITAND(HEX2DEC(MID('paste from garc here'!$C$1,1+(('table for research'!$B924-1)*36+HEX2DEC(8))*2,2)),31),2)</f>
        <v>00</v>
      </c>
      <c r="L924" t="str">
        <f>DEC2HEX(_xlfn.BITAND(HEX2DEC(MID('paste from garc here'!$C$1,1+(('table for research'!$B924-1)*36+HEX2DEC(8))*2,2)),32),2)</f>
        <v>00</v>
      </c>
      <c r="M924" t="str">
        <f>DEC2HEX(_xlfn.BITAND(HEX2DEC(MID('paste from garc here'!$C$1,1+(('table for research'!$B924-1)*36+HEX2DEC(8))*2,2)),64),2)</f>
        <v>00</v>
      </c>
      <c r="N924" t="str">
        <f>DEC2HEX(_xlfn.BITRSHIFT(_xlfn.BITAND(HEX2DEC(MID('paste from garc here'!$C$1,1+(('table for research'!$B924-1)*36+HEX2DEC(9))*2,2)&amp;MID('paste from garc here'!$C$1,1+(('table for research'!$B924-1)*36+HEX2DEC(8))*2,2)),1920),7),2)</f>
        <v>00</v>
      </c>
      <c r="O924" t="str">
        <f>DEC2HEX(_xlfn.BITRSHIFT(HEX2DEC(MID('paste from garc here'!$C$1,1+(('table for research'!$B924-1)*36+HEX2DEC(9))*2,2)&amp;MID('paste from garc here'!$C$1,1+(('table for research'!$B924-1)*36+HEX2DEC(8))*2,2)),11),2)</f>
        <v>00</v>
      </c>
      <c r="P924" t="str">
        <f>MID('paste from garc here'!$C$3,1+(('table for research'!$B924-911)*36+HEX2DEC('table for research'!P$1))*2,2)</f>
        <v>00</v>
      </c>
      <c r="Q924" t="str">
        <f>MID('paste from garc here'!$C$3,1+(('table for research'!$B924-911)*36+HEX2DEC('table for research'!Q$1))*2,2)</f>
        <v>00</v>
      </c>
      <c r="R924" t="str">
        <f>MID('paste from garc here'!$C$3,1+(('table for research'!$B924-911)*36+HEX2DEC('table for research'!R$1))*2,2)</f>
        <v>00</v>
      </c>
      <c r="S924" t="str">
        <f>MID('paste from garc here'!$C$3,1+(('table for research'!$B924-911)*36+HEX2DEC('table for research'!S$1))*2,2)</f>
        <v>01</v>
      </c>
      <c r="T924" t="str">
        <f>MID('paste from garc here'!$C$3,1+(('table for research'!$B924-911)*36+HEX2DEC('table for research'!T$1))*2,2)</f>
        <v>00</v>
      </c>
      <c r="U924" t="str">
        <f>MID('paste from garc here'!$C$3,1+(('table for research'!$B924-911)*36+HEX2DEC('table for research'!U$1))*2,2)</f>
        <v>1F</v>
      </c>
      <c r="V924" t="str">
        <f>MID('paste from garc here'!$C$3,1+(('table for research'!$B924-911)*36+HEX2DEC('table for research'!V$1))*2,2)</f>
        <v>1F</v>
      </c>
      <c r="W924" t="str">
        <f>MID('paste from garc here'!$C$3,1+(('table for research'!$B924-911)*36+HEX2DEC('table for research'!W$1))*2,2)</f>
        <v>00</v>
      </c>
      <c r="X924" t="str">
        <f>MID('paste from garc here'!$C$3,1+(('table for research'!$B924-911)*36+HEX2DEC('table for research'!X$1))*2,2)</f>
        <v>00</v>
      </c>
      <c r="Y924" t="str">
        <f>MID('paste from garc here'!$C$3,1+(('table for research'!$B924-911)*36+HEX2DEC('table for research'!Y$1))*2,2)</f>
        <v>00</v>
      </c>
      <c r="Z924" t="str">
        <f>MID('paste from garc here'!$C$3,1+(('table for research'!$B924-911)*36+HEX2DEC('table for research'!Z$1))*2,2)</f>
        <v>00</v>
      </c>
      <c r="AA924" t="str">
        <f>MID('paste from garc here'!$C$3,1+(('table for research'!$B924-911)*36+HEX2DEC('table for research'!AA$1))*2,2)</f>
        <v>00</v>
      </c>
      <c r="AB924" t="str">
        <f>MID('paste from garc here'!$C$3,1+(('table for research'!$B924-911)*36+HEX2DEC('table for research'!AB$1))*2,2)</f>
        <v>00</v>
      </c>
      <c r="AC924" t="str">
        <f>MID('paste from garc here'!$C$3,1+(('table for research'!$B924-911)*36+HEX2DEC('table for research'!AC$1))*2,2)</f>
        <v>00</v>
      </c>
      <c r="AD924" t="str">
        <f>MID('paste from garc here'!$C$3,1+(('table for research'!$B924-911)*36+HEX2DEC('table for research'!AD$1))*2,2)</f>
        <v>00</v>
      </c>
      <c r="AE924" t="str">
        <f>MID('paste from garc here'!$C$3,1+(('table for research'!$B924-911)*36+HEX2DEC('table for research'!AE$1))*2,2)</f>
        <v>00</v>
      </c>
      <c r="AF924" t="str">
        <f>MID('paste from garc here'!$C$3,1+(('table for research'!$B924-911)*36+HEX2DEC('table for research'!AF$1))*2,2)</f>
        <v>00</v>
      </c>
      <c r="AG924" t="str">
        <f>MID('paste from garc here'!$C$3,1+(('table for research'!$B924-911)*36+HEX2DEC('table for research'!AG$1))*2,2)</f>
        <v>00</v>
      </c>
      <c r="AH924" t="str">
        <f>MID('paste from garc here'!$C$3,1+(('table for research'!$B924-911)*36+HEX2DEC('table for research'!AH$1))*2,2)</f>
        <v>00</v>
      </c>
      <c r="AI924" t="str">
        <f>MID('paste from garc here'!$C$3,1+(('table for research'!$B924-911)*36+HEX2DEC('table for research'!AI$1))*2,2)</f>
        <v>00</v>
      </c>
      <c r="AJ924" t="str">
        <f>MID('paste from garc here'!$C$3,1+(('table for research'!$B924-911)*36+HEX2DEC('table for research'!AJ$1))*2,2)</f>
        <v>00</v>
      </c>
      <c r="AK924" t="str">
        <f>MID('paste from garc here'!$C$3,1+(('table for research'!$B924-911)*36+HEX2DEC('table for research'!AK$1))*2,2)</f>
        <v>00</v>
      </c>
      <c r="AL924" t="str">
        <f>MID('paste from garc here'!$C$3,1+(('table for research'!$B924-911)*36+HEX2DEC('table for research'!AL$1))*2,2)</f>
        <v>00</v>
      </c>
      <c r="AM924" t="str">
        <f>MID('paste from garc here'!$C$3,1+(('table for research'!$B924-911)*36+HEX2DEC('table for research'!AM$1))*2,2)</f>
        <v>00</v>
      </c>
      <c r="AN924" t="str">
        <f>MID('paste from garc here'!$C$3,1+(('table for research'!$B924-911)*36+HEX2DEC('table for research'!AN$1))*2,2)</f>
        <v>00</v>
      </c>
      <c r="AO924" t="str">
        <f>MID('paste from garc here'!$C$3,1+(('table for research'!$B924-911)*36+HEX2DEC('table for research'!AO$1))*2,2)</f>
        <v>00</v>
      </c>
    </row>
    <row r="925" spans="1:41" x14ac:dyDescent="0.4">
      <c r="A925" t="s">
        <v>873</v>
      </c>
      <c r="B925">
        <f>B924+1</f>
        <v>923</v>
      </c>
      <c r="C925" t="str">
        <f>MID('paste from garc here'!$C$3,1+(('table for research'!$B925-911)*36+HEX2DEC('table for research'!C$1))*2,2)</f>
        <v>00</v>
      </c>
      <c r="D925" t="str">
        <f>MID('paste from garc here'!$C$3,1+(('table for research'!$B925-911)*36+HEX2DEC('table for research'!D$1))*2,2)</f>
        <v>00</v>
      </c>
      <c r="E925" t="str">
        <f>MID('paste from garc here'!$C$3,1+(('table for research'!$B925-911)*36+HEX2DEC('table for research'!E$1))*2,2)</f>
        <v>00</v>
      </c>
      <c r="F925" t="str">
        <f>MID('paste from garc here'!$C$3,1+(('table for research'!$B925-911)*36+HEX2DEC('table for research'!F$1))*2,2)</f>
        <v>00</v>
      </c>
      <c r="G925" t="str">
        <f>MID('paste from garc here'!$C$3,1+(('table for research'!$B925-911)*36+HEX2DEC('table for research'!G$1))*2,2)</f>
        <v>00</v>
      </c>
      <c r="H925" t="str">
        <f>MID('paste from garc here'!$C$3,1+(('table for research'!$B925-911)*36+HEX2DEC('table for research'!H$1))*2,2)</f>
        <v>00</v>
      </c>
      <c r="I925" t="str">
        <f>MID('paste from garc here'!$C$3,1+(('table for research'!$B925-911)*36+HEX2DEC('table for research'!I$1))*2,2)</f>
        <v>00</v>
      </c>
      <c r="J925" t="str">
        <f>MID('paste from garc here'!$C$3,1+(('table for research'!$B925-911)*36+HEX2DEC('table for research'!J$1))*2,2)</f>
        <v>00</v>
      </c>
      <c r="K925" t="str">
        <f>DEC2HEX(_xlfn.BITAND(HEX2DEC(MID('paste from garc here'!$C$1,1+(('table for research'!$B925-1)*36+HEX2DEC(8))*2,2)),31),2)</f>
        <v>00</v>
      </c>
      <c r="L925" t="str">
        <f>DEC2HEX(_xlfn.BITAND(HEX2DEC(MID('paste from garc here'!$C$1,1+(('table for research'!$B925-1)*36+HEX2DEC(8))*2,2)),32),2)</f>
        <v>00</v>
      </c>
      <c r="M925" t="str">
        <f>DEC2HEX(_xlfn.BITAND(HEX2DEC(MID('paste from garc here'!$C$1,1+(('table for research'!$B925-1)*36+HEX2DEC(8))*2,2)),64),2)</f>
        <v>00</v>
      </c>
      <c r="N925" t="str">
        <f>DEC2HEX(_xlfn.BITRSHIFT(_xlfn.BITAND(HEX2DEC(MID('paste from garc here'!$C$1,1+(('table for research'!$B925-1)*36+HEX2DEC(9))*2,2)&amp;MID('paste from garc here'!$C$1,1+(('table for research'!$B925-1)*36+HEX2DEC(8))*2,2)),1920),7),2)</f>
        <v>00</v>
      </c>
      <c r="O925" t="str">
        <f>DEC2HEX(_xlfn.BITRSHIFT(HEX2DEC(MID('paste from garc here'!$C$1,1+(('table for research'!$B925-1)*36+HEX2DEC(9))*2,2)&amp;MID('paste from garc here'!$C$1,1+(('table for research'!$B925-1)*36+HEX2DEC(8))*2,2)),11),2)</f>
        <v>00</v>
      </c>
      <c r="P925" t="str">
        <f>MID('paste from garc here'!$C$3,1+(('table for research'!$B925-911)*36+HEX2DEC('table for research'!P$1))*2,2)</f>
        <v>00</v>
      </c>
      <c r="Q925" t="str">
        <f>MID('paste from garc here'!$C$3,1+(('table for research'!$B925-911)*36+HEX2DEC('table for research'!Q$1))*2,2)</f>
        <v>00</v>
      </c>
      <c r="R925" t="str">
        <f>MID('paste from garc here'!$C$3,1+(('table for research'!$B925-911)*36+HEX2DEC('table for research'!R$1))*2,2)</f>
        <v>00</v>
      </c>
      <c r="S925" t="str">
        <f>MID('paste from garc here'!$C$3,1+(('table for research'!$B925-911)*36+HEX2DEC('table for research'!S$1))*2,2)</f>
        <v>01</v>
      </c>
      <c r="T925" t="str">
        <f>MID('paste from garc here'!$C$3,1+(('table for research'!$B925-911)*36+HEX2DEC('table for research'!T$1))*2,2)</f>
        <v>00</v>
      </c>
      <c r="U925" t="str">
        <f>MID('paste from garc here'!$C$3,1+(('table for research'!$B925-911)*36+HEX2DEC('table for research'!U$1))*2,2)</f>
        <v>20</v>
      </c>
      <c r="V925" t="str">
        <f>MID('paste from garc here'!$C$3,1+(('table for research'!$B925-911)*36+HEX2DEC('table for research'!V$1))*2,2)</f>
        <v>20</v>
      </c>
      <c r="W925" t="str">
        <f>MID('paste from garc here'!$C$3,1+(('table for research'!$B925-911)*36+HEX2DEC('table for research'!W$1))*2,2)</f>
        <v>00</v>
      </c>
      <c r="X925" t="str">
        <f>MID('paste from garc here'!$C$3,1+(('table for research'!$B925-911)*36+HEX2DEC('table for research'!X$1))*2,2)</f>
        <v>00</v>
      </c>
      <c r="Y925" t="str">
        <f>MID('paste from garc here'!$C$3,1+(('table for research'!$B925-911)*36+HEX2DEC('table for research'!Y$1))*2,2)</f>
        <v>00</v>
      </c>
      <c r="Z925" t="str">
        <f>MID('paste from garc here'!$C$3,1+(('table for research'!$B925-911)*36+HEX2DEC('table for research'!Z$1))*2,2)</f>
        <v>00</v>
      </c>
      <c r="AA925" t="str">
        <f>MID('paste from garc here'!$C$3,1+(('table for research'!$B925-911)*36+HEX2DEC('table for research'!AA$1))*2,2)</f>
        <v>00</v>
      </c>
      <c r="AB925" t="str">
        <f>MID('paste from garc here'!$C$3,1+(('table for research'!$B925-911)*36+HEX2DEC('table for research'!AB$1))*2,2)</f>
        <v>00</v>
      </c>
      <c r="AC925" t="str">
        <f>MID('paste from garc here'!$C$3,1+(('table for research'!$B925-911)*36+HEX2DEC('table for research'!AC$1))*2,2)</f>
        <v>00</v>
      </c>
      <c r="AD925" t="str">
        <f>MID('paste from garc here'!$C$3,1+(('table for research'!$B925-911)*36+HEX2DEC('table for research'!AD$1))*2,2)</f>
        <v>00</v>
      </c>
      <c r="AE925" t="str">
        <f>MID('paste from garc here'!$C$3,1+(('table for research'!$B925-911)*36+HEX2DEC('table for research'!AE$1))*2,2)</f>
        <v>00</v>
      </c>
      <c r="AF925" t="str">
        <f>MID('paste from garc here'!$C$3,1+(('table for research'!$B925-911)*36+HEX2DEC('table for research'!AF$1))*2,2)</f>
        <v>00</v>
      </c>
      <c r="AG925" t="str">
        <f>MID('paste from garc here'!$C$3,1+(('table for research'!$B925-911)*36+HEX2DEC('table for research'!AG$1))*2,2)</f>
        <v>00</v>
      </c>
      <c r="AH925" t="str">
        <f>MID('paste from garc here'!$C$3,1+(('table for research'!$B925-911)*36+HEX2DEC('table for research'!AH$1))*2,2)</f>
        <v>00</v>
      </c>
      <c r="AI925" t="str">
        <f>MID('paste from garc here'!$C$3,1+(('table for research'!$B925-911)*36+HEX2DEC('table for research'!AI$1))*2,2)</f>
        <v>00</v>
      </c>
      <c r="AJ925" t="str">
        <f>MID('paste from garc here'!$C$3,1+(('table for research'!$B925-911)*36+HEX2DEC('table for research'!AJ$1))*2,2)</f>
        <v>00</v>
      </c>
      <c r="AK925" t="str">
        <f>MID('paste from garc here'!$C$3,1+(('table for research'!$B925-911)*36+HEX2DEC('table for research'!AK$1))*2,2)</f>
        <v>00</v>
      </c>
      <c r="AL925" t="str">
        <f>MID('paste from garc here'!$C$3,1+(('table for research'!$B925-911)*36+HEX2DEC('table for research'!AL$1))*2,2)</f>
        <v>00</v>
      </c>
      <c r="AM925" t="str">
        <f>MID('paste from garc here'!$C$3,1+(('table for research'!$B925-911)*36+HEX2DEC('table for research'!AM$1))*2,2)</f>
        <v>00</v>
      </c>
      <c r="AN925" t="str">
        <f>MID('paste from garc here'!$C$3,1+(('table for research'!$B925-911)*36+HEX2DEC('table for research'!AN$1))*2,2)</f>
        <v>00</v>
      </c>
      <c r="AO925" t="str">
        <f>MID('paste from garc here'!$C$3,1+(('table for research'!$B925-911)*36+HEX2DEC('table for research'!AO$1))*2,2)</f>
        <v>00</v>
      </c>
    </row>
    <row r="926" spans="1:41" x14ac:dyDescent="0.4">
      <c r="A926" t="s">
        <v>874</v>
      </c>
      <c r="B926">
        <f>B925+1</f>
        <v>924</v>
      </c>
      <c r="C926" t="str">
        <f>MID('paste from garc here'!$C$3,1+(('table for research'!$B926-911)*36+HEX2DEC('table for research'!C$1))*2,2)</f>
        <v>00</v>
      </c>
      <c r="D926" t="str">
        <f>MID('paste from garc here'!$C$3,1+(('table for research'!$B926-911)*36+HEX2DEC('table for research'!D$1))*2,2)</f>
        <v>00</v>
      </c>
      <c r="E926" t="str">
        <f>MID('paste from garc here'!$C$3,1+(('table for research'!$B926-911)*36+HEX2DEC('table for research'!E$1))*2,2)</f>
        <v>00</v>
      </c>
      <c r="F926" t="str">
        <f>MID('paste from garc here'!$C$3,1+(('table for research'!$B926-911)*36+HEX2DEC('table for research'!F$1))*2,2)</f>
        <v>00</v>
      </c>
      <c r="G926" t="str">
        <f>MID('paste from garc here'!$C$3,1+(('table for research'!$B926-911)*36+HEX2DEC('table for research'!G$1))*2,2)</f>
        <v>00</v>
      </c>
      <c r="H926" t="str">
        <f>MID('paste from garc here'!$C$3,1+(('table for research'!$B926-911)*36+HEX2DEC('table for research'!H$1))*2,2)</f>
        <v>00</v>
      </c>
      <c r="I926" t="str">
        <f>MID('paste from garc here'!$C$3,1+(('table for research'!$B926-911)*36+HEX2DEC('table for research'!I$1))*2,2)</f>
        <v>00</v>
      </c>
      <c r="J926" t="str">
        <f>MID('paste from garc here'!$C$3,1+(('table for research'!$B926-911)*36+HEX2DEC('table for research'!J$1))*2,2)</f>
        <v>00</v>
      </c>
      <c r="K926" t="str">
        <f>DEC2HEX(_xlfn.BITAND(HEX2DEC(MID('paste from garc here'!$C$1,1+(('table for research'!$B926-1)*36+HEX2DEC(8))*2,2)),31),2)</f>
        <v>00</v>
      </c>
      <c r="L926" t="str">
        <f>DEC2HEX(_xlfn.BITAND(HEX2DEC(MID('paste from garc here'!$C$1,1+(('table for research'!$B926-1)*36+HEX2DEC(8))*2,2)),32),2)</f>
        <v>00</v>
      </c>
      <c r="M926" t="str">
        <f>DEC2HEX(_xlfn.BITAND(HEX2DEC(MID('paste from garc here'!$C$1,1+(('table for research'!$B926-1)*36+HEX2DEC(8))*2,2)),64),2)</f>
        <v>00</v>
      </c>
      <c r="N926" t="str">
        <f>DEC2HEX(_xlfn.BITRSHIFT(_xlfn.BITAND(HEX2DEC(MID('paste from garc here'!$C$1,1+(('table for research'!$B926-1)*36+HEX2DEC(9))*2,2)&amp;MID('paste from garc here'!$C$1,1+(('table for research'!$B926-1)*36+HEX2DEC(8))*2,2)),1920),7),2)</f>
        <v>00</v>
      </c>
      <c r="O926" t="str">
        <f>DEC2HEX(_xlfn.BITRSHIFT(HEX2DEC(MID('paste from garc here'!$C$1,1+(('table for research'!$B926-1)*36+HEX2DEC(9))*2,2)&amp;MID('paste from garc here'!$C$1,1+(('table for research'!$B926-1)*36+HEX2DEC(8))*2,2)),11),2)</f>
        <v>00</v>
      </c>
      <c r="P926" t="str">
        <f>MID('paste from garc here'!$C$3,1+(('table for research'!$B926-911)*36+HEX2DEC('table for research'!P$1))*2,2)</f>
        <v>00</v>
      </c>
      <c r="Q926" t="str">
        <f>MID('paste from garc here'!$C$3,1+(('table for research'!$B926-911)*36+HEX2DEC('table for research'!Q$1))*2,2)</f>
        <v>00</v>
      </c>
      <c r="R926" t="str">
        <f>MID('paste from garc here'!$C$3,1+(('table for research'!$B926-911)*36+HEX2DEC('table for research'!R$1))*2,2)</f>
        <v>00</v>
      </c>
      <c r="S926" t="str">
        <f>MID('paste from garc here'!$C$3,1+(('table for research'!$B926-911)*36+HEX2DEC('table for research'!S$1))*2,2)</f>
        <v>01</v>
      </c>
      <c r="T926" t="str">
        <f>MID('paste from garc here'!$C$3,1+(('table for research'!$B926-911)*36+HEX2DEC('table for research'!T$1))*2,2)</f>
        <v>00</v>
      </c>
      <c r="U926" t="str">
        <f>MID('paste from garc here'!$C$3,1+(('table for research'!$B926-911)*36+HEX2DEC('table for research'!U$1))*2,2)</f>
        <v>21</v>
      </c>
      <c r="V926" t="str">
        <f>MID('paste from garc here'!$C$3,1+(('table for research'!$B926-911)*36+HEX2DEC('table for research'!V$1))*2,2)</f>
        <v>21</v>
      </c>
      <c r="W926" t="str">
        <f>MID('paste from garc here'!$C$3,1+(('table for research'!$B926-911)*36+HEX2DEC('table for research'!W$1))*2,2)</f>
        <v>00</v>
      </c>
      <c r="X926" t="str">
        <f>MID('paste from garc here'!$C$3,1+(('table for research'!$B926-911)*36+HEX2DEC('table for research'!X$1))*2,2)</f>
        <v>00</v>
      </c>
      <c r="Y926" t="str">
        <f>MID('paste from garc here'!$C$3,1+(('table for research'!$B926-911)*36+HEX2DEC('table for research'!Y$1))*2,2)</f>
        <v>00</v>
      </c>
      <c r="Z926" t="str">
        <f>MID('paste from garc here'!$C$3,1+(('table for research'!$B926-911)*36+HEX2DEC('table for research'!Z$1))*2,2)</f>
        <v>00</v>
      </c>
      <c r="AA926" t="str">
        <f>MID('paste from garc here'!$C$3,1+(('table for research'!$B926-911)*36+HEX2DEC('table for research'!AA$1))*2,2)</f>
        <v>00</v>
      </c>
      <c r="AB926" t="str">
        <f>MID('paste from garc here'!$C$3,1+(('table for research'!$B926-911)*36+HEX2DEC('table for research'!AB$1))*2,2)</f>
        <v>00</v>
      </c>
      <c r="AC926" t="str">
        <f>MID('paste from garc here'!$C$3,1+(('table for research'!$B926-911)*36+HEX2DEC('table for research'!AC$1))*2,2)</f>
        <v>00</v>
      </c>
      <c r="AD926" t="str">
        <f>MID('paste from garc here'!$C$3,1+(('table for research'!$B926-911)*36+HEX2DEC('table for research'!AD$1))*2,2)</f>
        <v>00</v>
      </c>
      <c r="AE926" t="str">
        <f>MID('paste from garc here'!$C$3,1+(('table for research'!$B926-911)*36+HEX2DEC('table for research'!AE$1))*2,2)</f>
        <v>00</v>
      </c>
      <c r="AF926" t="str">
        <f>MID('paste from garc here'!$C$3,1+(('table for research'!$B926-911)*36+HEX2DEC('table for research'!AF$1))*2,2)</f>
        <v>00</v>
      </c>
      <c r="AG926" t="str">
        <f>MID('paste from garc here'!$C$3,1+(('table for research'!$B926-911)*36+HEX2DEC('table for research'!AG$1))*2,2)</f>
        <v>00</v>
      </c>
      <c r="AH926" t="str">
        <f>MID('paste from garc here'!$C$3,1+(('table for research'!$B926-911)*36+HEX2DEC('table for research'!AH$1))*2,2)</f>
        <v>00</v>
      </c>
      <c r="AI926" t="str">
        <f>MID('paste from garc here'!$C$3,1+(('table for research'!$B926-911)*36+HEX2DEC('table for research'!AI$1))*2,2)</f>
        <v>00</v>
      </c>
      <c r="AJ926" t="str">
        <f>MID('paste from garc here'!$C$3,1+(('table for research'!$B926-911)*36+HEX2DEC('table for research'!AJ$1))*2,2)</f>
        <v>00</v>
      </c>
      <c r="AK926" t="str">
        <f>MID('paste from garc here'!$C$3,1+(('table for research'!$B926-911)*36+HEX2DEC('table for research'!AK$1))*2,2)</f>
        <v>00</v>
      </c>
      <c r="AL926" t="str">
        <f>MID('paste from garc here'!$C$3,1+(('table for research'!$B926-911)*36+HEX2DEC('table for research'!AL$1))*2,2)</f>
        <v>00</v>
      </c>
      <c r="AM926" t="str">
        <f>MID('paste from garc here'!$C$3,1+(('table for research'!$B926-911)*36+HEX2DEC('table for research'!AM$1))*2,2)</f>
        <v>00</v>
      </c>
      <c r="AN926" t="str">
        <f>MID('paste from garc here'!$C$3,1+(('table for research'!$B926-911)*36+HEX2DEC('table for research'!AN$1))*2,2)</f>
        <v>00</v>
      </c>
      <c r="AO926" t="str">
        <f>MID('paste from garc here'!$C$3,1+(('table for research'!$B926-911)*36+HEX2DEC('table for research'!AO$1))*2,2)</f>
        <v>00</v>
      </c>
    </row>
    <row r="927" spans="1:41" x14ac:dyDescent="0.4">
      <c r="A927" t="s">
        <v>875</v>
      </c>
      <c r="B927">
        <f>B926+1</f>
        <v>925</v>
      </c>
      <c r="C927" t="str">
        <f>MID('paste from garc here'!$C$3,1+(('table for research'!$B927-911)*36+HEX2DEC('table for research'!C$1))*2,2)</f>
        <v>00</v>
      </c>
      <c r="D927" t="str">
        <f>MID('paste from garc here'!$C$3,1+(('table for research'!$B927-911)*36+HEX2DEC('table for research'!D$1))*2,2)</f>
        <v>00</v>
      </c>
      <c r="E927" t="str">
        <f>MID('paste from garc here'!$C$3,1+(('table for research'!$B927-911)*36+HEX2DEC('table for research'!E$1))*2,2)</f>
        <v>00</v>
      </c>
      <c r="F927" t="str">
        <f>MID('paste from garc here'!$C$3,1+(('table for research'!$B927-911)*36+HEX2DEC('table for research'!F$1))*2,2)</f>
        <v>00</v>
      </c>
      <c r="G927" t="str">
        <f>MID('paste from garc here'!$C$3,1+(('table for research'!$B927-911)*36+HEX2DEC('table for research'!G$1))*2,2)</f>
        <v>00</v>
      </c>
      <c r="H927" t="str">
        <f>MID('paste from garc here'!$C$3,1+(('table for research'!$B927-911)*36+HEX2DEC('table for research'!H$1))*2,2)</f>
        <v>00</v>
      </c>
      <c r="I927" t="str">
        <f>MID('paste from garc here'!$C$3,1+(('table for research'!$B927-911)*36+HEX2DEC('table for research'!I$1))*2,2)</f>
        <v>00</v>
      </c>
      <c r="J927" t="str">
        <f>MID('paste from garc here'!$C$3,1+(('table for research'!$B927-911)*36+HEX2DEC('table for research'!J$1))*2,2)</f>
        <v>00</v>
      </c>
      <c r="K927" t="str">
        <f>DEC2HEX(_xlfn.BITAND(HEX2DEC(MID('paste from garc here'!$C$1,1+(('table for research'!$B927-1)*36+HEX2DEC(8))*2,2)),31),2)</f>
        <v>00</v>
      </c>
      <c r="L927" t="str">
        <f>DEC2HEX(_xlfn.BITAND(HEX2DEC(MID('paste from garc here'!$C$1,1+(('table for research'!$B927-1)*36+HEX2DEC(8))*2,2)),32),2)</f>
        <v>00</v>
      </c>
      <c r="M927" t="str">
        <f>DEC2HEX(_xlfn.BITAND(HEX2DEC(MID('paste from garc here'!$C$1,1+(('table for research'!$B927-1)*36+HEX2DEC(8))*2,2)),64),2)</f>
        <v>00</v>
      </c>
      <c r="N927" t="str">
        <f>DEC2HEX(_xlfn.BITRSHIFT(_xlfn.BITAND(HEX2DEC(MID('paste from garc here'!$C$1,1+(('table for research'!$B927-1)*36+HEX2DEC(9))*2,2)&amp;MID('paste from garc here'!$C$1,1+(('table for research'!$B927-1)*36+HEX2DEC(8))*2,2)),1920),7),2)</f>
        <v>00</v>
      </c>
      <c r="O927" t="str">
        <f>DEC2HEX(_xlfn.BITRSHIFT(HEX2DEC(MID('paste from garc here'!$C$1,1+(('table for research'!$B927-1)*36+HEX2DEC(9))*2,2)&amp;MID('paste from garc here'!$C$1,1+(('table for research'!$B927-1)*36+HEX2DEC(8))*2,2)),11),2)</f>
        <v>00</v>
      </c>
      <c r="P927" t="str">
        <f>MID('paste from garc here'!$C$3,1+(('table for research'!$B927-911)*36+HEX2DEC('table for research'!P$1))*2,2)</f>
        <v>00</v>
      </c>
      <c r="Q927" t="str">
        <f>MID('paste from garc here'!$C$3,1+(('table for research'!$B927-911)*36+HEX2DEC('table for research'!Q$1))*2,2)</f>
        <v>00</v>
      </c>
      <c r="R927" t="str">
        <f>MID('paste from garc here'!$C$3,1+(('table for research'!$B927-911)*36+HEX2DEC('table for research'!R$1))*2,2)</f>
        <v>00</v>
      </c>
      <c r="S927" t="str">
        <f>MID('paste from garc here'!$C$3,1+(('table for research'!$B927-911)*36+HEX2DEC('table for research'!S$1))*2,2)</f>
        <v>01</v>
      </c>
      <c r="T927" t="str">
        <f>MID('paste from garc here'!$C$3,1+(('table for research'!$B927-911)*36+HEX2DEC('table for research'!T$1))*2,2)</f>
        <v>00</v>
      </c>
      <c r="U927" t="str">
        <f>MID('paste from garc here'!$C$3,1+(('table for research'!$B927-911)*36+HEX2DEC('table for research'!U$1))*2,2)</f>
        <v>22</v>
      </c>
      <c r="V927" t="str">
        <f>MID('paste from garc here'!$C$3,1+(('table for research'!$B927-911)*36+HEX2DEC('table for research'!V$1))*2,2)</f>
        <v>22</v>
      </c>
      <c r="W927" t="str">
        <f>MID('paste from garc here'!$C$3,1+(('table for research'!$B927-911)*36+HEX2DEC('table for research'!W$1))*2,2)</f>
        <v>00</v>
      </c>
      <c r="X927" t="str">
        <f>MID('paste from garc here'!$C$3,1+(('table for research'!$B927-911)*36+HEX2DEC('table for research'!X$1))*2,2)</f>
        <v>00</v>
      </c>
      <c r="Y927" t="str">
        <f>MID('paste from garc here'!$C$3,1+(('table for research'!$B927-911)*36+HEX2DEC('table for research'!Y$1))*2,2)</f>
        <v>00</v>
      </c>
      <c r="Z927" t="str">
        <f>MID('paste from garc here'!$C$3,1+(('table for research'!$B927-911)*36+HEX2DEC('table for research'!Z$1))*2,2)</f>
        <v>00</v>
      </c>
      <c r="AA927" t="str">
        <f>MID('paste from garc here'!$C$3,1+(('table for research'!$B927-911)*36+HEX2DEC('table for research'!AA$1))*2,2)</f>
        <v>00</v>
      </c>
      <c r="AB927" t="str">
        <f>MID('paste from garc here'!$C$3,1+(('table for research'!$B927-911)*36+HEX2DEC('table for research'!AB$1))*2,2)</f>
        <v>00</v>
      </c>
      <c r="AC927" t="str">
        <f>MID('paste from garc here'!$C$3,1+(('table for research'!$B927-911)*36+HEX2DEC('table for research'!AC$1))*2,2)</f>
        <v>00</v>
      </c>
      <c r="AD927" t="str">
        <f>MID('paste from garc here'!$C$3,1+(('table for research'!$B927-911)*36+HEX2DEC('table for research'!AD$1))*2,2)</f>
        <v>00</v>
      </c>
      <c r="AE927" t="str">
        <f>MID('paste from garc here'!$C$3,1+(('table for research'!$B927-911)*36+HEX2DEC('table for research'!AE$1))*2,2)</f>
        <v>00</v>
      </c>
      <c r="AF927" t="str">
        <f>MID('paste from garc here'!$C$3,1+(('table for research'!$B927-911)*36+HEX2DEC('table for research'!AF$1))*2,2)</f>
        <v>00</v>
      </c>
      <c r="AG927" t="str">
        <f>MID('paste from garc here'!$C$3,1+(('table for research'!$B927-911)*36+HEX2DEC('table for research'!AG$1))*2,2)</f>
        <v>00</v>
      </c>
      <c r="AH927" t="str">
        <f>MID('paste from garc here'!$C$3,1+(('table for research'!$B927-911)*36+HEX2DEC('table for research'!AH$1))*2,2)</f>
        <v>00</v>
      </c>
      <c r="AI927" t="str">
        <f>MID('paste from garc here'!$C$3,1+(('table for research'!$B927-911)*36+HEX2DEC('table for research'!AI$1))*2,2)</f>
        <v>00</v>
      </c>
      <c r="AJ927" t="str">
        <f>MID('paste from garc here'!$C$3,1+(('table for research'!$B927-911)*36+HEX2DEC('table for research'!AJ$1))*2,2)</f>
        <v>00</v>
      </c>
      <c r="AK927" t="str">
        <f>MID('paste from garc here'!$C$3,1+(('table for research'!$B927-911)*36+HEX2DEC('table for research'!AK$1))*2,2)</f>
        <v>00</v>
      </c>
      <c r="AL927" t="str">
        <f>MID('paste from garc here'!$C$3,1+(('table for research'!$B927-911)*36+HEX2DEC('table for research'!AL$1))*2,2)</f>
        <v>00</v>
      </c>
      <c r="AM927" t="str">
        <f>MID('paste from garc here'!$C$3,1+(('table for research'!$B927-911)*36+HEX2DEC('table for research'!AM$1))*2,2)</f>
        <v>00</v>
      </c>
      <c r="AN927" t="str">
        <f>MID('paste from garc here'!$C$3,1+(('table for research'!$B927-911)*36+HEX2DEC('table for research'!AN$1))*2,2)</f>
        <v>00</v>
      </c>
      <c r="AO927" t="str">
        <f>MID('paste from garc here'!$C$3,1+(('table for research'!$B927-911)*36+HEX2DEC('table for research'!AO$1))*2,2)</f>
        <v>00</v>
      </c>
    </row>
    <row r="928" spans="1:41" x14ac:dyDescent="0.4">
      <c r="A928" t="s">
        <v>876</v>
      </c>
      <c r="B928">
        <f>B927+1</f>
        <v>926</v>
      </c>
      <c r="C928" t="str">
        <f>MID('paste from garc here'!$C$3,1+(('table for research'!$B928-911)*36+HEX2DEC('table for research'!C$1))*2,2)</f>
        <v>00</v>
      </c>
      <c r="D928" t="str">
        <f>MID('paste from garc here'!$C$3,1+(('table for research'!$B928-911)*36+HEX2DEC('table for research'!D$1))*2,2)</f>
        <v>00</v>
      </c>
      <c r="E928" t="str">
        <f>MID('paste from garc here'!$C$3,1+(('table for research'!$B928-911)*36+HEX2DEC('table for research'!E$1))*2,2)</f>
        <v>00</v>
      </c>
      <c r="F928" t="str">
        <f>MID('paste from garc here'!$C$3,1+(('table for research'!$B928-911)*36+HEX2DEC('table for research'!F$1))*2,2)</f>
        <v>00</v>
      </c>
      <c r="G928" t="str">
        <f>MID('paste from garc here'!$C$3,1+(('table for research'!$B928-911)*36+HEX2DEC('table for research'!G$1))*2,2)</f>
        <v>00</v>
      </c>
      <c r="H928" t="str">
        <f>MID('paste from garc here'!$C$3,1+(('table for research'!$B928-911)*36+HEX2DEC('table for research'!H$1))*2,2)</f>
        <v>00</v>
      </c>
      <c r="I928" t="str">
        <f>MID('paste from garc here'!$C$3,1+(('table for research'!$B928-911)*36+HEX2DEC('table for research'!I$1))*2,2)</f>
        <v>00</v>
      </c>
      <c r="J928" t="str">
        <f>MID('paste from garc here'!$C$3,1+(('table for research'!$B928-911)*36+HEX2DEC('table for research'!J$1))*2,2)</f>
        <v>00</v>
      </c>
      <c r="K928" t="str">
        <f>DEC2HEX(_xlfn.BITAND(HEX2DEC(MID('paste from garc here'!$C$1,1+(('table for research'!$B928-1)*36+HEX2DEC(8))*2,2)),31),2)</f>
        <v>00</v>
      </c>
      <c r="L928" t="str">
        <f>DEC2HEX(_xlfn.BITAND(HEX2DEC(MID('paste from garc here'!$C$1,1+(('table for research'!$B928-1)*36+HEX2DEC(8))*2,2)),32),2)</f>
        <v>00</v>
      </c>
      <c r="M928" t="str">
        <f>DEC2HEX(_xlfn.BITAND(HEX2DEC(MID('paste from garc here'!$C$1,1+(('table for research'!$B928-1)*36+HEX2DEC(8))*2,2)),64),2)</f>
        <v>00</v>
      </c>
      <c r="N928" t="str">
        <f>DEC2HEX(_xlfn.BITRSHIFT(_xlfn.BITAND(HEX2DEC(MID('paste from garc here'!$C$1,1+(('table for research'!$B928-1)*36+HEX2DEC(9))*2,2)&amp;MID('paste from garc here'!$C$1,1+(('table for research'!$B928-1)*36+HEX2DEC(8))*2,2)),1920),7),2)</f>
        <v>00</v>
      </c>
      <c r="O928" t="str">
        <f>DEC2HEX(_xlfn.BITRSHIFT(HEX2DEC(MID('paste from garc here'!$C$1,1+(('table for research'!$B928-1)*36+HEX2DEC(9))*2,2)&amp;MID('paste from garc here'!$C$1,1+(('table for research'!$B928-1)*36+HEX2DEC(8))*2,2)),11),2)</f>
        <v>00</v>
      </c>
      <c r="P928" t="str">
        <f>MID('paste from garc here'!$C$3,1+(('table for research'!$B928-911)*36+HEX2DEC('table for research'!P$1))*2,2)</f>
        <v>00</v>
      </c>
      <c r="Q928" t="str">
        <f>MID('paste from garc here'!$C$3,1+(('table for research'!$B928-911)*36+HEX2DEC('table for research'!Q$1))*2,2)</f>
        <v>00</v>
      </c>
      <c r="R928" t="str">
        <f>MID('paste from garc here'!$C$3,1+(('table for research'!$B928-911)*36+HEX2DEC('table for research'!R$1))*2,2)</f>
        <v>00</v>
      </c>
      <c r="S928" t="str">
        <f>MID('paste from garc here'!$C$3,1+(('table for research'!$B928-911)*36+HEX2DEC('table for research'!S$1))*2,2)</f>
        <v>01</v>
      </c>
      <c r="T928" t="str">
        <f>MID('paste from garc here'!$C$3,1+(('table for research'!$B928-911)*36+HEX2DEC('table for research'!T$1))*2,2)</f>
        <v>00</v>
      </c>
      <c r="U928" t="str">
        <f>MID('paste from garc here'!$C$3,1+(('table for research'!$B928-911)*36+HEX2DEC('table for research'!U$1))*2,2)</f>
        <v>23</v>
      </c>
      <c r="V928" t="str">
        <f>MID('paste from garc here'!$C$3,1+(('table for research'!$B928-911)*36+HEX2DEC('table for research'!V$1))*2,2)</f>
        <v>23</v>
      </c>
      <c r="W928" t="str">
        <f>MID('paste from garc here'!$C$3,1+(('table for research'!$B928-911)*36+HEX2DEC('table for research'!W$1))*2,2)</f>
        <v>00</v>
      </c>
      <c r="X928" t="str">
        <f>MID('paste from garc here'!$C$3,1+(('table for research'!$B928-911)*36+HEX2DEC('table for research'!X$1))*2,2)</f>
        <v>00</v>
      </c>
      <c r="Y928" t="str">
        <f>MID('paste from garc here'!$C$3,1+(('table for research'!$B928-911)*36+HEX2DEC('table for research'!Y$1))*2,2)</f>
        <v>00</v>
      </c>
      <c r="Z928" t="str">
        <f>MID('paste from garc here'!$C$3,1+(('table for research'!$B928-911)*36+HEX2DEC('table for research'!Z$1))*2,2)</f>
        <v>00</v>
      </c>
      <c r="AA928" t="str">
        <f>MID('paste from garc here'!$C$3,1+(('table for research'!$B928-911)*36+HEX2DEC('table for research'!AA$1))*2,2)</f>
        <v>00</v>
      </c>
      <c r="AB928" t="str">
        <f>MID('paste from garc here'!$C$3,1+(('table for research'!$B928-911)*36+HEX2DEC('table for research'!AB$1))*2,2)</f>
        <v>00</v>
      </c>
      <c r="AC928" t="str">
        <f>MID('paste from garc here'!$C$3,1+(('table for research'!$B928-911)*36+HEX2DEC('table for research'!AC$1))*2,2)</f>
        <v>00</v>
      </c>
      <c r="AD928" t="str">
        <f>MID('paste from garc here'!$C$3,1+(('table for research'!$B928-911)*36+HEX2DEC('table for research'!AD$1))*2,2)</f>
        <v>00</v>
      </c>
      <c r="AE928" t="str">
        <f>MID('paste from garc here'!$C$3,1+(('table for research'!$B928-911)*36+HEX2DEC('table for research'!AE$1))*2,2)</f>
        <v>00</v>
      </c>
      <c r="AF928" t="str">
        <f>MID('paste from garc here'!$C$3,1+(('table for research'!$B928-911)*36+HEX2DEC('table for research'!AF$1))*2,2)</f>
        <v>00</v>
      </c>
      <c r="AG928" t="str">
        <f>MID('paste from garc here'!$C$3,1+(('table for research'!$B928-911)*36+HEX2DEC('table for research'!AG$1))*2,2)</f>
        <v>00</v>
      </c>
      <c r="AH928" t="str">
        <f>MID('paste from garc here'!$C$3,1+(('table for research'!$B928-911)*36+HEX2DEC('table for research'!AH$1))*2,2)</f>
        <v>00</v>
      </c>
      <c r="AI928" t="str">
        <f>MID('paste from garc here'!$C$3,1+(('table for research'!$B928-911)*36+HEX2DEC('table for research'!AI$1))*2,2)</f>
        <v>00</v>
      </c>
      <c r="AJ928" t="str">
        <f>MID('paste from garc here'!$C$3,1+(('table for research'!$B928-911)*36+HEX2DEC('table for research'!AJ$1))*2,2)</f>
        <v>00</v>
      </c>
      <c r="AK928" t="str">
        <f>MID('paste from garc here'!$C$3,1+(('table for research'!$B928-911)*36+HEX2DEC('table for research'!AK$1))*2,2)</f>
        <v>00</v>
      </c>
      <c r="AL928" t="str">
        <f>MID('paste from garc here'!$C$3,1+(('table for research'!$B928-911)*36+HEX2DEC('table for research'!AL$1))*2,2)</f>
        <v>00</v>
      </c>
      <c r="AM928" t="str">
        <f>MID('paste from garc here'!$C$3,1+(('table for research'!$B928-911)*36+HEX2DEC('table for research'!AM$1))*2,2)</f>
        <v>00</v>
      </c>
      <c r="AN928" t="str">
        <f>MID('paste from garc here'!$C$3,1+(('table for research'!$B928-911)*36+HEX2DEC('table for research'!AN$1))*2,2)</f>
        <v>00</v>
      </c>
      <c r="AO928" t="str">
        <f>MID('paste from garc here'!$C$3,1+(('table for research'!$B928-911)*36+HEX2DEC('table for research'!AO$1))*2,2)</f>
        <v>00</v>
      </c>
    </row>
    <row r="929" spans="1:41" x14ac:dyDescent="0.4">
      <c r="A929" t="s">
        <v>871</v>
      </c>
      <c r="B929">
        <f>B928+1</f>
        <v>927</v>
      </c>
      <c r="C929" t="str">
        <f>MID('paste from garc here'!$C$3,1+(('table for research'!$B929-911)*36+HEX2DEC('table for research'!C$1))*2,2)</f>
        <v>00</v>
      </c>
      <c r="D929" t="str">
        <f>MID('paste from garc here'!$C$3,1+(('table for research'!$B929-911)*36+HEX2DEC('table for research'!D$1))*2,2)</f>
        <v>00</v>
      </c>
      <c r="E929" t="str">
        <f>MID('paste from garc here'!$C$3,1+(('table for research'!$B929-911)*36+HEX2DEC('table for research'!E$1))*2,2)</f>
        <v>00</v>
      </c>
      <c r="F929" t="str">
        <f>MID('paste from garc here'!$C$3,1+(('table for research'!$B929-911)*36+HEX2DEC('table for research'!F$1))*2,2)</f>
        <v>00</v>
      </c>
      <c r="G929" t="str">
        <f>MID('paste from garc here'!$C$3,1+(('table for research'!$B929-911)*36+HEX2DEC('table for research'!G$1))*2,2)</f>
        <v>00</v>
      </c>
      <c r="H929" t="str">
        <f>MID('paste from garc here'!$C$3,1+(('table for research'!$B929-911)*36+HEX2DEC('table for research'!H$1))*2,2)</f>
        <v>00</v>
      </c>
      <c r="I929" t="str">
        <f>MID('paste from garc here'!$C$3,1+(('table for research'!$B929-911)*36+HEX2DEC('table for research'!I$1))*2,2)</f>
        <v>00</v>
      </c>
      <c r="J929" t="str">
        <f>MID('paste from garc here'!$C$3,1+(('table for research'!$B929-911)*36+HEX2DEC('table for research'!J$1))*2,2)</f>
        <v>00</v>
      </c>
      <c r="K929" t="str">
        <f>DEC2HEX(_xlfn.BITAND(HEX2DEC(MID('paste from garc here'!$C$1,1+(('table for research'!$B929-1)*36+HEX2DEC(8))*2,2)),31),2)</f>
        <v>00</v>
      </c>
      <c r="L929" t="str">
        <f>DEC2HEX(_xlfn.BITAND(HEX2DEC(MID('paste from garc here'!$C$1,1+(('table for research'!$B929-1)*36+HEX2DEC(8))*2,2)),32),2)</f>
        <v>00</v>
      </c>
      <c r="M929" t="str">
        <f>DEC2HEX(_xlfn.BITAND(HEX2DEC(MID('paste from garc here'!$C$1,1+(('table for research'!$B929-1)*36+HEX2DEC(8))*2,2)),64),2)</f>
        <v>00</v>
      </c>
      <c r="N929" t="str">
        <f>DEC2HEX(_xlfn.BITRSHIFT(_xlfn.BITAND(HEX2DEC(MID('paste from garc here'!$C$1,1+(('table for research'!$B929-1)*36+HEX2DEC(9))*2,2)&amp;MID('paste from garc here'!$C$1,1+(('table for research'!$B929-1)*36+HEX2DEC(8))*2,2)),1920),7),2)</f>
        <v>00</v>
      </c>
      <c r="O929" t="str">
        <f>DEC2HEX(_xlfn.BITRSHIFT(HEX2DEC(MID('paste from garc here'!$C$1,1+(('table for research'!$B929-1)*36+HEX2DEC(9))*2,2)&amp;MID('paste from garc here'!$C$1,1+(('table for research'!$B929-1)*36+HEX2DEC(8))*2,2)),11),2)</f>
        <v>00</v>
      </c>
      <c r="P929" t="str">
        <f>MID('paste from garc here'!$C$3,1+(('table for research'!$B929-911)*36+HEX2DEC('table for research'!P$1))*2,2)</f>
        <v>01</v>
      </c>
      <c r="Q929" t="str">
        <f>MID('paste from garc here'!$C$3,1+(('table for research'!$B929-911)*36+HEX2DEC('table for research'!Q$1))*2,2)</f>
        <v>00</v>
      </c>
      <c r="R929" t="str">
        <f>MID('paste from garc here'!$C$3,1+(('table for research'!$B929-911)*36+HEX2DEC('table for research'!R$1))*2,2)</f>
        <v>00</v>
      </c>
      <c r="S929" t="str">
        <f>MID('paste from garc here'!$C$3,1+(('table for research'!$B929-911)*36+HEX2DEC('table for research'!S$1))*2,2)</f>
        <v>01</v>
      </c>
      <c r="T929" t="str">
        <f>MID('paste from garc here'!$C$3,1+(('table for research'!$B929-911)*36+HEX2DEC('table for research'!T$1))*2,2)</f>
        <v>00</v>
      </c>
      <c r="U929" t="str">
        <f>MID('paste from garc here'!$C$3,1+(('table for research'!$B929-911)*36+HEX2DEC('table for research'!U$1))*2,2)</f>
        <v>1E</v>
      </c>
      <c r="V929" t="str">
        <f>MID('paste from garc here'!$C$3,1+(('table for research'!$B929-911)*36+HEX2DEC('table for research'!V$1))*2,2)</f>
        <v>1E</v>
      </c>
      <c r="W929" t="str">
        <f>MID('paste from garc here'!$C$3,1+(('table for research'!$B929-911)*36+HEX2DEC('table for research'!W$1))*2,2)</f>
        <v>00</v>
      </c>
      <c r="X929" t="str">
        <f>MID('paste from garc here'!$C$3,1+(('table for research'!$B929-911)*36+HEX2DEC('table for research'!X$1))*2,2)</f>
        <v>00</v>
      </c>
      <c r="Y929" t="str">
        <f>MID('paste from garc here'!$C$3,1+(('table for research'!$B929-911)*36+HEX2DEC('table for research'!Y$1))*2,2)</f>
        <v>00</v>
      </c>
      <c r="Z929" t="str">
        <f>MID('paste from garc here'!$C$3,1+(('table for research'!$B929-911)*36+HEX2DEC('table for research'!Z$1))*2,2)</f>
        <v>00</v>
      </c>
      <c r="AA929" t="str">
        <f>MID('paste from garc here'!$C$3,1+(('table for research'!$B929-911)*36+HEX2DEC('table for research'!AA$1))*2,2)</f>
        <v>00</v>
      </c>
      <c r="AB929" t="str">
        <f>MID('paste from garc here'!$C$3,1+(('table for research'!$B929-911)*36+HEX2DEC('table for research'!AB$1))*2,2)</f>
        <v>00</v>
      </c>
      <c r="AC929" t="str">
        <f>MID('paste from garc here'!$C$3,1+(('table for research'!$B929-911)*36+HEX2DEC('table for research'!AC$1))*2,2)</f>
        <v>00</v>
      </c>
      <c r="AD929" t="str">
        <f>MID('paste from garc here'!$C$3,1+(('table for research'!$B929-911)*36+HEX2DEC('table for research'!AD$1))*2,2)</f>
        <v>00</v>
      </c>
      <c r="AE929" t="str">
        <f>MID('paste from garc here'!$C$3,1+(('table for research'!$B929-911)*36+HEX2DEC('table for research'!AE$1))*2,2)</f>
        <v>00</v>
      </c>
      <c r="AF929" t="str">
        <f>MID('paste from garc here'!$C$3,1+(('table for research'!$B929-911)*36+HEX2DEC('table for research'!AF$1))*2,2)</f>
        <v>00</v>
      </c>
      <c r="AG929" t="str">
        <f>MID('paste from garc here'!$C$3,1+(('table for research'!$B929-911)*36+HEX2DEC('table for research'!AG$1))*2,2)</f>
        <v>00</v>
      </c>
      <c r="AH929" t="str">
        <f>MID('paste from garc here'!$C$3,1+(('table for research'!$B929-911)*36+HEX2DEC('table for research'!AH$1))*2,2)</f>
        <v>00</v>
      </c>
      <c r="AI929" t="str">
        <f>MID('paste from garc here'!$C$3,1+(('table for research'!$B929-911)*36+HEX2DEC('table for research'!AI$1))*2,2)</f>
        <v>00</v>
      </c>
      <c r="AJ929" t="str">
        <f>MID('paste from garc here'!$C$3,1+(('table for research'!$B929-911)*36+HEX2DEC('table for research'!AJ$1))*2,2)</f>
        <v>00</v>
      </c>
      <c r="AK929" t="str">
        <f>MID('paste from garc here'!$C$3,1+(('table for research'!$B929-911)*36+HEX2DEC('table for research'!AK$1))*2,2)</f>
        <v>00</v>
      </c>
      <c r="AL929" t="str">
        <f>MID('paste from garc here'!$C$3,1+(('table for research'!$B929-911)*36+HEX2DEC('table for research'!AL$1))*2,2)</f>
        <v>00</v>
      </c>
      <c r="AM929" t="str">
        <f>MID('paste from garc here'!$C$3,1+(('table for research'!$B929-911)*36+HEX2DEC('table for research'!AM$1))*2,2)</f>
        <v>00</v>
      </c>
      <c r="AN929" t="str">
        <f>MID('paste from garc here'!$C$3,1+(('table for research'!$B929-911)*36+HEX2DEC('table for research'!AN$1))*2,2)</f>
        <v>00</v>
      </c>
      <c r="AO929" t="str">
        <f>MID('paste from garc here'!$C$3,1+(('table for research'!$B929-911)*36+HEX2DEC('table for research'!AO$1))*2,2)</f>
        <v>00</v>
      </c>
    </row>
    <row r="930" spans="1:41" x14ac:dyDescent="0.4">
      <c r="A930" t="s">
        <v>872</v>
      </c>
      <c r="B930">
        <f>B929+1</f>
        <v>928</v>
      </c>
      <c r="C930" t="str">
        <f>MID('paste from garc here'!$C$3,1+(('table for research'!$B930-911)*36+HEX2DEC('table for research'!C$1))*2,2)</f>
        <v>00</v>
      </c>
      <c r="D930" t="str">
        <f>MID('paste from garc here'!$C$3,1+(('table for research'!$B930-911)*36+HEX2DEC('table for research'!D$1))*2,2)</f>
        <v>00</v>
      </c>
      <c r="E930" t="str">
        <f>MID('paste from garc here'!$C$3,1+(('table for research'!$B930-911)*36+HEX2DEC('table for research'!E$1))*2,2)</f>
        <v>00</v>
      </c>
      <c r="F930" t="str">
        <f>MID('paste from garc here'!$C$3,1+(('table for research'!$B930-911)*36+HEX2DEC('table for research'!F$1))*2,2)</f>
        <v>00</v>
      </c>
      <c r="G930" t="str">
        <f>MID('paste from garc here'!$C$3,1+(('table for research'!$B930-911)*36+HEX2DEC('table for research'!G$1))*2,2)</f>
        <v>00</v>
      </c>
      <c r="H930" t="str">
        <f>MID('paste from garc here'!$C$3,1+(('table for research'!$B930-911)*36+HEX2DEC('table for research'!H$1))*2,2)</f>
        <v>00</v>
      </c>
      <c r="I930" t="str">
        <f>MID('paste from garc here'!$C$3,1+(('table for research'!$B930-911)*36+HEX2DEC('table for research'!I$1))*2,2)</f>
        <v>00</v>
      </c>
      <c r="J930" t="str">
        <f>MID('paste from garc here'!$C$3,1+(('table for research'!$B930-911)*36+HEX2DEC('table for research'!J$1))*2,2)</f>
        <v>00</v>
      </c>
      <c r="K930" t="str">
        <f>DEC2HEX(_xlfn.BITAND(HEX2DEC(MID('paste from garc here'!$C$1,1+(('table for research'!$B930-1)*36+HEX2DEC(8))*2,2)),31),2)</f>
        <v>00</v>
      </c>
      <c r="L930" t="str">
        <f>DEC2HEX(_xlfn.BITAND(HEX2DEC(MID('paste from garc here'!$C$1,1+(('table for research'!$B930-1)*36+HEX2DEC(8))*2,2)),32),2)</f>
        <v>00</v>
      </c>
      <c r="M930" t="str">
        <f>DEC2HEX(_xlfn.BITAND(HEX2DEC(MID('paste from garc here'!$C$1,1+(('table for research'!$B930-1)*36+HEX2DEC(8))*2,2)),64),2)</f>
        <v>00</v>
      </c>
      <c r="N930" t="str">
        <f>DEC2HEX(_xlfn.BITRSHIFT(_xlfn.BITAND(HEX2DEC(MID('paste from garc here'!$C$1,1+(('table for research'!$B930-1)*36+HEX2DEC(9))*2,2)&amp;MID('paste from garc here'!$C$1,1+(('table for research'!$B930-1)*36+HEX2DEC(8))*2,2)),1920),7),2)</f>
        <v>00</v>
      </c>
      <c r="O930" t="str">
        <f>DEC2HEX(_xlfn.BITRSHIFT(HEX2DEC(MID('paste from garc here'!$C$1,1+(('table for research'!$B930-1)*36+HEX2DEC(9))*2,2)&amp;MID('paste from garc here'!$C$1,1+(('table for research'!$B930-1)*36+HEX2DEC(8))*2,2)),11),2)</f>
        <v>00</v>
      </c>
      <c r="P930" t="str">
        <f>MID('paste from garc here'!$C$3,1+(('table for research'!$B930-911)*36+HEX2DEC('table for research'!P$1))*2,2)</f>
        <v>01</v>
      </c>
      <c r="Q930" t="str">
        <f>MID('paste from garc here'!$C$3,1+(('table for research'!$B930-911)*36+HEX2DEC('table for research'!Q$1))*2,2)</f>
        <v>00</v>
      </c>
      <c r="R930" t="str">
        <f>MID('paste from garc here'!$C$3,1+(('table for research'!$B930-911)*36+HEX2DEC('table for research'!R$1))*2,2)</f>
        <v>00</v>
      </c>
      <c r="S930" t="str">
        <f>MID('paste from garc here'!$C$3,1+(('table for research'!$B930-911)*36+HEX2DEC('table for research'!S$1))*2,2)</f>
        <v>01</v>
      </c>
      <c r="T930" t="str">
        <f>MID('paste from garc here'!$C$3,1+(('table for research'!$B930-911)*36+HEX2DEC('table for research'!T$1))*2,2)</f>
        <v>00</v>
      </c>
      <c r="U930" t="str">
        <f>MID('paste from garc here'!$C$3,1+(('table for research'!$B930-911)*36+HEX2DEC('table for research'!U$1))*2,2)</f>
        <v>1F</v>
      </c>
      <c r="V930" t="str">
        <f>MID('paste from garc here'!$C$3,1+(('table for research'!$B930-911)*36+HEX2DEC('table for research'!V$1))*2,2)</f>
        <v>1F</v>
      </c>
      <c r="W930" t="str">
        <f>MID('paste from garc here'!$C$3,1+(('table for research'!$B930-911)*36+HEX2DEC('table for research'!W$1))*2,2)</f>
        <v>00</v>
      </c>
      <c r="X930" t="str">
        <f>MID('paste from garc here'!$C$3,1+(('table for research'!$B930-911)*36+HEX2DEC('table for research'!X$1))*2,2)</f>
        <v>00</v>
      </c>
      <c r="Y930" t="str">
        <f>MID('paste from garc here'!$C$3,1+(('table for research'!$B930-911)*36+HEX2DEC('table for research'!Y$1))*2,2)</f>
        <v>00</v>
      </c>
      <c r="Z930" t="str">
        <f>MID('paste from garc here'!$C$3,1+(('table for research'!$B930-911)*36+HEX2DEC('table for research'!Z$1))*2,2)</f>
        <v>00</v>
      </c>
      <c r="AA930" t="str">
        <f>MID('paste from garc here'!$C$3,1+(('table for research'!$B930-911)*36+HEX2DEC('table for research'!AA$1))*2,2)</f>
        <v>00</v>
      </c>
      <c r="AB930" t="str">
        <f>MID('paste from garc here'!$C$3,1+(('table for research'!$B930-911)*36+HEX2DEC('table for research'!AB$1))*2,2)</f>
        <v>00</v>
      </c>
      <c r="AC930" t="str">
        <f>MID('paste from garc here'!$C$3,1+(('table for research'!$B930-911)*36+HEX2DEC('table for research'!AC$1))*2,2)</f>
        <v>00</v>
      </c>
      <c r="AD930" t="str">
        <f>MID('paste from garc here'!$C$3,1+(('table for research'!$B930-911)*36+HEX2DEC('table for research'!AD$1))*2,2)</f>
        <v>00</v>
      </c>
      <c r="AE930" t="str">
        <f>MID('paste from garc here'!$C$3,1+(('table for research'!$B930-911)*36+HEX2DEC('table for research'!AE$1))*2,2)</f>
        <v>00</v>
      </c>
      <c r="AF930" t="str">
        <f>MID('paste from garc here'!$C$3,1+(('table for research'!$B930-911)*36+HEX2DEC('table for research'!AF$1))*2,2)</f>
        <v>00</v>
      </c>
      <c r="AG930" t="str">
        <f>MID('paste from garc here'!$C$3,1+(('table for research'!$B930-911)*36+HEX2DEC('table for research'!AG$1))*2,2)</f>
        <v>00</v>
      </c>
      <c r="AH930" t="str">
        <f>MID('paste from garc here'!$C$3,1+(('table for research'!$B930-911)*36+HEX2DEC('table for research'!AH$1))*2,2)</f>
        <v>00</v>
      </c>
      <c r="AI930" t="str">
        <f>MID('paste from garc here'!$C$3,1+(('table for research'!$B930-911)*36+HEX2DEC('table for research'!AI$1))*2,2)</f>
        <v>00</v>
      </c>
      <c r="AJ930" t="str">
        <f>MID('paste from garc here'!$C$3,1+(('table for research'!$B930-911)*36+HEX2DEC('table for research'!AJ$1))*2,2)</f>
        <v>00</v>
      </c>
      <c r="AK930" t="str">
        <f>MID('paste from garc here'!$C$3,1+(('table for research'!$B930-911)*36+HEX2DEC('table for research'!AK$1))*2,2)</f>
        <v>00</v>
      </c>
      <c r="AL930" t="str">
        <f>MID('paste from garc here'!$C$3,1+(('table for research'!$B930-911)*36+HEX2DEC('table for research'!AL$1))*2,2)</f>
        <v>00</v>
      </c>
      <c r="AM930" t="str">
        <f>MID('paste from garc here'!$C$3,1+(('table for research'!$B930-911)*36+HEX2DEC('table for research'!AM$1))*2,2)</f>
        <v>00</v>
      </c>
      <c r="AN930" t="str">
        <f>MID('paste from garc here'!$C$3,1+(('table for research'!$B930-911)*36+HEX2DEC('table for research'!AN$1))*2,2)</f>
        <v>00</v>
      </c>
      <c r="AO930" t="str">
        <f>MID('paste from garc here'!$C$3,1+(('table for research'!$B930-911)*36+HEX2DEC('table for research'!AO$1))*2,2)</f>
        <v>00</v>
      </c>
    </row>
    <row r="931" spans="1:41" x14ac:dyDescent="0.4">
      <c r="A931" t="s">
        <v>877</v>
      </c>
      <c r="B931">
        <f>B930+1</f>
        <v>929</v>
      </c>
      <c r="C931" t="str">
        <f>MID('paste from garc here'!$C$3,1+(('table for research'!$B931-911)*36+HEX2DEC('table for research'!C$1))*2,2)</f>
        <v>00</v>
      </c>
      <c r="D931" t="str">
        <f>MID('paste from garc here'!$C$3,1+(('table for research'!$B931-911)*36+HEX2DEC('table for research'!D$1))*2,2)</f>
        <v>00</v>
      </c>
      <c r="E931" t="str">
        <f>MID('paste from garc here'!$C$3,1+(('table for research'!$B931-911)*36+HEX2DEC('table for research'!E$1))*2,2)</f>
        <v>00</v>
      </c>
      <c r="F931" t="str">
        <f>MID('paste from garc here'!$C$3,1+(('table for research'!$B931-911)*36+HEX2DEC('table for research'!F$1))*2,2)</f>
        <v>00</v>
      </c>
      <c r="G931" t="str">
        <f>MID('paste from garc here'!$C$3,1+(('table for research'!$B931-911)*36+HEX2DEC('table for research'!G$1))*2,2)</f>
        <v>00</v>
      </c>
      <c r="H931" t="str">
        <f>MID('paste from garc here'!$C$3,1+(('table for research'!$B931-911)*36+HEX2DEC('table for research'!H$1))*2,2)</f>
        <v>00</v>
      </c>
      <c r="I931" t="str">
        <f>MID('paste from garc here'!$C$3,1+(('table for research'!$B931-911)*36+HEX2DEC('table for research'!I$1))*2,2)</f>
        <v>00</v>
      </c>
      <c r="J931" t="str">
        <f>MID('paste from garc here'!$C$3,1+(('table for research'!$B931-911)*36+HEX2DEC('table for research'!J$1))*2,2)</f>
        <v>00</v>
      </c>
      <c r="K931" t="str">
        <f>DEC2HEX(_xlfn.BITAND(HEX2DEC(MID('paste from garc here'!$C$1,1+(('table for research'!$B931-1)*36+HEX2DEC(8))*2,2)),31),2)</f>
        <v>00</v>
      </c>
      <c r="L931" t="str">
        <f>DEC2HEX(_xlfn.BITAND(HEX2DEC(MID('paste from garc here'!$C$1,1+(('table for research'!$B931-1)*36+HEX2DEC(8))*2,2)),32),2)</f>
        <v>00</v>
      </c>
      <c r="M931" t="str">
        <f>DEC2HEX(_xlfn.BITAND(HEX2DEC(MID('paste from garc here'!$C$1,1+(('table for research'!$B931-1)*36+HEX2DEC(8))*2,2)),64),2)</f>
        <v>00</v>
      </c>
      <c r="N931" t="str">
        <f>DEC2HEX(_xlfn.BITRSHIFT(_xlfn.BITAND(HEX2DEC(MID('paste from garc here'!$C$1,1+(('table for research'!$B931-1)*36+HEX2DEC(9))*2,2)&amp;MID('paste from garc here'!$C$1,1+(('table for research'!$B931-1)*36+HEX2DEC(8))*2,2)),1920),7),2)</f>
        <v>00</v>
      </c>
      <c r="O931" t="str">
        <f>DEC2HEX(_xlfn.BITRSHIFT(HEX2DEC(MID('paste from garc here'!$C$1,1+(('table for research'!$B931-1)*36+HEX2DEC(9))*2,2)&amp;MID('paste from garc here'!$C$1,1+(('table for research'!$B931-1)*36+HEX2DEC(8))*2,2)),11),2)</f>
        <v>00</v>
      </c>
      <c r="P931" t="str">
        <f>MID('paste from garc here'!$C$3,1+(('table for research'!$B931-911)*36+HEX2DEC('table for research'!P$1))*2,2)</f>
        <v>01</v>
      </c>
      <c r="Q931" t="str">
        <f>MID('paste from garc here'!$C$3,1+(('table for research'!$B931-911)*36+HEX2DEC('table for research'!Q$1))*2,2)</f>
        <v>00</v>
      </c>
      <c r="R931" t="str">
        <f>MID('paste from garc here'!$C$3,1+(('table for research'!$B931-911)*36+HEX2DEC('table for research'!R$1))*2,2)</f>
        <v>00</v>
      </c>
      <c r="S931" t="str">
        <f>MID('paste from garc here'!$C$3,1+(('table for research'!$B931-911)*36+HEX2DEC('table for research'!S$1))*2,2)</f>
        <v>01</v>
      </c>
      <c r="T931" t="str">
        <f>MID('paste from garc here'!$C$3,1+(('table for research'!$B931-911)*36+HEX2DEC('table for research'!T$1))*2,2)</f>
        <v>00</v>
      </c>
      <c r="U931" t="str">
        <f>MID('paste from garc here'!$C$3,1+(('table for research'!$B931-911)*36+HEX2DEC('table for research'!U$1))*2,2)</f>
        <v>20</v>
      </c>
      <c r="V931" t="str">
        <f>MID('paste from garc here'!$C$3,1+(('table for research'!$B931-911)*36+HEX2DEC('table for research'!V$1))*2,2)</f>
        <v>20</v>
      </c>
      <c r="W931" t="str">
        <f>MID('paste from garc here'!$C$3,1+(('table for research'!$B931-911)*36+HEX2DEC('table for research'!W$1))*2,2)</f>
        <v>00</v>
      </c>
      <c r="X931" t="str">
        <f>MID('paste from garc here'!$C$3,1+(('table for research'!$B931-911)*36+HEX2DEC('table for research'!X$1))*2,2)</f>
        <v>00</v>
      </c>
      <c r="Y931" t="str">
        <f>MID('paste from garc here'!$C$3,1+(('table for research'!$B931-911)*36+HEX2DEC('table for research'!Y$1))*2,2)</f>
        <v>00</v>
      </c>
      <c r="Z931" t="str">
        <f>MID('paste from garc here'!$C$3,1+(('table for research'!$B931-911)*36+HEX2DEC('table for research'!Z$1))*2,2)</f>
        <v>00</v>
      </c>
      <c r="AA931" t="str">
        <f>MID('paste from garc here'!$C$3,1+(('table for research'!$B931-911)*36+HEX2DEC('table for research'!AA$1))*2,2)</f>
        <v>00</v>
      </c>
      <c r="AB931" t="str">
        <f>MID('paste from garc here'!$C$3,1+(('table for research'!$B931-911)*36+HEX2DEC('table for research'!AB$1))*2,2)</f>
        <v>00</v>
      </c>
      <c r="AC931" t="str">
        <f>MID('paste from garc here'!$C$3,1+(('table for research'!$B931-911)*36+HEX2DEC('table for research'!AC$1))*2,2)</f>
        <v>00</v>
      </c>
      <c r="AD931" t="str">
        <f>MID('paste from garc here'!$C$3,1+(('table for research'!$B931-911)*36+HEX2DEC('table for research'!AD$1))*2,2)</f>
        <v>00</v>
      </c>
      <c r="AE931" t="str">
        <f>MID('paste from garc here'!$C$3,1+(('table for research'!$B931-911)*36+HEX2DEC('table for research'!AE$1))*2,2)</f>
        <v>00</v>
      </c>
      <c r="AF931" t="str">
        <f>MID('paste from garc here'!$C$3,1+(('table for research'!$B931-911)*36+HEX2DEC('table for research'!AF$1))*2,2)</f>
        <v>00</v>
      </c>
      <c r="AG931" t="str">
        <f>MID('paste from garc here'!$C$3,1+(('table for research'!$B931-911)*36+HEX2DEC('table for research'!AG$1))*2,2)</f>
        <v>00</v>
      </c>
      <c r="AH931" t="str">
        <f>MID('paste from garc here'!$C$3,1+(('table for research'!$B931-911)*36+HEX2DEC('table for research'!AH$1))*2,2)</f>
        <v>00</v>
      </c>
      <c r="AI931" t="str">
        <f>MID('paste from garc here'!$C$3,1+(('table for research'!$B931-911)*36+HEX2DEC('table for research'!AI$1))*2,2)</f>
        <v>00</v>
      </c>
      <c r="AJ931" t="str">
        <f>MID('paste from garc here'!$C$3,1+(('table for research'!$B931-911)*36+HEX2DEC('table for research'!AJ$1))*2,2)</f>
        <v>00</v>
      </c>
      <c r="AK931" t="str">
        <f>MID('paste from garc here'!$C$3,1+(('table for research'!$B931-911)*36+HEX2DEC('table for research'!AK$1))*2,2)</f>
        <v>00</v>
      </c>
      <c r="AL931" t="str">
        <f>MID('paste from garc here'!$C$3,1+(('table for research'!$B931-911)*36+HEX2DEC('table for research'!AL$1))*2,2)</f>
        <v>00</v>
      </c>
      <c r="AM931" t="str">
        <f>MID('paste from garc here'!$C$3,1+(('table for research'!$B931-911)*36+HEX2DEC('table for research'!AM$1))*2,2)</f>
        <v>00</v>
      </c>
      <c r="AN931" t="str">
        <f>MID('paste from garc here'!$C$3,1+(('table for research'!$B931-911)*36+HEX2DEC('table for research'!AN$1))*2,2)</f>
        <v>00</v>
      </c>
      <c r="AO931" t="str">
        <f>MID('paste from garc here'!$C$3,1+(('table for research'!$B931-911)*36+HEX2DEC('table for research'!AO$1))*2,2)</f>
        <v>00</v>
      </c>
    </row>
    <row r="932" spans="1:41" x14ac:dyDescent="0.4">
      <c r="A932" t="s">
        <v>878</v>
      </c>
      <c r="B932">
        <f>B931+1</f>
        <v>930</v>
      </c>
      <c r="C932" t="str">
        <f>MID('paste from garc here'!$C$3,1+(('table for research'!$B932-911)*36+HEX2DEC('table for research'!C$1))*2,2)</f>
        <v>00</v>
      </c>
      <c r="D932" t="str">
        <f>MID('paste from garc here'!$C$3,1+(('table for research'!$B932-911)*36+HEX2DEC('table for research'!D$1))*2,2)</f>
        <v>00</v>
      </c>
      <c r="E932" t="str">
        <f>MID('paste from garc here'!$C$3,1+(('table for research'!$B932-911)*36+HEX2DEC('table for research'!E$1))*2,2)</f>
        <v>00</v>
      </c>
      <c r="F932" t="str">
        <f>MID('paste from garc here'!$C$3,1+(('table for research'!$B932-911)*36+HEX2DEC('table for research'!F$1))*2,2)</f>
        <v>00</v>
      </c>
      <c r="G932" t="str">
        <f>MID('paste from garc here'!$C$3,1+(('table for research'!$B932-911)*36+HEX2DEC('table for research'!G$1))*2,2)</f>
        <v>00</v>
      </c>
      <c r="H932" t="str">
        <f>MID('paste from garc here'!$C$3,1+(('table for research'!$B932-911)*36+HEX2DEC('table for research'!H$1))*2,2)</f>
        <v>00</v>
      </c>
      <c r="I932" t="str">
        <f>MID('paste from garc here'!$C$3,1+(('table for research'!$B932-911)*36+HEX2DEC('table for research'!I$1))*2,2)</f>
        <v>00</v>
      </c>
      <c r="J932" t="str">
        <f>MID('paste from garc here'!$C$3,1+(('table for research'!$B932-911)*36+HEX2DEC('table for research'!J$1))*2,2)</f>
        <v>00</v>
      </c>
      <c r="K932" t="str">
        <f>DEC2HEX(_xlfn.BITAND(HEX2DEC(MID('paste from garc here'!$C$1,1+(('table for research'!$B932-1)*36+HEX2DEC(8))*2,2)),31),2)</f>
        <v>00</v>
      </c>
      <c r="L932" t="str">
        <f>DEC2HEX(_xlfn.BITAND(HEX2DEC(MID('paste from garc here'!$C$1,1+(('table for research'!$B932-1)*36+HEX2DEC(8))*2,2)),32),2)</f>
        <v>00</v>
      </c>
      <c r="M932" t="str">
        <f>DEC2HEX(_xlfn.BITAND(HEX2DEC(MID('paste from garc here'!$C$1,1+(('table for research'!$B932-1)*36+HEX2DEC(8))*2,2)),64),2)</f>
        <v>00</v>
      </c>
      <c r="N932" t="str">
        <f>DEC2HEX(_xlfn.BITRSHIFT(_xlfn.BITAND(HEX2DEC(MID('paste from garc here'!$C$1,1+(('table for research'!$B932-1)*36+HEX2DEC(9))*2,2)&amp;MID('paste from garc here'!$C$1,1+(('table for research'!$B932-1)*36+HEX2DEC(8))*2,2)),1920),7),2)</f>
        <v>00</v>
      </c>
      <c r="O932" t="str">
        <f>DEC2HEX(_xlfn.BITRSHIFT(HEX2DEC(MID('paste from garc here'!$C$1,1+(('table for research'!$B932-1)*36+HEX2DEC(9))*2,2)&amp;MID('paste from garc here'!$C$1,1+(('table for research'!$B932-1)*36+HEX2DEC(8))*2,2)),11),2)</f>
        <v>00</v>
      </c>
      <c r="P932" t="str">
        <f>MID('paste from garc here'!$C$3,1+(('table for research'!$B932-911)*36+HEX2DEC('table for research'!P$1))*2,2)</f>
        <v>01</v>
      </c>
      <c r="Q932" t="str">
        <f>MID('paste from garc here'!$C$3,1+(('table for research'!$B932-911)*36+HEX2DEC('table for research'!Q$1))*2,2)</f>
        <v>00</v>
      </c>
      <c r="R932" t="str">
        <f>MID('paste from garc here'!$C$3,1+(('table for research'!$B932-911)*36+HEX2DEC('table for research'!R$1))*2,2)</f>
        <v>00</v>
      </c>
      <c r="S932" t="str">
        <f>MID('paste from garc here'!$C$3,1+(('table for research'!$B932-911)*36+HEX2DEC('table for research'!S$1))*2,2)</f>
        <v>01</v>
      </c>
      <c r="T932" t="str">
        <f>MID('paste from garc here'!$C$3,1+(('table for research'!$B932-911)*36+HEX2DEC('table for research'!T$1))*2,2)</f>
        <v>00</v>
      </c>
      <c r="U932" t="str">
        <f>MID('paste from garc here'!$C$3,1+(('table for research'!$B932-911)*36+HEX2DEC('table for research'!U$1))*2,2)</f>
        <v>21</v>
      </c>
      <c r="V932" t="str">
        <f>MID('paste from garc here'!$C$3,1+(('table for research'!$B932-911)*36+HEX2DEC('table for research'!V$1))*2,2)</f>
        <v>21</v>
      </c>
      <c r="W932" t="str">
        <f>MID('paste from garc here'!$C$3,1+(('table for research'!$B932-911)*36+HEX2DEC('table for research'!W$1))*2,2)</f>
        <v>00</v>
      </c>
      <c r="X932" t="str">
        <f>MID('paste from garc here'!$C$3,1+(('table for research'!$B932-911)*36+HEX2DEC('table for research'!X$1))*2,2)</f>
        <v>00</v>
      </c>
      <c r="Y932" t="str">
        <f>MID('paste from garc here'!$C$3,1+(('table for research'!$B932-911)*36+HEX2DEC('table for research'!Y$1))*2,2)</f>
        <v>00</v>
      </c>
      <c r="Z932" t="str">
        <f>MID('paste from garc here'!$C$3,1+(('table for research'!$B932-911)*36+HEX2DEC('table for research'!Z$1))*2,2)</f>
        <v>00</v>
      </c>
      <c r="AA932" t="str">
        <f>MID('paste from garc here'!$C$3,1+(('table for research'!$B932-911)*36+HEX2DEC('table for research'!AA$1))*2,2)</f>
        <v>00</v>
      </c>
      <c r="AB932" t="str">
        <f>MID('paste from garc here'!$C$3,1+(('table for research'!$B932-911)*36+HEX2DEC('table for research'!AB$1))*2,2)</f>
        <v>00</v>
      </c>
      <c r="AC932" t="str">
        <f>MID('paste from garc here'!$C$3,1+(('table for research'!$B932-911)*36+HEX2DEC('table for research'!AC$1))*2,2)</f>
        <v>00</v>
      </c>
      <c r="AD932" t="str">
        <f>MID('paste from garc here'!$C$3,1+(('table for research'!$B932-911)*36+HEX2DEC('table for research'!AD$1))*2,2)</f>
        <v>00</v>
      </c>
      <c r="AE932" t="str">
        <f>MID('paste from garc here'!$C$3,1+(('table for research'!$B932-911)*36+HEX2DEC('table for research'!AE$1))*2,2)</f>
        <v>00</v>
      </c>
      <c r="AF932" t="str">
        <f>MID('paste from garc here'!$C$3,1+(('table for research'!$B932-911)*36+HEX2DEC('table for research'!AF$1))*2,2)</f>
        <v>00</v>
      </c>
      <c r="AG932" t="str">
        <f>MID('paste from garc here'!$C$3,1+(('table for research'!$B932-911)*36+HEX2DEC('table for research'!AG$1))*2,2)</f>
        <v>00</v>
      </c>
      <c r="AH932" t="str">
        <f>MID('paste from garc here'!$C$3,1+(('table for research'!$B932-911)*36+HEX2DEC('table for research'!AH$1))*2,2)</f>
        <v>00</v>
      </c>
      <c r="AI932" t="str">
        <f>MID('paste from garc here'!$C$3,1+(('table for research'!$B932-911)*36+HEX2DEC('table for research'!AI$1))*2,2)</f>
        <v>00</v>
      </c>
      <c r="AJ932" t="str">
        <f>MID('paste from garc here'!$C$3,1+(('table for research'!$B932-911)*36+HEX2DEC('table for research'!AJ$1))*2,2)</f>
        <v>00</v>
      </c>
      <c r="AK932" t="str">
        <f>MID('paste from garc here'!$C$3,1+(('table for research'!$B932-911)*36+HEX2DEC('table for research'!AK$1))*2,2)</f>
        <v>00</v>
      </c>
      <c r="AL932" t="str">
        <f>MID('paste from garc here'!$C$3,1+(('table for research'!$B932-911)*36+HEX2DEC('table for research'!AL$1))*2,2)</f>
        <v>00</v>
      </c>
      <c r="AM932" t="str">
        <f>MID('paste from garc here'!$C$3,1+(('table for research'!$B932-911)*36+HEX2DEC('table for research'!AM$1))*2,2)</f>
        <v>00</v>
      </c>
      <c r="AN932" t="str">
        <f>MID('paste from garc here'!$C$3,1+(('table for research'!$B932-911)*36+HEX2DEC('table for research'!AN$1))*2,2)</f>
        <v>00</v>
      </c>
      <c r="AO932" t="str">
        <f>MID('paste from garc here'!$C$3,1+(('table for research'!$B932-911)*36+HEX2DEC('table for research'!AO$1))*2,2)</f>
        <v>00</v>
      </c>
    </row>
    <row r="933" spans="1:41" x14ac:dyDescent="0.4">
      <c r="A933" t="s">
        <v>879</v>
      </c>
      <c r="B933">
        <f>B932+1</f>
        <v>931</v>
      </c>
      <c r="C933" t="str">
        <f>MID('paste from garc here'!$C$3,1+(('table for research'!$B933-911)*36+HEX2DEC('table for research'!C$1))*2,2)</f>
        <v>00</v>
      </c>
      <c r="D933" t="str">
        <f>MID('paste from garc here'!$C$3,1+(('table for research'!$B933-911)*36+HEX2DEC('table for research'!D$1))*2,2)</f>
        <v>00</v>
      </c>
      <c r="E933" t="str">
        <f>MID('paste from garc here'!$C$3,1+(('table for research'!$B933-911)*36+HEX2DEC('table for research'!E$1))*2,2)</f>
        <v>00</v>
      </c>
      <c r="F933" t="str">
        <f>MID('paste from garc here'!$C$3,1+(('table for research'!$B933-911)*36+HEX2DEC('table for research'!F$1))*2,2)</f>
        <v>00</v>
      </c>
      <c r="G933" t="str">
        <f>MID('paste from garc here'!$C$3,1+(('table for research'!$B933-911)*36+HEX2DEC('table for research'!G$1))*2,2)</f>
        <v>00</v>
      </c>
      <c r="H933" t="str">
        <f>MID('paste from garc here'!$C$3,1+(('table for research'!$B933-911)*36+HEX2DEC('table for research'!H$1))*2,2)</f>
        <v>00</v>
      </c>
      <c r="I933" t="str">
        <f>MID('paste from garc here'!$C$3,1+(('table for research'!$B933-911)*36+HEX2DEC('table for research'!I$1))*2,2)</f>
        <v>00</v>
      </c>
      <c r="J933" t="str">
        <f>MID('paste from garc here'!$C$3,1+(('table for research'!$B933-911)*36+HEX2DEC('table for research'!J$1))*2,2)</f>
        <v>00</v>
      </c>
      <c r="K933" t="str">
        <f>DEC2HEX(_xlfn.BITAND(HEX2DEC(MID('paste from garc here'!$C$1,1+(('table for research'!$B933-1)*36+HEX2DEC(8))*2,2)),31),2)</f>
        <v>00</v>
      </c>
      <c r="L933" t="str">
        <f>DEC2HEX(_xlfn.BITAND(HEX2DEC(MID('paste from garc here'!$C$1,1+(('table for research'!$B933-1)*36+HEX2DEC(8))*2,2)),32),2)</f>
        <v>00</v>
      </c>
      <c r="M933" t="str">
        <f>DEC2HEX(_xlfn.BITAND(HEX2DEC(MID('paste from garc here'!$C$1,1+(('table for research'!$B933-1)*36+HEX2DEC(8))*2,2)),64),2)</f>
        <v>00</v>
      </c>
      <c r="N933" t="str">
        <f>DEC2HEX(_xlfn.BITRSHIFT(_xlfn.BITAND(HEX2DEC(MID('paste from garc here'!$C$1,1+(('table for research'!$B933-1)*36+HEX2DEC(9))*2,2)&amp;MID('paste from garc here'!$C$1,1+(('table for research'!$B933-1)*36+HEX2DEC(8))*2,2)),1920),7),2)</f>
        <v>00</v>
      </c>
      <c r="O933" t="str">
        <f>DEC2HEX(_xlfn.BITRSHIFT(HEX2DEC(MID('paste from garc here'!$C$1,1+(('table for research'!$B933-1)*36+HEX2DEC(9))*2,2)&amp;MID('paste from garc here'!$C$1,1+(('table for research'!$B933-1)*36+HEX2DEC(8))*2,2)),11),2)</f>
        <v>00</v>
      </c>
      <c r="P933" t="str">
        <f>MID('paste from garc here'!$C$3,1+(('table for research'!$B933-911)*36+HEX2DEC('table for research'!P$1))*2,2)</f>
        <v>01</v>
      </c>
      <c r="Q933" t="str">
        <f>MID('paste from garc here'!$C$3,1+(('table for research'!$B933-911)*36+HEX2DEC('table for research'!Q$1))*2,2)</f>
        <v>00</v>
      </c>
      <c r="R933" t="str">
        <f>MID('paste from garc here'!$C$3,1+(('table for research'!$B933-911)*36+HEX2DEC('table for research'!R$1))*2,2)</f>
        <v>00</v>
      </c>
      <c r="S933" t="str">
        <f>MID('paste from garc here'!$C$3,1+(('table for research'!$B933-911)*36+HEX2DEC('table for research'!S$1))*2,2)</f>
        <v>01</v>
      </c>
      <c r="T933" t="str">
        <f>MID('paste from garc here'!$C$3,1+(('table for research'!$B933-911)*36+HEX2DEC('table for research'!T$1))*2,2)</f>
        <v>00</v>
      </c>
      <c r="U933" t="str">
        <f>MID('paste from garc here'!$C$3,1+(('table for research'!$B933-911)*36+HEX2DEC('table for research'!U$1))*2,2)</f>
        <v>22</v>
      </c>
      <c r="V933" t="str">
        <f>MID('paste from garc here'!$C$3,1+(('table for research'!$B933-911)*36+HEX2DEC('table for research'!V$1))*2,2)</f>
        <v>22</v>
      </c>
      <c r="W933" t="str">
        <f>MID('paste from garc here'!$C$3,1+(('table for research'!$B933-911)*36+HEX2DEC('table for research'!W$1))*2,2)</f>
        <v>00</v>
      </c>
      <c r="X933" t="str">
        <f>MID('paste from garc here'!$C$3,1+(('table for research'!$B933-911)*36+HEX2DEC('table for research'!X$1))*2,2)</f>
        <v>00</v>
      </c>
      <c r="Y933" t="str">
        <f>MID('paste from garc here'!$C$3,1+(('table for research'!$B933-911)*36+HEX2DEC('table for research'!Y$1))*2,2)</f>
        <v>00</v>
      </c>
      <c r="Z933" t="str">
        <f>MID('paste from garc here'!$C$3,1+(('table for research'!$B933-911)*36+HEX2DEC('table for research'!Z$1))*2,2)</f>
        <v>00</v>
      </c>
      <c r="AA933" t="str">
        <f>MID('paste from garc here'!$C$3,1+(('table for research'!$B933-911)*36+HEX2DEC('table for research'!AA$1))*2,2)</f>
        <v>00</v>
      </c>
      <c r="AB933" t="str">
        <f>MID('paste from garc here'!$C$3,1+(('table for research'!$B933-911)*36+HEX2DEC('table for research'!AB$1))*2,2)</f>
        <v>00</v>
      </c>
      <c r="AC933" t="str">
        <f>MID('paste from garc here'!$C$3,1+(('table for research'!$B933-911)*36+HEX2DEC('table for research'!AC$1))*2,2)</f>
        <v>00</v>
      </c>
      <c r="AD933" t="str">
        <f>MID('paste from garc here'!$C$3,1+(('table for research'!$B933-911)*36+HEX2DEC('table for research'!AD$1))*2,2)</f>
        <v>00</v>
      </c>
      <c r="AE933" t="str">
        <f>MID('paste from garc here'!$C$3,1+(('table for research'!$B933-911)*36+HEX2DEC('table for research'!AE$1))*2,2)</f>
        <v>00</v>
      </c>
      <c r="AF933" t="str">
        <f>MID('paste from garc here'!$C$3,1+(('table for research'!$B933-911)*36+HEX2DEC('table for research'!AF$1))*2,2)</f>
        <v>00</v>
      </c>
      <c r="AG933" t="str">
        <f>MID('paste from garc here'!$C$3,1+(('table for research'!$B933-911)*36+HEX2DEC('table for research'!AG$1))*2,2)</f>
        <v>00</v>
      </c>
      <c r="AH933" t="str">
        <f>MID('paste from garc here'!$C$3,1+(('table for research'!$B933-911)*36+HEX2DEC('table for research'!AH$1))*2,2)</f>
        <v>00</v>
      </c>
      <c r="AI933" t="str">
        <f>MID('paste from garc here'!$C$3,1+(('table for research'!$B933-911)*36+HEX2DEC('table for research'!AI$1))*2,2)</f>
        <v>00</v>
      </c>
      <c r="AJ933" t="str">
        <f>MID('paste from garc here'!$C$3,1+(('table for research'!$B933-911)*36+HEX2DEC('table for research'!AJ$1))*2,2)</f>
        <v>00</v>
      </c>
      <c r="AK933" t="str">
        <f>MID('paste from garc here'!$C$3,1+(('table for research'!$B933-911)*36+HEX2DEC('table for research'!AK$1))*2,2)</f>
        <v>00</v>
      </c>
      <c r="AL933" t="str">
        <f>MID('paste from garc here'!$C$3,1+(('table for research'!$B933-911)*36+HEX2DEC('table for research'!AL$1))*2,2)</f>
        <v>00</v>
      </c>
      <c r="AM933" t="str">
        <f>MID('paste from garc here'!$C$3,1+(('table for research'!$B933-911)*36+HEX2DEC('table for research'!AM$1))*2,2)</f>
        <v>00</v>
      </c>
      <c r="AN933" t="str">
        <f>MID('paste from garc here'!$C$3,1+(('table for research'!$B933-911)*36+HEX2DEC('table for research'!AN$1))*2,2)</f>
        <v>00</v>
      </c>
      <c r="AO933" t="str">
        <f>MID('paste from garc here'!$C$3,1+(('table for research'!$B933-911)*36+HEX2DEC('table for research'!AO$1))*2,2)</f>
        <v>00</v>
      </c>
    </row>
    <row r="934" spans="1:41" x14ac:dyDescent="0.4">
      <c r="A934" t="s">
        <v>880</v>
      </c>
      <c r="B934">
        <f>B933+1</f>
        <v>932</v>
      </c>
      <c r="C934" t="str">
        <f>MID('paste from garc here'!$C$3,1+(('table for research'!$B934-911)*36+HEX2DEC('table for research'!C$1))*2,2)</f>
        <v>00</v>
      </c>
      <c r="D934" t="str">
        <f>MID('paste from garc here'!$C$3,1+(('table for research'!$B934-911)*36+HEX2DEC('table for research'!D$1))*2,2)</f>
        <v>00</v>
      </c>
      <c r="E934" t="str">
        <f>MID('paste from garc here'!$C$3,1+(('table for research'!$B934-911)*36+HEX2DEC('table for research'!E$1))*2,2)</f>
        <v>00</v>
      </c>
      <c r="F934" t="str">
        <f>MID('paste from garc here'!$C$3,1+(('table for research'!$B934-911)*36+HEX2DEC('table for research'!F$1))*2,2)</f>
        <v>00</v>
      </c>
      <c r="G934" t="str">
        <f>MID('paste from garc here'!$C$3,1+(('table for research'!$B934-911)*36+HEX2DEC('table for research'!G$1))*2,2)</f>
        <v>00</v>
      </c>
      <c r="H934" t="str">
        <f>MID('paste from garc here'!$C$3,1+(('table for research'!$B934-911)*36+HEX2DEC('table for research'!H$1))*2,2)</f>
        <v>00</v>
      </c>
      <c r="I934" t="str">
        <f>MID('paste from garc here'!$C$3,1+(('table for research'!$B934-911)*36+HEX2DEC('table for research'!I$1))*2,2)</f>
        <v>00</v>
      </c>
      <c r="J934" t="str">
        <f>MID('paste from garc here'!$C$3,1+(('table for research'!$B934-911)*36+HEX2DEC('table for research'!J$1))*2,2)</f>
        <v>00</v>
      </c>
      <c r="K934" t="str">
        <f>DEC2HEX(_xlfn.BITAND(HEX2DEC(MID('paste from garc here'!$C$1,1+(('table for research'!$B934-1)*36+HEX2DEC(8))*2,2)),31),2)</f>
        <v>00</v>
      </c>
      <c r="L934" t="str">
        <f>DEC2HEX(_xlfn.BITAND(HEX2DEC(MID('paste from garc here'!$C$1,1+(('table for research'!$B934-1)*36+HEX2DEC(8))*2,2)),32),2)</f>
        <v>00</v>
      </c>
      <c r="M934" t="str">
        <f>DEC2HEX(_xlfn.BITAND(HEX2DEC(MID('paste from garc here'!$C$1,1+(('table for research'!$B934-1)*36+HEX2DEC(8))*2,2)),64),2)</f>
        <v>00</v>
      </c>
      <c r="N934" t="str">
        <f>DEC2HEX(_xlfn.BITRSHIFT(_xlfn.BITAND(HEX2DEC(MID('paste from garc here'!$C$1,1+(('table for research'!$B934-1)*36+HEX2DEC(9))*2,2)&amp;MID('paste from garc here'!$C$1,1+(('table for research'!$B934-1)*36+HEX2DEC(8))*2,2)),1920),7),2)</f>
        <v>00</v>
      </c>
      <c r="O934" t="str">
        <f>DEC2HEX(_xlfn.BITRSHIFT(HEX2DEC(MID('paste from garc here'!$C$1,1+(('table for research'!$B934-1)*36+HEX2DEC(9))*2,2)&amp;MID('paste from garc here'!$C$1,1+(('table for research'!$B934-1)*36+HEX2DEC(8))*2,2)),11),2)</f>
        <v>00</v>
      </c>
      <c r="P934" t="str">
        <f>MID('paste from garc here'!$C$3,1+(('table for research'!$B934-911)*36+HEX2DEC('table for research'!P$1))*2,2)</f>
        <v>01</v>
      </c>
      <c r="Q934" t="str">
        <f>MID('paste from garc here'!$C$3,1+(('table for research'!$B934-911)*36+HEX2DEC('table for research'!Q$1))*2,2)</f>
        <v>00</v>
      </c>
      <c r="R934" t="str">
        <f>MID('paste from garc here'!$C$3,1+(('table for research'!$B934-911)*36+HEX2DEC('table for research'!R$1))*2,2)</f>
        <v>00</v>
      </c>
      <c r="S934" t="str">
        <f>MID('paste from garc here'!$C$3,1+(('table for research'!$B934-911)*36+HEX2DEC('table for research'!S$1))*2,2)</f>
        <v>01</v>
      </c>
      <c r="T934" t="str">
        <f>MID('paste from garc here'!$C$3,1+(('table for research'!$B934-911)*36+HEX2DEC('table for research'!T$1))*2,2)</f>
        <v>00</v>
      </c>
      <c r="U934" t="str">
        <f>MID('paste from garc here'!$C$3,1+(('table for research'!$B934-911)*36+HEX2DEC('table for research'!U$1))*2,2)</f>
        <v>23</v>
      </c>
      <c r="V934" t="str">
        <f>MID('paste from garc here'!$C$3,1+(('table for research'!$B934-911)*36+HEX2DEC('table for research'!V$1))*2,2)</f>
        <v>23</v>
      </c>
      <c r="W934" t="str">
        <f>MID('paste from garc here'!$C$3,1+(('table for research'!$B934-911)*36+HEX2DEC('table for research'!W$1))*2,2)</f>
        <v>00</v>
      </c>
      <c r="X934" t="str">
        <f>MID('paste from garc here'!$C$3,1+(('table for research'!$B934-911)*36+HEX2DEC('table for research'!X$1))*2,2)</f>
        <v>00</v>
      </c>
      <c r="Y934" t="str">
        <f>MID('paste from garc here'!$C$3,1+(('table for research'!$B934-911)*36+HEX2DEC('table for research'!Y$1))*2,2)</f>
        <v>00</v>
      </c>
      <c r="Z934" t="str">
        <f>MID('paste from garc here'!$C$3,1+(('table for research'!$B934-911)*36+HEX2DEC('table for research'!Z$1))*2,2)</f>
        <v>00</v>
      </c>
      <c r="AA934" t="str">
        <f>MID('paste from garc here'!$C$3,1+(('table for research'!$B934-911)*36+HEX2DEC('table for research'!AA$1))*2,2)</f>
        <v>00</v>
      </c>
      <c r="AB934" t="str">
        <f>MID('paste from garc here'!$C$3,1+(('table for research'!$B934-911)*36+HEX2DEC('table for research'!AB$1))*2,2)</f>
        <v>00</v>
      </c>
      <c r="AC934" t="str">
        <f>MID('paste from garc here'!$C$3,1+(('table for research'!$B934-911)*36+HEX2DEC('table for research'!AC$1))*2,2)</f>
        <v>00</v>
      </c>
      <c r="AD934" t="str">
        <f>MID('paste from garc here'!$C$3,1+(('table for research'!$B934-911)*36+HEX2DEC('table for research'!AD$1))*2,2)</f>
        <v>00</v>
      </c>
      <c r="AE934" t="str">
        <f>MID('paste from garc here'!$C$3,1+(('table for research'!$B934-911)*36+HEX2DEC('table for research'!AE$1))*2,2)</f>
        <v>00</v>
      </c>
      <c r="AF934" t="str">
        <f>MID('paste from garc here'!$C$3,1+(('table for research'!$B934-911)*36+HEX2DEC('table for research'!AF$1))*2,2)</f>
        <v>00</v>
      </c>
      <c r="AG934" t="str">
        <f>MID('paste from garc here'!$C$3,1+(('table for research'!$B934-911)*36+HEX2DEC('table for research'!AG$1))*2,2)</f>
        <v>00</v>
      </c>
      <c r="AH934" t="str">
        <f>MID('paste from garc here'!$C$3,1+(('table for research'!$B934-911)*36+HEX2DEC('table for research'!AH$1))*2,2)</f>
        <v>00</v>
      </c>
      <c r="AI934" t="str">
        <f>MID('paste from garc here'!$C$3,1+(('table for research'!$B934-911)*36+HEX2DEC('table for research'!AI$1))*2,2)</f>
        <v>00</v>
      </c>
      <c r="AJ934" t="str">
        <f>MID('paste from garc here'!$C$3,1+(('table for research'!$B934-911)*36+HEX2DEC('table for research'!AJ$1))*2,2)</f>
        <v>00</v>
      </c>
      <c r="AK934" t="str">
        <f>MID('paste from garc here'!$C$3,1+(('table for research'!$B934-911)*36+HEX2DEC('table for research'!AK$1))*2,2)</f>
        <v>00</v>
      </c>
      <c r="AL934" t="str">
        <f>MID('paste from garc here'!$C$3,1+(('table for research'!$B934-911)*36+HEX2DEC('table for research'!AL$1))*2,2)</f>
        <v>00</v>
      </c>
      <c r="AM934" t="str">
        <f>MID('paste from garc here'!$C$3,1+(('table for research'!$B934-911)*36+HEX2DEC('table for research'!AM$1))*2,2)</f>
        <v>00</v>
      </c>
      <c r="AN934" t="str">
        <f>MID('paste from garc here'!$C$3,1+(('table for research'!$B934-911)*36+HEX2DEC('table for research'!AN$1))*2,2)</f>
        <v>00</v>
      </c>
      <c r="AO934" t="str">
        <f>MID('paste from garc here'!$C$3,1+(('table for research'!$B934-911)*36+HEX2DEC('table for research'!AO$1))*2,2)</f>
        <v>00</v>
      </c>
    </row>
    <row r="935" spans="1:41" x14ac:dyDescent="0.4">
      <c r="A935" t="s">
        <v>881</v>
      </c>
      <c r="B935">
        <f>B934+1</f>
        <v>933</v>
      </c>
      <c r="C935" t="str">
        <f>MID('paste from garc here'!$C$3,1+(('table for research'!$B935-911)*36+HEX2DEC('table for research'!C$1))*2,2)</f>
        <v>00</v>
      </c>
      <c r="D935" t="str">
        <f>MID('paste from garc here'!$C$3,1+(('table for research'!$B935-911)*36+HEX2DEC('table for research'!D$1))*2,2)</f>
        <v>00</v>
      </c>
      <c r="E935" t="str">
        <f>MID('paste from garc here'!$C$3,1+(('table for research'!$B935-911)*36+HEX2DEC('table for research'!E$1))*2,2)</f>
        <v>00</v>
      </c>
      <c r="F935" t="str">
        <f>MID('paste from garc here'!$C$3,1+(('table for research'!$B935-911)*36+HEX2DEC('table for research'!F$1))*2,2)</f>
        <v>00</v>
      </c>
      <c r="G935" t="str">
        <f>MID('paste from garc here'!$C$3,1+(('table for research'!$B935-911)*36+HEX2DEC('table for research'!G$1))*2,2)</f>
        <v>00</v>
      </c>
      <c r="H935" t="str">
        <f>MID('paste from garc here'!$C$3,1+(('table for research'!$B935-911)*36+HEX2DEC('table for research'!H$1))*2,2)</f>
        <v>00</v>
      </c>
      <c r="I935" t="str">
        <f>MID('paste from garc here'!$C$3,1+(('table for research'!$B935-911)*36+HEX2DEC('table for research'!I$1))*2,2)</f>
        <v>00</v>
      </c>
      <c r="J935" t="str">
        <f>MID('paste from garc here'!$C$3,1+(('table for research'!$B935-911)*36+HEX2DEC('table for research'!J$1))*2,2)</f>
        <v>00</v>
      </c>
      <c r="K935" t="str">
        <f>DEC2HEX(_xlfn.BITAND(HEX2DEC(MID('paste from garc here'!$C$1,1+(('table for research'!$B935-1)*36+HEX2DEC(8))*2,2)),31),2)</f>
        <v>00</v>
      </c>
      <c r="L935" t="str">
        <f>DEC2HEX(_xlfn.BITAND(HEX2DEC(MID('paste from garc here'!$C$1,1+(('table for research'!$B935-1)*36+HEX2DEC(8))*2,2)),32),2)</f>
        <v>00</v>
      </c>
      <c r="M935" t="str">
        <f>DEC2HEX(_xlfn.BITAND(HEX2DEC(MID('paste from garc here'!$C$1,1+(('table for research'!$B935-1)*36+HEX2DEC(8))*2,2)),64),2)</f>
        <v>00</v>
      </c>
      <c r="N935" t="str">
        <f>DEC2HEX(_xlfn.BITRSHIFT(_xlfn.BITAND(HEX2DEC(MID('paste from garc here'!$C$1,1+(('table for research'!$B935-1)*36+HEX2DEC(9))*2,2)&amp;MID('paste from garc here'!$C$1,1+(('table for research'!$B935-1)*36+HEX2DEC(8))*2,2)),1920),7),2)</f>
        <v>00</v>
      </c>
      <c r="O935" t="str">
        <f>DEC2HEX(_xlfn.BITRSHIFT(HEX2DEC(MID('paste from garc here'!$C$1,1+(('table for research'!$B935-1)*36+HEX2DEC(9))*2,2)&amp;MID('paste from garc here'!$C$1,1+(('table for research'!$B935-1)*36+HEX2DEC(8))*2,2)),11),2)</f>
        <v>00</v>
      </c>
      <c r="P935" t="str">
        <f>MID('paste from garc here'!$C$3,1+(('table for research'!$B935-911)*36+HEX2DEC('table for research'!P$1))*2,2)</f>
        <v>00</v>
      </c>
      <c r="Q935" t="str">
        <f>MID('paste from garc here'!$C$3,1+(('table for research'!$B935-911)*36+HEX2DEC('table for research'!Q$1))*2,2)</f>
        <v>00</v>
      </c>
      <c r="R935" t="str">
        <f>MID('paste from garc here'!$C$3,1+(('table for research'!$B935-911)*36+HEX2DEC('table for research'!R$1))*2,2)</f>
        <v>00</v>
      </c>
      <c r="S935" t="str">
        <f>MID('paste from garc here'!$C$3,1+(('table for research'!$B935-911)*36+HEX2DEC('table for research'!S$1))*2,2)</f>
        <v>08</v>
      </c>
      <c r="T935" t="str">
        <f>MID('paste from garc here'!$C$3,1+(('table for research'!$B935-911)*36+HEX2DEC('table for research'!T$1))*2,2)</f>
        <v>00</v>
      </c>
      <c r="U935" t="str">
        <f>MID('paste from garc here'!$C$3,1+(('table for research'!$B935-911)*36+HEX2DEC('table for research'!U$1))*2,2)</f>
        <v>05</v>
      </c>
      <c r="V935" t="str">
        <f>MID('paste from garc here'!$C$3,1+(('table for research'!$B935-911)*36+HEX2DEC('table for research'!V$1))*2,2)</f>
        <v>00</v>
      </c>
      <c r="W935" t="str">
        <f>MID('paste from garc here'!$C$3,1+(('table for research'!$B935-911)*36+HEX2DEC('table for research'!W$1))*2,2)</f>
        <v>00</v>
      </c>
      <c r="X935" t="str">
        <f>MID('paste from garc here'!$C$3,1+(('table for research'!$B935-911)*36+HEX2DEC('table for research'!X$1))*2,2)</f>
        <v>00</v>
      </c>
      <c r="Y935" t="str">
        <f>MID('paste from garc here'!$C$3,1+(('table for research'!$B935-911)*36+HEX2DEC('table for research'!Y$1))*2,2)</f>
        <v>00</v>
      </c>
      <c r="Z935" t="str">
        <f>MID('paste from garc here'!$C$3,1+(('table for research'!$B935-911)*36+HEX2DEC('table for research'!Z$1))*2,2)</f>
        <v>00</v>
      </c>
      <c r="AA935" t="str">
        <f>MID('paste from garc here'!$C$3,1+(('table for research'!$B935-911)*36+HEX2DEC('table for research'!AA$1))*2,2)</f>
        <v>00</v>
      </c>
      <c r="AB935" t="str">
        <f>MID('paste from garc here'!$C$3,1+(('table for research'!$B935-911)*36+HEX2DEC('table for research'!AB$1))*2,2)</f>
        <v>00</v>
      </c>
      <c r="AC935" t="str">
        <f>MID('paste from garc here'!$C$3,1+(('table for research'!$B935-911)*36+HEX2DEC('table for research'!AC$1))*2,2)</f>
        <v>00</v>
      </c>
      <c r="AD935" t="str">
        <f>MID('paste from garc here'!$C$3,1+(('table for research'!$B935-911)*36+HEX2DEC('table for research'!AD$1))*2,2)</f>
        <v>00</v>
      </c>
      <c r="AE935" t="str">
        <f>MID('paste from garc here'!$C$3,1+(('table for research'!$B935-911)*36+HEX2DEC('table for research'!AE$1))*2,2)</f>
        <v>00</v>
      </c>
      <c r="AF935" t="str">
        <f>MID('paste from garc here'!$C$3,1+(('table for research'!$B935-911)*36+HEX2DEC('table for research'!AF$1))*2,2)</f>
        <v>00</v>
      </c>
      <c r="AG935" t="str">
        <f>MID('paste from garc here'!$C$3,1+(('table for research'!$B935-911)*36+HEX2DEC('table for research'!AG$1))*2,2)</f>
        <v>00</v>
      </c>
      <c r="AH935" t="str">
        <f>MID('paste from garc here'!$C$3,1+(('table for research'!$B935-911)*36+HEX2DEC('table for research'!AH$1))*2,2)</f>
        <v>00</v>
      </c>
      <c r="AI935" t="str">
        <f>MID('paste from garc here'!$C$3,1+(('table for research'!$B935-911)*36+HEX2DEC('table for research'!AI$1))*2,2)</f>
        <v>00</v>
      </c>
      <c r="AJ935" t="str">
        <f>MID('paste from garc here'!$C$3,1+(('table for research'!$B935-911)*36+HEX2DEC('table for research'!AJ$1))*2,2)</f>
        <v>00</v>
      </c>
      <c r="AK935" t="str">
        <f>MID('paste from garc here'!$C$3,1+(('table for research'!$B935-911)*36+HEX2DEC('table for research'!AK$1))*2,2)</f>
        <v>00</v>
      </c>
      <c r="AL935" t="str">
        <f>MID('paste from garc here'!$C$3,1+(('table for research'!$B935-911)*36+HEX2DEC('table for research'!AL$1))*2,2)</f>
        <v>00</v>
      </c>
      <c r="AM935" t="str">
        <f>MID('paste from garc here'!$C$3,1+(('table for research'!$B935-911)*36+HEX2DEC('table for research'!AM$1))*2,2)</f>
        <v>00</v>
      </c>
      <c r="AN935" t="str">
        <f>MID('paste from garc here'!$C$3,1+(('table for research'!$B935-911)*36+HEX2DEC('table for research'!AN$1))*2,2)</f>
        <v>00</v>
      </c>
      <c r="AO935" t="str">
        <f>MID('paste from garc here'!$C$3,1+(('table for research'!$B935-911)*36+HEX2DEC('table for research'!AO$1))*2,2)</f>
        <v>00</v>
      </c>
    </row>
    <row r="936" spans="1:41" x14ac:dyDescent="0.4">
      <c r="A936" t="s">
        <v>882</v>
      </c>
      <c r="B936">
        <f>B935+1</f>
        <v>934</v>
      </c>
      <c r="C936" t="str">
        <f>MID('paste from garc here'!$C$3,1+(('table for research'!$B936-911)*36+HEX2DEC('table for research'!C$1))*2,2)</f>
        <v>00</v>
      </c>
      <c r="D936" t="str">
        <f>MID('paste from garc here'!$C$3,1+(('table for research'!$B936-911)*36+HEX2DEC('table for research'!D$1))*2,2)</f>
        <v>00</v>
      </c>
      <c r="E936" t="str">
        <f>MID('paste from garc here'!$C$3,1+(('table for research'!$B936-911)*36+HEX2DEC('table for research'!E$1))*2,2)</f>
        <v>00</v>
      </c>
      <c r="F936" t="str">
        <f>MID('paste from garc here'!$C$3,1+(('table for research'!$B936-911)*36+HEX2DEC('table for research'!F$1))*2,2)</f>
        <v>00</v>
      </c>
      <c r="G936" t="str">
        <f>MID('paste from garc here'!$C$3,1+(('table for research'!$B936-911)*36+HEX2DEC('table for research'!G$1))*2,2)</f>
        <v>00</v>
      </c>
      <c r="H936" t="str">
        <f>MID('paste from garc here'!$C$3,1+(('table for research'!$B936-911)*36+HEX2DEC('table for research'!H$1))*2,2)</f>
        <v>00</v>
      </c>
      <c r="I936" t="str">
        <f>MID('paste from garc here'!$C$3,1+(('table for research'!$B936-911)*36+HEX2DEC('table for research'!I$1))*2,2)</f>
        <v>00</v>
      </c>
      <c r="J936" t="str">
        <f>MID('paste from garc here'!$C$3,1+(('table for research'!$B936-911)*36+HEX2DEC('table for research'!J$1))*2,2)</f>
        <v>00</v>
      </c>
      <c r="K936" t="str">
        <f>DEC2HEX(_xlfn.BITAND(HEX2DEC(MID('paste from garc here'!$C$1,1+(('table for research'!$B936-1)*36+HEX2DEC(8))*2,2)),31),2)</f>
        <v>00</v>
      </c>
      <c r="L936" t="str">
        <f>DEC2HEX(_xlfn.BITAND(HEX2DEC(MID('paste from garc here'!$C$1,1+(('table for research'!$B936-1)*36+HEX2DEC(8))*2,2)),32),2)</f>
        <v>00</v>
      </c>
      <c r="M936" t="str">
        <f>DEC2HEX(_xlfn.BITAND(HEX2DEC(MID('paste from garc here'!$C$1,1+(('table for research'!$B936-1)*36+HEX2DEC(8))*2,2)),64),2)</f>
        <v>00</v>
      </c>
      <c r="N936" t="str">
        <f>DEC2HEX(_xlfn.BITRSHIFT(_xlfn.BITAND(HEX2DEC(MID('paste from garc here'!$C$1,1+(('table for research'!$B936-1)*36+HEX2DEC(9))*2,2)&amp;MID('paste from garc here'!$C$1,1+(('table for research'!$B936-1)*36+HEX2DEC(8))*2,2)),1920),7),2)</f>
        <v>00</v>
      </c>
      <c r="O936" t="str">
        <f>DEC2HEX(_xlfn.BITRSHIFT(HEX2DEC(MID('paste from garc here'!$C$1,1+(('table for research'!$B936-1)*36+HEX2DEC(9))*2,2)&amp;MID('paste from garc here'!$C$1,1+(('table for research'!$B936-1)*36+HEX2DEC(8))*2,2)),11),2)</f>
        <v>00</v>
      </c>
      <c r="P936" t="str">
        <f>MID('paste from garc here'!$C$3,1+(('table for research'!$B936-911)*36+HEX2DEC('table for research'!P$1))*2,2)</f>
        <v>00</v>
      </c>
      <c r="Q936" t="str">
        <f>MID('paste from garc here'!$C$3,1+(('table for research'!$B936-911)*36+HEX2DEC('table for research'!Q$1))*2,2)</f>
        <v>00</v>
      </c>
      <c r="R936" t="str">
        <f>MID('paste from garc here'!$C$3,1+(('table for research'!$B936-911)*36+HEX2DEC('table for research'!R$1))*2,2)</f>
        <v>00</v>
      </c>
      <c r="S936" t="str">
        <f>MID('paste from garc here'!$C$3,1+(('table for research'!$B936-911)*36+HEX2DEC('table for research'!S$1))*2,2)</f>
        <v>08</v>
      </c>
      <c r="T936" t="str">
        <f>MID('paste from garc here'!$C$3,1+(('table for research'!$B936-911)*36+HEX2DEC('table for research'!T$1))*2,2)</f>
        <v>00</v>
      </c>
      <c r="U936" t="str">
        <f>MID('paste from garc here'!$C$3,1+(('table for research'!$B936-911)*36+HEX2DEC('table for research'!U$1))*2,2)</f>
        <v>0B</v>
      </c>
      <c r="V936" t="str">
        <f>MID('paste from garc here'!$C$3,1+(('table for research'!$B936-911)*36+HEX2DEC('table for research'!V$1))*2,2)</f>
        <v>00</v>
      </c>
      <c r="W936" t="str">
        <f>MID('paste from garc here'!$C$3,1+(('table for research'!$B936-911)*36+HEX2DEC('table for research'!W$1))*2,2)</f>
        <v>00</v>
      </c>
      <c r="X936" t="str">
        <f>MID('paste from garc here'!$C$3,1+(('table for research'!$B936-911)*36+HEX2DEC('table for research'!X$1))*2,2)</f>
        <v>00</v>
      </c>
      <c r="Y936" t="str">
        <f>MID('paste from garc here'!$C$3,1+(('table for research'!$B936-911)*36+HEX2DEC('table for research'!Y$1))*2,2)</f>
        <v>00</v>
      </c>
      <c r="Z936" t="str">
        <f>MID('paste from garc here'!$C$3,1+(('table for research'!$B936-911)*36+HEX2DEC('table for research'!Z$1))*2,2)</f>
        <v>00</v>
      </c>
      <c r="AA936" t="str">
        <f>MID('paste from garc here'!$C$3,1+(('table for research'!$B936-911)*36+HEX2DEC('table for research'!AA$1))*2,2)</f>
        <v>00</v>
      </c>
      <c r="AB936" t="str">
        <f>MID('paste from garc here'!$C$3,1+(('table for research'!$B936-911)*36+HEX2DEC('table for research'!AB$1))*2,2)</f>
        <v>00</v>
      </c>
      <c r="AC936" t="str">
        <f>MID('paste from garc here'!$C$3,1+(('table for research'!$B936-911)*36+HEX2DEC('table for research'!AC$1))*2,2)</f>
        <v>00</v>
      </c>
      <c r="AD936" t="str">
        <f>MID('paste from garc here'!$C$3,1+(('table for research'!$B936-911)*36+HEX2DEC('table for research'!AD$1))*2,2)</f>
        <v>00</v>
      </c>
      <c r="AE936" t="str">
        <f>MID('paste from garc here'!$C$3,1+(('table for research'!$B936-911)*36+HEX2DEC('table for research'!AE$1))*2,2)</f>
        <v>00</v>
      </c>
      <c r="AF936" t="str">
        <f>MID('paste from garc here'!$C$3,1+(('table for research'!$B936-911)*36+HEX2DEC('table for research'!AF$1))*2,2)</f>
        <v>00</v>
      </c>
      <c r="AG936" t="str">
        <f>MID('paste from garc here'!$C$3,1+(('table for research'!$B936-911)*36+HEX2DEC('table for research'!AG$1))*2,2)</f>
        <v>00</v>
      </c>
      <c r="AH936" t="str">
        <f>MID('paste from garc here'!$C$3,1+(('table for research'!$B936-911)*36+HEX2DEC('table for research'!AH$1))*2,2)</f>
        <v>00</v>
      </c>
      <c r="AI936" t="str">
        <f>MID('paste from garc here'!$C$3,1+(('table for research'!$B936-911)*36+HEX2DEC('table for research'!AI$1))*2,2)</f>
        <v>00</v>
      </c>
      <c r="AJ936" t="str">
        <f>MID('paste from garc here'!$C$3,1+(('table for research'!$B936-911)*36+HEX2DEC('table for research'!AJ$1))*2,2)</f>
        <v>00</v>
      </c>
      <c r="AK936" t="str">
        <f>MID('paste from garc here'!$C$3,1+(('table for research'!$B936-911)*36+HEX2DEC('table for research'!AK$1))*2,2)</f>
        <v>00</v>
      </c>
      <c r="AL936" t="str">
        <f>MID('paste from garc here'!$C$3,1+(('table for research'!$B936-911)*36+HEX2DEC('table for research'!AL$1))*2,2)</f>
        <v>00</v>
      </c>
      <c r="AM936" t="str">
        <f>MID('paste from garc here'!$C$3,1+(('table for research'!$B936-911)*36+HEX2DEC('table for research'!AM$1))*2,2)</f>
        <v>00</v>
      </c>
      <c r="AN936" t="str">
        <f>MID('paste from garc here'!$C$3,1+(('table for research'!$B936-911)*36+HEX2DEC('table for research'!AN$1))*2,2)</f>
        <v>00</v>
      </c>
      <c r="AO936" t="str">
        <f>MID('paste from garc here'!$C$3,1+(('table for research'!$B936-911)*36+HEX2DEC('table for research'!AO$1))*2,2)</f>
        <v>00</v>
      </c>
    </row>
    <row r="937" spans="1:41" x14ac:dyDescent="0.4">
      <c r="A937" t="s">
        <v>883</v>
      </c>
      <c r="B937">
        <f>B936+1</f>
        <v>935</v>
      </c>
      <c r="C937" t="str">
        <f>MID('paste from garc here'!$C$3,1+(('table for research'!$B937-911)*36+HEX2DEC('table for research'!C$1))*2,2)</f>
        <v>00</v>
      </c>
      <c r="D937" t="str">
        <f>MID('paste from garc here'!$C$3,1+(('table for research'!$B937-911)*36+HEX2DEC('table for research'!D$1))*2,2)</f>
        <v>00</v>
      </c>
      <c r="E937" t="str">
        <f>MID('paste from garc here'!$C$3,1+(('table for research'!$B937-911)*36+HEX2DEC('table for research'!E$1))*2,2)</f>
        <v>00</v>
      </c>
      <c r="F937" t="str">
        <f>MID('paste from garc here'!$C$3,1+(('table for research'!$B937-911)*36+HEX2DEC('table for research'!F$1))*2,2)</f>
        <v>00</v>
      </c>
      <c r="G937" t="str">
        <f>MID('paste from garc here'!$C$3,1+(('table for research'!$B937-911)*36+HEX2DEC('table for research'!G$1))*2,2)</f>
        <v>00</v>
      </c>
      <c r="H937" t="str">
        <f>MID('paste from garc here'!$C$3,1+(('table for research'!$B937-911)*36+HEX2DEC('table for research'!H$1))*2,2)</f>
        <v>00</v>
      </c>
      <c r="I937" t="str">
        <f>MID('paste from garc here'!$C$3,1+(('table for research'!$B937-911)*36+HEX2DEC('table for research'!I$1))*2,2)</f>
        <v>00</v>
      </c>
      <c r="J937" t="str">
        <f>MID('paste from garc here'!$C$3,1+(('table for research'!$B937-911)*36+HEX2DEC('table for research'!J$1))*2,2)</f>
        <v>00</v>
      </c>
      <c r="K937" t="str">
        <f>DEC2HEX(_xlfn.BITAND(HEX2DEC(MID('paste from garc here'!$C$1,1+(('table for research'!$B937-1)*36+HEX2DEC(8))*2,2)),31),2)</f>
        <v>00</v>
      </c>
      <c r="L937" t="str">
        <f>DEC2HEX(_xlfn.BITAND(HEX2DEC(MID('paste from garc here'!$C$1,1+(('table for research'!$B937-1)*36+HEX2DEC(8))*2,2)),32),2)</f>
        <v>00</v>
      </c>
      <c r="M937" t="str">
        <f>DEC2HEX(_xlfn.BITAND(HEX2DEC(MID('paste from garc here'!$C$1,1+(('table for research'!$B937-1)*36+HEX2DEC(8))*2,2)),64),2)</f>
        <v>00</v>
      </c>
      <c r="N937" t="str">
        <f>DEC2HEX(_xlfn.BITRSHIFT(_xlfn.BITAND(HEX2DEC(MID('paste from garc here'!$C$1,1+(('table for research'!$B937-1)*36+HEX2DEC(9))*2,2)&amp;MID('paste from garc here'!$C$1,1+(('table for research'!$B937-1)*36+HEX2DEC(8))*2,2)),1920),7),2)</f>
        <v>00</v>
      </c>
      <c r="O937" t="str">
        <f>DEC2HEX(_xlfn.BITRSHIFT(HEX2DEC(MID('paste from garc here'!$C$1,1+(('table for research'!$B937-1)*36+HEX2DEC(9))*2,2)&amp;MID('paste from garc here'!$C$1,1+(('table for research'!$B937-1)*36+HEX2DEC(8))*2,2)),11),2)</f>
        <v>00</v>
      </c>
      <c r="P937" t="str">
        <f>MID('paste from garc here'!$C$3,1+(('table for research'!$B937-911)*36+HEX2DEC('table for research'!P$1))*2,2)</f>
        <v>00</v>
      </c>
      <c r="Q937" t="str">
        <f>MID('paste from garc here'!$C$3,1+(('table for research'!$B937-911)*36+HEX2DEC('table for research'!Q$1))*2,2)</f>
        <v>00</v>
      </c>
      <c r="R937" t="str">
        <f>MID('paste from garc here'!$C$3,1+(('table for research'!$B937-911)*36+HEX2DEC('table for research'!R$1))*2,2)</f>
        <v>00</v>
      </c>
      <c r="S937" t="str">
        <f>MID('paste from garc here'!$C$3,1+(('table for research'!$B937-911)*36+HEX2DEC('table for research'!S$1))*2,2)</f>
        <v>08</v>
      </c>
      <c r="T937" t="str">
        <f>MID('paste from garc here'!$C$3,1+(('table for research'!$B937-911)*36+HEX2DEC('table for research'!T$1))*2,2)</f>
        <v>00</v>
      </c>
      <c r="U937" t="str">
        <f>MID('paste from garc here'!$C$3,1+(('table for research'!$B937-911)*36+HEX2DEC('table for research'!U$1))*2,2)</f>
        <v>0C</v>
      </c>
      <c r="V937" t="str">
        <f>MID('paste from garc here'!$C$3,1+(('table for research'!$B937-911)*36+HEX2DEC('table for research'!V$1))*2,2)</f>
        <v>00</v>
      </c>
      <c r="W937" t="str">
        <f>MID('paste from garc here'!$C$3,1+(('table for research'!$B937-911)*36+HEX2DEC('table for research'!W$1))*2,2)</f>
        <v>00</v>
      </c>
      <c r="X937" t="str">
        <f>MID('paste from garc here'!$C$3,1+(('table for research'!$B937-911)*36+HEX2DEC('table for research'!X$1))*2,2)</f>
        <v>00</v>
      </c>
      <c r="Y937" t="str">
        <f>MID('paste from garc here'!$C$3,1+(('table for research'!$B937-911)*36+HEX2DEC('table for research'!Y$1))*2,2)</f>
        <v>00</v>
      </c>
      <c r="Z937" t="str">
        <f>MID('paste from garc here'!$C$3,1+(('table for research'!$B937-911)*36+HEX2DEC('table for research'!Z$1))*2,2)</f>
        <v>00</v>
      </c>
      <c r="AA937" t="str">
        <f>MID('paste from garc here'!$C$3,1+(('table for research'!$B937-911)*36+HEX2DEC('table for research'!AA$1))*2,2)</f>
        <v>00</v>
      </c>
      <c r="AB937" t="str">
        <f>MID('paste from garc here'!$C$3,1+(('table for research'!$B937-911)*36+HEX2DEC('table for research'!AB$1))*2,2)</f>
        <v>00</v>
      </c>
      <c r="AC937" t="str">
        <f>MID('paste from garc here'!$C$3,1+(('table for research'!$B937-911)*36+HEX2DEC('table for research'!AC$1))*2,2)</f>
        <v>00</v>
      </c>
      <c r="AD937" t="str">
        <f>MID('paste from garc here'!$C$3,1+(('table for research'!$B937-911)*36+HEX2DEC('table for research'!AD$1))*2,2)</f>
        <v>00</v>
      </c>
      <c r="AE937" t="str">
        <f>MID('paste from garc here'!$C$3,1+(('table for research'!$B937-911)*36+HEX2DEC('table for research'!AE$1))*2,2)</f>
        <v>00</v>
      </c>
      <c r="AF937" t="str">
        <f>MID('paste from garc here'!$C$3,1+(('table for research'!$B937-911)*36+HEX2DEC('table for research'!AF$1))*2,2)</f>
        <v>00</v>
      </c>
      <c r="AG937" t="str">
        <f>MID('paste from garc here'!$C$3,1+(('table for research'!$B937-911)*36+HEX2DEC('table for research'!AG$1))*2,2)</f>
        <v>00</v>
      </c>
      <c r="AH937" t="str">
        <f>MID('paste from garc here'!$C$3,1+(('table for research'!$B937-911)*36+HEX2DEC('table for research'!AH$1))*2,2)</f>
        <v>00</v>
      </c>
      <c r="AI937" t="str">
        <f>MID('paste from garc here'!$C$3,1+(('table for research'!$B937-911)*36+HEX2DEC('table for research'!AI$1))*2,2)</f>
        <v>00</v>
      </c>
      <c r="AJ937" t="str">
        <f>MID('paste from garc here'!$C$3,1+(('table for research'!$B937-911)*36+HEX2DEC('table for research'!AJ$1))*2,2)</f>
        <v>00</v>
      </c>
      <c r="AK937" t="str">
        <f>MID('paste from garc here'!$C$3,1+(('table for research'!$B937-911)*36+HEX2DEC('table for research'!AK$1))*2,2)</f>
        <v>00</v>
      </c>
      <c r="AL937" t="str">
        <f>MID('paste from garc here'!$C$3,1+(('table for research'!$B937-911)*36+HEX2DEC('table for research'!AL$1))*2,2)</f>
        <v>00</v>
      </c>
      <c r="AM937" t="str">
        <f>MID('paste from garc here'!$C$3,1+(('table for research'!$B937-911)*36+HEX2DEC('table for research'!AM$1))*2,2)</f>
        <v>00</v>
      </c>
      <c r="AN937" t="str">
        <f>MID('paste from garc here'!$C$3,1+(('table for research'!$B937-911)*36+HEX2DEC('table for research'!AN$1))*2,2)</f>
        <v>00</v>
      </c>
      <c r="AO937" t="str">
        <f>MID('paste from garc here'!$C$3,1+(('table for research'!$B937-911)*36+HEX2DEC('table for research'!AO$1))*2,2)</f>
        <v>00</v>
      </c>
    </row>
    <row r="938" spans="1:41" x14ac:dyDescent="0.4">
      <c r="A938" t="s">
        <v>884</v>
      </c>
      <c r="B938">
        <f>B937+1</f>
        <v>936</v>
      </c>
      <c r="C938" t="str">
        <f>MID('paste from garc here'!$C$3,1+(('table for research'!$B938-911)*36+HEX2DEC('table for research'!C$1))*2,2)</f>
        <v>00</v>
      </c>
      <c r="D938" t="str">
        <f>MID('paste from garc here'!$C$3,1+(('table for research'!$B938-911)*36+HEX2DEC('table for research'!D$1))*2,2)</f>
        <v>00</v>
      </c>
      <c r="E938" t="str">
        <f>MID('paste from garc here'!$C$3,1+(('table for research'!$B938-911)*36+HEX2DEC('table for research'!E$1))*2,2)</f>
        <v>00</v>
      </c>
      <c r="F938" t="str">
        <f>MID('paste from garc here'!$C$3,1+(('table for research'!$B938-911)*36+HEX2DEC('table for research'!F$1))*2,2)</f>
        <v>00</v>
      </c>
      <c r="G938" t="str">
        <f>MID('paste from garc here'!$C$3,1+(('table for research'!$B938-911)*36+HEX2DEC('table for research'!G$1))*2,2)</f>
        <v>00</v>
      </c>
      <c r="H938" t="str">
        <f>MID('paste from garc here'!$C$3,1+(('table for research'!$B938-911)*36+HEX2DEC('table for research'!H$1))*2,2)</f>
        <v>00</v>
      </c>
      <c r="I938" t="str">
        <f>MID('paste from garc here'!$C$3,1+(('table for research'!$B938-911)*36+HEX2DEC('table for research'!I$1))*2,2)</f>
        <v>00</v>
      </c>
      <c r="J938" t="str">
        <f>MID('paste from garc here'!$C$3,1+(('table for research'!$B938-911)*36+HEX2DEC('table for research'!J$1))*2,2)</f>
        <v>00</v>
      </c>
      <c r="K938" t="str">
        <f>DEC2HEX(_xlfn.BITAND(HEX2DEC(MID('paste from garc here'!$C$1,1+(('table for research'!$B938-1)*36+HEX2DEC(8))*2,2)),31),2)</f>
        <v>00</v>
      </c>
      <c r="L938" t="str">
        <f>DEC2HEX(_xlfn.BITAND(HEX2DEC(MID('paste from garc here'!$C$1,1+(('table for research'!$B938-1)*36+HEX2DEC(8))*2,2)),32),2)</f>
        <v>00</v>
      </c>
      <c r="M938" t="str">
        <f>DEC2HEX(_xlfn.BITAND(HEX2DEC(MID('paste from garc here'!$C$1,1+(('table for research'!$B938-1)*36+HEX2DEC(8))*2,2)),64),2)</f>
        <v>00</v>
      </c>
      <c r="N938" t="str">
        <f>DEC2HEX(_xlfn.BITRSHIFT(_xlfn.BITAND(HEX2DEC(MID('paste from garc here'!$C$1,1+(('table for research'!$B938-1)*36+HEX2DEC(9))*2,2)&amp;MID('paste from garc here'!$C$1,1+(('table for research'!$B938-1)*36+HEX2DEC(8))*2,2)),1920),7),2)</f>
        <v>00</v>
      </c>
      <c r="O938" t="str">
        <f>DEC2HEX(_xlfn.BITRSHIFT(HEX2DEC(MID('paste from garc here'!$C$1,1+(('table for research'!$B938-1)*36+HEX2DEC(9))*2,2)&amp;MID('paste from garc here'!$C$1,1+(('table for research'!$B938-1)*36+HEX2DEC(8))*2,2)),11),2)</f>
        <v>00</v>
      </c>
      <c r="P938" t="str">
        <f>MID('paste from garc here'!$C$3,1+(('table for research'!$B938-911)*36+HEX2DEC('table for research'!P$1))*2,2)</f>
        <v>00</v>
      </c>
      <c r="Q938" t="str">
        <f>MID('paste from garc here'!$C$3,1+(('table for research'!$B938-911)*36+HEX2DEC('table for research'!Q$1))*2,2)</f>
        <v>00</v>
      </c>
      <c r="R938" t="str">
        <f>MID('paste from garc here'!$C$3,1+(('table for research'!$B938-911)*36+HEX2DEC('table for research'!R$1))*2,2)</f>
        <v>00</v>
      </c>
      <c r="S938" t="str">
        <f>MID('paste from garc here'!$C$3,1+(('table for research'!$B938-911)*36+HEX2DEC('table for research'!S$1))*2,2)</f>
        <v>08</v>
      </c>
      <c r="T938" t="str">
        <f>MID('paste from garc here'!$C$3,1+(('table for research'!$B938-911)*36+HEX2DEC('table for research'!T$1))*2,2)</f>
        <v>00</v>
      </c>
      <c r="U938" t="str">
        <f>MID('paste from garc here'!$C$3,1+(('table for research'!$B938-911)*36+HEX2DEC('table for research'!U$1))*2,2)</f>
        <v>0D</v>
      </c>
      <c r="V938" t="str">
        <f>MID('paste from garc here'!$C$3,1+(('table for research'!$B938-911)*36+HEX2DEC('table for research'!V$1))*2,2)</f>
        <v>00</v>
      </c>
      <c r="W938" t="str">
        <f>MID('paste from garc here'!$C$3,1+(('table for research'!$B938-911)*36+HEX2DEC('table for research'!W$1))*2,2)</f>
        <v>00</v>
      </c>
      <c r="X938" t="str">
        <f>MID('paste from garc here'!$C$3,1+(('table for research'!$B938-911)*36+HEX2DEC('table for research'!X$1))*2,2)</f>
        <v>00</v>
      </c>
      <c r="Y938" t="str">
        <f>MID('paste from garc here'!$C$3,1+(('table for research'!$B938-911)*36+HEX2DEC('table for research'!Y$1))*2,2)</f>
        <v>00</v>
      </c>
      <c r="Z938" t="str">
        <f>MID('paste from garc here'!$C$3,1+(('table for research'!$B938-911)*36+HEX2DEC('table for research'!Z$1))*2,2)</f>
        <v>00</v>
      </c>
      <c r="AA938" t="str">
        <f>MID('paste from garc here'!$C$3,1+(('table for research'!$B938-911)*36+HEX2DEC('table for research'!AA$1))*2,2)</f>
        <v>00</v>
      </c>
      <c r="AB938" t="str">
        <f>MID('paste from garc here'!$C$3,1+(('table for research'!$B938-911)*36+HEX2DEC('table for research'!AB$1))*2,2)</f>
        <v>00</v>
      </c>
      <c r="AC938" t="str">
        <f>MID('paste from garc here'!$C$3,1+(('table for research'!$B938-911)*36+HEX2DEC('table for research'!AC$1))*2,2)</f>
        <v>00</v>
      </c>
      <c r="AD938" t="str">
        <f>MID('paste from garc here'!$C$3,1+(('table for research'!$B938-911)*36+HEX2DEC('table for research'!AD$1))*2,2)</f>
        <v>00</v>
      </c>
      <c r="AE938" t="str">
        <f>MID('paste from garc here'!$C$3,1+(('table for research'!$B938-911)*36+HEX2DEC('table for research'!AE$1))*2,2)</f>
        <v>00</v>
      </c>
      <c r="AF938" t="str">
        <f>MID('paste from garc here'!$C$3,1+(('table for research'!$B938-911)*36+HEX2DEC('table for research'!AF$1))*2,2)</f>
        <v>00</v>
      </c>
      <c r="AG938" t="str">
        <f>MID('paste from garc here'!$C$3,1+(('table for research'!$B938-911)*36+HEX2DEC('table for research'!AG$1))*2,2)</f>
        <v>00</v>
      </c>
      <c r="AH938" t="str">
        <f>MID('paste from garc here'!$C$3,1+(('table for research'!$B938-911)*36+HEX2DEC('table for research'!AH$1))*2,2)</f>
        <v>00</v>
      </c>
      <c r="AI938" t="str">
        <f>MID('paste from garc here'!$C$3,1+(('table for research'!$B938-911)*36+HEX2DEC('table for research'!AI$1))*2,2)</f>
        <v>00</v>
      </c>
      <c r="AJ938" t="str">
        <f>MID('paste from garc here'!$C$3,1+(('table for research'!$B938-911)*36+HEX2DEC('table for research'!AJ$1))*2,2)</f>
        <v>00</v>
      </c>
      <c r="AK938" t="str">
        <f>MID('paste from garc here'!$C$3,1+(('table for research'!$B938-911)*36+HEX2DEC('table for research'!AK$1))*2,2)</f>
        <v>00</v>
      </c>
      <c r="AL938" t="str">
        <f>MID('paste from garc here'!$C$3,1+(('table for research'!$B938-911)*36+HEX2DEC('table for research'!AL$1))*2,2)</f>
        <v>00</v>
      </c>
      <c r="AM938" t="str">
        <f>MID('paste from garc here'!$C$3,1+(('table for research'!$B938-911)*36+HEX2DEC('table for research'!AM$1))*2,2)</f>
        <v>00</v>
      </c>
      <c r="AN938" t="str">
        <f>MID('paste from garc here'!$C$3,1+(('table for research'!$B938-911)*36+HEX2DEC('table for research'!AN$1))*2,2)</f>
        <v>00</v>
      </c>
      <c r="AO938" t="str">
        <f>MID('paste from garc here'!$C$3,1+(('table for research'!$B938-911)*36+HEX2DEC('table for research'!AO$1))*2,2)</f>
        <v>00</v>
      </c>
    </row>
    <row r="939" spans="1:41" x14ac:dyDescent="0.4">
      <c r="A939" t="s">
        <v>885</v>
      </c>
      <c r="B939">
        <f>B938+1</f>
        <v>937</v>
      </c>
      <c r="C939" t="str">
        <f>MID('paste from garc here'!$C$3,1+(('table for research'!$B939-911)*36+HEX2DEC('table for research'!C$1))*2,2)</f>
        <v>00</v>
      </c>
      <c r="D939" t="str">
        <f>MID('paste from garc here'!$C$3,1+(('table for research'!$B939-911)*36+HEX2DEC('table for research'!D$1))*2,2)</f>
        <v>00</v>
      </c>
      <c r="E939" t="str">
        <f>MID('paste from garc here'!$C$3,1+(('table for research'!$B939-911)*36+HEX2DEC('table for research'!E$1))*2,2)</f>
        <v>00</v>
      </c>
      <c r="F939" t="str">
        <f>MID('paste from garc here'!$C$3,1+(('table for research'!$B939-911)*36+HEX2DEC('table for research'!F$1))*2,2)</f>
        <v>00</v>
      </c>
      <c r="G939" t="str">
        <f>MID('paste from garc here'!$C$3,1+(('table for research'!$B939-911)*36+HEX2DEC('table for research'!G$1))*2,2)</f>
        <v>00</v>
      </c>
      <c r="H939" t="str">
        <f>MID('paste from garc here'!$C$3,1+(('table for research'!$B939-911)*36+HEX2DEC('table for research'!H$1))*2,2)</f>
        <v>00</v>
      </c>
      <c r="I939" t="str">
        <f>MID('paste from garc here'!$C$3,1+(('table for research'!$B939-911)*36+HEX2DEC('table for research'!I$1))*2,2)</f>
        <v>00</v>
      </c>
      <c r="J939" t="str">
        <f>MID('paste from garc here'!$C$3,1+(('table for research'!$B939-911)*36+HEX2DEC('table for research'!J$1))*2,2)</f>
        <v>00</v>
      </c>
      <c r="K939" t="str">
        <f>DEC2HEX(_xlfn.BITAND(HEX2DEC(MID('paste from garc here'!$C$1,1+(('table for research'!$B939-1)*36+HEX2DEC(8))*2,2)),31),2)</f>
        <v>00</v>
      </c>
      <c r="L939" t="str">
        <f>DEC2HEX(_xlfn.BITAND(HEX2DEC(MID('paste from garc here'!$C$1,1+(('table for research'!$B939-1)*36+HEX2DEC(8))*2,2)),32),2)</f>
        <v>00</v>
      </c>
      <c r="M939" t="str">
        <f>DEC2HEX(_xlfn.BITAND(HEX2DEC(MID('paste from garc here'!$C$1,1+(('table for research'!$B939-1)*36+HEX2DEC(8))*2,2)),64),2)</f>
        <v>00</v>
      </c>
      <c r="N939" t="str">
        <f>DEC2HEX(_xlfn.BITRSHIFT(_xlfn.BITAND(HEX2DEC(MID('paste from garc here'!$C$1,1+(('table for research'!$B939-1)*36+HEX2DEC(9))*2,2)&amp;MID('paste from garc here'!$C$1,1+(('table for research'!$B939-1)*36+HEX2DEC(8))*2,2)),1920),7),2)</f>
        <v>00</v>
      </c>
      <c r="O939" t="str">
        <f>DEC2HEX(_xlfn.BITRSHIFT(HEX2DEC(MID('paste from garc here'!$C$1,1+(('table for research'!$B939-1)*36+HEX2DEC(9))*2,2)&amp;MID('paste from garc here'!$C$1,1+(('table for research'!$B939-1)*36+HEX2DEC(8))*2,2)),11),2)</f>
        <v>00</v>
      </c>
      <c r="P939" t="str">
        <f>MID('paste from garc here'!$C$3,1+(('table for research'!$B939-911)*36+HEX2DEC('table for research'!P$1))*2,2)</f>
        <v>00</v>
      </c>
      <c r="Q939" t="str">
        <f>MID('paste from garc here'!$C$3,1+(('table for research'!$B939-911)*36+HEX2DEC('table for research'!Q$1))*2,2)</f>
        <v>00</v>
      </c>
      <c r="R939" t="str">
        <f>MID('paste from garc here'!$C$3,1+(('table for research'!$B939-911)*36+HEX2DEC('table for research'!R$1))*2,2)</f>
        <v>00</v>
      </c>
      <c r="S939" t="str">
        <f>MID('paste from garc here'!$C$3,1+(('table for research'!$B939-911)*36+HEX2DEC('table for research'!S$1))*2,2)</f>
        <v>08</v>
      </c>
      <c r="T939" t="str">
        <f>MID('paste from garc here'!$C$3,1+(('table for research'!$B939-911)*36+HEX2DEC('table for research'!T$1))*2,2)</f>
        <v>00</v>
      </c>
      <c r="U939" t="str">
        <f>MID('paste from garc here'!$C$3,1+(('table for research'!$B939-911)*36+HEX2DEC('table for research'!U$1))*2,2)</f>
        <v>0E</v>
      </c>
      <c r="V939" t="str">
        <f>MID('paste from garc here'!$C$3,1+(('table for research'!$B939-911)*36+HEX2DEC('table for research'!V$1))*2,2)</f>
        <v>00</v>
      </c>
      <c r="W939" t="str">
        <f>MID('paste from garc here'!$C$3,1+(('table for research'!$B939-911)*36+HEX2DEC('table for research'!W$1))*2,2)</f>
        <v>00</v>
      </c>
      <c r="X939" t="str">
        <f>MID('paste from garc here'!$C$3,1+(('table for research'!$B939-911)*36+HEX2DEC('table for research'!X$1))*2,2)</f>
        <v>00</v>
      </c>
      <c r="Y939" t="str">
        <f>MID('paste from garc here'!$C$3,1+(('table for research'!$B939-911)*36+HEX2DEC('table for research'!Y$1))*2,2)</f>
        <v>00</v>
      </c>
      <c r="Z939" t="str">
        <f>MID('paste from garc here'!$C$3,1+(('table for research'!$B939-911)*36+HEX2DEC('table for research'!Z$1))*2,2)</f>
        <v>00</v>
      </c>
      <c r="AA939" t="str">
        <f>MID('paste from garc here'!$C$3,1+(('table for research'!$B939-911)*36+HEX2DEC('table for research'!AA$1))*2,2)</f>
        <v>00</v>
      </c>
      <c r="AB939" t="str">
        <f>MID('paste from garc here'!$C$3,1+(('table for research'!$B939-911)*36+HEX2DEC('table for research'!AB$1))*2,2)</f>
        <v>00</v>
      </c>
      <c r="AC939" t="str">
        <f>MID('paste from garc here'!$C$3,1+(('table for research'!$B939-911)*36+HEX2DEC('table for research'!AC$1))*2,2)</f>
        <v>00</v>
      </c>
      <c r="AD939" t="str">
        <f>MID('paste from garc here'!$C$3,1+(('table for research'!$B939-911)*36+HEX2DEC('table for research'!AD$1))*2,2)</f>
        <v>00</v>
      </c>
      <c r="AE939" t="str">
        <f>MID('paste from garc here'!$C$3,1+(('table for research'!$B939-911)*36+HEX2DEC('table for research'!AE$1))*2,2)</f>
        <v>00</v>
      </c>
      <c r="AF939" t="str">
        <f>MID('paste from garc here'!$C$3,1+(('table for research'!$B939-911)*36+HEX2DEC('table for research'!AF$1))*2,2)</f>
        <v>00</v>
      </c>
      <c r="AG939" t="str">
        <f>MID('paste from garc here'!$C$3,1+(('table for research'!$B939-911)*36+HEX2DEC('table for research'!AG$1))*2,2)</f>
        <v>00</v>
      </c>
      <c r="AH939" t="str">
        <f>MID('paste from garc here'!$C$3,1+(('table for research'!$B939-911)*36+HEX2DEC('table for research'!AH$1))*2,2)</f>
        <v>00</v>
      </c>
      <c r="AI939" t="str">
        <f>MID('paste from garc here'!$C$3,1+(('table for research'!$B939-911)*36+HEX2DEC('table for research'!AI$1))*2,2)</f>
        <v>00</v>
      </c>
      <c r="AJ939" t="str">
        <f>MID('paste from garc here'!$C$3,1+(('table for research'!$B939-911)*36+HEX2DEC('table for research'!AJ$1))*2,2)</f>
        <v>00</v>
      </c>
      <c r="AK939" t="str">
        <f>MID('paste from garc here'!$C$3,1+(('table for research'!$B939-911)*36+HEX2DEC('table for research'!AK$1))*2,2)</f>
        <v>00</v>
      </c>
      <c r="AL939" t="str">
        <f>MID('paste from garc here'!$C$3,1+(('table for research'!$B939-911)*36+HEX2DEC('table for research'!AL$1))*2,2)</f>
        <v>00</v>
      </c>
      <c r="AM939" t="str">
        <f>MID('paste from garc here'!$C$3,1+(('table for research'!$B939-911)*36+HEX2DEC('table for research'!AM$1))*2,2)</f>
        <v>00</v>
      </c>
      <c r="AN939" t="str">
        <f>MID('paste from garc here'!$C$3,1+(('table for research'!$B939-911)*36+HEX2DEC('table for research'!AN$1))*2,2)</f>
        <v>00</v>
      </c>
      <c r="AO939" t="str">
        <f>MID('paste from garc here'!$C$3,1+(('table for research'!$B939-911)*36+HEX2DEC('table for research'!AO$1))*2,2)</f>
        <v>00</v>
      </c>
    </row>
    <row r="940" spans="1:41" x14ac:dyDescent="0.4">
      <c r="A940" t="s">
        <v>886</v>
      </c>
      <c r="B940">
        <f>B939+1</f>
        <v>938</v>
      </c>
      <c r="C940" t="str">
        <f>MID('paste from garc here'!$C$3,1+(('table for research'!$B940-911)*36+HEX2DEC('table for research'!C$1))*2,2)</f>
        <v>00</v>
      </c>
      <c r="D940" t="str">
        <f>MID('paste from garc here'!$C$3,1+(('table for research'!$B940-911)*36+HEX2DEC('table for research'!D$1))*2,2)</f>
        <v>00</v>
      </c>
      <c r="E940" t="str">
        <f>MID('paste from garc here'!$C$3,1+(('table for research'!$B940-911)*36+HEX2DEC('table for research'!E$1))*2,2)</f>
        <v>00</v>
      </c>
      <c r="F940" t="str">
        <f>MID('paste from garc here'!$C$3,1+(('table for research'!$B940-911)*36+HEX2DEC('table for research'!F$1))*2,2)</f>
        <v>00</v>
      </c>
      <c r="G940" t="str">
        <f>MID('paste from garc here'!$C$3,1+(('table for research'!$B940-911)*36+HEX2DEC('table for research'!G$1))*2,2)</f>
        <v>00</v>
      </c>
      <c r="H940" t="str">
        <f>MID('paste from garc here'!$C$3,1+(('table for research'!$B940-911)*36+HEX2DEC('table for research'!H$1))*2,2)</f>
        <v>00</v>
      </c>
      <c r="I940" t="str">
        <f>MID('paste from garc here'!$C$3,1+(('table for research'!$B940-911)*36+HEX2DEC('table for research'!I$1))*2,2)</f>
        <v>00</v>
      </c>
      <c r="J940" t="str">
        <f>MID('paste from garc here'!$C$3,1+(('table for research'!$B940-911)*36+HEX2DEC('table for research'!J$1))*2,2)</f>
        <v>00</v>
      </c>
      <c r="K940" t="str">
        <f>DEC2HEX(_xlfn.BITAND(HEX2DEC(MID('paste from garc here'!$C$1,1+(('table for research'!$B940-1)*36+HEX2DEC(8))*2,2)),31),2)</f>
        <v>00</v>
      </c>
      <c r="L940" t="str">
        <f>DEC2HEX(_xlfn.BITAND(HEX2DEC(MID('paste from garc here'!$C$1,1+(('table for research'!$B940-1)*36+HEX2DEC(8))*2,2)),32),2)</f>
        <v>00</v>
      </c>
      <c r="M940" t="str">
        <f>DEC2HEX(_xlfn.BITAND(HEX2DEC(MID('paste from garc here'!$C$1,1+(('table for research'!$B940-1)*36+HEX2DEC(8))*2,2)),64),2)</f>
        <v>00</v>
      </c>
      <c r="N940" t="str">
        <f>DEC2HEX(_xlfn.BITRSHIFT(_xlfn.BITAND(HEX2DEC(MID('paste from garc here'!$C$1,1+(('table for research'!$B940-1)*36+HEX2DEC(9))*2,2)&amp;MID('paste from garc here'!$C$1,1+(('table for research'!$B940-1)*36+HEX2DEC(8))*2,2)),1920),7),2)</f>
        <v>00</v>
      </c>
      <c r="O940" t="str">
        <f>DEC2HEX(_xlfn.BITRSHIFT(HEX2DEC(MID('paste from garc here'!$C$1,1+(('table for research'!$B940-1)*36+HEX2DEC(9))*2,2)&amp;MID('paste from garc here'!$C$1,1+(('table for research'!$B940-1)*36+HEX2DEC(8))*2,2)),11),2)</f>
        <v>00</v>
      </c>
      <c r="P940" t="str">
        <f>MID('paste from garc here'!$C$3,1+(('table for research'!$B940-911)*36+HEX2DEC('table for research'!P$1))*2,2)</f>
        <v>00</v>
      </c>
      <c r="Q940" t="str">
        <f>MID('paste from garc here'!$C$3,1+(('table for research'!$B940-911)*36+HEX2DEC('table for research'!Q$1))*2,2)</f>
        <v>00</v>
      </c>
      <c r="R940" t="str">
        <f>MID('paste from garc here'!$C$3,1+(('table for research'!$B940-911)*36+HEX2DEC('table for research'!R$1))*2,2)</f>
        <v>00</v>
      </c>
      <c r="S940" t="str">
        <f>MID('paste from garc here'!$C$3,1+(('table for research'!$B940-911)*36+HEX2DEC('table for research'!S$1))*2,2)</f>
        <v>08</v>
      </c>
      <c r="T940" t="str">
        <f>MID('paste from garc here'!$C$3,1+(('table for research'!$B940-911)*36+HEX2DEC('table for research'!T$1))*2,2)</f>
        <v>00</v>
      </c>
      <c r="U940" t="str">
        <f>MID('paste from garc here'!$C$3,1+(('table for research'!$B940-911)*36+HEX2DEC('table for research'!U$1))*2,2)</f>
        <v>0F</v>
      </c>
      <c r="V940" t="str">
        <f>MID('paste from garc here'!$C$3,1+(('table for research'!$B940-911)*36+HEX2DEC('table for research'!V$1))*2,2)</f>
        <v>00</v>
      </c>
      <c r="W940" t="str">
        <f>MID('paste from garc here'!$C$3,1+(('table for research'!$B940-911)*36+HEX2DEC('table for research'!W$1))*2,2)</f>
        <v>00</v>
      </c>
      <c r="X940" t="str">
        <f>MID('paste from garc here'!$C$3,1+(('table for research'!$B940-911)*36+HEX2DEC('table for research'!X$1))*2,2)</f>
        <v>00</v>
      </c>
      <c r="Y940" t="str">
        <f>MID('paste from garc here'!$C$3,1+(('table for research'!$B940-911)*36+HEX2DEC('table for research'!Y$1))*2,2)</f>
        <v>00</v>
      </c>
      <c r="Z940" t="str">
        <f>MID('paste from garc here'!$C$3,1+(('table for research'!$B940-911)*36+HEX2DEC('table for research'!Z$1))*2,2)</f>
        <v>00</v>
      </c>
      <c r="AA940" t="str">
        <f>MID('paste from garc here'!$C$3,1+(('table for research'!$B940-911)*36+HEX2DEC('table for research'!AA$1))*2,2)</f>
        <v>00</v>
      </c>
      <c r="AB940" t="str">
        <f>MID('paste from garc here'!$C$3,1+(('table for research'!$B940-911)*36+HEX2DEC('table for research'!AB$1))*2,2)</f>
        <v>00</v>
      </c>
      <c r="AC940" t="str">
        <f>MID('paste from garc here'!$C$3,1+(('table for research'!$B940-911)*36+HEX2DEC('table for research'!AC$1))*2,2)</f>
        <v>00</v>
      </c>
      <c r="AD940" t="str">
        <f>MID('paste from garc here'!$C$3,1+(('table for research'!$B940-911)*36+HEX2DEC('table for research'!AD$1))*2,2)</f>
        <v>00</v>
      </c>
      <c r="AE940" t="str">
        <f>MID('paste from garc here'!$C$3,1+(('table for research'!$B940-911)*36+HEX2DEC('table for research'!AE$1))*2,2)</f>
        <v>00</v>
      </c>
      <c r="AF940" t="str">
        <f>MID('paste from garc here'!$C$3,1+(('table for research'!$B940-911)*36+HEX2DEC('table for research'!AF$1))*2,2)</f>
        <v>00</v>
      </c>
      <c r="AG940" t="str">
        <f>MID('paste from garc here'!$C$3,1+(('table for research'!$B940-911)*36+HEX2DEC('table for research'!AG$1))*2,2)</f>
        <v>00</v>
      </c>
      <c r="AH940" t="str">
        <f>MID('paste from garc here'!$C$3,1+(('table for research'!$B940-911)*36+HEX2DEC('table for research'!AH$1))*2,2)</f>
        <v>00</v>
      </c>
      <c r="AI940" t="str">
        <f>MID('paste from garc here'!$C$3,1+(('table for research'!$B940-911)*36+HEX2DEC('table for research'!AI$1))*2,2)</f>
        <v>00</v>
      </c>
      <c r="AJ940" t="str">
        <f>MID('paste from garc here'!$C$3,1+(('table for research'!$B940-911)*36+HEX2DEC('table for research'!AJ$1))*2,2)</f>
        <v>00</v>
      </c>
      <c r="AK940" t="str">
        <f>MID('paste from garc here'!$C$3,1+(('table for research'!$B940-911)*36+HEX2DEC('table for research'!AK$1))*2,2)</f>
        <v>00</v>
      </c>
      <c r="AL940" t="str">
        <f>MID('paste from garc here'!$C$3,1+(('table for research'!$B940-911)*36+HEX2DEC('table for research'!AL$1))*2,2)</f>
        <v>00</v>
      </c>
      <c r="AM940" t="str">
        <f>MID('paste from garc here'!$C$3,1+(('table for research'!$B940-911)*36+HEX2DEC('table for research'!AM$1))*2,2)</f>
        <v>00</v>
      </c>
      <c r="AN940" t="str">
        <f>MID('paste from garc here'!$C$3,1+(('table for research'!$B940-911)*36+HEX2DEC('table for research'!AN$1))*2,2)</f>
        <v>00</v>
      </c>
      <c r="AO940" t="str">
        <f>MID('paste from garc here'!$C$3,1+(('table for research'!$B940-911)*36+HEX2DEC('table for research'!AO$1))*2,2)</f>
        <v>00</v>
      </c>
    </row>
    <row r="941" spans="1:41" x14ac:dyDescent="0.4">
      <c r="A941" t="s">
        <v>887</v>
      </c>
      <c r="B941">
        <f>B940+1</f>
        <v>939</v>
      </c>
      <c r="C941" t="str">
        <f>MID('paste from garc here'!$C$3,1+(('table for research'!$B941-911)*36+HEX2DEC('table for research'!C$1))*2,2)</f>
        <v>00</v>
      </c>
      <c r="D941" t="str">
        <f>MID('paste from garc here'!$C$3,1+(('table for research'!$B941-911)*36+HEX2DEC('table for research'!D$1))*2,2)</f>
        <v>00</v>
      </c>
      <c r="E941" t="str">
        <f>MID('paste from garc here'!$C$3,1+(('table for research'!$B941-911)*36+HEX2DEC('table for research'!E$1))*2,2)</f>
        <v>00</v>
      </c>
      <c r="F941" t="str">
        <f>MID('paste from garc here'!$C$3,1+(('table for research'!$B941-911)*36+HEX2DEC('table for research'!F$1))*2,2)</f>
        <v>00</v>
      </c>
      <c r="G941" t="str">
        <f>MID('paste from garc here'!$C$3,1+(('table for research'!$B941-911)*36+HEX2DEC('table for research'!G$1))*2,2)</f>
        <v>00</v>
      </c>
      <c r="H941" t="str">
        <f>MID('paste from garc here'!$C$3,1+(('table for research'!$B941-911)*36+HEX2DEC('table for research'!H$1))*2,2)</f>
        <v>00</v>
      </c>
      <c r="I941" t="str">
        <f>MID('paste from garc here'!$C$3,1+(('table for research'!$B941-911)*36+HEX2DEC('table for research'!I$1))*2,2)</f>
        <v>00</v>
      </c>
      <c r="J941" t="str">
        <f>MID('paste from garc here'!$C$3,1+(('table for research'!$B941-911)*36+HEX2DEC('table for research'!J$1))*2,2)</f>
        <v>00</v>
      </c>
      <c r="K941" t="str">
        <f>DEC2HEX(_xlfn.BITAND(HEX2DEC(MID('paste from garc here'!$C$1,1+(('table for research'!$B941-1)*36+HEX2DEC(8))*2,2)),31),2)</f>
        <v>00</v>
      </c>
      <c r="L941" t="str">
        <f>DEC2HEX(_xlfn.BITAND(HEX2DEC(MID('paste from garc here'!$C$1,1+(('table for research'!$B941-1)*36+HEX2DEC(8))*2,2)),32),2)</f>
        <v>00</v>
      </c>
      <c r="M941" t="str">
        <f>DEC2HEX(_xlfn.BITAND(HEX2DEC(MID('paste from garc here'!$C$1,1+(('table for research'!$B941-1)*36+HEX2DEC(8))*2,2)),64),2)</f>
        <v>00</v>
      </c>
      <c r="N941" t="str">
        <f>DEC2HEX(_xlfn.BITRSHIFT(_xlfn.BITAND(HEX2DEC(MID('paste from garc here'!$C$1,1+(('table for research'!$B941-1)*36+HEX2DEC(9))*2,2)&amp;MID('paste from garc here'!$C$1,1+(('table for research'!$B941-1)*36+HEX2DEC(8))*2,2)),1920),7),2)</f>
        <v>00</v>
      </c>
      <c r="O941" t="str">
        <f>DEC2HEX(_xlfn.BITRSHIFT(HEX2DEC(MID('paste from garc here'!$C$1,1+(('table for research'!$B941-1)*36+HEX2DEC(9))*2,2)&amp;MID('paste from garc here'!$C$1,1+(('table for research'!$B941-1)*36+HEX2DEC(8))*2,2)),11),2)</f>
        <v>00</v>
      </c>
      <c r="P941" t="str">
        <f>MID('paste from garc here'!$C$3,1+(('table for research'!$B941-911)*36+HEX2DEC('table for research'!P$1))*2,2)</f>
        <v>00</v>
      </c>
      <c r="Q941" t="str">
        <f>MID('paste from garc here'!$C$3,1+(('table for research'!$B941-911)*36+HEX2DEC('table for research'!Q$1))*2,2)</f>
        <v>00</v>
      </c>
      <c r="R941" t="str">
        <f>MID('paste from garc here'!$C$3,1+(('table for research'!$B941-911)*36+HEX2DEC('table for research'!R$1))*2,2)</f>
        <v>00</v>
      </c>
      <c r="S941" t="str">
        <f>MID('paste from garc here'!$C$3,1+(('table for research'!$B941-911)*36+HEX2DEC('table for research'!S$1))*2,2)</f>
        <v>08</v>
      </c>
      <c r="T941" t="str">
        <f>MID('paste from garc here'!$C$3,1+(('table for research'!$B941-911)*36+HEX2DEC('table for research'!T$1))*2,2)</f>
        <v>00</v>
      </c>
      <c r="U941" t="str">
        <f>MID('paste from garc here'!$C$3,1+(('table for research'!$B941-911)*36+HEX2DEC('table for research'!U$1))*2,2)</f>
        <v>10</v>
      </c>
      <c r="V941" t="str">
        <f>MID('paste from garc here'!$C$3,1+(('table for research'!$B941-911)*36+HEX2DEC('table for research'!V$1))*2,2)</f>
        <v>00</v>
      </c>
      <c r="W941" t="str">
        <f>MID('paste from garc here'!$C$3,1+(('table for research'!$B941-911)*36+HEX2DEC('table for research'!W$1))*2,2)</f>
        <v>00</v>
      </c>
      <c r="X941" t="str">
        <f>MID('paste from garc here'!$C$3,1+(('table for research'!$B941-911)*36+HEX2DEC('table for research'!X$1))*2,2)</f>
        <v>00</v>
      </c>
      <c r="Y941" t="str">
        <f>MID('paste from garc here'!$C$3,1+(('table for research'!$B941-911)*36+HEX2DEC('table for research'!Y$1))*2,2)</f>
        <v>00</v>
      </c>
      <c r="Z941" t="str">
        <f>MID('paste from garc here'!$C$3,1+(('table for research'!$B941-911)*36+HEX2DEC('table for research'!Z$1))*2,2)</f>
        <v>00</v>
      </c>
      <c r="AA941" t="str">
        <f>MID('paste from garc here'!$C$3,1+(('table for research'!$B941-911)*36+HEX2DEC('table for research'!AA$1))*2,2)</f>
        <v>00</v>
      </c>
      <c r="AB941" t="str">
        <f>MID('paste from garc here'!$C$3,1+(('table for research'!$B941-911)*36+HEX2DEC('table for research'!AB$1))*2,2)</f>
        <v>00</v>
      </c>
      <c r="AC941" t="str">
        <f>MID('paste from garc here'!$C$3,1+(('table for research'!$B941-911)*36+HEX2DEC('table for research'!AC$1))*2,2)</f>
        <v>00</v>
      </c>
      <c r="AD941" t="str">
        <f>MID('paste from garc here'!$C$3,1+(('table for research'!$B941-911)*36+HEX2DEC('table for research'!AD$1))*2,2)</f>
        <v>00</v>
      </c>
      <c r="AE941" t="str">
        <f>MID('paste from garc here'!$C$3,1+(('table for research'!$B941-911)*36+HEX2DEC('table for research'!AE$1))*2,2)</f>
        <v>00</v>
      </c>
      <c r="AF941" t="str">
        <f>MID('paste from garc here'!$C$3,1+(('table for research'!$B941-911)*36+HEX2DEC('table for research'!AF$1))*2,2)</f>
        <v>00</v>
      </c>
      <c r="AG941" t="str">
        <f>MID('paste from garc here'!$C$3,1+(('table for research'!$B941-911)*36+HEX2DEC('table for research'!AG$1))*2,2)</f>
        <v>00</v>
      </c>
      <c r="AH941" t="str">
        <f>MID('paste from garc here'!$C$3,1+(('table for research'!$B941-911)*36+HEX2DEC('table for research'!AH$1))*2,2)</f>
        <v>00</v>
      </c>
      <c r="AI941" t="str">
        <f>MID('paste from garc here'!$C$3,1+(('table for research'!$B941-911)*36+HEX2DEC('table for research'!AI$1))*2,2)</f>
        <v>00</v>
      </c>
      <c r="AJ941" t="str">
        <f>MID('paste from garc here'!$C$3,1+(('table for research'!$B941-911)*36+HEX2DEC('table for research'!AJ$1))*2,2)</f>
        <v>00</v>
      </c>
      <c r="AK941" t="str">
        <f>MID('paste from garc here'!$C$3,1+(('table for research'!$B941-911)*36+HEX2DEC('table for research'!AK$1))*2,2)</f>
        <v>00</v>
      </c>
      <c r="AL941" t="str">
        <f>MID('paste from garc here'!$C$3,1+(('table for research'!$B941-911)*36+HEX2DEC('table for research'!AL$1))*2,2)</f>
        <v>00</v>
      </c>
      <c r="AM941" t="str">
        <f>MID('paste from garc here'!$C$3,1+(('table for research'!$B941-911)*36+HEX2DEC('table for research'!AM$1))*2,2)</f>
        <v>00</v>
      </c>
      <c r="AN941" t="str">
        <f>MID('paste from garc here'!$C$3,1+(('table for research'!$B941-911)*36+HEX2DEC('table for research'!AN$1))*2,2)</f>
        <v>00</v>
      </c>
      <c r="AO941" t="str">
        <f>MID('paste from garc here'!$C$3,1+(('table for research'!$B941-911)*36+HEX2DEC('table for research'!AO$1))*2,2)</f>
        <v>00</v>
      </c>
    </row>
    <row r="942" spans="1:41" x14ac:dyDescent="0.4">
      <c r="A942" t="s">
        <v>888</v>
      </c>
      <c r="B942">
        <f>B941+1</f>
        <v>940</v>
      </c>
      <c r="C942" t="str">
        <f>MID('paste from garc here'!$C$3,1+(('table for research'!$B942-911)*36+HEX2DEC('table for research'!C$1))*2,2)</f>
        <v>00</v>
      </c>
      <c r="D942" t="str">
        <f>MID('paste from garc here'!$C$3,1+(('table for research'!$B942-911)*36+HEX2DEC('table for research'!D$1))*2,2)</f>
        <v>00</v>
      </c>
      <c r="E942" t="str">
        <f>MID('paste from garc here'!$C$3,1+(('table for research'!$B942-911)*36+HEX2DEC('table for research'!E$1))*2,2)</f>
        <v>00</v>
      </c>
      <c r="F942" t="str">
        <f>MID('paste from garc here'!$C$3,1+(('table for research'!$B942-911)*36+HEX2DEC('table for research'!F$1))*2,2)</f>
        <v>00</v>
      </c>
      <c r="G942" t="str">
        <f>MID('paste from garc here'!$C$3,1+(('table for research'!$B942-911)*36+HEX2DEC('table for research'!G$1))*2,2)</f>
        <v>00</v>
      </c>
      <c r="H942" t="str">
        <f>MID('paste from garc here'!$C$3,1+(('table for research'!$B942-911)*36+HEX2DEC('table for research'!H$1))*2,2)</f>
        <v>00</v>
      </c>
      <c r="I942" t="str">
        <f>MID('paste from garc here'!$C$3,1+(('table for research'!$B942-911)*36+HEX2DEC('table for research'!I$1))*2,2)</f>
        <v>00</v>
      </c>
      <c r="J942" t="str">
        <f>MID('paste from garc here'!$C$3,1+(('table for research'!$B942-911)*36+HEX2DEC('table for research'!J$1))*2,2)</f>
        <v>00</v>
      </c>
      <c r="K942" t="str">
        <f>DEC2HEX(_xlfn.BITAND(HEX2DEC(MID('paste from garc here'!$C$1,1+(('table for research'!$B942-1)*36+HEX2DEC(8))*2,2)),31),2)</f>
        <v>00</v>
      </c>
      <c r="L942" t="str">
        <f>DEC2HEX(_xlfn.BITAND(HEX2DEC(MID('paste from garc here'!$C$1,1+(('table for research'!$B942-1)*36+HEX2DEC(8))*2,2)),32),2)</f>
        <v>00</v>
      </c>
      <c r="M942" t="str">
        <f>DEC2HEX(_xlfn.BITAND(HEX2DEC(MID('paste from garc here'!$C$1,1+(('table for research'!$B942-1)*36+HEX2DEC(8))*2,2)),64),2)</f>
        <v>00</v>
      </c>
      <c r="N942" t="str">
        <f>DEC2HEX(_xlfn.BITRSHIFT(_xlfn.BITAND(HEX2DEC(MID('paste from garc here'!$C$1,1+(('table for research'!$B942-1)*36+HEX2DEC(9))*2,2)&amp;MID('paste from garc here'!$C$1,1+(('table for research'!$B942-1)*36+HEX2DEC(8))*2,2)),1920),7),2)</f>
        <v>00</v>
      </c>
      <c r="O942" t="str">
        <f>DEC2HEX(_xlfn.BITRSHIFT(HEX2DEC(MID('paste from garc here'!$C$1,1+(('table for research'!$B942-1)*36+HEX2DEC(9))*2,2)&amp;MID('paste from garc here'!$C$1,1+(('table for research'!$B942-1)*36+HEX2DEC(8))*2,2)),11),2)</f>
        <v>00</v>
      </c>
      <c r="P942" t="str">
        <f>MID('paste from garc here'!$C$3,1+(('table for research'!$B942-911)*36+HEX2DEC('table for research'!P$1))*2,2)</f>
        <v>00</v>
      </c>
      <c r="Q942" t="str">
        <f>MID('paste from garc here'!$C$3,1+(('table for research'!$B942-911)*36+HEX2DEC('table for research'!Q$1))*2,2)</f>
        <v>00</v>
      </c>
      <c r="R942" t="str">
        <f>MID('paste from garc here'!$C$3,1+(('table for research'!$B942-911)*36+HEX2DEC('table for research'!R$1))*2,2)</f>
        <v>00</v>
      </c>
      <c r="S942" t="str">
        <f>MID('paste from garc here'!$C$3,1+(('table for research'!$B942-911)*36+HEX2DEC('table for research'!S$1))*2,2)</f>
        <v>08</v>
      </c>
      <c r="T942" t="str">
        <f>MID('paste from garc here'!$C$3,1+(('table for research'!$B942-911)*36+HEX2DEC('table for research'!T$1))*2,2)</f>
        <v>00</v>
      </c>
      <c r="U942" t="str">
        <f>MID('paste from garc here'!$C$3,1+(('table for research'!$B942-911)*36+HEX2DEC('table for research'!U$1))*2,2)</f>
        <v>11</v>
      </c>
      <c r="V942" t="str">
        <f>MID('paste from garc here'!$C$3,1+(('table for research'!$B942-911)*36+HEX2DEC('table for research'!V$1))*2,2)</f>
        <v>00</v>
      </c>
      <c r="W942" t="str">
        <f>MID('paste from garc here'!$C$3,1+(('table for research'!$B942-911)*36+HEX2DEC('table for research'!W$1))*2,2)</f>
        <v>00</v>
      </c>
      <c r="X942" t="str">
        <f>MID('paste from garc here'!$C$3,1+(('table for research'!$B942-911)*36+HEX2DEC('table for research'!X$1))*2,2)</f>
        <v>00</v>
      </c>
      <c r="Y942" t="str">
        <f>MID('paste from garc here'!$C$3,1+(('table for research'!$B942-911)*36+HEX2DEC('table for research'!Y$1))*2,2)</f>
        <v>00</v>
      </c>
      <c r="Z942" t="str">
        <f>MID('paste from garc here'!$C$3,1+(('table for research'!$B942-911)*36+HEX2DEC('table for research'!Z$1))*2,2)</f>
        <v>00</v>
      </c>
      <c r="AA942" t="str">
        <f>MID('paste from garc here'!$C$3,1+(('table for research'!$B942-911)*36+HEX2DEC('table for research'!AA$1))*2,2)</f>
        <v>00</v>
      </c>
      <c r="AB942" t="str">
        <f>MID('paste from garc here'!$C$3,1+(('table for research'!$B942-911)*36+HEX2DEC('table for research'!AB$1))*2,2)</f>
        <v>00</v>
      </c>
      <c r="AC942" t="str">
        <f>MID('paste from garc here'!$C$3,1+(('table for research'!$B942-911)*36+HEX2DEC('table for research'!AC$1))*2,2)</f>
        <v>00</v>
      </c>
      <c r="AD942" t="str">
        <f>MID('paste from garc here'!$C$3,1+(('table for research'!$B942-911)*36+HEX2DEC('table for research'!AD$1))*2,2)</f>
        <v>00</v>
      </c>
      <c r="AE942" t="str">
        <f>MID('paste from garc here'!$C$3,1+(('table for research'!$B942-911)*36+HEX2DEC('table for research'!AE$1))*2,2)</f>
        <v>00</v>
      </c>
      <c r="AF942" t="str">
        <f>MID('paste from garc here'!$C$3,1+(('table for research'!$B942-911)*36+HEX2DEC('table for research'!AF$1))*2,2)</f>
        <v>00</v>
      </c>
      <c r="AG942" t="str">
        <f>MID('paste from garc here'!$C$3,1+(('table for research'!$B942-911)*36+HEX2DEC('table for research'!AG$1))*2,2)</f>
        <v>00</v>
      </c>
      <c r="AH942" t="str">
        <f>MID('paste from garc here'!$C$3,1+(('table for research'!$B942-911)*36+HEX2DEC('table for research'!AH$1))*2,2)</f>
        <v>00</v>
      </c>
      <c r="AI942" t="str">
        <f>MID('paste from garc here'!$C$3,1+(('table for research'!$B942-911)*36+HEX2DEC('table for research'!AI$1))*2,2)</f>
        <v>00</v>
      </c>
      <c r="AJ942" t="str">
        <f>MID('paste from garc here'!$C$3,1+(('table for research'!$B942-911)*36+HEX2DEC('table for research'!AJ$1))*2,2)</f>
        <v>00</v>
      </c>
      <c r="AK942" t="str">
        <f>MID('paste from garc here'!$C$3,1+(('table for research'!$B942-911)*36+HEX2DEC('table for research'!AK$1))*2,2)</f>
        <v>00</v>
      </c>
      <c r="AL942" t="str">
        <f>MID('paste from garc here'!$C$3,1+(('table for research'!$B942-911)*36+HEX2DEC('table for research'!AL$1))*2,2)</f>
        <v>00</v>
      </c>
      <c r="AM942" t="str">
        <f>MID('paste from garc here'!$C$3,1+(('table for research'!$B942-911)*36+HEX2DEC('table for research'!AM$1))*2,2)</f>
        <v>00</v>
      </c>
      <c r="AN942" t="str">
        <f>MID('paste from garc here'!$C$3,1+(('table for research'!$B942-911)*36+HEX2DEC('table for research'!AN$1))*2,2)</f>
        <v>00</v>
      </c>
      <c r="AO942" t="str">
        <f>MID('paste from garc here'!$C$3,1+(('table for research'!$B942-911)*36+HEX2DEC('table for research'!AO$1))*2,2)</f>
        <v>00</v>
      </c>
    </row>
    <row r="943" spans="1:41" x14ac:dyDescent="0.4">
      <c r="A943" t="s">
        <v>889</v>
      </c>
      <c r="B943">
        <f>B942+1</f>
        <v>941</v>
      </c>
      <c r="C943" t="str">
        <f>MID('paste from garc here'!$C$3,1+(('table for research'!$B943-911)*36+HEX2DEC('table for research'!C$1))*2,2)</f>
        <v>00</v>
      </c>
      <c r="D943" t="str">
        <f>MID('paste from garc here'!$C$3,1+(('table for research'!$B943-911)*36+HEX2DEC('table for research'!D$1))*2,2)</f>
        <v>00</v>
      </c>
      <c r="E943" t="str">
        <f>MID('paste from garc here'!$C$3,1+(('table for research'!$B943-911)*36+HEX2DEC('table for research'!E$1))*2,2)</f>
        <v>00</v>
      </c>
      <c r="F943" t="str">
        <f>MID('paste from garc here'!$C$3,1+(('table for research'!$B943-911)*36+HEX2DEC('table for research'!F$1))*2,2)</f>
        <v>00</v>
      </c>
      <c r="G943" t="str">
        <f>MID('paste from garc here'!$C$3,1+(('table for research'!$B943-911)*36+HEX2DEC('table for research'!G$1))*2,2)</f>
        <v>00</v>
      </c>
      <c r="H943" t="str">
        <f>MID('paste from garc here'!$C$3,1+(('table for research'!$B943-911)*36+HEX2DEC('table for research'!H$1))*2,2)</f>
        <v>00</v>
      </c>
      <c r="I943" t="str">
        <f>MID('paste from garc here'!$C$3,1+(('table for research'!$B943-911)*36+HEX2DEC('table for research'!I$1))*2,2)</f>
        <v>00</v>
      </c>
      <c r="J943" t="str">
        <f>MID('paste from garc here'!$C$3,1+(('table for research'!$B943-911)*36+HEX2DEC('table for research'!J$1))*2,2)</f>
        <v>00</v>
      </c>
      <c r="K943" t="str">
        <f>DEC2HEX(_xlfn.BITAND(HEX2DEC(MID('paste from garc here'!$C$1,1+(('table for research'!$B943-1)*36+HEX2DEC(8))*2,2)),31),2)</f>
        <v>00</v>
      </c>
      <c r="L943" t="str">
        <f>DEC2HEX(_xlfn.BITAND(HEX2DEC(MID('paste from garc here'!$C$1,1+(('table for research'!$B943-1)*36+HEX2DEC(8))*2,2)),32),2)</f>
        <v>00</v>
      </c>
      <c r="M943" t="str">
        <f>DEC2HEX(_xlfn.BITAND(HEX2DEC(MID('paste from garc here'!$C$1,1+(('table for research'!$B943-1)*36+HEX2DEC(8))*2,2)),64),2)</f>
        <v>00</v>
      </c>
      <c r="N943" t="str">
        <f>DEC2HEX(_xlfn.BITRSHIFT(_xlfn.BITAND(HEX2DEC(MID('paste from garc here'!$C$1,1+(('table for research'!$B943-1)*36+HEX2DEC(9))*2,2)&amp;MID('paste from garc here'!$C$1,1+(('table for research'!$B943-1)*36+HEX2DEC(8))*2,2)),1920),7),2)</f>
        <v>00</v>
      </c>
      <c r="O943" t="str">
        <f>DEC2HEX(_xlfn.BITRSHIFT(HEX2DEC(MID('paste from garc here'!$C$1,1+(('table for research'!$B943-1)*36+HEX2DEC(9))*2,2)&amp;MID('paste from garc here'!$C$1,1+(('table for research'!$B943-1)*36+HEX2DEC(8))*2,2)),11),2)</f>
        <v>00</v>
      </c>
      <c r="P943" t="str">
        <f>MID('paste from garc here'!$C$3,1+(('table for research'!$B943-911)*36+HEX2DEC('table for research'!P$1))*2,2)</f>
        <v>00</v>
      </c>
      <c r="Q943" t="str">
        <f>MID('paste from garc here'!$C$3,1+(('table for research'!$B943-911)*36+HEX2DEC('table for research'!Q$1))*2,2)</f>
        <v>00</v>
      </c>
      <c r="R943" t="str">
        <f>MID('paste from garc here'!$C$3,1+(('table for research'!$B943-911)*36+HEX2DEC('table for research'!R$1))*2,2)</f>
        <v>00</v>
      </c>
      <c r="S943" t="str">
        <f>MID('paste from garc here'!$C$3,1+(('table for research'!$B943-911)*36+HEX2DEC('table for research'!S$1))*2,2)</f>
        <v>08</v>
      </c>
      <c r="T943" t="str">
        <f>MID('paste from garc here'!$C$3,1+(('table for research'!$B943-911)*36+HEX2DEC('table for research'!T$1))*2,2)</f>
        <v>00</v>
      </c>
      <c r="U943" t="str">
        <f>MID('paste from garc here'!$C$3,1+(('table for research'!$B943-911)*36+HEX2DEC('table for research'!U$1))*2,2)</f>
        <v>12</v>
      </c>
      <c r="V943" t="str">
        <f>MID('paste from garc here'!$C$3,1+(('table for research'!$B943-911)*36+HEX2DEC('table for research'!V$1))*2,2)</f>
        <v>00</v>
      </c>
      <c r="W943" t="str">
        <f>MID('paste from garc here'!$C$3,1+(('table for research'!$B943-911)*36+HEX2DEC('table for research'!W$1))*2,2)</f>
        <v>00</v>
      </c>
      <c r="X943" t="str">
        <f>MID('paste from garc here'!$C$3,1+(('table for research'!$B943-911)*36+HEX2DEC('table for research'!X$1))*2,2)</f>
        <v>00</v>
      </c>
      <c r="Y943" t="str">
        <f>MID('paste from garc here'!$C$3,1+(('table for research'!$B943-911)*36+HEX2DEC('table for research'!Y$1))*2,2)</f>
        <v>00</v>
      </c>
      <c r="Z943" t="str">
        <f>MID('paste from garc here'!$C$3,1+(('table for research'!$B943-911)*36+HEX2DEC('table for research'!Z$1))*2,2)</f>
        <v>00</v>
      </c>
      <c r="AA943" t="str">
        <f>MID('paste from garc here'!$C$3,1+(('table for research'!$B943-911)*36+HEX2DEC('table for research'!AA$1))*2,2)</f>
        <v>00</v>
      </c>
      <c r="AB943" t="str">
        <f>MID('paste from garc here'!$C$3,1+(('table for research'!$B943-911)*36+HEX2DEC('table for research'!AB$1))*2,2)</f>
        <v>00</v>
      </c>
      <c r="AC943" t="str">
        <f>MID('paste from garc here'!$C$3,1+(('table for research'!$B943-911)*36+HEX2DEC('table for research'!AC$1))*2,2)</f>
        <v>00</v>
      </c>
      <c r="AD943" t="str">
        <f>MID('paste from garc here'!$C$3,1+(('table for research'!$B943-911)*36+HEX2DEC('table for research'!AD$1))*2,2)</f>
        <v>00</v>
      </c>
      <c r="AE943" t="str">
        <f>MID('paste from garc here'!$C$3,1+(('table for research'!$B943-911)*36+HEX2DEC('table for research'!AE$1))*2,2)</f>
        <v>00</v>
      </c>
      <c r="AF943" t="str">
        <f>MID('paste from garc here'!$C$3,1+(('table for research'!$B943-911)*36+HEX2DEC('table for research'!AF$1))*2,2)</f>
        <v>00</v>
      </c>
      <c r="AG943" t="str">
        <f>MID('paste from garc here'!$C$3,1+(('table for research'!$B943-911)*36+HEX2DEC('table for research'!AG$1))*2,2)</f>
        <v>00</v>
      </c>
      <c r="AH943" t="str">
        <f>MID('paste from garc here'!$C$3,1+(('table for research'!$B943-911)*36+HEX2DEC('table for research'!AH$1))*2,2)</f>
        <v>00</v>
      </c>
      <c r="AI943" t="str">
        <f>MID('paste from garc here'!$C$3,1+(('table for research'!$B943-911)*36+HEX2DEC('table for research'!AI$1))*2,2)</f>
        <v>00</v>
      </c>
      <c r="AJ943" t="str">
        <f>MID('paste from garc here'!$C$3,1+(('table for research'!$B943-911)*36+HEX2DEC('table for research'!AJ$1))*2,2)</f>
        <v>00</v>
      </c>
      <c r="AK943" t="str">
        <f>MID('paste from garc here'!$C$3,1+(('table for research'!$B943-911)*36+HEX2DEC('table for research'!AK$1))*2,2)</f>
        <v>00</v>
      </c>
      <c r="AL943" t="str">
        <f>MID('paste from garc here'!$C$3,1+(('table for research'!$B943-911)*36+HEX2DEC('table for research'!AL$1))*2,2)</f>
        <v>00</v>
      </c>
      <c r="AM943" t="str">
        <f>MID('paste from garc here'!$C$3,1+(('table for research'!$B943-911)*36+HEX2DEC('table for research'!AM$1))*2,2)</f>
        <v>00</v>
      </c>
      <c r="AN943" t="str">
        <f>MID('paste from garc here'!$C$3,1+(('table for research'!$B943-911)*36+HEX2DEC('table for research'!AN$1))*2,2)</f>
        <v>00</v>
      </c>
      <c r="AO943" t="str">
        <f>MID('paste from garc here'!$C$3,1+(('table for research'!$B943-911)*36+HEX2DEC('table for research'!AO$1))*2,2)</f>
        <v>00</v>
      </c>
    </row>
    <row r="944" spans="1:41" x14ac:dyDescent="0.4">
      <c r="A944" t="s">
        <v>890</v>
      </c>
      <c r="B944">
        <f>B943+1</f>
        <v>942</v>
      </c>
      <c r="C944" t="str">
        <f>MID('paste from garc here'!$C$3,1+(('table for research'!$B944-911)*36+HEX2DEC('table for research'!C$1))*2,2)</f>
        <v>00</v>
      </c>
      <c r="D944" t="str">
        <f>MID('paste from garc here'!$C$3,1+(('table for research'!$B944-911)*36+HEX2DEC('table for research'!D$1))*2,2)</f>
        <v>00</v>
      </c>
      <c r="E944" t="str">
        <f>MID('paste from garc here'!$C$3,1+(('table for research'!$B944-911)*36+HEX2DEC('table for research'!E$1))*2,2)</f>
        <v>00</v>
      </c>
      <c r="F944" t="str">
        <f>MID('paste from garc here'!$C$3,1+(('table for research'!$B944-911)*36+HEX2DEC('table for research'!F$1))*2,2)</f>
        <v>00</v>
      </c>
      <c r="G944" t="str">
        <f>MID('paste from garc here'!$C$3,1+(('table for research'!$B944-911)*36+HEX2DEC('table for research'!G$1))*2,2)</f>
        <v>00</v>
      </c>
      <c r="H944" t="str">
        <f>MID('paste from garc here'!$C$3,1+(('table for research'!$B944-911)*36+HEX2DEC('table for research'!H$1))*2,2)</f>
        <v>00</v>
      </c>
      <c r="I944" t="str">
        <f>MID('paste from garc here'!$C$3,1+(('table for research'!$B944-911)*36+HEX2DEC('table for research'!I$1))*2,2)</f>
        <v>00</v>
      </c>
      <c r="J944" t="str">
        <f>MID('paste from garc here'!$C$3,1+(('table for research'!$B944-911)*36+HEX2DEC('table for research'!J$1))*2,2)</f>
        <v>00</v>
      </c>
      <c r="K944" t="str">
        <f>DEC2HEX(_xlfn.BITAND(HEX2DEC(MID('paste from garc here'!$C$1,1+(('table for research'!$B944-1)*36+HEX2DEC(8))*2,2)),31),2)</f>
        <v>00</v>
      </c>
      <c r="L944" t="str">
        <f>DEC2HEX(_xlfn.BITAND(HEX2DEC(MID('paste from garc here'!$C$1,1+(('table for research'!$B944-1)*36+HEX2DEC(8))*2,2)),32),2)</f>
        <v>00</v>
      </c>
      <c r="M944" t="str">
        <f>DEC2HEX(_xlfn.BITAND(HEX2DEC(MID('paste from garc here'!$C$1,1+(('table for research'!$B944-1)*36+HEX2DEC(8))*2,2)),64),2)</f>
        <v>00</v>
      </c>
      <c r="N944" t="str">
        <f>DEC2HEX(_xlfn.BITRSHIFT(_xlfn.BITAND(HEX2DEC(MID('paste from garc here'!$C$1,1+(('table for research'!$B944-1)*36+HEX2DEC(9))*2,2)&amp;MID('paste from garc here'!$C$1,1+(('table for research'!$B944-1)*36+HEX2DEC(8))*2,2)),1920),7),2)</f>
        <v>00</v>
      </c>
      <c r="O944" t="str">
        <f>DEC2HEX(_xlfn.BITRSHIFT(HEX2DEC(MID('paste from garc here'!$C$1,1+(('table for research'!$B944-1)*36+HEX2DEC(9))*2,2)&amp;MID('paste from garc here'!$C$1,1+(('table for research'!$B944-1)*36+HEX2DEC(8))*2,2)),11),2)</f>
        <v>00</v>
      </c>
      <c r="P944" t="str">
        <f>MID('paste from garc here'!$C$3,1+(('table for research'!$B944-911)*36+HEX2DEC('table for research'!P$1))*2,2)</f>
        <v>00</v>
      </c>
      <c r="Q944" t="str">
        <f>MID('paste from garc here'!$C$3,1+(('table for research'!$B944-911)*36+HEX2DEC('table for research'!Q$1))*2,2)</f>
        <v>00</v>
      </c>
      <c r="R944" t="str">
        <f>MID('paste from garc here'!$C$3,1+(('table for research'!$B944-911)*36+HEX2DEC('table for research'!R$1))*2,2)</f>
        <v>00</v>
      </c>
      <c r="S944" t="str">
        <f>MID('paste from garc here'!$C$3,1+(('table for research'!$B944-911)*36+HEX2DEC('table for research'!S$1))*2,2)</f>
        <v>08</v>
      </c>
      <c r="T944" t="str">
        <f>MID('paste from garc here'!$C$3,1+(('table for research'!$B944-911)*36+HEX2DEC('table for research'!T$1))*2,2)</f>
        <v>00</v>
      </c>
      <c r="U944" t="str">
        <f>MID('paste from garc here'!$C$3,1+(('table for research'!$B944-911)*36+HEX2DEC('table for research'!U$1))*2,2)</f>
        <v>16</v>
      </c>
      <c r="V944" t="str">
        <f>MID('paste from garc here'!$C$3,1+(('table for research'!$B944-911)*36+HEX2DEC('table for research'!V$1))*2,2)</f>
        <v>00</v>
      </c>
      <c r="W944" t="str">
        <f>MID('paste from garc here'!$C$3,1+(('table for research'!$B944-911)*36+HEX2DEC('table for research'!W$1))*2,2)</f>
        <v>00</v>
      </c>
      <c r="X944" t="str">
        <f>MID('paste from garc here'!$C$3,1+(('table for research'!$B944-911)*36+HEX2DEC('table for research'!X$1))*2,2)</f>
        <v>00</v>
      </c>
      <c r="Y944" t="str">
        <f>MID('paste from garc here'!$C$3,1+(('table for research'!$B944-911)*36+HEX2DEC('table for research'!Y$1))*2,2)</f>
        <v>00</v>
      </c>
      <c r="Z944" t="str">
        <f>MID('paste from garc here'!$C$3,1+(('table for research'!$B944-911)*36+HEX2DEC('table for research'!Z$1))*2,2)</f>
        <v>00</v>
      </c>
      <c r="AA944" t="str">
        <f>MID('paste from garc here'!$C$3,1+(('table for research'!$B944-911)*36+HEX2DEC('table for research'!AA$1))*2,2)</f>
        <v>00</v>
      </c>
      <c r="AB944" t="str">
        <f>MID('paste from garc here'!$C$3,1+(('table for research'!$B944-911)*36+HEX2DEC('table for research'!AB$1))*2,2)</f>
        <v>00</v>
      </c>
      <c r="AC944" t="str">
        <f>MID('paste from garc here'!$C$3,1+(('table for research'!$B944-911)*36+HEX2DEC('table for research'!AC$1))*2,2)</f>
        <v>00</v>
      </c>
      <c r="AD944" t="str">
        <f>MID('paste from garc here'!$C$3,1+(('table for research'!$B944-911)*36+HEX2DEC('table for research'!AD$1))*2,2)</f>
        <v>00</v>
      </c>
      <c r="AE944" t="str">
        <f>MID('paste from garc here'!$C$3,1+(('table for research'!$B944-911)*36+HEX2DEC('table for research'!AE$1))*2,2)</f>
        <v>00</v>
      </c>
      <c r="AF944" t="str">
        <f>MID('paste from garc here'!$C$3,1+(('table for research'!$B944-911)*36+HEX2DEC('table for research'!AF$1))*2,2)</f>
        <v>00</v>
      </c>
      <c r="AG944" t="str">
        <f>MID('paste from garc here'!$C$3,1+(('table for research'!$B944-911)*36+HEX2DEC('table for research'!AG$1))*2,2)</f>
        <v>00</v>
      </c>
      <c r="AH944" t="str">
        <f>MID('paste from garc here'!$C$3,1+(('table for research'!$B944-911)*36+HEX2DEC('table for research'!AH$1))*2,2)</f>
        <v>00</v>
      </c>
      <c r="AI944" t="str">
        <f>MID('paste from garc here'!$C$3,1+(('table for research'!$B944-911)*36+HEX2DEC('table for research'!AI$1))*2,2)</f>
        <v>00</v>
      </c>
      <c r="AJ944" t="str">
        <f>MID('paste from garc here'!$C$3,1+(('table for research'!$B944-911)*36+HEX2DEC('table for research'!AJ$1))*2,2)</f>
        <v>00</v>
      </c>
      <c r="AK944" t="str">
        <f>MID('paste from garc here'!$C$3,1+(('table for research'!$B944-911)*36+HEX2DEC('table for research'!AK$1))*2,2)</f>
        <v>00</v>
      </c>
      <c r="AL944" t="str">
        <f>MID('paste from garc here'!$C$3,1+(('table for research'!$B944-911)*36+HEX2DEC('table for research'!AL$1))*2,2)</f>
        <v>00</v>
      </c>
      <c r="AM944" t="str">
        <f>MID('paste from garc here'!$C$3,1+(('table for research'!$B944-911)*36+HEX2DEC('table for research'!AM$1))*2,2)</f>
        <v>00</v>
      </c>
      <c r="AN944" t="str">
        <f>MID('paste from garc here'!$C$3,1+(('table for research'!$B944-911)*36+HEX2DEC('table for research'!AN$1))*2,2)</f>
        <v>00</v>
      </c>
      <c r="AO944" t="str">
        <f>MID('paste from garc here'!$C$3,1+(('table for research'!$B944-911)*36+HEX2DEC('table for research'!AO$1))*2,2)</f>
        <v>00</v>
      </c>
    </row>
    <row r="945" spans="1:41" x14ac:dyDescent="0.4">
      <c r="A945" t="s">
        <v>891</v>
      </c>
      <c r="B945">
        <f>B944+1</f>
        <v>943</v>
      </c>
      <c r="C945" t="str">
        <f>MID('paste from garc here'!$C$3,1+(('table for research'!$B945-911)*36+HEX2DEC('table for research'!C$1))*2,2)</f>
        <v>00</v>
      </c>
      <c r="D945" t="str">
        <f>MID('paste from garc here'!$C$3,1+(('table for research'!$B945-911)*36+HEX2DEC('table for research'!D$1))*2,2)</f>
        <v>00</v>
      </c>
      <c r="E945" t="str">
        <f>MID('paste from garc here'!$C$3,1+(('table for research'!$B945-911)*36+HEX2DEC('table for research'!E$1))*2,2)</f>
        <v>00</v>
      </c>
      <c r="F945" t="str">
        <f>MID('paste from garc here'!$C$3,1+(('table for research'!$B945-911)*36+HEX2DEC('table for research'!F$1))*2,2)</f>
        <v>00</v>
      </c>
      <c r="G945" t="str">
        <f>MID('paste from garc here'!$C$3,1+(('table for research'!$B945-911)*36+HEX2DEC('table for research'!G$1))*2,2)</f>
        <v>00</v>
      </c>
      <c r="H945" t="str">
        <f>MID('paste from garc here'!$C$3,1+(('table for research'!$B945-911)*36+HEX2DEC('table for research'!H$1))*2,2)</f>
        <v>00</v>
      </c>
      <c r="I945" t="str">
        <f>MID('paste from garc here'!$C$3,1+(('table for research'!$B945-911)*36+HEX2DEC('table for research'!I$1))*2,2)</f>
        <v>00</v>
      </c>
      <c r="J945" t="str">
        <f>MID('paste from garc here'!$C$3,1+(('table for research'!$B945-911)*36+HEX2DEC('table for research'!J$1))*2,2)</f>
        <v>00</v>
      </c>
      <c r="K945" t="str">
        <f>DEC2HEX(_xlfn.BITAND(HEX2DEC(MID('paste from garc here'!$C$1,1+(('table for research'!$B945-1)*36+HEX2DEC(8))*2,2)),31),2)</f>
        <v>00</v>
      </c>
      <c r="L945" t="str">
        <f>DEC2HEX(_xlfn.BITAND(HEX2DEC(MID('paste from garc here'!$C$1,1+(('table for research'!$B945-1)*36+HEX2DEC(8))*2,2)),32),2)</f>
        <v>00</v>
      </c>
      <c r="M945" t="str">
        <f>DEC2HEX(_xlfn.BITAND(HEX2DEC(MID('paste from garc here'!$C$1,1+(('table for research'!$B945-1)*36+HEX2DEC(8))*2,2)),64),2)</f>
        <v>00</v>
      </c>
      <c r="N945" t="str">
        <f>DEC2HEX(_xlfn.BITRSHIFT(_xlfn.BITAND(HEX2DEC(MID('paste from garc here'!$C$1,1+(('table for research'!$B945-1)*36+HEX2DEC(9))*2,2)&amp;MID('paste from garc here'!$C$1,1+(('table for research'!$B945-1)*36+HEX2DEC(8))*2,2)),1920),7),2)</f>
        <v>00</v>
      </c>
      <c r="O945" t="str">
        <f>DEC2HEX(_xlfn.BITRSHIFT(HEX2DEC(MID('paste from garc here'!$C$1,1+(('table for research'!$B945-1)*36+HEX2DEC(9))*2,2)&amp;MID('paste from garc here'!$C$1,1+(('table for research'!$B945-1)*36+HEX2DEC(8))*2,2)),11),2)</f>
        <v>00</v>
      </c>
      <c r="P945" t="str">
        <f>MID('paste from garc here'!$C$3,1+(('table for research'!$B945-911)*36+HEX2DEC('table for research'!P$1))*2,2)</f>
        <v>11</v>
      </c>
      <c r="Q945" t="str">
        <f>MID('paste from garc here'!$C$3,1+(('table for research'!$B945-911)*36+HEX2DEC('table for research'!Q$1))*2,2)</f>
        <v>00</v>
      </c>
      <c r="R945" t="str">
        <f>MID('paste from garc here'!$C$3,1+(('table for research'!$B945-911)*36+HEX2DEC('table for research'!R$1))*2,2)</f>
        <v>00</v>
      </c>
      <c r="S945" t="str">
        <f>MID('paste from garc here'!$C$3,1+(('table for research'!$B945-911)*36+HEX2DEC('table for research'!S$1))*2,2)</f>
        <v>08</v>
      </c>
      <c r="T945" t="str">
        <f>MID('paste from garc here'!$C$3,1+(('table for research'!$B945-911)*36+HEX2DEC('table for research'!T$1))*2,2)</f>
        <v>00</v>
      </c>
      <c r="U945" t="str">
        <f>MID('paste from garc here'!$C$3,1+(('table for research'!$B945-911)*36+HEX2DEC('table for research'!U$1))*2,2)</f>
        <v>23</v>
      </c>
      <c r="V945" t="str">
        <f>MID('paste from garc here'!$C$3,1+(('table for research'!$B945-911)*36+HEX2DEC('table for research'!V$1))*2,2)</f>
        <v>00</v>
      </c>
      <c r="W945" t="str">
        <f>MID('paste from garc here'!$C$3,1+(('table for research'!$B945-911)*36+HEX2DEC('table for research'!W$1))*2,2)</f>
        <v>00</v>
      </c>
      <c r="X945" t="str">
        <f>MID('paste from garc here'!$C$3,1+(('table for research'!$B945-911)*36+HEX2DEC('table for research'!X$1))*2,2)</f>
        <v>00</v>
      </c>
      <c r="Y945" t="str">
        <f>MID('paste from garc here'!$C$3,1+(('table for research'!$B945-911)*36+HEX2DEC('table for research'!Y$1))*2,2)</f>
        <v>00</v>
      </c>
      <c r="Z945" t="str">
        <f>MID('paste from garc here'!$C$3,1+(('table for research'!$B945-911)*36+HEX2DEC('table for research'!Z$1))*2,2)</f>
        <v>00</v>
      </c>
      <c r="AA945" t="str">
        <f>MID('paste from garc here'!$C$3,1+(('table for research'!$B945-911)*36+HEX2DEC('table for research'!AA$1))*2,2)</f>
        <v>00</v>
      </c>
      <c r="AB945" t="str">
        <f>MID('paste from garc here'!$C$3,1+(('table for research'!$B945-911)*36+HEX2DEC('table for research'!AB$1))*2,2)</f>
        <v>00</v>
      </c>
      <c r="AC945" t="str">
        <f>MID('paste from garc here'!$C$3,1+(('table for research'!$B945-911)*36+HEX2DEC('table for research'!AC$1))*2,2)</f>
        <v>00</v>
      </c>
      <c r="AD945" t="str">
        <f>MID('paste from garc here'!$C$3,1+(('table for research'!$B945-911)*36+HEX2DEC('table for research'!AD$1))*2,2)</f>
        <v>00</v>
      </c>
      <c r="AE945" t="str">
        <f>MID('paste from garc here'!$C$3,1+(('table for research'!$B945-911)*36+HEX2DEC('table for research'!AE$1))*2,2)</f>
        <v>00</v>
      </c>
      <c r="AF945" t="str">
        <f>MID('paste from garc here'!$C$3,1+(('table for research'!$B945-911)*36+HEX2DEC('table for research'!AF$1))*2,2)</f>
        <v>00</v>
      </c>
      <c r="AG945" t="str">
        <f>MID('paste from garc here'!$C$3,1+(('table for research'!$B945-911)*36+HEX2DEC('table for research'!AG$1))*2,2)</f>
        <v>00</v>
      </c>
      <c r="AH945" t="str">
        <f>MID('paste from garc here'!$C$3,1+(('table for research'!$B945-911)*36+HEX2DEC('table for research'!AH$1))*2,2)</f>
        <v>00</v>
      </c>
      <c r="AI945" t="str">
        <f>MID('paste from garc here'!$C$3,1+(('table for research'!$B945-911)*36+HEX2DEC('table for research'!AI$1))*2,2)</f>
        <v>00</v>
      </c>
      <c r="AJ945" t="str">
        <f>MID('paste from garc here'!$C$3,1+(('table for research'!$B945-911)*36+HEX2DEC('table for research'!AJ$1))*2,2)</f>
        <v>00</v>
      </c>
      <c r="AK945" t="str">
        <f>MID('paste from garc here'!$C$3,1+(('table for research'!$B945-911)*36+HEX2DEC('table for research'!AK$1))*2,2)</f>
        <v>00</v>
      </c>
      <c r="AL945" t="str">
        <f>MID('paste from garc here'!$C$3,1+(('table for research'!$B945-911)*36+HEX2DEC('table for research'!AL$1))*2,2)</f>
        <v>00</v>
      </c>
      <c r="AM945" t="str">
        <f>MID('paste from garc here'!$C$3,1+(('table for research'!$B945-911)*36+HEX2DEC('table for research'!AM$1))*2,2)</f>
        <v>00</v>
      </c>
      <c r="AN945" t="str">
        <f>MID('paste from garc here'!$C$3,1+(('table for research'!$B945-911)*36+HEX2DEC('table for research'!AN$1))*2,2)</f>
        <v>00</v>
      </c>
      <c r="AO945" t="str">
        <f>MID('paste from garc here'!$C$3,1+(('table for research'!$B945-911)*36+HEX2DEC('table for research'!AO$1))*2,2)</f>
        <v>00</v>
      </c>
    </row>
    <row r="946" spans="1:41" x14ac:dyDescent="0.4">
      <c r="A946" t="s">
        <v>892</v>
      </c>
      <c r="B946">
        <f>B945+1</f>
        <v>944</v>
      </c>
      <c r="C946" t="str">
        <f>MID('paste from garc here'!$C$3,1+(('table for research'!$B946-911)*36+HEX2DEC('table for research'!C$1))*2,2)</f>
        <v>00</v>
      </c>
      <c r="D946" t="str">
        <f>MID('paste from garc here'!$C$3,1+(('table for research'!$B946-911)*36+HEX2DEC('table for research'!D$1))*2,2)</f>
        <v>00</v>
      </c>
      <c r="E946" t="str">
        <f>MID('paste from garc here'!$C$3,1+(('table for research'!$B946-911)*36+HEX2DEC('table for research'!E$1))*2,2)</f>
        <v>00</v>
      </c>
      <c r="F946" t="str">
        <f>MID('paste from garc here'!$C$3,1+(('table for research'!$B946-911)*36+HEX2DEC('table for research'!F$1))*2,2)</f>
        <v>00</v>
      </c>
      <c r="G946" t="str">
        <f>MID('paste from garc here'!$C$3,1+(('table for research'!$B946-911)*36+HEX2DEC('table for research'!G$1))*2,2)</f>
        <v>00</v>
      </c>
      <c r="H946" t="str">
        <f>MID('paste from garc here'!$C$3,1+(('table for research'!$B946-911)*36+HEX2DEC('table for research'!H$1))*2,2)</f>
        <v>00</v>
      </c>
      <c r="I946" t="str">
        <f>MID('paste from garc here'!$C$3,1+(('table for research'!$B946-911)*36+HEX2DEC('table for research'!I$1))*2,2)</f>
        <v>00</v>
      </c>
      <c r="J946" t="str">
        <f>MID('paste from garc here'!$C$3,1+(('table for research'!$B946-911)*36+HEX2DEC('table for research'!J$1))*2,2)</f>
        <v>00</v>
      </c>
      <c r="K946" t="str">
        <f>DEC2HEX(_xlfn.BITAND(HEX2DEC(MID('paste from garc here'!$C$1,1+(('table for research'!$B946-1)*36+HEX2DEC(8))*2,2)),31),2)</f>
        <v>00</v>
      </c>
      <c r="L946" t="str">
        <f>DEC2HEX(_xlfn.BITAND(HEX2DEC(MID('paste from garc here'!$C$1,1+(('table for research'!$B946-1)*36+HEX2DEC(8))*2,2)),32),2)</f>
        <v>00</v>
      </c>
      <c r="M946" t="str">
        <f>DEC2HEX(_xlfn.BITAND(HEX2DEC(MID('paste from garc here'!$C$1,1+(('table for research'!$B946-1)*36+HEX2DEC(8))*2,2)),64),2)</f>
        <v>00</v>
      </c>
      <c r="N946" t="str">
        <f>DEC2HEX(_xlfn.BITRSHIFT(_xlfn.BITAND(HEX2DEC(MID('paste from garc here'!$C$1,1+(('table for research'!$B946-1)*36+HEX2DEC(9))*2,2)&amp;MID('paste from garc here'!$C$1,1+(('table for research'!$B946-1)*36+HEX2DEC(8))*2,2)),1920),7),2)</f>
        <v>00</v>
      </c>
      <c r="O946" t="str">
        <f>DEC2HEX(_xlfn.BITRSHIFT(HEX2DEC(MID('paste from garc here'!$C$1,1+(('table for research'!$B946-1)*36+HEX2DEC(9))*2,2)&amp;MID('paste from garc here'!$C$1,1+(('table for research'!$B946-1)*36+HEX2DEC(8))*2,2)),11),2)</f>
        <v>00</v>
      </c>
      <c r="P946" t="str">
        <f>MID('paste from garc here'!$C$3,1+(('table for research'!$B946-911)*36+HEX2DEC('table for research'!P$1))*2,2)</f>
        <v>11</v>
      </c>
      <c r="Q946" t="str">
        <f>MID('paste from garc here'!$C$3,1+(('table for research'!$B946-911)*36+HEX2DEC('table for research'!Q$1))*2,2)</f>
        <v>00</v>
      </c>
      <c r="R946" t="str">
        <f>MID('paste from garc here'!$C$3,1+(('table for research'!$B946-911)*36+HEX2DEC('table for research'!R$1))*2,2)</f>
        <v>00</v>
      </c>
      <c r="S946" t="str">
        <f>MID('paste from garc here'!$C$3,1+(('table for research'!$B946-911)*36+HEX2DEC('table for research'!S$1))*2,2)</f>
        <v>08</v>
      </c>
      <c r="T946" t="str">
        <f>MID('paste from garc here'!$C$3,1+(('table for research'!$B946-911)*36+HEX2DEC('table for research'!T$1))*2,2)</f>
        <v>00</v>
      </c>
      <c r="U946" t="str">
        <f>MID('paste from garc here'!$C$3,1+(('table for research'!$B946-911)*36+HEX2DEC('table for research'!U$1))*2,2)</f>
        <v>25</v>
      </c>
      <c r="V946" t="str">
        <f>MID('paste from garc here'!$C$3,1+(('table for research'!$B946-911)*36+HEX2DEC('table for research'!V$1))*2,2)</f>
        <v>00</v>
      </c>
      <c r="W946" t="str">
        <f>MID('paste from garc here'!$C$3,1+(('table for research'!$B946-911)*36+HEX2DEC('table for research'!W$1))*2,2)</f>
        <v>00</v>
      </c>
      <c r="X946" t="str">
        <f>MID('paste from garc here'!$C$3,1+(('table for research'!$B946-911)*36+HEX2DEC('table for research'!X$1))*2,2)</f>
        <v>00</v>
      </c>
      <c r="Y946" t="str">
        <f>MID('paste from garc here'!$C$3,1+(('table for research'!$B946-911)*36+HEX2DEC('table for research'!Y$1))*2,2)</f>
        <v>00</v>
      </c>
      <c r="Z946" t="str">
        <f>MID('paste from garc here'!$C$3,1+(('table for research'!$B946-911)*36+HEX2DEC('table for research'!Z$1))*2,2)</f>
        <v>00</v>
      </c>
      <c r="AA946" t="str">
        <f>MID('paste from garc here'!$C$3,1+(('table for research'!$B946-911)*36+HEX2DEC('table for research'!AA$1))*2,2)</f>
        <v>00</v>
      </c>
      <c r="AB946" t="str">
        <f>MID('paste from garc here'!$C$3,1+(('table for research'!$B946-911)*36+HEX2DEC('table for research'!AB$1))*2,2)</f>
        <v>00</v>
      </c>
      <c r="AC946" t="str">
        <f>MID('paste from garc here'!$C$3,1+(('table for research'!$B946-911)*36+HEX2DEC('table for research'!AC$1))*2,2)</f>
        <v>00</v>
      </c>
      <c r="AD946" t="str">
        <f>MID('paste from garc here'!$C$3,1+(('table for research'!$B946-911)*36+HEX2DEC('table for research'!AD$1))*2,2)</f>
        <v>00</v>
      </c>
      <c r="AE946" t="str">
        <f>MID('paste from garc here'!$C$3,1+(('table for research'!$B946-911)*36+HEX2DEC('table for research'!AE$1))*2,2)</f>
        <v>00</v>
      </c>
      <c r="AF946" t="str">
        <f>MID('paste from garc here'!$C$3,1+(('table for research'!$B946-911)*36+HEX2DEC('table for research'!AF$1))*2,2)</f>
        <v>00</v>
      </c>
      <c r="AG946" t="str">
        <f>MID('paste from garc here'!$C$3,1+(('table for research'!$B946-911)*36+HEX2DEC('table for research'!AG$1))*2,2)</f>
        <v>00</v>
      </c>
      <c r="AH946" t="str">
        <f>MID('paste from garc here'!$C$3,1+(('table for research'!$B946-911)*36+HEX2DEC('table for research'!AH$1))*2,2)</f>
        <v>00</v>
      </c>
      <c r="AI946" t="str">
        <f>MID('paste from garc here'!$C$3,1+(('table for research'!$B946-911)*36+HEX2DEC('table for research'!AI$1))*2,2)</f>
        <v>00</v>
      </c>
      <c r="AJ946" t="str">
        <f>MID('paste from garc here'!$C$3,1+(('table for research'!$B946-911)*36+HEX2DEC('table for research'!AJ$1))*2,2)</f>
        <v>00</v>
      </c>
      <c r="AK946" t="str">
        <f>MID('paste from garc here'!$C$3,1+(('table for research'!$B946-911)*36+HEX2DEC('table for research'!AK$1))*2,2)</f>
        <v>00</v>
      </c>
      <c r="AL946" t="str">
        <f>MID('paste from garc here'!$C$3,1+(('table for research'!$B946-911)*36+HEX2DEC('table for research'!AL$1))*2,2)</f>
        <v>00</v>
      </c>
      <c r="AM946" t="str">
        <f>MID('paste from garc here'!$C$3,1+(('table for research'!$B946-911)*36+HEX2DEC('table for research'!AM$1))*2,2)</f>
        <v>00</v>
      </c>
      <c r="AN946" t="str">
        <f>MID('paste from garc here'!$C$3,1+(('table for research'!$B946-911)*36+HEX2DEC('table for research'!AN$1))*2,2)</f>
        <v>00</v>
      </c>
      <c r="AO946" t="str">
        <f>MID('paste from garc here'!$C$3,1+(('table for research'!$B946-911)*36+HEX2DEC('table for research'!AO$1))*2,2)</f>
        <v>00</v>
      </c>
    </row>
    <row r="947" spans="1:41" x14ac:dyDescent="0.4">
      <c r="A947" t="s">
        <v>891</v>
      </c>
      <c r="B947">
        <f>B946+1</f>
        <v>945</v>
      </c>
      <c r="C947" t="str">
        <f>MID('paste from garc here'!$C$3,1+(('table for research'!$B947-911)*36+HEX2DEC('table for research'!C$1))*2,2)</f>
        <v>00</v>
      </c>
      <c r="D947" t="str">
        <f>MID('paste from garc here'!$C$3,1+(('table for research'!$B947-911)*36+HEX2DEC('table for research'!D$1))*2,2)</f>
        <v>00</v>
      </c>
      <c r="E947" t="str">
        <f>MID('paste from garc here'!$C$3,1+(('table for research'!$B947-911)*36+HEX2DEC('table for research'!E$1))*2,2)</f>
        <v>00</v>
      </c>
      <c r="F947" t="str">
        <f>MID('paste from garc here'!$C$3,1+(('table for research'!$B947-911)*36+HEX2DEC('table for research'!F$1))*2,2)</f>
        <v>00</v>
      </c>
      <c r="G947" t="str">
        <f>MID('paste from garc here'!$C$3,1+(('table for research'!$B947-911)*36+HEX2DEC('table for research'!G$1))*2,2)</f>
        <v>00</v>
      </c>
      <c r="H947" t="str">
        <f>MID('paste from garc here'!$C$3,1+(('table for research'!$B947-911)*36+HEX2DEC('table for research'!H$1))*2,2)</f>
        <v>00</v>
      </c>
      <c r="I947" t="str">
        <f>MID('paste from garc here'!$C$3,1+(('table for research'!$B947-911)*36+HEX2DEC('table for research'!I$1))*2,2)</f>
        <v>00</v>
      </c>
      <c r="J947" t="str">
        <f>MID('paste from garc here'!$C$3,1+(('table for research'!$B947-911)*36+HEX2DEC('table for research'!J$1))*2,2)</f>
        <v>00</v>
      </c>
      <c r="K947" t="str">
        <f>DEC2HEX(_xlfn.BITAND(HEX2DEC(MID('paste from garc here'!$C$1,1+(('table for research'!$B947-1)*36+HEX2DEC(8))*2,2)),31),2)</f>
        <v>00</v>
      </c>
      <c r="L947" t="str">
        <f>DEC2HEX(_xlfn.BITAND(HEX2DEC(MID('paste from garc here'!$C$1,1+(('table for research'!$B947-1)*36+HEX2DEC(8))*2,2)),32),2)</f>
        <v>00</v>
      </c>
      <c r="M947" t="str">
        <f>DEC2HEX(_xlfn.BITAND(HEX2DEC(MID('paste from garc here'!$C$1,1+(('table for research'!$B947-1)*36+HEX2DEC(8))*2,2)),64),2)</f>
        <v>00</v>
      </c>
      <c r="N947" t="str">
        <f>DEC2HEX(_xlfn.BITRSHIFT(_xlfn.BITAND(HEX2DEC(MID('paste from garc here'!$C$1,1+(('table for research'!$B947-1)*36+HEX2DEC(9))*2,2)&amp;MID('paste from garc here'!$C$1,1+(('table for research'!$B947-1)*36+HEX2DEC(8))*2,2)),1920),7),2)</f>
        <v>00</v>
      </c>
      <c r="O947" t="str">
        <f>DEC2HEX(_xlfn.BITRSHIFT(HEX2DEC(MID('paste from garc here'!$C$1,1+(('table for research'!$B947-1)*36+HEX2DEC(9))*2,2)&amp;MID('paste from garc here'!$C$1,1+(('table for research'!$B947-1)*36+HEX2DEC(8))*2,2)),11),2)</f>
        <v>00</v>
      </c>
      <c r="P947" t="str">
        <f>MID('paste from garc here'!$C$3,1+(('table for research'!$B947-911)*36+HEX2DEC('table for research'!P$1))*2,2)</f>
        <v>11</v>
      </c>
      <c r="Q947" t="str">
        <f>MID('paste from garc here'!$C$3,1+(('table for research'!$B947-911)*36+HEX2DEC('table for research'!Q$1))*2,2)</f>
        <v>00</v>
      </c>
      <c r="R947" t="str">
        <f>MID('paste from garc here'!$C$3,1+(('table for research'!$B947-911)*36+HEX2DEC('table for research'!R$1))*2,2)</f>
        <v>00</v>
      </c>
      <c r="S947" t="str">
        <f>MID('paste from garc here'!$C$3,1+(('table for research'!$B947-911)*36+HEX2DEC('table for research'!S$1))*2,2)</f>
        <v>08</v>
      </c>
      <c r="T947" t="str">
        <f>MID('paste from garc here'!$C$3,1+(('table for research'!$B947-911)*36+HEX2DEC('table for research'!T$1))*2,2)</f>
        <v>00</v>
      </c>
      <c r="U947" t="str">
        <f>MID('paste from garc here'!$C$3,1+(('table for research'!$B947-911)*36+HEX2DEC('table for research'!U$1))*2,2)</f>
        <v>24</v>
      </c>
      <c r="V947" t="str">
        <f>MID('paste from garc here'!$C$3,1+(('table for research'!$B947-911)*36+HEX2DEC('table for research'!V$1))*2,2)</f>
        <v>00</v>
      </c>
      <c r="W947" t="str">
        <f>MID('paste from garc here'!$C$3,1+(('table for research'!$B947-911)*36+HEX2DEC('table for research'!W$1))*2,2)</f>
        <v>00</v>
      </c>
      <c r="X947" t="str">
        <f>MID('paste from garc here'!$C$3,1+(('table for research'!$B947-911)*36+HEX2DEC('table for research'!X$1))*2,2)</f>
        <v>00</v>
      </c>
      <c r="Y947" t="str">
        <f>MID('paste from garc here'!$C$3,1+(('table for research'!$B947-911)*36+HEX2DEC('table for research'!Y$1))*2,2)</f>
        <v>00</v>
      </c>
      <c r="Z947" t="str">
        <f>MID('paste from garc here'!$C$3,1+(('table for research'!$B947-911)*36+HEX2DEC('table for research'!Z$1))*2,2)</f>
        <v>00</v>
      </c>
      <c r="AA947" t="str">
        <f>MID('paste from garc here'!$C$3,1+(('table for research'!$B947-911)*36+HEX2DEC('table for research'!AA$1))*2,2)</f>
        <v>00</v>
      </c>
      <c r="AB947" t="str">
        <f>MID('paste from garc here'!$C$3,1+(('table for research'!$B947-911)*36+HEX2DEC('table for research'!AB$1))*2,2)</f>
        <v>00</v>
      </c>
      <c r="AC947" t="str">
        <f>MID('paste from garc here'!$C$3,1+(('table for research'!$B947-911)*36+HEX2DEC('table for research'!AC$1))*2,2)</f>
        <v>00</v>
      </c>
      <c r="AD947" t="str">
        <f>MID('paste from garc here'!$C$3,1+(('table for research'!$B947-911)*36+HEX2DEC('table for research'!AD$1))*2,2)</f>
        <v>00</v>
      </c>
      <c r="AE947" t="str">
        <f>MID('paste from garc here'!$C$3,1+(('table for research'!$B947-911)*36+HEX2DEC('table for research'!AE$1))*2,2)</f>
        <v>00</v>
      </c>
      <c r="AF947" t="str">
        <f>MID('paste from garc here'!$C$3,1+(('table for research'!$B947-911)*36+HEX2DEC('table for research'!AF$1))*2,2)</f>
        <v>00</v>
      </c>
      <c r="AG947" t="str">
        <f>MID('paste from garc here'!$C$3,1+(('table for research'!$B947-911)*36+HEX2DEC('table for research'!AG$1))*2,2)</f>
        <v>00</v>
      </c>
      <c r="AH947" t="str">
        <f>MID('paste from garc here'!$C$3,1+(('table for research'!$B947-911)*36+HEX2DEC('table for research'!AH$1))*2,2)</f>
        <v>00</v>
      </c>
      <c r="AI947" t="str">
        <f>MID('paste from garc here'!$C$3,1+(('table for research'!$B947-911)*36+HEX2DEC('table for research'!AI$1))*2,2)</f>
        <v>00</v>
      </c>
      <c r="AJ947" t="str">
        <f>MID('paste from garc here'!$C$3,1+(('table for research'!$B947-911)*36+HEX2DEC('table for research'!AJ$1))*2,2)</f>
        <v>00</v>
      </c>
      <c r="AK947" t="str">
        <f>MID('paste from garc here'!$C$3,1+(('table for research'!$B947-911)*36+HEX2DEC('table for research'!AK$1))*2,2)</f>
        <v>00</v>
      </c>
      <c r="AL947" t="str">
        <f>MID('paste from garc here'!$C$3,1+(('table for research'!$B947-911)*36+HEX2DEC('table for research'!AL$1))*2,2)</f>
        <v>00</v>
      </c>
      <c r="AM947" t="str">
        <f>MID('paste from garc here'!$C$3,1+(('table for research'!$B947-911)*36+HEX2DEC('table for research'!AM$1))*2,2)</f>
        <v>00</v>
      </c>
      <c r="AN947" t="str">
        <f>MID('paste from garc here'!$C$3,1+(('table for research'!$B947-911)*36+HEX2DEC('table for research'!AN$1))*2,2)</f>
        <v>00</v>
      </c>
      <c r="AO947" t="str">
        <f>MID('paste from garc here'!$C$3,1+(('table for research'!$B947-911)*36+HEX2DEC('table for research'!AO$1))*2,2)</f>
        <v>00</v>
      </c>
    </row>
    <row r="948" spans="1:41" x14ac:dyDescent="0.4">
      <c r="A948" t="s">
        <v>892</v>
      </c>
      <c r="B948">
        <f>B947+1</f>
        <v>946</v>
      </c>
      <c r="C948" t="str">
        <f>MID('paste from garc here'!$C$3,1+(('table for research'!$B948-911)*36+HEX2DEC('table for research'!C$1))*2,2)</f>
        <v>00</v>
      </c>
      <c r="D948" t="str">
        <f>MID('paste from garc here'!$C$3,1+(('table for research'!$B948-911)*36+HEX2DEC('table for research'!D$1))*2,2)</f>
        <v>00</v>
      </c>
      <c r="E948" t="str">
        <f>MID('paste from garc here'!$C$3,1+(('table for research'!$B948-911)*36+HEX2DEC('table for research'!E$1))*2,2)</f>
        <v>00</v>
      </c>
      <c r="F948" t="str">
        <f>MID('paste from garc here'!$C$3,1+(('table for research'!$B948-911)*36+HEX2DEC('table for research'!F$1))*2,2)</f>
        <v>00</v>
      </c>
      <c r="G948" t="str">
        <f>MID('paste from garc here'!$C$3,1+(('table for research'!$B948-911)*36+HEX2DEC('table for research'!G$1))*2,2)</f>
        <v>00</v>
      </c>
      <c r="H948" t="str">
        <f>MID('paste from garc here'!$C$3,1+(('table for research'!$B948-911)*36+HEX2DEC('table for research'!H$1))*2,2)</f>
        <v>00</v>
      </c>
      <c r="I948" t="str">
        <f>MID('paste from garc here'!$C$3,1+(('table for research'!$B948-911)*36+HEX2DEC('table for research'!I$1))*2,2)</f>
        <v>00</v>
      </c>
      <c r="J948" t="str">
        <f>MID('paste from garc here'!$C$3,1+(('table for research'!$B948-911)*36+HEX2DEC('table for research'!J$1))*2,2)</f>
        <v>00</v>
      </c>
      <c r="K948" t="str">
        <f>DEC2HEX(_xlfn.BITAND(HEX2DEC(MID('paste from garc here'!$C$1,1+(('table for research'!$B948-1)*36+HEX2DEC(8))*2,2)),31),2)</f>
        <v>00</v>
      </c>
      <c r="L948" t="str">
        <f>DEC2HEX(_xlfn.BITAND(HEX2DEC(MID('paste from garc here'!$C$1,1+(('table for research'!$B948-1)*36+HEX2DEC(8))*2,2)),32),2)</f>
        <v>00</v>
      </c>
      <c r="M948" t="str">
        <f>DEC2HEX(_xlfn.BITAND(HEX2DEC(MID('paste from garc here'!$C$1,1+(('table for research'!$B948-1)*36+HEX2DEC(8))*2,2)),64),2)</f>
        <v>00</v>
      </c>
      <c r="N948" t="str">
        <f>DEC2HEX(_xlfn.BITRSHIFT(_xlfn.BITAND(HEX2DEC(MID('paste from garc here'!$C$1,1+(('table for research'!$B948-1)*36+HEX2DEC(9))*2,2)&amp;MID('paste from garc here'!$C$1,1+(('table for research'!$B948-1)*36+HEX2DEC(8))*2,2)),1920),7),2)</f>
        <v>00</v>
      </c>
      <c r="O948" t="str">
        <f>DEC2HEX(_xlfn.BITRSHIFT(HEX2DEC(MID('paste from garc here'!$C$1,1+(('table for research'!$B948-1)*36+HEX2DEC(9))*2,2)&amp;MID('paste from garc here'!$C$1,1+(('table for research'!$B948-1)*36+HEX2DEC(8))*2,2)),11),2)</f>
        <v>00</v>
      </c>
      <c r="P948" t="str">
        <f>MID('paste from garc here'!$C$3,1+(('table for research'!$B948-911)*36+HEX2DEC('table for research'!P$1))*2,2)</f>
        <v>11</v>
      </c>
      <c r="Q948" t="str">
        <f>MID('paste from garc here'!$C$3,1+(('table for research'!$B948-911)*36+HEX2DEC('table for research'!Q$1))*2,2)</f>
        <v>00</v>
      </c>
      <c r="R948" t="str">
        <f>MID('paste from garc here'!$C$3,1+(('table for research'!$B948-911)*36+HEX2DEC('table for research'!R$1))*2,2)</f>
        <v>00</v>
      </c>
      <c r="S948" t="str">
        <f>MID('paste from garc here'!$C$3,1+(('table for research'!$B948-911)*36+HEX2DEC('table for research'!S$1))*2,2)</f>
        <v>08</v>
      </c>
      <c r="T948" t="str">
        <f>MID('paste from garc here'!$C$3,1+(('table for research'!$B948-911)*36+HEX2DEC('table for research'!T$1))*2,2)</f>
        <v>00</v>
      </c>
      <c r="U948" t="str">
        <f>MID('paste from garc here'!$C$3,1+(('table for research'!$B948-911)*36+HEX2DEC('table for research'!U$1))*2,2)</f>
        <v>26</v>
      </c>
      <c r="V948" t="str">
        <f>MID('paste from garc here'!$C$3,1+(('table for research'!$B948-911)*36+HEX2DEC('table for research'!V$1))*2,2)</f>
        <v>00</v>
      </c>
      <c r="W948" t="str">
        <f>MID('paste from garc here'!$C$3,1+(('table for research'!$B948-911)*36+HEX2DEC('table for research'!W$1))*2,2)</f>
        <v>00</v>
      </c>
      <c r="X948" t="str">
        <f>MID('paste from garc here'!$C$3,1+(('table for research'!$B948-911)*36+HEX2DEC('table for research'!X$1))*2,2)</f>
        <v>00</v>
      </c>
      <c r="Y948" t="str">
        <f>MID('paste from garc here'!$C$3,1+(('table for research'!$B948-911)*36+HEX2DEC('table for research'!Y$1))*2,2)</f>
        <v>00</v>
      </c>
      <c r="Z948" t="str">
        <f>MID('paste from garc here'!$C$3,1+(('table for research'!$B948-911)*36+HEX2DEC('table for research'!Z$1))*2,2)</f>
        <v>00</v>
      </c>
      <c r="AA948" t="str">
        <f>MID('paste from garc here'!$C$3,1+(('table for research'!$B948-911)*36+HEX2DEC('table for research'!AA$1))*2,2)</f>
        <v>00</v>
      </c>
      <c r="AB948" t="str">
        <f>MID('paste from garc here'!$C$3,1+(('table for research'!$B948-911)*36+HEX2DEC('table for research'!AB$1))*2,2)</f>
        <v>00</v>
      </c>
      <c r="AC948" t="str">
        <f>MID('paste from garc here'!$C$3,1+(('table for research'!$B948-911)*36+HEX2DEC('table for research'!AC$1))*2,2)</f>
        <v>00</v>
      </c>
      <c r="AD948" t="str">
        <f>MID('paste from garc here'!$C$3,1+(('table for research'!$B948-911)*36+HEX2DEC('table for research'!AD$1))*2,2)</f>
        <v>00</v>
      </c>
      <c r="AE948" t="str">
        <f>MID('paste from garc here'!$C$3,1+(('table for research'!$B948-911)*36+HEX2DEC('table for research'!AE$1))*2,2)</f>
        <v>00</v>
      </c>
      <c r="AF948" t="str">
        <f>MID('paste from garc here'!$C$3,1+(('table for research'!$B948-911)*36+HEX2DEC('table for research'!AF$1))*2,2)</f>
        <v>00</v>
      </c>
      <c r="AG948" t="str">
        <f>MID('paste from garc here'!$C$3,1+(('table for research'!$B948-911)*36+HEX2DEC('table for research'!AG$1))*2,2)</f>
        <v>00</v>
      </c>
      <c r="AH948" t="str">
        <f>MID('paste from garc here'!$C$3,1+(('table for research'!$B948-911)*36+HEX2DEC('table for research'!AH$1))*2,2)</f>
        <v>00</v>
      </c>
      <c r="AI948" t="str">
        <f>MID('paste from garc here'!$C$3,1+(('table for research'!$B948-911)*36+HEX2DEC('table for research'!AI$1))*2,2)</f>
        <v>00</v>
      </c>
      <c r="AJ948" t="str">
        <f>MID('paste from garc here'!$C$3,1+(('table for research'!$B948-911)*36+HEX2DEC('table for research'!AJ$1))*2,2)</f>
        <v>00</v>
      </c>
      <c r="AK948" t="str">
        <f>MID('paste from garc here'!$C$3,1+(('table for research'!$B948-911)*36+HEX2DEC('table for research'!AK$1))*2,2)</f>
        <v>00</v>
      </c>
      <c r="AL948" t="str">
        <f>MID('paste from garc here'!$C$3,1+(('table for research'!$B948-911)*36+HEX2DEC('table for research'!AL$1))*2,2)</f>
        <v>00</v>
      </c>
      <c r="AM948" t="str">
        <f>MID('paste from garc here'!$C$3,1+(('table for research'!$B948-911)*36+HEX2DEC('table for research'!AM$1))*2,2)</f>
        <v>00</v>
      </c>
      <c r="AN948" t="str">
        <f>MID('paste from garc here'!$C$3,1+(('table for research'!$B948-911)*36+HEX2DEC('table for research'!AN$1))*2,2)</f>
        <v>00</v>
      </c>
      <c r="AO948" t="str">
        <f>MID('paste from garc here'!$C$3,1+(('table for research'!$B948-911)*36+HEX2DEC('table for research'!AO$1))*2,2)</f>
        <v>00</v>
      </c>
    </row>
    <row r="949" spans="1:41" x14ac:dyDescent="0.4">
      <c r="A949" t="s">
        <v>893</v>
      </c>
      <c r="B949">
        <f>B948+1</f>
        <v>947</v>
      </c>
      <c r="C949" t="str">
        <f>MID('paste from garc here'!$C$3,1+(('table for research'!$B949-911)*36+HEX2DEC('table for research'!C$1))*2,2)</f>
        <v>00</v>
      </c>
      <c r="D949" t="str">
        <f>MID('paste from garc here'!$C$3,1+(('table for research'!$B949-911)*36+HEX2DEC('table for research'!D$1))*2,2)</f>
        <v>00</v>
      </c>
      <c r="E949" t="str">
        <f>MID('paste from garc here'!$C$3,1+(('table for research'!$B949-911)*36+HEX2DEC('table for research'!E$1))*2,2)</f>
        <v>00</v>
      </c>
      <c r="F949" t="str">
        <f>MID('paste from garc here'!$C$3,1+(('table for research'!$B949-911)*36+HEX2DEC('table for research'!F$1))*2,2)</f>
        <v>00</v>
      </c>
      <c r="G949" t="str">
        <f>MID('paste from garc here'!$C$3,1+(('table for research'!$B949-911)*36+HEX2DEC('table for research'!G$1))*2,2)</f>
        <v>00</v>
      </c>
      <c r="H949" t="str">
        <f>MID('paste from garc here'!$C$3,1+(('table for research'!$B949-911)*36+HEX2DEC('table for research'!H$1))*2,2)</f>
        <v>00</v>
      </c>
      <c r="I949" t="str">
        <f>MID('paste from garc here'!$C$3,1+(('table for research'!$B949-911)*36+HEX2DEC('table for research'!I$1))*2,2)</f>
        <v>00</v>
      </c>
      <c r="J949" t="str">
        <f>MID('paste from garc here'!$C$3,1+(('table for research'!$B949-911)*36+HEX2DEC('table for research'!J$1))*2,2)</f>
        <v>00</v>
      </c>
      <c r="K949" t="str">
        <f>DEC2HEX(_xlfn.BITAND(HEX2DEC(MID('paste from garc here'!$C$1,1+(('table for research'!$B949-1)*36+HEX2DEC(8))*2,2)),31),2)</f>
        <v>00</v>
      </c>
      <c r="L949" t="str">
        <f>DEC2HEX(_xlfn.BITAND(HEX2DEC(MID('paste from garc here'!$C$1,1+(('table for research'!$B949-1)*36+HEX2DEC(8))*2,2)),32),2)</f>
        <v>00</v>
      </c>
      <c r="M949" t="str">
        <f>DEC2HEX(_xlfn.BITAND(HEX2DEC(MID('paste from garc here'!$C$1,1+(('table for research'!$B949-1)*36+HEX2DEC(8))*2,2)),64),2)</f>
        <v>00</v>
      </c>
      <c r="N949" t="str">
        <f>DEC2HEX(_xlfn.BITRSHIFT(_xlfn.BITAND(HEX2DEC(MID('paste from garc here'!$C$1,1+(('table for research'!$B949-1)*36+HEX2DEC(9))*2,2)&amp;MID('paste from garc here'!$C$1,1+(('table for research'!$B949-1)*36+HEX2DEC(8))*2,2)),1920),7),2)</f>
        <v>00</v>
      </c>
      <c r="O949" t="str">
        <f>DEC2HEX(_xlfn.BITRSHIFT(HEX2DEC(MID('paste from garc here'!$C$1,1+(('table for research'!$B949-1)*36+HEX2DEC(9))*2,2)&amp;MID('paste from garc here'!$C$1,1+(('table for research'!$B949-1)*36+HEX2DEC(8))*2,2)),11),2)</f>
        <v>00</v>
      </c>
      <c r="P949" t="str">
        <f>MID('paste from garc here'!$C$3,1+(('table for research'!$B949-911)*36+HEX2DEC('table for research'!P$1))*2,2)</f>
        <v>00</v>
      </c>
      <c r="Q949" t="str">
        <f>MID('paste from garc here'!$C$3,1+(('table for research'!$B949-911)*36+HEX2DEC('table for research'!Q$1))*2,2)</f>
        <v>00</v>
      </c>
      <c r="R949" t="str">
        <f>MID('paste from garc here'!$C$3,1+(('table for research'!$B949-911)*36+HEX2DEC('table for research'!R$1))*2,2)</f>
        <v>00</v>
      </c>
      <c r="S949" t="str">
        <f>MID('paste from garc here'!$C$3,1+(('table for research'!$B949-911)*36+HEX2DEC('table for research'!S$1))*2,2)</f>
        <v>08</v>
      </c>
      <c r="T949" t="str">
        <f>MID('paste from garc here'!$C$3,1+(('table for research'!$B949-911)*36+HEX2DEC('table for research'!T$1))*2,2)</f>
        <v>00</v>
      </c>
      <c r="U949" t="str">
        <f>MID('paste from garc here'!$C$3,1+(('table for research'!$B949-911)*36+HEX2DEC('table for research'!U$1))*2,2)</f>
        <v>17</v>
      </c>
      <c r="V949" t="str">
        <f>MID('paste from garc here'!$C$3,1+(('table for research'!$B949-911)*36+HEX2DEC('table for research'!V$1))*2,2)</f>
        <v>00</v>
      </c>
      <c r="W949" t="str">
        <f>MID('paste from garc here'!$C$3,1+(('table for research'!$B949-911)*36+HEX2DEC('table for research'!W$1))*2,2)</f>
        <v>00</v>
      </c>
      <c r="X949" t="str">
        <f>MID('paste from garc here'!$C$3,1+(('table for research'!$B949-911)*36+HEX2DEC('table for research'!X$1))*2,2)</f>
        <v>00</v>
      </c>
      <c r="Y949" t="str">
        <f>MID('paste from garc here'!$C$3,1+(('table for research'!$B949-911)*36+HEX2DEC('table for research'!Y$1))*2,2)</f>
        <v>00</v>
      </c>
      <c r="Z949" t="str">
        <f>MID('paste from garc here'!$C$3,1+(('table for research'!$B949-911)*36+HEX2DEC('table for research'!Z$1))*2,2)</f>
        <v>00</v>
      </c>
      <c r="AA949" t="str">
        <f>MID('paste from garc here'!$C$3,1+(('table for research'!$B949-911)*36+HEX2DEC('table for research'!AA$1))*2,2)</f>
        <v>00</v>
      </c>
      <c r="AB949" t="str">
        <f>MID('paste from garc here'!$C$3,1+(('table for research'!$B949-911)*36+HEX2DEC('table for research'!AB$1))*2,2)</f>
        <v>00</v>
      </c>
      <c r="AC949" t="str">
        <f>MID('paste from garc here'!$C$3,1+(('table for research'!$B949-911)*36+HEX2DEC('table for research'!AC$1))*2,2)</f>
        <v>00</v>
      </c>
      <c r="AD949" t="str">
        <f>MID('paste from garc here'!$C$3,1+(('table for research'!$B949-911)*36+HEX2DEC('table for research'!AD$1))*2,2)</f>
        <v>00</v>
      </c>
      <c r="AE949" t="str">
        <f>MID('paste from garc here'!$C$3,1+(('table for research'!$B949-911)*36+HEX2DEC('table for research'!AE$1))*2,2)</f>
        <v>00</v>
      </c>
      <c r="AF949" t="str">
        <f>MID('paste from garc here'!$C$3,1+(('table for research'!$B949-911)*36+HEX2DEC('table for research'!AF$1))*2,2)</f>
        <v>00</v>
      </c>
      <c r="AG949" t="str">
        <f>MID('paste from garc here'!$C$3,1+(('table for research'!$B949-911)*36+HEX2DEC('table for research'!AG$1))*2,2)</f>
        <v>00</v>
      </c>
      <c r="AH949" t="str">
        <f>MID('paste from garc here'!$C$3,1+(('table for research'!$B949-911)*36+HEX2DEC('table for research'!AH$1))*2,2)</f>
        <v>00</v>
      </c>
      <c r="AI949" t="str">
        <f>MID('paste from garc here'!$C$3,1+(('table for research'!$B949-911)*36+HEX2DEC('table for research'!AI$1))*2,2)</f>
        <v>00</v>
      </c>
      <c r="AJ949" t="str">
        <f>MID('paste from garc here'!$C$3,1+(('table for research'!$B949-911)*36+HEX2DEC('table for research'!AJ$1))*2,2)</f>
        <v>00</v>
      </c>
      <c r="AK949" t="str">
        <f>MID('paste from garc here'!$C$3,1+(('table for research'!$B949-911)*36+HEX2DEC('table for research'!AK$1))*2,2)</f>
        <v>00</v>
      </c>
      <c r="AL949" t="str">
        <f>MID('paste from garc here'!$C$3,1+(('table for research'!$B949-911)*36+HEX2DEC('table for research'!AL$1))*2,2)</f>
        <v>00</v>
      </c>
      <c r="AM949" t="str">
        <f>MID('paste from garc here'!$C$3,1+(('table for research'!$B949-911)*36+HEX2DEC('table for research'!AM$1))*2,2)</f>
        <v>00</v>
      </c>
      <c r="AN949" t="str">
        <f>MID('paste from garc here'!$C$3,1+(('table for research'!$B949-911)*36+HEX2DEC('table for research'!AN$1))*2,2)</f>
        <v>00</v>
      </c>
      <c r="AO949" t="str">
        <f>MID('paste from garc here'!$C$3,1+(('table for research'!$B949-911)*36+HEX2DEC('table for research'!AO$1))*2,2)</f>
        <v>00</v>
      </c>
    </row>
    <row r="950" spans="1:41" x14ac:dyDescent="0.4">
      <c r="A950" t="s">
        <v>894</v>
      </c>
      <c r="B950">
        <f>B949+1</f>
        <v>948</v>
      </c>
      <c r="C950" t="str">
        <f>MID('paste from garc here'!$C$3,1+(('table for research'!$B950-911)*36+HEX2DEC('table for research'!C$1))*2,2)</f>
        <v>00</v>
      </c>
      <c r="D950" t="str">
        <f>MID('paste from garc here'!$C$3,1+(('table for research'!$B950-911)*36+HEX2DEC('table for research'!D$1))*2,2)</f>
        <v>00</v>
      </c>
      <c r="E950" t="str">
        <f>MID('paste from garc here'!$C$3,1+(('table for research'!$B950-911)*36+HEX2DEC('table for research'!E$1))*2,2)</f>
        <v>00</v>
      </c>
      <c r="F950" t="str">
        <f>MID('paste from garc here'!$C$3,1+(('table for research'!$B950-911)*36+HEX2DEC('table for research'!F$1))*2,2)</f>
        <v>00</v>
      </c>
      <c r="G950" t="str">
        <f>MID('paste from garc here'!$C$3,1+(('table for research'!$B950-911)*36+HEX2DEC('table for research'!G$1))*2,2)</f>
        <v>00</v>
      </c>
      <c r="H950" t="str">
        <f>MID('paste from garc here'!$C$3,1+(('table for research'!$B950-911)*36+HEX2DEC('table for research'!H$1))*2,2)</f>
        <v>00</v>
      </c>
      <c r="I950" t="str">
        <f>MID('paste from garc here'!$C$3,1+(('table for research'!$B950-911)*36+HEX2DEC('table for research'!I$1))*2,2)</f>
        <v>00</v>
      </c>
      <c r="J950" t="str">
        <f>MID('paste from garc here'!$C$3,1+(('table for research'!$B950-911)*36+HEX2DEC('table for research'!J$1))*2,2)</f>
        <v>00</v>
      </c>
      <c r="K950" t="str">
        <f>DEC2HEX(_xlfn.BITAND(HEX2DEC(MID('paste from garc here'!$C$1,1+(('table for research'!$B950-1)*36+HEX2DEC(8))*2,2)),31),2)</f>
        <v>00</v>
      </c>
      <c r="L950" t="str">
        <f>DEC2HEX(_xlfn.BITAND(HEX2DEC(MID('paste from garc here'!$C$1,1+(('table for research'!$B950-1)*36+HEX2DEC(8))*2,2)),32),2)</f>
        <v>00</v>
      </c>
      <c r="M950" t="str">
        <f>DEC2HEX(_xlfn.BITAND(HEX2DEC(MID('paste from garc here'!$C$1,1+(('table for research'!$B950-1)*36+HEX2DEC(8))*2,2)),64),2)</f>
        <v>00</v>
      </c>
      <c r="N950" t="str">
        <f>DEC2HEX(_xlfn.BITRSHIFT(_xlfn.BITAND(HEX2DEC(MID('paste from garc here'!$C$1,1+(('table for research'!$B950-1)*36+HEX2DEC(9))*2,2)&amp;MID('paste from garc here'!$C$1,1+(('table for research'!$B950-1)*36+HEX2DEC(8))*2,2)),1920),7),2)</f>
        <v>00</v>
      </c>
      <c r="O950" t="str">
        <f>DEC2HEX(_xlfn.BITRSHIFT(HEX2DEC(MID('paste from garc here'!$C$1,1+(('table for research'!$B950-1)*36+HEX2DEC(9))*2,2)&amp;MID('paste from garc here'!$C$1,1+(('table for research'!$B950-1)*36+HEX2DEC(8))*2,2)),11),2)</f>
        <v>00</v>
      </c>
      <c r="P950" t="str">
        <f>MID('paste from garc here'!$C$3,1+(('table for research'!$B950-911)*36+HEX2DEC('table for research'!P$1))*2,2)</f>
        <v>00</v>
      </c>
      <c r="Q950" t="str">
        <f>MID('paste from garc here'!$C$3,1+(('table for research'!$B950-911)*36+HEX2DEC('table for research'!Q$1))*2,2)</f>
        <v>00</v>
      </c>
      <c r="R950" t="str">
        <f>MID('paste from garc here'!$C$3,1+(('table for research'!$B950-911)*36+HEX2DEC('table for research'!R$1))*2,2)</f>
        <v>00</v>
      </c>
      <c r="S950" t="str">
        <f>MID('paste from garc here'!$C$3,1+(('table for research'!$B950-911)*36+HEX2DEC('table for research'!S$1))*2,2)</f>
        <v>08</v>
      </c>
      <c r="T950" t="str">
        <f>MID('paste from garc here'!$C$3,1+(('table for research'!$B950-911)*36+HEX2DEC('table for research'!T$1))*2,2)</f>
        <v>00</v>
      </c>
      <c r="U950" t="str">
        <f>MID('paste from garc here'!$C$3,1+(('table for research'!$B950-911)*36+HEX2DEC('table for research'!U$1))*2,2)</f>
        <v>18</v>
      </c>
      <c r="V950" t="str">
        <f>MID('paste from garc here'!$C$3,1+(('table for research'!$B950-911)*36+HEX2DEC('table for research'!V$1))*2,2)</f>
        <v>00</v>
      </c>
      <c r="W950" t="str">
        <f>MID('paste from garc here'!$C$3,1+(('table for research'!$B950-911)*36+HEX2DEC('table for research'!W$1))*2,2)</f>
        <v>00</v>
      </c>
      <c r="X950" t="str">
        <f>MID('paste from garc here'!$C$3,1+(('table for research'!$B950-911)*36+HEX2DEC('table for research'!X$1))*2,2)</f>
        <v>00</v>
      </c>
      <c r="Y950" t="str">
        <f>MID('paste from garc here'!$C$3,1+(('table for research'!$B950-911)*36+HEX2DEC('table for research'!Y$1))*2,2)</f>
        <v>00</v>
      </c>
      <c r="Z950" t="str">
        <f>MID('paste from garc here'!$C$3,1+(('table for research'!$B950-911)*36+HEX2DEC('table for research'!Z$1))*2,2)</f>
        <v>00</v>
      </c>
      <c r="AA950" t="str">
        <f>MID('paste from garc here'!$C$3,1+(('table for research'!$B950-911)*36+HEX2DEC('table for research'!AA$1))*2,2)</f>
        <v>00</v>
      </c>
      <c r="AB950" t="str">
        <f>MID('paste from garc here'!$C$3,1+(('table for research'!$B950-911)*36+HEX2DEC('table for research'!AB$1))*2,2)</f>
        <v>00</v>
      </c>
      <c r="AC950" t="str">
        <f>MID('paste from garc here'!$C$3,1+(('table for research'!$B950-911)*36+HEX2DEC('table for research'!AC$1))*2,2)</f>
        <v>00</v>
      </c>
      <c r="AD950" t="str">
        <f>MID('paste from garc here'!$C$3,1+(('table for research'!$B950-911)*36+HEX2DEC('table for research'!AD$1))*2,2)</f>
        <v>00</v>
      </c>
      <c r="AE950" t="str">
        <f>MID('paste from garc here'!$C$3,1+(('table for research'!$B950-911)*36+HEX2DEC('table for research'!AE$1))*2,2)</f>
        <v>00</v>
      </c>
      <c r="AF950" t="str">
        <f>MID('paste from garc here'!$C$3,1+(('table for research'!$B950-911)*36+HEX2DEC('table for research'!AF$1))*2,2)</f>
        <v>00</v>
      </c>
      <c r="AG950" t="str">
        <f>MID('paste from garc here'!$C$3,1+(('table for research'!$B950-911)*36+HEX2DEC('table for research'!AG$1))*2,2)</f>
        <v>00</v>
      </c>
      <c r="AH950" t="str">
        <f>MID('paste from garc here'!$C$3,1+(('table for research'!$B950-911)*36+HEX2DEC('table for research'!AH$1))*2,2)</f>
        <v>00</v>
      </c>
      <c r="AI950" t="str">
        <f>MID('paste from garc here'!$C$3,1+(('table for research'!$B950-911)*36+HEX2DEC('table for research'!AI$1))*2,2)</f>
        <v>00</v>
      </c>
      <c r="AJ950" t="str">
        <f>MID('paste from garc here'!$C$3,1+(('table for research'!$B950-911)*36+HEX2DEC('table for research'!AJ$1))*2,2)</f>
        <v>00</v>
      </c>
      <c r="AK950" t="str">
        <f>MID('paste from garc here'!$C$3,1+(('table for research'!$B950-911)*36+HEX2DEC('table for research'!AK$1))*2,2)</f>
        <v>00</v>
      </c>
      <c r="AL950" t="str">
        <f>MID('paste from garc here'!$C$3,1+(('table for research'!$B950-911)*36+HEX2DEC('table for research'!AL$1))*2,2)</f>
        <v>00</v>
      </c>
      <c r="AM950" t="str">
        <f>MID('paste from garc here'!$C$3,1+(('table for research'!$B950-911)*36+HEX2DEC('table for research'!AM$1))*2,2)</f>
        <v>00</v>
      </c>
      <c r="AN950" t="str">
        <f>MID('paste from garc here'!$C$3,1+(('table for research'!$B950-911)*36+HEX2DEC('table for research'!AN$1))*2,2)</f>
        <v>00</v>
      </c>
      <c r="AO950" t="str">
        <f>MID('paste from garc here'!$C$3,1+(('table for research'!$B950-911)*36+HEX2DEC('table for research'!AO$1))*2,2)</f>
        <v>00</v>
      </c>
    </row>
    <row r="951" spans="1:41" x14ac:dyDescent="0.4">
      <c r="A951" t="s">
        <v>895</v>
      </c>
      <c r="B951">
        <f>B950+1</f>
        <v>949</v>
      </c>
      <c r="C951" t="str">
        <f>MID('paste from garc here'!$C$3,1+(('table for research'!$B951-911)*36+HEX2DEC('table for research'!C$1))*2,2)</f>
        <v>C8</v>
      </c>
      <c r="D951" t="str">
        <f>MID('paste from garc here'!$C$3,1+(('table for research'!$B951-911)*36+HEX2DEC('table for research'!D$1))*2,2)</f>
        <v>00</v>
      </c>
      <c r="E951" t="str">
        <f>MID('paste from garc here'!$C$3,1+(('table for research'!$B951-911)*36+HEX2DEC('table for research'!E$1))*2,2)</f>
        <v>00</v>
      </c>
      <c r="F951" t="str">
        <f>MID('paste from garc here'!$C$3,1+(('table for research'!$B951-911)*36+HEX2DEC('table for research'!F$1))*2,2)</f>
        <v>00</v>
      </c>
      <c r="G951" t="str">
        <f>MID('paste from garc here'!$C$3,1+(('table for research'!$B951-911)*36+HEX2DEC('table for research'!G$1))*2,2)</f>
        <v>00</v>
      </c>
      <c r="H951" t="str">
        <f>MID('paste from garc here'!$C$3,1+(('table for research'!$B951-911)*36+HEX2DEC('table for research'!H$1))*2,2)</f>
        <v>00</v>
      </c>
      <c r="I951" t="str">
        <f>MID('paste from garc here'!$C$3,1+(('table for research'!$B951-911)*36+HEX2DEC('table for research'!I$1))*2,2)</f>
        <v>00</v>
      </c>
      <c r="J951" t="str">
        <f>MID('paste from garc here'!$C$3,1+(('table for research'!$B951-911)*36+HEX2DEC('table for research'!J$1))*2,2)</f>
        <v>00</v>
      </c>
      <c r="K951" t="str">
        <f>DEC2HEX(_xlfn.BITAND(HEX2DEC(MID('paste from garc here'!$C$1,1+(('table for research'!$B951-1)*36+HEX2DEC(8))*2,2)),31),2)</f>
        <v>00</v>
      </c>
      <c r="L951" t="str">
        <f>DEC2HEX(_xlfn.BITAND(HEX2DEC(MID('paste from garc here'!$C$1,1+(('table for research'!$B951-1)*36+HEX2DEC(8))*2,2)),32),2)</f>
        <v>00</v>
      </c>
      <c r="M951" t="str">
        <f>DEC2HEX(_xlfn.BITAND(HEX2DEC(MID('paste from garc here'!$C$1,1+(('table for research'!$B951-1)*36+HEX2DEC(8))*2,2)),64),2)</f>
        <v>00</v>
      </c>
      <c r="N951" t="str">
        <f>DEC2HEX(_xlfn.BITRSHIFT(_xlfn.BITAND(HEX2DEC(MID('paste from garc here'!$C$1,1+(('table for research'!$B951-1)*36+HEX2DEC(9))*2,2)&amp;MID('paste from garc here'!$C$1,1+(('table for research'!$B951-1)*36+HEX2DEC(8))*2,2)),1920),7),2)</f>
        <v>00</v>
      </c>
      <c r="O951" t="str">
        <f>DEC2HEX(_xlfn.BITRSHIFT(HEX2DEC(MID('paste from garc here'!$C$1,1+(('table for research'!$B951-1)*36+HEX2DEC(9))*2,2)&amp;MID('paste from garc here'!$C$1,1+(('table for research'!$B951-1)*36+HEX2DEC(8))*2,2)),11),2)</f>
        <v>00</v>
      </c>
      <c r="P951" t="str">
        <f>MID('paste from garc here'!$C$3,1+(('table for research'!$B951-911)*36+HEX2DEC('table for research'!P$1))*2,2)</f>
        <v>12</v>
      </c>
      <c r="Q951" t="str">
        <f>MID('paste from garc here'!$C$3,1+(('table for research'!$B951-911)*36+HEX2DEC('table for research'!Q$1))*2,2)</f>
        <v>00</v>
      </c>
      <c r="R951" t="str">
        <f>MID('paste from garc here'!$C$3,1+(('table for research'!$B951-911)*36+HEX2DEC('table for research'!R$1))*2,2)</f>
        <v>00</v>
      </c>
      <c r="S951" t="str">
        <f>MID('paste from garc here'!$C$3,1+(('table for research'!$B951-911)*36+HEX2DEC('table for research'!S$1))*2,2)</f>
        <v>02</v>
      </c>
      <c r="T951" t="str">
        <f>MID('paste from garc here'!$C$3,1+(('table for research'!$B951-911)*36+HEX2DEC('table for research'!T$1))*2,2)</f>
        <v>00</v>
      </c>
      <c r="U951" t="str">
        <f>MID('paste from garc here'!$C$3,1+(('table for research'!$B951-911)*36+HEX2DEC('table for research'!U$1))*2,2)</f>
        <v>BE</v>
      </c>
      <c r="V951" t="str">
        <f>MID('paste from garc here'!$C$3,1+(('table for research'!$B951-911)*36+HEX2DEC('table for research'!V$1))*2,2)</f>
        <v>00</v>
      </c>
      <c r="W951" t="str">
        <f>MID('paste from garc here'!$C$3,1+(('table for research'!$B951-911)*36+HEX2DEC('table for research'!W$1))*2,2)</f>
        <v>00</v>
      </c>
      <c r="X951" t="str">
        <f>MID('paste from garc here'!$C$3,1+(('table for research'!$B951-911)*36+HEX2DEC('table for research'!X$1))*2,2)</f>
        <v>00</v>
      </c>
      <c r="Y951" t="str">
        <f>MID('paste from garc here'!$C$3,1+(('table for research'!$B951-911)*36+HEX2DEC('table for research'!Y$1))*2,2)</f>
        <v>00</v>
      </c>
      <c r="Z951" t="str">
        <f>MID('paste from garc here'!$C$3,1+(('table for research'!$B951-911)*36+HEX2DEC('table for research'!Z$1))*2,2)</f>
        <v>00</v>
      </c>
      <c r="AA951" t="str">
        <f>MID('paste from garc here'!$C$3,1+(('table for research'!$B951-911)*36+HEX2DEC('table for research'!AA$1))*2,2)</f>
        <v>00</v>
      </c>
      <c r="AB951" t="str">
        <f>MID('paste from garc here'!$C$3,1+(('table for research'!$B951-911)*36+HEX2DEC('table for research'!AB$1))*2,2)</f>
        <v>00</v>
      </c>
      <c r="AC951" t="str">
        <f>MID('paste from garc here'!$C$3,1+(('table for research'!$B951-911)*36+HEX2DEC('table for research'!AC$1))*2,2)</f>
        <v>00</v>
      </c>
      <c r="AD951" t="str">
        <f>MID('paste from garc here'!$C$3,1+(('table for research'!$B951-911)*36+HEX2DEC('table for research'!AD$1))*2,2)</f>
        <v>00</v>
      </c>
      <c r="AE951" t="str">
        <f>MID('paste from garc here'!$C$3,1+(('table for research'!$B951-911)*36+HEX2DEC('table for research'!AE$1))*2,2)</f>
        <v>00</v>
      </c>
      <c r="AF951" t="str">
        <f>MID('paste from garc here'!$C$3,1+(('table for research'!$B951-911)*36+HEX2DEC('table for research'!AF$1))*2,2)</f>
        <v>00</v>
      </c>
      <c r="AG951" t="str">
        <f>MID('paste from garc here'!$C$3,1+(('table for research'!$B951-911)*36+HEX2DEC('table for research'!AG$1))*2,2)</f>
        <v>00</v>
      </c>
      <c r="AH951" t="str">
        <f>MID('paste from garc here'!$C$3,1+(('table for research'!$B951-911)*36+HEX2DEC('table for research'!AH$1))*2,2)</f>
        <v>00</v>
      </c>
      <c r="AI951" t="str">
        <f>MID('paste from garc here'!$C$3,1+(('table for research'!$B951-911)*36+HEX2DEC('table for research'!AI$1))*2,2)</f>
        <v>00</v>
      </c>
      <c r="AJ951" t="str">
        <f>MID('paste from garc here'!$C$3,1+(('table for research'!$B951-911)*36+HEX2DEC('table for research'!AJ$1))*2,2)</f>
        <v>00</v>
      </c>
      <c r="AK951" t="str">
        <f>MID('paste from garc here'!$C$3,1+(('table for research'!$B951-911)*36+HEX2DEC('table for research'!AK$1))*2,2)</f>
        <v>00</v>
      </c>
      <c r="AL951" t="str">
        <f>MID('paste from garc here'!$C$3,1+(('table for research'!$B951-911)*36+HEX2DEC('table for research'!AL$1))*2,2)</f>
        <v>00</v>
      </c>
      <c r="AM951" t="str">
        <f>MID('paste from garc here'!$C$3,1+(('table for research'!$B951-911)*36+HEX2DEC('table for research'!AM$1))*2,2)</f>
        <v>00</v>
      </c>
      <c r="AN951" t="str">
        <f>MID('paste from garc here'!$C$3,1+(('table for research'!$B951-911)*36+HEX2DEC('table for research'!AN$1))*2,2)</f>
        <v>00</v>
      </c>
      <c r="AO951" t="str">
        <f>MID('paste from garc here'!$C$3,1+(('table for research'!$B951-911)*36+HEX2DEC('table for research'!AO$1))*2,2)</f>
        <v>00</v>
      </c>
    </row>
    <row r="952" spans="1:41" x14ac:dyDescent="0.4">
      <c r="A952" t="s">
        <v>896</v>
      </c>
      <c r="B952">
        <f>B951+1</f>
        <v>950</v>
      </c>
      <c r="C952" t="str">
        <f>MID('paste from garc here'!$C$3,1+(('table for research'!$B952-911)*36+HEX2DEC('table for research'!C$1))*2,2)</f>
        <v>C8</v>
      </c>
      <c r="D952" t="str">
        <f>MID('paste from garc here'!$C$3,1+(('table for research'!$B952-911)*36+HEX2DEC('table for research'!D$1))*2,2)</f>
        <v>00</v>
      </c>
      <c r="E952" t="str">
        <f>MID('paste from garc here'!$C$3,1+(('table for research'!$B952-911)*36+HEX2DEC('table for research'!E$1))*2,2)</f>
        <v>00</v>
      </c>
      <c r="F952" t="str">
        <f>MID('paste from garc here'!$C$3,1+(('table for research'!$B952-911)*36+HEX2DEC('table for research'!F$1))*2,2)</f>
        <v>00</v>
      </c>
      <c r="G952" t="str">
        <f>MID('paste from garc here'!$C$3,1+(('table for research'!$B952-911)*36+HEX2DEC('table for research'!G$1))*2,2)</f>
        <v>00</v>
      </c>
      <c r="H952" t="str">
        <f>MID('paste from garc here'!$C$3,1+(('table for research'!$B952-911)*36+HEX2DEC('table for research'!H$1))*2,2)</f>
        <v>00</v>
      </c>
      <c r="I952" t="str">
        <f>MID('paste from garc here'!$C$3,1+(('table for research'!$B952-911)*36+HEX2DEC('table for research'!I$1))*2,2)</f>
        <v>00</v>
      </c>
      <c r="J952" t="str">
        <f>MID('paste from garc here'!$C$3,1+(('table for research'!$B952-911)*36+HEX2DEC('table for research'!J$1))*2,2)</f>
        <v>00</v>
      </c>
      <c r="K952" t="str">
        <f>DEC2HEX(_xlfn.BITAND(HEX2DEC(MID('paste from garc here'!$C$1,1+(('table for research'!$B952-1)*36+HEX2DEC(8))*2,2)),31),2)</f>
        <v>00</v>
      </c>
      <c r="L952" t="str">
        <f>DEC2HEX(_xlfn.BITAND(HEX2DEC(MID('paste from garc here'!$C$1,1+(('table for research'!$B952-1)*36+HEX2DEC(8))*2,2)),32),2)</f>
        <v>00</v>
      </c>
      <c r="M952" t="str">
        <f>DEC2HEX(_xlfn.BITAND(HEX2DEC(MID('paste from garc here'!$C$1,1+(('table for research'!$B952-1)*36+HEX2DEC(8))*2,2)),64),2)</f>
        <v>00</v>
      </c>
      <c r="N952" t="str">
        <f>DEC2HEX(_xlfn.BITRSHIFT(_xlfn.BITAND(HEX2DEC(MID('paste from garc here'!$C$1,1+(('table for research'!$B952-1)*36+HEX2DEC(9))*2,2)&amp;MID('paste from garc here'!$C$1,1+(('table for research'!$B952-1)*36+HEX2DEC(8))*2,2)),1920),7),2)</f>
        <v>00</v>
      </c>
      <c r="O952" t="str">
        <f>DEC2HEX(_xlfn.BITRSHIFT(HEX2DEC(MID('paste from garc here'!$C$1,1+(('table for research'!$B952-1)*36+HEX2DEC(9))*2,2)&amp;MID('paste from garc here'!$C$1,1+(('table for research'!$B952-1)*36+HEX2DEC(8))*2,2)),11),2)</f>
        <v>00</v>
      </c>
      <c r="P952" t="str">
        <f>MID('paste from garc here'!$C$3,1+(('table for research'!$B952-911)*36+HEX2DEC('table for research'!P$1))*2,2)</f>
        <v>12</v>
      </c>
      <c r="Q952" t="str">
        <f>MID('paste from garc here'!$C$3,1+(('table for research'!$B952-911)*36+HEX2DEC('table for research'!Q$1))*2,2)</f>
        <v>00</v>
      </c>
      <c r="R952" t="str">
        <f>MID('paste from garc here'!$C$3,1+(('table for research'!$B952-911)*36+HEX2DEC('table for research'!R$1))*2,2)</f>
        <v>00</v>
      </c>
      <c r="S952" t="str">
        <f>MID('paste from garc here'!$C$3,1+(('table for research'!$B952-911)*36+HEX2DEC('table for research'!S$1))*2,2)</f>
        <v>02</v>
      </c>
      <c r="T952" t="str">
        <f>MID('paste from garc here'!$C$3,1+(('table for research'!$B952-911)*36+HEX2DEC('table for research'!T$1))*2,2)</f>
        <v>00</v>
      </c>
      <c r="U952" t="str">
        <f>MID('paste from garc here'!$C$3,1+(('table for research'!$B952-911)*36+HEX2DEC('table for research'!U$1))*2,2)</f>
        <v>BF</v>
      </c>
      <c r="V952" t="str">
        <f>MID('paste from garc here'!$C$3,1+(('table for research'!$B952-911)*36+HEX2DEC('table for research'!V$1))*2,2)</f>
        <v>00</v>
      </c>
      <c r="W952" t="str">
        <f>MID('paste from garc here'!$C$3,1+(('table for research'!$B952-911)*36+HEX2DEC('table for research'!W$1))*2,2)</f>
        <v>00</v>
      </c>
      <c r="X952" t="str">
        <f>MID('paste from garc here'!$C$3,1+(('table for research'!$B952-911)*36+HEX2DEC('table for research'!X$1))*2,2)</f>
        <v>00</v>
      </c>
      <c r="Y952" t="str">
        <f>MID('paste from garc here'!$C$3,1+(('table for research'!$B952-911)*36+HEX2DEC('table for research'!Y$1))*2,2)</f>
        <v>00</v>
      </c>
      <c r="Z952" t="str">
        <f>MID('paste from garc here'!$C$3,1+(('table for research'!$B952-911)*36+HEX2DEC('table for research'!Z$1))*2,2)</f>
        <v>00</v>
      </c>
      <c r="AA952" t="str">
        <f>MID('paste from garc here'!$C$3,1+(('table for research'!$B952-911)*36+HEX2DEC('table for research'!AA$1))*2,2)</f>
        <v>00</v>
      </c>
      <c r="AB952" t="str">
        <f>MID('paste from garc here'!$C$3,1+(('table for research'!$B952-911)*36+HEX2DEC('table for research'!AB$1))*2,2)</f>
        <v>00</v>
      </c>
      <c r="AC952" t="str">
        <f>MID('paste from garc here'!$C$3,1+(('table for research'!$B952-911)*36+HEX2DEC('table for research'!AC$1))*2,2)</f>
        <v>00</v>
      </c>
      <c r="AD952" t="str">
        <f>MID('paste from garc here'!$C$3,1+(('table for research'!$B952-911)*36+HEX2DEC('table for research'!AD$1))*2,2)</f>
        <v>00</v>
      </c>
      <c r="AE952" t="str">
        <f>MID('paste from garc here'!$C$3,1+(('table for research'!$B952-911)*36+HEX2DEC('table for research'!AE$1))*2,2)</f>
        <v>00</v>
      </c>
      <c r="AF952" t="str">
        <f>MID('paste from garc here'!$C$3,1+(('table for research'!$B952-911)*36+HEX2DEC('table for research'!AF$1))*2,2)</f>
        <v>00</v>
      </c>
      <c r="AG952" t="str">
        <f>MID('paste from garc here'!$C$3,1+(('table for research'!$B952-911)*36+HEX2DEC('table for research'!AG$1))*2,2)</f>
        <v>00</v>
      </c>
      <c r="AH952" t="str">
        <f>MID('paste from garc here'!$C$3,1+(('table for research'!$B952-911)*36+HEX2DEC('table for research'!AH$1))*2,2)</f>
        <v>00</v>
      </c>
      <c r="AI952" t="str">
        <f>MID('paste from garc here'!$C$3,1+(('table for research'!$B952-911)*36+HEX2DEC('table for research'!AI$1))*2,2)</f>
        <v>00</v>
      </c>
      <c r="AJ952" t="str">
        <f>MID('paste from garc here'!$C$3,1+(('table for research'!$B952-911)*36+HEX2DEC('table for research'!AJ$1))*2,2)</f>
        <v>00</v>
      </c>
      <c r="AK952" t="str">
        <f>MID('paste from garc here'!$C$3,1+(('table for research'!$B952-911)*36+HEX2DEC('table for research'!AK$1))*2,2)</f>
        <v>00</v>
      </c>
      <c r="AL952" t="str">
        <f>MID('paste from garc here'!$C$3,1+(('table for research'!$B952-911)*36+HEX2DEC('table for research'!AL$1))*2,2)</f>
        <v>00</v>
      </c>
      <c r="AM952" t="str">
        <f>MID('paste from garc here'!$C$3,1+(('table for research'!$B952-911)*36+HEX2DEC('table for research'!AM$1))*2,2)</f>
        <v>00</v>
      </c>
      <c r="AN952" t="str">
        <f>MID('paste from garc here'!$C$3,1+(('table for research'!$B952-911)*36+HEX2DEC('table for research'!AN$1))*2,2)</f>
        <v>00</v>
      </c>
      <c r="AO952" t="str">
        <f>MID('paste from garc here'!$C$3,1+(('table for research'!$B952-911)*36+HEX2DEC('table for research'!AO$1))*2,2)</f>
        <v>00</v>
      </c>
    </row>
    <row r="953" spans="1:41" x14ac:dyDescent="0.4">
      <c r="A953" t="s">
        <v>897</v>
      </c>
      <c r="B953">
        <f>B952+1</f>
        <v>951</v>
      </c>
      <c r="C953" t="str">
        <f>MID('paste from garc here'!$C$3,1+(('table for research'!$B953-911)*36+HEX2DEC('table for research'!C$1))*2,2)</f>
        <v>C8</v>
      </c>
      <c r="D953" t="str">
        <f>MID('paste from garc here'!$C$3,1+(('table for research'!$B953-911)*36+HEX2DEC('table for research'!D$1))*2,2)</f>
        <v>00</v>
      </c>
      <c r="E953" t="str">
        <f>MID('paste from garc here'!$C$3,1+(('table for research'!$B953-911)*36+HEX2DEC('table for research'!E$1))*2,2)</f>
        <v>00</v>
      </c>
      <c r="F953" t="str">
        <f>MID('paste from garc here'!$C$3,1+(('table for research'!$B953-911)*36+HEX2DEC('table for research'!F$1))*2,2)</f>
        <v>00</v>
      </c>
      <c r="G953" t="str">
        <f>MID('paste from garc here'!$C$3,1+(('table for research'!$B953-911)*36+HEX2DEC('table for research'!G$1))*2,2)</f>
        <v>00</v>
      </c>
      <c r="H953" t="str">
        <f>MID('paste from garc here'!$C$3,1+(('table for research'!$B953-911)*36+HEX2DEC('table for research'!H$1))*2,2)</f>
        <v>00</v>
      </c>
      <c r="I953" t="str">
        <f>MID('paste from garc here'!$C$3,1+(('table for research'!$B953-911)*36+HEX2DEC('table for research'!I$1))*2,2)</f>
        <v>00</v>
      </c>
      <c r="J953" t="str">
        <f>MID('paste from garc here'!$C$3,1+(('table for research'!$B953-911)*36+HEX2DEC('table for research'!J$1))*2,2)</f>
        <v>00</v>
      </c>
      <c r="K953" t="str">
        <f>DEC2HEX(_xlfn.BITAND(HEX2DEC(MID('paste from garc here'!$C$1,1+(('table for research'!$B953-1)*36+HEX2DEC(8))*2,2)),31),2)</f>
        <v>00</v>
      </c>
      <c r="L953" t="str">
        <f>DEC2HEX(_xlfn.BITAND(HEX2DEC(MID('paste from garc here'!$C$1,1+(('table for research'!$B953-1)*36+HEX2DEC(8))*2,2)),32),2)</f>
        <v>00</v>
      </c>
      <c r="M953" t="str">
        <f>DEC2HEX(_xlfn.BITAND(HEX2DEC(MID('paste from garc here'!$C$1,1+(('table for research'!$B953-1)*36+HEX2DEC(8))*2,2)),64),2)</f>
        <v>00</v>
      </c>
      <c r="N953" t="str">
        <f>DEC2HEX(_xlfn.BITRSHIFT(_xlfn.BITAND(HEX2DEC(MID('paste from garc here'!$C$1,1+(('table for research'!$B953-1)*36+HEX2DEC(9))*2,2)&amp;MID('paste from garc here'!$C$1,1+(('table for research'!$B953-1)*36+HEX2DEC(8))*2,2)),1920),7),2)</f>
        <v>00</v>
      </c>
      <c r="O953" t="str">
        <f>DEC2HEX(_xlfn.BITRSHIFT(HEX2DEC(MID('paste from garc here'!$C$1,1+(('table for research'!$B953-1)*36+HEX2DEC(9))*2,2)&amp;MID('paste from garc here'!$C$1,1+(('table for research'!$B953-1)*36+HEX2DEC(8))*2,2)),11),2)</f>
        <v>00</v>
      </c>
      <c r="P953" t="str">
        <f>MID('paste from garc here'!$C$3,1+(('table for research'!$B953-911)*36+HEX2DEC('table for research'!P$1))*2,2)</f>
        <v>12</v>
      </c>
      <c r="Q953" t="str">
        <f>MID('paste from garc here'!$C$3,1+(('table for research'!$B953-911)*36+HEX2DEC('table for research'!Q$1))*2,2)</f>
        <v>00</v>
      </c>
      <c r="R953" t="str">
        <f>MID('paste from garc here'!$C$3,1+(('table for research'!$B953-911)*36+HEX2DEC('table for research'!R$1))*2,2)</f>
        <v>00</v>
      </c>
      <c r="S953" t="str">
        <f>MID('paste from garc here'!$C$3,1+(('table for research'!$B953-911)*36+HEX2DEC('table for research'!S$1))*2,2)</f>
        <v>02</v>
      </c>
      <c r="T953" t="str">
        <f>MID('paste from garc here'!$C$3,1+(('table for research'!$B953-911)*36+HEX2DEC('table for research'!T$1))*2,2)</f>
        <v>00</v>
      </c>
      <c r="U953" t="str">
        <f>MID('paste from garc here'!$C$3,1+(('table for research'!$B953-911)*36+HEX2DEC('table for research'!U$1))*2,2)</f>
        <v>C0</v>
      </c>
      <c r="V953" t="str">
        <f>MID('paste from garc here'!$C$3,1+(('table for research'!$B953-911)*36+HEX2DEC('table for research'!V$1))*2,2)</f>
        <v>00</v>
      </c>
      <c r="W953" t="str">
        <f>MID('paste from garc here'!$C$3,1+(('table for research'!$B953-911)*36+HEX2DEC('table for research'!W$1))*2,2)</f>
        <v>00</v>
      </c>
      <c r="X953" t="str">
        <f>MID('paste from garc here'!$C$3,1+(('table for research'!$B953-911)*36+HEX2DEC('table for research'!X$1))*2,2)</f>
        <v>00</v>
      </c>
      <c r="Y953" t="str">
        <f>MID('paste from garc here'!$C$3,1+(('table for research'!$B953-911)*36+HEX2DEC('table for research'!Y$1))*2,2)</f>
        <v>00</v>
      </c>
      <c r="Z953" t="str">
        <f>MID('paste from garc here'!$C$3,1+(('table for research'!$B953-911)*36+HEX2DEC('table for research'!Z$1))*2,2)</f>
        <v>00</v>
      </c>
      <c r="AA953" t="str">
        <f>MID('paste from garc here'!$C$3,1+(('table for research'!$B953-911)*36+HEX2DEC('table for research'!AA$1))*2,2)</f>
        <v>00</v>
      </c>
      <c r="AB953" t="str">
        <f>MID('paste from garc here'!$C$3,1+(('table for research'!$B953-911)*36+HEX2DEC('table for research'!AB$1))*2,2)</f>
        <v>00</v>
      </c>
      <c r="AC953" t="str">
        <f>MID('paste from garc here'!$C$3,1+(('table for research'!$B953-911)*36+HEX2DEC('table for research'!AC$1))*2,2)</f>
        <v>00</v>
      </c>
      <c r="AD953" t="str">
        <f>MID('paste from garc here'!$C$3,1+(('table for research'!$B953-911)*36+HEX2DEC('table for research'!AD$1))*2,2)</f>
        <v>00</v>
      </c>
      <c r="AE953" t="str">
        <f>MID('paste from garc here'!$C$3,1+(('table for research'!$B953-911)*36+HEX2DEC('table for research'!AE$1))*2,2)</f>
        <v>00</v>
      </c>
      <c r="AF953" t="str">
        <f>MID('paste from garc here'!$C$3,1+(('table for research'!$B953-911)*36+HEX2DEC('table for research'!AF$1))*2,2)</f>
        <v>00</v>
      </c>
      <c r="AG953" t="str">
        <f>MID('paste from garc here'!$C$3,1+(('table for research'!$B953-911)*36+HEX2DEC('table for research'!AG$1))*2,2)</f>
        <v>00</v>
      </c>
      <c r="AH953" t="str">
        <f>MID('paste from garc here'!$C$3,1+(('table for research'!$B953-911)*36+HEX2DEC('table for research'!AH$1))*2,2)</f>
        <v>00</v>
      </c>
      <c r="AI953" t="str">
        <f>MID('paste from garc here'!$C$3,1+(('table for research'!$B953-911)*36+HEX2DEC('table for research'!AI$1))*2,2)</f>
        <v>00</v>
      </c>
      <c r="AJ953" t="str">
        <f>MID('paste from garc here'!$C$3,1+(('table for research'!$B953-911)*36+HEX2DEC('table for research'!AJ$1))*2,2)</f>
        <v>00</v>
      </c>
      <c r="AK953" t="str">
        <f>MID('paste from garc here'!$C$3,1+(('table for research'!$B953-911)*36+HEX2DEC('table for research'!AK$1))*2,2)</f>
        <v>00</v>
      </c>
      <c r="AL953" t="str">
        <f>MID('paste from garc here'!$C$3,1+(('table for research'!$B953-911)*36+HEX2DEC('table for research'!AL$1))*2,2)</f>
        <v>00</v>
      </c>
      <c r="AM953" t="str">
        <f>MID('paste from garc here'!$C$3,1+(('table for research'!$B953-911)*36+HEX2DEC('table for research'!AM$1))*2,2)</f>
        <v>00</v>
      </c>
      <c r="AN953" t="str">
        <f>MID('paste from garc here'!$C$3,1+(('table for research'!$B953-911)*36+HEX2DEC('table for research'!AN$1))*2,2)</f>
        <v>00</v>
      </c>
      <c r="AO953" t="str">
        <f>MID('paste from garc here'!$C$3,1+(('table for research'!$B953-911)*36+HEX2DEC('table for research'!AO$1))*2,2)</f>
        <v>00</v>
      </c>
    </row>
    <row r="954" spans="1:41" x14ac:dyDescent="0.4">
      <c r="A954" t="s">
        <v>898</v>
      </c>
      <c r="B954">
        <f>B953+1</f>
        <v>952</v>
      </c>
      <c r="C954" t="str">
        <f>MID('paste from garc here'!$C$3,1+(('table for research'!$B954-911)*36+HEX2DEC('table for research'!C$1))*2,2)</f>
        <v>C8</v>
      </c>
      <c r="D954" t="str">
        <f>MID('paste from garc here'!$C$3,1+(('table for research'!$B954-911)*36+HEX2DEC('table for research'!D$1))*2,2)</f>
        <v>00</v>
      </c>
      <c r="E954" t="str">
        <f>MID('paste from garc here'!$C$3,1+(('table for research'!$B954-911)*36+HEX2DEC('table for research'!E$1))*2,2)</f>
        <v>00</v>
      </c>
      <c r="F954" t="str">
        <f>MID('paste from garc here'!$C$3,1+(('table for research'!$B954-911)*36+HEX2DEC('table for research'!F$1))*2,2)</f>
        <v>00</v>
      </c>
      <c r="G954" t="str">
        <f>MID('paste from garc here'!$C$3,1+(('table for research'!$B954-911)*36+HEX2DEC('table for research'!G$1))*2,2)</f>
        <v>00</v>
      </c>
      <c r="H954" t="str">
        <f>MID('paste from garc here'!$C$3,1+(('table for research'!$B954-911)*36+HEX2DEC('table for research'!H$1))*2,2)</f>
        <v>00</v>
      </c>
      <c r="I954" t="str">
        <f>MID('paste from garc here'!$C$3,1+(('table for research'!$B954-911)*36+HEX2DEC('table for research'!I$1))*2,2)</f>
        <v>00</v>
      </c>
      <c r="J954" t="str">
        <f>MID('paste from garc here'!$C$3,1+(('table for research'!$B954-911)*36+HEX2DEC('table for research'!J$1))*2,2)</f>
        <v>00</v>
      </c>
      <c r="K954" t="str">
        <f>DEC2HEX(_xlfn.BITAND(HEX2DEC(MID('paste from garc here'!$C$1,1+(('table for research'!$B954-1)*36+HEX2DEC(8))*2,2)),31),2)</f>
        <v>00</v>
      </c>
      <c r="L954" t="str">
        <f>DEC2HEX(_xlfn.BITAND(HEX2DEC(MID('paste from garc here'!$C$1,1+(('table for research'!$B954-1)*36+HEX2DEC(8))*2,2)),32),2)</f>
        <v>00</v>
      </c>
      <c r="M954" t="str">
        <f>DEC2HEX(_xlfn.BITAND(HEX2DEC(MID('paste from garc here'!$C$1,1+(('table for research'!$B954-1)*36+HEX2DEC(8))*2,2)),64),2)</f>
        <v>00</v>
      </c>
      <c r="N954" t="str">
        <f>DEC2HEX(_xlfn.BITRSHIFT(_xlfn.BITAND(HEX2DEC(MID('paste from garc here'!$C$1,1+(('table for research'!$B954-1)*36+HEX2DEC(9))*2,2)&amp;MID('paste from garc here'!$C$1,1+(('table for research'!$B954-1)*36+HEX2DEC(8))*2,2)),1920),7),2)</f>
        <v>00</v>
      </c>
      <c r="O954" t="str">
        <f>DEC2HEX(_xlfn.BITRSHIFT(HEX2DEC(MID('paste from garc here'!$C$1,1+(('table for research'!$B954-1)*36+HEX2DEC(9))*2,2)&amp;MID('paste from garc here'!$C$1,1+(('table for research'!$B954-1)*36+HEX2DEC(8))*2,2)),11),2)</f>
        <v>00</v>
      </c>
      <c r="P954" t="str">
        <f>MID('paste from garc here'!$C$3,1+(('table for research'!$B954-911)*36+HEX2DEC('table for research'!P$1))*2,2)</f>
        <v>12</v>
      </c>
      <c r="Q954" t="str">
        <f>MID('paste from garc here'!$C$3,1+(('table for research'!$B954-911)*36+HEX2DEC('table for research'!Q$1))*2,2)</f>
        <v>00</v>
      </c>
      <c r="R954" t="str">
        <f>MID('paste from garc here'!$C$3,1+(('table for research'!$B954-911)*36+HEX2DEC('table for research'!R$1))*2,2)</f>
        <v>00</v>
      </c>
      <c r="S954" t="str">
        <f>MID('paste from garc here'!$C$3,1+(('table for research'!$B954-911)*36+HEX2DEC('table for research'!S$1))*2,2)</f>
        <v>02</v>
      </c>
      <c r="T954" t="str">
        <f>MID('paste from garc here'!$C$3,1+(('table for research'!$B954-911)*36+HEX2DEC('table for research'!T$1))*2,2)</f>
        <v>00</v>
      </c>
      <c r="U954" t="str">
        <f>MID('paste from garc here'!$C$3,1+(('table for research'!$B954-911)*36+HEX2DEC('table for research'!U$1))*2,2)</f>
        <v>C1</v>
      </c>
      <c r="V954" t="str">
        <f>MID('paste from garc here'!$C$3,1+(('table for research'!$B954-911)*36+HEX2DEC('table for research'!V$1))*2,2)</f>
        <v>00</v>
      </c>
      <c r="W954" t="str">
        <f>MID('paste from garc here'!$C$3,1+(('table for research'!$B954-911)*36+HEX2DEC('table for research'!W$1))*2,2)</f>
        <v>00</v>
      </c>
      <c r="X954" t="str">
        <f>MID('paste from garc here'!$C$3,1+(('table for research'!$B954-911)*36+HEX2DEC('table for research'!X$1))*2,2)</f>
        <v>00</v>
      </c>
      <c r="Y954" t="str">
        <f>MID('paste from garc here'!$C$3,1+(('table for research'!$B954-911)*36+HEX2DEC('table for research'!Y$1))*2,2)</f>
        <v>00</v>
      </c>
      <c r="Z954" t="str">
        <f>MID('paste from garc here'!$C$3,1+(('table for research'!$B954-911)*36+HEX2DEC('table for research'!Z$1))*2,2)</f>
        <v>00</v>
      </c>
      <c r="AA954" t="str">
        <f>MID('paste from garc here'!$C$3,1+(('table for research'!$B954-911)*36+HEX2DEC('table for research'!AA$1))*2,2)</f>
        <v>00</v>
      </c>
      <c r="AB954" t="str">
        <f>MID('paste from garc here'!$C$3,1+(('table for research'!$B954-911)*36+HEX2DEC('table for research'!AB$1))*2,2)</f>
        <v>00</v>
      </c>
      <c r="AC954" t="str">
        <f>MID('paste from garc here'!$C$3,1+(('table for research'!$B954-911)*36+HEX2DEC('table for research'!AC$1))*2,2)</f>
        <v>00</v>
      </c>
      <c r="AD954" t="str">
        <f>MID('paste from garc here'!$C$3,1+(('table for research'!$B954-911)*36+HEX2DEC('table for research'!AD$1))*2,2)</f>
        <v>00</v>
      </c>
      <c r="AE954" t="str">
        <f>MID('paste from garc here'!$C$3,1+(('table for research'!$B954-911)*36+HEX2DEC('table for research'!AE$1))*2,2)</f>
        <v>00</v>
      </c>
      <c r="AF954" t="str">
        <f>MID('paste from garc here'!$C$3,1+(('table for research'!$B954-911)*36+HEX2DEC('table for research'!AF$1))*2,2)</f>
        <v>00</v>
      </c>
      <c r="AG954" t="str">
        <f>MID('paste from garc here'!$C$3,1+(('table for research'!$B954-911)*36+HEX2DEC('table for research'!AG$1))*2,2)</f>
        <v>00</v>
      </c>
      <c r="AH954" t="str">
        <f>MID('paste from garc here'!$C$3,1+(('table for research'!$B954-911)*36+HEX2DEC('table for research'!AH$1))*2,2)</f>
        <v>00</v>
      </c>
      <c r="AI954" t="str">
        <f>MID('paste from garc here'!$C$3,1+(('table for research'!$B954-911)*36+HEX2DEC('table for research'!AI$1))*2,2)</f>
        <v>00</v>
      </c>
      <c r="AJ954" t="str">
        <f>MID('paste from garc here'!$C$3,1+(('table for research'!$B954-911)*36+HEX2DEC('table for research'!AJ$1))*2,2)</f>
        <v>00</v>
      </c>
      <c r="AK954" t="str">
        <f>MID('paste from garc here'!$C$3,1+(('table for research'!$B954-911)*36+HEX2DEC('table for research'!AK$1))*2,2)</f>
        <v>00</v>
      </c>
      <c r="AL954" t="str">
        <f>MID('paste from garc here'!$C$3,1+(('table for research'!$B954-911)*36+HEX2DEC('table for research'!AL$1))*2,2)</f>
        <v>00</v>
      </c>
      <c r="AM954" t="str">
        <f>MID('paste from garc here'!$C$3,1+(('table for research'!$B954-911)*36+HEX2DEC('table for research'!AM$1))*2,2)</f>
        <v>00</v>
      </c>
      <c r="AN954" t="str">
        <f>MID('paste from garc here'!$C$3,1+(('table for research'!$B954-911)*36+HEX2DEC('table for research'!AN$1))*2,2)</f>
        <v>00</v>
      </c>
      <c r="AO954" t="str">
        <f>MID('paste from garc here'!$C$3,1+(('table for research'!$B954-911)*36+HEX2DEC('table for research'!AO$1))*2,2)</f>
        <v>00</v>
      </c>
    </row>
    <row r="955" spans="1:41" x14ac:dyDescent="0.4">
      <c r="A955" t="s">
        <v>899</v>
      </c>
      <c r="B955">
        <f>B954+1</f>
        <v>953</v>
      </c>
      <c r="C955" t="str">
        <f>MID('paste from garc here'!$C$3,1+(('table for research'!$B955-911)*36+HEX2DEC('table for research'!C$1))*2,2)</f>
        <v>C8</v>
      </c>
      <c r="D955" t="str">
        <f>MID('paste from garc here'!$C$3,1+(('table for research'!$B955-911)*36+HEX2DEC('table for research'!D$1))*2,2)</f>
        <v>00</v>
      </c>
      <c r="E955" t="str">
        <f>MID('paste from garc here'!$C$3,1+(('table for research'!$B955-911)*36+HEX2DEC('table for research'!E$1))*2,2)</f>
        <v>00</v>
      </c>
      <c r="F955" t="str">
        <f>MID('paste from garc here'!$C$3,1+(('table for research'!$B955-911)*36+HEX2DEC('table for research'!F$1))*2,2)</f>
        <v>00</v>
      </c>
      <c r="G955" t="str">
        <f>MID('paste from garc here'!$C$3,1+(('table for research'!$B955-911)*36+HEX2DEC('table for research'!G$1))*2,2)</f>
        <v>00</v>
      </c>
      <c r="H955" t="str">
        <f>MID('paste from garc here'!$C$3,1+(('table for research'!$B955-911)*36+HEX2DEC('table for research'!H$1))*2,2)</f>
        <v>00</v>
      </c>
      <c r="I955" t="str">
        <f>MID('paste from garc here'!$C$3,1+(('table for research'!$B955-911)*36+HEX2DEC('table for research'!I$1))*2,2)</f>
        <v>00</v>
      </c>
      <c r="J955" t="str">
        <f>MID('paste from garc here'!$C$3,1+(('table for research'!$B955-911)*36+HEX2DEC('table for research'!J$1))*2,2)</f>
        <v>00</v>
      </c>
      <c r="K955" t="str">
        <f>DEC2HEX(_xlfn.BITAND(HEX2DEC(MID('paste from garc here'!$C$1,1+(('table for research'!$B955-1)*36+HEX2DEC(8))*2,2)),31),2)</f>
        <v>00</v>
      </c>
      <c r="L955" t="str">
        <f>DEC2HEX(_xlfn.BITAND(HEX2DEC(MID('paste from garc here'!$C$1,1+(('table for research'!$B955-1)*36+HEX2DEC(8))*2,2)),32),2)</f>
        <v>00</v>
      </c>
      <c r="M955" t="str">
        <f>DEC2HEX(_xlfn.BITAND(HEX2DEC(MID('paste from garc here'!$C$1,1+(('table for research'!$B955-1)*36+HEX2DEC(8))*2,2)),64),2)</f>
        <v>00</v>
      </c>
      <c r="N955" t="str">
        <f>DEC2HEX(_xlfn.BITRSHIFT(_xlfn.BITAND(HEX2DEC(MID('paste from garc here'!$C$1,1+(('table for research'!$B955-1)*36+HEX2DEC(9))*2,2)&amp;MID('paste from garc here'!$C$1,1+(('table for research'!$B955-1)*36+HEX2DEC(8))*2,2)),1920),7),2)</f>
        <v>00</v>
      </c>
      <c r="O955" t="str">
        <f>DEC2HEX(_xlfn.BITRSHIFT(HEX2DEC(MID('paste from garc here'!$C$1,1+(('table for research'!$B955-1)*36+HEX2DEC(9))*2,2)&amp;MID('paste from garc here'!$C$1,1+(('table for research'!$B955-1)*36+HEX2DEC(8))*2,2)),11),2)</f>
        <v>00</v>
      </c>
      <c r="P955" t="str">
        <f>MID('paste from garc here'!$C$3,1+(('table for research'!$B955-911)*36+HEX2DEC('table for research'!P$1))*2,2)</f>
        <v>12</v>
      </c>
      <c r="Q955" t="str">
        <f>MID('paste from garc here'!$C$3,1+(('table for research'!$B955-911)*36+HEX2DEC('table for research'!Q$1))*2,2)</f>
        <v>00</v>
      </c>
      <c r="R955" t="str">
        <f>MID('paste from garc here'!$C$3,1+(('table for research'!$B955-911)*36+HEX2DEC('table for research'!R$1))*2,2)</f>
        <v>00</v>
      </c>
      <c r="S955" t="str">
        <f>MID('paste from garc here'!$C$3,1+(('table for research'!$B955-911)*36+HEX2DEC('table for research'!S$1))*2,2)</f>
        <v>02</v>
      </c>
      <c r="T955" t="str">
        <f>MID('paste from garc here'!$C$3,1+(('table for research'!$B955-911)*36+HEX2DEC('table for research'!T$1))*2,2)</f>
        <v>00</v>
      </c>
      <c r="U955" t="str">
        <f>MID('paste from garc here'!$C$3,1+(('table for research'!$B955-911)*36+HEX2DEC('table for research'!U$1))*2,2)</f>
        <v>C2</v>
      </c>
      <c r="V955" t="str">
        <f>MID('paste from garc here'!$C$3,1+(('table for research'!$B955-911)*36+HEX2DEC('table for research'!V$1))*2,2)</f>
        <v>00</v>
      </c>
      <c r="W955" t="str">
        <f>MID('paste from garc here'!$C$3,1+(('table for research'!$B955-911)*36+HEX2DEC('table for research'!W$1))*2,2)</f>
        <v>00</v>
      </c>
      <c r="X955" t="str">
        <f>MID('paste from garc here'!$C$3,1+(('table for research'!$B955-911)*36+HEX2DEC('table for research'!X$1))*2,2)</f>
        <v>00</v>
      </c>
      <c r="Y955" t="str">
        <f>MID('paste from garc here'!$C$3,1+(('table for research'!$B955-911)*36+HEX2DEC('table for research'!Y$1))*2,2)</f>
        <v>00</v>
      </c>
      <c r="Z955" t="str">
        <f>MID('paste from garc here'!$C$3,1+(('table for research'!$B955-911)*36+HEX2DEC('table for research'!Z$1))*2,2)</f>
        <v>00</v>
      </c>
      <c r="AA955" t="str">
        <f>MID('paste from garc here'!$C$3,1+(('table for research'!$B955-911)*36+HEX2DEC('table for research'!AA$1))*2,2)</f>
        <v>00</v>
      </c>
      <c r="AB955" t="str">
        <f>MID('paste from garc here'!$C$3,1+(('table for research'!$B955-911)*36+HEX2DEC('table for research'!AB$1))*2,2)</f>
        <v>00</v>
      </c>
      <c r="AC955" t="str">
        <f>MID('paste from garc here'!$C$3,1+(('table for research'!$B955-911)*36+HEX2DEC('table for research'!AC$1))*2,2)</f>
        <v>00</v>
      </c>
      <c r="AD955" t="str">
        <f>MID('paste from garc here'!$C$3,1+(('table for research'!$B955-911)*36+HEX2DEC('table for research'!AD$1))*2,2)</f>
        <v>00</v>
      </c>
      <c r="AE955" t="str">
        <f>MID('paste from garc here'!$C$3,1+(('table for research'!$B955-911)*36+HEX2DEC('table for research'!AE$1))*2,2)</f>
        <v>00</v>
      </c>
      <c r="AF955" t="str">
        <f>MID('paste from garc here'!$C$3,1+(('table for research'!$B955-911)*36+HEX2DEC('table for research'!AF$1))*2,2)</f>
        <v>00</v>
      </c>
      <c r="AG955" t="str">
        <f>MID('paste from garc here'!$C$3,1+(('table for research'!$B955-911)*36+HEX2DEC('table for research'!AG$1))*2,2)</f>
        <v>00</v>
      </c>
      <c r="AH955" t="str">
        <f>MID('paste from garc here'!$C$3,1+(('table for research'!$B955-911)*36+HEX2DEC('table for research'!AH$1))*2,2)</f>
        <v>00</v>
      </c>
      <c r="AI955" t="str">
        <f>MID('paste from garc here'!$C$3,1+(('table for research'!$B955-911)*36+HEX2DEC('table for research'!AI$1))*2,2)</f>
        <v>00</v>
      </c>
      <c r="AJ955" t="str">
        <f>MID('paste from garc here'!$C$3,1+(('table for research'!$B955-911)*36+HEX2DEC('table for research'!AJ$1))*2,2)</f>
        <v>00</v>
      </c>
      <c r="AK955" t="str">
        <f>MID('paste from garc here'!$C$3,1+(('table for research'!$B955-911)*36+HEX2DEC('table for research'!AK$1))*2,2)</f>
        <v>00</v>
      </c>
      <c r="AL955" t="str">
        <f>MID('paste from garc here'!$C$3,1+(('table for research'!$B955-911)*36+HEX2DEC('table for research'!AL$1))*2,2)</f>
        <v>00</v>
      </c>
      <c r="AM955" t="str">
        <f>MID('paste from garc here'!$C$3,1+(('table for research'!$B955-911)*36+HEX2DEC('table for research'!AM$1))*2,2)</f>
        <v>00</v>
      </c>
      <c r="AN955" t="str">
        <f>MID('paste from garc here'!$C$3,1+(('table for research'!$B955-911)*36+HEX2DEC('table for research'!AN$1))*2,2)</f>
        <v>00</v>
      </c>
      <c r="AO955" t="str">
        <f>MID('paste from garc here'!$C$3,1+(('table for research'!$B955-911)*36+HEX2DEC('table for research'!AO$1))*2,2)</f>
        <v>00</v>
      </c>
    </row>
    <row r="956" spans="1:41" x14ac:dyDescent="0.4">
      <c r="A956" t="s">
        <v>900</v>
      </c>
      <c r="B956">
        <f>B955+1</f>
        <v>954</v>
      </c>
      <c r="C956" t="str">
        <f>MID('paste from garc here'!$C$3,1+(('table for research'!$B956-911)*36+HEX2DEC('table for research'!C$1))*2,2)</f>
        <v>C8</v>
      </c>
      <c r="D956" t="str">
        <f>MID('paste from garc here'!$C$3,1+(('table for research'!$B956-911)*36+HEX2DEC('table for research'!D$1))*2,2)</f>
        <v>00</v>
      </c>
      <c r="E956" t="str">
        <f>MID('paste from garc here'!$C$3,1+(('table for research'!$B956-911)*36+HEX2DEC('table for research'!E$1))*2,2)</f>
        <v>00</v>
      </c>
      <c r="F956" t="str">
        <f>MID('paste from garc here'!$C$3,1+(('table for research'!$B956-911)*36+HEX2DEC('table for research'!F$1))*2,2)</f>
        <v>00</v>
      </c>
      <c r="G956" t="str">
        <f>MID('paste from garc here'!$C$3,1+(('table for research'!$B956-911)*36+HEX2DEC('table for research'!G$1))*2,2)</f>
        <v>00</v>
      </c>
      <c r="H956" t="str">
        <f>MID('paste from garc here'!$C$3,1+(('table for research'!$B956-911)*36+HEX2DEC('table for research'!H$1))*2,2)</f>
        <v>00</v>
      </c>
      <c r="I956" t="str">
        <f>MID('paste from garc here'!$C$3,1+(('table for research'!$B956-911)*36+HEX2DEC('table for research'!I$1))*2,2)</f>
        <v>00</v>
      </c>
      <c r="J956" t="str">
        <f>MID('paste from garc here'!$C$3,1+(('table for research'!$B956-911)*36+HEX2DEC('table for research'!J$1))*2,2)</f>
        <v>00</v>
      </c>
      <c r="K956" t="str">
        <f>DEC2HEX(_xlfn.BITAND(HEX2DEC(MID('paste from garc here'!$C$1,1+(('table for research'!$B956-1)*36+HEX2DEC(8))*2,2)),31),2)</f>
        <v>00</v>
      </c>
      <c r="L956" t="str">
        <f>DEC2HEX(_xlfn.BITAND(HEX2DEC(MID('paste from garc here'!$C$1,1+(('table for research'!$B956-1)*36+HEX2DEC(8))*2,2)),32),2)</f>
        <v>00</v>
      </c>
      <c r="M956" t="str">
        <f>DEC2HEX(_xlfn.BITAND(HEX2DEC(MID('paste from garc here'!$C$1,1+(('table for research'!$B956-1)*36+HEX2DEC(8))*2,2)),64),2)</f>
        <v>00</v>
      </c>
      <c r="N956" t="str">
        <f>DEC2HEX(_xlfn.BITRSHIFT(_xlfn.BITAND(HEX2DEC(MID('paste from garc here'!$C$1,1+(('table for research'!$B956-1)*36+HEX2DEC(9))*2,2)&amp;MID('paste from garc here'!$C$1,1+(('table for research'!$B956-1)*36+HEX2DEC(8))*2,2)),1920),7),2)</f>
        <v>00</v>
      </c>
      <c r="O956" t="str">
        <f>DEC2HEX(_xlfn.BITRSHIFT(HEX2DEC(MID('paste from garc here'!$C$1,1+(('table for research'!$B956-1)*36+HEX2DEC(9))*2,2)&amp;MID('paste from garc here'!$C$1,1+(('table for research'!$B956-1)*36+HEX2DEC(8))*2,2)),11),2)</f>
        <v>00</v>
      </c>
      <c r="P956" t="str">
        <f>MID('paste from garc here'!$C$3,1+(('table for research'!$B956-911)*36+HEX2DEC('table for research'!P$1))*2,2)</f>
        <v>12</v>
      </c>
      <c r="Q956" t="str">
        <f>MID('paste from garc here'!$C$3,1+(('table for research'!$B956-911)*36+HEX2DEC('table for research'!Q$1))*2,2)</f>
        <v>00</v>
      </c>
      <c r="R956" t="str">
        <f>MID('paste from garc here'!$C$3,1+(('table for research'!$B956-911)*36+HEX2DEC('table for research'!R$1))*2,2)</f>
        <v>00</v>
      </c>
      <c r="S956" t="str">
        <f>MID('paste from garc here'!$C$3,1+(('table for research'!$B956-911)*36+HEX2DEC('table for research'!S$1))*2,2)</f>
        <v>02</v>
      </c>
      <c r="T956" t="str">
        <f>MID('paste from garc here'!$C$3,1+(('table for research'!$B956-911)*36+HEX2DEC('table for research'!T$1))*2,2)</f>
        <v>00</v>
      </c>
      <c r="U956" t="str">
        <f>MID('paste from garc here'!$C$3,1+(('table for research'!$B956-911)*36+HEX2DEC('table for research'!U$1))*2,2)</f>
        <v>C3</v>
      </c>
      <c r="V956" t="str">
        <f>MID('paste from garc here'!$C$3,1+(('table for research'!$B956-911)*36+HEX2DEC('table for research'!V$1))*2,2)</f>
        <v>00</v>
      </c>
      <c r="W956" t="str">
        <f>MID('paste from garc here'!$C$3,1+(('table for research'!$B956-911)*36+HEX2DEC('table for research'!W$1))*2,2)</f>
        <v>00</v>
      </c>
      <c r="X956" t="str">
        <f>MID('paste from garc here'!$C$3,1+(('table for research'!$B956-911)*36+HEX2DEC('table for research'!X$1))*2,2)</f>
        <v>00</v>
      </c>
      <c r="Y956" t="str">
        <f>MID('paste from garc here'!$C$3,1+(('table for research'!$B956-911)*36+HEX2DEC('table for research'!Y$1))*2,2)</f>
        <v>00</v>
      </c>
      <c r="Z956" t="str">
        <f>MID('paste from garc here'!$C$3,1+(('table for research'!$B956-911)*36+HEX2DEC('table for research'!Z$1))*2,2)</f>
        <v>00</v>
      </c>
      <c r="AA956" t="str">
        <f>MID('paste from garc here'!$C$3,1+(('table for research'!$B956-911)*36+HEX2DEC('table for research'!AA$1))*2,2)</f>
        <v>00</v>
      </c>
      <c r="AB956" t="str">
        <f>MID('paste from garc here'!$C$3,1+(('table for research'!$B956-911)*36+HEX2DEC('table for research'!AB$1))*2,2)</f>
        <v>00</v>
      </c>
      <c r="AC956" t="str">
        <f>MID('paste from garc here'!$C$3,1+(('table for research'!$B956-911)*36+HEX2DEC('table for research'!AC$1))*2,2)</f>
        <v>00</v>
      </c>
      <c r="AD956" t="str">
        <f>MID('paste from garc here'!$C$3,1+(('table for research'!$B956-911)*36+HEX2DEC('table for research'!AD$1))*2,2)</f>
        <v>00</v>
      </c>
      <c r="AE956" t="str">
        <f>MID('paste from garc here'!$C$3,1+(('table for research'!$B956-911)*36+HEX2DEC('table for research'!AE$1))*2,2)</f>
        <v>00</v>
      </c>
      <c r="AF956" t="str">
        <f>MID('paste from garc here'!$C$3,1+(('table for research'!$B956-911)*36+HEX2DEC('table for research'!AF$1))*2,2)</f>
        <v>00</v>
      </c>
      <c r="AG956" t="str">
        <f>MID('paste from garc here'!$C$3,1+(('table for research'!$B956-911)*36+HEX2DEC('table for research'!AG$1))*2,2)</f>
        <v>00</v>
      </c>
      <c r="AH956" t="str">
        <f>MID('paste from garc here'!$C$3,1+(('table for research'!$B956-911)*36+HEX2DEC('table for research'!AH$1))*2,2)</f>
        <v>00</v>
      </c>
      <c r="AI956" t="str">
        <f>MID('paste from garc here'!$C$3,1+(('table for research'!$B956-911)*36+HEX2DEC('table for research'!AI$1))*2,2)</f>
        <v>00</v>
      </c>
      <c r="AJ956" t="str">
        <f>MID('paste from garc here'!$C$3,1+(('table for research'!$B956-911)*36+HEX2DEC('table for research'!AJ$1))*2,2)</f>
        <v>00</v>
      </c>
      <c r="AK956" t="str">
        <f>MID('paste from garc here'!$C$3,1+(('table for research'!$B956-911)*36+HEX2DEC('table for research'!AK$1))*2,2)</f>
        <v>00</v>
      </c>
      <c r="AL956" t="str">
        <f>MID('paste from garc here'!$C$3,1+(('table for research'!$B956-911)*36+HEX2DEC('table for research'!AL$1))*2,2)</f>
        <v>00</v>
      </c>
      <c r="AM956" t="str">
        <f>MID('paste from garc here'!$C$3,1+(('table for research'!$B956-911)*36+HEX2DEC('table for research'!AM$1))*2,2)</f>
        <v>00</v>
      </c>
      <c r="AN956" t="str">
        <f>MID('paste from garc here'!$C$3,1+(('table for research'!$B956-911)*36+HEX2DEC('table for research'!AN$1))*2,2)</f>
        <v>00</v>
      </c>
      <c r="AO956" t="str">
        <f>MID('paste from garc here'!$C$3,1+(('table for research'!$B956-911)*36+HEX2DEC('table for research'!AO$1))*2,2)</f>
        <v>00</v>
      </c>
    </row>
    <row r="957" spans="1:41" x14ac:dyDescent="0.4">
      <c r="A957" t="s">
        <v>901</v>
      </c>
      <c r="B957">
        <f>B956+1</f>
        <v>955</v>
      </c>
      <c r="C957" t="str">
        <f>MID('paste from garc here'!$C$3,1+(('table for research'!$B957-911)*36+HEX2DEC('table for research'!C$1))*2,2)</f>
        <v>C8</v>
      </c>
      <c r="D957" t="str">
        <f>MID('paste from garc here'!$C$3,1+(('table for research'!$B957-911)*36+HEX2DEC('table for research'!D$1))*2,2)</f>
        <v>00</v>
      </c>
      <c r="E957" t="str">
        <f>MID('paste from garc here'!$C$3,1+(('table for research'!$B957-911)*36+HEX2DEC('table for research'!E$1))*2,2)</f>
        <v>00</v>
      </c>
      <c r="F957" t="str">
        <f>MID('paste from garc here'!$C$3,1+(('table for research'!$B957-911)*36+HEX2DEC('table for research'!F$1))*2,2)</f>
        <v>00</v>
      </c>
      <c r="G957" t="str">
        <f>MID('paste from garc here'!$C$3,1+(('table for research'!$B957-911)*36+HEX2DEC('table for research'!G$1))*2,2)</f>
        <v>00</v>
      </c>
      <c r="H957" t="str">
        <f>MID('paste from garc here'!$C$3,1+(('table for research'!$B957-911)*36+HEX2DEC('table for research'!H$1))*2,2)</f>
        <v>00</v>
      </c>
      <c r="I957" t="str">
        <f>MID('paste from garc here'!$C$3,1+(('table for research'!$B957-911)*36+HEX2DEC('table for research'!I$1))*2,2)</f>
        <v>00</v>
      </c>
      <c r="J957" t="str">
        <f>MID('paste from garc here'!$C$3,1+(('table for research'!$B957-911)*36+HEX2DEC('table for research'!J$1))*2,2)</f>
        <v>00</v>
      </c>
      <c r="K957" t="str">
        <f>DEC2HEX(_xlfn.BITAND(HEX2DEC(MID('paste from garc here'!$C$1,1+(('table for research'!$B957-1)*36+HEX2DEC(8))*2,2)),31),2)</f>
        <v>00</v>
      </c>
      <c r="L957" t="str">
        <f>DEC2HEX(_xlfn.BITAND(HEX2DEC(MID('paste from garc here'!$C$1,1+(('table for research'!$B957-1)*36+HEX2DEC(8))*2,2)),32),2)</f>
        <v>00</v>
      </c>
      <c r="M957" t="str">
        <f>DEC2HEX(_xlfn.BITAND(HEX2DEC(MID('paste from garc here'!$C$1,1+(('table for research'!$B957-1)*36+HEX2DEC(8))*2,2)),64),2)</f>
        <v>00</v>
      </c>
      <c r="N957" t="str">
        <f>DEC2HEX(_xlfn.BITRSHIFT(_xlfn.BITAND(HEX2DEC(MID('paste from garc here'!$C$1,1+(('table for research'!$B957-1)*36+HEX2DEC(9))*2,2)&amp;MID('paste from garc here'!$C$1,1+(('table for research'!$B957-1)*36+HEX2DEC(8))*2,2)),1920),7),2)</f>
        <v>00</v>
      </c>
      <c r="O957" t="str">
        <f>DEC2HEX(_xlfn.BITRSHIFT(HEX2DEC(MID('paste from garc here'!$C$1,1+(('table for research'!$B957-1)*36+HEX2DEC(9))*2,2)&amp;MID('paste from garc here'!$C$1,1+(('table for research'!$B957-1)*36+HEX2DEC(8))*2,2)),11),2)</f>
        <v>00</v>
      </c>
      <c r="P957" t="str">
        <f>MID('paste from garc here'!$C$3,1+(('table for research'!$B957-911)*36+HEX2DEC('table for research'!P$1))*2,2)</f>
        <v>12</v>
      </c>
      <c r="Q957" t="str">
        <f>MID('paste from garc here'!$C$3,1+(('table for research'!$B957-911)*36+HEX2DEC('table for research'!Q$1))*2,2)</f>
        <v>00</v>
      </c>
      <c r="R957" t="str">
        <f>MID('paste from garc here'!$C$3,1+(('table for research'!$B957-911)*36+HEX2DEC('table for research'!R$1))*2,2)</f>
        <v>00</v>
      </c>
      <c r="S957" t="str">
        <f>MID('paste from garc here'!$C$3,1+(('table for research'!$B957-911)*36+HEX2DEC('table for research'!S$1))*2,2)</f>
        <v>02</v>
      </c>
      <c r="T957" t="str">
        <f>MID('paste from garc here'!$C$3,1+(('table for research'!$B957-911)*36+HEX2DEC('table for research'!T$1))*2,2)</f>
        <v>00</v>
      </c>
      <c r="U957" t="str">
        <f>MID('paste from garc here'!$C$3,1+(('table for research'!$B957-911)*36+HEX2DEC('table for research'!U$1))*2,2)</f>
        <v>C4</v>
      </c>
      <c r="V957" t="str">
        <f>MID('paste from garc here'!$C$3,1+(('table for research'!$B957-911)*36+HEX2DEC('table for research'!V$1))*2,2)</f>
        <v>00</v>
      </c>
      <c r="W957" t="str">
        <f>MID('paste from garc here'!$C$3,1+(('table for research'!$B957-911)*36+HEX2DEC('table for research'!W$1))*2,2)</f>
        <v>00</v>
      </c>
      <c r="X957" t="str">
        <f>MID('paste from garc here'!$C$3,1+(('table for research'!$B957-911)*36+HEX2DEC('table for research'!X$1))*2,2)</f>
        <v>00</v>
      </c>
      <c r="Y957" t="str">
        <f>MID('paste from garc here'!$C$3,1+(('table for research'!$B957-911)*36+HEX2DEC('table for research'!Y$1))*2,2)</f>
        <v>00</v>
      </c>
      <c r="Z957" t="str">
        <f>MID('paste from garc here'!$C$3,1+(('table for research'!$B957-911)*36+HEX2DEC('table for research'!Z$1))*2,2)</f>
        <v>00</v>
      </c>
      <c r="AA957" t="str">
        <f>MID('paste from garc here'!$C$3,1+(('table for research'!$B957-911)*36+HEX2DEC('table for research'!AA$1))*2,2)</f>
        <v>00</v>
      </c>
      <c r="AB957" t="str">
        <f>MID('paste from garc here'!$C$3,1+(('table for research'!$B957-911)*36+HEX2DEC('table for research'!AB$1))*2,2)</f>
        <v>00</v>
      </c>
      <c r="AC957" t="str">
        <f>MID('paste from garc here'!$C$3,1+(('table for research'!$B957-911)*36+HEX2DEC('table for research'!AC$1))*2,2)</f>
        <v>00</v>
      </c>
      <c r="AD957" t="str">
        <f>MID('paste from garc here'!$C$3,1+(('table for research'!$B957-911)*36+HEX2DEC('table for research'!AD$1))*2,2)</f>
        <v>00</v>
      </c>
      <c r="AE957" t="str">
        <f>MID('paste from garc here'!$C$3,1+(('table for research'!$B957-911)*36+HEX2DEC('table for research'!AE$1))*2,2)</f>
        <v>00</v>
      </c>
      <c r="AF957" t="str">
        <f>MID('paste from garc here'!$C$3,1+(('table for research'!$B957-911)*36+HEX2DEC('table for research'!AF$1))*2,2)</f>
        <v>00</v>
      </c>
      <c r="AG957" t="str">
        <f>MID('paste from garc here'!$C$3,1+(('table for research'!$B957-911)*36+HEX2DEC('table for research'!AG$1))*2,2)</f>
        <v>00</v>
      </c>
      <c r="AH957" t="str">
        <f>MID('paste from garc here'!$C$3,1+(('table for research'!$B957-911)*36+HEX2DEC('table for research'!AH$1))*2,2)</f>
        <v>00</v>
      </c>
      <c r="AI957" t="str">
        <f>MID('paste from garc here'!$C$3,1+(('table for research'!$B957-911)*36+HEX2DEC('table for research'!AI$1))*2,2)</f>
        <v>00</v>
      </c>
      <c r="AJ957" t="str">
        <f>MID('paste from garc here'!$C$3,1+(('table for research'!$B957-911)*36+HEX2DEC('table for research'!AJ$1))*2,2)</f>
        <v>00</v>
      </c>
      <c r="AK957" t="str">
        <f>MID('paste from garc here'!$C$3,1+(('table for research'!$B957-911)*36+HEX2DEC('table for research'!AK$1))*2,2)</f>
        <v>00</v>
      </c>
      <c r="AL957" t="str">
        <f>MID('paste from garc here'!$C$3,1+(('table for research'!$B957-911)*36+HEX2DEC('table for research'!AL$1))*2,2)</f>
        <v>00</v>
      </c>
      <c r="AM957" t="str">
        <f>MID('paste from garc here'!$C$3,1+(('table for research'!$B957-911)*36+HEX2DEC('table for research'!AM$1))*2,2)</f>
        <v>00</v>
      </c>
      <c r="AN957" t="str">
        <f>MID('paste from garc here'!$C$3,1+(('table for research'!$B957-911)*36+HEX2DEC('table for research'!AN$1))*2,2)</f>
        <v>00</v>
      </c>
      <c r="AO957" t="str">
        <f>MID('paste from garc here'!$C$3,1+(('table for research'!$B957-911)*36+HEX2DEC('table for research'!AO$1))*2,2)</f>
        <v>00</v>
      </c>
    </row>
    <row r="958" spans="1:41" x14ac:dyDescent="0.4">
      <c r="A958" t="s">
        <v>902</v>
      </c>
      <c r="B958">
        <f>B957+1</f>
        <v>956</v>
      </c>
      <c r="C958" t="str">
        <f>MID('paste from garc here'!$C$3,1+(('table for research'!$B958-911)*36+HEX2DEC('table for research'!C$1))*2,2)</f>
        <v>C8</v>
      </c>
      <c r="D958" t="str">
        <f>MID('paste from garc here'!$C$3,1+(('table for research'!$B958-911)*36+HEX2DEC('table for research'!D$1))*2,2)</f>
        <v>00</v>
      </c>
      <c r="E958" t="str">
        <f>MID('paste from garc here'!$C$3,1+(('table for research'!$B958-911)*36+HEX2DEC('table for research'!E$1))*2,2)</f>
        <v>00</v>
      </c>
      <c r="F958" t="str">
        <f>MID('paste from garc here'!$C$3,1+(('table for research'!$B958-911)*36+HEX2DEC('table for research'!F$1))*2,2)</f>
        <v>00</v>
      </c>
      <c r="G958" t="str">
        <f>MID('paste from garc here'!$C$3,1+(('table for research'!$B958-911)*36+HEX2DEC('table for research'!G$1))*2,2)</f>
        <v>00</v>
      </c>
      <c r="H958" t="str">
        <f>MID('paste from garc here'!$C$3,1+(('table for research'!$B958-911)*36+HEX2DEC('table for research'!H$1))*2,2)</f>
        <v>00</v>
      </c>
      <c r="I958" t="str">
        <f>MID('paste from garc here'!$C$3,1+(('table for research'!$B958-911)*36+HEX2DEC('table for research'!I$1))*2,2)</f>
        <v>00</v>
      </c>
      <c r="J958" t="str">
        <f>MID('paste from garc here'!$C$3,1+(('table for research'!$B958-911)*36+HEX2DEC('table for research'!J$1))*2,2)</f>
        <v>00</v>
      </c>
      <c r="K958" t="str">
        <f>DEC2HEX(_xlfn.BITAND(HEX2DEC(MID('paste from garc here'!$C$1,1+(('table for research'!$B958-1)*36+HEX2DEC(8))*2,2)),31),2)</f>
        <v>00</v>
      </c>
      <c r="L958" t="str">
        <f>DEC2HEX(_xlfn.BITAND(HEX2DEC(MID('paste from garc here'!$C$1,1+(('table for research'!$B958-1)*36+HEX2DEC(8))*2,2)),32),2)</f>
        <v>00</v>
      </c>
      <c r="M958" t="str">
        <f>DEC2HEX(_xlfn.BITAND(HEX2DEC(MID('paste from garc here'!$C$1,1+(('table for research'!$B958-1)*36+HEX2DEC(8))*2,2)),64),2)</f>
        <v>00</v>
      </c>
      <c r="N958" t="str">
        <f>DEC2HEX(_xlfn.BITRSHIFT(_xlfn.BITAND(HEX2DEC(MID('paste from garc here'!$C$1,1+(('table for research'!$B958-1)*36+HEX2DEC(9))*2,2)&amp;MID('paste from garc here'!$C$1,1+(('table for research'!$B958-1)*36+HEX2DEC(8))*2,2)),1920),7),2)</f>
        <v>00</v>
      </c>
      <c r="O958" t="str">
        <f>DEC2HEX(_xlfn.BITRSHIFT(HEX2DEC(MID('paste from garc here'!$C$1,1+(('table for research'!$B958-1)*36+HEX2DEC(9))*2,2)&amp;MID('paste from garc here'!$C$1,1+(('table for research'!$B958-1)*36+HEX2DEC(8))*2,2)),11),2)</f>
        <v>00</v>
      </c>
      <c r="P958" t="str">
        <f>MID('paste from garc here'!$C$3,1+(('table for research'!$B958-911)*36+HEX2DEC('table for research'!P$1))*2,2)</f>
        <v>00</v>
      </c>
      <c r="Q958" t="str">
        <f>MID('paste from garc here'!$C$3,1+(('table for research'!$B958-911)*36+HEX2DEC('table for research'!Q$1))*2,2)</f>
        <v>00</v>
      </c>
      <c r="R958" t="str">
        <f>MID('paste from garc here'!$C$3,1+(('table for research'!$B958-911)*36+HEX2DEC('table for research'!R$1))*2,2)</f>
        <v>01</v>
      </c>
      <c r="S958" t="str">
        <f>MID('paste from garc here'!$C$3,1+(('table for research'!$B958-911)*36+HEX2DEC('table for research'!S$1))*2,2)</f>
        <v>02</v>
      </c>
      <c r="T958" t="str">
        <f>MID('paste from garc here'!$C$3,1+(('table for research'!$B958-911)*36+HEX2DEC('table for research'!T$1))*2,2)</f>
        <v>00</v>
      </c>
      <c r="U958" t="str">
        <f>MID('paste from garc here'!$C$3,1+(('table for research'!$B958-911)*36+HEX2DEC('table for research'!U$1))*2,2)</f>
        <v>C5</v>
      </c>
      <c r="V958" t="str">
        <f>MID('paste from garc here'!$C$3,1+(('table for research'!$B958-911)*36+HEX2DEC('table for research'!V$1))*2,2)</f>
        <v>00</v>
      </c>
      <c r="W958" t="str">
        <f>MID('paste from garc here'!$C$3,1+(('table for research'!$B958-911)*36+HEX2DEC('table for research'!W$1))*2,2)</f>
        <v>00</v>
      </c>
      <c r="X958" t="str">
        <f>MID('paste from garc here'!$C$3,1+(('table for research'!$B958-911)*36+HEX2DEC('table for research'!X$1))*2,2)</f>
        <v>00</v>
      </c>
      <c r="Y958" t="str">
        <f>MID('paste from garc here'!$C$3,1+(('table for research'!$B958-911)*36+HEX2DEC('table for research'!Y$1))*2,2)</f>
        <v>00</v>
      </c>
      <c r="Z958" t="str">
        <f>MID('paste from garc here'!$C$3,1+(('table for research'!$B958-911)*36+HEX2DEC('table for research'!Z$1))*2,2)</f>
        <v>00</v>
      </c>
      <c r="AA958" t="str">
        <f>MID('paste from garc here'!$C$3,1+(('table for research'!$B958-911)*36+HEX2DEC('table for research'!AA$1))*2,2)</f>
        <v>04</v>
      </c>
      <c r="AB958" t="str">
        <f>MID('paste from garc here'!$C$3,1+(('table for research'!$B958-911)*36+HEX2DEC('table for research'!AB$1))*2,2)</f>
        <v>00</v>
      </c>
      <c r="AC958" t="str">
        <f>MID('paste from garc here'!$C$3,1+(('table for research'!$B958-911)*36+HEX2DEC('table for research'!AC$1))*2,2)</f>
        <v>00</v>
      </c>
      <c r="AD958" t="str">
        <f>MID('paste from garc here'!$C$3,1+(('table for research'!$B958-911)*36+HEX2DEC('table for research'!AD$1))*2,2)</f>
        <v>00</v>
      </c>
      <c r="AE958" t="str">
        <f>MID('paste from garc here'!$C$3,1+(('table for research'!$B958-911)*36+HEX2DEC('table for research'!AE$1))*2,2)</f>
        <v>00</v>
      </c>
      <c r="AF958" t="str">
        <f>MID('paste from garc here'!$C$3,1+(('table for research'!$B958-911)*36+HEX2DEC('table for research'!AF$1))*2,2)</f>
        <v>00</v>
      </c>
      <c r="AG958" t="str">
        <f>MID('paste from garc here'!$C$3,1+(('table for research'!$B958-911)*36+HEX2DEC('table for research'!AG$1))*2,2)</f>
        <v>00</v>
      </c>
      <c r="AH958" t="str">
        <f>MID('paste from garc here'!$C$3,1+(('table for research'!$B958-911)*36+HEX2DEC('table for research'!AH$1))*2,2)</f>
        <v>00</v>
      </c>
      <c r="AI958" t="str">
        <f>MID('paste from garc here'!$C$3,1+(('table for research'!$B958-911)*36+HEX2DEC('table for research'!AI$1))*2,2)</f>
        <v>FE</v>
      </c>
      <c r="AJ958" t="str">
        <f>MID('paste from garc here'!$C$3,1+(('table for research'!$B958-911)*36+HEX2DEC('table for research'!AJ$1))*2,2)</f>
        <v>00</v>
      </c>
      <c r="AK958" t="str">
        <f>MID('paste from garc here'!$C$3,1+(('table for research'!$B958-911)*36+HEX2DEC('table for research'!AK$1))*2,2)</f>
        <v>00</v>
      </c>
      <c r="AL958" t="str">
        <f>MID('paste from garc here'!$C$3,1+(('table for research'!$B958-911)*36+HEX2DEC('table for research'!AL$1))*2,2)</f>
        <v>00</v>
      </c>
      <c r="AM958" t="str">
        <f>MID('paste from garc here'!$C$3,1+(('table for research'!$B958-911)*36+HEX2DEC('table for research'!AM$1))*2,2)</f>
        <v>00</v>
      </c>
      <c r="AN958" t="str">
        <f>MID('paste from garc here'!$C$3,1+(('table for research'!$B958-911)*36+HEX2DEC('table for research'!AN$1))*2,2)</f>
        <v>00</v>
      </c>
      <c r="AO958" t="str">
        <f>MID('paste from garc here'!$C$3,1+(('table for research'!$B958-911)*36+HEX2DEC('table for research'!AO$1))*2,2)</f>
        <v>00</v>
      </c>
    </row>
    <row r="959" spans="1:41" x14ac:dyDescent="0.4">
      <c r="A959" t="s">
        <v>903</v>
      </c>
      <c r="B959">
        <f>B958+1</f>
        <v>957</v>
      </c>
      <c r="C959" t="str">
        <f>MID('paste from garc here'!$C$3,1+(('table for research'!$B959-911)*36+HEX2DEC('table for research'!C$1))*2,2)</f>
        <v>C8</v>
      </c>
      <c r="D959" t="str">
        <f>MID('paste from garc here'!$C$3,1+(('table for research'!$B959-911)*36+HEX2DEC('table for research'!D$1))*2,2)</f>
        <v>00</v>
      </c>
      <c r="E959" t="str">
        <f>MID('paste from garc here'!$C$3,1+(('table for research'!$B959-911)*36+HEX2DEC('table for research'!E$1))*2,2)</f>
        <v>00</v>
      </c>
      <c r="F959" t="str">
        <f>MID('paste from garc here'!$C$3,1+(('table for research'!$B959-911)*36+HEX2DEC('table for research'!F$1))*2,2)</f>
        <v>05</v>
      </c>
      <c r="G959" t="str">
        <f>MID('paste from garc here'!$C$3,1+(('table for research'!$B959-911)*36+HEX2DEC('table for research'!G$1))*2,2)</f>
        <v>00</v>
      </c>
      <c r="H959" t="str">
        <f>MID('paste from garc here'!$C$3,1+(('table for research'!$B959-911)*36+HEX2DEC('table for research'!H$1))*2,2)</f>
        <v>00</v>
      </c>
      <c r="I959" t="str">
        <f>MID('paste from garc here'!$C$3,1+(('table for research'!$B959-911)*36+HEX2DEC('table for research'!I$1))*2,2)</f>
        <v>00</v>
      </c>
      <c r="J959" t="str">
        <f>MID('paste from garc here'!$C$3,1+(('table for research'!$B959-911)*36+HEX2DEC('table for research'!J$1))*2,2)</f>
        <v>00</v>
      </c>
      <c r="K959" t="str">
        <f>DEC2HEX(_xlfn.BITAND(HEX2DEC(MID('paste from garc here'!$C$1,1+(('table for research'!$B959-1)*36+HEX2DEC(8))*2,2)),31),2)</f>
        <v>00</v>
      </c>
      <c r="L959" t="str">
        <f>DEC2HEX(_xlfn.BITAND(HEX2DEC(MID('paste from garc here'!$C$1,1+(('table for research'!$B959-1)*36+HEX2DEC(8))*2,2)),32),2)</f>
        <v>00</v>
      </c>
      <c r="M959" t="str">
        <f>DEC2HEX(_xlfn.BITAND(HEX2DEC(MID('paste from garc here'!$C$1,1+(('table for research'!$B959-1)*36+HEX2DEC(8))*2,2)),64),2)</f>
        <v>00</v>
      </c>
      <c r="N959" t="str">
        <f>DEC2HEX(_xlfn.BITRSHIFT(_xlfn.BITAND(HEX2DEC(MID('paste from garc here'!$C$1,1+(('table for research'!$B959-1)*36+HEX2DEC(9))*2,2)&amp;MID('paste from garc here'!$C$1,1+(('table for research'!$B959-1)*36+HEX2DEC(8))*2,2)),1920),7),2)</f>
        <v>00</v>
      </c>
      <c r="O959" t="str">
        <f>DEC2HEX(_xlfn.BITRSHIFT(HEX2DEC(MID('paste from garc here'!$C$1,1+(('table for research'!$B959-1)*36+HEX2DEC(9))*2,2)&amp;MID('paste from garc here'!$C$1,1+(('table for research'!$B959-1)*36+HEX2DEC(8))*2,2)),11),2)</f>
        <v>00</v>
      </c>
      <c r="P959" t="str">
        <f>MID('paste from garc here'!$C$3,1+(('table for research'!$B959-911)*36+HEX2DEC('table for research'!P$1))*2,2)</f>
        <v>00</v>
      </c>
      <c r="Q959" t="str">
        <f>MID('paste from garc here'!$C$3,1+(('table for research'!$B959-911)*36+HEX2DEC('table for research'!Q$1))*2,2)</f>
        <v>00</v>
      </c>
      <c r="R959" t="str">
        <f>MID('paste from garc here'!$C$3,1+(('table for research'!$B959-911)*36+HEX2DEC('table for research'!R$1))*2,2)</f>
        <v>01</v>
      </c>
      <c r="S959" t="str">
        <f>MID('paste from garc here'!$C$3,1+(('table for research'!$B959-911)*36+HEX2DEC('table for research'!S$1))*2,2)</f>
        <v>02</v>
      </c>
      <c r="T959" t="str">
        <f>MID('paste from garc here'!$C$3,1+(('table for research'!$B959-911)*36+HEX2DEC('table for research'!T$1))*2,2)</f>
        <v>00</v>
      </c>
      <c r="U959" t="str">
        <f>MID('paste from garc here'!$C$3,1+(('table for research'!$B959-911)*36+HEX2DEC('table for research'!U$1))*2,2)</f>
        <v>C6</v>
      </c>
      <c r="V959" t="str">
        <f>MID('paste from garc here'!$C$3,1+(('table for research'!$B959-911)*36+HEX2DEC('table for research'!V$1))*2,2)</f>
        <v>00</v>
      </c>
      <c r="W959" t="str">
        <f>MID('paste from garc here'!$C$3,1+(('table for research'!$B959-911)*36+HEX2DEC('table for research'!W$1))*2,2)</f>
        <v>00</v>
      </c>
      <c r="X959" t="str">
        <f>MID('paste from garc here'!$C$3,1+(('table for research'!$B959-911)*36+HEX2DEC('table for research'!X$1))*2,2)</f>
        <v>00</v>
      </c>
      <c r="Y959" t="str">
        <f>MID('paste from garc here'!$C$3,1+(('table for research'!$B959-911)*36+HEX2DEC('table for research'!Y$1))*2,2)</f>
        <v>00</v>
      </c>
      <c r="Z959" t="str">
        <f>MID('paste from garc here'!$C$3,1+(('table for research'!$B959-911)*36+HEX2DEC('table for research'!Z$1))*2,2)</f>
        <v>00</v>
      </c>
      <c r="AA959" t="str">
        <f>MID('paste from garc here'!$C$3,1+(('table for research'!$B959-911)*36+HEX2DEC('table for research'!AA$1))*2,2)</f>
        <v>01</v>
      </c>
      <c r="AB959" t="str">
        <f>MID('paste from garc here'!$C$3,1+(('table for research'!$B959-911)*36+HEX2DEC('table for research'!AB$1))*2,2)</f>
        <v>00</v>
      </c>
      <c r="AC959" t="str">
        <f>MID('paste from garc here'!$C$3,1+(('table for research'!$B959-911)*36+HEX2DEC('table for research'!AC$1))*2,2)</f>
        <v>00</v>
      </c>
      <c r="AD959" t="str">
        <f>MID('paste from garc here'!$C$3,1+(('table for research'!$B959-911)*36+HEX2DEC('table for research'!AD$1))*2,2)</f>
        <v>00</v>
      </c>
      <c r="AE959" t="str">
        <f>MID('paste from garc here'!$C$3,1+(('table for research'!$B959-911)*36+HEX2DEC('table for research'!AE$1))*2,2)</f>
        <v>00</v>
      </c>
      <c r="AF959" t="str">
        <f>MID('paste from garc here'!$C$3,1+(('table for research'!$B959-911)*36+HEX2DEC('table for research'!AF$1))*2,2)</f>
        <v>00</v>
      </c>
      <c r="AG959" t="str">
        <f>MID('paste from garc here'!$C$3,1+(('table for research'!$B959-911)*36+HEX2DEC('table for research'!AG$1))*2,2)</f>
        <v>00</v>
      </c>
      <c r="AH959" t="str">
        <f>MID('paste from garc here'!$C$3,1+(('table for research'!$B959-911)*36+HEX2DEC('table for research'!AH$1))*2,2)</f>
        <v>00</v>
      </c>
      <c r="AI959" t="str">
        <f>MID('paste from garc here'!$C$3,1+(('table for research'!$B959-911)*36+HEX2DEC('table for research'!AI$1))*2,2)</f>
        <v>00</v>
      </c>
      <c r="AJ959" t="str">
        <f>MID('paste from garc here'!$C$3,1+(('table for research'!$B959-911)*36+HEX2DEC('table for research'!AJ$1))*2,2)</f>
        <v>7F</v>
      </c>
      <c r="AK959" t="str">
        <f>MID('paste from garc here'!$C$3,1+(('table for research'!$B959-911)*36+HEX2DEC('table for research'!AK$1))*2,2)</f>
        <v>00</v>
      </c>
      <c r="AL959" t="str">
        <f>MID('paste from garc here'!$C$3,1+(('table for research'!$B959-911)*36+HEX2DEC('table for research'!AL$1))*2,2)</f>
        <v>00</v>
      </c>
      <c r="AM959" t="str">
        <f>MID('paste from garc here'!$C$3,1+(('table for research'!$B959-911)*36+HEX2DEC('table for research'!AM$1))*2,2)</f>
        <v>00</v>
      </c>
      <c r="AN959" t="str">
        <f>MID('paste from garc here'!$C$3,1+(('table for research'!$B959-911)*36+HEX2DEC('table for research'!AN$1))*2,2)</f>
        <v>00</v>
      </c>
      <c r="AO959" t="str">
        <f>MID('paste from garc here'!$C$3,1+(('table for research'!$B959-911)*36+HEX2DEC('table for research'!AO$1))*2,2)</f>
        <v>00</v>
      </c>
    </row>
    <row r="960" spans="1:41" x14ac:dyDescent="0.4">
      <c r="A960" t="s">
        <v>904</v>
      </c>
      <c r="B960">
        <f>B959+1</f>
        <v>958</v>
      </c>
      <c r="C960" t="str">
        <f>MID('paste from garc here'!$C$3,1+(('table for research'!$B960-911)*36+HEX2DEC('table for research'!C$1))*2,2)</f>
        <v>C8</v>
      </c>
      <c r="D960" t="str">
        <f>MID('paste from garc here'!$C$3,1+(('table for research'!$B960-911)*36+HEX2DEC('table for research'!D$1))*2,2)</f>
        <v>00</v>
      </c>
      <c r="E960" t="str">
        <f>MID('paste from garc here'!$C$3,1+(('table for research'!$B960-911)*36+HEX2DEC('table for research'!E$1))*2,2)</f>
        <v>00</v>
      </c>
      <c r="F960" t="str">
        <f>MID('paste from garc here'!$C$3,1+(('table for research'!$B960-911)*36+HEX2DEC('table for research'!F$1))*2,2)</f>
        <v>00</v>
      </c>
      <c r="G960" t="str">
        <f>MID('paste from garc here'!$C$3,1+(('table for research'!$B960-911)*36+HEX2DEC('table for research'!G$1))*2,2)</f>
        <v>00</v>
      </c>
      <c r="H960" t="str">
        <f>MID('paste from garc here'!$C$3,1+(('table for research'!$B960-911)*36+HEX2DEC('table for research'!H$1))*2,2)</f>
        <v>00</v>
      </c>
      <c r="I960" t="str">
        <f>MID('paste from garc here'!$C$3,1+(('table for research'!$B960-911)*36+HEX2DEC('table for research'!I$1))*2,2)</f>
        <v>00</v>
      </c>
      <c r="J960" t="str">
        <f>MID('paste from garc here'!$C$3,1+(('table for research'!$B960-911)*36+HEX2DEC('table for research'!J$1))*2,2)</f>
        <v>00</v>
      </c>
      <c r="K960" t="str">
        <f>DEC2HEX(_xlfn.BITAND(HEX2DEC(MID('paste from garc here'!$C$1,1+(('table for research'!$B960-1)*36+HEX2DEC(8))*2,2)),31),2)</f>
        <v>00</v>
      </c>
      <c r="L960" t="str">
        <f>DEC2HEX(_xlfn.BITAND(HEX2DEC(MID('paste from garc here'!$C$1,1+(('table for research'!$B960-1)*36+HEX2DEC(8))*2,2)),32),2)</f>
        <v>00</v>
      </c>
      <c r="M960" t="str">
        <f>DEC2HEX(_xlfn.BITAND(HEX2DEC(MID('paste from garc here'!$C$1,1+(('table for research'!$B960-1)*36+HEX2DEC(8))*2,2)),64),2)</f>
        <v>00</v>
      </c>
      <c r="N960" t="str">
        <f>DEC2HEX(_xlfn.BITRSHIFT(_xlfn.BITAND(HEX2DEC(MID('paste from garc here'!$C$1,1+(('table for research'!$B960-1)*36+HEX2DEC(9))*2,2)&amp;MID('paste from garc here'!$C$1,1+(('table for research'!$B960-1)*36+HEX2DEC(8))*2,2)),1920),7),2)</f>
        <v>00</v>
      </c>
      <c r="O960" t="str">
        <f>DEC2HEX(_xlfn.BITRSHIFT(HEX2DEC(MID('paste from garc here'!$C$1,1+(('table for research'!$B960-1)*36+HEX2DEC(9))*2,2)&amp;MID('paste from garc here'!$C$1,1+(('table for research'!$B960-1)*36+HEX2DEC(8))*2,2)),11),2)</f>
        <v>00</v>
      </c>
      <c r="P960" t="str">
        <f>MID('paste from garc here'!$C$3,1+(('table for research'!$B960-911)*36+HEX2DEC('table for research'!P$1))*2,2)</f>
        <v>00</v>
      </c>
      <c r="Q960" t="str">
        <f>MID('paste from garc here'!$C$3,1+(('table for research'!$B960-911)*36+HEX2DEC('table for research'!Q$1))*2,2)</f>
        <v>00</v>
      </c>
      <c r="R960" t="str">
        <f>MID('paste from garc here'!$C$3,1+(('table for research'!$B960-911)*36+HEX2DEC('table for research'!R$1))*2,2)</f>
        <v>01</v>
      </c>
      <c r="S960" t="str">
        <f>MID('paste from garc here'!$C$3,1+(('table for research'!$B960-911)*36+HEX2DEC('table for research'!S$1))*2,2)</f>
        <v>02</v>
      </c>
      <c r="T960" t="str">
        <f>MID('paste from garc here'!$C$3,1+(('table for research'!$B960-911)*36+HEX2DEC('table for research'!T$1))*2,2)</f>
        <v>00</v>
      </c>
      <c r="U960" t="str">
        <f>MID('paste from garc here'!$C$3,1+(('table for research'!$B960-911)*36+HEX2DEC('table for research'!U$1))*2,2)</f>
        <v>C7</v>
      </c>
      <c r="V960" t="str">
        <f>MID('paste from garc here'!$C$3,1+(('table for research'!$B960-911)*36+HEX2DEC('table for research'!V$1))*2,2)</f>
        <v>00</v>
      </c>
      <c r="W960" t="str">
        <f>MID('paste from garc here'!$C$3,1+(('table for research'!$B960-911)*36+HEX2DEC('table for research'!W$1))*2,2)</f>
        <v>00</v>
      </c>
      <c r="X960" t="str">
        <f>MID('paste from garc here'!$C$3,1+(('table for research'!$B960-911)*36+HEX2DEC('table for research'!X$1))*2,2)</f>
        <v>01</v>
      </c>
      <c r="Y960" t="str">
        <f>MID('paste from garc here'!$C$3,1+(('table for research'!$B960-911)*36+HEX2DEC('table for research'!Y$1))*2,2)</f>
        <v>01</v>
      </c>
      <c r="Z960" t="str">
        <f>MID('paste from garc here'!$C$3,1+(('table for research'!$B960-911)*36+HEX2DEC('table for research'!Z$1))*2,2)</f>
        <v>10</v>
      </c>
      <c r="AA960" t="str">
        <f>MID('paste from garc here'!$C$3,1+(('table for research'!$B960-911)*36+HEX2DEC('table for research'!AA$1))*2,2)</f>
        <v>00</v>
      </c>
      <c r="AB960" t="str">
        <f>MID('paste from garc here'!$C$3,1+(('table for research'!$B960-911)*36+HEX2DEC('table for research'!AB$1))*2,2)</f>
        <v>00</v>
      </c>
      <c r="AC960" t="str">
        <f>MID('paste from garc here'!$C$3,1+(('table for research'!$B960-911)*36+HEX2DEC('table for research'!AC$1))*2,2)</f>
        <v>00</v>
      </c>
      <c r="AD960" t="str">
        <f>MID('paste from garc here'!$C$3,1+(('table for research'!$B960-911)*36+HEX2DEC('table for research'!AD$1))*2,2)</f>
        <v>00</v>
      </c>
      <c r="AE960" t="str">
        <f>MID('paste from garc here'!$C$3,1+(('table for research'!$B960-911)*36+HEX2DEC('table for research'!AE$1))*2,2)</f>
        <v>00</v>
      </c>
      <c r="AF960" t="str">
        <f>MID('paste from garc here'!$C$3,1+(('table for research'!$B960-911)*36+HEX2DEC('table for research'!AF$1))*2,2)</f>
        <v>00</v>
      </c>
      <c r="AG960" t="str">
        <f>MID('paste from garc here'!$C$3,1+(('table for research'!$B960-911)*36+HEX2DEC('table for research'!AG$1))*2,2)</f>
        <v>00</v>
      </c>
      <c r="AH960" t="str">
        <f>MID('paste from garc here'!$C$3,1+(('table for research'!$B960-911)*36+HEX2DEC('table for research'!AH$1))*2,2)</f>
        <v>00</v>
      </c>
      <c r="AI960" t="str">
        <f>MID('paste from garc here'!$C$3,1+(('table for research'!$B960-911)*36+HEX2DEC('table for research'!AI$1))*2,2)</f>
        <v>00</v>
      </c>
      <c r="AJ960" t="str">
        <f>MID('paste from garc here'!$C$3,1+(('table for research'!$B960-911)*36+HEX2DEC('table for research'!AJ$1))*2,2)</f>
        <v>00</v>
      </c>
      <c r="AK960" t="str">
        <f>MID('paste from garc here'!$C$3,1+(('table for research'!$B960-911)*36+HEX2DEC('table for research'!AK$1))*2,2)</f>
        <v>00</v>
      </c>
      <c r="AL960" t="str">
        <f>MID('paste from garc here'!$C$3,1+(('table for research'!$B960-911)*36+HEX2DEC('table for research'!AL$1))*2,2)</f>
        <v>00</v>
      </c>
      <c r="AM960" t="str">
        <f>MID('paste from garc here'!$C$3,1+(('table for research'!$B960-911)*36+HEX2DEC('table for research'!AM$1))*2,2)</f>
        <v>00</v>
      </c>
      <c r="AN960" t="str">
        <f>MID('paste from garc here'!$C$3,1+(('table for research'!$B960-911)*36+HEX2DEC('table for research'!AN$1))*2,2)</f>
        <v>00</v>
      </c>
      <c r="AO960" t="str">
        <f>MID('paste from garc here'!$C$3,1+(('table for research'!$B960-911)*36+HEX2DEC('table for research'!AO$1))*2,2)</f>
        <v>00</v>
      </c>
    </row>
    <row r="961" spans="1:41" x14ac:dyDescent="0.4">
      <c r="A961" t="s">
        <v>905</v>
      </c>
      <c r="B961">
        <f>B960+1</f>
        <v>959</v>
      </c>
      <c r="C961" t="str">
        <f>MID('paste from garc here'!$C$3,1+(('table for research'!$B961-911)*36+HEX2DEC('table for research'!C$1))*2,2)</f>
        <v>64</v>
      </c>
      <c r="D961" t="str">
        <f>MID('paste from garc here'!$C$3,1+(('table for research'!$B961-911)*36+HEX2DEC('table for research'!D$1))*2,2)</f>
        <v>00</v>
      </c>
      <c r="E961" t="str">
        <f>MID('paste from garc here'!$C$3,1+(('table for research'!$B961-911)*36+HEX2DEC('table for research'!E$1))*2,2)</f>
        <v>00</v>
      </c>
      <c r="F961" t="str">
        <f>MID('paste from garc here'!$C$3,1+(('table for research'!$B961-911)*36+HEX2DEC('table for research'!F$1))*2,2)</f>
        <v>00</v>
      </c>
      <c r="G961" t="str">
        <f>MID('paste from garc here'!$C$3,1+(('table for research'!$B961-911)*36+HEX2DEC('table for research'!G$1))*2,2)</f>
        <v>00</v>
      </c>
      <c r="H961" t="str">
        <f>MID('paste from garc here'!$C$3,1+(('table for research'!$B961-911)*36+HEX2DEC('table for research'!H$1))*2,2)</f>
        <v>00</v>
      </c>
      <c r="I961" t="str">
        <f>MID('paste from garc here'!$C$3,1+(('table for research'!$B961-911)*36+HEX2DEC('table for research'!I$1))*2,2)</f>
        <v>00</v>
      </c>
      <c r="J961" t="str">
        <f>MID('paste from garc here'!$C$3,1+(('table for research'!$B961-911)*36+HEX2DEC('table for research'!J$1))*2,2)</f>
        <v>00</v>
      </c>
      <c r="K961" t="str">
        <f>DEC2HEX(_xlfn.BITAND(HEX2DEC(MID('paste from garc here'!$C$1,1+(('table for research'!$B961-1)*36+HEX2DEC(8))*2,2)),31),2)</f>
        <v>00</v>
      </c>
      <c r="L961" t="str">
        <f>DEC2HEX(_xlfn.BITAND(HEX2DEC(MID('paste from garc here'!$C$1,1+(('table for research'!$B961-1)*36+HEX2DEC(8))*2,2)),32),2)</f>
        <v>00</v>
      </c>
      <c r="M961" t="str">
        <f>DEC2HEX(_xlfn.BITAND(HEX2DEC(MID('paste from garc here'!$C$1,1+(('table for research'!$B961-1)*36+HEX2DEC(8))*2,2)),64),2)</f>
        <v>00</v>
      </c>
      <c r="N961" t="str">
        <f>DEC2HEX(_xlfn.BITRSHIFT(_xlfn.BITAND(HEX2DEC(MID('paste from garc here'!$C$1,1+(('table for research'!$B961-1)*36+HEX2DEC(9))*2,2)&amp;MID('paste from garc here'!$C$1,1+(('table for research'!$B961-1)*36+HEX2DEC(8))*2,2)),1920),7),2)</f>
        <v>00</v>
      </c>
      <c r="O961" t="str">
        <f>DEC2HEX(_xlfn.BITRSHIFT(HEX2DEC(MID('paste from garc here'!$C$1,1+(('table for research'!$B961-1)*36+HEX2DEC(9))*2,2)&amp;MID('paste from garc here'!$C$1,1+(('table for research'!$B961-1)*36+HEX2DEC(8))*2,2)),11),2)</f>
        <v>00</v>
      </c>
      <c r="P961" t="str">
        <f>MID('paste from garc here'!$C$3,1+(('table for research'!$B961-911)*36+HEX2DEC('table for research'!P$1))*2,2)</f>
        <v>00</v>
      </c>
      <c r="Q961" t="str">
        <f>MID('paste from garc here'!$C$3,1+(('table for research'!$B961-911)*36+HEX2DEC('table for research'!Q$1))*2,2)</f>
        <v>00</v>
      </c>
      <c r="R961" t="str">
        <f>MID('paste from garc here'!$C$3,1+(('table for research'!$B961-911)*36+HEX2DEC('table for research'!R$1))*2,2)</f>
        <v>00</v>
      </c>
      <c r="S961" t="str">
        <f>MID('paste from garc here'!$C$3,1+(('table for research'!$B961-911)*36+HEX2DEC('table for research'!S$1))*2,2)</f>
        <v>02</v>
      </c>
      <c r="T961" t="str">
        <f>MID('paste from garc here'!$C$3,1+(('table for research'!$B961-911)*36+HEX2DEC('table for research'!T$1))*2,2)</f>
        <v>00</v>
      </c>
      <c r="U961" t="str">
        <f>MID('paste from garc here'!$C$3,1+(('table for research'!$B961-911)*36+HEX2DEC('table for research'!U$1))*2,2)</f>
        <v>C8</v>
      </c>
      <c r="V961" t="str">
        <f>MID('paste from garc here'!$C$3,1+(('table for research'!$B961-911)*36+HEX2DEC('table for research'!V$1))*2,2)</f>
        <v>00</v>
      </c>
      <c r="W961" t="str">
        <f>MID('paste from garc here'!$C$3,1+(('table for research'!$B961-911)*36+HEX2DEC('table for research'!W$1))*2,2)</f>
        <v>00</v>
      </c>
      <c r="X961" t="str">
        <f>MID('paste from garc here'!$C$3,1+(('table for research'!$B961-911)*36+HEX2DEC('table for research'!X$1))*2,2)</f>
        <v>00</v>
      </c>
      <c r="Y961" t="str">
        <f>MID('paste from garc here'!$C$3,1+(('table for research'!$B961-911)*36+HEX2DEC('table for research'!Y$1))*2,2)</f>
        <v>00</v>
      </c>
      <c r="Z961" t="str">
        <f>MID('paste from garc here'!$C$3,1+(('table for research'!$B961-911)*36+HEX2DEC('table for research'!Z$1))*2,2)</f>
        <v>00</v>
      </c>
      <c r="AA961" t="str">
        <f>MID('paste from garc here'!$C$3,1+(('table for research'!$B961-911)*36+HEX2DEC('table for research'!AA$1))*2,2)</f>
        <v>00</v>
      </c>
      <c r="AB961" t="str">
        <f>MID('paste from garc here'!$C$3,1+(('table for research'!$B961-911)*36+HEX2DEC('table for research'!AB$1))*2,2)</f>
        <v>00</v>
      </c>
      <c r="AC961" t="str">
        <f>MID('paste from garc here'!$C$3,1+(('table for research'!$B961-911)*36+HEX2DEC('table for research'!AC$1))*2,2)</f>
        <v>00</v>
      </c>
      <c r="AD961" t="str">
        <f>MID('paste from garc here'!$C$3,1+(('table for research'!$B961-911)*36+HEX2DEC('table for research'!AD$1))*2,2)</f>
        <v>00</v>
      </c>
      <c r="AE961" t="str">
        <f>MID('paste from garc here'!$C$3,1+(('table for research'!$B961-911)*36+HEX2DEC('table for research'!AE$1))*2,2)</f>
        <v>00</v>
      </c>
      <c r="AF961" t="str">
        <f>MID('paste from garc here'!$C$3,1+(('table for research'!$B961-911)*36+HEX2DEC('table for research'!AF$1))*2,2)</f>
        <v>00</v>
      </c>
      <c r="AG961" t="str">
        <f>MID('paste from garc here'!$C$3,1+(('table for research'!$B961-911)*36+HEX2DEC('table for research'!AG$1))*2,2)</f>
        <v>00</v>
      </c>
      <c r="AH961" t="str">
        <f>MID('paste from garc here'!$C$3,1+(('table for research'!$B961-911)*36+HEX2DEC('table for research'!AH$1))*2,2)</f>
        <v>00</v>
      </c>
      <c r="AI961" t="str">
        <f>MID('paste from garc here'!$C$3,1+(('table for research'!$B961-911)*36+HEX2DEC('table for research'!AI$1))*2,2)</f>
        <v>00</v>
      </c>
      <c r="AJ961" t="str">
        <f>MID('paste from garc here'!$C$3,1+(('table for research'!$B961-911)*36+HEX2DEC('table for research'!AJ$1))*2,2)</f>
        <v>00</v>
      </c>
      <c r="AK961" t="str">
        <f>MID('paste from garc here'!$C$3,1+(('table for research'!$B961-911)*36+HEX2DEC('table for research'!AK$1))*2,2)</f>
        <v>00</v>
      </c>
      <c r="AL961" t="str">
        <f>MID('paste from garc here'!$C$3,1+(('table for research'!$B961-911)*36+HEX2DEC('table for research'!AL$1))*2,2)</f>
        <v>00</v>
      </c>
      <c r="AM961" t="str">
        <f>MID('paste from garc here'!$C$3,1+(('table for research'!$B961-911)*36+HEX2DEC('table for research'!AM$1))*2,2)</f>
        <v>00</v>
      </c>
      <c r="AN961" t="str">
        <f>MID('paste from garc here'!$C$3,1+(('table for research'!$B961-911)*36+HEX2DEC('table for research'!AN$1))*2,2)</f>
        <v>00</v>
      </c>
      <c r="AO961" t="str">
        <f>MID('paste from garc here'!$C$3,1+(('table for research'!$B961-911)*36+HEX2DEC('table for research'!AO$1))*2,2)</f>
        <v>00</v>
      </c>
    </row>
  </sheetData>
  <autoFilter ref="A1:AO961" xr:uid="{62D8464D-B3CF-4C2D-B6E0-65629AC465B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86D5-39D4-47C9-BA0B-784B7106A662}">
  <dimension ref="A1:I66"/>
  <sheetViews>
    <sheetView tabSelected="1" workbookViewId="0">
      <selection activeCell="B11" sqref="B11"/>
    </sheetView>
  </sheetViews>
  <sheetFormatPr defaultRowHeight="14.6" x14ac:dyDescent="0.4"/>
  <cols>
    <col min="2" max="2" width="38.921875" customWidth="1"/>
  </cols>
  <sheetData>
    <row r="1" spans="1:9" x14ac:dyDescent="0.4">
      <c r="A1" t="s">
        <v>921</v>
      </c>
      <c r="B1" t="s">
        <v>944</v>
      </c>
    </row>
    <row r="2" spans="1:9" x14ac:dyDescent="0.4">
      <c r="A2" t="s">
        <v>2</v>
      </c>
      <c r="B2" t="s">
        <v>943</v>
      </c>
      <c r="H2" s="1" t="s">
        <v>2</v>
      </c>
      <c r="I2" t="s">
        <v>12</v>
      </c>
    </row>
    <row r="3" spans="1:9" x14ac:dyDescent="0.4">
      <c r="A3" t="s">
        <v>922</v>
      </c>
      <c r="B3" t="s">
        <v>942</v>
      </c>
      <c r="H3" t="str">
        <f>DEC2HEX(HEX2DEC(H2)+1,2)</f>
        <v>01</v>
      </c>
      <c r="I3" t="s">
        <v>13</v>
      </c>
    </row>
    <row r="4" spans="1:9" x14ac:dyDescent="0.4">
      <c r="A4" t="s">
        <v>923</v>
      </c>
      <c r="B4" t="s">
        <v>907</v>
      </c>
      <c r="H4" t="str">
        <f>DEC2HEX(HEX2DEC(H3)+1,2)</f>
        <v>02</v>
      </c>
      <c r="I4" t="s">
        <v>907</v>
      </c>
    </row>
    <row r="5" spans="1:9" x14ac:dyDescent="0.4">
      <c r="A5" t="s">
        <v>924</v>
      </c>
      <c r="B5" t="s">
        <v>11</v>
      </c>
      <c r="H5" t="str">
        <f>DEC2HEX(HEX2DEC(H4)+1,2)</f>
        <v>03</v>
      </c>
      <c r="I5" t="s">
        <v>11</v>
      </c>
    </row>
    <row r="6" spans="1:9" x14ac:dyDescent="0.4">
      <c r="A6" t="s">
        <v>925</v>
      </c>
      <c r="B6" t="s">
        <v>910</v>
      </c>
      <c r="H6" t="str">
        <f>DEC2HEX(HEX2DEC(H5)+1,2)</f>
        <v>04</v>
      </c>
      <c r="I6" t="s">
        <v>910</v>
      </c>
    </row>
    <row r="7" spans="1:9" x14ac:dyDescent="0.4">
      <c r="A7" t="s">
        <v>926</v>
      </c>
      <c r="B7" t="s">
        <v>909</v>
      </c>
      <c r="H7" t="str">
        <f>DEC2HEX(HEX2DEC(H6)+1,2)</f>
        <v>05</v>
      </c>
      <c r="I7" t="s">
        <v>909</v>
      </c>
    </row>
    <row r="8" spans="1:9" x14ac:dyDescent="0.4">
      <c r="A8" t="s">
        <v>927</v>
      </c>
      <c r="B8" t="s">
        <v>8</v>
      </c>
      <c r="H8" t="str">
        <f>DEC2HEX(HEX2DEC(H7)+1,2)</f>
        <v>06</v>
      </c>
      <c r="I8" t="s">
        <v>8</v>
      </c>
    </row>
    <row r="9" spans="1:9" x14ac:dyDescent="0.4">
      <c r="A9" t="s">
        <v>928</v>
      </c>
      <c r="B9" t="s">
        <v>908</v>
      </c>
      <c r="H9" t="str">
        <f>DEC2HEX(HEX2DEC(H8)+1,2)</f>
        <v>07</v>
      </c>
      <c r="I9" t="s">
        <v>908</v>
      </c>
    </row>
    <row r="10" spans="1:9" x14ac:dyDescent="0.4">
      <c r="A10" t="s">
        <v>929</v>
      </c>
      <c r="B10" t="s">
        <v>1000</v>
      </c>
      <c r="C10" t="s">
        <v>1026</v>
      </c>
      <c r="H10" t="str">
        <f>DEC2HEX(HEX2DEC(H9)+1,2)</f>
        <v>08</v>
      </c>
      <c r="I10" t="s">
        <v>1027</v>
      </c>
    </row>
    <row r="11" spans="1:9" x14ac:dyDescent="0.4">
      <c r="A11" t="s">
        <v>930</v>
      </c>
      <c r="B11" t="s">
        <v>999</v>
      </c>
      <c r="C11" t="s">
        <v>1025</v>
      </c>
      <c r="H11" t="str">
        <f>DEC2HEX(HEX2DEC(H10)+1,2)</f>
        <v>09</v>
      </c>
      <c r="I11" t="s">
        <v>1028</v>
      </c>
    </row>
    <row r="12" spans="1:9" x14ac:dyDescent="0.4">
      <c r="A12" t="s">
        <v>931</v>
      </c>
      <c r="B12" t="s">
        <v>1001</v>
      </c>
      <c r="C12" t="s">
        <v>1024</v>
      </c>
      <c r="H12" t="str">
        <f>DEC2HEX(HEX2DEC(H11)+1,2)</f>
        <v>0A</v>
      </c>
      <c r="I12" t="s">
        <v>5</v>
      </c>
    </row>
    <row r="13" spans="1:9" x14ac:dyDescent="0.4">
      <c r="A13" t="s">
        <v>932</v>
      </c>
      <c r="B13" t="s">
        <v>1002</v>
      </c>
      <c r="C13" t="s">
        <v>1023</v>
      </c>
      <c r="H13" t="str">
        <f>DEC2HEX(HEX2DEC(H12)+1,2)</f>
        <v>0B</v>
      </c>
      <c r="I13" t="s">
        <v>1030</v>
      </c>
    </row>
    <row r="14" spans="1:9" x14ac:dyDescent="0.4">
      <c r="A14" t="s">
        <v>933</v>
      </c>
      <c r="B14" t="s">
        <v>1003</v>
      </c>
      <c r="C14" t="s">
        <v>1020</v>
      </c>
      <c r="H14" t="str">
        <f>DEC2HEX(HEX2DEC(H13)+1,2)</f>
        <v>0C</v>
      </c>
      <c r="I14" t="s">
        <v>948</v>
      </c>
    </row>
    <row r="15" spans="1:9" x14ac:dyDescent="0.4">
      <c r="A15" t="s">
        <v>934</v>
      </c>
      <c r="B15" t="s">
        <v>5</v>
      </c>
      <c r="H15" t="str">
        <f>DEC2HEX(HEX2DEC(H14)+1,2)</f>
        <v>0D</v>
      </c>
      <c r="I15" t="s">
        <v>1029</v>
      </c>
    </row>
    <row r="16" spans="1:9" x14ac:dyDescent="0.4">
      <c r="A16" t="s">
        <v>935</v>
      </c>
      <c r="B16" t="s">
        <v>6</v>
      </c>
      <c r="H16" t="str">
        <f>DEC2HEX(HEX2DEC(H15)+1,2)</f>
        <v>0E</v>
      </c>
      <c r="I16" t="s">
        <v>911</v>
      </c>
    </row>
    <row r="17" spans="1:9" x14ac:dyDescent="0.4">
      <c r="A17" t="s">
        <v>936</v>
      </c>
      <c r="B17" t="s">
        <v>4</v>
      </c>
      <c r="H17" t="str">
        <f>DEC2HEX(HEX2DEC(H16)+1,2)</f>
        <v>0F</v>
      </c>
      <c r="I17" t="s">
        <v>3</v>
      </c>
    </row>
    <row r="18" spans="1:9" x14ac:dyDescent="0.4">
      <c r="A18" t="s">
        <v>937</v>
      </c>
      <c r="B18" t="s">
        <v>1031</v>
      </c>
      <c r="H18" t="str">
        <f>DEC2HEX(HEX2DEC(H17)+1,2)</f>
        <v>10</v>
      </c>
      <c r="I18" t="s">
        <v>7</v>
      </c>
    </row>
    <row r="19" spans="1:9" x14ac:dyDescent="0.4">
      <c r="A19" t="s">
        <v>938</v>
      </c>
      <c r="B19" t="s">
        <v>945</v>
      </c>
      <c r="H19" t="str">
        <f>DEC2HEX(HEX2DEC(H18)+1,2)</f>
        <v>11</v>
      </c>
      <c r="I19" t="s">
        <v>975</v>
      </c>
    </row>
    <row r="20" spans="1:9" x14ac:dyDescent="0.4">
      <c r="A20" t="s">
        <v>939</v>
      </c>
      <c r="B20" t="s">
        <v>946</v>
      </c>
      <c r="H20" t="str">
        <f>DEC2HEX(HEX2DEC(H19)+1,2)</f>
        <v>12</v>
      </c>
      <c r="I20" t="s">
        <v>976</v>
      </c>
    </row>
    <row r="21" spans="1:9" x14ac:dyDescent="0.4">
      <c r="A21" t="s">
        <v>940</v>
      </c>
      <c r="B21" t="s">
        <v>3</v>
      </c>
      <c r="H21" t="str">
        <f>DEC2HEX(HEX2DEC(H20)+1,2)</f>
        <v>13</v>
      </c>
      <c r="I21" t="s">
        <v>981</v>
      </c>
    </row>
    <row r="22" spans="1:9" x14ac:dyDescent="0.4">
      <c r="A22" t="s">
        <v>941</v>
      </c>
      <c r="B22" t="s">
        <v>951</v>
      </c>
      <c r="D22" t="s">
        <v>947</v>
      </c>
      <c r="H22" t="str">
        <f>DEC2HEX(HEX2DEC(H21)+1,2)</f>
        <v>14</v>
      </c>
      <c r="I22" t="s">
        <v>982</v>
      </c>
    </row>
    <row r="23" spans="1:9" x14ac:dyDescent="0.4">
      <c r="A23" t="str">
        <f>DEC2HEX(1+HEX2DEC(A22),2)</f>
        <v>15</v>
      </c>
      <c r="B23" t="s">
        <v>950</v>
      </c>
      <c r="H23" t="str">
        <f>DEC2HEX(HEX2DEC(H22)+1,2)</f>
        <v>15</v>
      </c>
      <c r="I23" t="s">
        <v>991</v>
      </c>
    </row>
    <row r="24" spans="1:9" x14ac:dyDescent="0.4">
      <c r="A24" t="str">
        <f t="shared" ref="A24:A66" si="0">DEC2HEX(1+HEX2DEC(A23),2)</f>
        <v>16</v>
      </c>
      <c r="B24" t="s">
        <v>952</v>
      </c>
      <c r="H24" t="str">
        <f>DEC2HEX(HEX2DEC(H23)+1,2)</f>
        <v>16</v>
      </c>
      <c r="I24" t="s">
        <v>997</v>
      </c>
    </row>
    <row r="25" spans="1:9" x14ac:dyDescent="0.4">
      <c r="A25" t="str">
        <f t="shared" si="0"/>
        <v>17</v>
      </c>
      <c r="B25" t="s">
        <v>953</v>
      </c>
      <c r="H25" t="str">
        <f>DEC2HEX(HEX2DEC(H24)+1,2)</f>
        <v>17</v>
      </c>
      <c r="I25" t="s">
        <v>912</v>
      </c>
    </row>
    <row r="26" spans="1:9" x14ac:dyDescent="0.4">
      <c r="A26" t="str">
        <f t="shared" si="0"/>
        <v>18</v>
      </c>
      <c r="B26" t="s">
        <v>954</v>
      </c>
      <c r="H26" t="str">
        <f>DEC2HEX(HEX2DEC(H25)+1,2)</f>
        <v>18</v>
      </c>
      <c r="I26" t="s">
        <v>913</v>
      </c>
    </row>
    <row r="27" spans="1:9" x14ac:dyDescent="0.4">
      <c r="A27" t="str">
        <f t="shared" si="0"/>
        <v>19</v>
      </c>
      <c r="B27" t="s">
        <v>955</v>
      </c>
      <c r="H27" t="str">
        <f>DEC2HEX(HEX2DEC(H26)+1,2)</f>
        <v>19</v>
      </c>
      <c r="I27" t="s">
        <v>914</v>
      </c>
    </row>
    <row r="28" spans="1:9" x14ac:dyDescent="0.4">
      <c r="A28" t="str">
        <f t="shared" si="0"/>
        <v>1A</v>
      </c>
      <c r="B28" t="s">
        <v>949</v>
      </c>
      <c r="H28" t="str">
        <f>DEC2HEX(HEX2DEC(H27)+1,2)</f>
        <v>1A</v>
      </c>
      <c r="I28" t="s">
        <v>915</v>
      </c>
    </row>
    <row r="29" spans="1:9" x14ac:dyDescent="0.4">
      <c r="A29" t="str">
        <f t="shared" si="0"/>
        <v>1B</v>
      </c>
      <c r="B29" t="s">
        <v>956</v>
      </c>
      <c r="H29" t="str">
        <f>DEC2HEX(HEX2DEC(H28)+1,2)</f>
        <v>1B</v>
      </c>
      <c r="I29" t="s">
        <v>916</v>
      </c>
    </row>
    <row r="30" spans="1:9" x14ac:dyDescent="0.4">
      <c r="A30" t="str">
        <f t="shared" si="0"/>
        <v>1C</v>
      </c>
      <c r="B30" t="s">
        <v>968</v>
      </c>
      <c r="H30" t="str">
        <f>DEC2HEX(HEX2DEC(H29)+1,2)</f>
        <v>1C</v>
      </c>
      <c r="I30" t="s">
        <v>917</v>
      </c>
    </row>
    <row r="31" spans="1:9" x14ac:dyDescent="0.4">
      <c r="A31" t="str">
        <f t="shared" si="0"/>
        <v>1D</v>
      </c>
      <c r="B31" t="s">
        <v>969</v>
      </c>
      <c r="H31" t="str">
        <f>DEC2HEX(HEX2DEC(H30)+1,2)</f>
        <v>1D</v>
      </c>
      <c r="I31" t="s">
        <v>967</v>
      </c>
    </row>
    <row r="32" spans="1:9" x14ac:dyDescent="0.4">
      <c r="A32" t="str">
        <f t="shared" si="0"/>
        <v>1E</v>
      </c>
      <c r="B32" t="s">
        <v>970</v>
      </c>
      <c r="H32" t="str">
        <f>DEC2HEX(HEX2DEC(H31)+1,2)</f>
        <v>1E</v>
      </c>
      <c r="I32" t="s">
        <v>966</v>
      </c>
    </row>
    <row r="33" spans="1:9" x14ac:dyDescent="0.4">
      <c r="A33" t="str">
        <f t="shared" si="0"/>
        <v>1F</v>
      </c>
      <c r="B33" t="s">
        <v>971</v>
      </c>
      <c r="H33" t="str">
        <f>DEC2HEX(HEX2DEC(H32)+1,2)</f>
        <v>1F</v>
      </c>
      <c r="I33" t="s">
        <v>918</v>
      </c>
    </row>
    <row r="34" spans="1:9" x14ac:dyDescent="0.4">
      <c r="A34" t="str">
        <f t="shared" si="0"/>
        <v>20</v>
      </c>
      <c r="B34" t="s">
        <v>973</v>
      </c>
      <c r="H34" t="str">
        <f>DEC2HEX(HEX2DEC(H33)+1,2)</f>
        <v>20</v>
      </c>
      <c r="I34" t="s">
        <v>919</v>
      </c>
    </row>
    <row r="35" spans="1:9" x14ac:dyDescent="0.4">
      <c r="A35" t="str">
        <f t="shared" si="0"/>
        <v>21</v>
      </c>
      <c r="B35" t="s">
        <v>972</v>
      </c>
      <c r="H35" t="str">
        <f>DEC2HEX(HEX2DEC(H34)+1,2)</f>
        <v>21</v>
      </c>
      <c r="I35" t="s">
        <v>920</v>
      </c>
    </row>
    <row r="36" spans="1:9" x14ac:dyDescent="0.4">
      <c r="A36" t="str">
        <f t="shared" si="0"/>
        <v>22</v>
      </c>
      <c r="B36" t="s">
        <v>974</v>
      </c>
      <c r="H36" t="str">
        <f>DEC2HEX(HEX2DEC(H35)+1,2)</f>
        <v>22</v>
      </c>
    </row>
    <row r="37" spans="1:9" x14ac:dyDescent="0.4">
      <c r="A37" t="str">
        <f t="shared" si="0"/>
        <v>23</v>
      </c>
      <c r="B37" t="s">
        <v>980</v>
      </c>
      <c r="H37" t="str">
        <f>DEC2HEX(HEX2DEC(H36)+1,2)</f>
        <v>23</v>
      </c>
    </row>
    <row r="38" spans="1:9" x14ac:dyDescent="0.4">
      <c r="A38" t="str">
        <f t="shared" si="0"/>
        <v>24</v>
      </c>
      <c r="B38" t="s">
        <v>979</v>
      </c>
    </row>
    <row r="39" spans="1:9" x14ac:dyDescent="0.4">
      <c r="A39" t="str">
        <f t="shared" si="0"/>
        <v>25</v>
      </c>
      <c r="B39" t="s">
        <v>977</v>
      </c>
    </row>
    <row r="40" spans="1:9" x14ac:dyDescent="0.4">
      <c r="A40" t="str">
        <f t="shared" si="0"/>
        <v>26</v>
      </c>
      <c r="B40" t="s">
        <v>978</v>
      </c>
    </row>
    <row r="41" spans="1:9" x14ac:dyDescent="0.4">
      <c r="A41" t="str">
        <f t="shared" si="0"/>
        <v>27</v>
      </c>
      <c r="B41" t="s">
        <v>65</v>
      </c>
    </row>
    <row r="42" spans="1:9" x14ac:dyDescent="0.4">
      <c r="A42" t="str">
        <f t="shared" si="0"/>
        <v>28</v>
      </c>
      <c r="B42" t="s">
        <v>67</v>
      </c>
    </row>
    <row r="43" spans="1:9" x14ac:dyDescent="0.4">
      <c r="A43" t="str">
        <f t="shared" si="0"/>
        <v>29</v>
      </c>
      <c r="B43" t="s">
        <v>983</v>
      </c>
    </row>
    <row r="44" spans="1:9" x14ac:dyDescent="0.4">
      <c r="A44" t="str">
        <f t="shared" si="0"/>
        <v>2A</v>
      </c>
      <c r="B44" t="s">
        <v>984</v>
      </c>
    </row>
    <row r="45" spans="1:9" x14ac:dyDescent="0.4">
      <c r="A45" t="str">
        <f t="shared" si="0"/>
        <v>2B</v>
      </c>
      <c r="B45" t="s">
        <v>985</v>
      </c>
    </row>
    <row r="46" spans="1:9" x14ac:dyDescent="0.4">
      <c r="A46" t="str">
        <f t="shared" si="0"/>
        <v>2C</v>
      </c>
      <c r="B46" t="s">
        <v>986</v>
      </c>
    </row>
    <row r="47" spans="1:9" x14ac:dyDescent="0.4">
      <c r="A47" t="str">
        <f t="shared" si="0"/>
        <v>2D</v>
      </c>
      <c r="B47" t="s">
        <v>987</v>
      </c>
    </row>
    <row r="48" spans="1:9" x14ac:dyDescent="0.4">
      <c r="A48" t="str">
        <f t="shared" si="0"/>
        <v>2E</v>
      </c>
      <c r="B48" t="s">
        <v>988</v>
      </c>
    </row>
    <row r="49" spans="1:4" x14ac:dyDescent="0.4">
      <c r="A49" t="str">
        <f t="shared" si="0"/>
        <v>2F</v>
      </c>
      <c r="B49" t="s">
        <v>989</v>
      </c>
    </row>
    <row r="50" spans="1:4" x14ac:dyDescent="0.4">
      <c r="A50" t="str">
        <f t="shared" si="0"/>
        <v>30</v>
      </c>
      <c r="B50" t="s">
        <v>990</v>
      </c>
    </row>
    <row r="51" spans="1:4" x14ac:dyDescent="0.4">
      <c r="A51" t="str">
        <f t="shared" si="0"/>
        <v>31</v>
      </c>
      <c r="B51" t="s">
        <v>992</v>
      </c>
      <c r="C51" t="str">
        <f>_xlfn.CONCAT("0x",D51," - ",B51)</f>
        <v>0x1 - Alters Special Defense EV</v>
      </c>
      <c r="D51">
        <v>1</v>
      </c>
    </row>
    <row r="52" spans="1:4" x14ac:dyDescent="0.4">
      <c r="A52" t="str">
        <f t="shared" si="0"/>
        <v>32</v>
      </c>
      <c r="B52" t="s">
        <v>996</v>
      </c>
      <c r="C52" t="str">
        <f t="shared" ref="C44:C55" si="1">_xlfn.CONCAT("0x",D52," - ",B52)</f>
        <v>0x2 - Wing</v>
      </c>
      <c r="D52">
        <v>2</v>
      </c>
    </row>
    <row r="53" spans="1:4" x14ac:dyDescent="0.4">
      <c r="A53" t="str">
        <f t="shared" si="0"/>
        <v>33</v>
      </c>
      <c r="B53" t="s">
        <v>993</v>
      </c>
      <c r="C53" t="str">
        <f t="shared" si="1"/>
        <v>0x4 - Alter Friendship 1</v>
      </c>
      <c r="D53">
        <v>4</v>
      </c>
    </row>
    <row r="54" spans="1:4" x14ac:dyDescent="0.4">
      <c r="A54" t="str">
        <f t="shared" si="0"/>
        <v>34</v>
      </c>
      <c r="B54" t="s">
        <v>994</v>
      </c>
      <c r="C54" t="str">
        <f t="shared" si="1"/>
        <v>0x8 - Alter Friendship 2</v>
      </c>
      <c r="D54">
        <v>8</v>
      </c>
    </row>
    <row r="55" spans="1:4" x14ac:dyDescent="0.4">
      <c r="A55" t="str">
        <f t="shared" si="0"/>
        <v>35</v>
      </c>
      <c r="B55" t="s">
        <v>995</v>
      </c>
      <c r="C55" t="str">
        <f t="shared" si="1"/>
        <v>0x10 - Alter Friendship 3</v>
      </c>
      <c r="D55">
        <v>10</v>
      </c>
    </row>
    <row r="56" spans="1:4" x14ac:dyDescent="0.4">
      <c r="A56" t="str">
        <f t="shared" si="0"/>
        <v>36</v>
      </c>
      <c r="B56" t="s">
        <v>957</v>
      </c>
      <c r="C56" t="str">
        <f>_xlfn.TEXTJOIN(", ",TRUE,C51:C55)</f>
        <v>0x1 - Alters Special Defense EV, 0x2 - Wing, 0x4 - Alter Friendship 1, 0x8 - Alter Friendship 2, 0x10 - Alter Friendship 3</v>
      </c>
    </row>
    <row r="57" spans="1:4" x14ac:dyDescent="0.4">
      <c r="A57" t="str">
        <f t="shared" si="0"/>
        <v>37</v>
      </c>
      <c r="B57" t="s">
        <v>958</v>
      </c>
    </row>
    <row r="58" spans="1:4" x14ac:dyDescent="0.4">
      <c r="A58" t="str">
        <f t="shared" si="0"/>
        <v>38</v>
      </c>
      <c r="B58" t="s">
        <v>959</v>
      </c>
    </row>
    <row r="59" spans="1:4" x14ac:dyDescent="0.4">
      <c r="A59" t="str">
        <f t="shared" si="0"/>
        <v>39</v>
      </c>
      <c r="B59" t="s">
        <v>960</v>
      </c>
    </row>
    <row r="60" spans="1:4" x14ac:dyDescent="0.4">
      <c r="A60" t="str">
        <f t="shared" si="0"/>
        <v>3A</v>
      </c>
      <c r="B60" t="s">
        <v>961</v>
      </c>
    </row>
    <row r="61" spans="1:4" x14ac:dyDescent="0.4">
      <c r="A61" t="str">
        <f t="shared" si="0"/>
        <v>3B</v>
      </c>
      <c r="B61" t="s">
        <v>962</v>
      </c>
    </row>
    <row r="62" spans="1:4" x14ac:dyDescent="0.4">
      <c r="A62" t="str">
        <f t="shared" si="0"/>
        <v>3C</v>
      </c>
      <c r="B62" t="s">
        <v>967</v>
      </c>
    </row>
    <row r="63" spans="1:4" x14ac:dyDescent="0.4">
      <c r="A63" t="str">
        <f t="shared" si="0"/>
        <v>3D</v>
      </c>
      <c r="B63" t="s">
        <v>966</v>
      </c>
    </row>
    <row r="64" spans="1:4" x14ac:dyDescent="0.4">
      <c r="A64" t="str">
        <f t="shared" si="0"/>
        <v>3E</v>
      </c>
      <c r="B64" t="s">
        <v>963</v>
      </c>
    </row>
    <row r="65" spans="1:2" x14ac:dyDescent="0.4">
      <c r="A65" t="str">
        <f t="shared" si="0"/>
        <v>3F</v>
      </c>
      <c r="B65" t="s">
        <v>964</v>
      </c>
    </row>
    <row r="66" spans="1:2" x14ac:dyDescent="0.4">
      <c r="A66" t="str">
        <f t="shared" si="0"/>
        <v>40</v>
      </c>
      <c r="B66" t="s">
        <v>965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F98F-79CC-4311-B220-F181B014817F}">
  <dimension ref="A5:E48"/>
  <sheetViews>
    <sheetView workbookViewId="0">
      <selection activeCell="D28" sqref="D28:D32"/>
    </sheetView>
  </sheetViews>
  <sheetFormatPr defaultRowHeight="14.6" x14ac:dyDescent="0.4"/>
  <sheetData>
    <row r="5" spans="1:5" x14ac:dyDescent="0.4">
      <c r="A5" t="str">
        <f t="shared" ref="A5:A11" si="0">DEC2HEX(1+HEX2DEC(A6),2)</f>
        <v>0C</v>
      </c>
    </row>
    <row r="6" spans="1:5" x14ac:dyDescent="0.4">
      <c r="A6" t="str">
        <f t="shared" si="0"/>
        <v>0B</v>
      </c>
      <c r="E6" s="4">
        <v>1</v>
      </c>
    </row>
    <row r="7" spans="1:5" x14ac:dyDescent="0.4">
      <c r="A7" t="str">
        <f t="shared" si="0"/>
        <v>0A</v>
      </c>
      <c r="E7" s="5">
        <v>1</v>
      </c>
    </row>
    <row r="8" spans="1:5" x14ac:dyDescent="0.4">
      <c r="A8" t="str">
        <f t="shared" si="0"/>
        <v>09</v>
      </c>
      <c r="E8" s="6">
        <v>1</v>
      </c>
    </row>
    <row r="9" spans="1:5" x14ac:dyDescent="0.4">
      <c r="A9" t="str">
        <f t="shared" si="0"/>
        <v>08</v>
      </c>
      <c r="E9" s="7">
        <v>1</v>
      </c>
    </row>
    <row r="10" spans="1:5" x14ac:dyDescent="0.4">
      <c r="A10" t="str">
        <f t="shared" si="0"/>
        <v>07</v>
      </c>
      <c r="E10" s="8">
        <v>1</v>
      </c>
    </row>
    <row r="11" spans="1:5" x14ac:dyDescent="0.4">
      <c r="A11" t="str">
        <f t="shared" ref="A11:A16" si="1">DEC2HEX(1+HEX2DEC(A12),2)</f>
        <v>06</v>
      </c>
      <c r="D11" s="12"/>
      <c r="E11" s="9">
        <v>1</v>
      </c>
    </row>
    <row r="12" spans="1:5" x14ac:dyDescent="0.4">
      <c r="A12" t="str">
        <f t="shared" si="1"/>
        <v>05</v>
      </c>
      <c r="D12" s="12"/>
      <c r="E12" s="10">
        <v>1</v>
      </c>
    </row>
    <row r="13" spans="1:5" x14ac:dyDescent="0.4">
      <c r="A13" t="str">
        <f t="shared" si="1"/>
        <v>04</v>
      </c>
      <c r="D13" s="12"/>
      <c r="E13" s="11">
        <v>1</v>
      </c>
    </row>
    <row r="14" spans="1:5" x14ac:dyDescent="0.4">
      <c r="A14" t="str">
        <f t="shared" si="1"/>
        <v>03</v>
      </c>
      <c r="D14" s="12"/>
      <c r="E14" s="13">
        <v>1</v>
      </c>
    </row>
    <row r="15" spans="1:5" x14ac:dyDescent="0.4">
      <c r="A15" t="str">
        <f t="shared" si="1"/>
        <v>02</v>
      </c>
      <c r="D15" s="12"/>
      <c r="E15" s="14">
        <v>1</v>
      </c>
    </row>
    <row r="16" spans="1:5" x14ac:dyDescent="0.4">
      <c r="A16" t="str">
        <f t="shared" si="1"/>
        <v>01</v>
      </c>
      <c r="D16" s="12"/>
      <c r="E16" s="15">
        <v>1</v>
      </c>
    </row>
    <row r="17" spans="1:5" x14ac:dyDescent="0.4">
      <c r="A17">
        <v>0</v>
      </c>
      <c r="C17">
        <v>0</v>
      </c>
      <c r="D17" s="4">
        <v>1</v>
      </c>
      <c r="E17" s="16">
        <v>1</v>
      </c>
    </row>
    <row r="18" spans="1:5" x14ac:dyDescent="0.4">
      <c r="A18" t="str">
        <f t="shared" ref="A17:A47" si="2">DEC2HEX(1+HEX2DEC(A19),2)</f>
        <v>14</v>
      </c>
      <c r="B18" s="1" t="s">
        <v>922</v>
      </c>
      <c r="C18">
        <v>1</v>
      </c>
      <c r="D18" s="5">
        <v>1</v>
      </c>
      <c r="E18" s="17">
        <v>1</v>
      </c>
    </row>
    <row r="19" spans="1:5" x14ac:dyDescent="0.4">
      <c r="A19" t="str">
        <f t="shared" si="2"/>
        <v>13</v>
      </c>
      <c r="B19" t="str">
        <f t="shared" ref="B19:B48" si="3">DEC2HEX(1+HEX2DEC(B18),2)</f>
        <v>02</v>
      </c>
      <c r="C19">
        <v>2</v>
      </c>
      <c r="D19" s="6">
        <v>1</v>
      </c>
      <c r="E19" s="18">
        <v>1</v>
      </c>
    </row>
    <row r="20" spans="1:5" x14ac:dyDescent="0.4">
      <c r="A20" t="str">
        <f t="shared" si="2"/>
        <v>12</v>
      </c>
      <c r="B20" t="str">
        <f t="shared" si="3"/>
        <v>03</v>
      </c>
      <c r="C20">
        <v>3</v>
      </c>
      <c r="D20" s="7">
        <v>1</v>
      </c>
      <c r="E20" s="19">
        <v>1</v>
      </c>
    </row>
    <row r="21" spans="1:5" x14ac:dyDescent="0.4">
      <c r="A21" t="str">
        <f t="shared" si="2"/>
        <v>11</v>
      </c>
      <c r="B21" t="str">
        <f t="shared" si="3"/>
        <v>04</v>
      </c>
      <c r="C21">
        <v>4</v>
      </c>
      <c r="D21" s="8">
        <v>1</v>
      </c>
      <c r="E21" s="20">
        <v>1</v>
      </c>
    </row>
    <row r="22" spans="1:5" x14ac:dyDescent="0.4">
      <c r="A22" t="str">
        <f t="shared" si="2"/>
        <v>10</v>
      </c>
      <c r="B22" t="str">
        <f t="shared" si="3"/>
        <v>05</v>
      </c>
      <c r="C22">
        <v>5</v>
      </c>
      <c r="D22" s="9">
        <v>1</v>
      </c>
    </row>
    <row r="23" spans="1:5" x14ac:dyDescent="0.4">
      <c r="A23" t="str">
        <f t="shared" si="2"/>
        <v>0F</v>
      </c>
      <c r="B23" t="str">
        <f t="shared" si="3"/>
        <v>06</v>
      </c>
      <c r="C23">
        <v>6</v>
      </c>
      <c r="D23" s="10">
        <v>1</v>
      </c>
    </row>
    <row r="24" spans="1:5" x14ac:dyDescent="0.4">
      <c r="A24" t="str">
        <f t="shared" si="2"/>
        <v>0E</v>
      </c>
      <c r="B24" t="str">
        <f t="shared" si="3"/>
        <v>07</v>
      </c>
      <c r="C24">
        <v>7</v>
      </c>
      <c r="D24" s="11">
        <v>1</v>
      </c>
    </row>
    <row r="25" spans="1:5" x14ac:dyDescent="0.4">
      <c r="A25" t="str">
        <f t="shared" si="2"/>
        <v>0D</v>
      </c>
      <c r="B25" t="str">
        <f t="shared" si="3"/>
        <v>08</v>
      </c>
      <c r="C25">
        <v>8</v>
      </c>
      <c r="D25" s="13">
        <v>1</v>
      </c>
    </row>
    <row r="26" spans="1:5" x14ac:dyDescent="0.4">
      <c r="A26" t="str">
        <f t="shared" si="2"/>
        <v>0C</v>
      </c>
      <c r="B26" t="str">
        <f t="shared" si="3"/>
        <v>09</v>
      </c>
      <c r="C26">
        <v>9</v>
      </c>
      <c r="D26" s="14">
        <v>1</v>
      </c>
    </row>
    <row r="27" spans="1:5" x14ac:dyDescent="0.4">
      <c r="A27" t="str">
        <f t="shared" si="2"/>
        <v>0B</v>
      </c>
      <c r="B27" t="str">
        <f t="shared" si="3"/>
        <v>0A</v>
      </c>
      <c r="C27">
        <v>10</v>
      </c>
      <c r="D27" s="15">
        <v>1</v>
      </c>
    </row>
    <row r="28" spans="1:5" x14ac:dyDescent="0.4">
      <c r="A28" t="str">
        <f t="shared" si="2"/>
        <v>0A</v>
      </c>
      <c r="B28" t="str">
        <f t="shared" si="3"/>
        <v>0B</v>
      </c>
      <c r="C28">
        <v>11</v>
      </c>
      <c r="D28" s="16">
        <v>1</v>
      </c>
    </row>
    <row r="29" spans="1:5" x14ac:dyDescent="0.4">
      <c r="A29" t="str">
        <f t="shared" si="2"/>
        <v>09</v>
      </c>
      <c r="B29" t="str">
        <f t="shared" si="3"/>
        <v>0C</v>
      </c>
      <c r="C29">
        <v>12</v>
      </c>
      <c r="D29" s="17">
        <v>1</v>
      </c>
    </row>
    <row r="30" spans="1:5" x14ac:dyDescent="0.4">
      <c r="A30" t="str">
        <f t="shared" si="2"/>
        <v>08</v>
      </c>
      <c r="B30" t="str">
        <f t="shared" si="3"/>
        <v>0D</v>
      </c>
      <c r="C30">
        <v>13</v>
      </c>
      <c r="D30" s="18">
        <v>1</v>
      </c>
    </row>
    <row r="31" spans="1:5" x14ac:dyDescent="0.4">
      <c r="A31" t="str">
        <f t="shared" si="2"/>
        <v>07</v>
      </c>
      <c r="B31" t="str">
        <f t="shared" si="3"/>
        <v>0E</v>
      </c>
      <c r="C31">
        <v>14</v>
      </c>
      <c r="D31" s="19">
        <v>1</v>
      </c>
    </row>
    <row r="32" spans="1:5" x14ac:dyDescent="0.4">
      <c r="A32" t="str">
        <f t="shared" si="2"/>
        <v>06</v>
      </c>
      <c r="B32" t="str">
        <f t="shared" si="3"/>
        <v>0F</v>
      </c>
      <c r="C32">
        <v>15</v>
      </c>
      <c r="D32" s="20">
        <v>1</v>
      </c>
    </row>
    <row r="33" spans="1:3" x14ac:dyDescent="0.4">
      <c r="A33" t="str">
        <f t="shared" si="2"/>
        <v>05</v>
      </c>
      <c r="B33" t="str">
        <f t="shared" si="3"/>
        <v>10</v>
      </c>
      <c r="C33">
        <v>16</v>
      </c>
    </row>
    <row r="34" spans="1:3" x14ac:dyDescent="0.4">
      <c r="A34" t="str">
        <f t="shared" si="2"/>
        <v>04</v>
      </c>
      <c r="B34" t="str">
        <f t="shared" si="3"/>
        <v>11</v>
      </c>
      <c r="C34">
        <v>17</v>
      </c>
    </row>
    <row r="35" spans="1:3" x14ac:dyDescent="0.4">
      <c r="A35" t="str">
        <f t="shared" si="2"/>
        <v>03</v>
      </c>
      <c r="B35" t="str">
        <f t="shared" si="3"/>
        <v>12</v>
      </c>
      <c r="C35">
        <v>18</v>
      </c>
    </row>
    <row r="36" spans="1:3" x14ac:dyDescent="0.4">
      <c r="A36" t="str">
        <f t="shared" si="2"/>
        <v>02</v>
      </c>
      <c r="B36" t="str">
        <f t="shared" si="3"/>
        <v>13</v>
      </c>
      <c r="C36">
        <v>19</v>
      </c>
    </row>
    <row r="37" spans="1:3" x14ac:dyDescent="0.4">
      <c r="A37" t="str">
        <f t="shared" si="2"/>
        <v>01</v>
      </c>
      <c r="B37" t="str">
        <f t="shared" si="3"/>
        <v>14</v>
      </c>
      <c r="C37">
        <v>20</v>
      </c>
    </row>
    <row r="38" spans="1:3" x14ac:dyDescent="0.4">
      <c r="A38">
        <v>0</v>
      </c>
      <c r="B38" t="str">
        <f t="shared" si="3"/>
        <v>15</v>
      </c>
      <c r="C38">
        <v>21</v>
      </c>
    </row>
    <row r="39" spans="1:3" x14ac:dyDescent="0.4">
      <c r="A39" t="str">
        <f t="shared" si="2"/>
        <v>03</v>
      </c>
      <c r="B39" t="str">
        <f t="shared" si="3"/>
        <v>16</v>
      </c>
      <c r="C39">
        <v>22</v>
      </c>
    </row>
    <row r="40" spans="1:3" x14ac:dyDescent="0.4">
      <c r="A40" t="str">
        <f t="shared" si="2"/>
        <v>02</v>
      </c>
      <c r="B40" t="str">
        <f t="shared" si="3"/>
        <v>17</v>
      </c>
      <c r="C40">
        <v>23</v>
      </c>
    </row>
    <row r="41" spans="1:3" x14ac:dyDescent="0.4">
      <c r="A41" t="str">
        <f t="shared" si="2"/>
        <v>01</v>
      </c>
      <c r="B41" t="str">
        <f t="shared" si="3"/>
        <v>18</v>
      </c>
      <c r="C41">
        <v>24</v>
      </c>
    </row>
    <row r="42" spans="1:3" x14ac:dyDescent="0.4">
      <c r="A42">
        <v>0</v>
      </c>
      <c r="B42" t="str">
        <f t="shared" si="3"/>
        <v>19</v>
      </c>
      <c r="C42">
        <v>25</v>
      </c>
    </row>
    <row r="43" spans="1:3" x14ac:dyDescent="0.4">
      <c r="A43">
        <v>0</v>
      </c>
      <c r="B43" t="str">
        <f t="shared" si="3"/>
        <v>1A</v>
      </c>
      <c r="C43">
        <v>26</v>
      </c>
    </row>
    <row r="44" spans="1:3" x14ac:dyDescent="0.4">
      <c r="A44" t="str">
        <f t="shared" si="2"/>
        <v>04</v>
      </c>
      <c r="B44" t="str">
        <f t="shared" si="3"/>
        <v>1B</v>
      </c>
      <c r="C44">
        <v>27</v>
      </c>
    </row>
    <row r="45" spans="1:3" x14ac:dyDescent="0.4">
      <c r="A45" t="str">
        <f t="shared" si="2"/>
        <v>03</v>
      </c>
      <c r="B45" t="str">
        <f t="shared" si="3"/>
        <v>1C</v>
      </c>
      <c r="C45">
        <v>28</v>
      </c>
    </row>
    <row r="46" spans="1:3" x14ac:dyDescent="0.4">
      <c r="A46" t="str">
        <f t="shared" si="2"/>
        <v>02</v>
      </c>
      <c r="B46" t="str">
        <f t="shared" si="3"/>
        <v>1D</v>
      </c>
      <c r="C46">
        <v>29</v>
      </c>
    </row>
    <row r="47" spans="1:3" x14ac:dyDescent="0.4">
      <c r="A47" t="str">
        <f t="shared" si="2"/>
        <v>01</v>
      </c>
      <c r="B47" t="str">
        <f t="shared" si="3"/>
        <v>1E</v>
      </c>
      <c r="C47">
        <v>30</v>
      </c>
    </row>
    <row r="48" spans="1:3" x14ac:dyDescent="0.4">
      <c r="B48" t="str">
        <f t="shared" si="3"/>
        <v>1F</v>
      </c>
      <c r="C48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4D89-0198-4E37-A368-8C46C680FA73}">
  <dimension ref="A1:B960"/>
  <sheetViews>
    <sheetView topLeftCell="A915" workbookViewId="0">
      <selection activeCell="B2" sqref="B2:B960"/>
    </sheetView>
  </sheetViews>
  <sheetFormatPr defaultRowHeight="14.6" x14ac:dyDescent="0.4"/>
  <sheetData>
    <row r="1" spans="1:2" x14ac:dyDescent="0.4">
      <c r="A1">
        <v>0</v>
      </c>
      <c r="B1" t="s">
        <v>14</v>
      </c>
    </row>
    <row r="2" spans="1:2" x14ac:dyDescent="0.4">
      <c r="A2">
        <v>1</v>
      </c>
      <c r="B2" t="s">
        <v>15</v>
      </c>
    </row>
    <row r="3" spans="1:2" x14ac:dyDescent="0.4">
      <c r="A3">
        <v>2</v>
      </c>
      <c r="B3" t="s">
        <v>16</v>
      </c>
    </row>
    <row r="4" spans="1:2" x14ac:dyDescent="0.4">
      <c r="A4">
        <v>3</v>
      </c>
      <c r="B4" t="s">
        <v>17</v>
      </c>
    </row>
    <row r="5" spans="1:2" x14ac:dyDescent="0.4">
      <c r="A5">
        <v>4</v>
      </c>
      <c r="B5" t="s">
        <v>18</v>
      </c>
    </row>
    <row r="6" spans="1:2" x14ac:dyDescent="0.4">
      <c r="A6">
        <v>5</v>
      </c>
      <c r="B6" t="s">
        <v>19</v>
      </c>
    </row>
    <row r="7" spans="1:2" x14ac:dyDescent="0.4">
      <c r="A7">
        <v>6</v>
      </c>
      <c r="B7" t="s">
        <v>20</v>
      </c>
    </row>
    <row r="8" spans="1:2" x14ac:dyDescent="0.4">
      <c r="A8">
        <v>7</v>
      </c>
      <c r="B8" t="s">
        <v>21</v>
      </c>
    </row>
    <row r="9" spans="1:2" x14ac:dyDescent="0.4">
      <c r="A9">
        <v>8</v>
      </c>
      <c r="B9" t="s">
        <v>22</v>
      </c>
    </row>
    <row r="10" spans="1:2" x14ac:dyDescent="0.4">
      <c r="A10">
        <v>9</v>
      </c>
      <c r="B10" t="s">
        <v>23</v>
      </c>
    </row>
    <row r="11" spans="1:2" x14ac:dyDescent="0.4">
      <c r="A11">
        <v>10</v>
      </c>
      <c r="B11" t="s">
        <v>24</v>
      </c>
    </row>
    <row r="12" spans="1:2" x14ac:dyDescent="0.4">
      <c r="A12">
        <v>11</v>
      </c>
      <c r="B12" t="s">
        <v>25</v>
      </c>
    </row>
    <row r="13" spans="1:2" x14ac:dyDescent="0.4">
      <c r="A13">
        <v>12</v>
      </c>
      <c r="B13" t="s">
        <v>26</v>
      </c>
    </row>
    <row r="14" spans="1:2" x14ac:dyDescent="0.4">
      <c r="A14">
        <v>13</v>
      </c>
      <c r="B14" t="s">
        <v>27</v>
      </c>
    </row>
    <row r="15" spans="1:2" x14ac:dyDescent="0.4">
      <c r="A15">
        <v>14</v>
      </c>
      <c r="B15" t="s">
        <v>28</v>
      </c>
    </row>
    <row r="16" spans="1:2" x14ac:dyDescent="0.4">
      <c r="A16">
        <v>15</v>
      </c>
      <c r="B16" t="s">
        <v>29</v>
      </c>
    </row>
    <row r="17" spans="1:2" x14ac:dyDescent="0.4">
      <c r="A17">
        <v>16</v>
      </c>
      <c r="B17" t="s">
        <v>30</v>
      </c>
    </row>
    <row r="18" spans="1:2" x14ac:dyDescent="0.4">
      <c r="A18">
        <v>17</v>
      </c>
      <c r="B18" t="s">
        <v>31</v>
      </c>
    </row>
    <row r="19" spans="1:2" x14ac:dyDescent="0.4">
      <c r="A19">
        <v>18</v>
      </c>
      <c r="B19" t="s">
        <v>32</v>
      </c>
    </row>
    <row r="20" spans="1:2" x14ac:dyDescent="0.4">
      <c r="A20">
        <v>19</v>
      </c>
      <c r="B20" t="s">
        <v>33</v>
      </c>
    </row>
    <row r="21" spans="1:2" x14ac:dyDescent="0.4">
      <c r="A21">
        <v>20</v>
      </c>
      <c r="B21" t="s">
        <v>34</v>
      </c>
    </row>
    <row r="22" spans="1:2" x14ac:dyDescent="0.4">
      <c r="A22">
        <v>21</v>
      </c>
      <c r="B22" t="s">
        <v>35</v>
      </c>
    </row>
    <row r="23" spans="1:2" x14ac:dyDescent="0.4">
      <c r="A23">
        <v>22</v>
      </c>
      <c r="B23" t="s">
        <v>36</v>
      </c>
    </row>
    <row r="24" spans="1:2" x14ac:dyDescent="0.4">
      <c r="A24">
        <v>23</v>
      </c>
      <c r="B24" t="s">
        <v>37</v>
      </c>
    </row>
    <row r="25" spans="1:2" x14ac:dyDescent="0.4">
      <c r="A25">
        <v>24</v>
      </c>
      <c r="B25" t="s">
        <v>38</v>
      </c>
    </row>
    <row r="26" spans="1:2" x14ac:dyDescent="0.4">
      <c r="A26">
        <v>25</v>
      </c>
      <c r="B26" t="s">
        <v>39</v>
      </c>
    </row>
    <row r="27" spans="1:2" x14ac:dyDescent="0.4">
      <c r="A27">
        <v>26</v>
      </c>
      <c r="B27" t="s">
        <v>40</v>
      </c>
    </row>
    <row r="28" spans="1:2" x14ac:dyDescent="0.4">
      <c r="A28">
        <v>27</v>
      </c>
      <c r="B28" t="s">
        <v>41</v>
      </c>
    </row>
    <row r="29" spans="1:2" x14ac:dyDescent="0.4">
      <c r="A29">
        <v>28</v>
      </c>
      <c r="B29" t="s">
        <v>42</v>
      </c>
    </row>
    <row r="30" spans="1:2" x14ac:dyDescent="0.4">
      <c r="A30">
        <v>29</v>
      </c>
      <c r="B30" t="s">
        <v>43</v>
      </c>
    </row>
    <row r="31" spans="1:2" x14ac:dyDescent="0.4">
      <c r="A31">
        <v>30</v>
      </c>
      <c r="B31" t="s">
        <v>44</v>
      </c>
    </row>
    <row r="32" spans="1:2" x14ac:dyDescent="0.4">
      <c r="A32">
        <v>31</v>
      </c>
      <c r="B32" t="s">
        <v>45</v>
      </c>
    </row>
    <row r="33" spans="1:2" x14ac:dyDescent="0.4">
      <c r="A33">
        <v>32</v>
      </c>
      <c r="B33" t="s">
        <v>46</v>
      </c>
    </row>
    <row r="34" spans="1:2" x14ac:dyDescent="0.4">
      <c r="A34">
        <v>33</v>
      </c>
      <c r="B34" t="s">
        <v>47</v>
      </c>
    </row>
    <row r="35" spans="1:2" x14ac:dyDescent="0.4">
      <c r="A35">
        <v>34</v>
      </c>
      <c r="B35" t="s">
        <v>48</v>
      </c>
    </row>
    <row r="36" spans="1:2" x14ac:dyDescent="0.4">
      <c r="A36">
        <v>35</v>
      </c>
      <c r="B36" t="s">
        <v>49</v>
      </c>
    </row>
    <row r="37" spans="1:2" x14ac:dyDescent="0.4">
      <c r="A37">
        <v>36</v>
      </c>
      <c r="B37" t="s">
        <v>50</v>
      </c>
    </row>
    <row r="38" spans="1:2" x14ac:dyDescent="0.4">
      <c r="A38">
        <v>37</v>
      </c>
      <c r="B38" t="s">
        <v>51</v>
      </c>
    </row>
    <row r="39" spans="1:2" x14ac:dyDescent="0.4">
      <c r="A39">
        <v>38</v>
      </c>
      <c r="B39" t="s">
        <v>52</v>
      </c>
    </row>
    <row r="40" spans="1:2" x14ac:dyDescent="0.4">
      <c r="A40">
        <v>39</v>
      </c>
      <c r="B40" t="s">
        <v>53</v>
      </c>
    </row>
    <row r="41" spans="1:2" x14ac:dyDescent="0.4">
      <c r="A41">
        <v>40</v>
      </c>
      <c r="B41" t="s">
        <v>54</v>
      </c>
    </row>
    <row r="42" spans="1:2" x14ac:dyDescent="0.4">
      <c r="A42">
        <v>41</v>
      </c>
      <c r="B42" t="s">
        <v>55</v>
      </c>
    </row>
    <row r="43" spans="1:2" x14ac:dyDescent="0.4">
      <c r="A43">
        <v>42</v>
      </c>
      <c r="B43" t="s">
        <v>56</v>
      </c>
    </row>
    <row r="44" spans="1:2" x14ac:dyDescent="0.4">
      <c r="A44">
        <v>43</v>
      </c>
      <c r="B44" t="s">
        <v>57</v>
      </c>
    </row>
    <row r="45" spans="1:2" x14ac:dyDescent="0.4">
      <c r="A45">
        <v>44</v>
      </c>
      <c r="B45" t="s">
        <v>58</v>
      </c>
    </row>
    <row r="46" spans="1:2" x14ac:dyDescent="0.4">
      <c r="A46">
        <v>45</v>
      </c>
      <c r="B46" t="s">
        <v>59</v>
      </c>
    </row>
    <row r="47" spans="1:2" x14ac:dyDescent="0.4">
      <c r="A47">
        <v>46</v>
      </c>
      <c r="B47" t="s">
        <v>60</v>
      </c>
    </row>
    <row r="48" spans="1:2" x14ac:dyDescent="0.4">
      <c r="A48">
        <v>47</v>
      </c>
      <c r="B48" t="s">
        <v>61</v>
      </c>
    </row>
    <row r="49" spans="1:2" x14ac:dyDescent="0.4">
      <c r="A49">
        <v>48</v>
      </c>
      <c r="B49" t="s">
        <v>62</v>
      </c>
    </row>
    <row r="50" spans="1:2" x14ac:dyDescent="0.4">
      <c r="A50">
        <v>49</v>
      </c>
      <c r="B50" t="s">
        <v>63</v>
      </c>
    </row>
    <row r="51" spans="1:2" x14ac:dyDescent="0.4">
      <c r="A51">
        <v>50</v>
      </c>
      <c r="B51" t="s">
        <v>64</v>
      </c>
    </row>
    <row r="52" spans="1:2" x14ac:dyDescent="0.4">
      <c r="A52">
        <v>51</v>
      </c>
      <c r="B52" t="s">
        <v>65</v>
      </c>
    </row>
    <row r="53" spans="1:2" x14ac:dyDescent="0.4">
      <c r="A53">
        <v>52</v>
      </c>
      <c r="B53" t="s">
        <v>66</v>
      </c>
    </row>
    <row r="54" spans="1:2" x14ac:dyDescent="0.4">
      <c r="A54">
        <v>53</v>
      </c>
      <c r="B54" t="s">
        <v>67</v>
      </c>
    </row>
    <row r="55" spans="1:2" x14ac:dyDescent="0.4">
      <c r="A55">
        <v>54</v>
      </c>
      <c r="B55" t="s">
        <v>68</v>
      </c>
    </row>
    <row r="56" spans="1:2" x14ac:dyDescent="0.4">
      <c r="A56">
        <v>55</v>
      </c>
      <c r="B56" t="s">
        <v>69</v>
      </c>
    </row>
    <row r="57" spans="1:2" x14ac:dyDescent="0.4">
      <c r="A57">
        <v>56</v>
      </c>
      <c r="B57" t="s">
        <v>70</v>
      </c>
    </row>
    <row r="58" spans="1:2" x14ac:dyDescent="0.4">
      <c r="A58">
        <v>57</v>
      </c>
      <c r="B58" t="s">
        <v>71</v>
      </c>
    </row>
    <row r="59" spans="1:2" x14ac:dyDescent="0.4">
      <c r="A59">
        <v>58</v>
      </c>
      <c r="B59" t="s">
        <v>72</v>
      </c>
    </row>
    <row r="60" spans="1:2" x14ac:dyDescent="0.4">
      <c r="A60">
        <v>59</v>
      </c>
      <c r="B60" t="s">
        <v>73</v>
      </c>
    </row>
    <row r="61" spans="1:2" x14ac:dyDescent="0.4">
      <c r="A61">
        <v>60</v>
      </c>
      <c r="B61" t="s">
        <v>74</v>
      </c>
    </row>
    <row r="62" spans="1:2" x14ac:dyDescent="0.4">
      <c r="A62">
        <v>61</v>
      </c>
      <c r="B62" t="s">
        <v>75</v>
      </c>
    </row>
    <row r="63" spans="1:2" x14ac:dyDescent="0.4">
      <c r="A63">
        <v>62</v>
      </c>
      <c r="B63" t="s">
        <v>76</v>
      </c>
    </row>
    <row r="64" spans="1:2" x14ac:dyDescent="0.4">
      <c r="A64">
        <v>63</v>
      </c>
      <c r="B64" t="s">
        <v>77</v>
      </c>
    </row>
    <row r="65" spans="1:2" x14ac:dyDescent="0.4">
      <c r="A65">
        <v>64</v>
      </c>
      <c r="B65" t="s">
        <v>78</v>
      </c>
    </row>
    <row r="66" spans="1:2" x14ac:dyDescent="0.4">
      <c r="A66">
        <v>65</v>
      </c>
      <c r="B66" t="s">
        <v>79</v>
      </c>
    </row>
    <row r="67" spans="1:2" x14ac:dyDescent="0.4">
      <c r="A67">
        <v>66</v>
      </c>
      <c r="B67" t="s">
        <v>80</v>
      </c>
    </row>
    <row r="68" spans="1:2" x14ac:dyDescent="0.4">
      <c r="A68">
        <v>67</v>
      </c>
      <c r="B68" t="s">
        <v>81</v>
      </c>
    </row>
    <row r="69" spans="1:2" x14ac:dyDescent="0.4">
      <c r="A69">
        <v>68</v>
      </c>
      <c r="B69" t="s">
        <v>82</v>
      </c>
    </row>
    <row r="70" spans="1:2" x14ac:dyDescent="0.4">
      <c r="A70">
        <v>69</v>
      </c>
      <c r="B70" t="s">
        <v>83</v>
      </c>
    </row>
    <row r="71" spans="1:2" x14ac:dyDescent="0.4">
      <c r="A71">
        <v>70</v>
      </c>
      <c r="B71" t="s">
        <v>84</v>
      </c>
    </row>
    <row r="72" spans="1:2" x14ac:dyDescent="0.4">
      <c r="A72">
        <v>71</v>
      </c>
      <c r="B72" t="s">
        <v>85</v>
      </c>
    </row>
    <row r="73" spans="1:2" x14ac:dyDescent="0.4">
      <c r="A73">
        <v>72</v>
      </c>
      <c r="B73" t="s">
        <v>86</v>
      </c>
    </row>
    <row r="74" spans="1:2" x14ac:dyDescent="0.4">
      <c r="A74">
        <v>73</v>
      </c>
      <c r="B74" t="s">
        <v>87</v>
      </c>
    </row>
    <row r="75" spans="1:2" x14ac:dyDescent="0.4">
      <c r="A75">
        <v>74</v>
      </c>
      <c r="B75" t="s">
        <v>88</v>
      </c>
    </row>
    <row r="76" spans="1:2" x14ac:dyDescent="0.4">
      <c r="A76">
        <v>75</v>
      </c>
      <c r="B76" t="s">
        <v>89</v>
      </c>
    </row>
    <row r="77" spans="1:2" x14ac:dyDescent="0.4">
      <c r="A77">
        <v>76</v>
      </c>
      <c r="B77" t="s">
        <v>90</v>
      </c>
    </row>
    <row r="78" spans="1:2" x14ac:dyDescent="0.4">
      <c r="A78">
        <v>77</v>
      </c>
      <c r="B78" t="s">
        <v>91</v>
      </c>
    </row>
    <row r="79" spans="1:2" x14ac:dyDescent="0.4">
      <c r="A79">
        <v>78</v>
      </c>
      <c r="B79" t="s">
        <v>92</v>
      </c>
    </row>
    <row r="80" spans="1:2" x14ac:dyDescent="0.4">
      <c r="A80">
        <v>79</v>
      </c>
      <c r="B80" t="s">
        <v>93</v>
      </c>
    </row>
    <row r="81" spans="1:2" x14ac:dyDescent="0.4">
      <c r="A81">
        <v>80</v>
      </c>
      <c r="B81" t="s">
        <v>94</v>
      </c>
    </row>
    <row r="82" spans="1:2" x14ac:dyDescent="0.4">
      <c r="A82">
        <v>81</v>
      </c>
      <c r="B82" t="s">
        <v>95</v>
      </c>
    </row>
    <row r="83" spans="1:2" x14ac:dyDescent="0.4">
      <c r="A83">
        <v>82</v>
      </c>
      <c r="B83" t="s">
        <v>96</v>
      </c>
    </row>
    <row r="84" spans="1:2" x14ac:dyDescent="0.4">
      <c r="A84">
        <v>83</v>
      </c>
      <c r="B84" t="s">
        <v>97</v>
      </c>
    </row>
    <row r="85" spans="1:2" x14ac:dyDescent="0.4">
      <c r="A85">
        <v>84</v>
      </c>
      <c r="B85" t="s">
        <v>98</v>
      </c>
    </row>
    <row r="86" spans="1:2" x14ac:dyDescent="0.4">
      <c r="A86">
        <v>85</v>
      </c>
      <c r="B86" t="s">
        <v>99</v>
      </c>
    </row>
    <row r="87" spans="1:2" x14ac:dyDescent="0.4">
      <c r="A87">
        <v>86</v>
      </c>
      <c r="B87" t="s">
        <v>100</v>
      </c>
    </row>
    <row r="88" spans="1:2" x14ac:dyDescent="0.4">
      <c r="A88">
        <v>87</v>
      </c>
      <c r="B88" t="s">
        <v>101</v>
      </c>
    </row>
    <row r="89" spans="1:2" x14ac:dyDescent="0.4">
      <c r="A89">
        <v>88</v>
      </c>
      <c r="B89" t="s">
        <v>102</v>
      </c>
    </row>
    <row r="90" spans="1:2" x14ac:dyDescent="0.4">
      <c r="A90">
        <v>89</v>
      </c>
      <c r="B90" t="s">
        <v>103</v>
      </c>
    </row>
    <row r="91" spans="1:2" x14ac:dyDescent="0.4">
      <c r="A91">
        <v>90</v>
      </c>
      <c r="B91" t="s">
        <v>104</v>
      </c>
    </row>
    <row r="92" spans="1:2" x14ac:dyDescent="0.4">
      <c r="A92">
        <v>91</v>
      </c>
      <c r="B92" t="s">
        <v>105</v>
      </c>
    </row>
    <row r="93" spans="1:2" x14ac:dyDescent="0.4">
      <c r="A93">
        <v>92</v>
      </c>
      <c r="B93" t="s">
        <v>106</v>
      </c>
    </row>
    <row r="94" spans="1:2" x14ac:dyDescent="0.4">
      <c r="A94">
        <v>93</v>
      </c>
      <c r="B94" t="s">
        <v>107</v>
      </c>
    </row>
    <row r="95" spans="1:2" x14ac:dyDescent="0.4">
      <c r="A95">
        <v>94</v>
      </c>
      <c r="B95" t="s">
        <v>108</v>
      </c>
    </row>
    <row r="96" spans="1:2" x14ac:dyDescent="0.4">
      <c r="A96">
        <v>95</v>
      </c>
      <c r="B96" t="s">
        <v>109</v>
      </c>
    </row>
    <row r="97" spans="1:2" x14ac:dyDescent="0.4">
      <c r="A97">
        <v>96</v>
      </c>
      <c r="B97" t="s">
        <v>110</v>
      </c>
    </row>
    <row r="98" spans="1:2" x14ac:dyDescent="0.4">
      <c r="A98">
        <v>97</v>
      </c>
      <c r="B98" t="s">
        <v>111</v>
      </c>
    </row>
    <row r="99" spans="1:2" x14ac:dyDescent="0.4">
      <c r="A99">
        <v>98</v>
      </c>
      <c r="B99" t="s">
        <v>112</v>
      </c>
    </row>
    <row r="100" spans="1:2" x14ac:dyDescent="0.4">
      <c r="A100">
        <v>99</v>
      </c>
      <c r="B100" t="s">
        <v>113</v>
      </c>
    </row>
    <row r="101" spans="1:2" x14ac:dyDescent="0.4">
      <c r="A101">
        <v>100</v>
      </c>
      <c r="B101" t="s">
        <v>114</v>
      </c>
    </row>
    <row r="102" spans="1:2" x14ac:dyDescent="0.4">
      <c r="A102">
        <v>101</v>
      </c>
      <c r="B102" t="s">
        <v>115</v>
      </c>
    </row>
    <row r="103" spans="1:2" x14ac:dyDescent="0.4">
      <c r="A103">
        <v>102</v>
      </c>
      <c r="B103" t="s">
        <v>116</v>
      </c>
    </row>
    <row r="104" spans="1:2" x14ac:dyDescent="0.4">
      <c r="A104">
        <v>103</v>
      </c>
      <c r="B104" t="s">
        <v>117</v>
      </c>
    </row>
    <row r="105" spans="1:2" x14ac:dyDescent="0.4">
      <c r="A105">
        <v>104</v>
      </c>
      <c r="B105" t="s">
        <v>118</v>
      </c>
    </row>
    <row r="106" spans="1:2" x14ac:dyDescent="0.4">
      <c r="A106">
        <v>105</v>
      </c>
      <c r="B106" t="s">
        <v>119</v>
      </c>
    </row>
    <row r="107" spans="1:2" x14ac:dyDescent="0.4">
      <c r="A107">
        <v>106</v>
      </c>
      <c r="B107" t="s">
        <v>120</v>
      </c>
    </row>
    <row r="108" spans="1:2" x14ac:dyDescent="0.4">
      <c r="A108">
        <v>107</v>
      </c>
      <c r="B108" t="s">
        <v>121</v>
      </c>
    </row>
    <row r="109" spans="1:2" x14ac:dyDescent="0.4">
      <c r="A109">
        <v>108</v>
      </c>
      <c r="B109" t="s">
        <v>122</v>
      </c>
    </row>
    <row r="110" spans="1:2" x14ac:dyDescent="0.4">
      <c r="A110">
        <v>109</v>
      </c>
      <c r="B110" t="s">
        <v>123</v>
      </c>
    </row>
    <row r="111" spans="1:2" x14ac:dyDescent="0.4">
      <c r="A111">
        <v>110</v>
      </c>
      <c r="B111" t="s">
        <v>124</v>
      </c>
    </row>
    <row r="112" spans="1:2" x14ac:dyDescent="0.4">
      <c r="A112">
        <v>111</v>
      </c>
      <c r="B112" t="s">
        <v>125</v>
      </c>
    </row>
    <row r="113" spans="1:2" x14ac:dyDescent="0.4">
      <c r="A113">
        <v>112</v>
      </c>
      <c r="B113" t="s">
        <v>126</v>
      </c>
    </row>
    <row r="114" spans="1:2" x14ac:dyDescent="0.4">
      <c r="A114">
        <v>113</v>
      </c>
      <c r="B114" t="s">
        <v>127</v>
      </c>
    </row>
    <row r="115" spans="1:2" x14ac:dyDescent="0.4">
      <c r="A115">
        <v>114</v>
      </c>
      <c r="B115" t="s">
        <v>128</v>
      </c>
    </row>
    <row r="116" spans="1:2" x14ac:dyDescent="0.4">
      <c r="A116">
        <v>115</v>
      </c>
      <c r="B116" t="s">
        <v>129</v>
      </c>
    </row>
    <row r="117" spans="1:2" x14ac:dyDescent="0.4">
      <c r="A117">
        <v>116</v>
      </c>
      <c r="B117" t="s">
        <v>130</v>
      </c>
    </row>
    <row r="118" spans="1:2" x14ac:dyDescent="0.4">
      <c r="A118">
        <v>117</v>
      </c>
      <c r="B118" t="s">
        <v>131</v>
      </c>
    </row>
    <row r="119" spans="1:2" x14ac:dyDescent="0.4">
      <c r="A119">
        <v>118</v>
      </c>
      <c r="B119" t="s">
        <v>132</v>
      </c>
    </row>
    <row r="120" spans="1:2" x14ac:dyDescent="0.4">
      <c r="A120">
        <v>119</v>
      </c>
      <c r="B120" t="s">
        <v>133</v>
      </c>
    </row>
    <row r="121" spans="1:2" x14ac:dyDescent="0.4">
      <c r="A121">
        <v>120</v>
      </c>
      <c r="B121" t="s">
        <v>134</v>
      </c>
    </row>
    <row r="122" spans="1:2" x14ac:dyDescent="0.4">
      <c r="A122">
        <v>121</v>
      </c>
      <c r="B122" t="s">
        <v>135</v>
      </c>
    </row>
    <row r="123" spans="1:2" x14ac:dyDescent="0.4">
      <c r="A123">
        <v>122</v>
      </c>
      <c r="B123" t="s">
        <v>136</v>
      </c>
    </row>
    <row r="124" spans="1:2" x14ac:dyDescent="0.4">
      <c r="A124">
        <v>123</v>
      </c>
      <c r="B124" t="s">
        <v>137</v>
      </c>
    </row>
    <row r="125" spans="1:2" x14ac:dyDescent="0.4">
      <c r="A125">
        <v>124</v>
      </c>
      <c r="B125" t="s">
        <v>138</v>
      </c>
    </row>
    <row r="126" spans="1:2" x14ac:dyDescent="0.4">
      <c r="A126">
        <v>125</v>
      </c>
      <c r="B126" t="s">
        <v>138</v>
      </c>
    </row>
    <row r="127" spans="1:2" x14ac:dyDescent="0.4">
      <c r="A127">
        <v>126</v>
      </c>
      <c r="B127" t="s">
        <v>138</v>
      </c>
    </row>
    <row r="128" spans="1:2" x14ac:dyDescent="0.4">
      <c r="A128">
        <v>127</v>
      </c>
      <c r="B128" t="s">
        <v>138</v>
      </c>
    </row>
    <row r="129" spans="1:2" x14ac:dyDescent="0.4">
      <c r="A129">
        <v>128</v>
      </c>
      <c r="B129" t="s">
        <v>138</v>
      </c>
    </row>
    <row r="130" spans="1:2" x14ac:dyDescent="0.4">
      <c r="A130">
        <v>129</v>
      </c>
      <c r="B130" t="s">
        <v>138</v>
      </c>
    </row>
    <row r="131" spans="1:2" x14ac:dyDescent="0.4">
      <c r="A131">
        <v>130</v>
      </c>
      <c r="B131" t="s">
        <v>138</v>
      </c>
    </row>
    <row r="132" spans="1:2" x14ac:dyDescent="0.4">
      <c r="A132">
        <v>131</v>
      </c>
      <c r="B132" t="s">
        <v>138</v>
      </c>
    </row>
    <row r="133" spans="1:2" x14ac:dyDescent="0.4">
      <c r="A133">
        <v>132</v>
      </c>
      <c r="B133" t="s">
        <v>138</v>
      </c>
    </row>
    <row r="134" spans="1:2" x14ac:dyDescent="0.4">
      <c r="A134">
        <v>133</v>
      </c>
      <c r="B134" t="s">
        <v>138</v>
      </c>
    </row>
    <row r="135" spans="1:2" x14ac:dyDescent="0.4">
      <c r="A135">
        <v>134</v>
      </c>
      <c r="B135" t="s">
        <v>139</v>
      </c>
    </row>
    <row r="136" spans="1:2" x14ac:dyDescent="0.4">
      <c r="A136">
        <v>135</v>
      </c>
      <c r="B136" t="s">
        <v>140</v>
      </c>
    </row>
    <row r="137" spans="1:2" x14ac:dyDescent="0.4">
      <c r="A137">
        <v>136</v>
      </c>
      <c r="B137" t="s">
        <v>141</v>
      </c>
    </row>
    <row r="138" spans="1:2" x14ac:dyDescent="0.4">
      <c r="A138">
        <v>137</v>
      </c>
      <c r="B138" t="s">
        <v>142</v>
      </c>
    </row>
    <row r="139" spans="1:2" x14ac:dyDescent="0.4">
      <c r="A139">
        <v>138</v>
      </c>
      <c r="B139" t="s">
        <v>143</v>
      </c>
    </row>
    <row r="140" spans="1:2" x14ac:dyDescent="0.4">
      <c r="A140">
        <v>139</v>
      </c>
      <c r="B140" t="s">
        <v>144</v>
      </c>
    </row>
    <row r="141" spans="1:2" x14ac:dyDescent="0.4">
      <c r="A141">
        <v>140</v>
      </c>
      <c r="B141" t="s">
        <v>145</v>
      </c>
    </row>
    <row r="142" spans="1:2" x14ac:dyDescent="0.4">
      <c r="A142">
        <v>141</v>
      </c>
      <c r="B142" t="s">
        <v>146</v>
      </c>
    </row>
    <row r="143" spans="1:2" x14ac:dyDescent="0.4">
      <c r="A143">
        <v>142</v>
      </c>
      <c r="B143" t="s">
        <v>147</v>
      </c>
    </row>
    <row r="144" spans="1:2" x14ac:dyDescent="0.4">
      <c r="A144">
        <v>143</v>
      </c>
      <c r="B144" t="s">
        <v>148</v>
      </c>
    </row>
    <row r="145" spans="1:2" x14ac:dyDescent="0.4">
      <c r="A145">
        <v>144</v>
      </c>
      <c r="B145" t="s">
        <v>149</v>
      </c>
    </row>
    <row r="146" spans="1:2" x14ac:dyDescent="0.4">
      <c r="A146">
        <v>145</v>
      </c>
      <c r="B146" t="s">
        <v>150</v>
      </c>
    </row>
    <row r="147" spans="1:2" x14ac:dyDescent="0.4">
      <c r="A147">
        <v>146</v>
      </c>
      <c r="B147" t="s">
        <v>151</v>
      </c>
    </row>
    <row r="148" spans="1:2" x14ac:dyDescent="0.4">
      <c r="A148">
        <v>147</v>
      </c>
      <c r="B148" t="s">
        <v>152</v>
      </c>
    </row>
    <row r="149" spans="1:2" x14ac:dyDescent="0.4">
      <c r="A149">
        <v>148</v>
      </c>
      <c r="B149" t="s">
        <v>153</v>
      </c>
    </row>
    <row r="150" spans="1:2" x14ac:dyDescent="0.4">
      <c r="A150">
        <v>149</v>
      </c>
      <c r="B150" t="s">
        <v>154</v>
      </c>
    </row>
    <row r="151" spans="1:2" x14ac:dyDescent="0.4">
      <c r="A151">
        <v>150</v>
      </c>
      <c r="B151" t="s">
        <v>155</v>
      </c>
    </row>
    <row r="152" spans="1:2" x14ac:dyDescent="0.4">
      <c r="A152">
        <v>151</v>
      </c>
      <c r="B152" t="s">
        <v>156</v>
      </c>
    </row>
    <row r="153" spans="1:2" x14ac:dyDescent="0.4">
      <c r="A153">
        <v>152</v>
      </c>
      <c r="B153" t="s">
        <v>157</v>
      </c>
    </row>
    <row r="154" spans="1:2" x14ac:dyDescent="0.4">
      <c r="A154">
        <v>153</v>
      </c>
      <c r="B154" t="s">
        <v>158</v>
      </c>
    </row>
    <row r="155" spans="1:2" x14ac:dyDescent="0.4">
      <c r="A155">
        <v>154</v>
      </c>
      <c r="B155" t="s">
        <v>159</v>
      </c>
    </row>
    <row r="156" spans="1:2" x14ac:dyDescent="0.4">
      <c r="A156">
        <v>155</v>
      </c>
      <c r="B156" t="s">
        <v>160</v>
      </c>
    </row>
    <row r="157" spans="1:2" x14ac:dyDescent="0.4">
      <c r="A157">
        <v>156</v>
      </c>
      <c r="B157" t="s">
        <v>161</v>
      </c>
    </row>
    <row r="158" spans="1:2" x14ac:dyDescent="0.4">
      <c r="A158">
        <v>157</v>
      </c>
      <c r="B158" t="s">
        <v>162</v>
      </c>
    </row>
    <row r="159" spans="1:2" x14ac:dyDescent="0.4">
      <c r="A159">
        <v>158</v>
      </c>
      <c r="B159" t="s">
        <v>163</v>
      </c>
    </row>
    <row r="160" spans="1:2" x14ac:dyDescent="0.4">
      <c r="A160">
        <v>159</v>
      </c>
      <c r="B160" t="s">
        <v>164</v>
      </c>
    </row>
    <row r="161" spans="1:2" x14ac:dyDescent="0.4">
      <c r="A161">
        <v>160</v>
      </c>
      <c r="B161" t="s">
        <v>165</v>
      </c>
    </row>
    <row r="162" spans="1:2" x14ac:dyDescent="0.4">
      <c r="A162">
        <v>161</v>
      </c>
      <c r="B162" t="s">
        <v>166</v>
      </c>
    </row>
    <row r="163" spans="1:2" x14ac:dyDescent="0.4">
      <c r="A163">
        <v>162</v>
      </c>
      <c r="B163" t="s">
        <v>167</v>
      </c>
    </row>
    <row r="164" spans="1:2" x14ac:dyDescent="0.4">
      <c r="A164">
        <v>163</v>
      </c>
      <c r="B164" t="s">
        <v>168</v>
      </c>
    </row>
    <row r="165" spans="1:2" x14ac:dyDescent="0.4">
      <c r="A165">
        <v>164</v>
      </c>
      <c r="B165" t="s">
        <v>169</v>
      </c>
    </row>
    <row r="166" spans="1:2" x14ac:dyDescent="0.4">
      <c r="A166">
        <v>165</v>
      </c>
      <c r="B166" t="s">
        <v>170</v>
      </c>
    </row>
    <row r="167" spans="1:2" x14ac:dyDescent="0.4">
      <c r="A167">
        <v>166</v>
      </c>
      <c r="B167" t="s">
        <v>171</v>
      </c>
    </row>
    <row r="168" spans="1:2" x14ac:dyDescent="0.4">
      <c r="A168">
        <v>167</v>
      </c>
      <c r="B168" t="s">
        <v>172</v>
      </c>
    </row>
    <row r="169" spans="1:2" x14ac:dyDescent="0.4">
      <c r="A169">
        <v>168</v>
      </c>
      <c r="B169" t="s">
        <v>173</v>
      </c>
    </row>
    <row r="170" spans="1:2" x14ac:dyDescent="0.4">
      <c r="A170">
        <v>169</v>
      </c>
      <c r="B170" t="s">
        <v>174</v>
      </c>
    </row>
    <row r="171" spans="1:2" x14ac:dyDescent="0.4">
      <c r="A171">
        <v>170</v>
      </c>
      <c r="B171" t="s">
        <v>175</v>
      </c>
    </row>
    <row r="172" spans="1:2" x14ac:dyDescent="0.4">
      <c r="A172">
        <v>171</v>
      </c>
      <c r="B172" t="s">
        <v>176</v>
      </c>
    </row>
    <row r="173" spans="1:2" x14ac:dyDescent="0.4">
      <c r="A173">
        <v>172</v>
      </c>
      <c r="B173" t="s">
        <v>177</v>
      </c>
    </row>
    <row r="174" spans="1:2" x14ac:dyDescent="0.4">
      <c r="A174">
        <v>173</v>
      </c>
      <c r="B174" t="s">
        <v>178</v>
      </c>
    </row>
    <row r="175" spans="1:2" x14ac:dyDescent="0.4">
      <c r="A175">
        <v>174</v>
      </c>
      <c r="B175" t="s">
        <v>179</v>
      </c>
    </row>
    <row r="176" spans="1:2" x14ac:dyDescent="0.4">
      <c r="A176">
        <v>175</v>
      </c>
      <c r="B176" t="s">
        <v>180</v>
      </c>
    </row>
    <row r="177" spans="1:2" x14ac:dyDescent="0.4">
      <c r="A177">
        <v>176</v>
      </c>
      <c r="B177" t="s">
        <v>181</v>
      </c>
    </row>
    <row r="178" spans="1:2" x14ac:dyDescent="0.4">
      <c r="A178">
        <v>177</v>
      </c>
      <c r="B178" t="s">
        <v>182</v>
      </c>
    </row>
    <row r="179" spans="1:2" x14ac:dyDescent="0.4">
      <c r="A179">
        <v>178</v>
      </c>
      <c r="B179" t="s">
        <v>183</v>
      </c>
    </row>
    <row r="180" spans="1:2" x14ac:dyDescent="0.4">
      <c r="A180">
        <v>179</v>
      </c>
      <c r="B180" t="s">
        <v>184</v>
      </c>
    </row>
    <row r="181" spans="1:2" x14ac:dyDescent="0.4">
      <c r="A181">
        <v>180</v>
      </c>
      <c r="B181" t="s">
        <v>185</v>
      </c>
    </row>
    <row r="182" spans="1:2" x14ac:dyDescent="0.4">
      <c r="A182">
        <v>181</v>
      </c>
      <c r="B182" t="s">
        <v>186</v>
      </c>
    </row>
    <row r="183" spans="1:2" x14ac:dyDescent="0.4">
      <c r="A183">
        <v>182</v>
      </c>
      <c r="B183" t="s">
        <v>187</v>
      </c>
    </row>
    <row r="184" spans="1:2" x14ac:dyDescent="0.4">
      <c r="A184">
        <v>183</v>
      </c>
      <c r="B184" t="s">
        <v>188</v>
      </c>
    </row>
    <row r="185" spans="1:2" x14ac:dyDescent="0.4">
      <c r="A185">
        <v>184</v>
      </c>
      <c r="B185" t="s">
        <v>189</v>
      </c>
    </row>
    <row r="186" spans="1:2" x14ac:dyDescent="0.4">
      <c r="A186">
        <v>185</v>
      </c>
      <c r="B186" t="s">
        <v>190</v>
      </c>
    </row>
    <row r="187" spans="1:2" x14ac:dyDescent="0.4">
      <c r="A187">
        <v>186</v>
      </c>
      <c r="B187" t="s">
        <v>191</v>
      </c>
    </row>
    <row r="188" spans="1:2" x14ac:dyDescent="0.4">
      <c r="A188">
        <v>187</v>
      </c>
      <c r="B188" t="s">
        <v>192</v>
      </c>
    </row>
    <row r="189" spans="1:2" x14ac:dyDescent="0.4">
      <c r="A189">
        <v>188</v>
      </c>
      <c r="B189" t="s">
        <v>193</v>
      </c>
    </row>
    <row r="190" spans="1:2" x14ac:dyDescent="0.4">
      <c r="A190">
        <v>189</v>
      </c>
      <c r="B190" t="s">
        <v>194</v>
      </c>
    </row>
    <row r="191" spans="1:2" x14ac:dyDescent="0.4">
      <c r="A191">
        <v>190</v>
      </c>
      <c r="B191" t="s">
        <v>195</v>
      </c>
    </row>
    <row r="192" spans="1:2" x14ac:dyDescent="0.4">
      <c r="A192">
        <v>191</v>
      </c>
      <c r="B192" t="s">
        <v>196</v>
      </c>
    </row>
    <row r="193" spans="1:2" x14ac:dyDescent="0.4">
      <c r="A193">
        <v>192</v>
      </c>
      <c r="B193" t="s">
        <v>197</v>
      </c>
    </row>
    <row r="194" spans="1:2" x14ac:dyDescent="0.4">
      <c r="A194">
        <v>193</v>
      </c>
      <c r="B194" t="s">
        <v>198</v>
      </c>
    </row>
    <row r="195" spans="1:2" x14ac:dyDescent="0.4">
      <c r="A195">
        <v>194</v>
      </c>
      <c r="B195" t="s">
        <v>199</v>
      </c>
    </row>
    <row r="196" spans="1:2" x14ac:dyDescent="0.4">
      <c r="A196">
        <v>195</v>
      </c>
      <c r="B196" t="s">
        <v>200</v>
      </c>
    </row>
    <row r="197" spans="1:2" x14ac:dyDescent="0.4">
      <c r="A197">
        <v>196</v>
      </c>
      <c r="B197" t="s">
        <v>201</v>
      </c>
    </row>
    <row r="198" spans="1:2" x14ac:dyDescent="0.4">
      <c r="A198">
        <v>197</v>
      </c>
      <c r="B198" t="s">
        <v>202</v>
      </c>
    </row>
    <row r="199" spans="1:2" x14ac:dyDescent="0.4">
      <c r="A199">
        <v>198</v>
      </c>
      <c r="B199" t="s">
        <v>203</v>
      </c>
    </row>
    <row r="200" spans="1:2" x14ac:dyDescent="0.4">
      <c r="A200">
        <v>199</v>
      </c>
      <c r="B200" t="s">
        <v>204</v>
      </c>
    </row>
    <row r="201" spans="1:2" x14ac:dyDescent="0.4">
      <c r="A201">
        <v>200</v>
      </c>
      <c r="B201" t="s">
        <v>205</v>
      </c>
    </row>
    <row r="202" spans="1:2" x14ac:dyDescent="0.4">
      <c r="A202">
        <v>201</v>
      </c>
      <c r="B202" t="s">
        <v>206</v>
      </c>
    </row>
    <row r="203" spans="1:2" x14ac:dyDescent="0.4">
      <c r="A203">
        <v>202</v>
      </c>
      <c r="B203" t="s">
        <v>207</v>
      </c>
    </row>
    <row r="204" spans="1:2" x14ac:dyDescent="0.4">
      <c r="A204">
        <v>203</v>
      </c>
      <c r="B204" t="s">
        <v>208</v>
      </c>
    </row>
    <row r="205" spans="1:2" x14ac:dyDescent="0.4">
      <c r="A205">
        <v>204</v>
      </c>
      <c r="B205" t="s">
        <v>209</v>
      </c>
    </row>
    <row r="206" spans="1:2" x14ac:dyDescent="0.4">
      <c r="A206">
        <v>205</v>
      </c>
      <c r="B206" t="s">
        <v>210</v>
      </c>
    </row>
    <row r="207" spans="1:2" x14ac:dyDescent="0.4">
      <c r="A207">
        <v>206</v>
      </c>
      <c r="B207" t="s">
        <v>211</v>
      </c>
    </row>
    <row r="208" spans="1:2" x14ac:dyDescent="0.4">
      <c r="A208">
        <v>207</v>
      </c>
      <c r="B208" t="s">
        <v>212</v>
      </c>
    </row>
    <row r="209" spans="1:2" x14ac:dyDescent="0.4">
      <c r="A209">
        <v>208</v>
      </c>
      <c r="B209" t="s">
        <v>213</v>
      </c>
    </row>
    <row r="210" spans="1:2" x14ac:dyDescent="0.4">
      <c r="A210">
        <v>209</v>
      </c>
      <c r="B210" t="s">
        <v>214</v>
      </c>
    </row>
    <row r="211" spans="1:2" x14ac:dyDescent="0.4">
      <c r="A211">
        <v>210</v>
      </c>
      <c r="B211" t="s">
        <v>215</v>
      </c>
    </row>
    <row r="212" spans="1:2" x14ac:dyDescent="0.4">
      <c r="A212">
        <v>211</v>
      </c>
      <c r="B212" t="s">
        <v>216</v>
      </c>
    </row>
    <row r="213" spans="1:2" x14ac:dyDescent="0.4">
      <c r="A213">
        <v>212</v>
      </c>
      <c r="B213" t="s">
        <v>217</v>
      </c>
    </row>
    <row r="214" spans="1:2" x14ac:dyDescent="0.4">
      <c r="A214">
        <v>213</v>
      </c>
      <c r="B214" t="s">
        <v>218</v>
      </c>
    </row>
    <row r="215" spans="1:2" x14ac:dyDescent="0.4">
      <c r="A215">
        <v>214</v>
      </c>
      <c r="B215" t="s">
        <v>219</v>
      </c>
    </row>
    <row r="216" spans="1:2" x14ac:dyDescent="0.4">
      <c r="A216">
        <v>215</v>
      </c>
      <c r="B216" t="s">
        <v>220</v>
      </c>
    </row>
    <row r="217" spans="1:2" x14ac:dyDescent="0.4">
      <c r="A217">
        <v>216</v>
      </c>
      <c r="B217" t="s">
        <v>221</v>
      </c>
    </row>
    <row r="218" spans="1:2" x14ac:dyDescent="0.4">
      <c r="A218">
        <v>217</v>
      </c>
      <c r="B218" t="s">
        <v>222</v>
      </c>
    </row>
    <row r="219" spans="1:2" x14ac:dyDescent="0.4">
      <c r="A219">
        <v>218</v>
      </c>
      <c r="B219" t="s">
        <v>223</v>
      </c>
    </row>
    <row r="220" spans="1:2" x14ac:dyDescent="0.4">
      <c r="A220">
        <v>219</v>
      </c>
      <c r="B220" t="s">
        <v>224</v>
      </c>
    </row>
    <row r="221" spans="1:2" x14ac:dyDescent="0.4">
      <c r="A221">
        <v>220</v>
      </c>
      <c r="B221" t="s">
        <v>225</v>
      </c>
    </row>
    <row r="222" spans="1:2" x14ac:dyDescent="0.4">
      <c r="A222">
        <v>221</v>
      </c>
      <c r="B222" t="s">
        <v>226</v>
      </c>
    </row>
    <row r="223" spans="1:2" x14ac:dyDescent="0.4">
      <c r="A223">
        <v>222</v>
      </c>
      <c r="B223" t="s">
        <v>227</v>
      </c>
    </row>
    <row r="224" spans="1:2" x14ac:dyDescent="0.4">
      <c r="A224">
        <v>223</v>
      </c>
      <c r="B224" t="s">
        <v>228</v>
      </c>
    </row>
    <row r="225" spans="1:2" x14ac:dyDescent="0.4">
      <c r="A225">
        <v>224</v>
      </c>
      <c r="B225" t="s">
        <v>229</v>
      </c>
    </row>
    <row r="226" spans="1:2" x14ac:dyDescent="0.4">
      <c r="A226">
        <v>225</v>
      </c>
      <c r="B226" t="s">
        <v>230</v>
      </c>
    </row>
    <row r="227" spans="1:2" x14ac:dyDescent="0.4">
      <c r="A227">
        <v>226</v>
      </c>
      <c r="B227" t="s">
        <v>231</v>
      </c>
    </row>
    <row r="228" spans="1:2" x14ac:dyDescent="0.4">
      <c r="A228">
        <v>227</v>
      </c>
      <c r="B228" t="s">
        <v>232</v>
      </c>
    </row>
    <row r="229" spans="1:2" x14ac:dyDescent="0.4">
      <c r="A229">
        <v>228</v>
      </c>
      <c r="B229" t="s">
        <v>233</v>
      </c>
    </row>
    <row r="230" spans="1:2" x14ac:dyDescent="0.4">
      <c r="A230">
        <v>229</v>
      </c>
      <c r="B230" t="s">
        <v>234</v>
      </c>
    </row>
    <row r="231" spans="1:2" x14ac:dyDescent="0.4">
      <c r="A231">
        <v>230</v>
      </c>
      <c r="B231" t="s">
        <v>235</v>
      </c>
    </row>
    <row r="232" spans="1:2" x14ac:dyDescent="0.4">
      <c r="A232">
        <v>231</v>
      </c>
      <c r="B232" t="s">
        <v>236</v>
      </c>
    </row>
    <row r="233" spans="1:2" x14ac:dyDescent="0.4">
      <c r="A233">
        <v>232</v>
      </c>
      <c r="B233" t="s">
        <v>237</v>
      </c>
    </row>
    <row r="234" spans="1:2" x14ac:dyDescent="0.4">
      <c r="A234">
        <v>233</v>
      </c>
      <c r="B234" t="s">
        <v>238</v>
      </c>
    </row>
    <row r="235" spans="1:2" x14ac:dyDescent="0.4">
      <c r="A235">
        <v>234</v>
      </c>
      <c r="B235" t="s">
        <v>239</v>
      </c>
    </row>
    <row r="236" spans="1:2" x14ac:dyDescent="0.4">
      <c r="A236">
        <v>235</v>
      </c>
      <c r="B236" t="s">
        <v>240</v>
      </c>
    </row>
    <row r="237" spans="1:2" x14ac:dyDescent="0.4">
      <c r="A237">
        <v>236</v>
      </c>
      <c r="B237" t="s">
        <v>241</v>
      </c>
    </row>
    <row r="238" spans="1:2" x14ac:dyDescent="0.4">
      <c r="A238">
        <v>237</v>
      </c>
      <c r="B238" t="s">
        <v>242</v>
      </c>
    </row>
    <row r="239" spans="1:2" x14ac:dyDescent="0.4">
      <c r="A239">
        <v>238</v>
      </c>
      <c r="B239" t="s">
        <v>243</v>
      </c>
    </row>
    <row r="240" spans="1:2" x14ac:dyDescent="0.4">
      <c r="A240">
        <v>239</v>
      </c>
      <c r="B240" t="s">
        <v>244</v>
      </c>
    </row>
    <row r="241" spans="1:2" x14ac:dyDescent="0.4">
      <c r="A241">
        <v>240</v>
      </c>
      <c r="B241" t="s">
        <v>245</v>
      </c>
    </row>
    <row r="242" spans="1:2" x14ac:dyDescent="0.4">
      <c r="A242">
        <v>241</v>
      </c>
      <c r="B242" t="s">
        <v>246</v>
      </c>
    </row>
    <row r="243" spans="1:2" x14ac:dyDescent="0.4">
      <c r="A243">
        <v>242</v>
      </c>
      <c r="B243" t="s">
        <v>247</v>
      </c>
    </row>
    <row r="244" spans="1:2" x14ac:dyDescent="0.4">
      <c r="A244">
        <v>243</v>
      </c>
      <c r="B244" t="s">
        <v>248</v>
      </c>
    </row>
    <row r="245" spans="1:2" x14ac:dyDescent="0.4">
      <c r="A245">
        <v>244</v>
      </c>
      <c r="B245" t="s">
        <v>249</v>
      </c>
    </row>
    <row r="246" spans="1:2" x14ac:dyDescent="0.4">
      <c r="A246">
        <v>245</v>
      </c>
      <c r="B246" t="s">
        <v>250</v>
      </c>
    </row>
    <row r="247" spans="1:2" x14ac:dyDescent="0.4">
      <c r="A247">
        <v>246</v>
      </c>
      <c r="B247" t="s">
        <v>251</v>
      </c>
    </row>
    <row r="248" spans="1:2" x14ac:dyDescent="0.4">
      <c r="A248">
        <v>247</v>
      </c>
      <c r="B248" t="s">
        <v>252</v>
      </c>
    </row>
    <row r="249" spans="1:2" x14ac:dyDescent="0.4">
      <c r="A249">
        <v>248</v>
      </c>
      <c r="B249" t="s">
        <v>253</v>
      </c>
    </row>
    <row r="250" spans="1:2" x14ac:dyDescent="0.4">
      <c r="A250">
        <v>249</v>
      </c>
      <c r="B250" t="s">
        <v>254</v>
      </c>
    </row>
    <row r="251" spans="1:2" x14ac:dyDescent="0.4">
      <c r="A251">
        <v>250</v>
      </c>
      <c r="B251" t="s">
        <v>255</v>
      </c>
    </row>
    <row r="252" spans="1:2" x14ac:dyDescent="0.4">
      <c r="A252">
        <v>251</v>
      </c>
      <c r="B252" t="s">
        <v>256</v>
      </c>
    </row>
    <row r="253" spans="1:2" x14ac:dyDescent="0.4">
      <c r="A253">
        <v>252</v>
      </c>
      <c r="B253" t="s">
        <v>257</v>
      </c>
    </row>
    <row r="254" spans="1:2" x14ac:dyDescent="0.4">
      <c r="A254">
        <v>253</v>
      </c>
      <c r="B254" t="s">
        <v>258</v>
      </c>
    </row>
    <row r="255" spans="1:2" x14ac:dyDescent="0.4">
      <c r="A255">
        <v>254</v>
      </c>
      <c r="B255" t="s">
        <v>259</v>
      </c>
    </row>
    <row r="256" spans="1:2" x14ac:dyDescent="0.4">
      <c r="A256">
        <v>255</v>
      </c>
      <c r="B256" t="s">
        <v>260</v>
      </c>
    </row>
    <row r="257" spans="1:2" x14ac:dyDescent="0.4">
      <c r="A257">
        <v>256</v>
      </c>
      <c r="B257" t="s">
        <v>261</v>
      </c>
    </row>
    <row r="258" spans="1:2" x14ac:dyDescent="0.4">
      <c r="A258">
        <v>257</v>
      </c>
      <c r="B258" t="s">
        <v>262</v>
      </c>
    </row>
    <row r="259" spans="1:2" x14ac:dyDescent="0.4">
      <c r="A259">
        <v>258</v>
      </c>
      <c r="B259" t="s">
        <v>263</v>
      </c>
    </row>
    <row r="260" spans="1:2" x14ac:dyDescent="0.4">
      <c r="A260">
        <v>259</v>
      </c>
      <c r="B260" t="s">
        <v>264</v>
      </c>
    </row>
    <row r="261" spans="1:2" x14ac:dyDescent="0.4">
      <c r="A261">
        <v>260</v>
      </c>
      <c r="B261" t="s">
        <v>265</v>
      </c>
    </row>
    <row r="262" spans="1:2" x14ac:dyDescent="0.4">
      <c r="A262">
        <v>261</v>
      </c>
      <c r="B262" t="s">
        <v>266</v>
      </c>
    </row>
    <row r="263" spans="1:2" x14ac:dyDescent="0.4">
      <c r="A263">
        <v>262</v>
      </c>
      <c r="B263" t="s">
        <v>267</v>
      </c>
    </row>
    <row r="264" spans="1:2" x14ac:dyDescent="0.4">
      <c r="A264">
        <v>263</v>
      </c>
      <c r="B264" t="s">
        <v>268</v>
      </c>
    </row>
    <row r="265" spans="1:2" x14ac:dyDescent="0.4">
      <c r="A265">
        <v>264</v>
      </c>
      <c r="B265" t="s">
        <v>269</v>
      </c>
    </row>
    <row r="266" spans="1:2" x14ac:dyDescent="0.4">
      <c r="A266">
        <v>265</v>
      </c>
      <c r="B266" t="s">
        <v>270</v>
      </c>
    </row>
    <row r="267" spans="1:2" x14ac:dyDescent="0.4">
      <c r="A267">
        <v>266</v>
      </c>
      <c r="B267" t="s">
        <v>271</v>
      </c>
    </row>
    <row r="268" spans="1:2" x14ac:dyDescent="0.4">
      <c r="A268">
        <v>267</v>
      </c>
      <c r="B268" t="s">
        <v>272</v>
      </c>
    </row>
    <row r="269" spans="1:2" x14ac:dyDescent="0.4">
      <c r="A269">
        <v>268</v>
      </c>
      <c r="B269" t="s">
        <v>273</v>
      </c>
    </row>
    <row r="270" spans="1:2" x14ac:dyDescent="0.4">
      <c r="A270">
        <v>269</v>
      </c>
      <c r="B270" t="s">
        <v>274</v>
      </c>
    </row>
    <row r="271" spans="1:2" x14ac:dyDescent="0.4">
      <c r="A271">
        <v>270</v>
      </c>
      <c r="B271" t="s">
        <v>275</v>
      </c>
    </row>
    <row r="272" spans="1:2" x14ac:dyDescent="0.4">
      <c r="A272">
        <v>271</v>
      </c>
      <c r="B272" t="s">
        <v>276</v>
      </c>
    </row>
    <row r="273" spans="1:2" x14ac:dyDescent="0.4">
      <c r="A273">
        <v>272</v>
      </c>
      <c r="B273" t="s">
        <v>277</v>
      </c>
    </row>
    <row r="274" spans="1:2" x14ac:dyDescent="0.4">
      <c r="A274">
        <v>273</v>
      </c>
      <c r="B274" t="s">
        <v>278</v>
      </c>
    </row>
    <row r="275" spans="1:2" x14ac:dyDescent="0.4">
      <c r="A275">
        <v>274</v>
      </c>
      <c r="B275" t="s">
        <v>279</v>
      </c>
    </row>
    <row r="276" spans="1:2" x14ac:dyDescent="0.4">
      <c r="A276">
        <v>275</v>
      </c>
      <c r="B276" t="s">
        <v>280</v>
      </c>
    </row>
    <row r="277" spans="1:2" x14ac:dyDescent="0.4">
      <c r="A277">
        <v>276</v>
      </c>
      <c r="B277" t="s">
        <v>281</v>
      </c>
    </row>
    <row r="278" spans="1:2" x14ac:dyDescent="0.4">
      <c r="A278">
        <v>277</v>
      </c>
      <c r="B278" t="s">
        <v>282</v>
      </c>
    </row>
    <row r="279" spans="1:2" x14ac:dyDescent="0.4">
      <c r="A279">
        <v>278</v>
      </c>
      <c r="B279" t="s">
        <v>283</v>
      </c>
    </row>
    <row r="280" spans="1:2" x14ac:dyDescent="0.4">
      <c r="A280">
        <v>279</v>
      </c>
      <c r="B280" t="s">
        <v>284</v>
      </c>
    </row>
    <row r="281" spans="1:2" x14ac:dyDescent="0.4">
      <c r="A281">
        <v>280</v>
      </c>
      <c r="B281" t="s">
        <v>285</v>
      </c>
    </row>
    <row r="282" spans="1:2" x14ac:dyDescent="0.4">
      <c r="A282">
        <v>281</v>
      </c>
      <c r="B282" t="s">
        <v>286</v>
      </c>
    </row>
    <row r="283" spans="1:2" x14ac:dyDescent="0.4">
      <c r="A283">
        <v>282</v>
      </c>
      <c r="B283" t="s">
        <v>287</v>
      </c>
    </row>
    <row r="284" spans="1:2" x14ac:dyDescent="0.4">
      <c r="A284">
        <v>283</v>
      </c>
      <c r="B284" t="s">
        <v>288</v>
      </c>
    </row>
    <row r="285" spans="1:2" x14ac:dyDescent="0.4">
      <c r="A285">
        <v>284</v>
      </c>
      <c r="B285" t="s">
        <v>289</v>
      </c>
    </row>
    <row r="286" spans="1:2" x14ac:dyDescent="0.4">
      <c r="A286">
        <v>285</v>
      </c>
      <c r="B286" t="s">
        <v>290</v>
      </c>
    </row>
    <row r="287" spans="1:2" x14ac:dyDescent="0.4">
      <c r="A287">
        <v>286</v>
      </c>
      <c r="B287" t="s">
        <v>291</v>
      </c>
    </row>
    <row r="288" spans="1:2" x14ac:dyDescent="0.4">
      <c r="A288">
        <v>287</v>
      </c>
      <c r="B288" t="s">
        <v>292</v>
      </c>
    </row>
    <row r="289" spans="1:2" x14ac:dyDescent="0.4">
      <c r="A289">
        <v>288</v>
      </c>
      <c r="B289" t="s">
        <v>293</v>
      </c>
    </row>
    <row r="290" spans="1:2" x14ac:dyDescent="0.4">
      <c r="A290">
        <v>289</v>
      </c>
      <c r="B290" t="s">
        <v>294</v>
      </c>
    </row>
    <row r="291" spans="1:2" x14ac:dyDescent="0.4">
      <c r="A291">
        <v>290</v>
      </c>
      <c r="B291" t="s">
        <v>295</v>
      </c>
    </row>
    <row r="292" spans="1:2" x14ac:dyDescent="0.4">
      <c r="A292">
        <v>291</v>
      </c>
      <c r="B292" t="s">
        <v>296</v>
      </c>
    </row>
    <row r="293" spans="1:2" x14ac:dyDescent="0.4">
      <c r="A293">
        <v>292</v>
      </c>
      <c r="B293" t="s">
        <v>297</v>
      </c>
    </row>
    <row r="294" spans="1:2" x14ac:dyDescent="0.4">
      <c r="A294">
        <v>293</v>
      </c>
      <c r="B294" t="s">
        <v>298</v>
      </c>
    </row>
    <row r="295" spans="1:2" x14ac:dyDescent="0.4">
      <c r="A295">
        <v>294</v>
      </c>
      <c r="B295" t="s">
        <v>299</v>
      </c>
    </row>
    <row r="296" spans="1:2" x14ac:dyDescent="0.4">
      <c r="A296">
        <v>295</v>
      </c>
      <c r="B296" t="s">
        <v>300</v>
      </c>
    </row>
    <row r="297" spans="1:2" x14ac:dyDescent="0.4">
      <c r="A297">
        <v>296</v>
      </c>
      <c r="B297" t="s">
        <v>301</v>
      </c>
    </row>
    <row r="298" spans="1:2" x14ac:dyDescent="0.4">
      <c r="A298">
        <v>297</v>
      </c>
      <c r="B298" t="s">
        <v>302</v>
      </c>
    </row>
    <row r="299" spans="1:2" x14ac:dyDescent="0.4">
      <c r="A299">
        <v>298</v>
      </c>
      <c r="B299" t="s">
        <v>303</v>
      </c>
    </row>
    <row r="300" spans="1:2" x14ac:dyDescent="0.4">
      <c r="A300">
        <v>299</v>
      </c>
      <c r="B300" t="s">
        <v>304</v>
      </c>
    </row>
    <row r="301" spans="1:2" x14ac:dyDescent="0.4">
      <c r="A301">
        <v>300</v>
      </c>
      <c r="B301" t="s">
        <v>305</v>
      </c>
    </row>
    <row r="302" spans="1:2" x14ac:dyDescent="0.4">
      <c r="A302">
        <v>301</v>
      </c>
      <c r="B302" t="s">
        <v>306</v>
      </c>
    </row>
    <row r="303" spans="1:2" x14ac:dyDescent="0.4">
      <c r="A303">
        <v>302</v>
      </c>
      <c r="B303" t="s">
        <v>307</v>
      </c>
    </row>
    <row r="304" spans="1:2" x14ac:dyDescent="0.4">
      <c r="A304">
        <v>303</v>
      </c>
      <c r="B304" t="s">
        <v>308</v>
      </c>
    </row>
    <row r="305" spans="1:2" x14ac:dyDescent="0.4">
      <c r="A305">
        <v>304</v>
      </c>
      <c r="B305" t="s">
        <v>309</v>
      </c>
    </row>
    <row r="306" spans="1:2" x14ac:dyDescent="0.4">
      <c r="A306">
        <v>305</v>
      </c>
      <c r="B306" t="s">
        <v>310</v>
      </c>
    </row>
    <row r="307" spans="1:2" x14ac:dyDescent="0.4">
      <c r="A307">
        <v>306</v>
      </c>
      <c r="B307" t="s">
        <v>311</v>
      </c>
    </row>
    <row r="308" spans="1:2" x14ac:dyDescent="0.4">
      <c r="A308">
        <v>307</v>
      </c>
      <c r="B308" t="s">
        <v>312</v>
      </c>
    </row>
    <row r="309" spans="1:2" x14ac:dyDescent="0.4">
      <c r="A309">
        <v>308</v>
      </c>
      <c r="B309" t="s">
        <v>313</v>
      </c>
    </row>
    <row r="310" spans="1:2" x14ac:dyDescent="0.4">
      <c r="A310">
        <v>309</v>
      </c>
      <c r="B310" t="s">
        <v>314</v>
      </c>
    </row>
    <row r="311" spans="1:2" x14ac:dyDescent="0.4">
      <c r="A311">
        <v>310</v>
      </c>
      <c r="B311" t="s">
        <v>315</v>
      </c>
    </row>
    <row r="312" spans="1:2" x14ac:dyDescent="0.4">
      <c r="A312">
        <v>311</v>
      </c>
      <c r="B312" t="s">
        <v>316</v>
      </c>
    </row>
    <row r="313" spans="1:2" x14ac:dyDescent="0.4">
      <c r="A313">
        <v>312</v>
      </c>
      <c r="B313" t="s">
        <v>317</v>
      </c>
    </row>
    <row r="314" spans="1:2" x14ac:dyDescent="0.4">
      <c r="A314">
        <v>313</v>
      </c>
      <c r="B314" t="s">
        <v>318</v>
      </c>
    </row>
    <row r="315" spans="1:2" x14ac:dyDescent="0.4">
      <c r="A315">
        <v>314</v>
      </c>
      <c r="B315" t="s">
        <v>319</v>
      </c>
    </row>
    <row r="316" spans="1:2" x14ac:dyDescent="0.4">
      <c r="A316">
        <v>315</v>
      </c>
      <c r="B316" t="s">
        <v>320</v>
      </c>
    </row>
    <row r="317" spans="1:2" x14ac:dyDescent="0.4">
      <c r="A317">
        <v>316</v>
      </c>
      <c r="B317" t="s">
        <v>321</v>
      </c>
    </row>
    <row r="318" spans="1:2" x14ac:dyDescent="0.4">
      <c r="A318">
        <v>317</v>
      </c>
      <c r="B318" t="s">
        <v>322</v>
      </c>
    </row>
    <row r="319" spans="1:2" x14ac:dyDescent="0.4">
      <c r="A319">
        <v>318</v>
      </c>
      <c r="B319" t="s">
        <v>323</v>
      </c>
    </row>
    <row r="320" spans="1:2" x14ac:dyDescent="0.4">
      <c r="A320">
        <v>319</v>
      </c>
      <c r="B320" t="s">
        <v>324</v>
      </c>
    </row>
    <row r="321" spans="1:2" x14ac:dyDescent="0.4">
      <c r="A321">
        <v>320</v>
      </c>
      <c r="B321" t="s">
        <v>325</v>
      </c>
    </row>
    <row r="322" spans="1:2" x14ac:dyDescent="0.4">
      <c r="A322">
        <v>321</v>
      </c>
      <c r="B322" t="s">
        <v>326</v>
      </c>
    </row>
    <row r="323" spans="1:2" x14ac:dyDescent="0.4">
      <c r="A323">
        <v>322</v>
      </c>
      <c r="B323" t="s">
        <v>327</v>
      </c>
    </row>
    <row r="324" spans="1:2" x14ac:dyDescent="0.4">
      <c r="A324">
        <v>323</v>
      </c>
      <c r="B324" t="s">
        <v>328</v>
      </c>
    </row>
    <row r="325" spans="1:2" x14ac:dyDescent="0.4">
      <c r="A325">
        <v>324</v>
      </c>
      <c r="B325" t="s">
        <v>329</v>
      </c>
    </row>
    <row r="326" spans="1:2" x14ac:dyDescent="0.4">
      <c r="A326">
        <v>325</v>
      </c>
      <c r="B326" t="s">
        <v>330</v>
      </c>
    </row>
    <row r="327" spans="1:2" x14ac:dyDescent="0.4">
      <c r="A327">
        <v>326</v>
      </c>
      <c r="B327" t="s">
        <v>331</v>
      </c>
    </row>
    <row r="328" spans="1:2" x14ac:dyDescent="0.4">
      <c r="A328">
        <v>327</v>
      </c>
      <c r="B328" t="s">
        <v>332</v>
      </c>
    </row>
    <row r="329" spans="1:2" x14ac:dyDescent="0.4">
      <c r="A329">
        <v>328</v>
      </c>
      <c r="B329" t="s">
        <v>333</v>
      </c>
    </row>
    <row r="330" spans="1:2" x14ac:dyDescent="0.4">
      <c r="A330">
        <v>329</v>
      </c>
      <c r="B330" t="s">
        <v>334</v>
      </c>
    </row>
    <row r="331" spans="1:2" x14ac:dyDescent="0.4">
      <c r="A331">
        <v>330</v>
      </c>
      <c r="B331" t="s">
        <v>335</v>
      </c>
    </row>
    <row r="332" spans="1:2" x14ac:dyDescent="0.4">
      <c r="A332">
        <v>331</v>
      </c>
      <c r="B332" t="s">
        <v>336</v>
      </c>
    </row>
    <row r="333" spans="1:2" x14ac:dyDescent="0.4">
      <c r="A333">
        <v>332</v>
      </c>
      <c r="B333" t="s">
        <v>337</v>
      </c>
    </row>
    <row r="334" spans="1:2" x14ac:dyDescent="0.4">
      <c r="A334">
        <v>333</v>
      </c>
      <c r="B334" t="s">
        <v>338</v>
      </c>
    </row>
    <row r="335" spans="1:2" x14ac:dyDescent="0.4">
      <c r="A335">
        <v>334</v>
      </c>
      <c r="B335" t="s">
        <v>339</v>
      </c>
    </row>
    <row r="336" spans="1:2" x14ac:dyDescent="0.4">
      <c r="A336">
        <v>335</v>
      </c>
      <c r="B336" t="s">
        <v>340</v>
      </c>
    </row>
    <row r="337" spans="1:2" x14ac:dyDescent="0.4">
      <c r="A337">
        <v>336</v>
      </c>
      <c r="B337" t="s">
        <v>341</v>
      </c>
    </row>
    <row r="338" spans="1:2" x14ac:dyDescent="0.4">
      <c r="A338">
        <v>337</v>
      </c>
      <c r="B338" t="s">
        <v>342</v>
      </c>
    </row>
    <row r="339" spans="1:2" x14ac:dyDescent="0.4">
      <c r="A339">
        <v>338</v>
      </c>
      <c r="B339" t="s">
        <v>343</v>
      </c>
    </row>
    <row r="340" spans="1:2" x14ac:dyDescent="0.4">
      <c r="A340">
        <v>339</v>
      </c>
      <c r="B340" t="s">
        <v>344</v>
      </c>
    </row>
    <row r="341" spans="1:2" x14ac:dyDescent="0.4">
      <c r="A341">
        <v>340</v>
      </c>
      <c r="B341" t="s">
        <v>345</v>
      </c>
    </row>
    <row r="342" spans="1:2" x14ac:dyDescent="0.4">
      <c r="A342">
        <v>341</v>
      </c>
      <c r="B342" t="s">
        <v>346</v>
      </c>
    </row>
    <row r="343" spans="1:2" x14ac:dyDescent="0.4">
      <c r="A343">
        <v>342</v>
      </c>
      <c r="B343" t="s">
        <v>347</v>
      </c>
    </row>
    <row r="344" spans="1:2" x14ac:dyDescent="0.4">
      <c r="A344">
        <v>343</v>
      </c>
      <c r="B344" t="s">
        <v>348</v>
      </c>
    </row>
    <row r="345" spans="1:2" x14ac:dyDescent="0.4">
      <c r="A345">
        <v>344</v>
      </c>
      <c r="B345" t="s">
        <v>349</v>
      </c>
    </row>
    <row r="346" spans="1:2" x14ac:dyDescent="0.4">
      <c r="A346">
        <v>345</v>
      </c>
      <c r="B346" t="s">
        <v>350</v>
      </c>
    </row>
    <row r="347" spans="1:2" x14ac:dyDescent="0.4">
      <c r="A347">
        <v>346</v>
      </c>
      <c r="B347" t="s">
        <v>351</v>
      </c>
    </row>
    <row r="348" spans="1:2" x14ac:dyDescent="0.4">
      <c r="A348">
        <v>347</v>
      </c>
      <c r="B348" t="s">
        <v>352</v>
      </c>
    </row>
    <row r="349" spans="1:2" x14ac:dyDescent="0.4">
      <c r="A349">
        <v>348</v>
      </c>
      <c r="B349" t="s">
        <v>353</v>
      </c>
    </row>
    <row r="350" spans="1:2" x14ac:dyDescent="0.4">
      <c r="A350">
        <v>349</v>
      </c>
      <c r="B350" t="s">
        <v>354</v>
      </c>
    </row>
    <row r="351" spans="1:2" x14ac:dyDescent="0.4">
      <c r="A351">
        <v>350</v>
      </c>
      <c r="B351" t="s">
        <v>355</v>
      </c>
    </row>
    <row r="352" spans="1:2" x14ac:dyDescent="0.4">
      <c r="A352">
        <v>351</v>
      </c>
      <c r="B352" t="s">
        <v>356</v>
      </c>
    </row>
    <row r="353" spans="1:2" x14ac:dyDescent="0.4">
      <c r="A353">
        <v>352</v>
      </c>
      <c r="B353" t="s">
        <v>357</v>
      </c>
    </row>
    <row r="354" spans="1:2" x14ac:dyDescent="0.4">
      <c r="A354">
        <v>353</v>
      </c>
      <c r="B354" t="s">
        <v>358</v>
      </c>
    </row>
    <row r="355" spans="1:2" x14ac:dyDescent="0.4">
      <c r="A355">
        <v>354</v>
      </c>
      <c r="B355" t="s">
        <v>359</v>
      </c>
    </row>
    <row r="356" spans="1:2" x14ac:dyDescent="0.4">
      <c r="A356">
        <v>355</v>
      </c>
      <c r="B356" t="s">
        <v>360</v>
      </c>
    </row>
    <row r="357" spans="1:2" x14ac:dyDescent="0.4">
      <c r="A357">
        <v>356</v>
      </c>
      <c r="B357" t="s">
        <v>361</v>
      </c>
    </row>
    <row r="358" spans="1:2" x14ac:dyDescent="0.4">
      <c r="A358">
        <v>357</v>
      </c>
      <c r="B358" t="s">
        <v>362</v>
      </c>
    </row>
    <row r="359" spans="1:2" x14ac:dyDescent="0.4">
      <c r="A359">
        <v>358</v>
      </c>
      <c r="B359" t="s">
        <v>363</v>
      </c>
    </row>
    <row r="360" spans="1:2" x14ac:dyDescent="0.4">
      <c r="A360">
        <v>359</v>
      </c>
      <c r="B360" t="s">
        <v>364</v>
      </c>
    </row>
    <row r="361" spans="1:2" x14ac:dyDescent="0.4">
      <c r="A361">
        <v>360</v>
      </c>
      <c r="B361" t="s">
        <v>365</v>
      </c>
    </row>
    <row r="362" spans="1:2" x14ac:dyDescent="0.4">
      <c r="A362">
        <v>361</v>
      </c>
      <c r="B362" t="s">
        <v>366</v>
      </c>
    </row>
    <row r="363" spans="1:2" x14ac:dyDescent="0.4">
      <c r="A363">
        <v>362</v>
      </c>
      <c r="B363" t="s">
        <v>367</v>
      </c>
    </row>
    <row r="364" spans="1:2" x14ac:dyDescent="0.4">
      <c r="A364">
        <v>363</v>
      </c>
      <c r="B364" t="s">
        <v>368</v>
      </c>
    </row>
    <row r="365" spans="1:2" x14ac:dyDescent="0.4">
      <c r="A365">
        <v>364</v>
      </c>
      <c r="B365" t="s">
        <v>369</v>
      </c>
    </row>
    <row r="366" spans="1:2" x14ac:dyDescent="0.4">
      <c r="A366">
        <v>365</v>
      </c>
      <c r="B366" t="s">
        <v>370</v>
      </c>
    </row>
    <row r="367" spans="1:2" x14ac:dyDescent="0.4">
      <c r="A367">
        <v>366</v>
      </c>
      <c r="B367" t="s">
        <v>371</v>
      </c>
    </row>
    <row r="368" spans="1:2" x14ac:dyDescent="0.4">
      <c r="A368">
        <v>367</v>
      </c>
      <c r="B368" t="s">
        <v>372</v>
      </c>
    </row>
    <row r="369" spans="1:2" x14ac:dyDescent="0.4">
      <c r="A369">
        <v>368</v>
      </c>
      <c r="B369" t="s">
        <v>373</v>
      </c>
    </row>
    <row r="370" spans="1:2" x14ac:dyDescent="0.4">
      <c r="A370">
        <v>369</v>
      </c>
      <c r="B370" t="s">
        <v>374</v>
      </c>
    </row>
    <row r="371" spans="1:2" x14ac:dyDescent="0.4">
      <c r="A371">
        <v>370</v>
      </c>
      <c r="B371" t="s">
        <v>375</v>
      </c>
    </row>
    <row r="372" spans="1:2" x14ac:dyDescent="0.4">
      <c r="A372">
        <v>371</v>
      </c>
      <c r="B372" t="s">
        <v>376</v>
      </c>
    </row>
    <row r="373" spans="1:2" x14ac:dyDescent="0.4">
      <c r="A373">
        <v>372</v>
      </c>
      <c r="B373" t="s">
        <v>377</v>
      </c>
    </row>
    <row r="374" spans="1:2" x14ac:dyDescent="0.4">
      <c r="A374">
        <v>373</v>
      </c>
      <c r="B374" t="s">
        <v>378</v>
      </c>
    </row>
    <row r="375" spans="1:2" x14ac:dyDescent="0.4">
      <c r="A375">
        <v>374</v>
      </c>
      <c r="B375" t="s">
        <v>379</v>
      </c>
    </row>
    <row r="376" spans="1:2" x14ac:dyDescent="0.4">
      <c r="A376">
        <v>375</v>
      </c>
      <c r="B376" t="s">
        <v>380</v>
      </c>
    </row>
    <row r="377" spans="1:2" x14ac:dyDescent="0.4">
      <c r="A377">
        <v>376</v>
      </c>
      <c r="B377" t="s">
        <v>381</v>
      </c>
    </row>
    <row r="378" spans="1:2" x14ac:dyDescent="0.4">
      <c r="A378">
        <v>377</v>
      </c>
      <c r="B378" t="s">
        <v>382</v>
      </c>
    </row>
    <row r="379" spans="1:2" x14ac:dyDescent="0.4">
      <c r="A379">
        <v>378</v>
      </c>
      <c r="B379" t="s">
        <v>383</v>
      </c>
    </row>
    <row r="380" spans="1:2" x14ac:dyDescent="0.4">
      <c r="A380">
        <v>379</v>
      </c>
      <c r="B380" t="s">
        <v>384</v>
      </c>
    </row>
    <row r="381" spans="1:2" x14ac:dyDescent="0.4">
      <c r="A381">
        <v>380</v>
      </c>
      <c r="B381" t="s">
        <v>385</v>
      </c>
    </row>
    <row r="382" spans="1:2" x14ac:dyDescent="0.4">
      <c r="A382">
        <v>381</v>
      </c>
      <c r="B382" t="s">
        <v>386</v>
      </c>
    </row>
    <row r="383" spans="1:2" x14ac:dyDescent="0.4">
      <c r="A383">
        <v>382</v>
      </c>
      <c r="B383" t="s">
        <v>387</v>
      </c>
    </row>
    <row r="384" spans="1:2" x14ac:dyDescent="0.4">
      <c r="A384">
        <v>383</v>
      </c>
      <c r="B384" t="s">
        <v>388</v>
      </c>
    </row>
    <row r="385" spans="1:2" x14ac:dyDescent="0.4">
      <c r="A385">
        <v>384</v>
      </c>
      <c r="B385" t="s">
        <v>389</v>
      </c>
    </row>
    <row r="386" spans="1:2" x14ac:dyDescent="0.4">
      <c r="A386">
        <v>385</v>
      </c>
      <c r="B386" t="s">
        <v>390</v>
      </c>
    </row>
    <row r="387" spans="1:2" x14ac:dyDescent="0.4">
      <c r="A387">
        <v>386</v>
      </c>
      <c r="B387" t="s">
        <v>391</v>
      </c>
    </row>
    <row r="388" spans="1:2" x14ac:dyDescent="0.4">
      <c r="A388">
        <v>387</v>
      </c>
      <c r="B388" t="s">
        <v>392</v>
      </c>
    </row>
    <row r="389" spans="1:2" x14ac:dyDescent="0.4">
      <c r="A389">
        <v>388</v>
      </c>
      <c r="B389" t="s">
        <v>393</v>
      </c>
    </row>
    <row r="390" spans="1:2" x14ac:dyDescent="0.4">
      <c r="A390">
        <v>389</v>
      </c>
      <c r="B390" t="s">
        <v>394</v>
      </c>
    </row>
    <row r="391" spans="1:2" x14ac:dyDescent="0.4">
      <c r="A391">
        <v>390</v>
      </c>
      <c r="B391" t="s">
        <v>395</v>
      </c>
    </row>
    <row r="392" spans="1:2" x14ac:dyDescent="0.4">
      <c r="A392">
        <v>391</v>
      </c>
      <c r="B392" t="s">
        <v>396</v>
      </c>
    </row>
    <row r="393" spans="1:2" x14ac:dyDescent="0.4">
      <c r="A393">
        <v>392</v>
      </c>
      <c r="B393" t="s">
        <v>397</v>
      </c>
    </row>
    <row r="394" spans="1:2" x14ac:dyDescent="0.4">
      <c r="A394">
        <v>393</v>
      </c>
      <c r="B394" t="s">
        <v>398</v>
      </c>
    </row>
    <row r="395" spans="1:2" x14ac:dyDescent="0.4">
      <c r="A395">
        <v>394</v>
      </c>
      <c r="B395" t="s">
        <v>399</v>
      </c>
    </row>
    <row r="396" spans="1:2" x14ac:dyDescent="0.4">
      <c r="A396">
        <v>395</v>
      </c>
      <c r="B396" t="s">
        <v>400</v>
      </c>
    </row>
    <row r="397" spans="1:2" x14ac:dyDescent="0.4">
      <c r="A397">
        <v>396</v>
      </c>
      <c r="B397" t="s">
        <v>401</v>
      </c>
    </row>
    <row r="398" spans="1:2" x14ac:dyDescent="0.4">
      <c r="A398">
        <v>397</v>
      </c>
      <c r="B398" t="s">
        <v>402</v>
      </c>
    </row>
    <row r="399" spans="1:2" x14ac:dyDescent="0.4">
      <c r="A399">
        <v>398</v>
      </c>
      <c r="B399" t="s">
        <v>403</v>
      </c>
    </row>
    <row r="400" spans="1:2" x14ac:dyDescent="0.4">
      <c r="A400">
        <v>399</v>
      </c>
      <c r="B400" t="s">
        <v>404</v>
      </c>
    </row>
    <row r="401" spans="1:2" x14ac:dyDescent="0.4">
      <c r="A401">
        <v>400</v>
      </c>
      <c r="B401" t="s">
        <v>405</v>
      </c>
    </row>
    <row r="402" spans="1:2" x14ac:dyDescent="0.4">
      <c r="A402">
        <v>401</v>
      </c>
      <c r="B402" t="s">
        <v>406</v>
      </c>
    </row>
    <row r="403" spans="1:2" x14ac:dyDescent="0.4">
      <c r="A403">
        <v>402</v>
      </c>
      <c r="B403" t="s">
        <v>407</v>
      </c>
    </row>
    <row r="404" spans="1:2" x14ac:dyDescent="0.4">
      <c r="A404">
        <v>403</v>
      </c>
      <c r="B404" t="s">
        <v>408</v>
      </c>
    </row>
    <row r="405" spans="1:2" x14ac:dyDescent="0.4">
      <c r="A405">
        <v>404</v>
      </c>
      <c r="B405" t="s">
        <v>409</v>
      </c>
    </row>
    <row r="406" spans="1:2" x14ac:dyDescent="0.4">
      <c r="A406">
        <v>405</v>
      </c>
      <c r="B406" t="s">
        <v>410</v>
      </c>
    </row>
    <row r="407" spans="1:2" x14ac:dyDescent="0.4">
      <c r="A407">
        <v>406</v>
      </c>
      <c r="B407" t="s">
        <v>411</v>
      </c>
    </row>
    <row r="408" spans="1:2" x14ac:dyDescent="0.4">
      <c r="A408">
        <v>407</v>
      </c>
      <c r="B408" t="s">
        <v>412</v>
      </c>
    </row>
    <row r="409" spans="1:2" x14ac:dyDescent="0.4">
      <c r="A409">
        <v>408</v>
      </c>
      <c r="B409" t="s">
        <v>413</v>
      </c>
    </row>
    <row r="410" spans="1:2" x14ac:dyDescent="0.4">
      <c r="A410">
        <v>409</v>
      </c>
      <c r="B410" t="s">
        <v>414</v>
      </c>
    </row>
    <row r="411" spans="1:2" x14ac:dyDescent="0.4">
      <c r="A411">
        <v>410</v>
      </c>
      <c r="B411" t="s">
        <v>415</v>
      </c>
    </row>
    <row r="412" spans="1:2" x14ac:dyDescent="0.4">
      <c r="A412">
        <v>411</v>
      </c>
      <c r="B412" t="s">
        <v>416</v>
      </c>
    </row>
    <row r="413" spans="1:2" x14ac:dyDescent="0.4">
      <c r="A413">
        <v>412</v>
      </c>
      <c r="B413" t="s">
        <v>417</v>
      </c>
    </row>
    <row r="414" spans="1:2" x14ac:dyDescent="0.4">
      <c r="A414">
        <v>413</v>
      </c>
      <c r="B414" t="s">
        <v>418</v>
      </c>
    </row>
    <row r="415" spans="1:2" x14ac:dyDescent="0.4">
      <c r="A415">
        <v>414</v>
      </c>
      <c r="B415" t="s">
        <v>419</v>
      </c>
    </row>
    <row r="416" spans="1:2" x14ac:dyDescent="0.4">
      <c r="A416">
        <v>415</v>
      </c>
      <c r="B416" t="s">
        <v>420</v>
      </c>
    </row>
    <row r="417" spans="1:2" x14ac:dyDescent="0.4">
      <c r="A417">
        <v>416</v>
      </c>
      <c r="B417" t="s">
        <v>421</v>
      </c>
    </row>
    <row r="418" spans="1:2" x14ac:dyDescent="0.4">
      <c r="A418">
        <v>417</v>
      </c>
      <c r="B418" t="s">
        <v>422</v>
      </c>
    </row>
    <row r="419" spans="1:2" x14ac:dyDescent="0.4">
      <c r="A419">
        <v>418</v>
      </c>
      <c r="B419" t="s">
        <v>423</v>
      </c>
    </row>
    <row r="420" spans="1:2" x14ac:dyDescent="0.4">
      <c r="A420">
        <v>419</v>
      </c>
      <c r="B420" t="s">
        <v>424</v>
      </c>
    </row>
    <row r="421" spans="1:2" x14ac:dyDescent="0.4">
      <c r="A421">
        <v>420</v>
      </c>
      <c r="B421" t="s">
        <v>425</v>
      </c>
    </row>
    <row r="422" spans="1:2" x14ac:dyDescent="0.4">
      <c r="A422">
        <v>421</v>
      </c>
      <c r="B422" t="s">
        <v>426</v>
      </c>
    </row>
    <row r="423" spans="1:2" x14ac:dyDescent="0.4">
      <c r="A423">
        <v>422</v>
      </c>
      <c r="B423" t="s">
        <v>427</v>
      </c>
    </row>
    <row r="424" spans="1:2" x14ac:dyDescent="0.4">
      <c r="A424">
        <v>423</v>
      </c>
      <c r="B424" t="s">
        <v>428</v>
      </c>
    </row>
    <row r="425" spans="1:2" x14ac:dyDescent="0.4">
      <c r="A425">
        <v>424</v>
      </c>
      <c r="B425" t="s">
        <v>429</v>
      </c>
    </row>
    <row r="426" spans="1:2" x14ac:dyDescent="0.4">
      <c r="A426">
        <v>425</v>
      </c>
      <c r="B426" t="s">
        <v>430</v>
      </c>
    </row>
    <row r="427" spans="1:2" x14ac:dyDescent="0.4">
      <c r="A427">
        <v>426</v>
      </c>
      <c r="B427" t="s">
        <v>431</v>
      </c>
    </row>
    <row r="428" spans="1:2" x14ac:dyDescent="0.4">
      <c r="A428">
        <v>427</v>
      </c>
      <c r="B428" t="s">
        <v>138</v>
      </c>
    </row>
    <row r="429" spans="1:2" x14ac:dyDescent="0.4">
      <c r="A429">
        <v>428</v>
      </c>
      <c r="B429" t="s">
        <v>432</v>
      </c>
    </row>
    <row r="430" spans="1:2" x14ac:dyDescent="0.4">
      <c r="A430">
        <v>429</v>
      </c>
      <c r="B430" t="s">
        <v>433</v>
      </c>
    </row>
    <row r="431" spans="1:2" x14ac:dyDescent="0.4">
      <c r="A431">
        <v>430</v>
      </c>
      <c r="B431" t="s">
        <v>434</v>
      </c>
    </row>
    <row r="432" spans="1:2" x14ac:dyDescent="0.4">
      <c r="A432">
        <v>431</v>
      </c>
      <c r="B432" t="s">
        <v>435</v>
      </c>
    </row>
    <row r="433" spans="1:2" x14ac:dyDescent="0.4">
      <c r="A433">
        <v>432</v>
      </c>
      <c r="B433" t="s">
        <v>436</v>
      </c>
    </row>
    <row r="434" spans="1:2" x14ac:dyDescent="0.4">
      <c r="A434">
        <v>433</v>
      </c>
      <c r="B434" t="s">
        <v>437</v>
      </c>
    </row>
    <row r="435" spans="1:2" x14ac:dyDescent="0.4">
      <c r="A435">
        <v>434</v>
      </c>
      <c r="B435" t="s">
        <v>438</v>
      </c>
    </row>
    <row r="436" spans="1:2" x14ac:dyDescent="0.4">
      <c r="A436">
        <v>435</v>
      </c>
      <c r="B436" t="s">
        <v>439</v>
      </c>
    </row>
    <row r="437" spans="1:2" x14ac:dyDescent="0.4">
      <c r="A437">
        <v>436</v>
      </c>
      <c r="B437" t="s">
        <v>440</v>
      </c>
    </row>
    <row r="438" spans="1:2" x14ac:dyDescent="0.4">
      <c r="A438">
        <v>437</v>
      </c>
      <c r="B438" t="s">
        <v>441</v>
      </c>
    </row>
    <row r="439" spans="1:2" x14ac:dyDescent="0.4">
      <c r="A439">
        <v>438</v>
      </c>
      <c r="B439" t="s">
        <v>442</v>
      </c>
    </row>
    <row r="440" spans="1:2" x14ac:dyDescent="0.4">
      <c r="A440">
        <v>439</v>
      </c>
      <c r="B440" t="s">
        <v>443</v>
      </c>
    </row>
    <row r="441" spans="1:2" x14ac:dyDescent="0.4">
      <c r="A441">
        <v>440</v>
      </c>
      <c r="B441" t="s">
        <v>444</v>
      </c>
    </row>
    <row r="442" spans="1:2" x14ac:dyDescent="0.4">
      <c r="A442">
        <v>441</v>
      </c>
      <c r="B442" t="s">
        <v>445</v>
      </c>
    </row>
    <row r="443" spans="1:2" x14ac:dyDescent="0.4">
      <c r="A443">
        <v>442</v>
      </c>
      <c r="B443" t="s">
        <v>446</v>
      </c>
    </row>
    <row r="444" spans="1:2" x14ac:dyDescent="0.4">
      <c r="A444">
        <v>443</v>
      </c>
      <c r="B444" t="s">
        <v>447</v>
      </c>
    </row>
    <row r="445" spans="1:2" x14ac:dyDescent="0.4">
      <c r="A445">
        <v>444</v>
      </c>
      <c r="B445" t="s">
        <v>448</v>
      </c>
    </row>
    <row r="446" spans="1:2" x14ac:dyDescent="0.4">
      <c r="A446">
        <v>445</v>
      </c>
      <c r="B446" t="s">
        <v>449</v>
      </c>
    </row>
    <row r="447" spans="1:2" x14ac:dyDescent="0.4">
      <c r="A447">
        <v>446</v>
      </c>
      <c r="B447" t="s">
        <v>450</v>
      </c>
    </row>
    <row r="448" spans="1:2" x14ac:dyDescent="0.4">
      <c r="A448">
        <v>447</v>
      </c>
      <c r="B448" t="s">
        <v>451</v>
      </c>
    </row>
    <row r="449" spans="1:2" x14ac:dyDescent="0.4">
      <c r="A449">
        <v>448</v>
      </c>
      <c r="B449" t="s">
        <v>452</v>
      </c>
    </row>
    <row r="450" spans="1:2" x14ac:dyDescent="0.4">
      <c r="A450">
        <v>449</v>
      </c>
      <c r="B450" t="s">
        <v>453</v>
      </c>
    </row>
    <row r="451" spans="1:2" x14ac:dyDescent="0.4">
      <c r="A451">
        <v>450</v>
      </c>
      <c r="B451" t="s">
        <v>454</v>
      </c>
    </row>
    <row r="452" spans="1:2" x14ac:dyDescent="0.4">
      <c r="A452">
        <v>451</v>
      </c>
      <c r="B452" t="s">
        <v>455</v>
      </c>
    </row>
    <row r="453" spans="1:2" x14ac:dyDescent="0.4">
      <c r="A453">
        <v>452</v>
      </c>
      <c r="B453" t="s">
        <v>456</v>
      </c>
    </row>
    <row r="454" spans="1:2" x14ac:dyDescent="0.4">
      <c r="A454">
        <v>453</v>
      </c>
      <c r="B454" t="s">
        <v>457</v>
      </c>
    </row>
    <row r="455" spans="1:2" x14ac:dyDescent="0.4">
      <c r="A455">
        <v>454</v>
      </c>
      <c r="B455" t="s">
        <v>458</v>
      </c>
    </row>
    <row r="456" spans="1:2" x14ac:dyDescent="0.4">
      <c r="A456">
        <v>455</v>
      </c>
      <c r="B456" t="s">
        <v>459</v>
      </c>
    </row>
    <row r="457" spans="1:2" x14ac:dyDescent="0.4">
      <c r="A457">
        <v>456</v>
      </c>
      <c r="B457" t="s">
        <v>460</v>
      </c>
    </row>
    <row r="458" spans="1:2" x14ac:dyDescent="0.4">
      <c r="A458">
        <v>457</v>
      </c>
      <c r="B458" t="s">
        <v>461</v>
      </c>
    </row>
    <row r="459" spans="1:2" x14ac:dyDescent="0.4">
      <c r="A459">
        <v>458</v>
      </c>
      <c r="B459" t="s">
        <v>462</v>
      </c>
    </row>
    <row r="460" spans="1:2" x14ac:dyDescent="0.4">
      <c r="A460">
        <v>459</v>
      </c>
      <c r="B460" t="s">
        <v>463</v>
      </c>
    </row>
    <row r="461" spans="1:2" x14ac:dyDescent="0.4">
      <c r="A461">
        <v>460</v>
      </c>
      <c r="B461" t="s">
        <v>464</v>
      </c>
    </row>
    <row r="462" spans="1:2" x14ac:dyDescent="0.4">
      <c r="A462">
        <v>461</v>
      </c>
      <c r="B462" t="s">
        <v>465</v>
      </c>
    </row>
    <row r="463" spans="1:2" x14ac:dyDescent="0.4">
      <c r="A463">
        <v>462</v>
      </c>
      <c r="B463" t="s">
        <v>466</v>
      </c>
    </row>
    <row r="464" spans="1:2" x14ac:dyDescent="0.4">
      <c r="A464">
        <v>463</v>
      </c>
      <c r="B464" t="s">
        <v>467</v>
      </c>
    </row>
    <row r="465" spans="1:2" x14ac:dyDescent="0.4">
      <c r="A465">
        <v>464</v>
      </c>
      <c r="B465" t="s">
        <v>468</v>
      </c>
    </row>
    <row r="466" spans="1:2" x14ac:dyDescent="0.4">
      <c r="A466">
        <v>465</v>
      </c>
      <c r="B466" t="s">
        <v>469</v>
      </c>
    </row>
    <row r="467" spans="1:2" x14ac:dyDescent="0.4">
      <c r="A467">
        <v>466</v>
      </c>
      <c r="B467" t="s">
        <v>470</v>
      </c>
    </row>
    <row r="468" spans="1:2" x14ac:dyDescent="0.4">
      <c r="A468">
        <v>467</v>
      </c>
      <c r="B468" t="s">
        <v>471</v>
      </c>
    </row>
    <row r="469" spans="1:2" x14ac:dyDescent="0.4">
      <c r="A469">
        <v>468</v>
      </c>
      <c r="B469" t="s">
        <v>472</v>
      </c>
    </row>
    <row r="470" spans="1:2" x14ac:dyDescent="0.4">
      <c r="A470">
        <v>469</v>
      </c>
      <c r="B470" t="s">
        <v>473</v>
      </c>
    </row>
    <row r="471" spans="1:2" x14ac:dyDescent="0.4">
      <c r="A471">
        <v>470</v>
      </c>
      <c r="B471" t="s">
        <v>474</v>
      </c>
    </row>
    <row r="472" spans="1:2" x14ac:dyDescent="0.4">
      <c r="A472">
        <v>471</v>
      </c>
      <c r="B472" t="s">
        <v>475</v>
      </c>
    </row>
    <row r="473" spans="1:2" x14ac:dyDescent="0.4">
      <c r="A473">
        <v>472</v>
      </c>
      <c r="B473" t="s">
        <v>476</v>
      </c>
    </row>
    <row r="474" spans="1:2" x14ac:dyDescent="0.4">
      <c r="A474">
        <v>473</v>
      </c>
      <c r="B474" t="s">
        <v>477</v>
      </c>
    </row>
    <row r="475" spans="1:2" x14ac:dyDescent="0.4">
      <c r="A475">
        <v>474</v>
      </c>
      <c r="B475" t="s">
        <v>478</v>
      </c>
    </row>
    <row r="476" spans="1:2" x14ac:dyDescent="0.4">
      <c r="A476">
        <v>475</v>
      </c>
      <c r="B476" t="s">
        <v>479</v>
      </c>
    </row>
    <row r="477" spans="1:2" x14ac:dyDescent="0.4">
      <c r="A477">
        <v>476</v>
      </c>
      <c r="B477" t="s">
        <v>480</v>
      </c>
    </row>
    <row r="478" spans="1:2" x14ac:dyDescent="0.4">
      <c r="A478">
        <v>477</v>
      </c>
      <c r="B478" t="s">
        <v>481</v>
      </c>
    </row>
    <row r="479" spans="1:2" x14ac:dyDescent="0.4">
      <c r="A479">
        <v>478</v>
      </c>
      <c r="B479" t="s">
        <v>482</v>
      </c>
    </row>
    <row r="480" spans="1:2" x14ac:dyDescent="0.4">
      <c r="A480">
        <v>479</v>
      </c>
      <c r="B480" t="s">
        <v>483</v>
      </c>
    </row>
    <row r="481" spans="1:2" x14ac:dyDescent="0.4">
      <c r="A481">
        <v>480</v>
      </c>
      <c r="B481" t="s">
        <v>484</v>
      </c>
    </row>
    <row r="482" spans="1:2" x14ac:dyDescent="0.4">
      <c r="A482">
        <v>481</v>
      </c>
      <c r="B482" t="s">
        <v>485</v>
      </c>
    </row>
    <row r="483" spans="1:2" x14ac:dyDescent="0.4">
      <c r="A483">
        <v>482</v>
      </c>
      <c r="B483" t="s">
        <v>486</v>
      </c>
    </row>
    <row r="484" spans="1:2" x14ac:dyDescent="0.4">
      <c r="A484">
        <v>483</v>
      </c>
      <c r="B484" t="s">
        <v>487</v>
      </c>
    </row>
    <row r="485" spans="1:2" x14ac:dyDescent="0.4">
      <c r="A485">
        <v>484</v>
      </c>
      <c r="B485" t="s">
        <v>488</v>
      </c>
    </row>
    <row r="486" spans="1:2" x14ac:dyDescent="0.4">
      <c r="A486">
        <v>485</v>
      </c>
      <c r="B486" t="s">
        <v>489</v>
      </c>
    </row>
    <row r="487" spans="1:2" x14ac:dyDescent="0.4">
      <c r="A487">
        <v>486</v>
      </c>
      <c r="B487" t="s">
        <v>490</v>
      </c>
    </row>
    <row r="488" spans="1:2" x14ac:dyDescent="0.4">
      <c r="A488">
        <v>487</v>
      </c>
      <c r="B488" t="s">
        <v>491</v>
      </c>
    </row>
    <row r="489" spans="1:2" x14ac:dyDescent="0.4">
      <c r="A489">
        <v>488</v>
      </c>
      <c r="B489" t="s">
        <v>492</v>
      </c>
    </row>
    <row r="490" spans="1:2" x14ac:dyDescent="0.4">
      <c r="A490">
        <v>489</v>
      </c>
      <c r="B490" t="s">
        <v>493</v>
      </c>
    </row>
    <row r="491" spans="1:2" x14ac:dyDescent="0.4">
      <c r="A491">
        <v>490</v>
      </c>
      <c r="B491" t="s">
        <v>494</v>
      </c>
    </row>
    <row r="492" spans="1:2" x14ac:dyDescent="0.4">
      <c r="A492">
        <v>491</v>
      </c>
      <c r="B492" t="s">
        <v>495</v>
      </c>
    </row>
    <row r="493" spans="1:2" x14ac:dyDescent="0.4">
      <c r="A493">
        <v>492</v>
      </c>
      <c r="B493" t="s">
        <v>496</v>
      </c>
    </row>
    <row r="494" spans="1:2" x14ac:dyDescent="0.4">
      <c r="A494">
        <v>493</v>
      </c>
      <c r="B494" t="s">
        <v>497</v>
      </c>
    </row>
    <row r="495" spans="1:2" x14ac:dyDescent="0.4">
      <c r="A495">
        <v>494</v>
      </c>
      <c r="B495" t="s">
        <v>498</v>
      </c>
    </row>
    <row r="496" spans="1:2" x14ac:dyDescent="0.4">
      <c r="A496">
        <v>495</v>
      </c>
      <c r="B496" t="s">
        <v>499</v>
      </c>
    </row>
    <row r="497" spans="1:2" x14ac:dyDescent="0.4">
      <c r="A497">
        <v>496</v>
      </c>
      <c r="B497" t="s">
        <v>500</v>
      </c>
    </row>
    <row r="498" spans="1:2" x14ac:dyDescent="0.4">
      <c r="A498">
        <v>497</v>
      </c>
      <c r="B498" t="s">
        <v>501</v>
      </c>
    </row>
    <row r="499" spans="1:2" x14ac:dyDescent="0.4">
      <c r="A499">
        <v>498</v>
      </c>
      <c r="B499" t="s">
        <v>502</v>
      </c>
    </row>
    <row r="500" spans="1:2" x14ac:dyDescent="0.4">
      <c r="A500">
        <v>499</v>
      </c>
      <c r="B500" t="s">
        <v>503</v>
      </c>
    </row>
    <row r="501" spans="1:2" x14ac:dyDescent="0.4">
      <c r="A501">
        <v>500</v>
      </c>
      <c r="B501" t="s">
        <v>504</v>
      </c>
    </row>
    <row r="502" spans="1:2" x14ac:dyDescent="0.4">
      <c r="A502">
        <v>501</v>
      </c>
      <c r="B502" t="s">
        <v>505</v>
      </c>
    </row>
    <row r="503" spans="1:2" x14ac:dyDescent="0.4">
      <c r="A503">
        <v>502</v>
      </c>
      <c r="B503" t="s">
        <v>506</v>
      </c>
    </row>
    <row r="504" spans="1:2" x14ac:dyDescent="0.4">
      <c r="A504">
        <v>503</v>
      </c>
      <c r="B504" t="s">
        <v>507</v>
      </c>
    </row>
    <row r="505" spans="1:2" x14ac:dyDescent="0.4">
      <c r="A505">
        <v>504</v>
      </c>
      <c r="B505" t="s">
        <v>508</v>
      </c>
    </row>
    <row r="506" spans="1:2" x14ac:dyDescent="0.4">
      <c r="A506">
        <v>505</v>
      </c>
      <c r="B506" t="s">
        <v>509</v>
      </c>
    </row>
    <row r="507" spans="1:2" x14ac:dyDescent="0.4">
      <c r="A507">
        <v>506</v>
      </c>
      <c r="B507" t="s">
        <v>510</v>
      </c>
    </row>
    <row r="508" spans="1:2" x14ac:dyDescent="0.4">
      <c r="A508">
        <v>507</v>
      </c>
      <c r="B508" t="s">
        <v>511</v>
      </c>
    </row>
    <row r="509" spans="1:2" x14ac:dyDescent="0.4">
      <c r="A509">
        <v>508</v>
      </c>
      <c r="B509" t="s">
        <v>512</v>
      </c>
    </row>
    <row r="510" spans="1:2" x14ac:dyDescent="0.4">
      <c r="A510">
        <v>509</v>
      </c>
      <c r="B510" t="s">
        <v>513</v>
      </c>
    </row>
    <row r="511" spans="1:2" x14ac:dyDescent="0.4">
      <c r="A511">
        <v>510</v>
      </c>
      <c r="B511" t="s">
        <v>514</v>
      </c>
    </row>
    <row r="512" spans="1:2" x14ac:dyDescent="0.4">
      <c r="A512">
        <v>511</v>
      </c>
      <c r="B512" t="s">
        <v>515</v>
      </c>
    </row>
    <row r="513" spans="1:2" x14ac:dyDescent="0.4">
      <c r="A513">
        <v>512</v>
      </c>
      <c r="B513" t="s">
        <v>516</v>
      </c>
    </row>
    <row r="514" spans="1:2" x14ac:dyDescent="0.4">
      <c r="A514">
        <v>513</v>
      </c>
      <c r="B514" t="s">
        <v>517</v>
      </c>
    </row>
    <row r="515" spans="1:2" x14ac:dyDescent="0.4">
      <c r="A515">
        <v>514</v>
      </c>
      <c r="B515" t="s">
        <v>518</v>
      </c>
    </row>
    <row r="516" spans="1:2" x14ac:dyDescent="0.4">
      <c r="A516">
        <v>515</v>
      </c>
      <c r="B516" t="s">
        <v>519</v>
      </c>
    </row>
    <row r="517" spans="1:2" x14ac:dyDescent="0.4">
      <c r="A517">
        <v>516</v>
      </c>
      <c r="B517" t="s">
        <v>520</v>
      </c>
    </row>
    <row r="518" spans="1:2" x14ac:dyDescent="0.4">
      <c r="A518">
        <v>517</v>
      </c>
      <c r="B518" t="s">
        <v>521</v>
      </c>
    </row>
    <row r="519" spans="1:2" x14ac:dyDescent="0.4">
      <c r="A519">
        <v>518</v>
      </c>
      <c r="B519" t="s">
        <v>522</v>
      </c>
    </row>
    <row r="520" spans="1:2" x14ac:dyDescent="0.4">
      <c r="A520">
        <v>519</v>
      </c>
      <c r="B520" t="s">
        <v>523</v>
      </c>
    </row>
    <row r="521" spans="1:2" x14ac:dyDescent="0.4">
      <c r="A521">
        <v>520</v>
      </c>
      <c r="B521" t="s">
        <v>524</v>
      </c>
    </row>
    <row r="522" spans="1:2" x14ac:dyDescent="0.4">
      <c r="A522">
        <v>521</v>
      </c>
      <c r="B522" t="s">
        <v>525</v>
      </c>
    </row>
    <row r="523" spans="1:2" x14ac:dyDescent="0.4">
      <c r="A523">
        <v>522</v>
      </c>
      <c r="B523" t="s">
        <v>526</v>
      </c>
    </row>
    <row r="524" spans="1:2" x14ac:dyDescent="0.4">
      <c r="A524">
        <v>523</v>
      </c>
      <c r="B524" t="s">
        <v>527</v>
      </c>
    </row>
    <row r="525" spans="1:2" x14ac:dyDescent="0.4">
      <c r="A525">
        <v>524</v>
      </c>
      <c r="B525" t="s">
        <v>528</v>
      </c>
    </row>
    <row r="526" spans="1:2" x14ac:dyDescent="0.4">
      <c r="A526">
        <v>525</v>
      </c>
      <c r="B526" t="s">
        <v>529</v>
      </c>
    </row>
    <row r="527" spans="1:2" x14ac:dyDescent="0.4">
      <c r="A527">
        <v>526</v>
      </c>
      <c r="B527" t="s">
        <v>530</v>
      </c>
    </row>
    <row r="528" spans="1:2" x14ac:dyDescent="0.4">
      <c r="A528">
        <v>527</v>
      </c>
      <c r="B528" t="s">
        <v>531</v>
      </c>
    </row>
    <row r="529" spans="1:2" x14ac:dyDescent="0.4">
      <c r="A529">
        <v>528</v>
      </c>
      <c r="B529" t="s">
        <v>532</v>
      </c>
    </row>
    <row r="530" spans="1:2" x14ac:dyDescent="0.4">
      <c r="A530">
        <v>529</v>
      </c>
      <c r="B530" t="s">
        <v>533</v>
      </c>
    </row>
    <row r="531" spans="1:2" x14ac:dyDescent="0.4">
      <c r="A531">
        <v>530</v>
      </c>
      <c r="B531" t="s">
        <v>534</v>
      </c>
    </row>
    <row r="532" spans="1:2" x14ac:dyDescent="0.4">
      <c r="A532">
        <v>531</v>
      </c>
      <c r="B532" t="s">
        <v>535</v>
      </c>
    </row>
    <row r="533" spans="1:2" x14ac:dyDescent="0.4">
      <c r="A533">
        <v>532</v>
      </c>
      <c r="B533" t="s">
        <v>536</v>
      </c>
    </row>
    <row r="534" spans="1:2" x14ac:dyDescent="0.4">
      <c r="A534">
        <v>533</v>
      </c>
      <c r="B534" t="s">
        <v>537</v>
      </c>
    </row>
    <row r="535" spans="1:2" x14ac:dyDescent="0.4">
      <c r="A535">
        <v>534</v>
      </c>
      <c r="B535" t="s">
        <v>538</v>
      </c>
    </row>
    <row r="536" spans="1:2" x14ac:dyDescent="0.4">
      <c r="A536">
        <v>535</v>
      </c>
      <c r="B536" t="s">
        <v>539</v>
      </c>
    </row>
    <row r="537" spans="1:2" x14ac:dyDescent="0.4">
      <c r="A537">
        <v>536</v>
      </c>
      <c r="B537" t="s">
        <v>540</v>
      </c>
    </row>
    <row r="538" spans="1:2" x14ac:dyDescent="0.4">
      <c r="A538">
        <v>537</v>
      </c>
      <c r="B538" t="s">
        <v>541</v>
      </c>
    </row>
    <row r="539" spans="1:2" x14ac:dyDescent="0.4">
      <c r="A539">
        <v>538</v>
      </c>
      <c r="B539" t="s">
        <v>542</v>
      </c>
    </row>
    <row r="540" spans="1:2" x14ac:dyDescent="0.4">
      <c r="A540">
        <v>539</v>
      </c>
      <c r="B540" t="s">
        <v>543</v>
      </c>
    </row>
    <row r="541" spans="1:2" x14ac:dyDescent="0.4">
      <c r="A541">
        <v>540</v>
      </c>
      <c r="B541" t="s">
        <v>544</v>
      </c>
    </row>
    <row r="542" spans="1:2" x14ac:dyDescent="0.4">
      <c r="A542">
        <v>541</v>
      </c>
      <c r="B542" t="s">
        <v>545</v>
      </c>
    </row>
    <row r="543" spans="1:2" x14ac:dyDescent="0.4">
      <c r="A543">
        <v>542</v>
      </c>
      <c r="B543" t="s">
        <v>546</v>
      </c>
    </row>
    <row r="544" spans="1:2" x14ac:dyDescent="0.4">
      <c r="A544">
        <v>543</v>
      </c>
      <c r="B544" t="s">
        <v>547</v>
      </c>
    </row>
    <row r="545" spans="1:2" x14ac:dyDescent="0.4">
      <c r="A545">
        <v>544</v>
      </c>
      <c r="B545" t="s">
        <v>548</v>
      </c>
    </row>
    <row r="546" spans="1:2" x14ac:dyDescent="0.4">
      <c r="A546">
        <v>545</v>
      </c>
      <c r="B546" t="s">
        <v>549</v>
      </c>
    </row>
    <row r="547" spans="1:2" x14ac:dyDescent="0.4">
      <c r="A547">
        <v>546</v>
      </c>
      <c r="B547" t="s">
        <v>550</v>
      </c>
    </row>
    <row r="548" spans="1:2" x14ac:dyDescent="0.4">
      <c r="A548">
        <v>547</v>
      </c>
      <c r="B548" t="s">
        <v>551</v>
      </c>
    </row>
    <row r="549" spans="1:2" x14ac:dyDescent="0.4">
      <c r="A549">
        <v>548</v>
      </c>
      <c r="B549" t="s">
        <v>552</v>
      </c>
    </row>
    <row r="550" spans="1:2" x14ac:dyDescent="0.4">
      <c r="A550">
        <v>549</v>
      </c>
      <c r="B550" t="s">
        <v>553</v>
      </c>
    </row>
    <row r="551" spans="1:2" x14ac:dyDescent="0.4">
      <c r="A551">
        <v>550</v>
      </c>
      <c r="B551" t="s">
        <v>554</v>
      </c>
    </row>
    <row r="552" spans="1:2" x14ac:dyDescent="0.4">
      <c r="A552">
        <v>551</v>
      </c>
      <c r="B552" t="s">
        <v>555</v>
      </c>
    </row>
    <row r="553" spans="1:2" x14ac:dyDescent="0.4">
      <c r="A553">
        <v>552</v>
      </c>
      <c r="B553" t="s">
        <v>556</v>
      </c>
    </row>
    <row r="554" spans="1:2" x14ac:dyDescent="0.4">
      <c r="A554">
        <v>553</v>
      </c>
      <c r="B554" t="s">
        <v>557</v>
      </c>
    </row>
    <row r="555" spans="1:2" x14ac:dyDescent="0.4">
      <c r="A555">
        <v>554</v>
      </c>
      <c r="B555" t="s">
        <v>558</v>
      </c>
    </row>
    <row r="556" spans="1:2" x14ac:dyDescent="0.4">
      <c r="A556">
        <v>555</v>
      </c>
      <c r="B556" t="s">
        <v>559</v>
      </c>
    </row>
    <row r="557" spans="1:2" x14ac:dyDescent="0.4">
      <c r="A557">
        <v>556</v>
      </c>
      <c r="B557" t="s">
        <v>560</v>
      </c>
    </row>
    <row r="558" spans="1:2" x14ac:dyDescent="0.4">
      <c r="A558">
        <v>557</v>
      </c>
      <c r="B558" t="s">
        <v>561</v>
      </c>
    </row>
    <row r="559" spans="1:2" x14ac:dyDescent="0.4">
      <c r="A559">
        <v>558</v>
      </c>
      <c r="B559" t="s">
        <v>562</v>
      </c>
    </row>
    <row r="560" spans="1:2" x14ac:dyDescent="0.4">
      <c r="A560">
        <v>559</v>
      </c>
      <c r="B560" t="s">
        <v>563</v>
      </c>
    </row>
    <row r="561" spans="1:2" x14ac:dyDescent="0.4">
      <c r="A561">
        <v>560</v>
      </c>
      <c r="B561" t="s">
        <v>564</v>
      </c>
    </row>
    <row r="562" spans="1:2" x14ac:dyDescent="0.4">
      <c r="A562">
        <v>561</v>
      </c>
      <c r="B562" t="s">
        <v>565</v>
      </c>
    </row>
    <row r="563" spans="1:2" x14ac:dyDescent="0.4">
      <c r="A563">
        <v>562</v>
      </c>
      <c r="B563" t="s">
        <v>566</v>
      </c>
    </row>
    <row r="564" spans="1:2" x14ac:dyDescent="0.4">
      <c r="A564">
        <v>563</v>
      </c>
      <c r="B564" t="s">
        <v>567</v>
      </c>
    </row>
    <row r="565" spans="1:2" x14ac:dyDescent="0.4">
      <c r="A565">
        <v>564</v>
      </c>
      <c r="B565" t="s">
        <v>568</v>
      </c>
    </row>
    <row r="566" spans="1:2" x14ac:dyDescent="0.4">
      <c r="A566">
        <v>565</v>
      </c>
      <c r="B566" t="s">
        <v>569</v>
      </c>
    </row>
    <row r="567" spans="1:2" x14ac:dyDescent="0.4">
      <c r="A567">
        <v>566</v>
      </c>
      <c r="B567" t="s">
        <v>570</v>
      </c>
    </row>
    <row r="568" spans="1:2" x14ac:dyDescent="0.4">
      <c r="A568">
        <v>567</v>
      </c>
      <c r="B568" t="s">
        <v>571</v>
      </c>
    </row>
    <row r="569" spans="1:2" x14ac:dyDescent="0.4">
      <c r="A569">
        <v>568</v>
      </c>
      <c r="B569" t="s">
        <v>572</v>
      </c>
    </row>
    <row r="570" spans="1:2" x14ac:dyDescent="0.4">
      <c r="A570">
        <v>569</v>
      </c>
      <c r="B570" t="s">
        <v>573</v>
      </c>
    </row>
    <row r="571" spans="1:2" x14ac:dyDescent="0.4">
      <c r="A571">
        <v>570</v>
      </c>
      <c r="B571" t="s">
        <v>574</v>
      </c>
    </row>
    <row r="572" spans="1:2" x14ac:dyDescent="0.4">
      <c r="A572">
        <v>571</v>
      </c>
      <c r="B572" t="s">
        <v>575</v>
      </c>
    </row>
    <row r="573" spans="1:2" x14ac:dyDescent="0.4">
      <c r="A573">
        <v>572</v>
      </c>
      <c r="B573" t="s">
        <v>576</v>
      </c>
    </row>
    <row r="574" spans="1:2" x14ac:dyDescent="0.4">
      <c r="A574">
        <v>573</v>
      </c>
      <c r="B574" t="s">
        <v>577</v>
      </c>
    </row>
    <row r="575" spans="1:2" x14ac:dyDescent="0.4">
      <c r="A575">
        <v>574</v>
      </c>
      <c r="B575" t="s">
        <v>578</v>
      </c>
    </row>
    <row r="576" spans="1:2" x14ac:dyDescent="0.4">
      <c r="A576">
        <v>575</v>
      </c>
      <c r="B576" t="s">
        <v>579</v>
      </c>
    </row>
    <row r="577" spans="1:2" x14ac:dyDescent="0.4">
      <c r="A577">
        <v>576</v>
      </c>
      <c r="B577" t="s">
        <v>580</v>
      </c>
    </row>
    <row r="578" spans="1:2" x14ac:dyDescent="0.4">
      <c r="A578">
        <v>577</v>
      </c>
      <c r="B578" t="s">
        <v>581</v>
      </c>
    </row>
    <row r="579" spans="1:2" x14ac:dyDescent="0.4">
      <c r="A579">
        <v>578</v>
      </c>
      <c r="B579" t="s">
        <v>582</v>
      </c>
    </row>
    <row r="580" spans="1:2" x14ac:dyDescent="0.4">
      <c r="A580">
        <v>579</v>
      </c>
      <c r="B580" t="s">
        <v>583</v>
      </c>
    </row>
    <row r="581" spans="1:2" x14ac:dyDescent="0.4">
      <c r="A581">
        <v>580</v>
      </c>
      <c r="B581" t="s">
        <v>584</v>
      </c>
    </row>
    <row r="582" spans="1:2" x14ac:dyDescent="0.4">
      <c r="A582">
        <v>581</v>
      </c>
      <c r="B582" t="s">
        <v>585</v>
      </c>
    </row>
    <row r="583" spans="1:2" x14ac:dyDescent="0.4">
      <c r="A583">
        <v>582</v>
      </c>
      <c r="B583" t="s">
        <v>586</v>
      </c>
    </row>
    <row r="584" spans="1:2" x14ac:dyDescent="0.4">
      <c r="A584">
        <v>583</v>
      </c>
      <c r="B584" t="s">
        <v>587</v>
      </c>
    </row>
    <row r="585" spans="1:2" x14ac:dyDescent="0.4">
      <c r="A585">
        <v>584</v>
      </c>
      <c r="B585" t="s">
        <v>588</v>
      </c>
    </row>
    <row r="586" spans="1:2" x14ac:dyDescent="0.4">
      <c r="A586">
        <v>585</v>
      </c>
      <c r="B586" t="s">
        <v>589</v>
      </c>
    </row>
    <row r="587" spans="1:2" x14ac:dyDescent="0.4">
      <c r="A587">
        <v>586</v>
      </c>
      <c r="B587" t="s">
        <v>590</v>
      </c>
    </row>
    <row r="588" spans="1:2" x14ac:dyDescent="0.4">
      <c r="A588">
        <v>587</v>
      </c>
      <c r="B588" t="s">
        <v>591</v>
      </c>
    </row>
    <row r="589" spans="1:2" x14ac:dyDescent="0.4">
      <c r="A589">
        <v>588</v>
      </c>
      <c r="B589" t="s">
        <v>592</v>
      </c>
    </row>
    <row r="590" spans="1:2" x14ac:dyDescent="0.4">
      <c r="A590">
        <v>589</v>
      </c>
      <c r="B590" t="s">
        <v>593</v>
      </c>
    </row>
    <row r="591" spans="1:2" x14ac:dyDescent="0.4">
      <c r="A591">
        <v>590</v>
      </c>
      <c r="B591" t="s">
        <v>594</v>
      </c>
    </row>
    <row r="592" spans="1:2" x14ac:dyDescent="0.4">
      <c r="A592">
        <v>591</v>
      </c>
      <c r="B592" t="s">
        <v>595</v>
      </c>
    </row>
    <row r="593" spans="1:2" x14ac:dyDescent="0.4">
      <c r="A593">
        <v>592</v>
      </c>
      <c r="B593" t="s">
        <v>596</v>
      </c>
    </row>
    <row r="594" spans="1:2" x14ac:dyDescent="0.4">
      <c r="A594">
        <v>593</v>
      </c>
      <c r="B594" t="s">
        <v>597</v>
      </c>
    </row>
    <row r="595" spans="1:2" x14ac:dyDescent="0.4">
      <c r="A595">
        <v>594</v>
      </c>
      <c r="B595" t="s">
        <v>598</v>
      </c>
    </row>
    <row r="596" spans="1:2" x14ac:dyDescent="0.4">
      <c r="A596">
        <v>595</v>
      </c>
      <c r="B596" t="s">
        <v>599</v>
      </c>
    </row>
    <row r="597" spans="1:2" x14ac:dyDescent="0.4">
      <c r="A597">
        <v>596</v>
      </c>
      <c r="B597" t="s">
        <v>600</v>
      </c>
    </row>
    <row r="598" spans="1:2" x14ac:dyDescent="0.4">
      <c r="A598">
        <v>597</v>
      </c>
      <c r="B598" t="s">
        <v>601</v>
      </c>
    </row>
    <row r="599" spans="1:2" x14ac:dyDescent="0.4">
      <c r="A599">
        <v>598</v>
      </c>
      <c r="B599" t="s">
        <v>602</v>
      </c>
    </row>
    <row r="600" spans="1:2" x14ac:dyDescent="0.4">
      <c r="A600">
        <v>599</v>
      </c>
      <c r="B600" t="s">
        <v>603</v>
      </c>
    </row>
    <row r="601" spans="1:2" x14ac:dyDescent="0.4">
      <c r="A601">
        <v>600</v>
      </c>
      <c r="B601" t="s">
        <v>604</v>
      </c>
    </row>
    <row r="602" spans="1:2" x14ac:dyDescent="0.4">
      <c r="A602">
        <v>601</v>
      </c>
      <c r="B602" t="s">
        <v>605</v>
      </c>
    </row>
    <row r="603" spans="1:2" x14ac:dyDescent="0.4">
      <c r="A603">
        <v>602</v>
      </c>
      <c r="B603" t="s">
        <v>606</v>
      </c>
    </row>
    <row r="604" spans="1:2" x14ac:dyDescent="0.4">
      <c r="A604">
        <v>603</v>
      </c>
      <c r="B604" t="s">
        <v>607</v>
      </c>
    </row>
    <row r="605" spans="1:2" x14ac:dyDescent="0.4">
      <c r="A605">
        <v>604</v>
      </c>
      <c r="B605" t="s">
        <v>608</v>
      </c>
    </row>
    <row r="606" spans="1:2" x14ac:dyDescent="0.4">
      <c r="A606">
        <v>605</v>
      </c>
      <c r="B606" t="s">
        <v>609</v>
      </c>
    </row>
    <row r="607" spans="1:2" x14ac:dyDescent="0.4">
      <c r="A607">
        <v>606</v>
      </c>
      <c r="B607" t="s">
        <v>610</v>
      </c>
    </row>
    <row r="608" spans="1:2" x14ac:dyDescent="0.4">
      <c r="A608">
        <v>607</v>
      </c>
      <c r="B608" t="s">
        <v>611</v>
      </c>
    </row>
    <row r="609" spans="1:2" x14ac:dyDescent="0.4">
      <c r="A609">
        <v>608</v>
      </c>
      <c r="B609" t="s">
        <v>612</v>
      </c>
    </row>
    <row r="610" spans="1:2" x14ac:dyDescent="0.4">
      <c r="A610">
        <v>609</v>
      </c>
      <c r="B610" t="s">
        <v>613</v>
      </c>
    </row>
    <row r="611" spans="1:2" x14ac:dyDescent="0.4">
      <c r="A611">
        <v>610</v>
      </c>
      <c r="B611" t="s">
        <v>614</v>
      </c>
    </row>
    <row r="612" spans="1:2" x14ac:dyDescent="0.4">
      <c r="A612">
        <v>611</v>
      </c>
      <c r="B612" t="s">
        <v>615</v>
      </c>
    </row>
    <row r="613" spans="1:2" x14ac:dyDescent="0.4">
      <c r="A613">
        <v>612</v>
      </c>
      <c r="B613" t="s">
        <v>616</v>
      </c>
    </row>
    <row r="614" spans="1:2" x14ac:dyDescent="0.4">
      <c r="A614">
        <v>613</v>
      </c>
      <c r="B614" t="s">
        <v>617</v>
      </c>
    </row>
    <row r="615" spans="1:2" x14ac:dyDescent="0.4">
      <c r="A615">
        <v>614</v>
      </c>
      <c r="B615" t="s">
        <v>618</v>
      </c>
    </row>
    <row r="616" spans="1:2" x14ac:dyDescent="0.4">
      <c r="A616">
        <v>615</v>
      </c>
      <c r="B616" t="s">
        <v>619</v>
      </c>
    </row>
    <row r="617" spans="1:2" x14ac:dyDescent="0.4">
      <c r="A617">
        <v>616</v>
      </c>
      <c r="B617" t="s">
        <v>620</v>
      </c>
    </row>
    <row r="618" spans="1:2" x14ac:dyDescent="0.4">
      <c r="A618">
        <v>617</v>
      </c>
      <c r="B618" t="s">
        <v>621</v>
      </c>
    </row>
    <row r="619" spans="1:2" x14ac:dyDescent="0.4">
      <c r="A619">
        <v>618</v>
      </c>
      <c r="B619" t="s">
        <v>622</v>
      </c>
    </row>
    <row r="620" spans="1:2" x14ac:dyDescent="0.4">
      <c r="A620">
        <v>619</v>
      </c>
      <c r="B620" t="s">
        <v>623</v>
      </c>
    </row>
    <row r="621" spans="1:2" x14ac:dyDescent="0.4">
      <c r="A621">
        <v>620</v>
      </c>
      <c r="B621" t="s">
        <v>624</v>
      </c>
    </row>
    <row r="622" spans="1:2" x14ac:dyDescent="0.4">
      <c r="A622">
        <v>621</v>
      </c>
      <c r="B622" t="s">
        <v>625</v>
      </c>
    </row>
    <row r="623" spans="1:2" x14ac:dyDescent="0.4">
      <c r="A623">
        <v>622</v>
      </c>
      <c r="B623" t="s">
        <v>626</v>
      </c>
    </row>
    <row r="624" spans="1:2" x14ac:dyDescent="0.4">
      <c r="A624">
        <v>623</v>
      </c>
      <c r="B624" t="s">
        <v>627</v>
      </c>
    </row>
    <row r="625" spans="1:2" x14ac:dyDescent="0.4">
      <c r="A625">
        <v>624</v>
      </c>
      <c r="B625" t="s">
        <v>628</v>
      </c>
    </row>
    <row r="626" spans="1:2" x14ac:dyDescent="0.4">
      <c r="A626">
        <v>625</v>
      </c>
      <c r="B626" t="s">
        <v>629</v>
      </c>
    </row>
    <row r="627" spans="1:2" x14ac:dyDescent="0.4">
      <c r="A627">
        <v>626</v>
      </c>
      <c r="B627" t="s">
        <v>625</v>
      </c>
    </row>
    <row r="628" spans="1:2" x14ac:dyDescent="0.4">
      <c r="A628">
        <v>627</v>
      </c>
      <c r="B628" t="s">
        <v>630</v>
      </c>
    </row>
    <row r="629" spans="1:2" x14ac:dyDescent="0.4">
      <c r="A629">
        <v>628</v>
      </c>
      <c r="B629" t="s">
        <v>631</v>
      </c>
    </row>
    <row r="630" spans="1:2" x14ac:dyDescent="0.4">
      <c r="A630">
        <v>629</v>
      </c>
      <c r="B630" t="s">
        <v>631</v>
      </c>
    </row>
    <row r="631" spans="1:2" x14ac:dyDescent="0.4">
      <c r="A631">
        <v>630</v>
      </c>
      <c r="B631" t="s">
        <v>632</v>
      </c>
    </row>
    <row r="632" spans="1:2" x14ac:dyDescent="0.4">
      <c r="A632">
        <v>631</v>
      </c>
      <c r="B632" t="s">
        <v>633</v>
      </c>
    </row>
    <row r="633" spans="1:2" x14ac:dyDescent="0.4">
      <c r="A633">
        <v>632</v>
      </c>
      <c r="B633" t="s">
        <v>634</v>
      </c>
    </row>
    <row r="634" spans="1:2" x14ac:dyDescent="0.4">
      <c r="A634">
        <v>633</v>
      </c>
      <c r="B634" t="s">
        <v>635</v>
      </c>
    </row>
    <row r="635" spans="1:2" x14ac:dyDescent="0.4">
      <c r="A635">
        <v>634</v>
      </c>
      <c r="B635" t="s">
        <v>636</v>
      </c>
    </row>
    <row r="636" spans="1:2" x14ac:dyDescent="0.4">
      <c r="A636">
        <v>635</v>
      </c>
      <c r="B636" t="s">
        <v>637</v>
      </c>
    </row>
    <row r="637" spans="1:2" x14ac:dyDescent="0.4">
      <c r="A637">
        <v>636</v>
      </c>
      <c r="B637" t="s">
        <v>638</v>
      </c>
    </row>
    <row r="638" spans="1:2" x14ac:dyDescent="0.4">
      <c r="A638">
        <v>637</v>
      </c>
      <c r="B638" t="s">
        <v>638</v>
      </c>
    </row>
    <row r="639" spans="1:2" x14ac:dyDescent="0.4">
      <c r="A639">
        <v>638</v>
      </c>
      <c r="B639" t="s">
        <v>639</v>
      </c>
    </row>
    <row r="640" spans="1:2" x14ac:dyDescent="0.4">
      <c r="A640">
        <v>639</v>
      </c>
      <c r="B640" t="s">
        <v>640</v>
      </c>
    </row>
    <row r="641" spans="1:2" x14ac:dyDescent="0.4">
      <c r="A641">
        <v>640</v>
      </c>
      <c r="B641" t="s">
        <v>641</v>
      </c>
    </row>
    <row r="642" spans="1:2" x14ac:dyDescent="0.4">
      <c r="A642">
        <v>641</v>
      </c>
      <c r="B642" t="s">
        <v>642</v>
      </c>
    </row>
    <row r="643" spans="1:2" x14ac:dyDescent="0.4">
      <c r="A643">
        <v>642</v>
      </c>
      <c r="B643" t="s">
        <v>643</v>
      </c>
    </row>
    <row r="644" spans="1:2" x14ac:dyDescent="0.4">
      <c r="A644">
        <v>643</v>
      </c>
      <c r="B644" t="s">
        <v>644</v>
      </c>
    </row>
    <row r="645" spans="1:2" x14ac:dyDescent="0.4">
      <c r="A645">
        <v>644</v>
      </c>
      <c r="B645" t="s">
        <v>645</v>
      </c>
    </row>
    <row r="646" spans="1:2" x14ac:dyDescent="0.4">
      <c r="A646">
        <v>645</v>
      </c>
      <c r="B646" t="s">
        <v>646</v>
      </c>
    </row>
    <row r="647" spans="1:2" x14ac:dyDescent="0.4">
      <c r="A647">
        <v>646</v>
      </c>
      <c r="B647" t="s">
        <v>647</v>
      </c>
    </row>
    <row r="648" spans="1:2" x14ac:dyDescent="0.4">
      <c r="A648">
        <v>647</v>
      </c>
      <c r="B648" t="s">
        <v>648</v>
      </c>
    </row>
    <row r="649" spans="1:2" x14ac:dyDescent="0.4">
      <c r="A649">
        <v>648</v>
      </c>
      <c r="B649" t="s">
        <v>649</v>
      </c>
    </row>
    <row r="650" spans="1:2" x14ac:dyDescent="0.4">
      <c r="A650">
        <v>649</v>
      </c>
      <c r="B650" t="s">
        <v>650</v>
      </c>
    </row>
    <row r="651" spans="1:2" x14ac:dyDescent="0.4">
      <c r="A651">
        <v>650</v>
      </c>
      <c r="B651" t="s">
        <v>651</v>
      </c>
    </row>
    <row r="652" spans="1:2" x14ac:dyDescent="0.4">
      <c r="A652">
        <v>651</v>
      </c>
      <c r="B652" t="s">
        <v>652</v>
      </c>
    </row>
    <row r="653" spans="1:2" x14ac:dyDescent="0.4">
      <c r="A653">
        <v>652</v>
      </c>
      <c r="B653" t="s">
        <v>653</v>
      </c>
    </row>
    <row r="654" spans="1:2" x14ac:dyDescent="0.4">
      <c r="A654">
        <v>653</v>
      </c>
      <c r="B654" t="s">
        <v>654</v>
      </c>
    </row>
    <row r="655" spans="1:2" x14ac:dyDescent="0.4">
      <c r="A655">
        <v>654</v>
      </c>
      <c r="B655" t="s">
        <v>655</v>
      </c>
    </row>
    <row r="656" spans="1:2" x14ac:dyDescent="0.4">
      <c r="A656">
        <v>655</v>
      </c>
      <c r="B656" t="s">
        <v>656</v>
      </c>
    </row>
    <row r="657" spans="1:2" x14ac:dyDescent="0.4">
      <c r="A657">
        <v>656</v>
      </c>
      <c r="B657" t="s">
        <v>657</v>
      </c>
    </row>
    <row r="658" spans="1:2" x14ac:dyDescent="0.4">
      <c r="A658">
        <v>657</v>
      </c>
      <c r="B658" t="s">
        <v>658</v>
      </c>
    </row>
    <row r="659" spans="1:2" x14ac:dyDescent="0.4">
      <c r="A659">
        <v>658</v>
      </c>
      <c r="B659" t="s">
        <v>659</v>
      </c>
    </row>
    <row r="660" spans="1:2" x14ac:dyDescent="0.4">
      <c r="A660">
        <v>659</v>
      </c>
      <c r="B660" t="s">
        <v>660</v>
      </c>
    </row>
    <row r="661" spans="1:2" x14ac:dyDescent="0.4">
      <c r="A661">
        <v>660</v>
      </c>
      <c r="B661" t="s">
        <v>661</v>
      </c>
    </row>
    <row r="662" spans="1:2" x14ac:dyDescent="0.4">
      <c r="A662">
        <v>661</v>
      </c>
      <c r="B662" t="s">
        <v>662</v>
      </c>
    </row>
    <row r="663" spans="1:2" x14ac:dyDescent="0.4">
      <c r="A663">
        <v>662</v>
      </c>
      <c r="B663" t="s">
        <v>663</v>
      </c>
    </row>
    <row r="664" spans="1:2" x14ac:dyDescent="0.4">
      <c r="A664">
        <v>663</v>
      </c>
      <c r="B664" t="s">
        <v>664</v>
      </c>
    </row>
    <row r="665" spans="1:2" x14ac:dyDescent="0.4">
      <c r="A665">
        <v>664</v>
      </c>
      <c r="B665" t="s">
        <v>665</v>
      </c>
    </row>
    <row r="666" spans="1:2" x14ac:dyDescent="0.4">
      <c r="A666">
        <v>665</v>
      </c>
      <c r="B666" t="s">
        <v>666</v>
      </c>
    </row>
    <row r="667" spans="1:2" x14ac:dyDescent="0.4">
      <c r="A667">
        <v>666</v>
      </c>
      <c r="B667" t="s">
        <v>667</v>
      </c>
    </row>
    <row r="668" spans="1:2" x14ac:dyDescent="0.4">
      <c r="A668">
        <v>667</v>
      </c>
      <c r="B668" t="s">
        <v>668</v>
      </c>
    </row>
    <row r="669" spans="1:2" x14ac:dyDescent="0.4">
      <c r="A669">
        <v>668</v>
      </c>
      <c r="B669" t="s">
        <v>669</v>
      </c>
    </row>
    <row r="670" spans="1:2" x14ac:dyDescent="0.4">
      <c r="A670">
        <v>669</v>
      </c>
      <c r="B670" t="s">
        <v>670</v>
      </c>
    </row>
    <row r="671" spans="1:2" x14ac:dyDescent="0.4">
      <c r="A671">
        <v>670</v>
      </c>
      <c r="B671" t="s">
        <v>671</v>
      </c>
    </row>
    <row r="672" spans="1:2" x14ac:dyDescent="0.4">
      <c r="A672">
        <v>671</v>
      </c>
      <c r="B672" t="s">
        <v>672</v>
      </c>
    </row>
    <row r="673" spans="1:2" x14ac:dyDescent="0.4">
      <c r="A673">
        <v>672</v>
      </c>
      <c r="B673" t="s">
        <v>673</v>
      </c>
    </row>
    <row r="674" spans="1:2" x14ac:dyDescent="0.4">
      <c r="A674">
        <v>673</v>
      </c>
      <c r="B674" t="s">
        <v>674</v>
      </c>
    </row>
    <row r="675" spans="1:2" x14ac:dyDescent="0.4">
      <c r="A675">
        <v>674</v>
      </c>
      <c r="B675" t="s">
        <v>675</v>
      </c>
    </row>
    <row r="676" spans="1:2" x14ac:dyDescent="0.4">
      <c r="A676">
        <v>675</v>
      </c>
      <c r="B676" t="s">
        <v>676</v>
      </c>
    </row>
    <row r="677" spans="1:2" x14ac:dyDescent="0.4">
      <c r="A677">
        <v>676</v>
      </c>
      <c r="B677" t="s">
        <v>677</v>
      </c>
    </row>
    <row r="678" spans="1:2" x14ac:dyDescent="0.4">
      <c r="A678">
        <v>677</v>
      </c>
      <c r="B678" t="s">
        <v>678</v>
      </c>
    </row>
    <row r="679" spans="1:2" x14ac:dyDescent="0.4">
      <c r="A679">
        <v>678</v>
      </c>
      <c r="B679" t="s">
        <v>679</v>
      </c>
    </row>
    <row r="680" spans="1:2" x14ac:dyDescent="0.4">
      <c r="A680">
        <v>679</v>
      </c>
      <c r="B680" t="s">
        <v>680</v>
      </c>
    </row>
    <row r="681" spans="1:2" x14ac:dyDescent="0.4">
      <c r="A681">
        <v>680</v>
      </c>
      <c r="B681" t="s">
        <v>681</v>
      </c>
    </row>
    <row r="682" spans="1:2" x14ac:dyDescent="0.4">
      <c r="A682">
        <v>681</v>
      </c>
      <c r="B682" t="s">
        <v>682</v>
      </c>
    </row>
    <row r="683" spans="1:2" x14ac:dyDescent="0.4">
      <c r="A683">
        <v>682</v>
      </c>
      <c r="B683" t="s">
        <v>683</v>
      </c>
    </row>
    <row r="684" spans="1:2" x14ac:dyDescent="0.4">
      <c r="A684">
        <v>683</v>
      </c>
      <c r="B684" t="s">
        <v>684</v>
      </c>
    </row>
    <row r="685" spans="1:2" x14ac:dyDescent="0.4">
      <c r="A685">
        <v>684</v>
      </c>
      <c r="B685" t="s">
        <v>685</v>
      </c>
    </row>
    <row r="686" spans="1:2" x14ac:dyDescent="0.4">
      <c r="A686">
        <v>685</v>
      </c>
      <c r="B686" t="s">
        <v>686</v>
      </c>
    </row>
    <row r="687" spans="1:2" x14ac:dyDescent="0.4">
      <c r="A687">
        <v>686</v>
      </c>
      <c r="B687" t="s">
        <v>687</v>
      </c>
    </row>
    <row r="688" spans="1:2" x14ac:dyDescent="0.4">
      <c r="A688">
        <v>687</v>
      </c>
      <c r="B688" t="s">
        <v>688</v>
      </c>
    </row>
    <row r="689" spans="1:2" x14ac:dyDescent="0.4">
      <c r="A689">
        <v>688</v>
      </c>
      <c r="B689" t="s">
        <v>689</v>
      </c>
    </row>
    <row r="690" spans="1:2" x14ac:dyDescent="0.4">
      <c r="A690">
        <v>689</v>
      </c>
      <c r="B690" t="s">
        <v>690</v>
      </c>
    </row>
    <row r="691" spans="1:2" x14ac:dyDescent="0.4">
      <c r="A691">
        <v>690</v>
      </c>
      <c r="B691" t="s">
        <v>691</v>
      </c>
    </row>
    <row r="692" spans="1:2" x14ac:dyDescent="0.4">
      <c r="A692">
        <v>691</v>
      </c>
      <c r="B692" t="s">
        <v>692</v>
      </c>
    </row>
    <row r="693" spans="1:2" x14ac:dyDescent="0.4">
      <c r="A693">
        <v>692</v>
      </c>
      <c r="B693" t="s">
        <v>693</v>
      </c>
    </row>
    <row r="694" spans="1:2" x14ac:dyDescent="0.4">
      <c r="A694">
        <v>693</v>
      </c>
      <c r="B694" t="s">
        <v>694</v>
      </c>
    </row>
    <row r="695" spans="1:2" x14ac:dyDescent="0.4">
      <c r="A695">
        <v>694</v>
      </c>
      <c r="B695" t="s">
        <v>695</v>
      </c>
    </row>
    <row r="696" spans="1:2" x14ac:dyDescent="0.4">
      <c r="A696">
        <v>695</v>
      </c>
      <c r="B696" t="s">
        <v>696</v>
      </c>
    </row>
    <row r="697" spans="1:2" x14ac:dyDescent="0.4">
      <c r="A697">
        <v>696</v>
      </c>
      <c r="B697" t="s">
        <v>697</v>
      </c>
    </row>
    <row r="698" spans="1:2" x14ac:dyDescent="0.4">
      <c r="A698">
        <v>697</v>
      </c>
      <c r="B698" t="s">
        <v>698</v>
      </c>
    </row>
    <row r="699" spans="1:2" x14ac:dyDescent="0.4">
      <c r="A699">
        <v>698</v>
      </c>
      <c r="B699" t="s">
        <v>699</v>
      </c>
    </row>
    <row r="700" spans="1:2" x14ac:dyDescent="0.4">
      <c r="A700">
        <v>699</v>
      </c>
      <c r="B700" t="s">
        <v>700</v>
      </c>
    </row>
    <row r="701" spans="1:2" x14ac:dyDescent="0.4">
      <c r="A701">
        <v>700</v>
      </c>
      <c r="B701" t="s">
        <v>701</v>
      </c>
    </row>
    <row r="702" spans="1:2" x14ac:dyDescent="0.4">
      <c r="A702">
        <v>701</v>
      </c>
      <c r="B702" t="s">
        <v>702</v>
      </c>
    </row>
    <row r="703" spans="1:2" x14ac:dyDescent="0.4">
      <c r="A703">
        <v>702</v>
      </c>
      <c r="B703" t="s">
        <v>703</v>
      </c>
    </row>
    <row r="704" spans="1:2" x14ac:dyDescent="0.4">
      <c r="A704">
        <v>703</v>
      </c>
      <c r="B704" t="s">
        <v>704</v>
      </c>
    </row>
    <row r="705" spans="1:2" x14ac:dyDescent="0.4">
      <c r="A705">
        <v>704</v>
      </c>
      <c r="B705" t="s">
        <v>705</v>
      </c>
    </row>
    <row r="706" spans="1:2" x14ac:dyDescent="0.4">
      <c r="A706">
        <v>705</v>
      </c>
      <c r="B706" t="s">
        <v>706</v>
      </c>
    </row>
    <row r="707" spans="1:2" x14ac:dyDescent="0.4">
      <c r="A707">
        <v>706</v>
      </c>
      <c r="B707" t="s">
        <v>707</v>
      </c>
    </row>
    <row r="708" spans="1:2" x14ac:dyDescent="0.4">
      <c r="A708">
        <v>707</v>
      </c>
      <c r="B708" t="s">
        <v>708</v>
      </c>
    </row>
    <row r="709" spans="1:2" x14ac:dyDescent="0.4">
      <c r="A709">
        <v>708</v>
      </c>
      <c r="B709" t="s">
        <v>709</v>
      </c>
    </row>
    <row r="710" spans="1:2" x14ac:dyDescent="0.4">
      <c r="A710">
        <v>709</v>
      </c>
      <c r="B710" t="s">
        <v>710</v>
      </c>
    </row>
    <row r="711" spans="1:2" x14ac:dyDescent="0.4">
      <c r="A711">
        <v>710</v>
      </c>
      <c r="B711" t="s">
        <v>711</v>
      </c>
    </row>
    <row r="712" spans="1:2" x14ac:dyDescent="0.4">
      <c r="A712">
        <v>711</v>
      </c>
      <c r="B712" t="s">
        <v>712</v>
      </c>
    </row>
    <row r="713" spans="1:2" x14ac:dyDescent="0.4">
      <c r="A713">
        <v>712</v>
      </c>
      <c r="B713" t="s">
        <v>713</v>
      </c>
    </row>
    <row r="714" spans="1:2" x14ac:dyDescent="0.4">
      <c r="A714">
        <v>713</v>
      </c>
      <c r="B714" t="s">
        <v>454</v>
      </c>
    </row>
    <row r="715" spans="1:2" x14ac:dyDescent="0.4">
      <c r="A715">
        <v>714</v>
      </c>
      <c r="B715" t="s">
        <v>642</v>
      </c>
    </row>
    <row r="716" spans="1:2" x14ac:dyDescent="0.4">
      <c r="A716">
        <v>715</v>
      </c>
      <c r="B716" t="s">
        <v>714</v>
      </c>
    </row>
    <row r="717" spans="1:2" x14ac:dyDescent="0.4">
      <c r="A717">
        <v>716</v>
      </c>
      <c r="B717" t="s">
        <v>715</v>
      </c>
    </row>
    <row r="718" spans="1:2" x14ac:dyDescent="0.4">
      <c r="A718">
        <v>717</v>
      </c>
      <c r="B718" t="s">
        <v>716</v>
      </c>
    </row>
    <row r="719" spans="1:2" x14ac:dyDescent="0.4">
      <c r="A719">
        <v>718</v>
      </c>
      <c r="B719" t="s">
        <v>717</v>
      </c>
    </row>
    <row r="720" spans="1:2" x14ac:dyDescent="0.4">
      <c r="A720">
        <v>719</v>
      </c>
      <c r="B720" t="s">
        <v>718</v>
      </c>
    </row>
    <row r="721" spans="1:2" x14ac:dyDescent="0.4">
      <c r="A721">
        <v>720</v>
      </c>
      <c r="B721" t="s">
        <v>719</v>
      </c>
    </row>
    <row r="722" spans="1:2" x14ac:dyDescent="0.4">
      <c r="A722">
        <v>721</v>
      </c>
      <c r="B722" t="s">
        <v>720</v>
      </c>
    </row>
    <row r="723" spans="1:2" x14ac:dyDescent="0.4">
      <c r="A723">
        <v>722</v>
      </c>
      <c r="B723" t="s">
        <v>721</v>
      </c>
    </row>
    <row r="724" spans="1:2" x14ac:dyDescent="0.4">
      <c r="A724">
        <v>723</v>
      </c>
      <c r="B724" t="s">
        <v>480</v>
      </c>
    </row>
    <row r="725" spans="1:2" x14ac:dyDescent="0.4">
      <c r="A725">
        <v>724</v>
      </c>
      <c r="B725" t="s">
        <v>722</v>
      </c>
    </row>
    <row r="726" spans="1:2" x14ac:dyDescent="0.4">
      <c r="A726">
        <v>725</v>
      </c>
      <c r="B726" t="s">
        <v>723</v>
      </c>
    </row>
    <row r="727" spans="1:2" x14ac:dyDescent="0.4">
      <c r="A727">
        <v>726</v>
      </c>
      <c r="B727" t="s">
        <v>724</v>
      </c>
    </row>
    <row r="728" spans="1:2" x14ac:dyDescent="0.4">
      <c r="A728">
        <v>727</v>
      </c>
      <c r="B728" t="s">
        <v>725</v>
      </c>
    </row>
    <row r="729" spans="1:2" x14ac:dyDescent="0.4">
      <c r="A729">
        <v>728</v>
      </c>
      <c r="B729" t="s">
        <v>726</v>
      </c>
    </row>
    <row r="730" spans="1:2" x14ac:dyDescent="0.4">
      <c r="A730">
        <v>729</v>
      </c>
      <c r="B730" t="s">
        <v>727</v>
      </c>
    </row>
    <row r="731" spans="1:2" x14ac:dyDescent="0.4">
      <c r="A731">
        <v>730</v>
      </c>
      <c r="B731" t="s">
        <v>728</v>
      </c>
    </row>
    <row r="732" spans="1:2" x14ac:dyDescent="0.4">
      <c r="A732">
        <v>731</v>
      </c>
      <c r="B732" t="s">
        <v>729</v>
      </c>
    </row>
    <row r="733" spans="1:2" x14ac:dyDescent="0.4">
      <c r="A733">
        <v>732</v>
      </c>
      <c r="B733" t="s">
        <v>730</v>
      </c>
    </row>
    <row r="734" spans="1:2" x14ac:dyDescent="0.4">
      <c r="A734">
        <v>733</v>
      </c>
      <c r="B734" t="s">
        <v>731</v>
      </c>
    </row>
    <row r="735" spans="1:2" x14ac:dyDescent="0.4">
      <c r="A735">
        <v>734</v>
      </c>
      <c r="B735" t="s">
        <v>467</v>
      </c>
    </row>
    <row r="736" spans="1:2" x14ac:dyDescent="0.4">
      <c r="A736">
        <v>735</v>
      </c>
      <c r="B736" t="s">
        <v>732</v>
      </c>
    </row>
    <row r="737" spans="1:2" x14ac:dyDescent="0.4">
      <c r="A737">
        <v>736</v>
      </c>
      <c r="B737" t="s">
        <v>460</v>
      </c>
    </row>
    <row r="738" spans="1:2" x14ac:dyDescent="0.4">
      <c r="A738">
        <v>737</v>
      </c>
      <c r="B738" t="s">
        <v>733</v>
      </c>
    </row>
    <row r="739" spans="1:2" x14ac:dyDescent="0.4">
      <c r="A739">
        <v>738</v>
      </c>
      <c r="B739" t="s">
        <v>734</v>
      </c>
    </row>
    <row r="740" spans="1:2" x14ac:dyDescent="0.4">
      <c r="A740">
        <v>739</v>
      </c>
      <c r="B740" t="s">
        <v>735</v>
      </c>
    </row>
    <row r="741" spans="1:2" x14ac:dyDescent="0.4">
      <c r="A741">
        <v>740</v>
      </c>
      <c r="B741" t="s">
        <v>735</v>
      </c>
    </row>
    <row r="742" spans="1:2" x14ac:dyDescent="0.4">
      <c r="A742">
        <v>741</v>
      </c>
      <c r="B742" t="s">
        <v>736</v>
      </c>
    </row>
    <row r="743" spans="1:2" x14ac:dyDescent="0.4">
      <c r="A743">
        <v>742</v>
      </c>
      <c r="B743" t="s">
        <v>737</v>
      </c>
    </row>
    <row r="744" spans="1:2" x14ac:dyDescent="0.4">
      <c r="A744">
        <v>743</v>
      </c>
      <c r="B744" t="s">
        <v>738</v>
      </c>
    </row>
    <row r="745" spans="1:2" x14ac:dyDescent="0.4">
      <c r="A745">
        <v>744</v>
      </c>
      <c r="B745" t="s">
        <v>739</v>
      </c>
    </row>
    <row r="746" spans="1:2" x14ac:dyDescent="0.4">
      <c r="A746">
        <v>745</v>
      </c>
      <c r="B746" t="s">
        <v>740</v>
      </c>
    </row>
    <row r="747" spans="1:2" x14ac:dyDescent="0.4">
      <c r="A747">
        <v>746</v>
      </c>
      <c r="B747" t="s">
        <v>741</v>
      </c>
    </row>
    <row r="748" spans="1:2" x14ac:dyDescent="0.4">
      <c r="A748">
        <v>747</v>
      </c>
      <c r="B748" t="s">
        <v>742</v>
      </c>
    </row>
    <row r="749" spans="1:2" x14ac:dyDescent="0.4">
      <c r="A749">
        <v>748</v>
      </c>
      <c r="B749" t="s">
        <v>743</v>
      </c>
    </row>
    <row r="750" spans="1:2" x14ac:dyDescent="0.4">
      <c r="A750">
        <v>749</v>
      </c>
      <c r="B750" t="s">
        <v>744</v>
      </c>
    </row>
    <row r="751" spans="1:2" x14ac:dyDescent="0.4">
      <c r="A751">
        <v>750</v>
      </c>
      <c r="B751" t="s">
        <v>745</v>
      </c>
    </row>
    <row r="752" spans="1:2" x14ac:dyDescent="0.4">
      <c r="A752">
        <v>751</v>
      </c>
      <c r="B752" t="s">
        <v>727</v>
      </c>
    </row>
    <row r="753" spans="1:2" x14ac:dyDescent="0.4">
      <c r="A753">
        <v>752</v>
      </c>
      <c r="B753" t="s">
        <v>746</v>
      </c>
    </row>
    <row r="754" spans="1:2" x14ac:dyDescent="0.4">
      <c r="A754">
        <v>753</v>
      </c>
      <c r="B754" t="s">
        <v>747</v>
      </c>
    </row>
    <row r="755" spans="1:2" x14ac:dyDescent="0.4">
      <c r="A755">
        <v>754</v>
      </c>
      <c r="B755" t="s">
        <v>748</v>
      </c>
    </row>
    <row r="756" spans="1:2" x14ac:dyDescent="0.4">
      <c r="A756">
        <v>755</v>
      </c>
      <c r="B756" t="s">
        <v>749</v>
      </c>
    </row>
    <row r="757" spans="1:2" x14ac:dyDescent="0.4">
      <c r="A757">
        <v>756</v>
      </c>
      <c r="B757" t="s">
        <v>750</v>
      </c>
    </row>
    <row r="758" spans="1:2" x14ac:dyDescent="0.4">
      <c r="A758">
        <v>757</v>
      </c>
      <c r="B758" t="s">
        <v>751</v>
      </c>
    </row>
    <row r="759" spans="1:2" x14ac:dyDescent="0.4">
      <c r="A759">
        <v>758</v>
      </c>
      <c r="B759" t="s">
        <v>752</v>
      </c>
    </row>
    <row r="760" spans="1:2" x14ac:dyDescent="0.4">
      <c r="A760">
        <v>759</v>
      </c>
      <c r="B760" t="s">
        <v>753</v>
      </c>
    </row>
    <row r="761" spans="1:2" x14ac:dyDescent="0.4">
      <c r="A761">
        <v>760</v>
      </c>
      <c r="B761" t="s">
        <v>754</v>
      </c>
    </row>
    <row r="762" spans="1:2" x14ac:dyDescent="0.4">
      <c r="A762">
        <v>761</v>
      </c>
      <c r="B762" t="s">
        <v>755</v>
      </c>
    </row>
    <row r="763" spans="1:2" x14ac:dyDescent="0.4">
      <c r="A763">
        <v>762</v>
      </c>
      <c r="B763" t="s">
        <v>756</v>
      </c>
    </row>
    <row r="764" spans="1:2" x14ac:dyDescent="0.4">
      <c r="A764">
        <v>763</v>
      </c>
      <c r="B764" t="s">
        <v>757</v>
      </c>
    </row>
    <row r="765" spans="1:2" x14ac:dyDescent="0.4">
      <c r="A765">
        <v>764</v>
      </c>
      <c r="B765" t="s">
        <v>758</v>
      </c>
    </row>
    <row r="766" spans="1:2" x14ac:dyDescent="0.4">
      <c r="A766">
        <v>765</v>
      </c>
      <c r="B766" t="s">
        <v>759</v>
      </c>
    </row>
    <row r="767" spans="1:2" x14ac:dyDescent="0.4">
      <c r="A767">
        <v>766</v>
      </c>
      <c r="B767" t="s">
        <v>760</v>
      </c>
    </row>
    <row r="768" spans="1:2" x14ac:dyDescent="0.4">
      <c r="A768">
        <v>767</v>
      </c>
      <c r="B768" t="s">
        <v>761</v>
      </c>
    </row>
    <row r="769" spans="1:2" x14ac:dyDescent="0.4">
      <c r="A769">
        <v>768</v>
      </c>
      <c r="B769" t="s">
        <v>762</v>
      </c>
    </row>
    <row r="770" spans="1:2" x14ac:dyDescent="0.4">
      <c r="A770">
        <v>769</v>
      </c>
      <c r="B770" t="s">
        <v>763</v>
      </c>
    </row>
    <row r="771" spans="1:2" x14ac:dyDescent="0.4">
      <c r="A771">
        <v>770</v>
      </c>
      <c r="B771" t="s">
        <v>764</v>
      </c>
    </row>
    <row r="772" spans="1:2" x14ac:dyDescent="0.4">
      <c r="A772">
        <v>771</v>
      </c>
      <c r="B772" t="s">
        <v>727</v>
      </c>
    </row>
    <row r="773" spans="1:2" x14ac:dyDescent="0.4">
      <c r="A773">
        <v>772</v>
      </c>
      <c r="B773" t="s">
        <v>765</v>
      </c>
    </row>
    <row r="774" spans="1:2" x14ac:dyDescent="0.4">
      <c r="A774">
        <v>773</v>
      </c>
      <c r="B774" t="s">
        <v>766</v>
      </c>
    </row>
    <row r="775" spans="1:2" x14ac:dyDescent="0.4">
      <c r="A775">
        <v>774</v>
      </c>
      <c r="B775" t="s">
        <v>767</v>
      </c>
    </row>
    <row r="776" spans="1:2" x14ac:dyDescent="0.4">
      <c r="A776">
        <v>775</v>
      </c>
      <c r="B776" t="s">
        <v>768</v>
      </c>
    </row>
    <row r="777" spans="1:2" x14ac:dyDescent="0.4">
      <c r="A777">
        <v>776</v>
      </c>
      <c r="B777" t="s">
        <v>769</v>
      </c>
    </row>
    <row r="778" spans="1:2" x14ac:dyDescent="0.4">
      <c r="A778">
        <v>777</v>
      </c>
      <c r="B778" t="s">
        <v>770</v>
      </c>
    </row>
    <row r="779" spans="1:2" x14ac:dyDescent="0.4">
      <c r="A779">
        <v>778</v>
      </c>
      <c r="B779" t="s">
        <v>771</v>
      </c>
    </row>
    <row r="780" spans="1:2" x14ac:dyDescent="0.4">
      <c r="A780">
        <v>779</v>
      </c>
      <c r="B780" t="s">
        <v>772</v>
      </c>
    </row>
    <row r="781" spans="1:2" x14ac:dyDescent="0.4">
      <c r="A781">
        <v>780</v>
      </c>
      <c r="B781" t="s">
        <v>773</v>
      </c>
    </row>
    <row r="782" spans="1:2" x14ac:dyDescent="0.4">
      <c r="A782">
        <v>781</v>
      </c>
      <c r="B782" t="s">
        <v>774</v>
      </c>
    </row>
    <row r="783" spans="1:2" x14ac:dyDescent="0.4">
      <c r="A783">
        <v>782</v>
      </c>
      <c r="B783" t="s">
        <v>775</v>
      </c>
    </row>
    <row r="784" spans="1:2" x14ac:dyDescent="0.4">
      <c r="A784">
        <v>783</v>
      </c>
      <c r="B784" t="s">
        <v>776</v>
      </c>
    </row>
    <row r="785" spans="1:2" x14ac:dyDescent="0.4">
      <c r="A785">
        <v>784</v>
      </c>
      <c r="B785" t="s">
        <v>777</v>
      </c>
    </row>
    <row r="786" spans="1:2" x14ac:dyDescent="0.4">
      <c r="A786">
        <v>785</v>
      </c>
      <c r="B786" t="s">
        <v>778</v>
      </c>
    </row>
    <row r="787" spans="1:2" x14ac:dyDescent="0.4">
      <c r="A787">
        <v>786</v>
      </c>
      <c r="B787" t="s">
        <v>779</v>
      </c>
    </row>
    <row r="788" spans="1:2" x14ac:dyDescent="0.4">
      <c r="A788">
        <v>787</v>
      </c>
      <c r="B788" t="s">
        <v>780</v>
      </c>
    </row>
    <row r="789" spans="1:2" x14ac:dyDescent="0.4">
      <c r="A789">
        <v>788</v>
      </c>
      <c r="B789" t="s">
        <v>781</v>
      </c>
    </row>
    <row r="790" spans="1:2" x14ac:dyDescent="0.4">
      <c r="A790">
        <v>789</v>
      </c>
      <c r="B790" t="s">
        <v>782</v>
      </c>
    </row>
    <row r="791" spans="1:2" x14ac:dyDescent="0.4">
      <c r="A791">
        <v>790</v>
      </c>
      <c r="B791" t="s">
        <v>783</v>
      </c>
    </row>
    <row r="792" spans="1:2" x14ac:dyDescent="0.4">
      <c r="A792">
        <v>791</v>
      </c>
      <c r="B792" t="s">
        <v>784</v>
      </c>
    </row>
    <row r="793" spans="1:2" x14ac:dyDescent="0.4">
      <c r="A793">
        <v>792</v>
      </c>
      <c r="B793" t="s">
        <v>785</v>
      </c>
    </row>
    <row r="794" spans="1:2" x14ac:dyDescent="0.4">
      <c r="A794">
        <v>793</v>
      </c>
      <c r="B794" t="s">
        <v>786</v>
      </c>
    </row>
    <row r="795" spans="1:2" x14ac:dyDescent="0.4">
      <c r="A795">
        <v>794</v>
      </c>
      <c r="B795" t="s">
        <v>787</v>
      </c>
    </row>
    <row r="796" spans="1:2" x14ac:dyDescent="0.4">
      <c r="A796">
        <v>795</v>
      </c>
      <c r="B796" t="s">
        <v>788</v>
      </c>
    </row>
    <row r="797" spans="1:2" x14ac:dyDescent="0.4">
      <c r="A797">
        <v>796</v>
      </c>
      <c r="B797" t="s">
        <v>789</v>
      </c>
    </row>
    <row r="798" spans="1:2" x14ac:dyDescent="0.4">
      <c r="A798">
        <v>797</v>
      </c>
      <c r="B798" t="s">
        <v>790</v>
      </c>
    </row>
    <row r="799" spans="1:2" x14ac:dyDescent="0.4">
      <c r="A799">
        <v>798</v>
      </c>
      <c r="B799" t="s">
        <v>791</v>
      </c>
    </row>
    <row r="800" spans="1:2" x14ac:dyDescent="0.4">
      <c r="A800">
        <v>799</v>
      </c>
      <c r="B800" t="s">
        <v>792</v>
      </c>
    </row>
    <row r="801" spans="1:2" x14ac:dyDescent="0.4">
      <c r="A801">
        <v>800</v>
      </c>
      <c r="B801" t="s">
        <v>793</v>
      </c>
    </row>
    <row r="802" spans="1:2" x14ac:dyDescent="0.4">
      <c r="A802">
        <v>801</v>
      </c>
      <c r="B802" t="s">
        <v>794</v>
      </c>
    </row>
    <row r="803" spans="1:2" x14ac:dyDescent="0.4">
      <c r="A803">
        <v>802</v>
      </c>
      <c r="B803" t="s">
        <v>795</v>
      </c>
    </row>
    <row r="804" spans="1:2" x14ac:dyDescent="0.4">
      <c r="A804">
        <v>803</v>
      </c>
      <c r="B804" t="s">
        <v>796</v>
      </c>
    </row>
    <row r="805" spans="1:2" x14ac:dyDescent="0.4">
      <c r="A805">
        <v>804</v>
      </c>
      <c r="B805" t="s">
        <v>797</v>
      </c>
    </row>
    <row r="806" spans="1:2" x14ac:dyDescent="0.4">
      <c r="A806">
        <v>805</v>
      </c>
      <c r="B806" t="s">
        <v>798</v>
      </c>
    </row>
    <row r="807" spans="1:2" x14ac:dyDescent="0.4">
      <c r="A807">
        <v>806</v>
      </c>
      <c r="B807" t="s">
        <v>799</v>
      </c>
    </row>
    <row r="808" spans="1:2" x14ac:dyDescent="0.4">
      <c r="A808">
        <v>807</v>
      </c>
      <c r="B808" t="s">
        <v>800</v>
      </c>
    </row>
    <row r="809" spans="1:2" x14ac:dyDescent="0.4">
      <c r="A809">
        <v>808</v>
      </c>
      <c r="B809" t="s">
        <v>801</v>
      </c>
    </row>
    <row r="810" spans="1:2" x14ac:dyDescent="0.4">
      <c r="A810">
        <v>809</v>
      </c>
      <c r="B810" t="s">
        <v>802</v>
      </c>
    </row>
    <row r="811" spans="1:2" x14ac:dyDescent="0.4">
      <c r="A811">
        <v>810</v>
      </c>
      <c r="B811" t="s">
        <v>803</v>
      </c>
    </row>
    <row r="812" spans="1:2" x14ac:dyDescent="0.4">
      <c r="A812">
        <v>811</v>
      </c>
      <c r="B812" t="s">
        <v>804</v>
      </c>
    </row>
    <row r="813" spans="1:2" x14ac:dyDescent="0.4">
      <c r="A813">
        <v>812</v>
      </c>
      <c r="B813" t="s">
        <v>805</v>
      </c>
    </row>
    <row r="814" spans="1:2" x14ac:dyDescent="0.4">
      <c r="A814">
        <v>813</v>
      </c>
      <c r="B814" t="s">
        <v>806</v>
      </c>
    </row>
    <row r="815" spans="1:2" x14ac:dyDescent="0.4">
      <c r="A815">
        <v>814</v>
      </c>
      <c r="B815" t="s">
        <v>807</v>
      </c>
    </row>
    <row r="816" spans="1:2" x14ac:dyDescent="0.4">
      <c r="A816">
        <v>815</v>
      </c>
      <c r="B816" t="s">
        <v>808</v>
      </c>
    </row>
    <row r="817" spans="1:2" x14ac:dyDescent="0.4">
      <c r="A817">
        <v>816</v>
      </c>
      <c r="B817" t="s">
        <v>809</v>
      </c>
    </row>
    <row r="818" spans="1:2" x14ac:dyDescent="0.4">
      <c r="A818">
        <v>817</v>
      </c>
      <c r="B818" t="s">
        <v>810</v>
      </c>
    </row>
    <row r="819" spans="1:2" x14ac:dyDescent="0.4">
      <c r="A819">
        <v>818</v>
      </c>
      <c r="B819" t="s">
        <v>811</v>
      </c>
    </row>
    <row r="820" spans="1:2" x14ac:dyDescent="0.4">
      <c r="A820">
        <v>819</v>
      </c>
      <c r="B820" t="s">
        <v>812</v>
      </c>
    </row>
    <row r="821" spans="1:2" x14ac:dyDescent="0.4">
      <c r="A821">
        <v>820</v>
      </c>
      <c r="B821" t="s">
        <v>813</v>
      </c>
    </row>
    <row r="822" spans="1:2" x14ac:dyDescent="0.4">
      <c r="A822">
        <v>821</v>
      </c>
      <c r="B822" t="s">
        <v>814</v>
      </c>
    </row>
    <row r="823" spans="1:2" x14ac:dyDescent="0.4">
      <c r="A823">
        <v>822</v>
      </c>
      <c r="B823" t="s">
        <v>815</v>
      </c>
    </row>
    <row r="824" spans="1:2" x14ac:dyDescent="0.4">
      <c r="A824">
        <v>823</v>
      </c>
      <c r="B824" t="s">
        <v>816</v>
      </c>
    </row>
    <row r="825" spans="1:2" x14ac:dyDescent="0.4">
      <c r="A825">
        <v>824</v>
      </c>
      <c r="B825" t="s">
        <v>817</v>
      </c>
    </row>
    <row r="826" spans="1:2" x14ac:dyDescent="0.4">
      <c r="A826">
        <v>825</v>
      </c>
      <c r="B826" t="s">
        <v>818</v>
      </c>
    </row>
    <row r="827" spans="1:2" x14ac:dyDescent="0.4">
      <c r="A827">
        <v>826</v>
      </c>
      <c r="B827" t="s">
        <v>819</v>
      </c>
    </row>
    <row r="828" spans="1:2" x14ac:dyDescent="0.4">
      <c r="A828">
        <v>827</v>
      </c>
      <c r="B828" t="s">
        <v>820</v>
      </c>
    </row>
    <row r="829" spans="1:2" x14ac:dyDescent="0.4">
      <c r="A829">
        <v>828</v>
      </c>
      <c r="B829" t="s">
        <v>821</v>
      </c>
    </row>
    <row r="830" spans="1:2" x14ac:dyDescent="0.4">
      <c r="A830">
        <v>829</v>
      </c>
      <c r="B830" t="s">
        <v>822</v>
      </c>
    </row>
    <row r="831" spans="1:2" x14ac:dyDescent="0.4">
      <c r="A831">
        <v>830</v>
      </c>
      <c r="B831" t="s">
        <v>823</v>
      </c>
    </row>
    <row r="832" spans="1:2" x14ac:dyDescent="0.4">
      <c r="A832">
        <v>831</v>
      </c>
      <c r="B832" t="s">
        <v>824</v>
      </c>
    </row>
    <row r="833" spans="1:2" x14ac:dyDescent="0.4">
      <c r="A833">
        <v>832</v>
      </c>
      <c r="B833" t="s">
        <v>825</v>
      </c>
    </row>
    <row r="834" spans="1:2" x14ac:dyDescent="0.4">
      <c r="A834">
        <v>833</v>
      </c>
      <c r="B834" t="s">
        <v>826</v>
      </c>
    </row>
    <row r="835" spans="1:2" x14ac:dyDescent="0.4">
      <c r="A835">
        <v>834</v>
      </c>
      <c r="B835" t="s">
        <v>827</v>
      </c>
    </row>
    <row r="836" spans="1:2" x14ac:dyDescent="0.4">
      <c r="A836">
        <v>835</v>
      </c>
      <c r="B836" t="s">
        <v>828</v>
      </c>
    </row>
    <row r="837" spans="1:2" x14ac:dyDescent="0.4">
      <c r="A837">
        <v>836</v>
      </c>
      <c r="B837" t="s">
        <v>829</v>
      </c>
    </row>
    <row r="838" spans="1:2" x14ac:dyDescent="0.4">
      <c r="A838">
        <v>837</v>
      </c>
      <c r="B838" t="s">
        <v>138</v>
      </c>
    </row>
    <row r="839" spans="1:2" x14ac:dyDescent="0.4">
      <c r="A839">
        <v>838</v>
      </c>
      <c r="B839" t="s">
        <v>138</v>
      </c>
    </row>
    <row r="840" spans="1:2" x14ac:dyDescent="0.4">
      <c r="A840">
        <v>839</v>
      </c>
      <c r="B840" t="s">
        <v>138</v>
      </c>
    </row>
    <row r="841" spans="1:2" x14ac:dyDescent="0.4">
      <c r="A841">
        <v>840</v>
      </c>
      <c r="B841" t="s">
        <v>138</v>
      </c>
    </row>
    <row r="842" spans="1:2" x14ac:dyDescent="0.4">
      <c r="A842">
        <v>841</v>
      </c>
      <c r="B842" t="s">
        <v>830</v>
      </c>
    </row>
    <row r="843" spans="1:2" x14ac:dyDescent="0.4">
      <c r="A843">
        <v>842</v>
      </c>
      <c r="B843" t="s">
        <v>831</v>
      </c>
    </row>
    <row r="844" spans="1:2" x14ac:dyDescent="0.4">
      <c r="A844">
        <v>843</v>
      </c>
      <c r="B844" t="s">
        <v>832</v>
      </c>
    </row>
    <row r="845" spans="1:2" x14ac:dyDescent="0.4">
      <c r="A845">
        <v>844</v>
      </c>
      <c r="B845" t="s">
        <v>833</v>
      </c>
    </row>
    <row r="846" spans="1:2" x14ac:dyDescent="0.4">
      <c r="A846">
        <v>845</v>
      </c>
      <c r="B846" t="s">
        <v>834</v>
      </c>
    </row>
    <row r="847" spans="1:2" x14ac:dyDescent="0.4">
      <c r="A847">
        <v>846</v>
      </c>
      <c r="B847" t="s">
        <v>835</v>
      </c>
    </row>
    <row r="848" spans="1:2" x14ac:dyDescent="0.4">
      <c r="A848">
        <v>847</v>
      </c>
      <c r="B848" t="s">
        <v>836</v>
      </c>
    </row>
    <row r="849" spans="1:2" x14ac:dyDescent="0.4">
      <c r="A849">
        <v>848</v>
      </c>
      <c r="B849" t="s">
        <v>138</v>
      </c>
    </row>
    <row r="850" spans="1:2" x14ac:dyDescent="0.4">
      <c r="A850">
        <v>849</v>
      </c>
      <c r="B850" t="s">
        <v>837</v>
      </c>
    </row>
    <row r="851" spans="1:2" x14ac:dyDescent="0.4">
      <c r="A851">
        <v>850</v>
      </c>
      <c r="B851" t="s">
        <v>838</v>
      </c>
    </row>
    <row r="852" spans="1:2" x14ac:dyDescent="0.4">
      <c r="A852">
        <v>851</v>
      </c>
      <c r="B852" t="s">
        <v>839</v>
      </c>
    </row>
    <row r="853" spans="1:2" x14ac:dyDescent="0.4">
      <c r="A853">
        <v>852</v>
      </c>
      <c r="B853" t="s">
        <v>840</v>
      </c>
    </row>
    <row r="854" spans="1:2" x14ac:dyDescent="0.4">
      <c r="A854">
        <v>853</v>
      </c>
      <c r="B854" t="s">
        <v>841</v>
      </c>
    </row>
    <row r="855" spans="1:2" x14ac:dyDescent="0.4">
      <c r="A855">
        <v>854</v>
      </c>
      <c r="B855" t="s">
        <v>842</v>
      </c>
    </row>
    <row r="856" spans="1:2" x14ac:dyDescent="0.4">
      <c r="A856">
        <v>855</v>
      </c>
      <c r="B856" t="s">
        <v>843</v>
      </c>
    </row>
    <row r="857" spans="1:2" x14ac:dyDescent="0.4">
      <c r="A857">
        <v>856</v>
      </c>
      <c r="B857" t="s">
        <v>844</v>
      </c>
    </row>
    <row r="858" spans="1:2" x14ac:dyDescent="0.4">
      <c r="A858">
        <v>857</v>
      </c>
      <c r="B858" t="s">
        <v>845</v>
      </c>
    </row>
    <row r="859" spans="1:2" x14ac:dyDescent="0.4">
      <c r="A859">
        <v>858</v>
      </c>
      <c r="B859" t="s">
        <v>846</v>
      </c>
    </row>
    <row r="860" spans="1:2" x14ac:dyDescent="0.4">
      <c r="A860">
        <v>859</v>
      </c>
      <c r="B860" t="s">
        <v>138</v>
      </c>
    </row>
    <row r="861" spans="1:2" x14ac:dyDescent="0.4">
      <c r="A861">
        <v>860</v>
      </c>
      <c r="B861" t="s">
        <v>847</v>
      </c>
    </row>
    <row r="862" spans="1:2" x14ac:dyDescent="0.4">
      <c r="A862">
        <v>861</v>
      </c>
      <c r="B862" t="s">
        <v>138</v>
      </c>
    </row>
    <row r="863" spans="1:2" x14ac:dyDescent="0.4">
      <c r="A863">
        <v>862</v>
      </c>
      <c r="B863" t="s">
        <v>138</v>
      </c>
    </row>
    <row r="864" spans="1:2" x14ac:dyDescent="0.4">
      <c r="A864">
        <v>863</v>
      </c>
      <c r="B864" t="s">
        <v>138</v>
      </c>
    </row>
    <row r="865" spans="1:2" x14ac:dyDescent="0.4">
      <c r="A865">
        <v>864</v>
      </c>
      <c r="B865" t="s">
        <v>138</v>
      </c>
    </row>
    <row r="866" spans="1:2" x14ac:dyDescent="0.4">
      <c r="A866">
        <v>865</v>
      </c>
      <c r="B866" t="s">
        <v>138</v>
      </c>
    </row>
    <row r="867" spans="1:2" x14ac:dyDescent="0.4">
      <c r="A867">
        <v>866</v>
      </c>
      <c r="B867" t="s">
        <v>138</v>
      </c>
    </row>
    <row r="868" spans="1:2" x14ac:dyDescent="0.4">
      <c r="A868">
        <v>867</v>
      </c>
      <c r="B868" t="s">
        <v>138</v>
      </c>
    </row>
    <row r="869" spans="1:2" x14ac:dyDescent="0.4">
      <c r="A869">
        <v>868</v>
      </c>
      <c r="B869" t="s">
        <v>138</v>
      </c>
    </row>
    <row r="870" spans="1:2" x14ac:dyDescent="0.4">
      <c r="A870">
        <v>869</v>
      </c>
      <c r="B870" t="s">
        <v>138</v>
      </c>
    </row>
    <row r="871" spans="1:2" x14ac:dyDescent="0.4">
      <c r="A871">
        <v>870</v>
      </c>
      <c r="B871" t="s">
        <v>138</v>
      </c>
    </row>
    <row r="872" spans="1:2" x14ac:dyDescent="0.4">
      <c r="A872">
        <v>871</v>
      </c>
      <c r="B872" t="s">
        <v>138</v>
      </c>
    </row>
    <row r="873" spans="1:2" x14ac:dyDescent="0.4">
      <c r="A873">
        <v>872</v>
      </c>
      <c r="B873" t="s">
        <v>138</v>
      </c>
    </row>
    <row r="874" spans="1:2" x14ac:dyDescent="0.4">
      <c r="A874">
        <v>873</v>
      </c>
      <c r="B874" t="s">
        <v>138</v>
      </c>
    </row>
    <row r="875" spans="1:2" x14ac:dyDescent="0.4">
      <c r="A875">
        <v>874</v>
      </c>
      <c r="B875" t="s">
        <v>138</v>
      </c>
    </row>
    <row r="876" spans="1:2" x14ac:dyDescent="0.4">
      <c r="A876">
        <v>875</v>
      </c>
      <c r="B876" t="s">
        <v>138</v>
      </c>
    </row>
    <row r="877" spans="1:2" x14ac:dyDescent="0.4">
      <c r="A877">
        <v>876</v>
      </c>
      <c r="B877" t="s">
        <v>138</v>
      </c>
    </row>
    <row r="878" spans="1:2" x14ac:dyDescent="0.4">
      <c r="A878">
        <v>877</v>
      </c>
      <c r="B878" t="s">
        <v>138</v>
      </c>
    </row>
    <row r="879" spans="1:2" x14ac:dyDescent="0.4">
      <c r="A879">
        <v>878</v>
      </c>
      <c r="B879" t="s">
        <v>138</v>
      </c>
    </row>
    <row r="880" spans="1:2" x14ac:dyDescent="0.4">
      <c r="A880">
        <v>879</v>
      </c>
      <c r="B880" t="s">
        <v>848</v>
      </c>
    </row>
    <row r="881" spans="1:2" x14ac:dyDescent="0.4">
      <c r="A881">
        <v>880</v>
      </c>
      <c r="B881" t="s">
        <v>849</v>
      </c>
    </row>
    <row r="882" spans="1:2" x14ac:dyDescent="0.4">
      <c r="A882">
        <v>881</v>
      </c>
      <c r="B882" t="s">
        <v>850</v>
      </c>
    </row>
    <row r="883" spans="1:2" x14ac:dyDescent="0.4">
      <c r="A883">
        <v>882</v>
      </c>
      <c r="B883" t="s">
        <v>851</v>
      </c>
    </row>
    <row r="884" spans="1:2" x14ac:dyDescent="0.4">
      <c r="A884">
        <v>883</v>
      </c>
      <c r="B884" t="s">
        <v>852</v>
      </c>
    </row>
    <row r="885" spans="1:2" x14ac:dyDescent="0.4">
      <c r="A885">
        <v>884</v>
      </c>
      <c r="B885" t="s">
        <v>853</v>
      </c>
    </row>
    <row r="886" spans="1:2" x14ac:dyDescent="0.4">
      <c r="A886">
        <v>885</v>
      </c>
      <c r="B886" t="s">
        <v>138</v>
      </c>
    </row>
    <row r="887" spans="1:2" x14ac:dyDescent="0.4">
      <c r="A887">
        <v>886</v>
      </c>
      <c r="B887" t="s">
        <v>138</v>
      </c>
    </row>
    <row r="888" spans="1:2" x14ac:dyDescent="0.4">
      <c r="A888">
        <v>887</v>
      </c>
      <c r="B888" t="s">
        <v>138</v>
      </c>
    </row>
    <row r="889" spans="1:2" x14ac:dyDescent="0.4">
      <c r="A889">
        <v>888</v>
      </c>
      <c r="B889" t="s">
        <v>138</v>
      </c>
    </row>
    <row r="890" spans="1:2" x14ac:dyDescent="0.4">
      <c r="A890">
        <v>889</v>
      </c>
      <c r="B890" t="s">
        <v>138</v>
      </c>
    </row>
    <row r="891" spans="1:2" x14ac:dyDescent="0.4">
      <c r="A891">
        <v>890</v>
      </c>
      <c r="B891" t="s">
        <v>138</v>
      </c>
    </row>
    <row r="892" spans="1:2" x14ac:dyDescent="0.4">
      <c r="A892">
        <v>891</v>
      </c>
      <c r="B892" t="s">
        <v>138</v>
      </c>
    </row>
    <row r="893" spans="1:2" x14ac:dyDescent="0.4">
      <c r="A893">
        <v>892</v>
      </c>
      <c r="B893" t="s">
        <v>138</v>
      </c>
    </row>
    <row r="894" spans="1:2" x14ac:dyDescent="0.4">
      <c r="A894">
        <v>893</v>
      </c>
      <c r="B894" t="s">
        <v>138</v>
      </c>
    </row>
    <row r="895" spans="1:2" x14ac:dyDescent="0.4">
      <c r="A895">
        <v>894</v>
      </c>
      <c r="B895" t="s">
        <v>138</v>
      </c>
    </row>
    <row r="896" spans="1:2" x14ac:dyDescent="0.4">
      <c r="A896">
        <v>895</v>
      </c>
      <c r="B896" t="s">
        <v>138</v>
      </c>
    </row>
    <row r="897" spans="1:2" x14ac:dyDescent="0.4">
      <c r="A897">
        <v>896</v>
      </c>
      <c r="B897" t="s">
        <v>138</v>
      </c>
    </row>
    <row r="898" spans="1:2" x14ac:dyDescent="0.4">
      <c r="A898">
        <v>897</v>
      </c>
      <c r="B898" t="s">
        <v>138</v>
      </c>
    </row>
    <row r="899" spans="1:2" x14ac:dyDescent="0.4">
      <c r="A899">
        <v>898</v>
      </c>
      <c r="B899" t="s">
        <v>138</v>
      </c>
    </row>
    <row r="900" spans="1:2" x14ac:dyDescent="0.4">
      <c r="A900">
        <v>899</v>
      </c>
      <c r="B900" t="s">
        <v>138</v>
      </c>
    </row>
    <row r="901" spans="1:2" x14ac:dyDescent="0.4">
      <c r="A901">
        <v>900</v>
      </c>
      <c r="B901" t="s">
        <v>138</v>
      </c>
    </row>
    <row r="902" spans="1:2" x14ac:dyDescent="0.4">
      <c r="A902">
        <v>901</v>
      </c>
      <c r="B902" t="s">
        <v>138</v>
      </c>
    </row>
    <row r="903" spans="1:2" x14ac:dyDescent="0.4">
      <c r="A903">
        <v>902</v>
      </c>
      <c r="B903" t="s">
        <v>138</v>
      </c>
    </row>
    <row r="904" spans="1:2" x14ac:dyDescent="0.4">
      <c r="A904">
        <v>903</v>
      </c>
      <c r="B904" t="s">
        <v>138</v>
      </c>
    </row>
    <row r="905" spans="1:2" x14ac:dyDescent="0.4">
      <c r="A905">
        <v>904</v>
      </c>
      <c r="B905" t="s">
        <v>854</v>
      </c>
    </row>
    <row r="906" spans="1:2" x14ac:dyDescent="0.4">
      <c r="A906">
        <v>905</v>
      </c>
      <c r="B906" t="s">
        <v>855</v>
      </c>
    </row>
    <row r="907" spans="1:2" x14ac:dyDescent="0.4">
      <c r="A907">
        <v>906</v>
      </c>
      <c r="B907" t="s">
        <v>856</v>
      </c>
    </row>
    <row r="908" spans="1:2" x14ac:dyDescent="0.4">
      <c r="A908">
        <v>907</v>
      </c>
      <c r="B908" t="s">
        <v>857</v>
      </c>
    </row>
    <row r="909" spans="1:2" x14ac:dyDescent="0.4">
      <c r="A909">
        <v>908</v>
      </c>
      <c r="B909" t="s">
        <v>858</v>
      </c>
    </row>
    <row r="910" spans="1:2" x14ac:dyDescent="0.4">
      <c r="A910">
        <v>909</v>
      </c>
      <c r="B910" t="s">
        <v>859</v>
      </c>
    </row>
    <row r="911" spans="1:2" x14ac:dyDescent="0.4">
      <c r="A911">
        <v>910</v>
      </c>
      <c r="B911" t="s">
        <v>860</v>
      </c>
    </row>
    <row r="912" spans="1:2" x14ac:dyDescent="0.4">
      <c r="A912">
        <v>911</v>
      </c>
      <c r="B912" t="s">
        <v>861</v>
      </c>
    </row>
    <row r="913" spans="1:2" x14ac:dyDescent="0.4">
      <c r="A913">
        <v>912</v>
      </c>
      <c r="B913" t="s">
        <v>862</v>
      </c>
    </row>
    <row r="914" spans="1:2" x14ac:dyDescent="0.4">
      <c r="A914">
        <v>913</v>
      </c>
      <c r="B914" t="s">
        <v>863</v>
      </c>
    </row>
    <row r="915" spans="1:2" x14ac:dyDescent="0.4">
      <c r="A915">
        <v>914</v>
      </c>
      <c r="B915" t="s">
        <v>864</v>
      </c>
    </row>
    <row r="916" spans="1:2" x14ac:dyDescent="0.4">
      <c r="A916">
        <v>915</v>
      </c>
      <c r="B916" t="s">
        <v>865</v>
      </c>
    </row>
    <row r="917" spans="1:2" x14ac:dyDescent="0.4">
      <c r="A917">
        <v>916</v>
      </c>
      <c r="B917" t="s">
        <v>866</v>
      </c>
    </row>
    <row r="918" spans="1:2" x14ac:dyDescent="0.4">
      <c r="A918">
        <v>917</v>
      </c>
      <c r="B918" t="s">
        <v>867</v>
      </c>
    </row>
    <row r="919" spans="1:2" x14ac:dyDescent="0.4">
      <c r="A919">
        <v>918</v>
      </c>
      <c r="B919" t="s">
        <v>868</v>
      </c>
    </row>
    <row r="920" spans="1:2" x14ac:dyDescent="0.4">
      <c r="A920">
        <v>919</v>
      </c>
      <c r="B920" t="s">
        <v>869</v>
      </c>
    </row>
    <row r="921" spans="1:2" x14ac:dyDescent="0.4">
      <c r="A921">
        <v>920</v>
      </c>
      <c r="B921" t="s">
        <v>870</v>
      </c>
    </row>
    <row r="922" spans="1:2" x14ac:dyDescent="0.4">
      <c r="A922">
        <v>921</v>
      </c>
      <c r="B922" t="s">
        <v>871</v>
      </c>
    </row>
    <row r="923" spans="1:2" x14ac:dyDescent="0.4">
      <c r="A923">
        <v>922</v>
      </c>
      <c r="B923" t="s">
        <v>872</v>
      </c>
    </row>
    <row r="924" spans="1:2" x14ac:dyDescent="0.4">
      <c r="A924">
        <v>923</v>
      </c>
      <c r="B924" t="s">
        <v>873</v>
      </c>
    </row>
    <row r="925" spans="1:2" x14ac:dyDescent="0.4">
      <c r="A925">
        <v>924</v>
      </c>
      <c r="B925" t="s">
        <v>874</v>
      </c>
    </row>
    <row r="926" spans="1:2" x14ac:dyDescent="0.4">
      <c r="A926">
        <v>925</v>
      </c>
      <c r="B926" t="s">
        <v>875</v>
      </c>
    </row>
    <row r="927" spans="1:2" x14ac:dyDescent="0.4">
      <c r="A927">
        <v>926</v>
      </c>
      <c r="B927" t="s">
        <v>876</v>
      </c>
    </row>
    <row r="928" spans="1:2" x14ac:dyDescent="0.4">
      <c r="A928">
        <v>927</v>
      </c>
      <c r="B928" t="s">
        <v>871</v>
      </c>
    </row>
    <row r="929" spans="1:2" x14ac:dyDescent="0.4">
      <c r="A929">
        <v>928</v>
      </c>
      <c r="B929" t="s">
        <v>872</v>
      </c>
    </row>
    <row r="930" spans="1:2" x14ac:dyDescent="0.4">
      <c r="A930">
        <v>929</v>
      </c>
      <c r="B930" t="s">
        <v>877</v>
      </c>
    </row>
    <row r="931" spans="1:2" x14ac:dyDescent="0.4">
      <c r="A931">
        <v>930</v>
      </c>
      <c r="B931" t="s">
        <v>878</v>
      </c>
    </row>
    <row r="932" spans="1:2" x14ac:dyDescent="0.4">
      <c r="A932">
        <v>931</v>
      </c>
      <c r="B932" t="s">
        <v>879</v>
      </c>
    </row>
    <row r="933" spans="1:2" x14ac:dyDescent="0.4">
      <c r="A933">
        <v>932</v>
      </c>
      <c r="B933" t="s">
        <v>880</v>
      </c>
    </row>
    <row r="934" spans="1:2" x14ac:dyDescent="0.4">
      <c r="A934">
        <v>933</v>
      </c>
      <c r="B934" t="s">
        <v>881</v>
      </c>
    </row>
    <row r="935" spans="1:2" x14ac:dyDescent="0.4">
      <c r="A935">
        <v>934</v>
      </c>
      <c r="B935" t="s">
        <v>882</v>
      </c>
    </row>
    <row r="936" spans="1:2" x14ac:dyDescent="0.4">
      <c r="A936">
        <v>935</v>
      </c>
      <c r="B936" t="s">
        <v>883</v>
      </c>
    </row>
    <row r="937" spans="1:2" x14ac:dyDescent="0.4">
      <c r="A937">
        <v>936</v>
      </c>
      <c r="B937" t="s">
        <v>884</v>
      </c>
    </row>
    <row r="938" spans="1:2" x14ac:dyDescent="0.4">
      <c r="A938">
        <v>937</v>
      </c>
      <c r="B938" t="s">
        <v>885</v>
      </c>
    </row>
    <row r="939" spans="1:2" x14ac:dyDescent="0.4">
      <c r="A939">
        <v>938</v>
      </c>
      <c r="B939" t="s">
        <v>886</v>
      </c>
    </row>
    <row r="940" spans="1:2" x14ac:dyDescent="0.4">
      <c r="A940">
        <v>939</v>
      </c>
      <c r="B940" t="s">
        <v>887</v>
      </c>
    </row>
    <row r="941" spans="1:2" x14ac:dyDescent="0.4">
      <c r="A941">
        <v>940</v>
      </c>
      <c r="B941" t="s">
        <v>888</v>
      </c>
    </row>
    <row r="942" spans="1:2" x14ac:dyDescent="0.4">
      <c r="A942">
        <v>941</v>
      </c>
      <c r="B942" t="s">
        <v>889</v>
      </c>
    </row>
    <row r="943" spans="1:2" x14ac:dyDescent="0.4">
      <c r="A943">
        <v>942</v>
      </c>
      <c r="B943" t="s">
        <v>890</v>
      </c>
    </row>
    <row r="944" spans="1:2" x14ac:dyDescent="0.4">
      <c r="A944">
        <v>943</v>
      </c>
      <c r="B944" t="s">
        <v>891</v>
      </c>
    </row>
    <row r="945" spans="1:2" x14ac:dyDescent="0.4">
      <c r="A945">
        <v>944</v>
      </c>
      <c r="B945" t="s">
        <v>892</v>
      </c>
    </row>
    <row r="946" spans="1:2" x14ac:dyDescent="0.4">
      <c r="A946">
        <v>945</v>
      </c>
      <c r="B946" t="s">
        <v>891</v>
      </c>
    </row>
    <row r="947" spans="1:2" x14ac:dyDescent="0.4">
      <c r="A947">
        <v>946</v>
      </c>
      <c r="B947" t="s">
        <v>892</v>
      </c>
    </row>
    <row r="948" spans="1:2" x14ac:dyDescent="0.4">
      <c r="A948">
        <v>947</v>
      </c>
      <c r="B948" t="s">
        <v>893</v>
      </c>
    </row>
    <row r="949" spans="1:2" x14ac:dyDescent="0.4">
      <c r="A949">
        <v>948</v>
      </c>
      <c r="B949" t="s">
        <v>894</v>
      </c>
    </row>
    <row r="950" spans="1:2" x14ac:dyDescent="0.4">
      <c r="A950">
        <v>949</v>
      </c>
      <c r="B950" t="s">
        <v>895</v>
      </c>
    </row>
    <row r="951" spans="1:2" x14ac:dyDescent="0.4">
      <c r="A951">
        <v>950</v>
      </c>
      <c r="B951" t="s">
        <v>896</v>
      </c>
    </row>
    <row r="952" spans="1:2" x14ac:dyDescent="0.4">
      <c r="A952">
        <v>951</v>
      </c>
      <c r="B952" t="s">
        <v>897</v>
      </c>
    </row>
    <row r="953" spans="1:2" x14ac:dyDescent="0.4">
      <c r="A953">
        <v>952</v>
      </c>
      <c r="B953" t="s">
        <v>898</v>
      </c>
    </row>
    <row r="954" spans="1:2" x14ac:dyDescent="0.4">
      <c r="A954">
        <v>953</v>
      </c>
      <c r="B954" t="s">
        <v>899</v>
      </c>
    </row>
    <row r="955" spans="1:2" x14ac:dyDescent="0.4">
      <c r="A955">
        <v>954</v>
      </c>
      <c r="B955" t="s">
        <v>900</v>
      </c>
    </row>
    <row r="956" spans="1:2" x14ac:dyDescent="0.4">
      <c r="A956">
        <v>955</v>
      </c>
      <c r="B956" t="s">
        <v>901</v>
      </c>
    </row>
    <row r="957" spans="1:2" x14ac:dyDescent="0.4">
      <c r="A957">
        <v>956</v>
      </c>
      <c r="B957" t="s">
        <v>902</v>
      </c>
    </row>
    <row r="958" spans="1:2" x14ac:dyDescent="0.4">
      <c r="A958">
        <v>957</v>
      </c>
      <c r="B958" t="s">
        <v>903</v>
      </c>
    </row>
    <row r="959" spans="1:2" x14ac:dyDescent="0.4">
      <c r="A959">
        <v>958</v>
      </c>
      <c r="B959" t="s">
        <v>904</v>
      </c>
    </row>
    <row r="960" spans="1:2" x14ac:dyDescent="0.4">
      <c r="A960">
        <v>959</v>
      </c>
      <c r="B960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paste from garc here</vt:lpstr>
      <vt:lpstr>table for research</vt:lpstr>
      <vt:lpstr>jump table &amp; data structure</vt:lpstr>
      <vt:lpstr>Sheet5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Aryeh Baruch</cp:lastModifiedBy>
  <dcterms:created xsi:type="dcterms:W3CDTF">2026-04-06T01:38:53Z</dcterms:created>
  <dcterms:modified xsi:type="dcterms:W3CDTF">2026-04-06T08:54:10Z</dcterms:modified>
</cp:coreProperties>
</file>