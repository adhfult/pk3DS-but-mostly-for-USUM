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C8FD6C13-F71E-4A68-8987-7F3036E19C2A}" xr6:coauthVersionLast="47" xr6:coauthVersionMax="47" xr10:uidLastSave="{00000000-0000-0000-0000-000000000000}"/>
  <bookViews>
    <workbookView xWindow="16449" yWindow="0" windowWidth="16465" windowHeight="17914" xr2:uid="{FFF8744C-F0B4-428F-8CA7-718350CADE02}"/>
  </bookViews>
  <sheets>
    <sheet name="cod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6" l="1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l="1"/>
  <c r="A21" i="6" s="1"/>
  <c r="A22" i="6" s="1"/>
  <c r="A23" i="6" l="1"/>
  <c r="A24" i="6" s="1"/>
  <c r="A25" i="6" s="1"/>
  <c r="A26" i="6" s="1"/>
  <c r="A27" i="6" s="1"/>
  <c r="A28" i="6" s="1"/>
  <c r="A29" i="6" s="1"/>
  <c r="A30" i="6" s="1"/>
  <c r="A31" i="6" s="1"/>
  <c r="A32" i="6" s="1"/>
  <c r="C34" i="6"/>
  <c r="A33" i="6" l="1"/>
  <c r="A34" i="6" s="1"/>
  <c r="A35" i="6" s="1"/>
  <c r="A36" i="6" s="1"/>
  <c r="A37" i="6" s="1"/>
  <c r="A38" i="6" s="1"/>
  <c r="C36" i="6" s="1"/>
  <c r="C25" i="6"/>
  <c r="C21" i="6" l="1"/>
  <c r="C14" i="6"/>
  <c r="C31" i="6" l="1"/>
</calcChain>
</file>

<file path=xl/sharedStrings.xml><?xml version="1.0" encoding="utf-8"?>
<sst xmlns="http://schemas.openxmlformats.org/spreadsheetml/2006/main" count="84" uniqueCount="78">
  <si>
    <t>Address</t>
  </si>
  <si>
    <t>Hex</t>
  </si>
  <si>
    <t>instruction</t>
  </si>
  <si>
    <t>notes</t>
  </si>
  <si>
    <t>bl 0x00092298</t>
  </si>
  <si>
    <t>mov r6, r1</t>
  </si>
  <si>
    <t>mov r10, r2</t>
  </si>
  <si>
    <t>mov r9, r3</t>
  </si>
  <si>
    <t>mov r11, r4</t>
  </si>
  <si>
    <t>mov r5, r9</t>
  </si>
  <si>
    <t>mov r8, r0</t>
  </si>
  <si>
    <t>mov r1, r6</t>
  </si>
  <si>
    <t>mov r0, r10</t>
  </si>
  <si>
    <t>bl 0x00092ABC</t>
  </si>
  <si>
    <t>cmp r0, 0x4</t>
  </si>
  <si>
    <t>orr r1, r0, 0x700</t>
  </si>
  <si>
    <t>mov r2, r5</t>
  </si>
  <si>
    <t>subs r7, r0, 0x0</t>
  </si>
  <si>
    <t>mov r4, 0x0</t>
  </si>
  <si>
    <t>ldrb r1, [r5, r4]</t>
  </si>
  <si>
    <t>cmp r1, r6</t>
  </si>
  <si>
    <t>Check if any other Pokemon has Ability r0, self index r1, base pointer r2, org r3 r3, r4 0x1 is all, 0x0 excludes self</t>
  </si>
  <si>
    <t>mov r1, 0x11</t>
  </si>
  <si>
    <t>bl 0x00092628</t>
  </si>
  <si>
    <t>get pointer</t>
  </si>
  <si>
    <t>get Ability (if not negated)</t>
  </si>
  <si>
    <t>cmp r0, r8</t>
  </si>
  <si>
    <t>return true</t>
  </si>
  <si>
    <t>load next index</t>
  </si>
  <si>
    <t>check if index is self</t>
  </si>
  <si>
    <t>check boolean for including self</t>
  </si>
  <si>
    <t>next loop if self and skipping self</t>
  </si>
  <si>
    <t>check if Ability matches search target</t>
  </si>
  <si>
    <t>add r4, r4, 0x1</t>
  </si>
  <si>
    <t>cmp r4, r7</t>
  </si>
  <si>
    <t>increment iterator</t>
  </si>
  <si>
    <t>check iterator against # Pokemon on field</t>
  </si>
  <si>
    <t>return false</t>
  </si>
  <si>
    <t>mov r0, 0x0</t>
  </si>
  <si>
    <t>push {r5, r6, r7, r8, r9, r10, r11, lr}</t>
  </si>
  <si>
    <t>mov r0, 0x1</t>
  </si>
  <si>
    <t>cmpeq r11, 0x0</t>
  </si>
  <si>
    <t>E04F2DE9</t>
  </si>
  <si>
    <t>0160A0E1</t>
  </si>
  <si>
    <t>02A0A0E1</t>
  </si>
  <si>
    <t>0390A0E1</t>
  </si>
  <si>
    <t>0080A0E1</t>
  </si>
  <si>
    <t>04B0A0E1</t>
  </si>
  <si>
    <t>0950A0E1</t>
  </si>
  <si>
    <t>0610A0E1</t>
  </si>
  <si>
    <t>0A00A0E1</t>
  </si>
  <si>
    <t>040050E3</t>
  </si>
  <si>
    <t>071C80E3</t>
  </si>
  <si>
    <t>0520A0E1</t>
  </si>
  <si>
    <t>007050E2</t>
  </si>
  <si>
    <t>0040A0E3</t>
  </si>
  <si>
    <t>0410D5E7</t>
  </si>
  <si>
    <t>060051E1</t>
  </si>
  <si>
    <t>00005B03</t>
  </si>
  <si>
    <t>0500000A</t>
  </si>
  <si>
    <t>1110A0E3</t>
  </si>
  <si>
    <t>080050E1</t>
  </si>
  <si>
    <t>0400000A</t>
  </si>
  <si>
    <t>014084E2</t>
  </si>
  <si>
    <t>070054E1</t>
  </si>
  <si>
    <t>0000A0E3</t>
  </si>
  <si>
    <t>000000EA</t>
  </si>
  <si>
    <t>0100A0E3</t>
  </si>
  <si>
    <t>E08FBDE8</t>
  </si>
  <si>
    <t>F2FFFF9A</t>
  </si>
  <si>
    <t>0C0000BA</t>
  </si>
  <si>
    <t>bl 0x000604AC</t>
  </si>
  <si>
    <t>00101970</t>
  </si>
  <si>
    <t>4844FEEB</t>
  </si>
  <si>
    <t>1300000A</t>
  </si>
  <si>
    <t>BE7AFDEB</t>
  </si>
  <si>
    <t>3042FEEB</t>
  </si>
  <si>
    <t>1243FEEB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</si>
</sst>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1" fillId="0" borderId="0" xfId="0" applyFont="1"/>
    <xf numFmtId="0" fontId="2" fillId="0" borderId="0" xfId="0" quotePrefix="1" applyFont="1"/>
    <xf numFmtId="0" fontId="2" fillId="5" borderId="0" xfId="0" applyFont="1" applyFill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  <xf numFmtId="0" fontId="2" fillId="9" borderId="0" xfId="0" applyFont="1" applyFill="1"/>
    <xf numFmtId="0" fontId="2" fillId="9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3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.9"/>
  <cols>
    <col min="1" max="1" width="9.140625" style="1"/>
    <col min="2" max="2" width="9.35546875" style="1" bestFit="1" customWidth="1"/>
    <col min="3" max="3" width="43.140625" style="1" bestFit="1" customWidth="1"/>
    <col min="4" max="4" width="45.28515625" style="1" bestFit="1" customWidth="1"/>
    <col min="5" max="7" width="9.140625" style="1"/>
    <col min="8" max="8" width="17.35546875" style="1" customWidth="1"/>
    <col min="9" max="16384" width="9.140625" style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8" t="s">
        <v>21</v>
      </c>
    </row>
    <row r="3" spans="1:4">
      <c r="A3" s="9" t="s">
        <v>72</v>
      </c>
      <c r="B3" s="1" t="s">
        <v>42</v>
      </c>
      <c r="C3" s="1" t="s">
        <v>39</v>
      </c>
    </row>
    <row r="4" spans="1:4">
      <c r="A4" s="10" t="str">
        <f t="shared" ref="A4:A38" si="0">DEC2HEX(HEX2DEC(A3)+4,8)</f>
        <v>00101974</v>
      </c>
      <c r="B4" s="10" t="s">
        <v>43</v>
      </c>
      <c r="C4" s="10" t="s">
        <v>5</v>
      </c>
      <c r="D4" s="10"/>
    </row>
    <row r="5" spans="1:4">
      <c r="A5" s="10" t="str">
        <f t="shared" si="0"/>
        <v>00101978</v>
      </c>
      <c r="B5" s="10" t="s">
        <v>44</v>
      </c>
      <c r="C5" s="10" t="s">
        <v>6</v>
      </c>
      <c r="D5" s="10"/>
    </row>
    <row r="6" spans="1:4">
      <c r="A6" s="10" t="str">
        <f t="shared" si="0"/>
        <v>0010197C</v>
      </c>
      <c r="B6" s="10" t="s">
        <v>45</v>
      </c>
      <c r="C6" s="10" t="s">
        <v>7</v>
      </c>
      <c r="D6" s="10"/>
    </row>
    <row r="7" spans="1:4">
      <c r="A7" s="10" t="str">
        <f t="shared" si="0"/>
        <v>00101980</v>
      </c>
      <c r="B7" s="10" t="s">
        <v>46</v>
      </c>
      <c r="C7" s="10" t="s">
        <v>10</v>
      </c>
      <c r="D7" s="10"/>
    </row>
    <row r="8" spans="1:4">
      <c r="A8" s="10" t="str">
        <f t="shared" si="0"/>
        <v>00101984</v>
      </c>
      <c r="B8" s="10" t="s">
        <v>47</v>
      </c>
      <c r="C8" s="10" t="s">
        <v>8</v>
      </c>
      <c r="D8" s="10"/>
    </row>
    <row r="9" spans="1:4">
      <c r="A9" s="11" t="str">
        <f t="shared" si="0"/>
        <v>00101988</v>
      </c>
      <c r="B9" s="11" t="s">
        <v>48</v>
      </c>
      <c r="C9" s="11" t="s">
        <v>9</v>
      </c>
      <c r="D9" s="11"/>
    </row>
    <row r="10" spans="1:4">
      <c r="A10" s="11" t="str">
        <f t="shared" si="0"/>
        <v>0010198C</v>
      </c>
      <c r="B10" s="12" t="s">
        <v>49</v>
      </c>
      <c r="C10" s="11" t="s">
        <v>11</v>
      </c>
      <c r="D10" s="11"/>
    </row>
    <row r="11" spans="1:4">
      <c r="A11" s="11" t="str">
        <f t="shared" si="0"/>
        <v>00101990</v>
      </c>
      <c r="B11" s="11" t="s">
        <v>50</v>
      </c>
      <c r="C11" s="11" t="s">
        <v>12</v>
      </c>
      <c r="D11" s="11"/>
    </row>
    <row r="12" spans="1:4">
      <c r="A12" s="11" t="str">
        <f t="shared" si="0"/>
        <v>00101994</v>
      </c>
      <c r="B12" s="12" t="s">
        <v>73</v>
      </c>
      <c r="C12" s="11" t="s">
        <v>13</v>
      </c>
      <c r="D12" s="11"/>
    </row>
    <row r="13" spans="1:4">
      <c r="A13" s="11" t="str">
        <f t="shared" si="0"/>
        <v>00101998</v>
      </c>
      <c r="B13" s="12" t="s">
        <v>51</v>
      </c>
      <c r="C13" s="11" t="s">
        <v>14</v>
      </c>
      <c r="D13" s="11"/>
    </row>
    <row r="14" spans="1:4">
      <c r="A14" s="17" t="str">
        <f t="shared" si="0"/>
        <v>0010199C</v>
      </c>
      <c r="B14" s="18" t="s">
        <v>74</v>
      </c>
      <c r="C14" s="17" t="str">
        <f>_xlfn.CONCAT("beq 0x",A35)</f>
        <v>beq 0x001019F0</v>
      </c>
      <c r="D14" s="17" t="s">
        <v>37</v>
      </c>
    </row>
    <row r="15" spans="1:4">
      <c r="A15" s="13" t="str">
        <f t="shared" si="0"/>
        <v>001019A0</v>
      </c>
      <c r="B15" s="14" t="s">
        <v>52</v>
      </c>
      <c r="C15" s="13" t="s">
        <v>15</v>
      </c>
      <c r="D15" s="13"/>
    </row>
    <row r="16" spans="1:4">
      <c r="A16" s="13" t="str">
        <f t="shared" si="0"/>
        <v>001019A4</v>
      </c>
      <c r="B16" s="14" t="s">
        <v>53</v>
      </c>
      <c r="C16" s="13" t="s">
        <v>16</v>
      </c>
      <c r="D16" s="13"/>
    </row>
    <row r="17" spans="1:4">
      <c r="A17" s="13" t="str">
        <f t="shared" si="0"/>
        <v>001019A8</v>
      </c>
      <c r="B17" s="13" t="s">
        <v>50</v>
      </c>
      <c r="C17" s="13" t="s">
        <v>12</v>
      </c>
      <c r="D17" s="13"/>
    </row>
    <row r="18" spans="1:4">
      <c r="A18" s="13" t="str">
        <f t="shared" si="0"/>
        <v>001019AC</v>
      </c>
      <c r="B18" s="13" t="s">
        <v>75</v>
      </c>
      <c r="C18" s="13" t="s">
        <v>71</v>
      </c>
      <c r="D18" s="13"/>
    </row>
    <row r="19" spans="1:4">
      <c r="A19" s="13" t="str">
        <f t="shared" si="0"/>
        <v>001019B0</v>
      </c>
      <c r="B19" s="14" t="s">
        <v>54</v>
      </c>
      <c r="C19" s="13" t="s">
        <v>17</v>
      </c>
      <c r="D19" s="13"/>
    </row>
    <row r="20" spans="1:4">
      <c r="A20" s="13" t="str">
        <f t="shared" si="0"/>
        <v>001019B4</v>
      </c>
      <c r="B20" s="14" t="s">
        <v>55</v>
      </c>
      <c r="C20" s="13" t="s">
        <v>18</v>
      </c>
      <c r="D20" s="13"/>
    </row>
    <row r="21" spans="1:4">
      <c r="A21" s="17" t="str">
        <f t="shared" si="0"/>
        <v>001019B8</v>
      </c>
      <c r="B21" s="18" t="s">
        <v>70</v>
      </c>
      <c r="C21" s="17" t="str">
        <f>_xlfn.CONCAT("blt 0x",A35)</f>
        <v>blt 0x001019F0</v>
      </c>
      <c r="D21" s="17" t="s">
        <v>37</v>
      </c>
    </row>
    <row r="22" spans="1:4">
      <c r="A22" s="2" t="str">
        <f t="shared" si="0"/>
        <v>001019BC</v>
      </c>
      <c r="B22" s="3" t="s">
        <v>56</v>
      </c>
      <c r="C22" s="2" t="s">
        <v>19</v>
      </c>
      <c r="D22" s="2" t="s">
        <v>28</v>
      </c>
    </row>
    <row r="23" spans="1:4">
      <c r="A23" s="4" t="str">
        <f t="shared" si="0"/>
        <v>001019C0</v>
      </c>
      <c r="B23" s="5" t="s">
        <v>57</v>
      </c>
      <c r="C23" s="4" t="s">
        <v>20</v>
      </c>
      <c r="D23" s="4" t="s">
        <v>29</v>
      </c>
    </row>
    <row r="24" spans="1:4">
      <c r="A24" s="4" t="str">
        <f t="shared" si="0"/>
        <v>001019C4</v>
      </c>
      <c r="B24" s="5" t="s">
        <v>58</v>
      </c>
      <c r="C24" s="4" t="s">
        <v>41</v>
      </c>
      <c r="D24" s="4" t="s">
        <v>30</v>
      </c>
    </row>
    <row r="25" spans="1:4">
      <c r="A25" s="4" t="str">
        <f t="shared" si="0"/>
        <v>001019C8</v>
      </c>
      <c r="B25" s="5" t="s">
        <v>59</v>
      </c>
      <c r="C25" s="4" t="str">
        <f>_xlfn.CONCAT("beq 0x",A32)</f>
        <v>beq 0x001019E4</v>
      </c>
      <c r="D25" s="4" t="s">
        <v>31</v>
      </c>
    </row>
    <row r="26" spans="1:4">
      <c r="A26" s="6" t="str">
        <f t="shared" si="0"/>
        <v>001019CC</v>
      </c>
      <c r="B26" s="7" t="s">
        <v>50</v>
      </c>
      <c r="C26" s="6" t="s">
        <v>12</v>
      </c>
      <c r="D26" s="6" t="s">
        <v>24</v>
      </c>
    </row>
    <row r="27" spans="1:4">
      <c r="A27" s="6" t="str">
        <f t="shared" si="0"/>
        <v>001019D0</v>
      </c>
      <c r="B27" s="6" t="s">
        <v>76</v>
      </c>
      <c r="C27" s="6" t="s">
        <v>4</v>
      </c>
      <c r="D27" s="6"/>
    </row>
    <row r="28" spans="1:4">
      <c r="A28" s="6" t="str">
        <f t="shared" si="0"/>
        <v>001019D4</v>
      </c>
      <c r="B28" s="6" t="s">
        <v>60</v>
      </c>
      <c r="C28" s="6" t="s">
        <v>22</v>
      </c>
      <c r="D28" s="6"/>
    </row>
    <row r="29" spans="1:4">
      <c r="A29" s="6" t="str">
        <f t="shared" si="0"/>
        <v>001019D8</v>
      </c>
      <c r="B29" s="6" t="s">
        <v>77</v>
      </c>
      <c r="C29" s="6" t="s">
        <v>23</v>
      </c>
      <c r="D29" s="6" t="s">
        <v>25</v>
      </c>
    </row>
    <row r="30" spans="1:4">
      <c r="A30" s="6" t="str">
        <f t="shared" si="0"/>
        <v>001019DC</v>
      </c>
      <c r="B30" s="7" t="s">
        <v>61</v>
      </c>
      <c r="C30" s="7" t="s">
        <v>26</v>
      </c>
      <c r="D30" s="6" t="s">
        <v>32</v>
      </c>
    </row>
    <row r="31" spans="1:4">
      <c r="A31" s="6" t="str">
        <f t="shared" si="0"/>
        <v>001019E0</v>
      </c>
      <c r="B31" s="6" t="s">
        <v>62</v>
      </c>
      <c r="C31" s="6" t="str">
        <f>_xlfn.CONCAT("beq 0x",A37)</f>
        <v>beq 0x001019F8</v>
      </c>
      <c r="D31" s="6" t="s">
        <v>27</v>
      </c>
    </row>
    <row r="32" spans="1:4">
      <c r="A32" s="15" t="str">
        <f t="shared" si="0"/>
        <v>001019E4</v>
      </c>
      <c r="B32" s="16" t="s">
        <v>63</v>
      </c>
      <c r="C32" s="16" t="s">
        <v>33</v>
      </c>
      <c r="D32" s="15" t="s">
        <v>35</v>
      </c>
    </row>
    <row r="33" spans="1:4">
      <c r="A33" s="15" t="str">
        <f t="shared" si="0"/>
        <v>001019E8</v>
      </c>
      <c r="B33" s="16" t="s">
        <v>64</v>
      </c>
      <c r="C33" s="15" t="s">
        <v>34</v>
      </c>
      <c r="D33" s="15" t="s">
        <v>36</v>
      </c>
    </row>
    <row r="34" spans="1:4">
      <c r="A34" s="15" t="str">
        <f t="shared" si="0"/>
        <v>001019EC</v>
      </c>
      <c r="B34" s="15" t="s">
        <v>69</v>
      </c>
      <c r="C34" s="15" t="str">
        <f>_xlfn.CONCAT("bls 0x",A22)</f>
        <v>bls 0x001019BC</v>
      </c>
      <c r="D34" s="15"/>
    </row>
    <row r="35" spans="1:4">
      <c r="A35" s="17" t="str">
        <f t="shared" si="0"/>
        <v>001019F0</v>
      </c>
      <c r="B35" s="17" t="s">
        <v>65</v>
      </c>
      <c r="C35" s="17" t="s">
        <v>38</v>
      </c>
      <c r="D35" s="17" t="s">
        <v>37</v>
      </c>
    </row>
    <row r="36" spans="1:4">
      <c r="A36" s="17" t="str">
        <f t="shared" si="0"/>
        <v>001019F4</v>
      </c>
      <c r="B36" s="17" t="s">
        <v>66</v>
      </c>
      <c r="C36" s="17" t="str">
        <f>_xlfn.CONCAT("b 0x",A38)</f>
        <v>b 0x001019FC</v>
      </c>
      <c r="D36" s="17"/>
    </row>
    <row r="37" spans="1:4">
      <c r="A37" s="1" t="str">
        <f>DEC2HEX(HEX2DEC(A36)+4,8)</f>
        <v>001019F8</v>
      </c>
      <c r="B37" s="1" t="s">
        <v>67</v>
      </c>
      <c r="C37" s="1" t="s">
        <v>40</v>
      </c>
    </row>
    <row r="38" spans="1:4">
      <c r="A38" s="1" t="str">
        <f t="shared" si="0"/>
        <v>001019FC</v>
      </c>
      <c r="B38" s="1" t="s">
        <v>68</v>
      </c>
      <c r="C38" s="1" t="str">
        <f>SUBSTITUTE(SUBSTITUTE(C3,"push","pop"),"lr","pc")</f>
        <v>pop {r5, r6, r7, r8, r9, r10, r11,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2026-06-03T01:21:49Z</dcterms:modified>
</cp:coreProperties>
</file>