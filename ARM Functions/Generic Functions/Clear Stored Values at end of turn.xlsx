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13CE1270-5063-479B-8FEE-251F0977A561}" xr6:coauthVersionLast="47" xr6:coauthVersionMax="47" xr10:uidLastSave="{00000000-0000-0000-0000-000000000000}"/>
  <bookViews>
    <workbookView xWindow="-33017" yWindow="-103" windowWidth="33120" windowHeight="18120" xr2:uid="{B799EF1B-5053-4CCB-86FD-9DE61DA537F2}"/>
  </bookViews>
  <sheets>
    <sheet name="Add Defensive 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1" l="1"/>
  <c r="A36" i="1" s="1"/>
  <c r="A37" i="1" s="1"/>
  <c r="A38" i="1" s="1"/>
  <c r="A34" i="1"/>
  <c r="A7" i="1" l="1"/>
  <c r="A8" i="1" s="1"/>
  <c r="A9" i="1" s="1"/>
  <c r="A10" i="1" s="1"/>
  <c r="A11" i="1" s="1"/>
  <c r="C10" i="1"/>
  <c r="C3" i="1"/>
  <c r="C27" i="1" l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l="1"/>
  <c r="C7" i="1" s="1"/>
  <c r="C20" i="1"/>
  <c r="C16" i="1"/>
  <c r="C25" i="1"/>
</calcChain>
</file>

<file path=xl/sharedStrings.xml><?xml version="1.0" encoding="utf-8"?>
<sst xmlns="http://schemas.openxmlformats.org/spreadsheetml/2006/main" count="71" uniqueCount="67">
  <si>
    <t>020000EA</t>
  </si>
  <si>
    <t>notes</t>
  </si>
  <si>
    <t>instruction</t>
  </si>
  <si>
    <t>Hex</t>
  </si>
  <si>
    <t>Address</t>
  </si>
  <si>
    <t>Branch from end-of-turn switch statement to clear values</t>
  </si>
  <si>
    <t>00016B98</t>
  </si>
  <si>
    <t>original mov r4, r0</t>
  </si>
  <si>
    <t>add r1, r1, 0x4</t>
  </si>
  <si>
    <t>Table 1</t>
  </si>
  <si>
    <t>ldr r1, [r0]</t>
  </si>
  <si>
    <t>get size of thing to clear</t>
  </si>
  <si>
    <t>mov r3, 0x0</t>
  </si>
  <si>
    <t>cmp r2, 0x4</t>
  </si>
  <si>
    <t>clear the word</t>
  </si>
  <si>
    <t>if size &gt;= 4,</t>
  </si>
  <si>
    <t>then subtract the 4 bytes from what's left</t>
  </si>
  <si>
    <t>and increment the offset by 4</t>
  </si>
  <si>
    <t>otherwise only clear a byte</t>
  </si>
  <si>
    <t>strb r3, [r1]</t>
  </si>
  <si>
    <t>sub r2, r2, 0x4</t>
  </si>
  <si>
    <t>add r1, r1, 0x1</t>
  </si>
  <si>
    <t>sub r2, r2, 0x1</t>
  </si>
  <si>
    <t>str r3, [r1]</t>
  </si>
  <si>
    <t>Size 1</t>
  </si>
  <si>
    <t>cmp r2, 0x0</t>
  </si>
  <si>
    <t>cmp r1, 0x0</t>
  </si>
  <si>
    <t>if loaded terminator 0 block</t>
  </si>
  <si>
    <t>return</t>
  </si>
  <si>
    <t>push {r0, r1, r3, lr}</t>
  </si>
  <si>
    <t>mov r4, r0</t>
  </si>
  <si>
    <t>bx lr</t>
  </si>
  <si>
    <t>check if finished everything in this space</t>
  </si>
  <si>
    <t>if not, continue</t>
  </si>
  <si>
    <t>00000000</t>
  </si>
  <si>
    <t>Table of alterations to final Type Effectiveness</t>
  </si>
  <si>
    <t>Offset of table of tables</t>
  </si>
  <si>
    <t>r0 points to start of table of tables to clear</t>
  </si>
  <si>
    <t>load start of next table to clear</t>
  </si>
  <si>
    <t>Clear temp data at end of turn</t>
  </si>
  <si>
    <t>00102ABC</t>
  </si>
  <si>
    <t>0B402DE9</t>
  </si>
  <si>
    <t>4C009FE5</t>
  </si>
  <si>
    <t>001090E5</t>
  </si>
  <si>
    <t>000051E3</t>
  </si>
  <si>
    <t>0B40BDE8</t>
  </si>
  <si>
    <t>0040A0E1</t>
  </si>
  <si>
    <t>1EFF2FE1</t>
  </si>
  <si>
    <t>0030A0E3</t>
  </si>
  <si>
    <t>040052E3</t>
  </si>
  <si>
    <t>0300003A</t>
  </si>
  <si>
    <t>003081E5</t>
  </si>
  <si>
    <t>042042E2</t>
  </si>
  <si>
    <t>041081E2</t>
  </si>
  <si>
    <t>0030C1E5</t>
  </si>
  <si>
    <t>012042E2</t>
  </si>
  <si>
    <t>011081E2</t>
  </si>
  <si>
    <t>000052E3</t>
  </si>
  <si>
    <t>F4FFFF8A</t>
  </si>
  <si>
    <t>EBFFFFEA</t>
  </si>
  <si>
    <t>ldrh r2, [r0, 0x4]</t>
  </si>
  <si>
    <t>add r0, r0, 0x6</t>
  </si>
  <si>
    <t>otherwise add 6 to r0 and check next</t>
  </si>
  <si>
    <t>C7AF03EB</t>
  </si>
  <si>
    <t>B420D0E1</t>
  </si>
  <si>
    <t>060080E2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</si>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</sst>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quotePrefix="1" applyFont="1"/>
    <xf numFmtId="0" fontId="2" fillId="0" borderId="0" xfId="0" quotePrefix="1" applyFont="1"/>
    <xf numFmtId="11" fontId="2" fillId="0" borderId="0" xfId="0" quotePrefix="1" applyNumberFormat="1" applyFont="1"/>
    <xf numFmtId="0" fontId="1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6" borderId="0" xfId="0" applyFont="1" applyFill="1"/>
    <xf numFmtId="0" fontId="2" fillId="6" borderId="0" xfId="0" quotePrefix="1" applyFont="1" applyFill="1"/>
    <xf numFmtId="0" fontId="2" fillId="3" borderId="0" xfId="0" quotePrefix="1" applyFont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B432-E39A-4DC1-BC73-6DF61E7E1BED}">
  <dimension ref="A1:D38"/>
  <sheetViews>
    <sheetView tabSelected="1" zoomScaleNormal="100" workbookViewId="0">
      <pane ySplit="1" topLeftCell="A2" activePane="bottomLeft" state="frozen"/>
      <selection pane="bottomLeft" activeCell="B11" sqref="B11"/>
    </sheetView>
  </sheetViews>
  <sheetFormatPr defaultRowHeight="15.9"/>
  <cols>
    <col min="1" max="1" width="10.0703125" style="1" customWidth="1"/>
    <col min="2" max="2" width="9.35546875" style="1" bestFit="1" customWidth="1"/>
    <col min="3" max="3" width="43.140625" style="1" bestFit="1" customWidth="1"/>
    <col min="4" max="4" width="52.92578125" style="1" bestFit="1" customWidth="1"/>
    <col min="5" max="5" width="9.140625" style="1"/>
    <col min="6" max="6" width="8.85546875" style="1" bestFit="1" customWidth="1"/>
    <col min="7" max="7" width="2.92578125" style="1" bestFit="1" customWidth="1"/>
    <col min="8" max="8" width="13.85546875" style="1" bestFit="1" customWidth="1"/>
    <col min="9" max="9" width="14.5703125" style="1" bestFit="1" customWidth="1"/>
    <col min="10" max="16384" width="9.140625" style="1"/>
  </cols>
  <sheetData>
    <row r="1" spans="1:4">
      <c r="A1" s="2" t="s">
        <v>4</v>
      </c>
      <c r="B1" s="2" t="s">
        <v>3</v>
      </c>
      <c r="C1" s="2" t="s">
        <v>2</v>
      </c>
      <c r="D1" s="2" t="s">
        <v>1</v>
      </c>
    </row>
    <row r="2" spans="1:4">
      <c r="A2" s="2" t="s">
        <v>5</v>
      </c>
      <c r="B2" s="3"/>
      <c r="C2" s="3"/>
    </row>
    <row r="3" spans="1:4">
      <c r="A3" s="4" t="s">
        <v>6</v>
      </c>
      <c r="B3" s="1" t="s">
        <v>63</v>
      </c>
      <c r="C3" s="1" t="str">
        <f>_xlfn.CONCAT("bl 0x",A6)</f>
        <v>bl 0x00102ABC</v>
      </c>
      <c r="D3" s="1" t="s">
        <v>7</v>
      </c>
    </row>
    <row r="4" spans="1:4">
      <c r="A4" s="4"/>
    </row>
    <row r="5" spans="1:4">
      <c r="A5" s="6" t="s">
        <v>39</v>
      </c>
    </row>
    <row r="6" spans="1:4">
      <c r="A6" s="1" t="s">
        <v>40</v>
      </c>
      <c r="B6" s="1" t="s">
        <v>41</v>
      </c>
      <c r="C6" s="1" t="s">
        <v>29</v>
      </c>
    </row>
    <row r="7" spans="1:4">
      <c r="A7" s="11" t="str">
        <f t="shared" ref="A7:A28" si="0">DEC2HEX(HEX2DEC(A6)+4,8)</f>
        <v>00102AC0</v>
      </c>
      <c r="B7" s="11" t="s">
        <v>42</v>
      </c>
      <c r="C7" s="11" t="str">
        <f>_xlfn.CONCAT("ldr r0, [pc, 0x",DEC2HEX(HEX2DEC(A$28)-HEX2DEC(A7)-8), "]")</f>
        <v>ldr r0, [pc, 0x4C]</v>
      </c>
      <c r="D7" s="11" t="s">
        <v>37</v>
      </c>
    </row>
    <row r="8" spans="1:4">
      <c r="A8" s="9" t="str">
        <f>DEC2HEX(HEX2DEC(A7)+4,8)</f>
        <v>00102AC4</v>
      </c>
      <c r="B8" s="10" t="s">
        <v>43</v>
      </c>
      <c r="C8" s="9" t="s">
        <v>10</v>
      </c>
      <c r="D8" s="9" t="s">
        <v>38</v>
      </c>
    </row>
    <row r="9" spans="1:4">
      <c r="A9" s="12" t="str">
        <f t="shared" si="0"/>
        <v>00102AC8</v>
      </c>
      <c r="B9" s="13" t="s">
        <v>44</v>
      </c>
      <c r="C9" s="12" t="s">
        <v>26</v>
      </c>
      <c r="D9" s="12" t="s">
        <v>27</v>
      </c>
    </row>
    <row r="10" spans="1:4">
      <c r="A10" s="12" t="str">
        <f t="shared" si="0"/>
        <v>00102ACC</v>
      </c>
      <c r="B10" s="12" t="s">
        <v>45</v>
      </c>
      <c r="C10" s="12" t="str">
        <f>SUBSTITUTE(C6,"push","pop")</f>
        <v>pop {r0, r1, r3, lr}</v>
      </c>
      <c r="D10" s="12"/>
    </row>
    <row r="11" spans="1:4">
      <c r="A11" s="12" t="str">
        <f t="shared" si="0"/>
        <v>00102AD0</v>
      </c>
      <c r="B11" s="12" t="s">
        <v>46</v>
      </c>
      <c r="C11" s="12" t="s">
        <v>30</v>
      </c>
      <c r="D11" s="12"/>
    </row>
    <row r="12" spans="1:4">
      <c r="A12" s="12" t="str">
        <f t="shared" si="0"/>
        <v>00102AD4</v>
      </c>
      <c r="B12" s="12" t="s">
        <v>47</v>
      </c>
      <c r="C12" s="12" t="s">
        <v>31</v>
      </c>
      <c r="D12" s="12" t="s">
        <v>28</v>
      </c>
    </row>
    <row r="13" spans="1:4">
      <c r="A13" s="9" t="str">
        <f t="shared" si="0"/>
        <v>00102AD8</v>
      </c>
      <c r="B13" s="10" t="s">
        <v>64</v>
      </c>
      <c r="C13" s="9" t="s">
        <v>60</v>
      </c>
      <c r="D13" s="9" t="s">
        <v>11</v>
      </c>
    </row>
    <row r="14" spans="1:4">
      <c r="A14" s="9" t="str">
        <f t="shared" si="0"/>
        <v>00102ADC</v>
      </c>
      <c r="B14" s="10" t="s">
        <v>48</v>
      </c>
      <c r="C14" s="9" t="s">
        <v>12</v>
      </c>
      <c r="D14" s="9"/>
    </row>
    <row r="15" spans="1:4">
      <c r="A15" s="8" t="str">
        <f t="shared" si="0"/>
        <v>00102AE0</v>
      </c>
      <c r="B15" s="14" t="s">
        <v>49</v>
      </c>
      <c r="C15" s="8" t="s">
        <v>13</v>
      </c>
      <c r="D15" s="8" t="s">
        <v>15</v>
      </c>
    </row>
    <row r="16" spans="1:4">
      <c r="A16" s="7" t="str">
        <f t="shared" si="0"/>
        <v>00102AE4</v>
      </c>
      <c r="B16" s="7" t="s">
        <v>50</v>
      </c>
      <c r="C16" s="7" t="str">
        <f>_xlfn.CONCAT("blo 0x",A21)</f>
        <v>blo 0x00102AF8</v>
      </c>
      <c r="D16" s="7"/>
    </row>
    <row r="17" spans="1:4">
      <c r="A17" s="8" t="str">
        <f t="shared" si="0"/>
        <v>00102AE8</v>
      </c>
      <c r="B17" s="14" t="s">
        <v>51</v>
      </c>
      <c r="C17" s="8" t="s">
        <v>23</v>
      </c>
      <c r="D17" s="8" t="s">
        <v>14</v>
      </c>
    </row>
    <row r="18" spans="1:4">
      <c r="A18" s="8" t="str">
        <f t="shared" si="0"/>
        <v>00102AEC</v>
      </c>
      <c r="B18" s="14" t="s">
        <v>52</v>
      </c>
      <c r="C18" s="8" t="s">
        <v>20</v>
      </c>
      <c r="D18" s="8" t="s">
        <v>16</v>
      </c>
    </row>
    <row r="19" spans="1:4">
      <c r="A19" s="8" t="str">
        <f t="shared" si="0"/>
        <v>00102AF0</v>
      </c>
      <c r="B19" s="14" t="s">
        <v>53</v>
      </c>
      <c r="C19" s="8" t="s">
        <v>8</v>
      </c>
      <c r="D19" s="8" t="s">
        <v>17</v>
      </c>
    </row>
    <row r="20" spans="1:4">
      <c r="A20" s="8" t="str">
        <f t="shared" si="0"/>
        <v>00102AF4</v>
      </c>
      <c r="B20" s="8" t="s">
        <v>0</v>
      </c>
      <c r="C20" s="8" t="str">
        <f>_xlfn.CONCAT("b 0x",A24)</f>
        <v>b 0x00102B04</v>
      </c>
      <c r="D20" s="8"/>
    </row>
    <row r="21" spans="1:4">
      <c r="A21" s="7" t="str">
        <f t="shared" si="0"/>
        <v>00102AF8</v>
      </c>
      <c r="B21" s="7" t="s">
        <v>54</v>
      </c>
      <c r="C21" s="7" t="s">
        <v>19</v>
      </c>
      <c r="D21" s="7" t="s">
        <v>18</v>
      </c>
    </row>
    <row r="22" spans="1:4">
      <c r="A22" s="7" t="str">
        <f t="shared" si="0"/>
        <v>00102AFC</v>
      </c>
      <c r="B22" s="15" t="s">
        <v>55</v>
      </c>
      <c r="C22" s="7" t="s">
        <v>22</v>
      </c>
      <c r="D22" s="7"/>
    </row>
    <row r="23" spans="1:4">
      <c r="A23" s="7" t="str">
        <f t="shared" si="0"/>
        <v>00102B00</v>
      </c>
      <c r="B23" s="15" t="s">
        <v>56</v>
      </c>
      <c r="C23" s="7" t="s">
        <v>21</v>
      </c>
      <c r="D23" s="7"/>
    </row>
    <row r="24" spans="1:4">
      <c r="A24" s="1" t="str">
        <f t="shared" si="0"/>
        <v>00102B04</v>
      </c>
      <c r="B24" s="5" t="s">
        <v>57</v>
      </c>
      <c r="C24" s="1" t="s">
        <v>25</v>
      </c>
      <c r="D24" s="1" t="s">
        <v>32</v>
      </c>
    </row>
    <row r="25" spans="1:4">
      <c r="A25" s="1" t="str">
        <f t="shared" si="0"/>
        <v>00102B08</v>
      </c>
      <c r="B25" s="5" t="s">
        <v>58</v>
      </c>
      <c r="C25" s="1" t="str">
        <f>_xlfn.CONCAT("bhi 0x",A15)</f>
        <v>bhi 0x00102AE0</v>
      </c>
      <c r="D25" s="1" t="s">
        <v>33</v>
      </c>
    </row>
    <row r="26" spans="1:4">
      <c r="A26" s="1" t="str">
        <f t="shared" si="0"/>
        <v>00102B0C</v>
      </c>
      <c r="B26" s="5" t="s">
        <v>65</v>
      </c>
      <c r="C26" s="1" t="s">
        <v>61</v>
      </c>
      <c r="D26" s="1" t="s">
        <v>62</v>
      </c>
    </row>
    <row r="27" spans="1:4">
      <c r="A27" s="1" t="str">
        <f t="shared" si="0"/>
        <v>00102B10</v>
      </c>
      <c r="B27" s="5" t="s">
        <v>59</v>
      </c>
      <c r="C27" s="1" t="str">
        <f>_xlfn.CONCAT("b 0x",A8)</f>
        <v>b 0x00102AC4</v>
      </c>
    </row>
    <row r="28" spans="1:4">
      <c r="A28" s="1" t="str">
        <f t="shared" si="0"/>
        <v>00102B14</v>
      </c>
      <c r="B28" s="5" t="s">
        <v>34</v>
      </c>
      <c r="C28" s="1" t="s">
        <v>36</v>
      </c>
    </row>
    <row r="29" spans="1:4">
      <c r="B29" s="5"/>
    </row>
    <row r="30" spans="1:4">
      <c r="B30" s="5"/>
    </row>
    <row r="31" spans="1:4">
      <c r="B31" s="5"/>
    </row>
    <row r="32" spans="1:4">
      <c r="B32" s="5"/>
    </row>
    <row r="33" spans="1:4">
      <c r="A33" s="1">
        <v>0</v>
      </c>
      <c r="B33" s="4" t="s">
        <v>34</v>
      </c>
      <c r="C33" s="1" t="s">
        <v>9</v>
      </c>
      <c r="D33" s="1" t="s">
        <v>35</v>
      </c>
    </row>
    <row r="34" spans="1:4">
      <c r="A34" s="1" t="str">
        <f>DEC2HEX(HEX2DEC(A33)+LEN(B33)/2,8)</f>
        <v>00000004</v>
      </c>
      <c r="B34" s="1">
        <v>6003</v>
      </c>
      <c r="C34" s="1" t="s">
        <v>24</v>
      </c>
    </row>
    <row r="35" spans="1:4">
      <c r="A35" s="1" t="str">
        <f t="shared" ref="A35:A38" si="1">DEC2HEX(HEX2DEC(A34)+LEN(B34)/2,8)</f>
        <v>00000006</v>
      </c>
      <c r="B35" s="4" t="s">
        <v>34</v>
      </c>
    </row>
    <row r="36" spans="1:4">
      <c r="A36" s="1" t="str">
        <f t="shared" si="1"/>
        <v>0000000A</v>
      </c>
      <c r="B36" s="4" t="s">
        <v>66</v>
      </c>
    </row>
    <row r="37" spans="1:4">
      <c r="A37" s="1" t="str">
        <f t="shared" si="1"/>
        <v>0000000C</v>
      </c>
      <c r="B37" s="4" t="s">
        <v>34</v>
      </c>
    </row>
    <row r="38" spans="1:4">
      <c r="A38" s="1" t="str">
        <f t="shared" si="1"/>
        <v>00000010</v>
      </c>
      <c r="B38" s="4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Defensive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2025-08-01T05:19:20Z</dcterms:created>
  <dcterms:modified xsi:type="dcterms:W3CDTF">2026-05-17T06:12:01Z</dcterms:modified>
</cp:coreProperties>
</file>