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Generic Functions\"/>
    </mc:Choice>
  </mc:AlternateContent>
  <xr:revisionPtr revIDLastSave="0" documentId="13_ncr:1_{A68144BA-728B-440E-91FE-2699120E7A41}" xr6:coauthVersionLast="47" xr6:coauthVersionMax="47" xr10:uidLastSave="{00000000-0000-0000-0000-000000000000}"/>
  <bookViews>
    <workbookView xWindow="-16457" yWindow="0" windowWidth="16457" windowHeight="17914" xr2:uid="{FFF8744C-F0B4-428F-8CA7-718350CADE02}"/>
  </bookViews>
  <sheets>
    <sheet name="Edited main" sheetId="6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C11" i="6"/>
  <c r="C16" i="6" s="1"/>
  <c r="C10" i="6" l="1"/>
</calcChain>
</file>

<file path=xl/sharedStrings.xml><?xml version="1.0" encoding="utf-8"?>
<sst xmlns="http://schemas.openxmlformats.org/spreadsheetml/2006/main" count="34" uniqueCount="30">
  <si>
    <t>Address</t>
  </si>
  <si>
    <t>Hex</t>
  </si>
  <si>
    <t>instruction</t>
  </si>
  <si>
    <t>notes</t>
  </si>
  <si>
    <t>bl 0x00092298</t>
  </si>
  <si>
    <t>0100A0E1</t>
  </si>
  <si>
    <t>mov r0, r1</t>
  </si>
  <si>
    <t>Get pointer to self</t>
  </si>
  <si>
    <t>0210A0E1</t>
  </si>
  <si>
    <t>mov r1, r2</t>
  </si>
  <si>
    <t>bl 0x000D6F98</t>
  </si>
  <si>
    <t>010050E3</t>
  </si>
  <si>
    <t>cmp r0, 0x1</t>
  </si>
  <si>
    <t>0420A0E1</t>
  </si>
  <si>
    <t>mov r2, r4</t>
  </si>
  <si>
    <t>check mega/ultra/primal</t>
  </si>
  <si>
    <t>0400001A</t>
  </si>
  <si>
    <t>b 0x00082CD8</t>
  </si>
  <si>
    <t>Immune to Type r0 if Mega/Ultra/Primal 0x3A</t>
  </si>
  <si>
    <t>mov r4, r0</t>
  </si>
  <si>
    <t>push {r1, r2, lr}</t>
  </si>
  <si>
    <t>Pass Type</t>
  </si>
  <si>
    <t>00102910</t>
  </si>
  <si>
    <t>06402DE9</t>
  </si>
  <si>
    <t>0040A0E1</t>
  </si>
  <si>
    <t>5C3EFEEB</t>
  </si>
  <si>
    <t>9B51FFEB</t>
  </si>
  <si>
    <t>0640BDE8</t>
  </si>
  <si>
    <t>E400FEEA</t>
  </si>
  <si>
    <t>0680BDE8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</si>
</sst>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D16"/>
  <sheetViews>
    <sheetView tabSelected="1" zoomScaleNormal="100" workbookViewId="0">
      <pane ySplit="1" topLeftCell="A2" activePane="bottomLeft" state="frozen"/>
      <selection pane="bottomLeft" activeCell="E3" sqref="E3"/>
    </sheetView>
  </sheetViews>
  <sheetFormatPr defaultRowHeight="15.9"/>
  <cols>
    <col min="1" max="1" width="9.140625" style="2"/>
    <col min="2" max="2" width="9.35546875" style="2" bestFit="1" customWidth="1"/>
    <col min="3" max="3" width="23.5" style="2" bestFit="1" customWidth="1"/>
    <col min="4" max="4" width="51.855468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18</v>
      </c>
    </row>
    <row r="3" spans="1:4">
      <c r="A3" s="3" t="s">
        <v>22</v>
      </c>
      <c r="B3" s="2" t="s">
        <v>23</v>
      </c>
      <c r="C3" s="2" t="s">
        <v>20</v>
      </c>
    </row>
    <row r="4" spans="1:4">
      <c r="A4" s="3" t="str">
        <f t="shared" ref="A4:A16" si="0">DEC2HEX(HEX2DEC(A3)+4,8)</f>
        <v>00102914</v>
      </c>
      <c r="B4" s="2" t="s">
        <v>24</v>
      </c>
      <c r="C4" s="2" t="s">
        <v>19</v>
      </c>
    </row>
    <row r="5" spans="1:4">
      <c r="A5" s="4" t="str">
        <f t="shared" si="0"/>
        <v>00102918</v>
      </c>
      <c r="B5" s="4" t="s">
        <v>5</v>
      </c>
      <c r="C5" s="4" t="s">
        <v>6</v>
      </c>
      <c r="D5" s="4" t="s">
        <v>7</v>
      </c>
    </row>
    <row r="6" spans="1:4">
      <c r="A6" s="4" t="str">
        <f t="shared" si="0"/>
        <v>0010291C</v>
      </c>
      <c r="B6" s="4" t="s">
        <v>8</v>
      </c>
      <c r="C6" s="4" t="s">
        <v>9</v>
      </c>
      <c r="D6" s="4"/>
    </row>
    <row r="7" spans="1:4">
      <c r="A7" s="4" t="str">
        <f t="shared" si="0"/>
        <v>00102920</v>
      </c>
      <c r="B7" s="5" t="s">
        <v>25</v>
      </c>
      <c r="C7" s="4" t="s">
        <v>4</v>
      </c>
      <c r="D7" s="4"/>
    </row>
    <row r="8" spans="1:4">
      <c r="A8" s="6" t="str">
        <f t="shared" si="0"/>
        <v>00102924</v>
      </c>
      <c r="B8" s="6" t="s">
        <v>26</v>
      </c>
      <c r="C8" s="6" t="s">
        <v>10</v>
      </c>
      <c r="D8" s="6" t="s">
        <v>15</v>
      </c>
    </row>
    <row r="9" spans="1:4">
      <c r="A9" s="6" t="str">
        <f t="shared" si="0"/>
        <v>00102928</v>
      </c>
      <c r="B9" s="7" t="s">
        <v>11</v>
      </c>
      <c r="C9" s="6" t="s">
        <v>12</v>
      </c>
      <c r="D9" s="6"/>
    </row>
    <row r="10" spans="1:4">
      <c r="A10" s="6" t="str">
        <f t="shared" si="0"/>
        <v>0010292C</v>
      </c>
      <c r="B10" s="7" t="s">
        <v>16</v>
      </c>
      <c r="C10" s="6" t="str">
        <f>_xlfn.CONCAT("bne 0x",A16)</f>
        <v>bne 0x00102944</v>
      </c>
      <c r="D10" s="6"/>
    </row>
    <row r="11" spans="1:4">
      <c r="A11" s="2" t="str">
        <f t="shared" si="0"/>
        <v>00102930</v>
      </c>
      <c r="B11" s="3" t="s">
        <v>27</v>
      </c>
      <c r="C11" s="2" t="str">
        <f>SUBSTITUTE(C3,"push","pop")</f>
        <v>pop {r1, r2, lr}</v>
      </c>
    </row>
    <row r="12" spans="1:4">
      <c r="A12" s="2" t="str">
        <f t="shared" si="0"/>
        <v>00102934</v>
      </c>
      <c r="B12" s="2" t="s">
        <v>5</v>
      </c>
      <c r="C12" s="2" t="s">
        <v>6</v>
      </c>
    </row>
    <row r="13" spans="1:4">
      <c r="A13" s="2" t="str">
        <f t="shared" si="0"/>
        <v>00102938</v>
      </c>
      <c r="B13" s="2" t="s">
        <v>8</v>
      </c>
      <c r="C13" s="2" t="s">
        <v>9</v>
      </c>
    </row>
    <row r="14" spans="1:4">
      <c r="A14" s="2" t="str">
        <f t="shared" si="0"/>
        <v>0010293C</v>
      </c>
      <c r="B14" s="2" t="s">
        <v>13</v>
      </c>
      <c r="C14" s="2" t="s">
        <v>14</v>
      </c>
      <c r="D14" s="2" t="s">
        <v>21</v>
      </c>
    </row>
    <row r="15" spans="1:4">
      <c r="A15" s="2" t="str">
        <f t="shared" si="0"/>
        <v>00102940</v>
      </c>
      <c r="B15" s="2" t="s">
        <v>28</v>
      </c>
      <c r="C15" s="2" t="s">
        <v>17</v>
      </c>
    </row>
    <row r="16" spans="1:4">
      <c r="A16" s="2" t="str">
        <f t="shared" si="0"/>
        <v>00102944</v>
      </c>
      <c r="B16" s="2" t="s">
        <v>29</v>
      </c>
      <c r="C16" s="2" t="str">
        <f>SUBSTITUTE(C11,"lr","pc")</f>
        <v>pop {r1, r2, pc}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Edited 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2026-05-21T02:10:59Z</dcterms:modified>
</cp:coreProperties>
</file>