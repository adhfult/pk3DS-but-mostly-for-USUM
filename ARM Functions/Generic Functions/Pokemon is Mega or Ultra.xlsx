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ropbox\ROM\3ds\USUM ARM research\Generic Functions\"/>
    </mc:Choice>
  </mc:AlternateContent>
  <xr:revisionPtr revIDLastSave="0" documentId="13_ncr:1_{61FF3C07-09C7-4DB4-AE24-55663A893A71}" xr6:coauthVersionLast="47" xr6:coauthVersionMax="47" xr10:uidLastSave="{00000000-0000-0000-0000-000000000000}"/>
  <bookViews>
    <workbookView xWindow="-103" yWindow="-103" windowWidth="33120" windowHeight="18120" xr2:uid="{EC1A2786-B17C-416B-8893-253177D3BEF4}"/>
  </bookViews>
  <sheets>
    <sheet name="code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1" l="1"/>
  <c r="A41" i="1"/>
  <c r="B48" i="1" l="1"/>
  <c r="B47" i="1"/>
  <c r="B46" i="1"/>
  <c r="B45" i="1"/>
  <c r="B44" i="1"/>
  <c r="A45" i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C40" i="1"/>
  <c r="C9" i="1"/>
  <c r="A21" i="1"/>
  <c r="A22" i="1" s="1"/>
  <c r="A23" i="1" s="1"/>
  <c r="A24" i="1" s="1"/>
  <c r="A25" i="1" s="1"/>
  <c r="A26" i="1" s="1"/>
  <c r="A27" i="1" s="1"/>
  <c r="A28" i="1" s="1"/>
  <c r="C38" i="1" s="1"/>
  <c r="A29" i="1" l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C17" i="1"/>
  <c r="C30" i="1" l="1"/>
  <c r="C36" i="1"/>
  <c r="C24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C15" i="1" l="1"/>
  <c r="C11" i="1"/>
  <c r="C7" i="1"/>
  <c r="A94" i="1"/>
  <c r="A95" i="1" l="1"/>
  <c r="A96" i="1" s="1"/>
  <c r="A97" i="1" s="1"/>
  <c r="A98" i="1" s="1"/>
  <c r="A99" i="1" s="1"/>
  <c r="A100" i="1" s="1"/>
</calcChain>
</file>

<file path=xl/sharedStrings.xml><?xml version="1.0" encoding="utf-8"?>
<sst xmlns="http://schemas.openxmlformats.org/spreadsheetml/2006/main" count="94" uniqueCount="81">
  <si>
    <t>notes</t>
  </si>
  <si>
    <t>instruction</t>
  </si>
  <si>
    <t>Hex</t>
  </si>
  <si>
    <t>Address</t>
  </si>
  <si>
    <t>mov r4, r0</t>
  </si>
  <si>
    <t>000D6F98</t>
  </si>
  <si>
    <t>0040A0E1</t>
  </si>
  <si>
    <t>push {r4, lr}</t>
  </si>
  <si>
    <t>bl 0x0007B7A0</t>
  </si>
  <si>
    <t>check mega</t>
  </si>
  <si>
    <t>cmp r0, 0x1</t>
  </si>
  <si>
    <t>mov r0, r4</t>
  </si>
  <si>
    <t>Check Ultra</t>
  </si>
  <si>
    <t>mov r0, 0x0</t>
  </si>
  <si>
    <t>set false return</t>
  </si>
  <si>
    <t>bl 0x000E22D0</t>
  </si>
  <si>
    <t>bl 0x000E22E0</t>
  </si>
  <si>
    <t>10402DE9</t>
  </si>
  <si>
    <t>FE91FEEB</t>
  </si>
  <si>
    <t>010050E3</t>
  </si>
  <si>
    <t>0800000A</t>
  </si>
  <si>
    <t>0400A0E1</t>
  </si>
  <si>
    <t>C62C00EB</t>
  </si>
  <si>
    <t>0400000A</t>
  </si>
  <si>
    <t>0000000A</t>
  </si>
  <si>
    <t>0000A0E3</t>
  </si>
  <si>
    <t>1080BDE8</t>
  </si>
  <si>
    <t>Pokemon in pointer r0 is mega or ultra or Primal or other special Forme transformation</t>
  </si>
  <si>
    <t>check Primal/Battle Bond/etc.</t>
  </si>
  <si>
    <t>Check Primal</t>
  </si>
  <si>
    <t>ldrh r0, [r4, 0xC]</t>
  </si>
  <si>
    <t>get species</t>
  </si>
  <si>
    <t>table of specials</t>
  </si>
  <si>
    <t>get table</t>
  </si>
  <si>
    <t>push {r3, r4, r5, lr}</t>
  </si>
  <si>
    <t>get next word (lowest byte forme, middle 2 species, top empty)</t>
  </si>
  <si>
    <t>and r4, r3, 0xFF</t>
  </si>
  <si>
    <t>lsr r3, r3, #8</t>
  </si>
  <si>
    <t>lsr down over the forme byte</t>
  </si>
  <si>
    <t>cmp r0, r3</t>
  </si>
  <si>
    <t>compare species</t>
  </si>
  <si>
    <t>ldr r3, [r2]</t>
  </si>
  <si>
    <t>ldrb r1, [r4, 0x239]</t>
  </si>
  <si>
    <t>get forme</t>
  </si>
  <si>
    <t>cmpeq r1, r4</t>
  </si>
  <si>
    <t>compare forme if so</t>
  </si>
  <si>
    <t>moveq r0, 0x1</t>
  </si>
  <si>
    <t>if match, return 1</t>
  </si>
  <si>
    <t>cmp r3, 0x0</t>
  </si>
  <si>
    <t>if word is 0, terminator, return false</t>
  </si>
  <si>
    <t>add r2, r2, 0x4</t>
  </si>
  <si>
    <t>move to next word</t>
  </si>
  <si>
    <t>Table</t>
  </si>
  <si>
    <t>Yveltal 4</t>
  </si>
  <si>
    <t>Greninja 2</t>
  </si>
  <si>
    <t>Bulbasaur 2</t>
  </si>
  <si>
    <t>Squirtle 2</t>
  </si>
  <si>
    <t>Mewtwo 3</t>
  </si>
  <si>
    <t>00149100</t>
  </si>
  <si>
    <t>00000000</t>
  </si>
  <si>
    <t>000FDC30</t>
  </si>
  <si>
    <t>Pokemon in pointer r0 is Primal or special forme</t>
  </si>
  <si>
    <t>38402DE9</t>
  </si>
  <si>
    <t>A491FFEB</t>
  </si>
  <si>
    <t>0E00000A</t>
  </si>
  <si>
    <t>BC00D4E1</t>
  </si>
  <si>
    <t>3912D4E5</t>
  </si>
  <si>
    <t>003092E5</t>
  </si>
  <si>
    <t>000053E3</t>
  </si>
  <si>
    <t>0700000A</t>
  </si>
  <si>
    <t>FF4003E2</t>
  </si>
  <si>
    <t>2334A0E1</t>
  </si>
  <si>
    <t>030050E1</t>
  </si>
  <si>
    <t>04005101</t>
  </si>
  <si>
    <t>0100A003</t>
  </si>
  <si>
    <t>0200000A</t>
  </si>
  <si>
    <t>042082E2</t>
  </si>
  <si>
    <t>F4FFFFEA</t>
  </si>
  <si>
    <t>3880BDE8</t>
  </si>
  <si>
    <t>1E9B00EB</t>
  </si>
  <si>
    <t>30209FE5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</si>
</sst>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Cascadia Code"/>
      <family val="3"/>
    </font>
    <font>
      <sz val="11"/>
      <color theme="1"/>
      <name val="Cascadia Code"/>
      <family val="3"/>
    </font>
    <font>
      <sz val="11"/>
      <name val="Cascadia Code"/>
      <family val="3"/>
    </font>
  </fonts>
  <fills count="10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0" xfId="0" quotePrefix="1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3" fillId="5" borderId="0" xfId="0" applyFont="1" applyFill="1"/>
    <xf numFmtId="0" fontId="2" fillId="6" borderId="0" xfId="0" applyFont="1" applyFill="1"/>
    <xf numFmtId="0" fontId="3" fillId="6" borderId="0" xfId="0" applyFont="1" applyFill="1"/>
    <xf numFmtId="0" fontId="2" fillId="7" borderId="0" xfId="0" applyFont="1" applyFill="1"/>
    <xf numFmtId="0" fontId="3" fillId="7" borderId="0" xfId="0" applyFont="1" applyFill="1"/>
    <xf numFmtId="0" fontId="2" fillId="8" borderId="0" xfId="0" applyFont="1" applyFill="1"/>
    <xf numFmtId="0" fontId="3" fillId="8" borderId="0" xfId="0" applyFont="1" applyFill="1"/>
    <xf numFmtId="0" fontId="2" fillId="9" borderId="0" xfId="0" applyFont="1" applyFill="1"/>
    <xf numFmtId="0" fontId="3" fillId="9" borderId="0" xfId="0" applyFont="1" applyFill="1"/>
    <xf numFmtId="0" fontId="3" fillId="0" borderId="0" xfId="0" applyFont="1" applyAlignment="1">
      <alignment horizontal="left"/>
    </xf>
    <xf numFmtId="0" fontId="2" fillId="2" borderId="0" xfId="0" quotePrefix="1" applyFont="1" applyFill="1" applyAlignment="1">
      <alignment horizontal="left"/>
    </xf>
    <xf numFmtId="0" fontId="2" fillId="2" borderId="0" xfId="0" applyFont="1" applyFill="1" applyAlignment="1">
      <alignment horizontal="left"/>
    </xf>
    <xf numFmtId="0" fontId="2" fillId="3" borderId="0" xfId="0" quotePrefix="1" applyFont="1" applyFill="1" applyAlignment="1">
      <alignment horizontal="left"/>
    </xf>
    <xf numFmtId="0" fontId="3" fillId="3" borderId="0" xfId="0" quotePrefix="1" applyFont="1" applyFill="1" applyAlignment="1">
      <alignment horizontal="left"/>
    </xf>
    <xf numFmtId="0" fontId="2" fillId="4" borderId="0" xfId="0" quotePrefix="1" applyFont="1" applyFill="1" applyAlignment="1">
      <alignment horizontal="left"/>
    </xf>
    <xf numFmtId="0" fontId="3" fillId="4" borderId="0" xfId="0" quotePrefix="1" applyFont="1" applyFill="1" applyAlignment="1">
      <alignment horizontal="left"/>
    </xf>
    <xf numFmtId="0" fontId="3" fillId="0" borderId="0" xfId="0" quotePrefix="1" applyFont="1" applyAlignment="1">
      <alignment horizontal="left"/>
    </xf>
    <xf numFmtId="0" fontId="3" fillId="5" borderId="0" xfId="0" quotePrefix="1" applyFont="1" applyFill="1" applyAlignment="1">
      <alignment horizontal="left"/>
    </xf>
    <xf numFmtId="0" fontId="3" fillId="6" borderId="0" xfId="0" quotePrefix="1" applyFont="1" applyFill="1" applyAlignment="1">
      <alignment horizontal="left"/>
    </xf>
    <xf numFmtId="0" fontId="3" fillId="7" borderId="0" xfId="0" quotePrefix="1" applyFont="1" applyFill="1" applyAlignment="1">
      <alignment horizontal="left"/>
    </xf>
    <xf numFmtId="0" fontId="3" fillId="9" borderId="0" xfId="0" quotePrefix="1" applyFont="1" applyFill="1" applyAlignment="1">
      <alignment horizontal="left"/>
    </xf>
    <xf numFmtId="0" fontId="3" fillId="8" borderId="0" xfId="0" quotePrefix="1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_rom_output/config%20and%20data/custom_pokemon_list.csv" TargetMode="External"/><Relationship Id="rId2" Type="http://schemas.openxmlformats.org/officeDocument/2006/relationships/externalLinkPath" Target="file:///D:\Dropbox\ROM\3ds\z_rom_output\config%20and%20data\custom_pokemon_list.csv" TargetMode="External"/><Relationship Id="rId1" Type="http://schemas.openxmlformats.org/officeDocument/2006/relationships/externalLinkPath" Target="/Dropbox/ROM/3ds/z_rom_output/config%20and%20data/custom_pokemon_list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ustom_pokemon_list"/>
    </sheetNames>
    <sheetDataSet>
      <sheetData sheetId="0">
        <row r="1">
          <cell r="A1">
            <v>0</v>
          </cell>
          <cell r="B1" t="str">
            <v>NA</v>
          </cell>
        </row>
        <row r="2">
          <cell r="A2">
            <v>1</v>
          </cell>
          <cell r="B2" t="str">
            <v>Bulbasaur</v>
          </cell>
        </row>
        <row r="3">
          <cell r="A3">
            <v>2</v>
          </cell>
          <cell r="B3" t="str">
            <v>Ivysaur</v>
          </cell>
        </row>
        <row r="4">
          <cell r="A4">
            <v>3</v>
          </cell>
          <cell r="B4" t="str">
            <v>Venusaur</v>
          </cell>
        </row>
        <row r="5">
          <cell r="A5">
            <v>4</v>
          </cell>
          <cell r="B5" t="str">
            <v>Charmander</v>
          </cell>
        </row>
        <row r="6">
          <cell r="A6">
            <v>5</v>
          </cell>
          <cell r="B6" t="str">
            <v>Charmeleon</v>
          </cell>
        </row>
        <row r="7">
          <cell r="A7">
            <v>6</v>
          </cell>
          <cell r="B7" t="str">
            <v>Charizard</v>
          </cell>
        </row>
        <row r="8">
          <cell r="A8">
            <v>7</v>
          </cell>
          <cell r="B8" t="str">
            <v>Squirtle</v>
          </cell>
        </row>
        <row r="9">
          <cell r="A9">
            <v>8</v>
          </cell>
          <cell r="B9" t="str">
            <v>Wartortle</v>
          </cell>
        </row>
        <row r="10">
          <cell r="A10">
            <v>9</v>
          </cell>
          <cell r="B10" t="str">
            <v>Blastoise</v>
          </cell>
        </row>
        <row r="11">
          <cell r="A11">
            <v>10</v>
          </cell>
          <cell r="B11" t="str">
            <v>Caterpie</v>
          </cell>
        </row>
        <row r="12">
          <cell r="A12">
            <v>11</v>
          </cell>
          <cell r="B12" t="str">
            <v>Metapod</v>
          </cell>
        </row>
        <row r="13">
          <cell r="A13">
            <v>12</v>
          </cell>
          <cell r="B13" t="str">
            <v>Butterfree</v>
          </cell>
        </row>
        <row r="14">
          <cell r="A14">
            <v>13</v>
          </cell>
          <cell r="B14" t="str">
            <v>Weedle</v>
          </cell>
        </row>
        <row r="15">
          <cell r="A15">
            <v>14</v>
          </cell>
          <cell r="B15" t="str">
            <v>Kakuna</v>
          </cell>
        </row>
        <row r="16">
          <cell r="A16">
            <v>15</v>
          </cell>
          <cell r="B16" t="str">
            <v>Beedrill</v>
          </cell>
        </row>
        <row r="17">
          <cell r="A17">
            <v>16</v>
          </cell>
          <cell r="B17" t="str">
            <v>Pidgey</v>
          </cell>
        </row>
        <row r="18">
          <cell r="A18">
            <v>17</v>
          </cell>
          <cell r="B18" t="str">
            <v>Pidgeotto</v>
          </cell>
        </row>
        <row r="19">
          <cell r="A19">
            <v>18</v>
          </cell>
          <cell r="B19" t="str">
            <v>Pidgeot</v>
          </cell>
        </row>
        <row r="20">
          <cell r="A20">
            <v>19</v>
          </cell>
          <cell r="B20" t="str">
            <v>Rattata</v>
          </cell>
        </row>
        <row r="21">
          <cell r="A21">
            <v>20</v>
          </cell>
          <cell r="B21" t="str">
            <v>Raticate</v>
          </cell>
        </row>
        <row r="22">
          <cell r="A22">
            <v>21</v>
          </cell>
          <cell r="B22" t="str">
            <v>Spearow</v>
          </cell>
        </row>
        <row r="23">
          <cell r="A23">
            <v>22</v>
          </cell>
          <cell r="B23" t="str">
            <v>Fearow</v>
          </cell>
        </row>
        <row r="24">
          <cell r="A24">
            <v>23</v>
          </cell>
          <cell r="B24" t="str">
            <v>Ekans</v>
          </cell>
        </row>
        <row r="25">
          <cell r="A25">
            <v>24</v>
          </cell>
          <cell r="B25" t="str">
            <v>Arbok</v>
          </cell>
        </row>
        <row r="26">
          <cell r="A26">
            <v>25</v>
          </cell>
          <cell r="B26" t="str">
            <v>Pikachu</v>
          </cell>
        </row>
        <row r="27">
          <cell r="A27">
            <v>26</v>
          </cell>
          <cell r="B27" t="str">
            <v>Raichu</v>
          </cell>
        </row>
        <row r="28">
          <cell r="A28">
            <v>27</v>
          </cell>
          <cell r="B28" t="str">
            <v>Sandshrew</v>
          </cell>
        </row>
        <row r="29">
          <cell r="A29">
            <v>28</v>
          </cell>
          <cell r="B29" t="str">
            <v>Sandslash</v>
          </cell>
        </row>
        <row r="30">
          <cell r="A30">
            <v>29</v>
          </cell>
          <cell r="B30" t="str">
            <v>Nidoran♀</v>
          </cell>
        </row>
        <row r="31">
          <cell r="A31">
            <v>30</v>
          </cell>
          <cell r="B31" t="str">
            <v>Nidorina</v>
          </cell>
        </row>
        <row r="32">
          <cell r="A32">
            <v>31</v>
          </cell>
          <cell r="B32" t="str">
            <v>Nidoqueen</v>
          </cell>
        </row>
        <row r="33">
          <cell r="A33">
            <v>32</v>
          </cell>
          <cell r="B33" t="str">
            <v>Nidoran♂</v>
          </cell>
        </row>
        <row r="34">
          <cell r="A34">
            <v>33</v>
          </cell>
          <cell r="B34" t="str">
            <v>Nidorino</v>
          </cell>
        </row>
        <row r="35">
          <cell r="A35">
            <v>34</v>
          </cell>
          <cell r="B35" t="str">
            <v>Nidoking</v>
          </cell>
        </row>
        <row r="36">
          <cell r="A36">
            <v>35</v>
          </cell>
          <cell r="B36" t="str">
            <v>Clefairy</v>
          </cell>
        </row>
        <row r="37">
          <cell r="A37">
            <v>36</v>
          </cell>
          <cell r="B37" t="str">
            <v>Clefable</v>
          </cell>
        </row>
        <row r="38">
          <cell r="A38">
            <v>37</v>
          </cell>
          <cell r="B38" t="str">
            <v>Vulpix</v>
          </cell>
        </row>
        <row r="39">
          <cell r="A39">
            <v>38</v>
          </cell>
          <cell r="B39" t="str">
            <v>Ninetales</v>
          </cell>
        </row>
        <row r="40">
          <cell r="A40">
            <v>39</v>
          </cell>
          <cell r="B40" t="str">
            <v>Jigglypuff</v>
          </cell>
        </row>
        <row r="41">
          <cell r="A41">
            <v>40</v>
          </cell>
          <cell r="B41" t="str">
            <v>Wigglytuff</v>
          </cell>
        </row>
        <row r="42">
          <cell r="A42">
            <v>41</v>
          </cell>
          <cell r="B42" t="str">
            <v>Zubat</v>
          </cell>
        </row>
        <row r="43">
          <cell r="A43">
            <v>42</v>
          </cell>
          <cell r="B43" t="str">
            <v>Golbat</v>
          </cell>
        </row>
        <row r="44">
          <cell r="A44">
            <v>43</v>
          </cell>
          <cell r="B44" t="str">
            <v>Oddish</v>
          </cell>
        </row>
        <row r="45">
          <cell r="A45">
            <v>44</v>
          </cell>
          <cell r="B45" t="str">
            <v>Gloom</v>
          </cell>
        </row>
        <row r="46">
          <cell r="A46">
            <v>45</v>
          </cell>
          <cell r="B46" t="str">
            <v>Vileplume</v>
          </cell>
        </row>
        <row r="47">
          <cell r="A47">
            <v>46</v>
          </cell>
          <cell r="B47" t="str">
            <v>Paras</v>
          </cell>
        </row>
        <row r="48">
          <cell r="A48">
            <v>47</v>
          </cell>
          <cell r="B48" t="str">
            <v>Parasect</v>
          </cell>
        </row>
        <row r="49">
          <cell r="A49">
            <v>48</v>
          </cell>
          <cell r="B49" t="str">
            <v>Venonat</v>
          </cell>
        </row>
        <row r="50">
          <cell r="A50">
            <v>49</v>
          </cell>
          <cell r="B50" t="str">
            <v>Venomoth</v>
          </cell>
        </row>
        <row r="51">
          <cell r="A51">
            <v>50</v>
          </cell>
          <cell r="B51" t="str">
            <v>Diglett</v>
          </cell>
        </row>
        <row r="52">
          <cell r="A52">
            <v>51</v>
          </cell>
          <cell r="B52" t="str">
            <v>Dugtrio</v>
          </cell>
        </row>
        <row r="53">
          <cell r="A53">
            <v>52</v>
          </cell>
          <cell r="B53" t="str">
            <v>Meowth</v>
          </cell>
        </row>
        <row r="54">
          <cell r="A54">
            <v>53</v>
          </cell>
          <cell r="B54" t="str">
            <v>Persian</v>
          </cell>
        </row>
        <row r="55">
          <cell r="A55">
            <v>54</v>
          </cell>
          <cell r="B55" t="str">
            <v>Psyduck</v>
          </cell>
        </row>
        <row r="56">
          <cell r="A56">
            <v>55</v>
          </cell>
          <cell r="B56" t="str">
            <v>Golduck</v>
          </cell>
        </row>
        <row r="57">
          <cell r="A57">
            <v>56</v>
          </cell>
          <cell r="B57" t="str">
            <v>Mankey</v>
          </cell>
        </row>
        <row r="58">
          <cell r="A58">
            <v>57</v>
          </cell>
          <cell r="B58" t="str">
            <v>Primeape</v>
          </cell>
        </row>
        <row r="59">
          <cell r="A59">
            <v>58</v>
          </cell>
          <cell r="B59" t="str">
            <v>Growlithe</v>
          </cell>
        </row>
        <row r="60">
          <cell r="A60">
            <v>59</v>
          </cell>
          <cell r="B60" t="str">
            <v>Arcanine</v>
          </cell>
        </row>
        <row r="61">
          <cell r="A61">
            <v>60</v>
          </cell>
          <cell r="B61" t="str">
            <v>Poliwag</v>
          </cell>
        </row>
        <row r="62">
          <cell r="A62">
            <v>61</v>
          </cell>
          <cell r="B62" t="str">
            <v>Poliwhirl</v>
          </cell>
        </row>
        <row r="63">
          <cell r="A63">
            <v>62</v>
          </cell>
          <cell r="B63" t="str">
            <v>Poliwrath</v>
          </cell>
        </row>
        <row r="64">
          <cell r="A64">
            <v>63</v>
          </cell>
          <cell r="B64" t="str">
            <v>Abra</v>
          </cell>
        </row>
        <row r="65">
          <cell r="A65">
            <v>64</v>
          </cell>
          <cell r="B65" t="str">
            <v>Kadabra</v>
          </cell>
        </row>
        <row r="66">
          <cell r="A66">
            <v>65</v>
          </cell>
          <cell r="B66" t="str">
            <v>Alakazam</v>
          </cell>
        </row>
        <row r="67">
          <cell r="A67">
            <v>66</v>
          </cell>
          <cell r="B67" t="str">
            <v>Machop</v>
          </cell>
        </row>
        <row r="68">
          <cell r="A68">
            <v>67</v>
          </cell>
          <cell r="B68" t="str">
            <v>Machoke</v>
          </cell>
        </row>
        <row r="69">
          <cell r="A69">
            <v>68</v>
          </cell>
          <cell r="B69" t="str">
            <v>Machamp</v>
          </cell>
        </row>
        <row r="70">
          <cell r="A70">
            <v>69</v>
          </cell>
          <cell r="B70" t="str">
            <v>Bellsprout</v>
          </cell>
        </row>
        <row r="71">
          <cell r="A71">
            <v>70</v>
          </cell>
          <cell r="B71" t="str">
            <v>Weepinbell</v>
          </cell>
        </row>
        <row r="72">
          <cell r="A72">
            <v>71</v>
          </cell>
          <cell r="B72" t="str">
            <v>Victreebel</v>
          </cell>
        </row>
        <row r="73">
          <cell r="A73">
            <v>72</v>
          </cell>
          <cell r="B73" t="str">
            <v>Tentacool</v>
          </cell>
        </row>
        <row r="74">
          <cell r="A74">
            <v>73</v>
          </cell>
          <cell r="B74" t="str">
            <v>Tentacruel</v>
          </cell>
        </row>
        <row r="75">
          <cell r="A75">
            <v>74</v>
          </cell>
          <cell r="B75" t="str">
            <v>Geodude</v>
          </cell>
        </row>
        <row r="76">
          <cell r="A76">
            <v>75</v>
          </cell>
          <cell r="B76" t="str">
            <v>Graveler</v>
          </cell>
        </row>
        <row r="77">
          <cell r="A77">
            <v>76</v>
          </cell>
          <cell r="B77" t="str">
            <v>Golem</v>
          </cell>
        </row>
        <row r="78">
          <cell r="A78">
            <v>77</v>
          </cell>
          <cell r="B78" t="str">
            <v>Ponyta</v>
          </cell>
        </row>
        <row r="79">
          <cell r="A79">
            <v>78</v>
          </cell>
          <cell r="B79" t="str">
            <v>Rapidash</v>
          </cell>
        </row>
        <row r="80">
          <cell r="A80">
            <v>79</v>
          </cell>
          <cell r="B80" t="str">
            <v>Slowpoke</v>
          </cell>
        </row>
        <row r="81">
          <cell r="A81">
            <v>80</v>
          </cell>
          <cell r="B81" t="str">
            <v>Slowbro</v>
          </cell>
        </row>
        <row r="82">
          <cell r="A82">
            <v>81</v>
          </cell>
          <cell r="B82" t="str">
            <v>Magnemite</v>
          </cell>
        </row>
        <row r="83">
          <cell r="A83">
            <v>82</v>
          </cell>
          <cell r="B83" t="str">
            <v>Magneton</v>
          </cell>
        </row>
        <row r="84">
          <cell r="A84">
            <v>83</v>
          </cell>
          <cell r="B84" t="str">
            <v>Farfetch'd</v>
          </cell>
        </row>
        <row r="85">
          <cell r="A85">
            <v>84</v>
          </cell>
          <cell r="B85" t="str">
            <v>Doduo</v>
          </cell>
        </row>
        <row r="86">
          <cell r="A86">
            <v>85</v>
          </cell>
          <cell r="B86" t="str">
            <v>Dodrio</v>
          </cell>
        </row>
        <row r="87">
          <cell r="A87">
            <v>86</v>
          </cell>
          <cell r="B87" t="str">
            <v>Seel</v>
          </cell>
        </row>
        <row r="88">
          <cell r="A88">
            <v>87</v>
          </cell>
          <cell r="B88" t="str">
            <v>Dewgong</v>
          </cell>
        </row>
        <row r="89">
          <cell r="A89">
            <v>88</v>
          </cell>
          <cell r="B89" t="str">
            <v>Grimer</v>
          </cell>
        </row>
        <row r="90">
          <cell r="A90">
            <v>89</v>
          </cell>
          <cell r="B90" t="str">
            <v>Muk</v>
          </cell>
        </row>
        <row r="91">
          <cell r="A91">
            <v>90</v>
          </cell>
          <cell r="B91" t="str">
            <v>Shellder</v>
          </cell>
        </row>
        <row r="92">
          <cell r="A92">
            <v>91</v>
          </cell>
          <cell r="B92" t="str">
            <v>Cloyster</v>
          </cell>
        </row>
        <row r="93">
          <cell r="A93">
            <v>92</v>
          </cell>
          <cell r="B93" t="str">
            <v>Gastly</v>
          </cell>
        </row>
        <row r="94">
          <cell r="A94">
            <v>93</v>
          </cell>
          <cell r="B94" t="str">
            <v>Haunter</v>
          </cell>
        </row>
        <row r="95">
          <cell r="A95">
            <v>94</v>
          </cell>
          <cell r="B95" t="str">
            <v>Gengar</v>
          </cell>
        </row>
        <row r="96">
          <cell r="A96">
            <v>95</v>
          </cell>
          <cell r="B96" t="str">
            <v>Onix</v>
          </cell>
        </row>
        <row r="97">
          <cell r="A97">
            <v>96</v>
          </cell>
          <cell r="B97" t="str">
            <v>Drowzee</v>
          </cell>
        </row>
        <row r="98">
          <cell r="A98">
            <v>97</v>
          </cell>
          <cell r="B98" t="str">
            <v>Hypno</v>
          </cell>
        </row>
        <row r="99">
          <cell r="A99">
            <v>98</v>
          </cell>
          <cell r="B99" t="str">
            <v>Krabby</v>
          </cell>
        </row>
        <row r="100">
          <cell r="A100">
            <v>99</v>
          </cell>
          <cell r="B100" t="str">
            <v>Kingler</v>
          </cell>
        </row>
        <row r="101">
          <cell r="A101">
            <v>100</v>
          </cell>
          <cell r="B101" t="str">
            <v>Voltorb</v>
          </cell>
        </row>
        <row r="102">
          <cell r="A102">
            <v>101</v>
          </cell>
          <cell r="B102" t="str">
            <v>Electrode</v>
          </cell>
        </row>
        <row r="103">
          <cell r="A103">
            <v>102</v>
          </cell>
          <cell r="B103" t="str">
            <v>Exeggcute</v>
          </cell>
        </row>
        <row r="104">
          <cell r="A104">
            <v>103</v>
          </cell>
          <cell r="B104" t="str">
            <v>Exeggutor</v>
          </cell>
        </row>
        <row r="105">
          <cell r="A105">
            <v>104</v>
          </cell>
          <cell r="B105" t="str">
            <v>Cubone</v>
          </cell>
        </row>
        <row r="106">
          <cell r="A106">
            <v>105</v>
          </cell>
          <cell r="B106" t="str">
            <v>Marowak</v>
          </cell>
        </row>
        <row r="107">
          <cell r="A107">
            <v>106</v>
          </cell>
          <cell r="B107" t="str">
            <v>Hitmonlee</v>
          </cell>
        </row>
        <row r="108">
          <cell r="A108">
            <v>107</v>
          </cell>
          <cell r="B108" t="str">
            <v>Hitmonchan</v>
          </cell>
        </row>
        <row r="109">
          <cell r="A109">
            <v>108</v>
          </cell>
          <cell r="B109" t="str">
            <v>Lickitung</v>
          </cell>
        </row>
        <row r="110">
          <cell r="A110">
            <v>109</v>
          </cell>
          <cell r="B110" t="str">
            <v>Koffing</v>
          </cell>
        </row>
        <row r="111">
          <cell r="A111">
            <v>110</v>
          </cell>
          <cell r="B111" t="str">
            <v>Weezing</v>
          </cell>
        </row>
        <row r="112">
          <cell r="A112">
            <v>111</v>
          </cell>
          <cell r="B112" t="str">
            <v>Rhyhorn</v>
          </cell>
        </row>
        <row r="113">
          <cell r="A113">
            <v>112</v>
          </cell>
          <cell r="B113" t="str">
            <v>Rhydon</v>
          </cell>
        </row>
        <row r="114">
          <cell r="A114">
            <v>113</v>
          </cell>
          <cell r="B114" t="str">
            <v>Chansey</v>
          </cell>
        </row>
        <row r="115">
          <cell r="A115">
            <v>114</v>
          </cell>
          <cell r="B115" t="str">
            <v>Tangela</v>
          </cell>
        </row>
        <row r="116">
          <cell r="A116">
            <v>115</v>
          </cell>
          <cell r="B116" t="str">
            <v>Kangaskhan</v>
          </cell>
        </row>
        <row r="117">
          <cell r="A117">
            <v>116</v>
          </cell>
          <cell r="B117" t="str">
            <v>Horsea</v>
          </cell>
        </row>
        <row r="118">
          <cell r="A118">
            <v>117</v>
          </cell>
          <cell r="B118" t="str">
            <v>Seadra</v>
          </cell>
        </row>
        <row r="119">
          <cell r="A119">
            <v>118</v>
          </cell>
          <cell r="B119" t="str">
            <v>Goldeen</v>
          </cell>
        </row>
        <row r="120">
          <cell r="A120">
            <v>119</v>
          </cell>
          <cell r="B120" t="str">
            <v>Seaking</v>
          </cell>
        </row>
        <row r="121">
          <cell r="A121">
            <v>120</v>
          </cell>
          <cell r="B121" t="str">
            <v>Staryu</v>
          </cell>
        </row>
        <row r="122">
          <cell r="A122">
            <v>121</v>
          </cell>
          <cell r="B122" t="str">
            <v>Starmie</v>
          </cell>
        </row>
        <row r="123">
          <cell r="A123">
            <v>122</v>
          </cell>
          <cell r="B123" t="str">
            <v>Mr. Mime</v>
          </cell>
        </row>
        <row r="124">
          <cell r="A124">
            <v>123</v>
          </cell>
          <cell r="B124" t="str">
            <v>Scyther</v>
          </cell>
        </row>
        <row r="125">
          <cell r="A125">
            <v>124</v>
          </cell>
          <cell r="B125" t="str">
            <v>Jynx</v>
          </cell>
        </row>
        <row r="126">
          <cell r="A126">
            <v>125</v>
          </cell>
          <cell r="B126" t="str">
            <v>Electabuzz</v>
          </cell>
        </row>
        <row r="127">
          <cell r="A127">
            <v>126</v>
          </cell>
          <cell r="B127" t="str">
            <v>Magmar</v>
          </cell>
        </row>
        <row r="128">
          <cell r="A128">
            <v>127</v>
          </cell>
          <cell r="B128" t="str">
            <v>Pinsir</v>
          </cell>
        </row>
        <row r="129">
          <cell r="A129">
            <v>128</v>
          </cell>
          <cell r="B129" t="str">
            <v>Tauros</v>
          </cell>
        </row>
        <row r="130">
          <cell r="A130">
            <v>129</v>
          </cell>
          <cell r="B130" t="str">
            <v>Magikarp</v>
          </cell>
        </row>
        <row r="131">
          <cell r="A131">
            <v>130</v>
          </cell>
          <cell r="B131" t="str">
            <v>Gyarados</v>
          </cell>
        </row>
        <row r="132">
          <cell r="A132">
            <v>131</v>
          </cell>
          <cell r="B132" t="str">
            <v>Lapras</v>
          </cell>
        </row>
        <row r="133">
          <cell r="A133">
            <v>132</v>
          </cell>
          <cell r="B133" t="str">
            <v>Ditto</v>
          </cell>
        </row>
        <row r="134">
          <cell r="A134">
            <v>133</v>
          </cell>
          <cell r="B134" t="str">
            <v>Eevee</v>
          </cell>
        </row>
        <row r="135">
          <cell r="A135">
            <v>134</v>
          </cell>
          <cell r="B135" t="str">
            <v>Vaporeon</v>
          </cell>
        </row>
        <row r="136">
          <cell r="A136">
            <v>135</v>
          </cell>
          <cell r="B136" t="str">
            <v>Jolteon</v>
          </cell>
        </row>
        <row r="137">
          <cell r="A137">
            <v>136</v>
          </cell>
          <cell r="B137" t="str">
            <v>Flareon</v>
          </cell>
        </row>
        <row r="138">
          <cell r="A138">
            <v>137</v>
          </cell>
          <cell r="B138" t="str">
            <v>Porygon</v>
          </cell>
        </row>
        <row r="139">
          <cell r="A139">
            <v>138</v>
          </cell>
          <cell r="B139" t="str">
            <v>Omanyte</v>
          </cell>
        </row>
        <row r="140">
          <cell r="A140">
            <v>139</v>
          </cell>
          <cell r="B140" t="str">
            <v>Omastar</v>
          </cell>
        </row>
        <row r="141">
          <cell r="A141">
            <v>140</v>
          </cell>
          <cell r="B141" t="str">
            <v>Kabuto</v>
          </cell>
        </row>
        <row r="142">
          <cell r="A142">
            <v>141</v>
          </cell>
          <cell r="B142" t="str">
            <v>Kabutops</v>
          </cell>
        </row>
        <row r="143">
          <cell r="A143">
            <v>142</v>
          </cell>
          <cell r="B143" t="str">
            <v>Aerodactyl</v>
          </cell>
        </row>
        <row r="144">
          <cell r="A144">
            <v>143</v>
          </cell>
          <cell r="B144" t="str">
            <v>Snorlax</v>
          </cell>
        </row>
        <row r="145">
          <cell r="A145">
            <v>144</v>
          </cell>
          <cell r="B145" t="str">
            <v>Articuno</v>
          </cell>
        </row>
        <row r="146">
          <cell r="A146">
            <v>145</v>
          </cell>
          <cell r="B146" t="str">
            <v>Zapdos</v>
          </cell>
        </row>
        <row r="147">
          <cell r="A147">
            <v>146</v>
          </cell>
          <cell r="B147" t="str">
            <v>Moltres</v>
          </cell>
        </row>
        <row r="148">
          <cell r="A148">
            <v>147</v>
          </cell>
          <cell r="B148" t="str">
            <v>Dratini</v>
          </cell>
        </row>
        <row r="149">
          <cell r="A149">
            <v>148</v>
          </cell>
          <cell r="B149" t="str">
            <v>Dragonair</v>
          </cell>
        </row>
        <row r="150">
          <cell r="A150">
            <v>149</v>
          </cell>
          <cell r="B150" t="str">
            <v>Dragonite</v>
          </cell>
        </row>
        <row r="151">
          <cell r="A151">
            <v>150</v>
          </cell>
          <cell r="B151" t="str">
            <v>Mewtwo</v>
          </cell>
        </row>
        <row r="152">
          <cell r="A152">
            <v>151</v>
          </cell>
          <cell r="B152" t="str">
            <v>Mew</v>
          </cell>
        </row>
        <row r="153">
          <cell r="A153">
            <v>152</v>
          </cell>
          <cell r="B153" t="str">
            <v>Chikorita</v>
          </cell>
        </row>
        <row r="154">
          <cell r="A154">
            <v>153</v>
          </cell>
          <cell r="B154" t="str">
            <v>Bayleef</v>
          </cell>
        </row>
        <row r="155">
          <cell r="A155">
            <v>154</v>
          </cell>
          <cell r="B155" t="str">
            <v>Meganium</v>
          </cell>
        </row>
        <row r="156">
          <cell r="A156">
            <v>155</v>
          </cell>
          <cell r="B156" t="str">
            <v>Cyndaquil</v>
          </cell>
        </row>
        <row r="157">
          <cell r="A157">
            <v>156</v>
          </cell>
          <cell r="B157" t="str">
            <v>Quilava</v>
          </cell>
        </row>
        <row r="158">
          <cell r="A158">
            <v>157</v>
          </cell>
          <cell r="B158" t="str">
            <v>Typhlosion</v>
          </cell>
        </row>
        <row r="159">
          <cell r="A159">
            <v>158</v>
          </cell>
          <cell r="B159" t="str">
            <v>Totodile</v>
          </cell>
        </row>
        <row r="160">
          <cell r="A160">
            <v>159</v>
          </cell>
          <cell r="B160" t="str">
            <v>Croconaw</v>
          </cell>
        </row>
        <row r="161">
          <cell r="A161">
            <v>160</v>
          </cell>
          <cell r="B161" t="str">
            <v>Feraligatr</v>
          </cell>
        </row>
        <row r="162">
          <cell r="A162">
            <v>161</v>
          </cell>
          <cell r="B162" t="str">
            <v>Sentret</v>
          </cell>
        </row>
        <row r="163">
          <cell r="A163">
            <v>162</v>
          </cell>
          <cell r="B163" t="str">
            <v>Furret</v>
          </cell>
        </row>
        <row r="164">
          <cell r="A164">
            <v>163</v>
          </cell>
          <cell r="B164" t="str">
            <v>Hoothoot</v>
          </cell>
        </row>
        <row r="165">
          <cell r="A165">
            <v>164</v>
          </cell>
          <cell r="B165" t="str">
            <v>Noctowl</v>
          </cell>
        </row>
        <row r="166">
          <cell r="A166">
            <v>165</v>
          </cell>
          <cell r="B166" t="str">
            <v>Ledyba</v>
          </cell>
        </row>
        <row r="167">
          <cell r="A167">
            <v>166</v>
          </cell>
          <cell r="B167" t="str">
            <v>Ledian</v>
          </cell>
        </row>
        <row r="168">
          <cell r="A168">
            <v>167</v>
          </cell>
          <cell r="B168" t="str">
            <v>Spinarak</v>
          </cell>
        </row>
        <row r="169">
          <cell r="A169">
            <v>168</v>
          </cell>
          <cell r="B169" t="str">
            <v>Ariados</v>
          </cell>
        </row>
        <row r="170">
          <cell r="A170">
            <v>169</v>
          </cell>
          <cell r="B170" t="str">
            <v>Crobat</v>
          </cell>
        </row>
        <row r="171">
          <cell r="A171">
            <v>170</v>
          </cell>
          <cell r="B171" t="str">
            <v>Chinchou</v>
          </cell>
        </row>
        <row r="172">
          <cell r="A172">
            <v>171</v>
          </cell>
          <cell r="B172" t="str">
            <v>Lanturn</v>
          </cell>
        </row>
        <row r="173">
          <cell r="A173">
            <v>172</v>
          </cell>
          <cell r="B173" t="str">
            <v>Pichu</v>
          </cell>
        </row>
        <row r="174">
          <cell r="A174">
            <v>173</v>
          </cell>
          <cell r="B174" t="str">
            <v>Cleffa</v>
          </cell>
        </row>
        <row r="175">
          <cell r="A175">
            <v>174</v>
          </cell>
          <cell r="B175" t="str">
            <v>Igglybuff</v>
          </cell>
        </row>
        <row r="176">
          <cell r="A176">
            <v>175</v>
          </cell>
          <cell r="B176" t="str">
            <v>Togepi</v>
          </cell>
        </row>
        <row r="177">
          <cell r="A177">
            <v>176</v>
          </cell>
          <cell r="B177" t="str">
            <v>Togetic</v>
          </cell>
        </row>
        <row r="178">
          <cell r="A178">
            <v>177</v>
          </cell>
          <cell r="B178" t="str">
            <v>Natu</v>
          </cell>
        </row>
        <row r="179">
          <cell r="A179">
            <v>178</v>
          </cell>
          <cell r="B179" t="str">
            <v>Xatu</v>
          </cell>
        </row>
        <row r="180">
          <cell r="A180">
            <v>179</v>
          </cell>
          <cell r="B180" t="str">
            <v>Mareep</v>
          </cell>
        </row>
        <row r="181">
          <cell r="A181">
            <v>180</v>
          </cell>
          <cell r="B181" t="str">
            <v>Flaaffy</v>
          </cell>
        </row>
        <row r="182">
          <cell r="A182">
            <v>181</v>
          </cell>
          <cell r="B182" t="str">
            <v>Ampharos</v>
          </cell>
        </row>
        <row r="183">
          <cell r="A183">
            <v>182</v>
          </cell>
          <cell r="B183" t="str">
            <v>Bellossom</v>
          </cell>
        </row>
        <row r="184">
          <cell r="A184">
            <v>183</v>
          </cell>
          <cell r="B184" t="str">
            <v>Marill</v>
          </cell>
        </row>
        <row r="185">
          <cell r="A185">
            <v>184</v>
          </cell>
          <cell r="B185" t="str">
            <v>Azumarill</v>
          </cell>
        </row>
        <row r="186">
          <cell r="A186">
            <v>185</v>
          </cell>
          <cell r="B186" t="str">
            <v>Sudowoodo</v>
          </cell>
        </row>
        <row r="187">
          <cell r="A187">
            <v>186</v>
          </cell>
          <cell r="B187" t="str">
            <v>Politoed</v>
          </cell>
        </row>
        <row r="188">
          <cell r="A188">
            <v>187</v>
          </cell>
          <cell r="B188" t="str">
            <v>Hoppip</v>
          </cell>
        </row>
        <row r="189">
          <cell r="A189">
            <v>188</v>
          </cell>
          <cell r="B189" t="str">
            <v>Skiploom</v>
          </cell>
        </row>
        <row r="190">
          <cell r="A190">
            <v>189</v>
          </cell>
          <cell r="B190" t="str">
            <v>Jumpluff</v>
          </cell>
        </row>
        <row r="191">
          <cell r="A191">
            <v>190</v>
          </cell>
          <cell r="B191" t="str">
            <v>Aipom</v>
          </cell>
        </row>
        <row r="192">
          <cell r="A192">
            <v>191</v>
          </cell>
          <cell r="B192" t="str">
            <v>Sunkern</v>
          </cell>
        </row>
        <row r="193">
          <cell r="A193">
            <v>192</v>
          </cell>
          <cell r="B193" t="str">
            <v>Sunflora</v>
          </cell>
        </row>
        <row r="194">
          <cell r="A194">
            <v>193</v>
          </cell>
          <cell r="B194" t="str">
            <v>Yanma</v>
          </cell>
        </row>
        <row r="195">
          <cell r="A195">
            <v>194</v>
          </cell>
          <cell r="B195" t="str">
            <v>Wooper</v>
          </cell>
        </row>
        <row r="196">
          <cell r="A196">
            <v>195</v>
          </cell>
          <cell r="B196" t="str">
            <v>Quagsire</v>
          </cell>
        </row>
        <row r="197">
          <cell r="A197">
            <v>196</v>
          </cell>
          <cell r="B197" t="str">
            <v>Espeon</v>
          </cell>
        </row>
        <row r="198">
          <cell r="A198">
            <v>197</v>
          </cell>
          <cell r="B198" t="str">
            <v>Umbreon</v>
          </cell>
        </row>
        <row r="199">
          <cell r="A199">
            <v>198</v>
          </cell>
          <cell r="B199" t="str">
            <v>Murkrow</v>
          </cell>
        </row>
        <row r="200">
          <cell r="A200">
            <v>199</v>
          </cell>
          <cell r="B200" t="str">
            <v>Slowking</v>
          </cell>
        </row>
        <row r="201">
          <cell r="A201">
            <v>200</v>
          </cell>
          <cell r="B201" t="str">
            <v>Misdreavus</v>
          </cell>
        </row>
        <row r="202">
          <cell r="A202">
            <v>201</v>
          </cell>
          <cell r="B202" t="str">
            <v>Unown - A</v>
          </cell>
        </row>
        <row r="203">
          <cell r="A203">
            <v>202</v>
          </cell>
          <cell r="B203" t="str">
            <v>Wobbuffet</v>
          </cell>
        </row>
        <row r="204">
          <cell r="A204">
            <v>203</v>
          </cell>
          <cell r="B204" t="str">
            <v>Girafarig</v>
          </cell>
        </row>
        <row r="205">
          <cell r="A205">
            <v>204</v>
          </cell>
          <cell r="B205" t="str">
            <v>Pineco</v>
          </cell>
        </row>
        <row r="206">
          <cell r="A206">
            <v>205</v>
          </cell>
          <cell r="B206" t="str">
            <v>Forretress</v>
          </cell>
        </row>
        <row r="207">
          <cell r="A207">
            <v>206</v>
          </cell>
          <cell r="B207" t="str">
            <v>Dunsparce</v>
          </cell>
        </row>
        <row r="208">
          <cell r="A208">
            <v>207</v>
          </cell>
          <cell r="B208" t="str">
            <v>Gligar</v>
          </cell>
        </row>
        <row r="209">
          <cell r="A209">
            <v>208</v>
          </cell>
          <cell r="B209" t="str">
            <v>Steelix</v>
          </cell>
        </row>
        <row r="210">
          <cell r="A210">
            <v>209</v>
          </cell>
          <cell r="B210" t="str">
            <v>Snubbull</v>
          </cell>
        </row>
        <row r="211">
          <cell r="A211">
            <v>210</v>
          </cell>
          <cell r="B211" t="str">
            <v>Granbull</v>
          </cell>
        </row>
        <row r="212">
          <cell r="A212">
            <v>211</v>
          </cell>
          <cell r="B212" t="str">
            <v>Qwilfish</v>
          </cell>
        </row>
        <row r="213">
          <cell r="A213">
            <v>212</v>
          </cell>
          <cell r="B213" t="str">
            <v>Scizor</v>
          </cell>
        </row>
        <row r="214">
          <cell r="A214">
            <v>213</v>
          </cell>
          <cell r="B214" t="str">
            <v>Shuckle</v>
          </cell>
        </row>
        <row r="215">
          <cell r="A215">
            <v>214</v>
          </cell>
          <cell r="B215" t="str">
            <v>Heracross</v>
          </cell>
        </row>
        <row r="216">
          <cell r="A216">
            <v>215</v>
          </cell>
          <cell r="B216" t="str">
            <v>Sneasel</v>
          </cell>
        </row>
        <row r="217">
          <cell r="A217">
            <v>216</v>
          </cell>
          <cell r="B217" t="str">
            <v>Teddiursa</v>
          </cell>
        </row>
        <row r="218">
          <cell r="A218">
            <v>217</v>
          </cell>
          <cell r="B218" t="str">
            <v>Ursaring</v>
          </cell>
        </row>
        <row r="219">
          <cell r="A219">
            <v>218</v>
          </cell>
          <cell r="B219" t="str">
            <v>Slugma</v>
          </cell>
        </row>
        <row r="220">
          <cell r="A220">
            <v>219</v>
          </cell>
          <cell r="B220" t="str">
            <v>Magcargo</v>
          </cell>
        </row>
        <row r="221">
          <cell r="A221">
            <v>220</v>
          </cell>
          <cell r="B221" t="str">
            <v>Swinub</v>
          </cell>
        </row>
        <row r="222">
          <cell r="A222">
            <v>221</v>
          </cell>
          <cell r="B222" t="str">
            <v>Piloswine</v>
          </cell>
        </row>
        <row r="223">
          <cell r="A223">
            <v>222</v>
          </cell>
          <cell r="B223" t="str">
            <v>Corsola</v>
          </cell>
        </row>
        <row r="224">
          <cell r="A224">
            <v>223</v>
          </cell>
          <cell r="B224" t="str">
            <v>Remoraid</v>
          </cell>
        </row>
        <row r="225">
          <cell r="A225">
            <v>224</v>
          </cell>
          <cell r="B225" t="str">
            <v>Octillery</v>
          </cell>
        </row>
        <row r="226">
          <cell r="A226">
            <v>225</v>
          </cell>
          <cell r="B226" t="str">
            <v>Delibird</v>
          </cell>
        </row>
        <row r="227">
          <cell r="A227">
            <v>226</v>
          </cell>
          <cell r="B227" t="str">
            <v>Mantine</v>
          </cell>
        </row>
        <row r="228">
          <cell r="A228">
            <v>227</v>
          </cell>
          <cell r="B228" t="str">
            <v>Skarmory</v>
          </cell>
        </row>
        <row r="229">
          <cell r="A229">
            <v>228</v>
          </cell>
          <cell r="B229" t="str">
            <v>Houndour</v>
          </cell>
        </row>
        <row r="230">
          <cell r="A230">
            <v>229</v>
          </cell>
          <cell r="B230" t="str">
            <v>Houndoom</v>
          </cell>
        </row>
        <row r="231">
          <cell r="A231">
            <v>230</v>
          </cell>
          <cell r="B231" t="str">
            <v>Kingdra</v>
          </cell>
        </row>
        <row r="232">
          <cell r="A232">
            <v>231</v>
          </cell>
          <cell r="B232" t="str">
            <v>Phanpy</v>
          </cell>
        </row>
        <row r="233">
          <cell r="A233">
            <v>232</v>
          </cell>
          <cell r="B233" t="str">
            <v>Donphan</v>
          </cell>
        </row>
        <row r="234">
          <cell r="A234">
            <v>233</v>
          </cell>
          <cell r="B234" t="str">
            <v>Porygon2</v>
          </cell>
        </row>
        <row r="235">
          <cell r="A235">
            <v>234</v>
          </cell>
          <cell r="B235" t="str">
            <v>Stantler</v>
          </cell>
        </row>
        <row r="236">
          <cell r="A236">
            <v>235</v>
          </cell>
          <cell r="B236" t="str">
            <v>Smeargle</v>
          </cell>
        </row>
        <row r="237">
          <cell r="A237">
            <v>236</v>
          </cell>
          <cell r="B237" t="str">
            <v>Tyrogue</v>
          </cell>
        </row>
        <row r="238">
          <cell r="A238">
            <v>237</v>
          </cell>
          <cell r="B238" t="str">
            <v>Hitmontop</v>
          </cell>
        </row>
        <row r="239">
          <cell r="A239">
            <v>238</v>
          </cell>
          <cell r="B239" t="str">
            <v>Smoochum</v>
          </cell>
        </row>
        <row r="240">
          <cell r="A240">
            <v>239</v>
          </cell>
          <cell r="B240" t="str">
            <v>Elekid</v>
          </cell>
        </row>
        <row r="241">
          <cell r="A241">
            <v>240</v>
          </cell>
          <cell r="B241" t="str">
            <v>Magby</v>
          </cell>
        </row>
        <row r="242">
          <cell r="A242">
            <v>241</v>
          </cell>
          <cell r="B242" t="str">
            <v>Miltank</v>
          </cell>
        </row>
        <row r="243">
          <cell r="A243">
            <v>242</v>
          </cell>
          <cell r="B243" t="str">
            <v>Blissey</v>
          </cell>
        </row>
        <row r="244">
          <cell r="A244">
            <v>243</v>
          </cell>
          <cell r="B244" t="str">
            <v>Raikou</v>
          </cell>
        </row>
        <row r="245">
          <cell r="A245">
            <v>244</v>
          </cell>
          <cell r="B245" t="str">
            <v>Entei</v>
          </cell>
        </row>
        <row r="246">
          <cell r="A246">
            <v>245</v>
          </cell>
          <cell r="B246" t="str">
            <v>Suicune</v>
          </cell>
        </row>
        <row r="247">
          <cell r="A247">
            <v>246</v>
          </cell>
          <cell r="B247" t="str">
            <v>Larvitar</v>
          </cell>
        </row>
        <row r="248">
          <cell r="A248">
            <v>247</v>
          </cell>
          <cell r="B248" t="str">
            <v>Pupitar</v>
          </cell>
        </row>
        <row r="249">
          <cell r="A249">
            <v>248</v>
          </cell>
          <cell r="B249" t="str">
            <v>Tyranitar</v>
          </cell>
        </row>
        <row r="250">
          <cell r="A250">
            <v>249</v>
          </cell>
          <cell r="B250" t="str">
            <v>Lugia</v>
          </cell>
        </row>
        <row r="251">
          <cell r="A251">
            <v>250</v>
          </cell>
          <cell r="B251" t="str">
            <v>Ho-Oh</v>
          </cell>
        </row>
        <row r="252">
          <cell r="A252">
            <v>251</v>
          </cell>
          <cell r="B252" t="str">
            <v>Celebi</v>
          </cell>
        </row>
        <row r="253">
          <cell r="A253">
            <v>252</v>
          </cell>
          <cell r="B253" t="str">
            <v>Treecko</v>
          </cell>
        </row>
        <row r="254">
          <cell r="A254">
            <v>253</v>
          </cell>
          <cell r="B254" t="str">
            <v>Grovyle</v>
          </cell>
        </row>
        <row r="255">
          <cell r="A255">
            <v>254</v>
          </cell>
          <cell r="B255" t="str">
            <v>Sceptile</v>
          </cell>
        </row>
        <row r="256">
          <cell r="A256">
            <v>255</v>
          </cell>
          <cell r="B256" t="str">
            <v>Torchic</v>
          </cell>
        </row>
        <row r="257">
          <cell r="A257">
            <v>256</v>
          </cell>
          <cell r="B257" t="str">
            <v>Combusken</v>
          </cell>
        </row>
        <row r="258">
          <cell r="A258">
            <v>257</v>
          </cell>
          <cell r="B258" t="str">
            <v>Blaziken</v>
          </cell>
        </row>
        <row r="259">
          <cell r="A259">
            <v>258</v>
          </cell>
          <cell r="B259" t="str">
            <v>Mudkip</v>
          </cell>
        </row>
        <row r="260">
          <cell r="A260">
            <v>259</v>
          </cell>
          <cell r="B260" t="str">
            <v>Marshtomp</v>
          </cell>
        </row>
        <row r="261">
          <cell r="A261">
            <v>260</v>
          </cell>
          <cell r="B261" t="str">
            <v>Swampert</v>
          </cell>
        </row>
        <row r="262">
          <cell r="A262">
            <v>261</v>
          </cell>
          <cell r="B262" t="str">
            <v>Poochyena</v>
          </cell>
        </row>
        <row r="263">
          <cell r="A263">
            <v>262</v>
          </cell>
          <cell r="B263" t="str">
            <v>Mightyena</v>
          </cell>
        </row>
        <row r="264">
          <cell r="A264">
            <v>263</v>
          </cell>
          <cell r="B264" t="str">
            <v>Zigzagoon</v>
          </cell>
        </row>
        <row r="265">
          <cell r="A265">
            <v>264</v>
          </cell>
          <cell r="B265" t="str">
            <v>Linoone</v>
          </cell>
        </row>
        <row r="266">
          <cell r="A266">
            <v>265</v>
          </cell>
          <cell r="B266" t="str">
            <v>Wurmple</v>
          </cell>
        </row>
        <row r="267">
          <cell r="A267">
            <v>266</v>
          </cell>
          <cell r="B267" t="str">
            <v>Silcoon</v>
          </cell>
        </row>
        <row r="268">
          <cell r="A268">
            <v>267</v>
          </cell>
          <cell r="B268" t="str">
            <v>Beautifly</v>
          </cell>
        </row>
        <row r="269">
          <cell r="A269">
            <v>268</v>
          </cell>
          <cell r="B269" t="str">
            <v>Cascoon</v>
          </cell>
        </row>
        <row r="270">
          <cell r="A270">
            <v>269</v>
          </cell>
          <cell r="B270" t="str">
            <v>Dustox</v>
          </cell>
        </row>
        <row r="271">
          <cell r="A271">
            <v>270</v>
          </cell>
          <cell r="B271" t="str">
            <v>Lotad</v>
          </cell>
        </row>
        <row r="272">
          <cell r="A272">
            <v>271</v>
          </cell>
          <cell r="B272" t="str">
            <v>Lombre</v>
          </cell>
        </row>
        <row r="273">
          <cell r="A273">
            <v>272</v>
          </cell>
          <cell r="B273" t="str">
            <v>Ludicolo</v>
          </cell>
        </row>
        <row r="274">
          <cell r="A274">
            <v>273</v>
          </cell>
          <cell r="B274" t="str">
            <v>Seedot</v>
          </cell>
        </row>
        <row r="275">
          <cell r="A275">
            <v>274</v>
          </cell>
          <cell r="B275" t="str">
            <v>Nuzleaf</v>
          </cell>
        </row>
        <row r="276">
          <cell r="A276">
            <v>275</v>
          </cell>
          <cell r="B276" t="str">
            <v>Shiftry</v>
          </cell>
        </row>
        <row r="277">
          <cell r="A277">
            <v>276</v>
          </cell>
          <cell r="B277" t="str">
            <v>Taillow</v>
          </cell>
        </row>
        <row r="278">
          <cell r="A278">
            <v>277</v>
          </cell>
          <cell r="B278" t="str">
            <v>Swellow</v>
          </cell>
        </row>
        <row r="279">
          <cell r="A279">
            <v>278</v>
          </cell>
          <cell r="B279" t="str">
            <v>Wingull</v>
          </cell>
        </row>
        <row r="280">
          <cell r="A280">
            <v>279</v>
          </cell>
          <cell r="B280" t="str">
            <v>Pelipper</v>
          </cell>
        </row>
        <row r="281">
          <cell r="A281">
            <v>280</v>
          </cell>
          <cell r="B281" t="str">
            <v>Ralts</v>
          </cell>
        </row>
        <row r="282">
          <cell r="A282">
            <v>281</v>
          </cell>
          <cell r="B282" t="str">
            <v>Kirlia</v>
          </cell>
        </row>
        <row r="283">
          <cell r="A283">
            <v>282</v>
          </cell>
          <cell r="B283" t="str">
            <v>Gardevoir</v>
          </cell>
        </row>
        <row r="284">
          <cell r="A284">
            <v>283</v>
          </cell>
          <cell r="B284" t="str">
            <v>Surskit</v>
          </cell>
        </row>
        <row r="285">
          <cell r="A285">
            <v>284</v>
          </cell>
          <cell r="B285" t="str">
            <v>Masquerain</v>
          </cell>
        </row>
        <row r="286">
          <cell r="A286">
            <v>285</v>
          </cell>
          <cell r="B286" t="str">
            <v>Shroomish</v>
          </cell>
        </row>
        <row r="287">
          <cell r="A287">
            <v>286</v>
          </cell>
          <cell r="B287" t="str">
            <v>Breloom</v>
          </cell>
        </row>
        <row r="288">
          <cell r="A288">
            <v>287</v>
          </cell>
          <cell r="B288" t="str">
            <v>Slakoth</v>
          </cell>
        </row>
        <row r="289">
          <cell r="A289">
            <v>288</v>
          </cell>
          <cell r="B289" t="str">
            <v>Vigoroth</v>
          </cell>
        </row>
        <row r="290">
          <cell r="A290">
            <v>289</v>
          </cell>
          <cell r="B290" t="str">
            <v>Slaking</v>
          </cell>
        </row>
        <row r="291">
          <cell r="A291">
            <v>290</v>
          </cell>
          <cell r="B291" t="str">
            <v>Nincada</v>
          </cell>
        </row>
        <row r="292">
          <cell r="A292">
            <v>291</v>
          </cell>
          <cell r="B292" t="str">
            <v>Ninjask</v>
          </cell>
        </row>
        <row r="293">
          <cell r="A293">
            <v>292</v>
          </cell>
          <cell r="B293" t="str">
            <v>Shedinja</v>
          </cell>
        </row>
        <row r="294">
          <cell r="A294">
            <v>293</v>
          </cell>
          <cell r="B294" t="str">
            <v>Whismur</v>
          </cell>
        </row>
        <row r="295">
          <cell r="A295">
            <v>294</v>
          </cell>
          <cell r="B295" t="str">
            <v>Loudred</v>
          </cell>
        </row>
        <row r="296">
          <cell r="A296">
            <v>295</v>
          </cell>
          <cell r="B296" t="str">
            <v>Exploud</v>
          </cell>
        </row>
        <row r="297">
          <cell r="A297">
            <v>296</v>
          </cell>
          <cell r="B297" t="str">
            <v>Makuhita</v>
          </cell>
        </row>
        <row r="298">
          <cell r="A298">
            <v>297</v>
          </cell>
          <cell r="B298" t="str">
            <v>Hariyama</v>
          </cell>
        </row>
        <row r="299">
          <cell r="A299">
            <v>298</v>
          </cell>
          <cell r="B299" t="str">
            <v>Azurill</v>
          </cell>
        </row>
        <row r="300">
          <cell r="A300">
            <v>299</v>
          </cell>
          <cell r="B300" t="str">
            <v>Nosepass</v>
          </cell>
        </row>
        <row r="301">
          <cell r="A301">
            <v>300</v>
          </cell>
          <cell r="B301" t="str">
            <v>Skitty</v>
          </cell>
        </row>
        <row r="302">
          <cell r="A302">
            <v>301</v>
          </cell>
          <cell r="B302" t="str">
            <v>Delcatty</v>
          </cell>
        </row>
        <row r="303">
          <cell r="A303">
            <v>302</v>
          </cell>
          <cell r="B303" t="str">
            <v>Sableye</v>
          </cell>
        </row>
        <row r="304">
          <cell r="A304">
            <v>303</v>
          </cell>
          <cell r="B304" t="str">
            <v>Mawile</v>
          </cell>
        </row>
        <row r="305">
          <cell r="A305">
            <v>304</v>
          </cell>
          <cell r="B305" t="str">
            <v>Aron</v>
          </cell>
        </row>
        <row r="306">
          <cell r="A306">
            <v>305</v>
          </cell>
          <cell r="B306" t="str">
            <v>Lairon</v>
          </cell>
        </row>
        <row r="307">
          <cell r="A307">
            <v>306</v>
          </cell>
          <cell r="B307" t="str">
            <v>Aggron</v>
          </cell>
        </row>
        <row r="308">
          <cell r="A308">
            <v>307</v>
          </cell>
          <cell r="B308" t="str">
            <v>Meditite</v>
          </cell>
        </row>
        <row r="309">
          <cell r="A309">
            <v>308</v>
          </cell>
          <cell r="B309" t="str">
            <v>Medicham</v>
          </cell>
        </row>
        <row r="310">
          <cell r="A310">
            <v>309</v>
          </cell>
          <cell r="B310" t="str">
            <v>Electrike</v>
          </cell>
        </row>
        <row r="311">
          <cell r="A311">
            <v>310</v>
          </cell>
          <cell r="B311" t="str">
            <v>Manectric</v>
          </cell>
        </row>
        <row r="312">
          <cell r="A312">
            <v>311</v>
          </cell>
          <cell r="B312" t="str">
            <v>Plusle</v>
          </cell>
        </row>
        <row r="313">
          <cell r="A313">
            <v>312</v>
          </cell>
          <cell r="B313" t="str">
            <v>Minun</v>
          </cell>
        </row>
        <row r="314">
          <cell r="A314">
            <v>313</v>
          </cell>
          <cell r="B314" t="str">
            <v>Volbeat</v>
          </cell>
        </row>
        <row r="315">
          <cell r="A315">
            <v>314</v>
          </cell>
          <cell r="B315" t="str">
            <v>Illumise</v>
          </cell>
        </row>
        <row r="316">
          <cell r="A316">
            <v>315</v>
          </cell>
          <cell r="B316" t="str">
            <v>Roselia</v>
          </cell>
        </row>
        <row r="317">
          <cell r="A317">
            <v>316</v>
          </cell>
          <cell r="B317" t="str">
            <v>Gulpin</v>
          </cell>
        </row>
        <row r="318">
          <cell r="A318">
            <v>317</v>
          </cell>
          <cell r="B318" t="str">
            <v>Swalot</v>
          </cell>
        </row>
        <row r="319">
          <cell r="A319">
            <v>318</v>
          </cell>
          <cell r="B319" t="str">
            <v>Carvanha</v>
          </cell>
        </row>
        <row r="320">
          <cell r="A320">
            <v>319</v>
          </cell>
          <cell r="B320" t="str">
            <v>Sharpedo</v>
          </cell>
        </row>
        <row r="321">
          <cell r="A321">
            <v>320</v>
          </cell>
          <cell r="B321" t="str">
            <v>Wailmer</v>
          </cell>
        </row>
        <row r="322">
          <cell r="A322">
            <v>321</v>
          </cell>
          <cell r="B322" t="str">
            <v>Wailord</v>
          </cell>
        </row>
        <row r="323">
          <cell r="A323">
            <v>322</v>
          </cell>
          <cell r="B323" t="str">
            <v>Numel</v>
          </cell>
        </row>
        <row r="324">
          <cell r="A324">
            <v>323</v>
          </cell>
          <cell r="B324" t="str">
            <v>Camerupt</v>
          </cell>
        </row>
        <row r="325">
          <cell r="A325">
            <v>324</v>
          </cell>
          <cell r="B325" t="str">
            <v>Torkoal</v>
          </cell>
        </row>
        <row r="326">
          <cell r="A326">
            <v>325</v>
          </cell>
          <cell r="B326" t="str">
            <v>Spoink</v>
          </cell>
        </row>
        <row r="327">
          <cell r="A327">
            <v>326</v>
          </cell>
          <cell r="B327" t="str">
            <v>Grumpig</v>
          </cell>
        </row>
        <row r="328">
          <cell r="A328">
            <v>327</v>
          </cell>
          <cell r="B328" t="str">
            <v>Spinda</v>
          </cell>
        </row>
        <row r="329">
          <cell r="A329">
            <v>328</v>
          </cell>
          <cell r="B329" t="str">
            <v>Trapinch</v>
          </cell>
        </row>
        <row r="330">
          <cell r="A330">
            <v>329</v>
          </cell>
          <cell r="B330" t="str">
            <v>Vibrava</v>
          </cell>
        </row>
        <row r="331">
          <cell r="A331">
            <v>330</v>
          </cell>
          <cell r="B331" t="str">
            <v>Flygon</v>
          </cell>
        </row>
        <row r="332">
          <cell r="A332">
            <v>331</v>
          </cell>
          <cell r="B332" t="str">
            <v>Cacnea</v>
          </cell>
        </row>
        <row r="333">
          <cell r="A333">
            <v>332</v>
          </cell>
          <cell r="B333" t="str">
            <v>Cacturne</v>
          </cell>
        </row>
        <row r="334">
          <cell r="A334">
            <v>333</v>
          </cell>
          <cell r="B334" t="str">
            <v>Swablu</v>
          </cell>
        </row>
        <row r="335">
          <cell r="A335">
            <v>334</v>
          </cell>
          <cell r="B335" t="str">
            <v>Altaria</v>
          </cell>
        </row>
        <row r="336">
          <cell r="A336">
            <v>335</v>
          </cell>
          <cell r="B336" t="str">
            <v>Zangoose</v>
          </cell>
        </row>
        <row r="337">
          <cell r="A337">
            <v>336</v>
          </cell>
          <cell r="B337" t="str">
            <v>Seviper</v>
          </cell>
        </row>
        <row r="338">
          <cell r="A338">
            <v>337</v>
          </cell>
          <cell r="B338" t="str">
            <v>Lunatone</v>
          </cell>
        </row>
        <row r="339">
          <cell r="A339">
            <v>338</v>
          </cell>
          <cell r="B339" t="str">
            <v>Solrock</v>
          </cell>
        </row>
        <row r="340">
          <cell r="A340">
            <v>339</v>
          </cell>
          <cell r="B340" t="str">
            <v>Barboach</v>
          </cell>
        </row>
        <row r="341">
          <cell r="A341">
            <v>340</v>
          </cell>
          <cell r="B341" t="str">
            <v>Whiscash</v>
          </cell>
        </row>
        <row r="342">
          <cell r="A342">
            <v>341</v>
          </cell>
          <cell r="B342" t="str">
            <v>Corphish</v>
          </cell>
        </row>
        <row r="343">
          <cell r="A343">
            <v>342</v>
          </cell>
          <cell r="B343" t="str">
            <v>Crawdaunt</v>
          </cell>
        </row>
        <row r="344">
          <cell r="A344">
            <v>343</v>
          </cell>
          <cell r="B344" t="str">
            <v>Baltoy</v>
          </cell>
        </row>
        <row r="345">
          <cell r="A345">
            <v>344</v>
          </cell>
          <cell r="B345" t="str">
            <v>Claydol</v>
          </cell>
        </row>
        <row r="346">
          <cell r="A346">
            <v>345</v>
          </cell>
          <cell r="B346" t="str">
            <v>Lileep</v>
          </cell>
        </row>
        <row r="347">
          <cell r="A347">
            <v>346</v>
          </cell>
          <cell r="B347" t="str">
            <v>Cradily</v>
          </cell>
        </row>
        <row r="348">
          <cell r="A348">
            <v>347</v>
          </cell>
          <cell r="B348" t="str">
            <v>Anorith</v>
          </cell>
        </row>
        <row r="349">
          <cell r="A349">
            <v>348</v>
          </cell>
          <cell r="B349" t="str">
            <v>Armaldo</v>
          </cell>
        </row>
        <row r="350">
          <cell r="A350">
            <v>349</v>
          </cell>
          <cell r="B350" t="str">
            <v>Feebas</v>
          </cell>
        </row>
        <row r="351">
          <cell r="A351">
            <v>350</v>
          </cell>
          <cell r="B351" t="str">
            <v>Milotic</v>
          </cell>
        </row>
        <row r="352">
          <cell r="A352">
            <v>351</v>
          </cell>
          <cell r="B352" t="str">
            <v>Castform</v>
          </cell>
        </row>
        <row r="353">
          <cell r="A353">
            <v>352</v>
          </cell>
          <cell r="B353" t="str">
            <v>Kecleon</v>
          </cell>
        </row>
        <row r="354">
          <cell r="A354">
            <v>353</v>
          </cell>
          <cell r="B354" t="str">
            <v>Shuppet</v>
          </cell>
        </row>
        <row r="355">
          <cell r="A355">
            <v>354</v>
          </cell>
          <cell r="B355" t="str">
            <v>Banette</v>
          </cell>
        </row>
        <row r="356">
          <cell r="A356">
            <v>355</v>
          </cell>
          <cell r="B356" t="str">
            <v>Duskull</v>
          </cell>
        </row>
        <row r="357">
          <cell r="A357">
            <v>356</v>
          </cell>
          <cell r="B357" t="str">
            <v>Dusclops</v>
          </cell>
        </row>
        <row r="358">
          <cell r="A358">
            <v>357</v>
          </cell>
          <cell r="B358" t="str">
            <v>Tropius</v>
          </cell>
        </row>
        <row r="359">
          <cell r="A359">
            <v>358</v>
          </cell>
          <cell r="B359" t="str">
            <v>Chimecho</v>
          </cell>
        </row>
        <row r="360">
          <cell r="A360">
            <v>359</v>
          </cell>
          <cell r="B360" t="str">
            <v>Absol</v>
          </cell>
        </row>
        <row r="361">
          <cell r="A361">
            <v>360</v>
          </cell>
          <cell r="B361" t="str">
            <v>Wynaut</v>
          </cell>
        </row>
        <row r="362">
          <cell r="A362">
            <v>361</v>
          </cell>
          <cell r="B362" t="str">
            <v>Snorunt</v>
          </cell>
        </row>
        <row r="363">
          <cell r="A363">
            <v>362</v>
          </cell>
          <cell r="B363" t="str">
            <v>Glalie</v>
          </cell>
        </row>
        <row r="364">
          <cell r="A364">
            <v>363</v>
          </cell>
          <cell r="B364" t="str">
            <v>Spheal</v>
          </cell>
        </row>
        <row r="365">
          <cell r="A365">
            <v>364</v>
          </cell>
          <cell r="B365" t="str">
            <v>Sealeo</v>
          </cell>
        </row>
        <row r="366">
          <cell r="A366">
            <v>365</v>
          </cell>
          <cell r="B366" t="str">
            <v>Walrein</v>
          </cell>
        </row>
        <row r="367">
          <cell r="A367">
            <v>366</v>
          </cell>
          <cell r="B367" t="str">
            <v>Clamperl</v>
          </cell>
        </row>
        <row r="368">
          <cell r="A368">
            <v>367</v>
          </cell>
          <cell r="B368" t="str">
            <v>Huntail</v>
          </cell>
        </row>
        <row r="369">
          <cell r="A369">
            <v>368</v>
          </cell>
          <cell r="B369" t="str">
            <v>Gorebyss</v>
          </cell>
        </row>
        <row r="370">
          <cell r="A370">
            <v>369</v>
          </cell>
          <cell r="B370" t="str">
            <v>Relicanth</v>
          </cell>
        </row>
        <row r="371">
          <cell r="A371">
            <v>370</v>
          </cell>
          <cell r="B371" t="str">
            <v>Luvdisc</v>
          </cell>
        </row>
        <row r="372">
          <cell r="A372">
            <v>371</v>
          </cell>
          <cell r="B372" t="str">
            <v>Bagon</v>
          </cell>
        </row>
        <row r="373">
          <cell r="A373">
            <v>372</v>
          </cell>
          <cell r="B373" t="str">
            <v>Shelgon</v>
          </cell>
        </row>
        <row r="374">
          <cell r="A374">
            <v>373</v>
          </cell>
          <cell r="B374" t="str">
            <v>Salamence</v>
          </cell>
        </row>
        <row r="375">
          <cell r="A375">
            <v>374</v>
          </cell>
          <cell r="B375" t="str">
            <v>Beldum</v>
          </cell>
        </row>
        <row r="376">
          <cell r="A376">
            <v>375</v>
          </cell>
          <cell r="B376" t="str">
            <v>Metang</v>
          </cell>
        </row>
        <row r="377">
          <cell r="A377">
            <v>376</v>
          </cell>
          <cell r="B377" t="str">
            <v>Metagross</v>
          </cell>
        </row>
        <row r="378">
          <cell r="A378">
            <v>377</v>
          </cell>
          <cell r="B378" t="str">
            <v>Regirock</v>
          </cell>
        </row>
        <row r="379">
          <cell r="A379">
            <v>378</v>
          </cell>
          <cell r="B379" t="str">
            <v>Regice</v>
          </cell>
        </row>
        <row r="380">
          <cell r="A380">
            <v>379</v>
          </cell>
          <cell r="B380" t="str">
            <v>Registeel</v>
          </cell>
        </row>
        <row r="381">
          <cell r="A381">
            <v>380</v>
          </cell>
          <cell r="B381" t="str">
            <v>Latias</v>
          </cell>
        </row>
        <row r="382">
          <cell r="A382">
            <v>381</v>
          </cell>
          <cell r="B382" t="str">
            <v>Latios</v>
          </cell>
        </row>
        <row r="383">
          <cell r="A383">
            <v>382</v>
          </cell>
          <cell r="B383" t="str">
            <v>Kyogre</v>
          </cell>
        </row>
        <row r="384">
          <cell r="A384">
            <v>383</v>
          </cell>
          <cell r="B384" t="str">
            <v>Groudon</v>
          </cell>
        </row>
        <row r="385">
          <cell r="A385">
            <v>384</v>
          </cell>
          <cell r="B385" t="str">
            <v>Rayquaza</v>
          </cell>
        </row>
        <row r="386">
          <cell r="A386">
            <v>385</v>
          </cell>
          <cell r="B386" t="str">
            <v>Jirachi</v>
          </cell>
        </row>
        <row r="387">
          <cell r="A387">
            <v>386</v>
          </cell>
          <cell r="B387" t="str">
            <v>Deoxys</v>
          </cell>
        </row>
        <row r="388">
          <cell r="A388">
            <v>387</v>
          </cell>
          <cell r="B388" t="str">
            <v>Turtwig</v>
          </cell>
        </row>
        <row r="389">
          <cell r="A389">
            <v>388</v>
          </cell>
          <cell r="B389" t="str">
            <v>Grotle</v>
          </cell>
        </row>
        <row r="390">
          <cell r="A390">
            <v>389</v>
          </cell>
          <cell r="B390" t="str">
            <v>Torterra</v>
          </cell>
        </row>
        <row r="391">
          <cell r="A391">
            <v>390</v>
          </cell>
          <cell r="B391" t="str">
            <v>Chimchar</v>
          </cell>
        </row>
        <row r="392">
          <cell r="A392">
            <v>391</v>
          </cell>
          <cell r="B392" t="str">
            <v>Monferno</v>
          </cell>
        </row>
        <row r="393">
          <cell r="A393">
            <v>392</v>
          </cell>
          <cell r="B393" t="str">
            <v>Infernape</v>
          </cell>
        </row>
        <row r="394">
          <cell r="A394">
            <v>393</v>
          </cell>
          <cell r="B394" t="str">
            <v>Piplup</v>
          </cell>
        </row>
        <row r="395">
          <cell r="A395">
            <v>394</v>
          </cell>
          <cell r="B395" t="str">
            <v>Prinplup</v>
          </cell>
        </row>
        <row r="396">
          <cell r="A396">
            <v>395</v>
          </cell>
          <cell r="B396" t="str">
            <v>Empoleon</v>
          </cell>
        </row>
        <row r="397">
          <cell r="A397">
            <v>396</v>
          </cell>
          <cell r="B397" t="str">
            <v>Starly</v>
          </cell>
        </row>
        <row r="398">
          <cell r="A398">
            <v>397</v>
          </cell>
          <cell r="B398" t="str">
            <v>Staravia</v>
          </cell>
        </row>
        <row r="399">
          <cell r="A399">
            <v>398</v>
          </cell>
          <cell r="B399" t="str">
            <v>Staraptor</v>
          </cell>
        </row>
        <row r="400">
          <cell r="A400">
            <v>399</v>
          </cell>
          <cell r="B400" t="str">
            <v>Bidoof</v>
          </cell>
        </row>
        <row r="401">
          <cell r="A401">
            <v>400</v>
          </cell>
          <cell r="B401" t="str">
            <v>Bibarel</v>
          </cell>
        </row>
        <row r="402">
          <cell r="A402">
            <v>401</v>
          </cell>
          <cell r="B402" t="str">
            <v>Kricketot</v>
          </cell>
        </row>
        <row r="403">
          <cell r="A403">
            <v>402</v>
          </cell>
          <cell r="B403" t="str">
            <v>Kricketune</v>
          </cell>
        </row>
        <row r="404">
          <cell r="A404">
            <v>403</v>
          </cell>
          <cell r="B404" t="str">
            <v>Shinx</v>
          </cell>
        </row>
        <row r="405">
          <cell r="A405">
            <v>404</v>
          </cell>
          <cell r="B405" t="str">
            <v>Luxio</v>
          </cell>
        </row>
        <row r="406">
          <cell r="A406">
            <v>405</v>
          </cell>
          <cell r="B406" t="str">
            <v>Luxray</v>
          </cell>
        </row>
        <row r="407">
          <cell r="A407">
            <v>406</v>
          </cell>
          <cell r="B407" t="str">
            <v>Budew</v>
          </cell>
        </row>
        <row r="408">
          <cell r="A408">
            <v>407</v>
          </cell>
          <cell r="B408" t="str">
            <v>Roserade</v>
          </cell>
        </row>
        <row r="409">
          <cell r="A409">
            <v>408</v>
          </cell>
          <cell r="B409" t="str">
            <v>Cranidos</v>
          </cell>
        </row>
        <row r="410">
          <cell r="A410">
            <v>409</v>
          </cell>
          <cell r="B410" t="str">
            <v>Rampardos</v>
          </cell>
        </row>
        <row r="411">
          <cell r="A411">
            <v>410</v>
          </cell>
          <cell r="B411" t="str">
            <v>Shieldon</v>
          </cell>
        </row>
        <row r="412">
          <cell r="A412">
            <v>411</v>
          </cell>
          <cell r="B412" t="str">
            <v>Bastiodon</v>
          </cell>
        </row>
        <row r="413">
          <cell r="A413">
            <v>412</v>
          </cell>
          <cell r="B413" t="str">
            <v>Burmy - Plant</v>
          </cell>
        </row>
        <row r="414">
          <cell r="A414">
            <v>413</v>
          </cell>
          <cell r="B414" t="str">
            <v>Wormadam - Plant</v>
          </cell>
        </row>
        <row r="415">
          <cell r="A415">
            <v>414</v>
          </cell>
          <cell r="B415" t="str">
            <v>Mothim</v>
          </cell>
        </row>
        <row r="416">
          <cell r="A416">
            <v>415</v>
          </cell>
          <cell r="B416" t="str">
            <v>Combee</v>
          </cell>
        </row>
        <row r="417">
          <cell r="A417">
            <v>416</v>
          </cell>
          <cell r="B417" t="str">
            <v>Vespiquen</v>
          </cell>
        </row>
        <row r="418">
          <cell r="A418">
            <v>417</v>
          </cell>
          <cell r="B418" t="str">
            <v>Pachirisu</v>
          </cell>
        </row>
        <row r="419">
          <cell r="A419">
            <v>418</v>
          </cell>
          <cell r="B419" t="str">
            <v>Buizel</v>
          </cell>
        </row>
        <row r="420">
          <cell r="A420">
            <v>419</v>
          </cell>
          <cell r="B420" t="str">
            <v>Floatzel</v>
          </cell>
        </row>
        <row r="421">
          <cell r="A421">
            <v>420</v>
          </cell>
          <cell r="B421" t="str">
            <v>Cherubi</v>
          </cell>
        </row>
        <row r="422">
          <cell r="A422">
            <v>421</v>
          </cell>
          <cell r="B422" t="str">
            <v>Cherrim - Overcast</v>
          </cell>
        </row>
        <row r="423">
          <cell r="A423">
            <v>422</v>
          </cell>
          <cell r="B423" t="str">
            <v>Shellos - West</v>
          </cell>
        </row>
        <row r="424">
          <cell r="A424">
            <v>423</v>
          </cell>
          <cell r="B424" t="str">
            <v>Gastrodon - West</v>
          </cell>
        </row>
        <row r="425">
          <cell r="A425">
            <v>424</v>
          </cell>
          <cell r="B425" t="str">
            <v>Ambipom</v>
          </cell>
        </row>
        <row r="426">
          <cell r="A426">
            <v>425</v>
          </cell>
          <cell r="B426" t="str">
            <v>Drifloon</v>
          </cell>
        </row>
        <row r="427">
          <cell r="A427">
            <v>426</v>
          </cell>
          <cell r="B427" t="str">
            <v>Drifblim</v>
          </cell>
        </row>
        <row r="428">
          <cell r="A428">
            <v>427</v>
          </cell>
          <cell r="B428" t="str">
            <v>Buneary</v>
          </cell>
        </row>
        <row r="429">
          <cell r="A429">
            <v>428</v>
          </cell>
          <cell r="B429" t="str">
            <v>Lopunny</v>
          </cell>
        </row>
        <row r="430">
          <cell r="A430">
            <v>429</v>
          </cell>
          <cell r="B430" t="str">
            <v>Mismagius</v>
          </cell>
        </row>
        <row r="431">
          <cell r="A431">
            <v>430</v>
          </cell>
          <cell r="B431" t="str">
            <v>Honchkrow</v>
          </cell>
        </row>
        <row r="432">
          <cell r="A432">
            <v>431</v>
          </cell>
          <cell r="B432" t="str">
            <v>Glameow</v>
          </cell>
        </row>
        <row r="433">
          <cell r="A433">
            <v>432</v>
          </cell>
          <cell r="B433" t="str">
            <v>Purugly</v>
          </cell>
        </row>
        <row r="434">
          <cell r="A434">
            <v>433</v>
          </cell>
          <cell r="B434" t="str">
            <v>Chingling</v>
          </cell>
        </row>
        <row r="435">
          <cell r="A435">
            <v>434</v>
          </cell>
          <cell r="B435" t="str">
            <v>Stunky</v>
          </cell>
        </row>
        <row r="436">
          <cell r="A436">
            <v>435</v>
          </cell>
          <cell r="B436" t="str">
            <v>Skuntank</v>
          </cell>
        </row>
        <row r="437">
          <cell r="A437">
            <v>436</v>
          </cell>
          <cell r="B437" t="str">
            <v>Bronzor</v>
          </cell>
        </row>
        <row r="438">
          <cell r="A438">
            <v>437</v>
          </cell>
          <cell r="B438" t="str">
            <v>Bronzong</v>
          </cell>
        </row>
        <row r="439">
          <cell r="A439">
            <v>438</v>
          </cell>
          <cell r="B439" t="str">
            <v>Bonsly</v>
          </cell>
        </row>
        <row r="440">
          <cell r="A440">
            <v>439</v>
          </cell>
          <cell r="B440" t="str">
            <v>Mime Jr.</v>
          </cell>
        </row>
        <row r="441">
          <cell r="A441">
            <v>440</v>
          </cell>
          <cell r="B441" t="str">
            <v>Happiny</v>
          </cell>
        </row>
        <row r="442">
          <cell r="A442">
            <v>441</v>
          </cell>
          <cell r="B442" t="str">
            <v>Chatot</v>
          </cell>
        </row>
        <row r="443">
          <cell r="A443">
            <v>442</v>
          </cell>
          <cell r="B443" t="str">
            <v>Spiritomb</v>
          </cell>
        </row>
        <row r="444">
          <cell r="A444">
            <v>443</v>
          </cell>
          <cell r="B444" t="str">
            <v>Gible</v>
          </cell>
        </row>
        <row r="445">
          <cell r="A445">
            <v>444</v>
          </cell>
          <cell r="B445" t="str">
            <v>Gabite</v>
          </cell>
        </row>
        <row r="446">
          <cell r="A446">
            <v>445</v>
          </cell>
          <cell r="B446" t="str">
            <v>Garchomp</v>
          </cell>
        </row>
        <row r="447">
          <cell r="A447">
            <v>446</v>
          </cell>
          <cell r="B447" t="str">
            <v>Munchlax</v>
          </cell>
        </row>
        <row r="448">
          <cell r="A448">
            <v>447</v>
          </cell>
          <cell r="B448" t="str">
            <v>Riolu</v>
          </cell>
        </row>
        <row r="449">
          <cell r="A449">
            <v>448</v>
          </cell>
          <cell r="B449" t="str">
            <v>Lucario</v>
          </cell>
        </row>
        <row r="450">
          <cell r="A450">
            <v>449</v>
          </cell>
          <cell r="B450" t="str">
            <v>Hippopotas</v>
          </cell>
        </row>
        <row r="451">
          <cell r="A451">
            <v>450</v>
          </cell>
          <cell r="B451" t="str">
            <v>Hippowdon</v>
          </cell>
        </row>
        <row r="452">
          <cell r="A452">
            <v>451</v>
          </cell>
          <cell r="B452" t="str">
            <v>Skorupi</v>
          </cell>
        </row>
        <row r="453">
          <cell r="A453">
            <v>452</v>
          </cell>
          <cell r="B453" t="str">
            <v>Drapion</v>
          </cell>
        </row>
        <row r="454">
          <cell r="A454">
            <v>453</v>
          </cell>
          <cell r="B454" t="str">
            <v>Croagunk</v>
          </cell>
        </row>
        <row r="455">
          <cell r="A455">
            <v>454</v>
          </cell>
          <cell r="B455" t="str">
            <v>Toxicroak</v>
          </cell>
        </row>
        <row r="456">
          <cell r="A456">
            <v>455</v>
          </cell>
          <cell r="B456" t="str">
            <v>Carnivine</v>
          </cell>
        </row>
        <row r="457">
          <cell r="A457">
            <v>456</v>
          </cell>
          <cell r="B457" t="str">
            <v>Finneon</v>
          </cell>
        </row>
        <row r="458">
          <cell r="A458">
            <v>457</v>
          </cell>
          <cell r="B458" t="str">
            <v>Lumineon</v>
          </cell>
        </row>
        <row r="459">
          <cell r="A459">
            <v>458</v>
          </cell>
          <cell r="B459" t="str">
            <v>Mantyke</v>
          </cell>
        </row>
        <row r="460">
          <cell r="A460">
            <v>459</v>
          </cell>
          <cell r="B460" t="str">
            <v>Snover</v>
          </cell>
        </row>
        <row r="461">
          <cell r="A461">
            <v>460</v>
          </cell>
          <cell r="B461" t="str">
            <v>Abomasnow</v>
          </cell>
        </row>
        <row r="462">
          <cell r="A462">
            <v>461</v>
          </cell>
          <cell r="B462" t="str">
            <v>Weavile</v>
          </cell>
        </row>
        <row r="463">
          <cell r="A463">
            <v>462</v>
          </cell>
          <cell r="B463" t="str">
            <v>Magnezone</v>
          </cell>
        </row>
        <row r="464">
          <cell r="A464">
            <v>463</v>
          </cell>
          <cell r="B464" t="str">
            <v>Lickilicky</v>
          </cell>
        </row>
        <row r="465">
          <cell r="A465">
            <v>464</v>
          </cell>
          <cell r="B465" t="str">
            <v>Rhyperior</v>
          </cell>
        </row>
        <row r="466">
          <cell r="A466">
            <v>465</v>
          </cell>
          <cell r="B466" t="str">
            <v>Tangrowth</v>
          </cell>
        </row>
        <row r="467">
          <cell r="A467">
            <v>466</v>
          </cell>
          <cell r="B467" t="str">
            <v>Electivire</v>
          </cell>
        </row>
        <row r="468">
          <cell r="A468">
            <v>467</v>
          </cell>
          <cell r="B468" t="str">
            <v>Magmortar</v>
          </cell>
        </row>
        <row r="469">
          <cell r="A469">
            <v>468</v>
          </cell>
          <cell r="B469" t="str">
            <v>Togekiss</v>
          </cell>
        </row>
        <row r="470">
          <cell r="A470">
            <v>469</v>
          </cell>
          <cell r="B470" t="str">
            <v>Yanmega</v>
          </cell>
        </row>
        <row r="471">
          <cell r="A471">
            <v>470</v>
          </cell>
          <cell r="B471" t="str">
            <v>Leafeon</v>
          </cell>
        </row>
        <row r="472">
          <cell r="A472">
            <v>471</v>
          </cell>
          <cell r="B472" t="str">
            <v>Glaceon</v>
          </cell>
        </row>
        <row r="473">
          <cell r="A473">
            <v>472</v>
          </cell>
          <cell r="B473" t="str">
            <v>Gliscor</v>
          </cell>
        </row>
        <row r="474">
          <cell r="A474">
            <v>473</v>
          </cell>
          <cell r="B474" t="str">
            <v>Mamoswine</v>
          </cell>
        </row>
        <row r="475">
          <cell r="A475">
            <v>474</v>
          </cell>
          <cell r="B475" t="str">
            <v>Porygon-Z</v>
          </cell>
        </row>
        <row r="476">
          <cell r="A476">
            <v>475</v>
          </cell>
          <cell r="B476" t="str">
            <v>Gallade</v>
          </cell>
        </row>
        <row r="477">
          <cell r="A477">
            <v>476</v>
          </cell>
          <cell r="B477" t="str">
            <v>Probopass</v>
          </cell>
        </row>
        <row r="478">
          <cell r="A478">
            <v>477</v>
          </cell>
          <cell r="B478" t="str">
            <v>Dusknoir</v>
          </cell>
        </row>
        <row r="479">
          <cell r="A479">
            <v>478</v>
          </cell>
          <cell r="B479" t="str">
            <v>Froslass</v>
          </cell>
        </row>
        <row r="480">
          <cell r="A480">
            <v>479</v>
          </cell>
          <cell r="B480" t="str">
            <v>Rotom</v>
          </cell>
        </row>
        <row r="481">
          <cell r="A481">
            <v>480</v>
          </cell>
          <cell r="B481" t="str">
            <v>Uxie</v>
          </cell>
        </row>
        <row r="482">
          <cell r="A482">
            <v>481</v>
          </cell>
          <cell r="B482" t="str">
            <v>Mesprit</v>
          </cell>
        </row>
        <row r="483">
          <cell r="A483">
            <v>482</v>
          </cell>
          <cell r="B483" t="str">
            <v>Azelf</v>
          </cell>
        </row>
        <row r="484">
          <cell r="A484">
            <v>483</v>
          </cell>
          <cell r="B484" t="str">
            <v>Dialga</v>
          </cell>
        </row>
        <row r="485">
          <cell r="A485">
            <v>484</v>
          </cell>
          <cell r="B485" t="str">
            <v>Palkia</v>
          </cell>
        </row>
        <row r="486">
          <cell r="A486">
            <v>485</v>
          </cell>
          <cell r="B486" t="str">
            <v>Heatran</v>
          </cell>
        </row>
        <row r="487">
          <cell r="A487">
            <v>486</v>
          </cell>
          <cell r="B487" t="str">
            <v>Regigigas</v>
          </cell>
        </row>
        <row r="488">
          <cell r="A488">
            <v>487</v>
          </cell>
          <cell r="B488" t="str">
            <v>Giratina - Altered</v>
          </cell>
        </row>
        <row r="489">
          <cell r="A489">
            <v>488</v>
          </cell>
          <cell r="B489" t="str">
            <v>Cresselia</v>
          </cell>
        </row>
        <row r="490">
          <cell r="A490">
            <v>489</v>
          </cell>
          <cell r="B490" t="str">
            <v>Phione</v>
          </cell>
        </row>
        <row r="491">
          <cell r="A491">
            <v>490</v>
          </cell>
          <cell r="B491" t="str">
            <v>Manaphy</v>
          </cell>
        </row>
        <row r="492">
          <cell r="A492">
            <v>491</v>
          </cell>
          <cell r="B492" t="str">
            <v>Darkrai</v>
          </cell>
        </row>
        <row r="493">
          <cell r="A493">
            <v>492</v>
          </cell>
          <cell r="B493" t="str">
            <v>Shaymin - Land</v>
          </cell>
        </row>
        <row r="494">
          <cell r="A494">
            <v>493</v>
          </cell>
          <cell r="B494" t="str">
            <v>Arceus</v>
          </cell>
        </row>
        <row r="495">
          <cell r="A495">
            <v>494</v>
          </cell>
          <cell r="B495" t="str">
            <v>Victini</v>
          </cell>
        </row>
        <row r="496">
          <cell r="A496">
            <v>495</v>
          </cell>
          <cell r="B496" t="str">
            <v>Snivy</v>
          </cell>
        </row>
        <row r="497">
          <cell r="A497">
            <v>496</v>
          </cell>
          <cell r="B497" t="str">
            <v>Servine</v>
          </cell>
        </row>
        <row r="498">
          <cell r="A498">
            <v>497</v>
          </cell>
          <cell r="B498" t="str">
            <v>Serperior</v>
          </cell>
        </row>
        <row r="499">
          <cell r="A499">
            <v>498</v>
          </cell>
          <cell r="B499" t="str">
            <v>Tepig</v>
          </cell>
        </row>
        <row r="500">
          <cell r="A500">
            <v>499</v>
          </cell>
          <cell r="B500" t="str">
            <v>Pignite</v>
          </cell>
        </row>
        <row r="501">
          <cell r="A501">
            <v>500</v>
          </cell>
          <cell r="B501" t="str">
            <v>Emboar</v>
          </cell>
        </row>
        <row r="502">
          <cell r="A502">
            <v>501</v>
          </cell>
          <cell r="B502" t="str">
            <v>Oshawott</v>
          </cell>
        </row>
        <row r="503">
          <cell r="A503">
            <v>502</v>
          </cell>
          <cell r="B503" t="str">
            <v>Dewott</v>
          </cell>
        </row>
        <row r="504">
          <cell r="A504">
            <v>503</v>
          </cell>
          <cell r="B504" t="str">
            <v>Samurott</v>
          </cell>
        </row>
        <row r="505">
          <cell r="A505">
            <v>504</v>
          </cell>
          <cell r="B505" t="str">
            <v>Patrat</v>
          </cell>
        </row>
        <row r="506">
          <cell r="A506">
            <v>505</v>
          </cell>
          <cell r="B506" t="str">
            <v>Watchog</v>
          </cell>
        </row>
        <row r="507">
          <cell r="A507">
            <v>506</v>
          </cell>
          <cell r="B507" t="str">
            <v>Lillipup</v>
          </cell>
        </row>
        <row r="508">
          <cell r="A508">
            <v>507</v>
          </cell>
          <cell r="B508" t="str">
            <v>Herdier</v>
          </cell>
        </row>
        <row r="509">
          <cell r="A509">
            <v>508</v>
          </cell>
          <cell r="B509" t="str">
            <v>Stoutland</v>
          </cell>
        </row>
        <row r="510">
          <cell r="A510">
            <v>509</v>
          </cell>
          <cell r="B510" t="str">
            <v>Purrloin</v>
          </cell>
        </row>
        <row r="511">
          <cell r="A511">
            <v>510</v>
          </cell>
          <cell r="B511" t="str">
            <v>Liepard</v>
          </cell>
        </row>
        <row r="512">
          <cell r="A512">
            <v>511</v>
          </cell>
          <cell r="B512" t="str">
            <v>Pansage</v>
          </cell>
        </row>
        <row r="513">
          <cell r="A513">
            <v>512</v>
          </cell>
          <cell r="B513" t="str">
            <v>Simisage</v>
          </cell>
        </row>
        <row r="514">
          <cell r="A514">
            <v>513</v>
          </cell>
          <cell r="B514" t="str">
            <v>Pansear</v>
          </cell>
        </row>
        <row r="515">
          <cell r="A515">
            <v>514</v>
          </cell>
          <cell r="B515" t="str">
            <v>Simisear</v>
          </cell>
        </row>
        <row r="516">
          <cell r="A516">
            <v>515</v>
          </cell>
          <cell r="B516" t="str">
            <v>Panpour</v>
          </cell>
        </row>
        <row r="517">
          <cell r="A517">
            <v>516</v>
          </cell>
          <cell r="B517" t="str">
            <v>Simipour</v>
          </cell>
        </row>
        <row r="518">
          <cell r="A518">
            <v>517</v>
          </cell>
          <cell r="B518" t="str">
            <v>Munna</v>
          </cell>
        </row>
        <row r="519">
          <cell r="A519">
            <v>518</v>
          </cell>
          <cell r="B519" t="str">
            <v>Musharna</v>
          </cell>
        </row>
        <row r="520">
          <cell r="A520">
            <v>519</v>
          </cell>
          <cell r="B520" t="str">
            <v>Pidove</v>
          </cell>
        </row>
        <row r="521">
          <cell r="A521">
            <v>520</v>
          </cell>
          <cell r="B521" t="str">
            <v>Tranquill</v>
          </cell>
        </row>
        <row r="522">
          <cell r="A522">
            <v>521</v>
          </cell>
          <cell r="B522" t="str">
            <v>Unfezant</v>
          </cell>
        </row>
        <row r="523">
          <cell r="A523">
            <v>522</v>
          </cell>
          <cell r="B523" t="str">
            <v>Blitzle</v>
          </cell>
        </row>
        <row r="524">
          <cell r="A524">
            <v>523</v>
          </cell>
          <cell r="B524" t="str">
            <v>Zebstrika</v>
          </cell>
        </row>
        <row r="525">
          <cell r="A525">
            <v>524</v>
          </cell>
          <cell r="B525" t="str">
            <v>Roggenrola</v>
          </cell>
        </row>
        <row r="526">
          <cell r="A526">
            <v>525</v>
          </cell>
          <cell r="B526" t="str">
            <v>Boldore</v>
          </cell>
        </row>
        <row r="527">
          <cell r="A527">
            <v>526</v>
          </cell>
          <cell r="B527" t="str">
            <v>Gigalith</v>
          </cell>
        </row>
        <row r="528">
          <cell r="A528">
            <v>527</v>
          </cell>
          <cell r="B528" t="str">
            <v>Woobat</v>
          </cell>
        </row>
        <row r="529">
          <cell r="A529">
            <v>528</v>
          </cell>
          <cell r="B529" t="str">
            <v>Swoobat</v>
          </cell>
        </row>
        <row r="530">
          <cell r="A530">
            <v>529</v>
          </cell>
          <cell r="B530" t="str">
            <v>Drilbur</v>
          </cell>
        </row>
        <row r="531">
          <cell r="A531">
            <v>530</v>
          </cell>
          <cell r="B531" t="str">
            <v>Excadrill</v>
          </cell>
        </row>
        <row r="532">
          <cell r="A532">
            <v>531</v>
          </cell>
          <cell r="B532" t="str">
            <v>Audino</v>
          </cell>
        </row>
        <row r="533">
          <cell r="A533">
            <v>532</v>
          </cell>
          <cell r="B533" t="str">
            <v>Timburr</v>
          </cell>
        </row>
        <row r="534">
          <cell r="A534">
            <v>533</v>
          </cell>
          <cell r="B534" t="str">
            <v>Gurdurr</v>
          </cell>
        </row>
        <row r="535">
          <cell r="A535">
            <v>534</v>
          </cell>
          <cell r="B535" t="str">
            <v>Conkeldurr</v>
          </cell>
        </row>
        <row r="536">
          <cell r="A536">
            <v>535</v>
          </cell>
          <cell r="B536" t="str">
            <v>Tympole</v>
          </cell>
        </row>
        <row r="537">
          <cell r="A537">
            <v>536</v>
          </cell>
          <cell r="B537" t="str">
            <v>Palpitoad</v>
          </cell>
        </row>
        <row r="538">
          <cell r="A538">
            <v>537</v>
          </cell>
          <cell r="B538" t="str">
            <v>Seismitoad</v>
          </cell>
        </row>
        <row r="539">
          <cell r="A539">
            <v>538</v>
          </cell>
          <cell r="B539" t="str">
            <v>Throh</v>
          </cell>
        </row>
        <row r="540">
          <cell r="A540">
            <v>539</v>
          </cell>
          <cell r="B540" t="str">
            <v>Sawk</v>
          </cell>
        </row>
        <row r="541">
          <cell r="A541">
            <v>540</v>
          </cell>
          <cell r="B541" t="str">
            <v>Sewaddle</v>
          </cell>
        </row>
        <row r="542">
          <cell r="A542">
            <v>541</v>
          </cell>
          <cell r="B542" t="str">
            <v>Swadloon</v>
          </cell>
        </row>
        <row r="543">
          <cell r="A543">
            <v>542</v>
          </cell>
          <cell r="B543" t="str">
            <v>Leavanny</v>
          </cell>
        </row>
        <row r="544">
          <cell r="A544">
            <v>543</v>
          </cell>
          <cell r="B544" t="str">
            <v>Venipede</v>
          </cell>
        </row>
        <row r="545">
          <cell r="A545">
            <v>544</v>
          </cell>
          <cell r="B545" t="str">
            <v>Whirlipede</v>
          </cell>
        </row>
        <row r="546">
          <cell r="A546">
            <v>545</v>
          </cell>
          <cell r="B546" t="str">
            <v>Scolipede</v>
          </cell>
        </row>
        <row r="547">
          <cell r="A547">
            <v>546</v>
          </cell>
          <cell r="B547" t="str">
            <v>Cottonee</v>
          </cell>
        </row>
        <row r="548">
          <cell r="A548">
            <v>547</v>
          </cell>
          <cell r="B548" t="str">
            <v>Whimsicott</v>
          </cell>
        </row>
        <row r="549">
          <cell r="A549">
            <v>548</v>
          </cell>
          <cell r="B549" t="str">
            <v>Petilil</v>
          </cell>
        </row>
        <row r="550">
          <cell r="A550">
            <v>549</v>
          </cell>
          <cell r="B550" t="str">
            <v>Lilligant</v>
          </cell>
        </row>
        <row r="551">
          <cell r="A551">
            <v>550</v>
          </cell>
          <cell r="B551" t="str">
            <v>Basculin - Red</v>
          </cell>
        </row>
        <row r="552">
          <cell r="A552">
            <v>551</v>
          </cell>
          <cell r="B552" t="str">
            <v>Sandile</v>
          </cell>
        </row>
        <row r="553">
          <cell r="A553">
            <v>552</v>
          </cell>
          <cell r="B553" t="str">
            <v>Krokorok</v>
          </cell>
        </row>
        <row r="554">
          <cell r="A554">
            <v>553</v>
          </cell>
          <cell r="B554" t="str">
            <v>Krookodile</v>
          </cell>
        </row>
        <row r="555">
          <cell r="A555">
            <v>554</v>
          </cell>
          <cell r="B555" t="str">
            <v>Darumaka</v>
          </cell>
        </row>
        <row r="556">
          <cell r="A556">
            <v>555</v>
          </cell>
          <cell r="B556" t="str">
            <v>Darmanitan - Standard</v>
          </cell>
        </row>
        <row r="557">
          <cell r="A557">
            <v>556</v>
          </cell>
          <cell r="B557" t="str">
            <v>Maractus</v>
          </cell>
        </row>
        <row r="558">
          <cell r="A558">
            <v>557</v>
          </cell>
          <cell r="B558" t="str">
            <v>Dwebble</v>
          </cell>
        </row>
        <row r="559">
          <cell r="A559">
            <v>558</v>
          </cell>
          <cell r="B559" t="str">
            <v>Crustle</v>
          </cell>
        </row>
        <row r="560">
          <cell r="A560">
            <v>559</v>
          </cell>
          <cell r="B560" t="str">
            <v>Scraggy</v>
          </cell>
        </row>
        <row r="561">
          <cell r="A561">
            <v>560</v>
          </cell>
          <cell r="B561" t="str">
            <v>Scrafty</v>
          </cell>
        </row>
        <row r="562">
          <cell r="A562">
            <v>561</v>
          </cell>
          <cell r="B562" t="str">
            <v>Sigilyph</v>
          </cell>
        </row>
        <row r="563">
          <cell r="A563">
            <v>562</v>
          </cell>
          <cell r="B563" t="str">
            <v>Yamask</v>
          </cell>
        </row>
        <row r="564">
          <cell r="A564">
            <v>563</v>
          </cell>
          <cell r="B564" t="str">
            <v>Cofagrigus</v>
          </cell>
        </row>
        <row r="565">
          <cell r="A565">
            <v>564</v>
          </cell>
          <cell r="B565" t="str">
            <v>Tirtouga</v>
          </cell>
        </row>
        <row r="566">
          <cell r="A566">
            <v>565</v>
          </cell>
          <cell r="B566" t="str">
            <v>Carracosta</v>
          </cell>
        </row>
        <row r="567">
          <cell r="A567">
            <v>566</v>
          </cell>
          <cell r="B567" t="str">
            <v>Archen</v>
          </cell>
        </row>
        <row r="568">
          <cell r="A568">
            <v>567</v>
          </cell>
          <cell r="B568" t="str">
            <v>Archeops</v>
          </cell>
        </row>
        <row r="569">
          <cell r="A569">
            <v>568</v>
          </cell>
          <cell r="B569" t="str">
            <v>Trubbish</v>
          </cell>
        </row>
        <row r="570">
          <cell r="A570">
            <v>569</v>
          </cell>
          <cell r="B570" t="str">
            <v>Garbodor</v>
          </cell>
        </row>
        <row r="571">
          <cell r="A571">
            <v>570</v>
          </cell>
          <cell r="B571" t="str">
            <v>Zorua</v>
          </cell>
        </row>
        <row r="572">
          <cell r="A572">
            <v>571</v>
          </cell>
          <cell r="B572" t="str">
            <v>Zoroark</v>
          </cell>
        </row>
        <row r="573">
          <cell r="A573">
            <v>572</v>
          </cell>
          <cell r="B573" t="str">
            <v>Minccino</v>
          </cell>
        </row>
        <row r="574">
          <cell r="A574">
            <v>573</v>
          </cell>
          <cell r="B574" t="str">
            <v>Cinccino</v>
          </cell>
        </row>
        <row r="575">
          <cell r="A575">
            <v>574</v>
          </cell>
          <cell r="B575" t="str">
            <v>Gothita</v>
          </cell>
        </row>
        <row r="576">
          <cell r="A576">
            <v>575</v>
          </cell>
          <cell r="B576" t="str">
            <v>Gothorita</v>
          </cell>
        </row>
        <row r="577">
          <cell r="A577">
            <v>576</v>
          </cell>
          <cell r="B577" t="str">
            <v>Gothitelle</v>
          </cell>
        </row>
        <row r="578">
          <cell r="A578">
            <v>577</v>
          </cell>
          <cell r="B578" t="str">
            <v>Solosis</v>
          </cell>
        </row>
        <row r="579">
          <cell r="A579">
            <v>578</v>
          </cell>
          <cell r="B579" t="str">
            <v>Duosion</v>
          </cell>
        </row>
        <row r="580">
          <cell r="A580">
            <v>579</v>
          </cell>
          <cell r="B580" t="str">
            <v>Reuniclus</v>
          </cell>
        </row>
        <row r="581">
          <cell r="A581">
            <v>580</v>
          </cell>
          <cell r="B581" t="str">
            <v>Ducklett</v>
          </cell>
        </row>
        <row r="582">
          <cell r="A582">
            <v>581</v>
          </cell>
          <cell r="B582" t="str">
            <v>Swanna</v>
          </cell>
        </row>
        <row r="583">
          <cell r="A583">
            <v>582</v>
          </cell>
          <cell r="B583" t="str">
            <v>Vanillite</v>
          </cell>
        </row>
        <row r="584">
          <cell r="A584">
            <v>583</v>
          </cell>
          <cell r="B584" t="str">
            <v>Vanillish</v>
          </cell>
        </row>
        <row r="585">
          <cell r="A585">
            <v>584</v>
          </cell>
          <cell r="B585" t="str">
            <v>Vanilluxe</v>
          </cell>
        </row>
        <row r="586">
          <cell r="A586">
            <v>585</v>
          </cell>
          <cell r="B586" t="str">
            <v>Deerling - Spring</v>
          </cell>
        </row>
        <row r="587">
          <cell r="A587">
            <v>586</v>
          </cell>
          <cell r="B587" t="str">
            <v>Sawsbuck - Spring</v>
          </cell>
        </row>
        <row r="588">
          <cell r="A588">
            <v>587</v>
          </cell>
          <cell r="B588" t="str">
            <v>Emolga</v>
          </cell>
        </row>
        <row r="589">
          <cell r="A589">
            <v>588</v>
          </cell>
          <cell r="B589" t="str">
            <v>Karrablast</v>
          </cell>
        </row>
        <row r="590">
          <cell r="A590">
            <v>589</v>
          </cell>
          <cell r="B590" t="str">
            <v>Escavalier</v>
          </cell>
        </row>
        <row r="591">
          <cell r="A591">
            <v>590</v>
          </cell>
          <cell r="B591" t="str">
            <v>Foongus</v>
          </cell>
        </row>
        <row r="592">
          <cell r="A592">
            <v>591</v>
          </cell>
          <cell r="B592" t="str">
            <v>Amoonguss</v>
          </cell>
        </row>
        <row r="593">
          <cell r="A593">
            <v>592</v>
          </cell>
          <cell r="B593" t="str">
            <v>Frillish</v>
          </cell>
        </row>
        <row r="594">
          <cell r="A594">
            <v>593</v>
          </cell>
          <cell r="B594" t="str">
            <v>Jellicent</v>
          </cell>
        </row>
        <row r="595">
          <cell r="A595">
            <v>594</v>
          </cell>
          <cell r="B595" t="str">
            <v>Alomomola</v>
          </cell>
        </row>
        <row r="596">
          <cell r="A596">
            <v>595</v>
          </cell>
          <cell r="B596" t="str">
            <v>Joltik</v>
          </cell>
        </row>
        <row r="597">
          <cell r="A597">
            <v>596</v>
          </cell>
          <cell r="B597" t="str">
            <v>Galvantula</v>
          </cell>
        </row>
        <row r="598">
          <cell r="A598">
            <v>597</v>
          </cell>
          <cell r="B598" t="str">
            <v>Ferroseed</v>
          </cell>
        </row>
        <row r="599">
          <cell r="A599">
            <v>598</v>
          </cell>
          <cell r="B599" t="str">
            <v>Ferrothorn</v>
          </cell>
        </row>
        <row r="600">
          <cell r="A600">
            <v>599</v>
          </cell>
          <cell r="B600" t="str">
            <v>Klink</v>
          </cell>
        </row>
        <row r="601">
          <cell r="A601">
            <v>600</v>
          </cell>
          <cell r="B601" t="str">
            <v>Klang</v>
          </cell>
        </row>
        <row r="602">
          <cell r="A602">
            <v>601</v>
          </cell>
          <cell r="B602" t="str">
            <v>Klinklang</v>
          </cell>
        </row>
        <row r="603">
          <cell r="A603">
            <v>602</v>
          </cell>
          <cell r="B603" t="str">
            <v>Tynamo</v>
          </cell>
        </row>
        <row r="604">
          <cell r="A604">
            <v>603</v>
          </cell>
          <cell r="B604" t="str">
            <v>Eelektrik</v>
          </cell>
        </row>
        <row r="605">
          <cell r="A605">
            <v>604</v>
          </cell>
          <cell r="B605" t="str">
            <v>Eelektross</v>
          </cell>
        </row>
        <row r="606">
          <cell r="A606">
            <v>605</v>
          </cell>
          <cell r="B606" t="str">
            <v>Elgyem</v>
          </cell>
        </row>
        <row r="607">
          <cell r="A607">
            <v>606</v>
          </cell>
          <cell r="B607" t="str">
            <v>Beheeyem</v>
          </cell>
        </row>
        <row r="608">
          <cell r="A608">
            <v>607</v>
          </cell>
          <cell r="B608" t="str">
            <v>Litwick</v>
          </cell>
        </row>
        <row r="609">
          <cell r="A609">
            <v>608</v>
          </cell>
          <cell r="B609" t="str">
            <v>Lampent</v>
          </cell>
        </row>
        <row r="610">
          <cell r="A610">
            <v>609</v>
          </cell>
          <cell r="B610" t="str">
            <v>Chandelure</v>
          </cell>
        </row>
        <row r="611">
          <cell r="A611">
            <v>610</v>
          </cell>
          <cell r="B611" t="str">
            <v>Axew</v>
          </cell>
        </row>
        <row r="612">
          <cell r="A612">
            <v>611</v>
          </cell>
          <cell r="B612" t="str">
            <v>Fraxure</v>
          </cell>
        </row>
        <row r="613">
          <cell r="A613">
            <v>612</v>
          </cell>
          <cell r="B613" t="str">
            <v>Haxorus</v>
          </cell>
        </row>
        <row r="614">
          <cell r="A614">
            <v>613</v>
          </cell>
          <cell r="B614" t="str">
            <v>Cubchoo</v>
          </cell>
        </row>
        <row r="615">
          <cell r="A615">
            <v>614</v>
          </cell>
          <cell r="B615" t="str">
            <v>Beartic</v>
          </cell>
        </row>
        <row r="616">
          <cell r="A616">
            <v>615</v>
          </cell>
          <cell r="B616" t="str">
            <v>Cryogonal</v>
          </cell>
        </row>
        <row r="617">
          <cell r="A617">
            <v>616</v>
          </cell>
          <cell r="B617" t="str">
            <v>Shelmet</v>
          </cell>
        </row>
        <row r="618">
          <cell r="A618">
            <v>617</v>
          </cell>
          <cell r="B618" t="str">
            <v>Accelgor</v>
          </cell>
        </row>
        <row r="619">
          <cell r="A619">
            <v>618</v>
          </cell>
          <cell r="B619" t="str">
            <v>Stunfisk</v>
          </cell>
        </row>
        <row r="620">
          <cell r="A620">
            <v>619</v>
          </cell>
          <cell r="B620" t="str">
            <v>Mienfoo</v>
          </cell>
        </row>
        <row r="621">
          <cell r="A621">
            <v>620</v>
          </cell>
          <cell r="B621" t="str">
            <v>Mienshao</v>
          </cell>
        </row>
        <row r="622">
          <cell r="A622">
            <v>621</v>
          </cell>
          <cell r="B622" t="str">
            <v>Druddigon</v>
          </cell>
        </row>
        <row r="623">
          <cell r="A623">
            <v>622</v>
          </cell>
          <cell r="B623" t="str">
            <v>Golett</v>
          </cell>
        </row>
        <row r="624">
          <cell r="A624">
            <v>623</v>
          </cell>
          <cell r="B624" t="str">
            <v>Golurk</v>
          </cell>
        </row>
        <row r="625">
          <cell r="A625">
            <v>624</v>
          </cell>
          <cell r="B625" t="str">
            <v>Pawniard</v>
          </cell>
        </row>
        <row r="626">
          <cell r="A626">
            <v>625</v>
          </cell>
          <cell r="B626" t="str">
            <v>Bisharp</v>
          </cell>
        </row>
        <row r="627">
          <cell r="A627">
            <v>626</v>
          </cell>
          <cell r="B627" t="str">
            <v>Bouffalant</v>
          </cell>
        </row>
        <row r="628">
          <cell r="A628">
            <v>627</v>
          </cell>
          <cell r="B628" t="str">
            <v>Rufflet</v>
          </cell>
        </row>
        <row r="629">
          <cell r="A629">
            <v>628</v>
          </cell>
          <cell r="B629" t="str">
            <v>Braviary</v>
          </cell>
        </row>
        <row r="630">
          <cell r="A630">
            <v>629</v>
          </cell>
          <cell r="B630" t="str">
            <v>Vullaby</v>
          </cell>
        </row>
        <row r="631">
          <cell r="A631">
            <v>630</v>
          </cell>
          <cell r="B631" t="str">
            <v>Mandibuzz</v>
          </cell>
        </row>
        <row r="632">
          <cell r="A632">
            <v>631</v>
          </cell>
          <cell r="B632" t="str">
            <v>Heatmor</v>
          </cell>
        </row>
        <row r="633">
          <cell r="A633">
            <v>632</v>
          </cell>
          <cell r="B633" t="str">
            <v>Durant</v>
          </cell>
        </row>
        <row r="634">
          <cell r="A634">
            <v>633</v>
          </cell>
          <cell r="B634" t="str">
            <v>Deino</v>
          </cell>
        </row>
        <row r="635">
          <cell r="A635">
            <v>634</v>
          </cell>
          <cell r="B635" t="str">
            <v>Zweilous</v>
          </cell>
        </row>
        <row r="636">
          <cell r="A636">
            <v>635</v>
          </cell>
          <cell r="B636" t="str">
            <v>Hydreigon</v>
          </cell>
        </row>
        <row r="637">
          <cell r="A637">
            <v>636</v>
          </cell>
          <cell r="B637" t="str">
            <v>Larvesta</v>
          </cell>
        </row>
        <row r="638">
          <cell r="A638">
            <v>637</v>
          </cell>
          <cell r="B638" t="str">
            <v>Volcarona</v>
          </cell>
        </row>
        <row r="639">
          <cell r="A639">
            <v>638</v>
          </cell>
          <cell r="B639" t="str">
            <v>Cobalion</v>
          </cell>
        </row>
        <row r="640">
          <cell r="A640">
            <v>639</v>
          </cell>
          <cell r="B640" t="str">
            <v>Terrakion</v>
          </cell>
        </row>
        <row r="641">
          <cell r="A641">
            <v>640</v>
          </cell>
          <cell r="B641" t="str">
            <v>Virizion</v>
          </cell>
        </row>
        <row r="642">
          <cell r="A642">
            <v>641</v>
          </cell>
          <cell r="B642" t="str">
            <v>Tornadus - Incarnate</v>
          </cell>
        </row>
        <row r="643">
          <cell r="A643">
            <v>642</v>
          </cell>
          <cell r="B643" t="str">
            <v>Thundurus - Incarnate</v>
          </cell>
        </row>
        <row r="644">
          <cell r="A644">
            <v>643</v>
          </cell>
          <cell r="B644" t="str">
            <v>Reshiram</v>
          </cell>
        </row>
        <row r="645">
          <cell r="A645">
            <v>644</v>
          </cell>
          <cell r="B645" t="str">
            <v>Zekrom</v>
          </cell>
        </row>
        <row r="646">
          <cell r="A646">
            <v>645</v>
          </cell>
          <cell r="B646" t="str">
            <v>Landorus - Incarnate</v>
          </cell>
        </row>
        <row r="647">
          <cell r="A647">
            <v>646</v>
          </cell>
          <cell r="B647" t="str">
            <v>Kyurem</v>
          </cell>
        </row>
        <row r="648">
          <cell r="A648">
            <v>647</v>
          </cell>
          <cell r="B648" t="str">
            <v>Keldeo - Ordinary</v>
          </cell>
        </row>
        <row r="649">
          <cell r="A649">
            <v>648</v>
          </cell>
          <cell r="B649" t="str">
            <v>Meloetta - Aria</v>
          </cell>
        </row>
        <row r="650">
          <cell r="A650">
            <v>649</v>
          </cell>
          <cell r="B650" t="str">
            <v>Genesect</v>
          </cell>
        </row>
        <row r="651">
          <cell r="A651">
            <v>650</v>
          </cell>
          <cell r="B651" t="str">
            <v>Chespin</v>
          </cell>
        </row>
        <row r="652">
          <cell r="A652">
            <v>651</v>
          </cell>
          <cell r="B652" t="str">
            <v>Quilladin</v>
          </cell>
        </row>
        <row r="653">
          <cell r="A653">
            <v>652</v>
          </cell>
          <cell r="B653" t="str">
            <v>Chesnaught</v>
          </cell>
        </row>
        <row r="654">
          <cell r="A654">
            <v>653</v>
          </cell>
          <cell r="B654" t="str">
            <v>Fennekin</v>
          </cell>
        </row>
        <row r="655">
          <cell r="A655">
            <v>654</v>
          </cell>
          <cell r="B655" t="str">
            <v>Braixen</v>
          </cell>
        </row>
        <row r="656">
          <cell r="A656">
            <v>655</v>
          </cell>
          <cell r="B656" t="str">
            <v>Delphox</v>
          </cell>
        </row>
        <row r="657">
          <cell r="A657">
            <v>656</v>
          </cell>
          <cell r="B657" t="str">
            <v>Froakie</v>
          </cell>
        </row>
        <row r="658">
          <cell r="A658">
            <v>657</v>
          </cell>
          <cell r="B658" t="str">
            <v>Frogadier</v>
          </cell>
        </row>
        <row r="659">
          <cell r="A659">
            <v>658</v>
          </cell>
          <cell r="B659" t="str">
            <v>Greninja</v>
          </cell>
        </row>
        <row r="660">
          <cell r="A660">
            <v>659</v>
          </cell>
          <cell r="B660" t="str">
            <v>Bunnelby</v>
          </cell>
        </row>
        <row r="661">
          <cell r="A661">
            <v>660</v>
          </cell>
          <cell r="B661" t="str">
            <v>Diggersby</v>
          </cell>
        </row>
        <row r="662">
          <cell r="A662">
            <v>661</v>
          </cell>
          <cell r="B662" t="str">
            <v>Fletchling</v>
          </cell>
        </row>
        <row r="663">
          <cell r="A663">
            <v>662</v>
          </cell>
          <cell r="B663" t="str">
            <v>Fletchinder</v>
          </cell>
        </row>
        <row r="664">
          <cell r="A664">
            <v>663</v>
          </cell>
          <cell r="B664" t="str">
            <v>Talonflame</v>
          </cell>
        </row>
        <row r="665">
          <cell r="A665">
            <v>664</v>
          </cell>
          <cell r="B665" t="str">
            <v>Scatterbug</v>
          </cell>
        </row>
        <row r="666">
          <cell r="A666">
            <v>665</v>
          </cell>
          <cell r="B666" t="str">
            <v>Spewpa</v>
          </cell>
        </row>
        <row r="667">
          <cell r="A667">
            <v>666</v>
          </cell>
          <cell r="B667" t="str">
            <v>Vivillon - Icy Snow</v>
          </cell>
        </row>
        <row r="668">
          <cell r="A668">
            <v>667</v>
          </cell>
          <cell r="B668" t="str">
            <v>Litleo</v>
          </cell>
        </row>
        <row r="669">
          <cell r="A669">
            <v>668</v>
          </cell>
          <cell r="B669" t="str">
            <v>Pyroar</v>
          </cell>
        </row>
        <row r="670">
          <cell r="A670">
            <v>669</v>
          </cell>
          <cell r="B670" t="str">
            <v>Flabébé - Red</v>
          </cell>
        </row>
        <row r="671">
          <cell r="A671">
            <v>670</v>
          </cell>
          <cell r="B671" t="str">
            <v>Floette - Red</v>
          </cell>
        </row>
        <row r="672">
          <cell r="A672">
            <v>671</v>
          </cell>
          <cell r="B672" t="str">
            <v>Florges - Red</v>
          </cell>
        </row>
        <row r="673">
          <cell r="A673">
            <v>672</v>
          </cell>
          <cell r="B673" t="str">
            <v>Skiddo</v>
          </cell>
        </row>
        <row r="674">
          <cell r="A674">
            <v>673</v>
          </cell>
          <cell r="B674" t="str">
            <v>Gogoat</v>
          </cell>
        </row>
        <row r="675">
          <cell r="A675">
            <v>674</v>
          </cell>
          <cell r="B675" t="str">
            <v>Pancham</v>
          </cell>
        </row>
        <row r="676">
          <cell r="A676">
            <v>675</v>
          </cell>
          <cell r="B676" t="str">
            <v>Pangoro</v>
          </cell>
        </row>
        <row r="677">
          <cell r="A677">
            <v>676</v>
          </cell>
          <cell r="B677" t="str">
            <v>Furfrou - Natural</v>
          </cell>
        </row>
        <row r="678">
          <cell r="A678">
            <v>677</v>
          </cell>
          <cell r="B678" t="str">
            <v>Espurr</v>
          </cell>
        </row>
        <row r="679">
          <cell r="A679">
            <v>678</v>
          </cell>
          <cell r="B679" t="str">
            <v>Meowstic - Male</v>
          </cell>
        </row>
        <row r="680">
          <cell r="A680">
            <v>679</v>
          </cell>
          <cell r="B680" t="str">
            <v>Honedge</v>
          </cell>
        </row>
        <row r="681">
          <cell r="A681">
            <v>680</v>
          </cell>
          <cell r="B681" t="str">
            <v>Doublade</v>
          </cell>
        </row>
        <row r="682">
          <cell r="A682">
            <v>681</v>
          </cell>
          <cell r="B682" t="str">
            <v>Aegislash - Shield</v>
          </cell>
        </row>
        <row r="683">
          <cell r="A683">
            <v>682</v>
          </cell>
          <cell r="B683" t="str">
            <v>Spritzee</v>
          </cell>
        </row>
        <row r="684">
          <cell r="A684">
            <v>683</v>
          </cell>
          <cell r="B684" t="str">
            <v>Aromatisse</v>
          </cell>
        </row>
        <row r="685">
          <cell r="A685">
            <v>684</v>
          </cell>
          <cell r="B685" t="str">
            <v>Swirlix</v>
          </cell>
        </row>
        <row r="686">
          <cell r="A686">
            <v>685</v>
          </cell>
          <cell r="B686" t="str">
            <v>Slurpuff</v>
          </cell>
        </row>
        <row r="687">
          <cell r="A687">
            <v>686</v>
          </cell>
          <cell r="B687" t="str">
            <v>Inkay</v>
          </cell>
        </row>
        <row r="688">
          <cell r="A688">
            <v>687</v>
          </cell>
          <cell r="B688" t="str">
            <v>Malamar</v>
          </cell>
        </row>
        <row r="689">
          <cell r="A689">
            <v>688</v>
          </cell>
          <cell r="B689" t="str">
            <v>Binacle</v>
          </cell>
        </row>
        <row r="690">
          <cell r="A690">
            <v>689</v>
          </cell>
          <cell r="B690" t="str">
            <v>Barbaracle</v>
          </cell>
        </row>
        <row r="691">
          <cell r="A691">
            <v>690</v>
          </cell>
          <cell r="B691" t="str">
            <v>Skrelp</v>
          </cell>
        </row>
        <row r="692">
          <cell r="A692">
            <v>691</v>
          </cell>
          <cell r="B692" t="str">
            <v>Dragalge</v>
          </cell>
        </row>
        <row r="693">
          <cell r="A693">
            <v>692</v>
          </cell>
          <cell r="B693" t="str">
            <v>Clauncher</v>
          </cell>
        </row>
        <row r="694">
          <cell r="A694">
            <v>693</v>
          </cell>
          <cell r="B694" t="str">
            <v>Clawitzer</v>
          </cell>
        </row>
        <row r="695">
          <cell r="A695">
            <v>694</v>
          </cell>
          <cell r="B695" t="str">
            <v>Helioptile</v>
          </cell>
        </row>
        <row r="696">
          <cell r="A696">
            <v>695</v>
          </cell>
          <cell r="B696" t="str">
            <v>Heliolisk</v>
          </cell>
        </row>
        <row r="697">
          <cell r="A697">
            <v>696</v>
          </cell>
          <cell r="B697" t="str">
            <v>Tyrunt</v>
          </cell>
        </row>
        <row r="698">
          <cell r="A698">
            <v>697</v>
          </cell>
          <cell r="B698" t="str">
            <v>Tyrantrum</v>
          </cell>
        </row>
        <row r="699">
          <cell r="A699">
            <v>698</v>
          </cell>
          <cell r="B699" t="str">
            <v>Amaura</v>
          </cell>
        </row>
        <row r="700">
          <cell r="A700">
            <v>699</v>
          </cell>
          <cell r="B700" t="str">
            <v>Aurorus</v>
          </cell>
        </row>
        <row r="701">
          <cell r="A701">
            <v>700</v>
          </cell>
          <cell r="B701" t="str">
            <v>Sylveon</v>
          </cell>
        </row>
        <row r="702">
          <cell r="A702">
            <v>701</v>
          </cell>
          <cell r="B702" t="str">
            <v>Hawlucha</v>
          </cell>
        </row>
        <row r="703">
          <cell r="A703">
            <v>702</v>
          </cell>
          <cell r="B703" t="str">
            <v>Dedenne</v>
          </cell>
        </row>
        <row r="704">
          <cell r="A704">
            <v>703</v>
          </cell>
          <cell r="B704" t="str">
            <v>Carbink</v>
          </cell>
        </row>
        <row r="705">
          <cell r="A705">
            <v>704</v>
          </cell>
          <cell r="B705" t="str">
            <v>Goomy</v>
          </cell>
        </row>
        <row r="706">
          <cell r="A706">
            <v>705</v>
          </cell>
          <cell r="B706" t="str">
            <v>Sliggoo</v>
          </cell>
        </row>
        <row r="707">
          <cell r="A707">
            <v>706</v>
          </cell>
          <cell r="B707" t="str">
            <v>Goodra</v>
          </cell>
        </row>
        <row r="708">
          <cell r="A708">
            <v>707</v>
          </cell>
          <cell r="B708" t="str">
            <v>Klefki</v>
          </cell>
        </row>
        <row r="709">
          <cell r="A709">
            <v>708</v>
          </cell>
          <cell r="B709" t="str">
            <v>Phantump</v>
          </cell>
        </row>
        <row r="710">
          <cell r="A710">
            <v>709</v>
          </cell>
          <cell r="B710" t="str">
            <v>Trevenant</v>
          </cell>
        </row>
        <row r="711">
          <cell r="A711">
            <v>710</v>
          </cell>
          <cell r="B711" t="str">
            <v>Pumpkaboo - Small</v>
          </cell>
        </row>
        <row r="712">
          <cell r="A712">
            <v>711</v>
          </cell>
          <cell r="B712" t="str">
            <v>Gourgeist - Small</v>
          </cell>
        </row>
        <row r="713">
          <cell r="A713">
            <v>712</v>
          </cell>
          <cell r="B713" t="str">
            <v>Bergmite</v>
          </cell>
        </row>
        <row r="714">
          <cell r="A714">
            <v>713</v>
          </cell>
          <cell r="B714" t="str">
            <v>Avalugg</v>
          </cell>
        </row>
        <row r="715">
          <cell r="A715">
            <v>714</v>
          </cell>
          <cell r="B715" t="str">
            <v>Noibat</v>
          </cell>
        </row>
        <row r="716">
          <cell r="A716">
            <v>715</v>
          </cell>
          <cell r="B716" t="str">
            <v>Noivern</v>
          </cell>
        </row>
        <row r="717">
          <cell r="A717">
            <v>716</v>
          </cell>
          <cell r="B717" t="str">
            <v>Xerneas</v>
          </cell>
        </row>
        <row r="718">
          <cell r="A718">
            <v>717</v>
          </cell>
          <cell r="B718" t="str">
            <v>Yveltal</v>
          </cell>
        </row>
        <row r="719">
          <cell r="A719">
            <v>718</v>
          </cell>
          <cell r="B719" t="str">
            <v>Zygarde - 0.5</v>
          </cell>
        </row>
        <row r="720">
          <cell r="A720">
            <v>719</v>
          </cell>
          <cell r="B720" t="str">
            <v>Diancie</v>
          </cell>
        </row>
        <row r="721">
          <cell r="A721">
            <v>720</v>
          </cell>
          <cell r="B721" t="str">
            <v>Hoopa - Confined</v>
          </cell>
        </row>
        <row r="722">
          <cell r="A722">
            <v>721</v>
          </cell>
          <cell r="B722" t="str">
            <v>Volcanion</v>
          </cell>
        </row>
        <row r="723">
          <cell r="A723">
            <v>722</v>
          </cell>
          <cell r="B723" t="str">
            <v>Rowlet</v>
          </cell>
        </row>
        <row r="724">
          <cell r="A724">
            <v>723</v>
          </cell>
          <cell r="B724" t="str">
            <v>Dartrix</v>
          </cell>
        </row>
        <row r="725">
          <cell r="A725">
            <v>724</v>
          </cell>
          <cell r="B725" t="str">
            <v>Decidueye</v>
          </cell>
        </row>
        <row r="726">
          <cell r="A726">
            <v>725</v>
          </cell>
          <cell r="B726" t="str">
            <v>Litten</v>
          </cell>
        </row>
        <row r="727">
          <cell r="A727">
            <v>726</v>
          </cell>
          <cell r="B727" t="str">
            <v>Torracat</v>
          </cell>
        </row>
        <row r="728">
          <cell r="A728">
            <v>727</v>
          </cell>
          <cell r="B728" t="str">
            <v>Incineroar</v>
          </cell>
        </row>
        <row r="729">
          <cell r="A729">
            <v>728</v>
          </cell>
          <cell r="B729" t="str">
            <v>Popplio</v>
          </cell>
        </row>
        <row r="730">
          <cell r="A730">
            <v>729</v>
          </cell>
          <cell r="B730" t="str">
            <v>Brionne</v>
          </cell>
        </row>
        <row r="731">
          <cell r="A731">
            <v>730</v>
          </cell>
          <cell r="B731" t="str">
            <v>Primarina</v>
          </cell>
        </row>
        <row r="732">
          <cell r="A732">
            <v>731</v>
          </cell>
          <cell r="B732" t="str">
            <v>Pikipek</v>
          </cell>
        </row>
        <row r="733">
          <cell r="A733">
            <v>732</v>
          </cell>
          <cell r="B733" t="str">
            <v>Trumbeak</v>
          </cell>
        </row>
        <row r="734">
          <cell r="A734">
            <v>733</v>
          </cell>
          <cell r="B734" t="str">
            <v>Toucannon</v>
          </cell>
        </row>
        <row r="735">
          <cell r="A735">
            <v>734</v>
          </cell>
          <cell r="B735" t="str">
            <v>Yungoos</v>
          </cell>
        </row>
        <row r="736">
          <cell r="A736">
            <v>735</v>
          </cell>
          <cell r="B736" t="str">
            <v>Gumshoos</v>
          </cell>
        </row>
        <row r="737">
          <cell r="A737">
            <v>736</v>
          </cell>
          <cell r="B737" t="str">
            <v>Grubbin</v>
          </cell>
        </row>
        <row r="738">
          <cell r="A738">
            <v>737</v>
          </cell>
          <cell r="B738" t="str">
            <v>Charjabug</v>
          </cell>
        </row>
        <row r="739">
          <cell r="A739">
            <v>738</v>
          </cell>
          <cell r="B739" t="str">
            <v>Vikavolt</v>
          </cell>
        </row>
        <row r="740">
          <cell r="A740">
            <v>739</v>
          </cell>
          <cell r="B740" t="str">
            <v>Crabrawler</v>
          </cell>
        </row>
        <row r="741">
          <cell r="A741">
            <v>740</v>
          </cell>
          <cell r="B741" t="str">
            <v>Crabominable</v>
          </cell>
        </row>
        <row r="742">
          <cell r="A742">
            <v>741</v>
          </cell>
          <cell r="B742" t="str">
            <v>Oricorio - Fire</v>
          </cell>
        </row>
        <row r="743">
          <cell r="A743">
            <v>742</v>
          </cell>
          <cell r="B743" t="str">
            <v>Cutiefly</v>
          </cell>
        </row>
        <row r="744">
          <cell r="A744">
            <v>743</v>
          </cell>
          <cell r="B744" t="str">
            <v>Ribombee</v>
          </cell>
        </row>
        <row r="745">
          <cell r="A745">
            <v>744</v>
          </cell>
          <cell r="B745" t="str">
            <v>Rockruff</v>
          </cell>
        </row>
        <row r="746">
          <cell r="A746">
            <v>745</v>
          </cell>
          <cell r="B746" t="str">
            <v>Lycanroc - Dawn</v>
          </cell>
        </row>
        <row r="747">
          <cell r="A747">
            <v>746</v>
          </cell>
          <cell r="B747" t="str">
            <v>Wishiwashi</v>
          </cell>
        </row>
        <row r="748">
          <cell r="A748">
            <v>747</v>
          </cell>
          <cell r="B748" t="str">
            <v>Mareanie</v>
          </cell>
        </row>
        <row r="749">
          <cell r="A749">
            <v>748</v>
          </cell>
          <cell r="B749" t="str">
            <v>Toxapex</v>
          </cell>
        </row>
        <row r="750">
          <cell r="A750">
            <v>749</v>
          </cell>
          <cell r="B750" t="str">
            <v>Mudbray</v>
          </cell>
        </row>
        <row r="751">
          <cell r="A751">
            <v>750</v>
          </cell>
          <cell r="B751" t="str">
            <v>Mudsdale</v>
          </cell>
        </row>
        <row r="752">
          <cell r="A752">
            <v>751</v>
          </cell>
          <cell r="B752" t="str">
            <v>Dewpider</v>
          </cell>
        </row>
        <row r="753">
          <cell r="A753">
            <v>752</v>
          </cell>
          <cell r="B753" t="str">
            <v>Araquanid</v>
          </cell>
        </row>
        <row r="754">
          <cell r="A754">
            <v>753</v>
          </cell>
          <cell r="B754" t="str">
            <v>Fomantis</v>
          </cell>
        </row>
        <row r="755">
          <cell r="A755">
            <v>754</v>
          </cell>
          <cell r="B755" t="str">
            <v>Lurantis</v>
          </cell>
        </row>
        <row r="756">
          <cell r="A756">
            <v>755</v>
          </cell>
          <cell r="B756" t="str">
            <v>Morelull</v>
          </cell>
        </row>
        <row r="757">
          <cell r="A757">
            <v>756</v>
          </cell>
          <cell r="B757" t="str">
            <v>Shiinotic</v>
          </cell>
        </row>
        <row r="758">
          <cell r="A758">
            <v>757</v>
          </cell>
          <cell r="B758" t="str">
            <v>Salandit</v>
          </cell>
        </row>
        <row r="759">
          <cell r="A759">
            <v>758</v>
          </cell>
          <cell r="B759" t="str">
            <v>Salazzle</v>
          </cell>
        </row>
        <row r="760">
          <cell r="A760">
            <v>759</v>
          </cell>
          <cell r="B760" t="str">
            <v>Stufful</v>
          </cell>
        </row>
        <row r="761">
          <cell r="A761">
            <v>760</v>
          </cell>
          <cell r="B761" t="str">
            <v>Bewear</v>
          </cell>
        </row>
        <row r="762">
          <cell r="A762">
            <v>761</v>
          </cell>
          <cell r="B762" t="str">
            <v>Bounsweet</v>
          </cell>
        </row>
        <row r="763">
          <cell r="A763">
            <v>762</v>
          </cell>
          <cell r="B763" t="str">
            <v>Steenee</v>
          </cell>
        </row>
        <row r="764">
          <cell r="A764">
            <v>763</v>
          </cell>
          <cell r="B764" t="str">
            <v>Tsareena</v>
          </cell>
        </row>
        <row r="765">
          <cell r="A765">
            <v>764</v>
          </cell>
          <cell r="B765" t="str">
            <v>Comfey</v>
          </cell>
        </row>
        <row r="766">
          <cell r="A766">
            <v>765</v>
          </cell>
          <cell r="B766" t="str">
            <v>Oranguru</v>
          </cell>
        </row>
        <row r="767">
          <cell r="A767">
            <v>766</v>
          </cell>
          <cell r="B767" t="str">
            <v>Passimian</v>
          </cell>
        </row>
        <row r="768">
          <cell r="A768">
            <v>767</v>
          </cell>
          <cell r="B768" t="str">
            <v>Wimpod</v>
          </cell>
        </row>
        <row r="769">
          <cell r="A769">
            <v>768</v>
          </cell>
          <cell r="B769" t="str">
            <v>Golisopod</v>
          </cell>
        </row>
        <row r="770">
          <cell r="A770">
            <v>769</v>
          </cell>
          <cell r="B770" t="str">
            <v>Sandygast</v>
          </cell>
        </row>
        <row r="771">
          <cell r="A771">
            <v>770</v>
          </cell>
          <cell r="B771" t="str">
            <v>Palossand</v>
          </cell>
        </row>
        <row r="772">
          <cell r="A772">
            <v>771</v>
          </cell>
          <cell r="B772" t="str">
            <v>Pyukumuku</v>
          </cell>
        </row>
        <row r="773">
          <cell r="A773">
            <v>772</v>
          </cell>
          <cell r="B773" t="str">
            <v>Type: Null</v>
          </cell>
        </row>
        <row r="774">
          <cell r="A774">
            <v>773</v>
          </cell>
          <cell r="B774" t="str">
            <v>Silvally</v>
          </cell>
        </row>
        <row r="775">
          <cell r="A775">
            <v>774</v>
          </cell>
          <cell r="B775" t="str">
            <v>Minior - Shielded Red</v>
          </cell>
        </row>
        <row r="776">
          <cell r="A776">
            <v>775</v>
          </cell>
          <cell r="B776" t="str">
            <v>Komala</v>
          </cell>
        </row>
        <row r="777">
          <cell r="A777">
            <v>776</v>
          </cell>
          <cell r="B777" t="str">
            <v>Turtonator</v>
          </cell>
        </row>
        <row r="778">
          <cell r="A778">
            <v>777</v>
          </cell>
          <cell r="B778" t="str">
            <v>Togedemaru</v>
          </cell>
        </row>
        <row r="779">
          <cell r="A779">
            <v>778</v>
          </cell>
          <cell r="B779" t="str">
            <v>Mimikyu</v>
          </cell>
        </row>
        <row r="780">
          <cell r="A780">
            <v>779</v>
          </cell>
          <cell r="B780" t="str">
            <v>Bruxish</v>
          </cell>
        </row>
        <row r="781">
          <cell r="A781">
            <v>780</v>
          </cell>
          <cell r="B781" t="str">
            <v>Drampa</v>
          </cell>
        </row>
        <row r="782">
          <cell r="A782">
            <v>781</v>
          </cell>
          <cell r="B782" t="str">
            <v>Dhelmise</v>
          </cell>
        </row>
        <row r="783">
          <cell r="A783">
            <v>782</v>
          </cell>
          <cell r="B783" t="str">
            <v>Jangmo-o</v>
          </cell>
        </row>
        <row r="784">
          <cell r="A784">
            <v>783</v>
          </cell>
          <cell r="B784" t="str">
            <v>Hakamo-o</v>
          </cell>
        </row>
        <row r="785">
          <cell r="A785">
            <v>784</v>
          </cell>
          <cell r="B785" t="str">
            <v>Kommo-o</v>
          </cell>
        </row>
        <row r="786">
          <cell r="A786">
            <v>785</v>
          </cell>
          <cell r="B786" t="str">
            <v>Tapu Koko</v>
          </cell>
        </row>
        <row r="787">
          <cell r="A787">
            <v>786</v>
          </cell>
          <cell r="B787" t="str">
            <v>Tapu Lele</v>
          </cell>
        </row>
        <row r="788">
          <cell r="A788">
            <v>787</v>
          </cell>
          <cell r="B788" t="str">
            <v>Tapu Bulu</v>
          </cell>
        </row>
        <row r="789">
          <cell r="A789">
            <v>788</v>
          </cell>
          <cell r="B789" t="str">
            <v>Tapu Fini</v>
          </cell>
        </row>
        <row r="790">
          <cell r="A790">
            <v>789</v>
          </cell>
          <cell r="B790" t="str">
            <v>Cosmog</v>
          </cell>
        </row>
        <row r="791">
          <cell r="A791">
            <v>790</v>
          </cell>
          <cell r="B791" t="str">
            <v>Cosmoem</v>
          </cell>
        </row>
        <row r="792">
          <cell r="A792">
            <v>791</v>
          </cell>
          <cell r="B792" t="str">
            <v>Solgaleo</v>
          </cell>
        </row>
        <row r="793">
          <cell r="A793">
            <v>792</v>
          </cell>
          <cell r="B793" t="str">
            <v>Lunala</v>
          </cell>
        </row>
        <row r="794">
          <cell r="A794">
            <v>793</v>
          </cell>
          <cell r="B794" t="str">
            <v>Nihilego</v>
          </cell>
        </row>
        <row r="795">
          <cell r="A795">
            <v>794</v>
          </cell>
          <cell r="B795" t="str">
            <v>Buzzwole</v>
          </cell>
        </row>
        <row r="796">
          <cell r="A796">
            <v>795</v>
          </cell>
          <cell r="B796" t="str">
            <v>Pheromosa</v>
          </cell>
        </row>
        <row r="797">
          <cell r="A797">
            <v>796</v>
          </cell>
          <cell r="B797" t="str">
            <v>Xurkitree</v>
          </cell>
        </row>
        <row r="798">
          <cell r="A798">
            <v>797</v>
          </cell>
          <cell r="B798" t="str">
            <v>Celesteela</v>
          </cell>
        </row>
        <row r="799">
          <cell r="A799">
            <v>798</v>
          </cell>
          <cell r="B799" t="str">
            <v>Kartana</v>
          </cell>
        </row>
        <row r="800">
          <cell r="A800">
            <v>799</v>
          </cell>
          <cell r="B800" t="str">
            <v>Guzzlord</v>
          </cell>
        </row>
        <row r="801">
          <cell r="A801">
            <v>800</v>
          </cell>
          <cell r="B801" t="str">
            <v>Necrozma</v>
          </cell>
        </row>
        <row r="802">
          <cell r="A802">
            <v>801</v>
          </cell>
          <cell r="B802" t="str">
            <v>Magearna</v>
          </cell>
        </row>
        <row r="803">
          <cell r="A803">
            <v>802</v>
          </cell>
          <cell r="B803" t="str">
            <v>Marshadow</v>
          </cell>
        </row>
        <row r="804">
          <cell r="A804">
            <v>803</v>
          </cell>
          <cell r="B804" t="str">
            <v>Poipole</v>
          </cell>
        </row>
        <row r="805">
          <cell r="A805">
            <v>804</v>
          </cell>
          <cell r="B805" t="str">
            <v>Naganadel</v>
          </cell>
        </row>
        <row r="806">
          <cell r="A806">
            <v>805</v>
          </cell>
          <cell r="B806" t="str">
            <v>Stakataka</v>
          </cell>
        </row>
        <row r="807">
          <cell r="A807">
            <v>806</v>
          </cell>
          <cell r="B807" t="str">
            <v>Blacephalon</v>
          </cell>
        </row>
        <row r="808">
          <cell r="A808">
            <v>807</v>
          </cell>
          <cell r="B808" t="str">
            <v>Zeraora</v>
          </cell>
        </row>
        <row r="809">
          <cell r="A809">
            <v>808</v>
          </cell>
          <cell r="B809" t="str">
            <v>Bulbasaur - Apex</v>
          </cell>
        </row>
        <row r="810">
          <cell r="A810">
            <v>809</v>
          </cell>
          <cell r="B810" t="str">
            <v>Bulbasaur - Apex Ascended</v>
          </cell>
        </row>
        <row r="811">
          <cell r="A811">
            <v>810</v>
          </cell>
          <cell r="B811" t="str">
            <v>Venusaur - Mega</v>
          </cell>
        </row>
        <row r="812">
          <cell r="A812">
            <v>811</v>
          </cell>
          <cell r="B812" t="str">
            <v>Charizard - X</v>
          </cell>
        </row>
        <row r="813">
          <cell r="A813">
            <v>812</v>
          </cell>
          <cell r="B813" t="str">
            <v>Charizard - Y</v>
          </cell>
        </row>
        <row r="814">
          <cell r="A814">
            <v>813</v>
          </cell>
          <cell r="B814" t="str">
            <v>Squirtle - Apex</v>
          </cell>
        </row>
        <row r="815">
          <cell r="A815">
            <v>814</v>
          </cell>
          <cell r="B815" t="str">
            <v>Squirtle - Apex Ascended</v>
          </cell>
        </row>
        <row r="816">
          <cell r="A816">
            <v>815</v>
          </cell>
          <cell r="B816" t="str">
            <v>Blastoise - Mega</v>
          </cell>
        </row>
        <row r="817">
          <cell r="A817">
            <v>816</v>
          </cell>
          <cell r="B817" t="str">
            <v>Butterfree - Mega</v>
          </cell>
        </row>
        <row r="818">
          <cell r="A818">
            <v>817</v>
          </cell>
          <cell r="B818" t="str">
            <v>Beedrill - Mega</v>
          </cell>
        </row>
        <row r="819">
          <cell r="A819">
            <v>818</v>
          </cell>
          <cell r="B819" t="str">
            <v>Pidgeot - Mega</v>
          </cell>
        </row>
        <row r="820">
          <cell r="A820">
            <v>819</v>
          </cell>
          <cell r="B820" t="str">
            <v>Rattata - Alolan</v>
          </cell>
        </row>
        <row r="821">
          <cell r="A821">
            <v>820</v>
          </cell>
          <cell r="B821" t="str">
            <v>Raticate - Alolan</v>
          </cell>
        </row>
        <row r="822">
          <cell r="A822">
            <v>821</v>
          </cell>
          <cell r="B822" t="str">
            <v>Raticate - Totem Ultra</v>
          </cell>
        </row>
        <row r="823">
          <cell r="A823">
            <v>822</v>
          </cell>
          <cell r="B823" t="str">
            <v>Pikachu - Kantonian</v>
          </cell>
        </row>
        <row r="824">
          <cell r="A824">
            <v>823</v>
          </cell>
          <cell r="B824" t="str">
            <v>Pikachu - Johtonian</v>
          </cell>
        </row>
        <row r="825">
          <cell r="A825">
            <v>824</v>
          </cell>
          <cell r="B825" t="str">
            <v>Pikachu - Sinnohan</v>
          </cell>
        </row>
        <row r="826">
          <cell r="A826">
            <v>825</v>
          </cell>
          <cell r="B826" t="str">
            <v>Pikachu - Unovan</v>
          </cell>
        </row>
        <row r="827">
          <cell r="A827">
            <v>826</v>
          </cell>
          <cell r="B827" t="str">
            <v>Pikachu - Kalosian</v>
          </cell>
        </row>
        <row r="828">
          <cell r="A828">
            <v>827</v>
          </cell>
          <cell r="B828" t="str">
            <v>Pikachu - Alolan</v>
          </cell>
        </row>
        <row r="829">
          <cell r="A829">
            <v>828</v>
          </cell>
          <cell r="B829" t="str">
            <v>Pikachu - I Choose You!</v>
          </cell>
        </row>
        <row r="830">
          <cell r="A830">
            <v>829</v>
          </cell>
          <cell r="B830" t="str">
            <v>Raichu - Alolan</v>
          </cell>
        </row>
        <row r="831">
          <cell r="A831">
            <v>830</v>
          </cell>
          <cell r="B831" t="str">
            <v>Sandshrew - Alolan</v>
          </cell>
        </row>
        <row r="832">
          <cell r="A832">
            <v>831</v>
          </cell>
          <cell r="B832" t="str">
            <v>Sandslash - Alolan</v>
          </cell>
        </row>
        <row r="833">
          <cell r="A833">
            <v>832</v>
          </cell>
          <cell r="B833" t="str">
            <v>Clefable - Mega</v>
          </cell>
        </row>
        <row r="834">
          <cell r="A834">
            <v>833</v>
          </cell>
          <cell r="B834" t="str">
            <v>Vulpix - Alolan</v>
          </cell>
        </row>
        <row r="835">
          <cell r="A835">
            <v>834</v>
          </cell>
          <cell r="B835" t="str">
            <v>Ninetales - Alolan</v>
          </cell>
        </row>
        <row r="836">
          <cell r="A836">
            <v>835</v>
          </cell>
          <cell r="B836" t="str">
            <v>Wigglytuff - Scream Tail</v>
          </cell>
        </row>
        <row r="837">
          <cell r="A837">
            <v>836</v>
          </cell>
          <cell r="B837" t="str">
            <v>Diglett - Alolan</v>
          </cell>
        </row>
        <row r="838">
          <cell r="A838">
            <v>837</v>
          </cell>
          <cell r="B838" t="str">
            <v>Diglett - Wiglett</v>
          </cell>
        </row>
        <row r="839">
          <cell r="A839">
            <v>838</v>
          </cell>
          <cell r="B839" t="str">
            <v>Dugtrio - Alolan</v>
          </cell>
        </row>
        <row r="840">
          <cell r="A840">
            <v>839</v>
          </cell>
          <cell r="B840" t="str">
            <v>Dugtrio - Wugtrio</v>
          </cell>
        </row>
        <row r="841">
          <cell r="A841">
            <v>840</v>
          </cell>
          <cell r="B841" t="str">
            <v>Meowth - Alolan</v>
          </cell>
        </row>
        <row r="842">
          <cell r="A842">
            <v>841</v>
          </cell>
          <cell r="B842" t="str">
            <v>Persian - Alolan</v>
          </cell>
        </row>
        <row r="843">
          <cell r="A843">
            <v>842</v>
          </cell>
          <cell r="B843" t="str">
            <v>Persian - Perrserker</v>
          </cell>
        </row>
        <row r="844">
          <cell r="A844">
            <v>843</v>
          </cell>
          <cell r="B844" t="str">
            <v>Persian - Ultra</v>
          </cell>
        </row>
        <row r="845">
          <cell r="A845">
            <v>844</v>
          </cell>
          <cell r="B845" t="str">
            <v>Growlithe - Hisuian</v>
          </cell>
        </row>
        <row r="846">
          <cell r="A846">
            <v>845</v>
          </cell>
          <cell r="B846" t="str">
            <v>Arcanine - Hisuian</v>
          </cell>
        </row>
        <row r="847">
          <cell r="A847">
            <v>846</v>
          </cell>
          <cell r="B847" t="str">
            <v>Alakazam - Mega</v>
          </cell>
        </row>
        <row r="848">
          <cell r="A848">
            <v>847</v>
          </cell>
          <cell r="B848" t="str">
            <v>Machamp - Mega</v>
          </cell>
        </row>
        <row r="849">
          <cell r="A849">
            <v>848</v>
          </cell>
          <cell r="B849" t="str">
            <v>Victreebel - Mega</v>
          </cell>
        </row>
        <row r="850">
          <cell r="A850">
            <v>849</v>
          </cell>
          <cell r="B850" t="str">
            <v>Tentacool - Toedscool</v>
          </cell>
        </row>
        <row r="851">
          <cell r="A851">
            <v>850</v>
          </cell>
          <cell r="B851" t="str">
            <v>Tentacruel - Toedscruel</v>
          </cell>
        </row>
        <row r="852">
          <cell r="A852">
            <v>851</v>
          </cell>
          <cell r="B852" t="str">
            <v>Geodude - Alolan</v>
          </cell>
        </row>
        <row r="853">
          <cell r="A853">
            <v>852</v>
          </cell>
          <cell r="B853" t="str">
            <v>Graveler - Alolan</v>
          </cell>
        </row>
        <row r="854">
          <cell r="A854">
            <v>853</v>
          </cell>
          <cell r="B854" t="str">
            <v>Golem - Alolan</v>
          </cell>
        </row>
        <row r="855">
          <cell r="A855">
            <v>854</v>
          </cell>
          <cell r="B855" t="str">
            <v>Ponyta - Galarian</v>
          </cell>
        </row>
        <row r="856">
          <cell r="A856">
            <v>855</v>
          </cell>
          <cell r="B856" t="str">
            <v>Rapidash - Galarian</v>
          </cell>
        </row>
        <row r="857">
          <cell r="A857">
            <v>856</v>
          </cell>
          <cell r="B857" t="str">
            <v>Slowbro - Galarian</v>
          </cell>
        </row>
        <row r="858">
          <cell r="A858">
            <v>857</v>
          </cell>
          <cell r="B858" t="str">
            <v>Slowbro - Mega</v>
          </cell>
        </row>
        <row r="859">
          <cell r="A859">
            <v>858</v>
          </cell>
          <cell r="B859" t="str">
            <v>Farfetch'd - Mega</v>
          </cell>
        </row>
        <row r="860">
          <cell r="A860">
            <v>859</v>
          </cell>
          <cell r="B860" t="str">
            <v>Grimer - Alolan</v>
          </cell>
        </row>
        <row r="861">
          <cell r="A861">
            <v>860</v>
          </cell>
          <cell r="B861" t="str">
            <v>Muk - Alolan</v>
          </cell>
        </row>
        <row r="862">
          <cell r="A862">
            <v>861</v>
          </cell>
          <cell r="B862" t="str">
            <v>Gengar - Mega</v>
          </cell>
        </row>
        <row r="863">
          <cell r="A863">
            <v>862</v>
          </cell>
          <cell r="B863" t="str">
            <v>Onix - Crystal</v>
          </cell>
        </row>
        <row r="864">
          <cell r="A864">
            <v>863</v>
          </cell>
          <cell r="B864" t="str">
            <v>Kingler - Mega</v>
          </cell>
        </row>
        <row r="865">
          <cell r="A865">
            <v>864</v>
          </cell>
          <cell r="B865" t="str">
            <v>Voltorb - Hisuian</v>
          </cell>
        </row>
        <row r="866">
          <cell r="A866">
            <v>865</v>
          </cell>
          <cell r="B866" t="str">
            <v>Electrode - Hisuian</v>
          </cell>
        </row>
        <row r="867">
          <cell r="A867">
            <v>866</v>
          </cell>
          <cell r="B867" t="str">
            <v>Exeggutor - Alolan</v>
          </cell>
        </row>
        <row r="868">
          <cell r="A868">
            <v>867</v>
          </cell>
          <cell r="B868" t="str">
            <v>Exeggutor - Judean</v>
          </cell>
        </row>
        <row r="869">
          <cell r="A869">
            <v>868</v>
          </cell>
          <cell r="B869" t="str">
            <v>Exeggutor - Ultra</v>
          </cell>
        </row>
        <row r="870">
          <cell r="A870">
            <v>869</v>
          </cell>
          <cell r="B870" t="str">
            <v>Marowak - Alolan</v>
          </cell>
        </row>
        <row r="871">
          <cell r="A871">
            <v>870</v>
          </cell>
          <cell r="B871" t="str">
            <v>Marowak - Totem Ultra</v>
          </cell>
        </row>
        <row r="872">
          <cell r="A872">
            <v>871</v>
          </cell>
          <cell r="B872" t="str">
            <v>Weezing - Galarian</v>
          </cell>
        </row>
        <row r="873">
          <cell r="A873">
            <v>872</v>
          </cell>
          <cell r="B873" t="str">
            <v>Kangaskhan - Mega</v>
          </cell>
        </row>
        <row r="874">
          <cell r="A874">
            <v>873</v>
          </cell>
          <cell r="B874" t="str">
            <v>Starmie - Mega</v>
          </cell>
        </row>
        <row r="875">
          <cell r="A875">
            <v>874</v>
          </cell>
          <cell r="B875" t="str">
            <v>Mr. Mime - Mr. Rime</v>
          </cell>
        </row>
        <row r="876">
          <cell r="A876">
            <v>875</v>
          </cell>
          <cell r="B876" t="str">
            <v>Scyther - Orrean</v>
          </cell>
        </row>
        <row r="877">
          <cell r="A877">
            <v>876</v>
          </cell>
          <cell r="B877" t="str">
            <v>Pinsir - Mega</v>
          </cell>
        </row>
        <row r="878">
          <cell r="A878">
            <v>877</v>
          </cell>
          <cell r="B878" t="str">
            <v>Gyarados - Mega</v>
          </cell>
        </row>
        <row r="879">
          <cell r="A879">
            <v>878</v>
          </cell>
          <cell r="B879" t="str">
            <v>Lapras - Mega</v>
          </cell>
        </row>
        <row r="880">
          <cell r="A880">
            <v>879</v>
          </cell>
          <cell r="B880" t="str">
            <v>Eevee - Mega</v>
          </cell>
        </row>
        <row r="881">
          <cell r="A881">
            <v>880</v>
          </cell>
          <cell r="B881" t="str">
            <v>Aerodactyl - Mega</v>
          </cell>
        </row>
        <row r="882">
          <cell r="A882">
            <v>881</v>
          </cell>
          <cell r="B882" t="str">
            <v>Snorlax - Mega</v>
          </cell>
        </row>
        <row r="883">
          <cell r="A883">
            <v>882</v>
          </cell>
          <cell r="B883" t="str">
            <v>Articuno - Galarian</v>
          </cell>
        </row>
        <row r="884">
          <cell r="A884">
            <v>883</v>
          </cell>
          <cell r="B884" t="str">
            <v>Zapdos - Galarian</v>
          </cell>
        </row>
        <row r="885">
          <cell r="A885">
            <v>884</v>
          </cell>
          <cell r="B885" t="str">
            <v>Moltres - Galarian</v>
          </cell>
        </row>
        <row r="886">
          <cell r="A886">
            <v>885</v>
          </cell>
          <cell r="B886" t="str">
            <v>Dragonair - Sinnohan</v>
          </cell>
        </row>
        <row r="887">
          <cell r="A887">
            <v>886</v>
          </cell>
          <cell r="B887" t="str">
            <v>Dragonair - Judean Shield</v>
          </cell>
        </row>
        <row r="888">
          <cell r="A888">
            <v>887</v>
          </cell>
          <cell r="B888" t="str">
            <v>Dragonair - Judean Spear</v>
          </cell>
        </row>
        <row r="889">
          <cell r="A889">
            <v>888</v>
          </cell>
          <cell r="B889" t="str">
            <v>Dragonair - Judean Arrow</v>
          </cell>
        </row>
        <row r="890">
          <cell r="A890">
            <v>889</v>
          </cell>
          <cell r="B890" t="str">
            <v>Dragonair - Judean Tank</v>
          </cell>
        </row>
        <row r="891">
          <cell r="A891">
            <v>890</v>
          </cell>
          <cell r="B891" t="str">
            <v>Dragonite - Mega</v>
          </cell>
        </row>
        <row r="892">
          <cell r="A892">
            <v>891</v>
          </cell>
          <cell r="B892" t="str">
            <v>Mewtwo - X</v>
          </cell>
        </row>
        <row r="893">
          <cell r="A893">
            <v>892</v>
          </cell>
          <cell r="B893" t="str">
            <v>Mewtwo - Y</v>
          </cell>
        </row>
        <row r="894">
          <cell r="A894">
            <v>893</v>
          </cell>
          <cell r="B894" t="str">
            <v>Meganium - Hisuian</v>
          </cell>
        </row>
        <row r="895">
          <cell r="A895">
            <v>894</v>
          </cell>
          <cell r="B895" t="str">
            <v>Meganium - Mega</v>
          </cell>
        </row>
        <row r="896">
          <cell r="A896">
            <v>895</v>
          </cell>
          <cell r="B896" t="str">
            <v>Typhlosion - Hisuian</v>
          </cell>
        </row>
        <row r="897">
          <cell r="A897">
            <v>896</v>
          </cell>
          <cell r="B897" t="str">
            <v>Feraligatr - Orrean</v>
          </cell>
        </row>
        <row r="898">
          <cell r="A898">
            <v>897</v>
          </cell>
          <cell r="B898" t="str">
            <v>Feraligatr - Mega</v>
          </cell>
        </row>
        <row r="899">
          <cell r="A899">
            <v>898</v>
          </cell>
          <cell r="B899" t="str">
            <v>Crobat - δ</v>
          </cell>
        </row>
        <row r="900">
          <cell r="A900">
            <v>899</v>
          </cell>
          <cell r="B900" t="str">
            <v>Ampharos - Mega</v>
          </cell>
        </row>
        <row r="901">
          <cell r="A901">
            <v>900</v>
          </cell>
          <cell r="B901" t="str">
            <v>Quagsire - Clodsire</v>
          </cell>
        </row>
        <row r="902">
          <cell r="A902">
            <v>901</v>
          </cell>
          <cell r="B902" t="str">
            <v>Slowking - Galarian</v>
          </cell>
        </row>
        <row r="903">
          <cell r="A903">
            <v>902</v>
          </cell>
          <cell r="B903" t="str">
            <v>Steelix - Mega</v>
          </cell>
        </row>
        <row r="904">
          <cell r="A904">
            <v>903</v>
          </cell>
          <cell r="B904" t="str">
            <v>Scizor - Orrean</v>
          </cell>
        </row>
        <row r="905">
          <cell r="A905">
            <v>904</v>
          </cell>
          <cell r="B905" t="str">
            <v>Scizor - Kleavor</v>
          </cell>
        </row>
        <row r="906">
          <cell r="A906">
            <v>905</v>
          </cell>
          <cell r="B906" t="str">
            <v>Scizor - Ultra</v>
          </cell>
        </row>
        <row r="907">
          <cell r="A907">
            <v>906</v>
          </cell>
          <cell r="B907" t="str">
            <v>Heracross - Mega</v>
          </cell>
        </row>
        <row r="908">
          <cell r="A908">
            <v>907</v>
          </cell>
          <cell r="B908" t="str">
            <v>Corsola - Cursola</v>
          </cell>
        </row>
        <row r="909">
          <cell r="A909">
            <v>908</v>
          </cell>
          <cell r="B909" t="str">
            <v>Delibird - Mega</v>
          </cell>
        </row>
        <row r="910">
          <cell r="A910">
            <v>909</v>
          </cell>
          <cell r="B910" t="str">
            <v>Skarmory - Mega</v>
          </cell>
        </row>
        <row r="911">
          <cell r="A911">
            <v>910</v>
          </cell>
          <cell r="B911" t="str">
            <v>Houndoom - Mega</v>
          </cell>
        </row>
        <row r="912">
          <cell r="A912">
            <v>911</v>
          </cell>
          <cell r="B912" t="str">
            <v>Donphan - Great Tusk</v>
          </cell>
        </row>
        <row r="913">
          <cell r="A913">
            <v>912</v>
          </cell>
          <cell r="B913" t="str">
            <v>Donphan - Iron Treads</v>
          </cell>
        </row>
        <row r="914">
          <cell r="A914">
            <v>913</v>
          </cell>
          <cell r="B914" t="str">
            <v>Donphan - Ultra</v>
          </cell>
        </row>
        <row r="915">
          <cell r="A915">
            <v>914</v>
          </cell>
          <cell r="B915" t="str">
            <v>Raikou - Raging Bolt</v>
          </cell>
        </row>
        <row r="916">
          <cell r="A916">
            <v>915</v>
          </cell>
          <cell r="B916" t="str">
            <v>Entei - Gouging Fire</v>
          </cell>
        </row>
        <row r="917">
          <cell r="A917">
            <v>916</v>
          </cell>
          <cell r="B917" t="str">
            <v>Suicune - Walking Wake</v>
          </cell>
        </row>
        <row r="918">
          <cell r="A918">
            <v>917</v>
          </cell>
          <cell r="B918" t="str">
            <v>Tyranitar - Iron Thorns</v>
          </cell>
        </row>
        <row r="919">
          <cell r="A919">
            <v>918</v>
          </cell>
          <cell r="B919" t="str">
            <v>Tyranitar - Mega</v>
          </cell>
        </row>
        <row r="920">
          <cell r="A920">
            <v>919</v>
          </cell>
          <cell r="B920" t="str">
            <v>Sceptile - Mega</v>
          </cell>
        </row>
        <row r="921">
          <cell r="A921">
            <v>920</v>
          </cell>
          <cell r="B921" t="str">
            <v>Blaziken - Mega</v>
          </cell>
        </row>
        <row r="922">
          <cell r="A922">
            <v>921</v>
          </cell>
          <cell r="B922" t="str">
            <v>Swampert - Mega</v>
          </cell>
        </row>
        <row r="923">
          <cell r="A923">
            <v>922</v>
          </cell>
          <cell r="B923" t="str">
            <v>Ludicolo - Orrean</v>
          </cell>
        </row>
        <row r="924">
          <cell r="A924">
            <v>923</v>
          </cell>
          <cell r="B924" t="str">
            <v>Swellow - Mega</v>
          </cell>
        </row>
        <row r="925">
          <cell r="A925">
            <v>924</v>
          </cell>
          <cell r="B925" t="str">
            <v>Gardevoir - Mega</v>
          </cell>
        </row>
        <row r="926">
          <cell r="A926">
            <v>925</v>
          </cell>
          <cell r="B926" t="str">
            <v>Sableye - Mega</v>
          </cell>
        </row>
        <row r="927">
          <cell r="A927">
            <v>926</v>
          </cell>
          <cell r="B927" t="str">
            <v>Mawile - Mega</v>
          </cell>
        </row>
        <row r="928">
          <cell r="A928">
            <v>927</v>
          </cell>
          <cell r="B928" t="str">
            <v>Aggron - Mega</v>
          </cell>
        </row>
        <row r="929">
          <cell r="A929">
            <v>928</v>
          </cell>
          <cell r="B929" t="str">
            <v>Medicham - Mega</v>
          </cell>
        </row>
        <row r="930">
          <cell r="A930">
            <v>929</v>
          </cell>
          <cell r="B930" t="str">
            <v>Manectric - Mega</v>
          </cell>
        </row>
        <row r="931">
          <cell r="A931">
            <v>930</v>
          </cell>
          <cell r="B931" t="str">
            <v>Sharpedo - Mega</v>
          </cell>
        </row>
        <row r="932">
          <cell r="A932">
            <v>931</v>
          </cell>
          <cell r="B932" t="str">
            <v>Camerupt - Mega</v>
          </cell>
        </row>
        <row r="933">
          <cell r="A933">
            <v>932</v>
          </cell>
          <cell r="B933" t="str">
            <v>Flygon - Mega</v>
          </cell>
        </row>
        <row r="934">
          <cell r="A934">
            <v>933</v>
          </cell>
          <cell r="B934" t="str">
            <v>Altaria - Mega</v>
          </cell>
        </row>
        <row r="935">
          <cell r="A935">
            <v>934</v>
          </cell>
          <cell r="B935" t="str">
            <v>Claydol - Judean</v>
          </cell>
        </row>
        <row r="936">
          <cell r="A936">
            <v>935</v>
          </cell>
          <cell r="B936" t="str">
            <v>Castform - Sunny</v>
          </cell>
        </row>
        <row r="937">
          <cell r="A937">
            <v>936</v>
          </cell>
          <cell r="B937" t="str">
            <v>Castform - Rainy</v>
          </cell>
        </row>
        <row r="938">
          <cell r="A938">
            <v>937</v>
          </cell>
          <cell r="B938" t="str">
            <v>Castform - Snowy</v>
          </cell>
        </row>
        <row r="939">
          <cell r="A939">
            <v>938</v>
          </cell>
          <cell r="B939" t="str">
            <v>Castform - Sandy</v>
          </cell>
        </row>
        <row r="940">
          <cell r="A940">
            <v>939</v>
          </cell>
          <cell r="B940" t="str">
            <v>Banette - Mega</v>
          </cell>
        </row>
        <row r="941">
          <cell r="A941">
            <v>940</v>
          </cell>
          <cell r="B941" t="str">
            <v>Chimecho - Mega</v>
          </cell>
        </row>
        <row r="942">
          <cell r="A942">
            <v>941</v>
          </cell>
          <cell r="B942" t="str">
            <v>Absol - Mega</v>
          </cell>
        </row>
        <row r="943">
          <cell r="A943">
            <v>942</v>
          </cell>
          <cell r="B943" t="str">
            <v>Glalie - Mega</v>
          </cell>
        </row>
        <row r="944">
          <cell r="A944">
            <v>943</v>
          </cell>
          <cell r="B944" t="str">
            <v>Salamence - Roaring Moon</v>
          </cell>
        </row>
        <row r="945">
          <cell r="A945">
            <v>944</v>
          </cell>
          <cell r="B945" t="str">
            <v>Salamence - Mega</v>
          </cell>
        </row>
        <row r="946">
          <cell r="A946">
            <v>945</v>
          </cell>
          <cell r="B946" t="str">
            <v>Metagross - Mega</v>
          </cell>
        </row>
        <row r="947">
          <cell r="A947">
            <v>946</v>
          </cell>
          <cell r="B947" t="str">
            <v>Latias - δ</v>
          </cell>
        </row>
        <row r="948">
          <cell r="A948">
            <v>947</v>
          </cell>
          <cell r="B948" t="str">
            <v>Latias - Mega</v>
          </cell>
        </row>
        <row r="949">
          <cell r="A949">
            <v>948</v>
          </cell>
          <cell r="B949" t="str">
            <v>Latias - Mega δ</v>
          </cell>
        </row>
        <row r="950">
          <cell r="A950">
            <v>949</v>
          </cell>
          <cell r="B950" t="str">
            <v>Latios - δ</v>
          </cell>
        </row>
        <row r="951">
          <cell r="A951">
            <v>950</v>
          </cell>
          <cell r="B951" t="str">
            <v>Latios - Mega</v>
          </cell>
        </row>
        <row r="952">
          <cell r="A952">
            <v>951</v>
          </cell>
          <cell r="B952" t="str">
            <v>Latios - Mega δ</v>
          </cell>
        </row>
        <row r="953">
          <cell r="A953">
            <v>952</v>
          </cell>
          <cell r="B953" t="str">
            <v>Kyogre - Primal</v>
          </cell>
        </row>
        <row r="954">
          <cell r="A954">
            <v>953</v>
          </cell>
          <cell r="B954" t="str">
            <v>Groudon - Primal</v>
          </cell>
        </row>
        <row r="955">
          <cell r="A955">
            <v>954</v>
          </cell>
          <cell r="B955" t="str">
            <v>Rayquaza - Mega</v>
          </cell>
        </row>
        <row r="956">
          <cell r="A956">
            <v>955</v>
          </cell>
          <cell r="B956" t="str">
            <v>Deoxys - Attack</v>
          </cell>
        </row>
        <row r="957">
          <cell r="A957">
            <v>956</v>
          </cell>
          <cell r="B957" t="str">
            <v>Deoxys - Defense</v>
          </cell>
        </row>
        <row r="958">
          <cell r="A958">
            <v>957</v>
          </cell>
          <cell r="B958" t="str">
            <v>Deoxys - Speed</v>
          </cell>
        </row>
        <row r="959">
          <cell r="A959">
            <v>958</v>
          </cell>
          <cell r="B959" t="str">
            <v>Burmy - Sandy</v>
          </cell>
        </row>
        <row r="960">
          <cell r="A960">
            <v>959</v>
          </cell>
          <cell r="B960" t="str">
            <v>Burmy - Trash</v>
          </cell>
        </row>
        <row r="961">
          <cell r="A961">
            <v>960</v>
          </cell>
          <cell r="B961" t="str">
            <v>Wormadam - Sandy</v>
          </cell>
        </row>
        <row r="962">
          <cell r="A962">
            <v>961</v>
          </cell>
          <cell r="B962" t="str">
            <v>Wormadam - Trash</v>
          </cell>
        </row>
        <row r="963">
          <cell r="A963">
            <v>962</v>
          </cell>
          <cell r="B963" t="str">
            <v>Cherrim - Sunshine</v>
          </cell>
        </row>
        <row r="964">
          <cell r="A964">
            <v>963</v>
          </cell>
          <cell r="B964" t="str">
            <v>Shellos - East</v>
          </cell>
        </row>
        <row r="965">
          <cell r="A965">
            <v>964</v>
          </cell>
          <cell r="B965" t="str">
            <v>Gastrodon - East</v>
          </cell>
        </row>
        <row r="966">
          <cell r="A966">
            <v>965</v>
          </cell>
          <cell r="B966" t="str">
            <v>Lopunny - Mega</v>
          </cell>
        </row>
        <row r="967">
          <cell r="A967">
            <v>966</v>
          </cell>
          <cell r="B967" t="str">
            <v>Garchomp - Mega</v>
          </cell>
        </row>
        <row r="968">
          <cell r="A968">
            <v>967</v>
          </cell>
          <cell r="B968" t="str">
            <v>Lucario - Mega</v>
          </cell>
        </row>
        <row r="969">
          <cell r="A969">
            <v>968</v>
          </cell>
          <cell r="B969" t="str">
            <v>Abomasnow - Mega</v>
          </cell>
        </row>
        <row r="970">
          <cell r="A970">
            <v>969</v>
          </cell>
          <cell r="B970" t="str">
            <v>Weavile - Sneasler</v>
          </cell>
        </row>
        <row r="971">
          <cell r="A971">
            <v>970</v>
          </cell>
          <cell r="B971" t="str">
            <v>Magnezone - Sandy Shocks</v>
          </cell>
        </row>
        <row r="972">
          <cell r="A972">
            <v>971</v>
          </cell>
          <cell r="B972" t="str">
            <v>Magnezone - Mithril Glow</v>
          </cell>
        </row>
        <row r="973">
          <cell r="A973">
            <v>972</v>
          </cell>
          <cell r="B973" t="str">
            <v>Togekiss - Mega</v>
          </cell>
        </row>
        <row r="974">
          <cell r="A974">
            <v>973</v>
          </cell>
          <cell r="B974" t="str">
            <v>Porygon-Z - Judean</v>
          </cell>
        </row>
        <row r="975">
          <cell r="A975">
            <v>974</v>
          </cell>
          <cell r="B975" t="str">
            <v>Porygon-Z - Ultra</v>
          </cell>
        </row>
        <row r="976">
          <cell r="A976">
            <v>975</v>
          </cell>
          <cell r="B976" t="str">
            <v>Gallade - Mega</v>
          </cell>
        </row>
        <row r="977">
          <cell r="A977">
            <v>976</v>
          </cell>
          <cell r="B977" t="str">
            <v>Froslass - Mega</v>
          </cell>
        </row>
        <row r="978">
          <cell r="A978">
            <v>977</v>
          </cell>
          <cell r="B978" t="str">
            <v>Rotom - Heat</v>
          </cell>
        </row>
        <row r="979">
          <cell r="A979">
            <v>978</v>
          </cell>
          <cell r="B979" t="str">
            <v>Rotom - Wash</v>
          </cell>
        </row>
        <row r="980">
          <cell r="A980">
            <v>979</v>
          </cell>
          <cell r="B980" t="str">
            <v>Rotom - Frost</v>
          </cell>
        </row>
        <row r="981">
          <cell r="A981">
            <v>980</v>
          </cell>
          <cell r="B981" t="str">
            <v>Rotom - Fan</v>
          </cell>
        </row>
        <row r="982">
          <cell r="A982">
            <v>981</v>
          </cell>
          <cell r="B982" t="str">
            <v>Rotom - Mow</v>
          </cell>
        </row>
        <row r="983">
          <cell r="A983">
            <v>982</v>
          </cell>
          <cell r="B983" t="str">
            <v>Dialga - Mega</v>
          </cell>
        </row>
        <row r="984">
          <cell r="A984">
            <v>983</v>
          </cell>
          <cell r="B984" t="str">
            <v>Palkia - Mega</v>
          </cell>
        </row>
        <row r="985">
          <cell r="A985">
            <v>984</v>
          </cell>
          <cell r="B985" t="str">
            <v>Giratina - Origin</v>
          </cell>
        </row>
        <row r="986">
          <cell r="A986">
            <v>985</v>
          </cell>
          <cell r="B986" t="str">
            <v>Shaymin - Sky</v>
          </cell>
        </row>
        <row r="987">
          <cell r="A987">
            <v>986</v>
          </cell>
          <cell r="B987" t="str">
            <v>Serperior - Hisuian</v>
          </cell>
        </row>
        <row r="988">
          <cell r="A988">
            <v>987</v>
          </cell>
          <cell r="B988" t="str">
            <v>Emboar - Hisuian</v>
          </cell>
        </row>
        <row r="989">
          <cell r="A989">
            <v>988</v>
          </cell>
          <cell r="B989" t="str">
            <v>Emboar - Mega</v>
          </cell>
        </row>
        <row r="990">
          <cell r="A990">
            <v>989</v>
          </cell>
          <cell r="B990" t="str">
            <v>Samurott - Hisuian</v>
          </cell>
        </row>
        <row r="991">
          <cell r="A991">
            <v>990</v>
          </cell>
          <cell r="B991" t="str">
            <v>Excadrill - Mega</v>
          </cell>
        </row>
        <row r="992">
          <cell r="A992">
            <v>991</v>
          </cell>
          <cell r="B992" t="str">
            <v>Audino - Mega</v>
          </cell>
        </row>
        <row r="993">
          <cell r="A993">
            <v>992</v>
          </cell>
          <cell r="B993" t="str">
            <v>Whirlipede - Orrean</v>
          </cell>
        </row>
        <row r="994">
          <cell r="A994">
            <v>993</v>
          </cell>
          <cell r="B994" t="str">
            <v>Scolipede - Orrean</v>
          </cell>
        </row>
        <row r="995">
          <cell r="A995">
            <v>994</v>
          </cell>
          <cell r="B995" t="str">
            <v>Basculin - Blue</v>
          </cell>
        </row>
        <row r="996">
          <cell r="A996">
            <v>995</v>
          </cell>
          <cell r="B996" t="str">
            <v>Darmanitan - Zen</v>
          </cell>
        </row>
        <row r="997">
          <cell r="A997">
            <v>996</v>
          </cell>
          <cell r="B997" t="str">
            <v>Garbodor - Mega</v>
          </cell>
        </row>
        <row r="998">
          <cell r="A998">
            <v>997</v>
          </cell>
          <cell r="B998" t="str">
            <v>Zorua - Hisuian</v>
          </cell>
        </row>
        <row r="999">
          <cell r="A999">
            <v>998</v>
          </cell>
          <cell r="B999" t="str">
            <v>Zoroark - Hisuian</v>
          </cell>
        </row>
        <row r="1000">
          <cell r="A1000">
            <v>999</v>
          </cell>
          <cell r="B1000" t="str">
            <v>Amoonguss - Brute Bonnet</v>
          </cell>
        </row>
        <row r="1001">
          <cell r="A1001">
            <v>1000</v>
          </cell>
          <cell r="B1001" t="str">
            <v>Frillish - Female</v>
          </cell>
        </row>
        <row r="1002">
          <cell r="A1002">
            <v>1001</v>
          </cell>
          <cell r="B1002" t="str">
            <v>Jellicent - Female</v>
          </cell>
        </row>
        <row r="1003">
          <cell r="A1003">
            <v>1002</v>
          </cell>
          <cell r="B1003" t="str">
            <v>Galvantula - Orrean</v>
          </cell>
        </row>
        <row r="1004">
          <cell r="A1004">
            <v>1003</v>
          </cell>
          <cell r="B1004" t="str">
            <v>Chandelure - Judean</v>
          </cell>
        </row>
        <row r="1005">
          <cell r="A1005">
            <v>1004</v>
          </cell>
          <cell r="B1005" t="str">
            <v>Chandelure - Mega</v>
          </cell>
        </row>
        <row r="1006">
          <cell r="A1006">
            <v>1005</v>
          </cell>
          <cell r="B1006" t="str">
            <v>Golurk - Judean</v>
          </cell>
        </row>
        <row r="1007">
          <cell r="A1007">
            <v>1006</v>
          </cell>
          <cell r="B1007" t="str">
            <v>Golurk - Mega Unovan</v>
          </cell>
        </row>
        <row r="1008">
          <cell r="A1008">
            <v>1007</v>
          </cell>
          <cell r="B1008" t="str">
            <v>Golurk - Mega Judean</v>
          </cell>
        </row>
        <row r="1009">
          <cell r="A1009">
            <v>1008</v>
          </cell>
          <cell r="B1009" t="str">
            <v>Braviary - Hisuian</v>
          </cell>
        </row>
        <row r="1010">
          <cell r="A1010">
            <v>1009</v>
          </cell>
          <cell r="B1010" t="str">
            <v>Hydreigon - Iron Jugulis</v>
          </cell>
        </row>
        <row r="1011">
          <cell r="A1011">
            <v>1010</v>
          </cell>
          <cell r="B1011" t="str">
            <v>Volcarona - Slither Wing</v>
          </cell>
        </row>
        <row r="1012">
          <cell r="A1012">
            <v>1011</v>
          </cell>
          <cell r="B1012" t="str">
            <v>Volcarona - Iron Moth</v>
          </cell>
        </row>
        <row r="1013">
          <cell r="A1013">
            <v>1012</v>
          </cell>
          <cell r="B1013" t="str">
            <v>Cobalion - Iron Crown</v>
          </cell>
        </row>
        <row r="1014">
          <cell r="A1014">
            <v>1013</v>
          </cell>
          <cell r="B1014" t="str">
            <v>Terrakion - Iron Boulder</v>
          </cell>
        </row>
        <row r="1015">
          <cell r="A1015">
            <v>1014</v>
          </cell>
          <cell r="B1015" t="str">
            <v>Virizion - Iron Leaves</v>
          </cell>
        </row>
        <row r="1016">
          <cell r="A1016">
            <v>1015</v>
          </cell>
          <cell r="B1016" t="str">
            <v>Tornadus - Therian</v>
          </cell>
        </row>
        <row r="1017">
          <cell r="A1017">
            <v>1016</v>
          </cell>
          <cell r="B1017" t="str">
            <v>Thundurus - Therian</v>
          </cell>
        </row>
        <row r="1018">
          <cell r="A1018">
            <v>1017</v>
          </cell>
          <cell r="B1018" t="str">
            <v>Landorus - Therian</v>
          </cell>
        </row>
        <row r="1019">
          <cell r="A1019">
            <v>1018</v>
          </cell>
          <cell r="B1019" t="str">
            <v>Kyurem - White</v>
          </cell>
        </row>
        <row r="1020">
          <cell r="A1020">
            <v>1019</v>
          </cell>
          <cell r="B1020" t="str">
            <v>Kyurem - Black</v>
          </cell>
        </row>
        <row r="1021">
          <cell r="A1021">
            <v>1020</v>
          </cell>
          <cell r="B1021" t="str">
            <v>Kyurem - Ultra</v>
          </cell>
        </row>
        <row r="1022">
          <cell r="A1022">
            <v>1021</v>
          </cell>
          <cell r="B1022" t="str">
            <v>Keldeo - Resolute</v>
          </cell>
        </row>
        <row r="1023">
          <cell r="A1023">
            <v>1022</v>
          </cell>
          <cell r="B1023" t="str">
            <v>Meloetta - Pirouette</v>
          </cell>
        </row>
        <row r="1024">
          <cell r="A1024">
            <v>1023</v>
          </cell>
          <cell r="B1024" t="str">
            <v>Genesect - Douse</v>
          </cell>
        </row>
        <row r="1025">
          <cell r="A1025">
            <v>1024</v>
          </cell>
          <cell r="B1025" t="str">
            <v>Genesect - Shock</v>
          </cell>
        </row>
        <row r="1026">
          <cell r="A1026">
            <v>1025</v>
          </cell>
          <cell r="B1026" t="str">
            <v>Genesect - Burn</v>
          </cell>
        </row>
        <row r="1027">
          <cell r="A1027">
            <v>1026</v>
          </cell>
          <cell r="B1027" t="str">
            <v>Genesect - Chill</v>
          </cell>
        </row>
        <row r="1028">
          <cell r="A1028">
            <v>1027</v>
          </cell>
          <cell r="B1028" t="str">
            <v>Chesnaught - Mega</v>
          </cell>
        </row>
        <row r="1029">
          <cell r="A1029">
            <v>1028</v>
          </cell>
          <cell r="B1029" t="str">
            <v>Delphox - Mega</v>
          </cell>
        </row>
        <row r="1030">
          <cell r="A1030">
            <v>1029</v>
          </cell>
          <cell r="B1030" t="str">
            <v>Greninja - Ash</v>
          </cell>
        </row>
        <row r="1031">
          <cell r="A1031">
            <v>1030</v>
          </cell>
          <cell r="B1031" t="str">
            <v>Greninja - Ash Battle Bond</v>
          </cell>
        </row>
        <row r="1032">
          <cell r="A1032">
            <v>1031</v>
          </cell>
          <cell r="B1032" t="str">
            <v>Pyroar - Female</v>
          </cell>
        </row>
        <row r="1033">
          <cell r="A1033">
            <v>1032</v>
          </cell>
          <cell r="B1033" t="str">
            <v>Floette - Yellow</v>
          </cell>
        </row>
        <row r="1034">
          <cell r="A1034">
            <v>1033</v>
          </cell>
          <cell r="B1034" t="str">
            <v>Floette - Orange</v>
          </cell>
        </row>
        <row r="1035">
          <cell r="A1035">
            <v>1034</v>
          </cell>
          <cell r="B1035" t="str">
            <v>Floette - Blue</v>
          </cell>
        </row>
        <row r="1036">
          <cell r="A1036">
            <v>1035</v>
          </cell>
          <cell r="B1036" t="str">
            <v>Floette - White</v>
          </cell>
        </row>
        <row r="1037">
          <cell r="A1037">
            <v>1036</v>
          </cell>
          <cell r="B1037" t="str">
            <v>Floette - Eternal</v>
          </cell>
        </row>
        <row r="1038">
          <cell r="A1038">
            <v>1037</v>
          </cell>
          <cell r="B1038" t="str">
            <v>Florges - Yellow</v>
          </cell>
        </row>
        <row r="1039">
          <cell r="A1039">
            <v>1038</v>
          </cell>
          <cell r="B1039" t="str">
            <v>Florges - Orange</v>
          </cell>
        </row>
        <row r="1040">
          <cell r="A1040">
            <v>1039</v>
          </cell>
          <cell r="B1040" t="str">
            <v>Florges - Blue</v>
          </cell>
        </row>
        <row r="1041">
          <cell r="A1041">
            <v>1040</v>
          </cell>
          <cell r="B1041" t="str">
            <v>Florges - White</v>
          </cell>
        </row>
        <row r="1042">
          <cell r="A1042">
            <v>1041</v>
          </cell>
          <cell r="B1042" t="str">
            <v>Florges - Eternal</v>
          </cell>
        </row>
        <row r="1043">
          <cell r="A1043">
            <v>1042</v>
          </cell>
          <cell r="B1043" t="str">
            <v>Furfrou - Heart Trim</v>
          </cell>
        </row>
        <row r="1044">
          <cell r="A1044">
            <v>1043</v>
          </cell>
          <cell r="B1044" t="str">
            <v>Furfrou - Star Trim</v>
          </cell>
        </row>
        <row r="1045">
          <cell r="A1045">
            <v>1044</v>
          </cell>
          <cell r="B1045" t="str">
            <v>Furfrou - Diamond Trim</v>
          </cell>
        </row>
        <row r="1046">
          <cell r="A1046">
            <v>1045</v>
          </cell>
          <cell r="B1046" t="str">
            <v>Furfrou - Debutante Trim</v>
          </cell>
        </row>
        <row r="1047">
          <cell r="A1047">
            <v>1046</v>
          </cell>
          <cell r="B1047" t="str">
            <v>Furfrou - Matron Trim</v>
          </cell>
        </row>
        <row r="1048">
          <cell r="A1048">
            <v>1047</v>
          </cell>
          <cell r="B1048" t="str">
            <v>Furfrou - Dandy Trim</v>
          </cell>
        </row>
        <row r="1049">
          <cell r="A1049">
            <v>1048</v>
          </cell>
          <cell r="B1049" t="str">
            <v>Furfrou - La Reine Trim</v>
          </cell>
        </row>
        <row r="1050">
          <cell r="A1050">
            <v>1049</v>
          </cell>
          <cell r="B1050" t="str">
            <v>Furfrou - Kabuki Trim</v>
          </cell>
        </row>
        <row r="1051">
          <cell r="A1051">
            <v>1050</v>
          </cell>
          <cell r="B1051" t="str">
            <v>Furfrou - Pharaoh Trim</v>
          </cell>
        </row>
        <row r="1052">
          <cell r="A1052">
            <v>1051</v>
          </cell>
          <cell r="B1052" t="str">
            <v>Meowstic - Female</v>
          </cell>
        </row>
        <row r="1053">
          <cell r="A1053">
            <v>1052</v>
          </cell>
          <cell r="B1053" t="str">
            <v>Meowstic - Mega</v>
          </cell>
        </row>
        <row r="1054">
          <cell r="A1054">
            <v>1053</v>
          </cell>
          <cell r="B1054" t="str">
            <v>Aegislash - Blade</v>
          </cell>
        </row>
        <row r="1055">
          <cell r="A1055">
            <v>1054</v>
          </cell>
          <cell r="B1055" t="str">
            <v>Aegislash - Mega Shield</v>
          </cell>
        </row>
        <row r="1056">
          <cell r="A1056">
            <v>1055</v>
          </cell>
          <cell r="B1056" t="str">
            <v>Aegislash - Mega Blade</v>
          </cell>
        </row>
        <row r="1057">
          <cell r="A1057">
            <v>1056</v>
          </cell>
          <cell r="B1057" t="str">
            <v>Inkay - Rosharan</v>
          </cell>
        </row>
        <row r="1058">
          <cell r="A1058">
            <v>1057</v>
          </cell>
          <cell r="B1058" t="str">
            <v>Malamar - Rosharan</v>
          </cell>
        </row>
        <row r="1059">
          <cell r="A1059">
            <v>1058</v>
          </cell>
          <cell r="B1059" t="str">
            <v>Tyrantrum - Mega</v>
          </cell>
        </row>
        <row r="1060">
          <cell r="A1060">
            <v>1059</v>
          </cell>
          <cell r="B1060" t="str">
            <v>Aurorus - Mega</v>
          </cell>
        </row>
        <row r="1061">
          <cell r="A1061">
            <v>1060</v>
          </cell>
          <cell r="B1061" t="str">
            <v>Hawlucha - Mega</v>
          </cell>
        </row>
        <row r="1062">
          <cell r="A1062">
            <v>1061</v>
          </cell>
          <cell r="B1062" t="str">
            <v>Goodra - Hisuian</v>
          </cell>
        </row>
        <row r="1063">
          <cell r="A1063">
            <v>1062</v>
          </cell>
          <cell r="B1063" t="str">
            <v>Pumpkaboo - Medium</v>
          </cell>
        </row>
        <row r="1064">
          <cell r="A1064">
            <v>1063</v>
          </cell>
          <cell r="B1064" t="str">
            <v>Pumpkaboo - Large</v>
          </cell>
        </row>
        <row r="1065">
          <cell r="A1065">
            <v>1064</v>
          </cell>
          <cell r="B1065" t="str">
            <v>Pumpkaboo - Giant</v>
          </cell>
        </row>
        <row r="1066">
          <cell r="A1066">
            <v>1065</v>
          </cell>
          <cell r="B1066" t="str">
            <v>Gourgeist - Medium</v>
          </cell>
        </row>
        <row r="1067">
          <cell r="A1067">
            <v>1066</v>
          </cell>
          <cell r="B1067" t="str">
            <v>Gourgeist - Large</v>
          </cell>
        </row>
        <row r="1068">
          <cell r="A1068">
            <v>1067</v>
          </cell>
          <cell r="B1068" t="str">
            <v>Gourgeist - Giant</v>
          </cell>
        </row>
        <row r="1069">
          <cell r="A1069">
            <v>1068</v>
          </cell>
          <cell r="B1069" t="str">
            <v>Yveltal - δ</v>
          </cell>
        </row>
        <row r="1070">
          <cell r="A1070">
            <v>1069</v>
          </cell>
          <cell r="B1070" t="str">
            <v>Yveltal - δ1</v>
          </cell>
        </row>
        <row r="1071">
          <cell r="A1071">
            <v>1070</v>
          </cell>
          <cell r="B1071" t="str">
            <v>Yveltal - Ultra</v>
          </cell>
        </row>
        <row r="1072">
          <cell r="A1072">
            <v>1071</v>
          </cell>
          <cell r="B1072" t="str">
            <v>Yveltal - Awakened</v>
          </cell>
        </row>
        <row r="1073">
          <cell r="A1073">
            <v>1072</v>
          </cell>
          <cell r="B1073" t="str">
            <v>Zygarde - 0.1</v>
          </cell>
        </row>
        <row r="1074">
          <cell r="A1074">
            <v>1073</v>
          </cell>
          <cell r="B1074" t="str">
            <v>Zygarde - 10% Power Construct</v>
          </cell>
        </row>
        <row r="1075">
          <cell r="A1075">
            <v>1074</v>
          </cell>
          <cell r="B1075" t="str">
            <v>Zygarde - 50% Power Construct</v>
          </cell>
        </row>
        <row r="1076">
          <cell r="A1076">
            <v>1075</v>
          </cell>
          <cell r="B1076" t="str">
            <v>Zygarde - 100% Power Construct</v>
          </cell>
        </row>
        <row r="1077">
          <cell r="A1077">
            <v>1076</v>
          </cell>
          <cell r="B1077" t="str">
            <v>Diancie - Mega</v>
          </cell>
        </row>
        <row r="1078">
          <cell r="A1078">
            <v>1077</v>
          </cell>
          <cell r="B1078" t="str">
            <v>Hoopa - Unbound</v>
          </cell>
        </row>
        <row r="1079">
          <cell r="A1079">
            <v>1078</v>
          </cell>
          <cell r="B1079" t="str">
            <v>Decidueye - Hisuian</v>
          </cell>
        </row>
        <row r="1080">
          <cell r="A1080">
            <v>1079</v>
          </cell>
          <cell r="B1080" t="str">
            <v>Incineroar - Hisuian</v>
          </cell>
        </row>
        <row r="1081">
          <cell r="A1081">
            <v>1080</v>
          </cell>
          <cell r="B1081" t="str">
            <v>Primarina - Hisuian</v>
          </cell>
        </row>
        <row r="1082">
          <cell r="A1082">
            <v>1081</v>
          </cell>
          <cell r="B1082" t="str">
            <v>Gumshoos - Mega Totem</v>
          </cell>
        </row>
        <row r="1083">
          <cell r="A1083">
            <v>1082</v>
          </cell>
          <cell r="B1083" t="str">
            <v>Vikavolt - Mega Totem</v>
          </cell>
        </row>
        <row r="1084">
          <cell r="A1084">
            <v>1083</v>
          </cell>
          <cell r="B1084" t="str">
            <v>Crabominable - Mega</v>
          </cell>
        </row>
        <row r="1085">
          <cell r="A1085">
            <v>1084</v>
          </cell>
          <cell r="B1085" t="str">
            <v>Oricorio - Electric</v>
          </cell>
        </row>
        <row r="1086">
          <cell r="A1086">
            <v>1085</v>
          </cell>
          <cell r="B1086" t="str">
            <v>Oricorio - Psychic</v>
          </cell>
        </row>
        <row r="1087">
          <cell r="A1087">
            <v>1086</v>
          </cell>
          <cell r="B1087" t="str">
            <v>Oricorio - Ghost</v>
          </cell>
        </row>
        <row r="1088">
          <cell r="A1088">
            <v>1087</v>
          </cell>
          <cell r="B1088" t="str">
            <v>Ribombee - Mega Totem</v>
          </cell>
        </row>
        <row r="1089">
          <cell r="A1089">
            <v>1088</v>
          </cell>
          <cell r="B1089" t="str">
            <v>Rockruff - Dusk</v>
          </cell>
        </row>
        <row r="1090">
          <cell r="A1090">
            <v>1089</v>
          </cell>
          <cell r="B1090" t="str">
            <v>Lycanroc - Midnight</v>
          </cell>
        </row>
        <row r="1091">
          <cell r="A1091">
            <v>1090</v>
          </cell>
          <cell r="B1091" t="str">
            <v>Lycanroc - Dusk</v>
          </cell>
        </row>
        <row r="1092">
          <cell r="A1092">
            <v>1091</v>
          </cell>
          <cell r="B1092" t="str">
            <v>Wishiwashi - School</v>
          </cell>
        </row>
        <row r="1093">
          <cell r="A1093">
            <v>1092</v>
          </cell>
          <cell r="B1093" t="str">
            <v>Araquanid - Mega Totem</v>
          </cell>
        </row>
        <row r="1094">
          <cell r="A1094">
            <v>1093</v>
          </cell>
          <cell r="B1094" t="str">
            <v>Lurantis - Mega Totem</v>
          </cell>
        </row>
        <row r="1095">
          <cell r="A1095">
            <v>1094</v>
          </cell>
          <cell r="B1095" t="str">
            <v>Salazzle - Mega Totem</v>
          </cell>
        </row>
        <row r="1096">
          <cell r="A1096">
            <v>1095</v>
          </cell>
          <cell r="B1096" t="str">
            <v>Minior - Shielded Orange</v>
          </cell>
        </row>
        <row r="1097">
          <cell r="A1097">
            <v>1096</v>
          </cell>
          <cell r="B1097" t="str">
            <v>Minior - Shielded Yellow</v>
          </cell>
        </row>
        <row r="1098">
          <cell r="A1098">
            <v>1097</v>
          </cell>
          <cell r="B1098" t="str">
            <v>Minior - Shielded Green</v>
          </cell>
        </row>
        <row r="1099">
          <cell r="A1099">
            <v>1098</v>
          </cell>
          <cell r="B1099" t="str">
            <v>Minior - Shielded Blue</v>
          </cell>
        </row>
        <row r="1100">
          <cell r="A1100">
            <v>1099</v>
          </cell>
          <cell r="B1100" t="str">
            <v>Minior - Shielded Indigo</v>
          </cell>
        </row>
        <row r="1101">
          <cell r="A1101">
            <v>1100</v>
          </cell>
          <cell r="B1101" t="str">
            <v>Minior - Shielded Violet</v>
          </cell>
        </row>
        <row r="1102">
          <cell r="A1102">
            <v>1101</v>
          </cell>
          <cell r="B1102" t="str">
            <v>Minior - Core Red</v>
          </cell>
        </row>
        <row r="1103">
          <cell r="A1103">
            <v>1102</v>
          </cell>
          <cell r="B1103" t="str">
            <v>Minior - Core Orange</v>
          </cell>
        </row>
        <row r="1104">
          <cell r="A1104">
            <v>1103</v>
          </cell>
          <cell r="B1104" t="str">
            <v>Minior - Core Yellow</v>
          </cell>
        </row>
        <row r="1105">
          <cell r="A1105">
            <v>1104</v>
          </cell>
          <cell r="B1105" t="str">
            <v>Minior - Core Green</v>
          </cell>
        </row>
        <row r="1106">
          <cell r="A1106">
            <v>1105</v>
          </cell>
          <cell r="B1106" t="str">
            <v>Minior - Core Blue</v>
          </cell>
        </row>
        <row r="1107">
          <cell r="A1107">
            <v>1106</v>
          </cell>
          <cell r="B1107" t="str">
            <v>Minior - Core Indigo</v>
          </cell>
        </row>
        <row r="1108">
          <cell r="A1108">
            <v>1107</v>
          </cell>
          <cell r="B1108" t="str">
            <v>Minior - Core Violet</v>
          </cell>
        </row>
        <row r="1109">
          <cell r="A1109">
            <v>1108</v>
          </cell>
          <cell r="B1109" t="str">
            <v>Togedemaru - Mega Totem</v>
          </cell>
        </row>
        <row r="1110">
          <cell r="A1110">
            <v>1109</v>
          </cell>
          <cell r="B1110" t="str">
            <v>Mimikyu - Busted</v>
          </cell>
        </row>
        <row r="1111">
          <cell r="A1111">
            <v>1110</v>
          </cell>
          <cell r="B1111" t="str">
            <v>Mimikyu - Mega Totem</v>
          </cell>
        </row>
        <row r="1112">
          <cell r="A1112">
            <v>1111</v>
          </cell>
          <cell r="B1112" t="str">
            <v>Mimikyu - Mega Totem Busted</v>
          </cell>
        </row>
        <row r="1113">
          <cell r="A1113">
            <v>1112</v>
          </cell>
          <cell r="B1113" t="str">
            <v>Drampa - Mega</v>
          </cell>
        </row>
        <row r="1114">
          <cell r="A1114">
            <v>1113</v>
          </cell>
          <cell r="B1114" t="str">
            <v>Kommo-o - Mega Totem</v>
          </cell>
        </row>
        <row r="1115">
          <cell r="A1115">
            <v>1114</v>
          </cell>
          <cell r="B1115" t="str">
            <v>Solgaleo - Mega</v>
          </cell>
        </row>
        <row r="1116">
          <cell r="A1116">
            <v>1115</v>
          </cell>
          <cell r="B1116" t="str">
            <v>Lunala - Mega</v>
          </cell>
        </row>
        <row r="1117">
          <cell r="A1117">
            <v>1116</v>
          </cell>
          <cell r="B1117" t="str">
            <v>Necrozma - Dusk Mane</v>
          </cell>
        </row>
        <row r="1118">
          <cell r="A1118">
            <v>1117</v>
          </cell>
          <cell r="B1118" t="str">
            <v>Necrozma - Dawn Wings</v>
          </cell>
        </row>
        <row r="1119">
          <cell r="A1119">
            <v>1118</v>
          </cell>
          <cell r="B1119" t="str">
            <v>Necrozma - Ultra</v>
          </cell>
        </row>
        <row r="1120">
          <cell r="A1120">
            <v>1119</v>
          </cell>
          <cell r="B1120" t="str">
            <v>Magearna - Original Color</v>
          </cell>
        </row>
        <row r="1121">
          <cell r="A1121">
            <v>1120</v>
          </cell>
        </row>
        <row r="1122">
          <cell r="A1122">
            <v>1121</v>
          </cell>
        </row>
        <row r="1123">
          <cell r="A1123">
            <v>1122</v>
          </cell>
        </row>
        <row r="1124">
          <cell r="A1124">
            <v>1123</v>
          </cell>
        </row>
        <row r="1125">
          <cell r="A1125">
            <v>1124</v>
          </cell>
        </row>
        <row r="1126">
          <cell r="A1126">
            <v>1125</v>
          </cell>
        </row>
        <row r="1127">
          <cell r="A1127">
            <v>1126</v>
          </cell>
        </row>
        <row r="1128">
          <cell r="A1128">
            <v>1127</v>
          </cell>
        </row>
        <row r="1129">
          <cell r="A1129">
            <v>1128</v>
          </cell>
        </row>
        <row r="1130">
          <cell r="A1130">
            <v>1129</v>
          </cell>
        </row>
        <row r="1131">
          <cell r="A1131">
            <v>1130</v>
          </cell>
        </row>
        <row r="1132">
          <cell r="A1132">
            <v>1131</v>
          </cell>
        </row>
        <row r="1133">
          <cell r="A1133">
            <v>1132</v>
          </cell>
        </row>
        <row r="1134">
          <cell r="A1134">
            <v>1133</v>
          </cell>
        </row>
        <row r="1135">
          <cell r="A1135">
            <v>1134</v>
          </cell>
        </row>
        <row r="1136">
          <cell r="A1136">
            <v>1135</v>
          </cell>
        </row>
        <row r="1137">
          <cell r="A1137">
            <v>1136</v>
          </cell>
        </row>
        <row r="1138">
          <cell r="A1138">
            <v>1137</v>
          </cell>
        </row>
        <row r="1139">
          <cell r="A1139">
            <v>1138</v>
          </cell>
        </row>
        <row r="1140">
          <cell r="A1140">
            <v>1139</v>
          </cell>
        </row>
        <row r="1141">
          <cell r="A1141">
            <v>1140</v>
          </cell>
        </row>
        <row r="1142">
          <cell r="A1142">
            <v>1141</v>
          </cell>
        </row>
        <row r="1143">
          <cell r="A1143">
            <v>1142</v>
          </cell>
        </row>
        <row r="1144">
          <cell r="A1144">
            <v>1143</v>
          </cell>
        </row>
        <row r="1145">
          <cell r="A1145">
            <v>1144</v>
          </cell>
        </row>
        <row r="1146">
          <cell r="A1146">
            <v>1145</v>
          </cell>
        </row>
        <row r="1147">
          <cell r="A1147">
            <v>1146</v>
          </cell>
        </row>
        <row r="1148">
          <cell r="A1148">
            <v>1147</v>
          </cell>
        </row>
        <row r="1149">
          <cell r="A1149">
            <v>1148</v>
          </cell>
        </row>
        <row r="1150">
          <cell r="A1150">
            <v>1149</v>
          </cell>
        </row>
        <row r="1151">
          <cell r="A1151">
            <v>1150</v>
          </cell>
        </row>
        <row r="1152">
          <cell r="A1152">
            <v>1151</v>
          </cell>
        </row>
        <row r="1153">
          <cell r="A1153">
            <v>1152</v>
          </cell>
        </row>
        <row r="1154">
          <cell r="A1154">
            <v>1153</v>
          </cell>
        </row>
        <row r="1155">
          <cell r="A1155">
            <v>1154</v>
          </cell>
        </row>
        <row r="1156">
          <cell r="A1156">
            <v>1155</v>
          </cell>
        </row>
        <row r="1157">
          <cell r="A1157">
            <v>1156</v>
          </cell>
        </row>
        <row r="1158">
          <cell r="A1158">
            <v>1157</v>
          </cell>
        </row>
        <row r="1159">
          <cell r="A1159">
            <v>1158</v>
          </cell>
        </row>
        <row r="1160">
          <cell r="A1160">
            <v>1159</v>
          </cell>
        </row>
        <row r="1161">
          <cell r="A1161">
            <v>1160</v>
          </cell>
        </row>
        <row r="1162">
          <cell r="A1162">
            <v>1161</v>
          </cell>
        </row>
        <row r="1163">
          <cell r="A1163">
            <v>1162</v>
          </cell>
        </row>
        <row r="1164">
          <cell r="A1164">
            <v>1163</v>
          </cell>
        </row>
        <row r="1165">
          <cell r="A1165">
            <v>1164</v>
          </cell>
        </row>
        <row r="1166">
          <cell r="A1166">
            <v>1165</v>
          </cell>
        </row>
        <row r="1167">
          <cell r="A1167">
            <v>1166</v>
          </cell>
        </row>
        <row r="1168">
          <cell r="A1168">
            <v>1167</v>
          </cell>
        </row>
        <row r="1169">
          <cell r="A1169">
            <v>1168</v>
          </cell>
        </row>
        <row r="1170">
          <cell r="A1170">
            <v>1169</v>
          </cell>
        </row>
        <row r="1171">
          <cell r="A1171">
            <v>1170</v>
          </cell>
        </row>
        <row r="1172">
          <cell r="A1172">
            <v>1171</v>
          </cell>
        </row>
        <row r="1173">
          <cell r="A1173">
            <v>1172</v>
          </cell>
        </row>
        <row r="1174">
          <cell r="A1174">
            <v>1173</v>
          </cell>
        </row>
        <row r="1175">
          <cell r="A1175">
            <v>1174</v>
          </cell>
        </row>
        <row r="1176">
          <cell r="A1176">
            <v>1175</v>
          </cell>
        </row>
        <row r="1177">
          <cell r="A1177">
            <v>1176</v>
          </cell>
        </row>
        <row r="1178">
          <cell r="A1178">
            <v>1177</v>
          </cell>
        </row>
        <row r="1179">
          <cell r="A1179">
            <v>1178</v>
          </cell>
        </row>
        <row r="1180">
          <cell r="A1180">
            <v>1179</v>
          </cell>
        </row>
        <row r="1181">
          <cell r="A1181">
            <v>1180</v>
          </cell>
        </row>
        <row r="1182">
          <cell r="A1182">
            <v>1181</v>
          </cell>
        </row>
        <row r="1183">
          <cell r="A1183">
            <v>1182</v>
          </cell>
        </row>
        <row r="1184">
          <cell r="A1184">
            <v>1183</v>
          </cell>
        </row>
        <row r="1185">
          <cell r="A1185">
            <v>1184</v>
          </cell>
        </row>
        <row r="1186">
          <cell r="A1186">
            <v>1185</v>
          </cell>
        </row>
        <row r="1187">
          <cell r="A1187">
            <v>1186</v>
          </cell>
        </row>
        <row r="1188">
          <cell r="A1188">
            <v>1187</v>
          </cell>
        </row>
        <row r="1189">
          <cell r="A1189">
            <v>1188</v>
          </cell>
        </row>
        <row r="1190">
          <cell r="A1190">
            <v>1189</v>
          </cell>
        </row>
        <row r="1191">
          <cell r="A1191">
            <v>1190</v>
          </cell>
        </row>
        <row r="1192">
          <cell r="A1192">
            <v>1191</v>
          </cell>
        </row>
        <row r="1193">
          <cell r="A1193">
            <v>1192</v>
          </cell>
        </row>
        <row r="1194">
          <cell r="A1194">
            <v>1193</v>
          </cell>
        </row>
        <row r="1195">
          <cell r="A1195">
            <v>1194</v>
          </cell>
        </row>
        <row r="1196">
          <cell r="A1196">
            <v>1195</v>
          </cell>
        </row>
        <row r="1197">
          <cell r="A1197">
            <v>1196</v>
          </cell>
        </row>
        <row r="1198">
          <cell r="A1198">
            <v>1197</v>
          </cell>
        </row>
        <row r="1199">
          <cell r="A1199">
            <v>1198</v>
          </cell>
        </row>
        <row r="1200">
          <cell r="A1200">
            <v>1199</v>
          </cell>
        </row>
        <row r="1201">
          <cell r="A1201">
            <v>1200</v>
          </cell>
        </row>
        <row r="1202">
          <cell r="A1202">
            <v>1201</v>
          </cell>
        </row>
        <row r="1203">
          <cell r="A1203">
            <v>1202</v>
          </cell>
        </row>
        <row r="1204">
          <cell r="A1204">
            <v>1203</v>
          </cell>
        </row>
        <row r="1205">
          <cell r="A1205">
            <v>1204</v>
          </cell>
        </row>
        <row r="1206">
          <cell r="A1206">
            <v>1205</v>
          </cell>
        </row>
        <row r="1207">
          <cell r="A1207">
            <v>1206</v>
          </cell>
        </row>
        <row r="1208">
          <cell r="A1208">
            <v>1207</v>
          </cell>
        </row>
        <row r="1209">
          <cell r="A1209">
            <v>1208</v>
          </cell>
        </row>
        <row r="1210">
          <cell r="A1210">
            <v>1209</v>
          </cell>
        </row>
        <row r="1211">
          <cell r="A1211">
            <v>1210</v>
          </cell>
        </row>
        <row r="1212">
          <cell r="A1212">
            <v>1211</v>
          </cell>
        </row>
        <row r="1213">
          <cell r="A1213">
            <v>1212</v>
          </cell>
        </row>
        <row r="1214">
          <cell r="A1214">
            <v>1213</v>
          </cell>
        </row>
        <row r="1215">
          <cell r="A1215">
            <v>1214</v>
          </cell>
        </row>
        <row r="1216">
          <cell r="A1216">
            <v>1215</v>
          </cell>
        </row>
        <row r="1217">
          <cell r="A1217">
            <v>1216</v>
          </cell>
        </row>
        <row r="1218">
          <cell r="A1218">
            <v>1217</v>
          </cell>
        </row>
        <row r="1219">
          <cell r="A1219">
            <v>1218</v>
          </cell>
        </row>
        <row r="1220">
          <cell r="A1220">
            <v>1219</v>
          </cell>
        </row>
        <row r="1221">
          <cell r="A1221">
            <v>1220</v>
          </cell>
        </row>
        <row r="1222">
          <cell r="A1222">
            <v>1221</v>
          </cell>
        </row>
        <row r="1223">
          <cell r="A1223">
            <v>1222</v>
          </cell>
        </row>
        <row r="1224">
          <cell r="A1224">
            <v>1223</v>
          </cell>
        </row>
        <row r="1225">
          <cell r="A1225">
            <v>1224</v>
          </cell>
        </row>
        <row r="1226">
          <cell r="A1226">
            <v>1225</v>
          </cell>
        </row>
        <row r="1227">
          <cell r="A1227">
            <v>1226</v>
          </cell>
        </row>
        <row r="1228">
          <cell r="A1228">
            <v>1227</v>
          </cell>
        </row>
        <row r="1229">
          <cell r="A1229">
            <v>1228</v>
          </cell>
        </row>
        <row r="1230">
          <cell r="A1230">
            <v>1229</v>
          </cell>
        </row>
        <row r="1231">
          <cell r="A1231">
            <v>1230</v>
          </cell>
        </row>
        <row r="1232">
          <cell r="A1232">
            <v>1231</v>
          </cell>
        </row>
        <row r="1233">
          <cell r="A1233">
            <v>1232</v>
          </cell>
        </row>
        <row r="1234">
          <cell r="A1234">
            <v>1233</v>
          </cell>
        </row>
        <row r="1235">
          <cell r="A1235">
            <v>1234</v>
          </cell>
        </row>
        <row r="1236">
          <cell r="A1236">
            <v>1235</v>
          </cell>
        </row>
        <row r="1237">
          <cell r="A1237">
            <v>1236</v>
          </cell>
        </row>
        <row r="1238">
          <cell r="A1238">
            <v>1237</v>
          </cell>
        </row>
        <row r="1239">
          <cell r="A1239">
            <v>1238</v>
          </cell>
        </row>
        <row r="1240">
          <cell r="A1240">
            <v>1239</v>
          </cell>
        </row>
        <row r="1241">
          <cell r="A1241">
            <v>1240</v>
          </cell>
        </row>
        <row r="1242">
          <cell r="A1242">
            <v>1241</v>
          </cell>
        </row>
        <row r="1243">
          <cell r="A1243">
            <v>1242</v>
          </cell>
        </row>
        <row r="1244">
          <cell r="A1244">
            <v>1243</v>
          </cell>
        </row>
        <row r="1245">
          <cell r="A1245">
            <v>1244</v>
          </cell>
        </row>
        <row r="1246">
          <cell r="A1246">
            <v>1245</v>
          </cell>
        </row>
        <row r="1247">
          <cell r="A1247">
            <v>1246</v>
          </cell>
        </row>
        <row r="1248">
          <cell r="A1248">
            <v>1247</v>
          </cell>
        </row>
        <row r="1249">
          <cell r="A1249">
            <v>1248</v>
          </cell>
        </row>
        <row r="1250">
          <cell r="A1250">
            <v>1249</v>
          </cell>
        </row>
        <row r="1251">
          <cell r="A1251">
            <v>1250</v>
          </cell>
        </row>
        <row r="1252">
          <cell r="A1252">
            <v>1251</v>
          </cell>
        </row>
        <row r="1253">
          <cell r="A1253">
            <v>1252</v>
          </cell>
        </row>
        <row r="1254">
          <cell r="A1254">
            <v>1253</v>
          </cell>
        </row>
        <row r="1255">
          <cell r="A1255">
            <v>1254</v>
          </cell>
        </row>
        <row r="1256">
          <cell r="A1256">
            <v>1255</v>
          </cell>
        </row>
        <row r="1257">
          <cell r="A1257">
            <v>1256</v>
          </cell>
        </row>
        <row r="1258">
          <cell r="A1258">
            <v>1257</v>
          </cell>
        </row>
        <row r="1259">
          <cell r="A1259">
            <v>1258</v>
          </cell>
        </row>
        <row r="1260">
          <cell r="A1260">
            <v>1259</v>
          </cell>
        </row>
        <row r="1261">
          <cell r="A1261">
            <v>1260</v>
          </cell>
        </row>
        <row r="1262">
          <cell r="A1262">
            <v>1261</v>
          </cell>
        </row>
        <row r="1263">
          <cell r="A1263">
            <v>1262</v>
          </cell>
        </row>
        <row r="1264">
          <cell r="A1264">
            <v>1263</v>
          </cell>
        </row>
        <row r="1265">
          <cell r="A1265">
            <v>1264</v>
          </cell>
        </row>
        <row r="1266">
          <cell r="A1266">
            <v>1265</v>
          </cell>
        </row>
        <row r="1267">
          <cell r="A1267">
            <v>1266</v>
          </cell>
        </row>
        <row r="1268">
          <cell r="A1268">
            <v>1267</v>
          </cell>
        </row>
        <row r="1269">
          <cell r="A1269">
            <v>1268</v>
          </cell>
        </row>
        <row r="1270">
          <cell r="A1270">
            <v>1269</v>
          </cell>
        </row>
        <row r="1271">
          <cell r="A1271">
            <v>1270</v>
          </cell>
        </row>
        <row r="1272">
          <cell r="A1272">
            <v>1271</v>
          </cell>
        </row>
        <row r="1273">
          <cell r="A1273">
            <v>1272</v>
          </cell>
        </row>
        <row r="1274">
          <cell r="A1274">
            <v>1273</v>
          </cell>
        </row>
        <row r="1275">
          <cell r="A1275">
            <v>1274</v>
          </cell>
        </row>
        <row r="1276">
          <cell r="A1276">
            <v>1275</v>
          </cell>
        </row>
        <row r="1277">
          <cell r="A1277">
            <v>1276</v>
          </cell>
        </row>
        <row r="1278">
          <cell r="A1278">
            <v>1277</v>
          </cell>
        </row>
        <row r="1279">
          <cell r="A1279">
            <v>1278</v>
          </cell>
        </row>
        <row r="1280">
          <cell r="A1280">
            <v>1279</v>
          </cell>
        </row>
        <row r="1281">
          <cell r="A1281">
            <v>1280</v>
          </cell>
        </row>
        <row r="1282">
          <cell r="A1282">
            <v>1281</v>
          </cell>
        </row>
        <row r="1283">
          <cell r="A1283">
            <v>1282</v>
          </cell>
        </row>
        <row r="1284">
          <cell r="A1284">
            <v>1283</v>
          </cell>
        </row>
        <row r="1285">
          <cell r="A1285">
            <v>1284</v>
          </cell>
        </row>
        <row r="1286">
          <cell r="A1286">
            <v>1285</v>
          </cell>
        </row>
        <row r="1287">
          <cell r="A1287">
            <v>1286</v>
          </cell>
        </row>
        <row r="1288">
          <cell r="A1288">
            <v>1287</v>
          </cell>
        </row>
        <row r="1289">
          <cell r="A1289">
            <v>1288</v>
          </cell>
        </row>
        <row r="1290">
          <cell r="A1290">
            <v>1289</v>
          </cell>
        </row>
        <row r="1291">
          <cell r="A1291">
            <v>1290</v>
          </cell>
        </row>
        <row r="1292">
          <cell r="A1292">
            <v>1291</v>
          </cell>
        </row>
        <row r="1293">
          <cell r="A1293">
            <v>1292</v>
          </cell>
        </row>
        <row r="1294">
          <cell r="A1294">
            <v>1293</v>
          </cell>
        </row>
        <row r="1295">
          <cell r="A1295">
            <v>1294</v>
          </cell>
        </row>
        <row r="1296">
          <cell r="A1296">
            <v>1295</v>
          </cell>
        </row>
        <row r="1297">
          <cell r="A1297">
            <v>1296</v>
          </cell>
        </row>
        <row r="1298">
          <cell r="A1298">
            <v>1297</v>
          </cell>
        </row>
        <row r="1299">
          <cell r="A1299">
            <v>1298</v>
          </cell>
        </row>
        <row r="1300">
          <cell r="A1300">
            <v>1299</v>
          </cell>
        </row>
        <row r="1301">
          <cell r="A1301">
            <v>1300</v>
          </cell>
        </row>
        <row r="1302">
          <cell r="A1302">
            <v>1301</v>
          </cell>
        </row>
        <row r="1303">
          <cell r="A1303">
            <v>1302</v>
          </cell>
        </row>
        <row r="1304">
          <cell r="A1304">
            <v>1303</v>
          </cell>
        </row>
        <row r="1305">
          <cell r="A1305">
            <v>1304</v>
          </cell>
        </row>
        <row r="1306">
          <cell r="A1306">
            <v>1305</v>
          </cell>
        </row>
        <row r="1307">
          <cell r="A1307">
            <v>1306</v>
          </cell>
        </row>
        <row r="1308">
          <cell r="A1308">
            <v>1307</v>
          </cell>
        </row>
        <row r="1309">
          <cell r="A1309">
            <v>1308</v>
          </cell>
        </row>
        <row r="1310">
          <cell r="A1310">
            <v>1309</v>
          </cell>
        </row>
        <row r="1311">
          <cell r="A1311">
            <v>1310</v>
          </cell>
        </row>
        <row r="1312">
          <cell r="A1312">
            <v>1311</v>
          </cell>
        </row>
        <row r="1313">
          <cell r="A1313">
            <v>1312</v>
          </cell>
        </row>
        <row r="1314">
          <cell r="A1314">
            <v>1313</v>
          </cell>
        </row>
        <row r="1315">
          <cell r="A1315">
            <v>1314</v>
          </cell>
        </row>
        <row r="1316">
          <cell r="A1316">
            <v>1315</v>
          </cell>
        </row>
        <row r="1317">
          <cell r="A1317">
            <v>1316</v>
          </cell>
        </row>
        <row r="1318">
          <cell r="A1318">
            <v>1317</v>
          </cell>
        </row>
        <row r="1319">
          <cell r="A1319">
            <v>1318</v>
          </cell>
        </row>
        <row r="1320">
          <cell r="A1320">
            <v>1319</v>
          </cell>
        </row>
        <row r="1321">
          <cell r="A1321">
            <v>1320</v>
          </cell>
        </row>
        <row r="1322">
          <cell r="A1322">
            <v>1321</v>
          </cell>
        </row>
        <row r="1323">
          <cell r="A1323">
            <v>1322</v>
          </cell>
        </row>
        <row r="1324">
          <cell r="A1324">
            <v>1323</v>
          </cell>
        </row>
        <row r="1325">
          <cell r="A1325">
            <v>1324</v>
          </cell>
        </row>
        <row r="1326">
          <cell r="A1326">
            <v>1325</v>
          </cell>
        </row>
        <row r="1327">
          <cell r="A1327">
            <v>1326</v>
          </cell>
        </row>
        <row r="1328">
          <cell r="A1328">
            <v>1327</v>
          </cell>
        </row>
        <row r="1329">
          <cell r="A1329">
            <v>1328</v>
          </cell>
        </row>
        <row r="1330">
          <cell r="A1330">
            <v>1329</v>
          </cell>
        </row>
        <row r="1331">
          <cell r="A1331">
            <v>1330</v>
          </cell>
        </row>
        <row r="1332">
          <cell r="A1332">
            <v>1331</v>
          </cell>
        </row>
        <row r="1333">
          <cell r="A1333">
            <v>1332</v>
          </cell>
        </row>
        <row r="1334">
          <cell r="A1334">
            <v>1333</v>
          </cell>
        </row>
        <row r="1335">
          <cell r="A1335">
            <v>1334</v>
          </cell>
        </row>
        <row r="1336">
          <cell r="A1336">
            <v>1335</v>
          </cell>
        </row>
        <row r="1337">
          <cell r="A1337">
            <v>1336</v>
          </cell>
        </row>
        <row r="1338">
          <cell r="A1338">
            <v>1337</v>
          </cell>
        </row>
        <row r="1339">
          <cell r="A1339">
            <v>1338</v>
          </cell>
        </row>
        <row r="1340">
          <cell r="A1340">
            <v>1339</v>
          </cell>
        </row>
        <row r="1341">
          <cell r="A1341">
            <v>1340</v>
          </cell>
        </row>
        <row r="1342">
          <cell r="A1342">
            <v>1341</v>
          </cell>
        </row>
        <row r="1343">
          <cell r="A1343">
            <v>1342</v>
          </cell>
        </row>
        <row r="1344">
          <cell r="A1344">
            <v>1343</v>
          </cell>
        </row>
        <row r="1345">
          <cell r="A1345">
            <v>1344</v>
          </cell>
        </row>
        <row r="1346">
          <cell r="A1346">
            <v>1345</v>
          </cell>
        </row>
        <row r="1347">
          <cell r="A1347">
            <v>1346</v>
          </cell>
        </row>
        <row r="1348">
          <cell r="A1348">
            <v>1347</v>
          </cell>
        </row>
        <row r="1349">
          <cell r="A1349">
            <v>1348</v>
          </cell>
        </row>
        <row r="1350">
          <cell r="A1350">
            <v>1349</v>
          </cell>
        </row>
        <row r="1351">
          <cell r="A1351">
            <v>1350</v>
          </cell>
        </row>
        <row r="1352">
          <cell r="A1352">
            <v>1351</v>
          </cell>
        </row>
        <row r="1353">
          <cell r="A1353">
            <v>1352</v>
          </cell>
        </row>
        <row r="1354">
          <cell r="A1354">
            <v>1353</v>
          </cell>
        </row>
        <row r="1355">
          <cell r="A1355">
            <v>1354</v>
          </cell>
        </row>
        <row r="1356">
          <cell r="A1356">
            <v>1355</v>
          </cell>
        </row>
        <row r="1357">
          <cell r="A1357">
            <v>1356</v>
          </cell>
        </row>
        <row r="1358">
          <cell r="A1358">
            <v>1357</v>
          </cell>
        </row>
        <row r="1359">
          <cell r="A1359">
            <v>1358</v>
          </cell>
        </row>
        <row r="1360">
          <cell r="A1360">
            <v>1359</v>
          </cell>
        </row>
        <row r="1361">
          <cell r="A1361">
            <v>1360</v>
          </cell>
        </row>
        <row r="1362">
          <cell r="A1362">
            <v>1361</v>
          </cell>
        </row>
        <row r="1363">
          <cell r="A1363">
            <v>1362</v>
          </cell>
        </row>
        <row r="1364">
          <cell r="A1364">
            <v>1363</v>
          </cell>
        </row>
        <row r="1365">
          <cell r="A1365">
            <v>1364</v>
          </cell>
        </row>
        <row r="1366">
          <cell r="A1366">
            <v>1365</v>
          </cell>
        </row>
        <row r="1367">
          <cell r="A1367">
            <v>1366</v>
          </cell>
        </row>
        <row r="1368">
          <cell r="A1368">
            <v>1367</v>
          </cell>
        </row>
        <row r="1369">
          <cell r="A1369">
            <v>1368</v>
          </cell>
        </row>
        <row r="1370">
          <cell r="A1370">
            <v>1369</v>
          </cell>
        </row>
        <row r="1371">
          <cell r="A1371">
            <v>1370</v>
          </cell>
        </row>
        <row r="1372">
          <cell r="A1372">
            <v>1371</v>
          </cell>
        </row>
        <row r="1373">
          <cell r="A1373">
            <v>1372</v>
          </cell>
        </row>
        <row r="1374">
          <cell r="A1374">
            <v>1373</v>
          </cell>
        </row>
        <row r="1375">
          <cell r="A1375">
            <v>1374</v>
          </cell>
        </row>
        <row r="1376">
          <cell r="A1376">
            <v>1375</v>
          </cell>
        </row>
        <row r="1377">
          <cell r="A1377">
            <v>1376</v>
          </cell>
        </row>
        <row r="1378">
          <cell r="A1378">
            <v>1377</v>
          </cell>
        </row>
        <row r="1379">
          <cell r="A1379">
            <v>1378</v>
          </cell>
        </row>
        <row r="1380">
          <cell r="A1380">
            <v>1379</v>
          </cell>
        </row>
        <row r="1381">
          <cell r="A1381">
            <v>1380</v>
          </cell>
        </row>
        <row r="1382">
          <cell r="A1382">
            <v>1381</v>
          </cell>
        </row>
        <row r="1383">
          <cell r="A1383">
            <v>1382</v>
          </cell>
        </row>
        <row r="1384">
          <cell r="A1384">
            <v>1383</v>
          </cell>
        </row>
        <row r="1385">
          <cell r="A1385">
            <v>1384</v>
          </cell>
        </row>
        <row r="1386">
          <cell r="A1386">
            <v>1385</v>
          </cell>
        </row>
        <row r="1387">
          <cell r="A1387">
            <v>1386</v>
          </cell>
        </row>
        <row r="1388">
          <cell r="A1388">
            <v>1387</v>
          </cell>
        </row>
        <row r="1389">
          <cell r="A1389">
            <v>1388</v>
          </cell>
        </row>
        <row r="1390">
          <cell r="A1390">
            <v>1389</v>
          </cell>
        </row>
        <row r="1391">
          <cell r="A1391">
            <v>1390</v>
          </cell>
        </row>
        <row r="1392">
          <cell r="A1392">
            <v>1391</v>
          </cell>
        </row>
        <row r="1393">
          <cell r="A1393">
            <v>1392</v>
          </cell>
        </row>
        <row r="1394">
          <cell r="A1394">
            <v>1393</v>
          </cell>
        </row>
        <row r="1395">
          <cell r="A1395">
            <v>1394</v>
          </cell>
        </row>
        <row r="1396">
          <cell r="A1396">
            <v>1395</v>
          </cell>
        </row>
        <row r="1397">
          <cell r="A1397">
            <v>1396</v>
          </cell>
        </row>
        <row r="1398">
          <cell r="A1398">
            <v>1397</v>
          </cell>
        </row>
        <row r="1399">
          <cell r="A1399">
            <v>1398</v>
          </cell>
        </row>
        <row r="1400">
          <cell r="A1400">
            <v>1399</v>
          </cell>
        </row>
        <row r="1401">
          <cell r="A1401">
            <v>1400</v>
          </cell>
        </row>
        <row r="1402">
          <cell r="A1402">
            <v>1401</v>
          </cell>
        </row>
        <row r="1403">
          <cell r="A1403">
            <v>1402</v>
          </cell>
        </row>
        <row r="1404">
          <cell r="A1404">
            <v>1403</v>
          </cell>
        </row>
        <row r="1405">
          <cell r="A1405">
            <v>1404</v>
          </cell>
        </row>
        <row r="1406">
          <cell r="A1406">
            <v>1405</v>
          </cell>
        </row>
        <row r="1407">
          <cell r="A1407">
            <v>1406</v>
          </cell>
        </row>
        <row r="1408">
          <cell r="A1408">
            <v>1407</v>
          </cell>
        </row>
        <row r="1409">
          <cell r="A1409">
            <v>1408</v>
          </cell>
        </row>
        <row r="1410">
          <cell r="A1410">
            <v>1409</v>
          </cell>
        </row>
        <row r="1411">
          <cell r="A1411">
            <v>1410</v>
          </cell>
        </row>
        <row r="1412">
          <cell r="A1412">
            <v>1411</v>
          </cell>
        </row>
        <row r="1413">
          <cell r="A1413">
            <v>1412</v>
          </cell>
        </row>
        <row r="1414">
          <cell r="A1414">
            <v>1413</v>
          </cell>
        </row>
        <row r="1415">
          <cell r="A1415">
            <v>1414</v>
          </cell>
        </row>
        <row r="1416">
          <cell r="A1416">
            <v>1415</v>
          </cell>
        </row>
        <row r="1417">
          <cell r="A1417">
            <v>1416</v>
          </cell>
        </row>
        <row r="1418">
          <cell r="A1418">
            <v>1417</v>
          </cell>
        </row>
        <row r="1419">
          <cell r="A1419">
            <v>1418</v>
          </cell>
        </row>
        <row r="1420">
          <cell r="A1420">
            <v>1419</v>
          </cell>
        </row>
        <row r="1421">
          <cell r="A1421">
            <v>1420</v>
          </cell>
        </row>
        <row r="1422">
          <cell r="A1422">
            <v>1421</v>
          </cell>
        </row>
        <row r="1423">
          <cell r="A1423">
            <v>1422</v>
          </cell>
        </row>
        <row r="1424">
          <cell r="A1424">
            <v>1423</v>
          </cell>
        </row>
        <row r="1425">
          <cell r="A1425">
            <v>1424</v>
          </cell>
        </row>
        <row r="1426">
          <cell r="A1426">
            <v>1425</v>
          </cell>
        </row>
        <row r="1427">
          <cell r="A1427">
            <v>1426</v>
          </cell>
        </row>
        <row r="1428">
          <cell r="A1428">
            <v>1427</v>
          </cell>
        </row>
        <row r="1429">
          <cell r="A1429">
            <v>1428</v>
          </cell>
        </row>
        <row r="1430">
          <cell r="A1430">
            <v>1429</v>
          </cell>
        </row>
        <row r="1431">
          <cell r="A1431">
            <v>1430</v>
          </cell>
        </row>
        <row r="1432">
          <cell r="A1432">
            <v>1431</v>
          </cell>
        </row>
        <row r="1433">
          <cell r="A1433">
            <v>1432</v>
          </cell>
        </row>
        <row r="1434">
          <cell r="A1434">
            <v>1433</v>
          </cell>
        </row>
        <row r="1435">
          <cell r="A1435">
            <v>1434</v>
          </cell>
        </row>
        <row r="1436">
          <cell r="A1436">
            <v>1435</v>
          </cell>
        </row>
        <row r="1437">
          <cell r="A1437">
            <v>1436</v>
          </cell>
        </row>
        <row r="1438">
          <cell r="A1438">
            <v>1437</v>
          </cell>
        </row>
        <row r="1439">
          <cell r="A1439">
            <v>1438</v>
          </cell>
        </row>
        <row r="1440">
          <cell r="A1440">
            <v>1439</v>
          </cell>
        </row>
        <row r="1441">
          <cell r="A1441">
            <v>1440</v>
          </cell>
        </row>
        <row r="1442">
          <cell r="A1442">
            <v>1441</v>
          </cell>
        </row>
        <row r="1443">
          <cell r="A1443">
            <v>1442</v>
          </cell>
        </row>
        <row r="1444">
          <cell r="A1444">
            <v>1443</v>
          </cell>
        </row>
        <row r="1445">
          <cell r="A1445">
            <v>1444</v>
          </cell>
        </row>
        <row r="1446">
          <cell r="A1446">
            <v>1445</v>
          </cell>
        </row>
        <row r="1447">
          <cell r="A1447">
            <v>1446</v>
          </cell>
        </row>
        <row r="1448">
          <cell r="A1448">
            <v>1447</v>
          </cell>
        </row>
        <row r="1449">
          <cell r="A1449">
            <v>1448</v>
          </cell>
        </row>
        <row r="1450">
          <cell r="A1450">
            <v>1449</v>
          </cell>
        </row>
        <row r="1451">
          <cell r="A1451">
            <v>1450</v>
          </cell>
        </row>
        <row r="1452">
          <cell r="A1452">
            <v>1451</v>
          </cell>
        </row>
        <row r="1453">
          <cell r="A1453">
            <v>1452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69C75-A50C-4C34-980A-9713222BCDBC}">
  <dimension ref="A1:E100"/>
  <sheetViews>
    <sheetView tabSelected="1" topLeftCell="A13" workbookViewId="0">
      <selection activeCell="A27" sqref="A27"/>
    </sheetView>
  </sheetViews>
  <sheetFormatPr defaultColWidth="9.2109375" defaultRowHeight="15.9"/>
  <cols>
    <col min="1" max="1" width="10.0703125" style="2" customWidth="1"/>
    <col min="2" max="2" width="10.0703125" style="2" bestFit="1" customWidth="1"/>
    <col min="3" max="3" width="23.5" style="2" bestFit="1" customWidth="1"/>
    <col min="4" max="4" width="68.2109375" style="2" bestFit="1" customWidth="1"/>
    <col min="5" max="5" width="13" style="2" bestFit="1" customWidth="1"/>
    <col min="6" max="16384" width="9.2109375" style="2"/>
  </cols>
  <sheetData>
    <row r="1" spans="1:4">
      <c r="A1" s="1" t="s">
        <v>3</v>
      </c>
      <c r="B1" s="1" t="s">
        <v>2</v>
      </c>
      <c r="C1" s="1" t="s">
        <v>1</v>
      </c>
      <c r="D1" s="1" t="s">
        <v>0</v>
      </c>
    </row>
    <row r="2" spans="1:4">
      <c r="A2" s="1" t="s">
        <v>27</v>
      </c>
      <c r="B2" s="18"/>
      <c r="D2" s="3"/>
    </row>
    <row r="3" spans="1:4">
      <c r="A3" s="2" t="s">
        <v>5</v>
      </c>
      <c r="B3" s="18" t="s">
        <v>17</v>
      </c>
      <c r="C3" s="2" t="s">
        <v>7</v>
      </c>
      <c r="D3" s="3"/>
    </row>
    <row r="4" spans="1:4">
      <c r="A4" s="2" t="str">
        <f t="shared" ref="A4:A17" si="0">DEC2HEX(HEX2DEC(A3)+4,8)</f>
        <v>000D6F9C</v>
      </c>
      <c r="B4" s="18" t="s">
        <v>6</v>
      </c>
      <c r="C4" s="2" t="s">
        <v>4</v>
      </c>
    </row>
    <row r="5" spans="1:4">
      <c r="A5" s="5" t="str">
        <f t="shared" si="0"/>
        <v>000D6FA0</v>
      </c>
      <c r="B5" s="19" t="s">
        <v>18</v>
      </c>
      <c r="C5" s="5" t="s">
        <v>8</v>
      </c>
      <c r="D5" s="5" t="s">
        <v>9</v>
      </c>
    </row>
    <row r="6" spans="1:4">
      <c r="A6" s="5" t="str">
        <f t="shared" si="0"/>
        <v>000D6FA4</v>
      </c>
      <c r="B6" s="20" t="s">
        <v>19</v>
      </c>
      <c r="C6" s="5" t="s">
        <v>10</v>
      </c>
      <c r="D6" s="5"/>
    </row>
    <row r="7" spans="1:4">
      <c r="A7" s="5" t="str">
        <f t="shared" si="0"/>
        <v>000D6FA8</v>
      </c>
      <c r="B7" s="20" t="s">
        <v>20</v>
      </c>
      <c r="C7" s="5" t="str">
        <f>_xlfn.CONCAT("beq 0x",A$17)</f>
        <v>beq 0x000D6FD0</v>
      </c>
      <c r="D7" s="5"/>
    </row>
    <row r="8" spans="1:4">
      <c r="A8" s="6" t="str">
        <f t="shared" si="0"/>
        <v>000D6FAC</v>
      </c>
      <c r="B8" s="21" t="s">
        <v>21</v>
      </c>
      <c r="C8" s="6" t="s">
        <v>11</v>
      </c>
      <c r="D8" s="6" t="s">
        <v>28</v>
      </c>
    </row>
    <row r="9" spans="1:4">
      <c r="A9" s="6" t="str">
        <f t="shared" si="0"/>
        <v>000D6FB0</v>
      </c>
      <c r="B9" s="22" t="s">
        <v>79</v>
      </c>
      <c r="C9" s="6" t="str">
        <f>_xlfn.CONCAT("bl 0x",A20)</f>
        <v>bl 0x000FDC30</v>
      </c>
      <c r="D9" s="6"/>
    </row>
    <row r="10" spans="1:4">
      <c r="A10" s="6" t="str">
        <f t="shared" si="0"/>
        <v>000D6FB4</v>
      </c>
      <c r="B10" s="22" t="s">
        <v>19</v>
      </c>
      <c r="C10" s="6" t="s">
        <v>10</v>
      </c>
      <c r="D10" s="6"/>
    </row>
    <row r="11" spans="1:4">
      <c r="A11" s="6" t="str">
        <f t="shared" si="0"/>
        <v>000D6FB8</v>
      </c>
      <c r="B11" s="22" t="s">
        <v>23</v>
      </c>
      <c r="C11" s="6" t="str">
        <f>_xlfn.CONCAT("beq 0x",A$17)</f>
        <v>beq 0x000D6FD0</v>
      </c>
      <c r="D11" s="6"/>
    </row>
    <row r="12" spans="1:4">
      <c r="A12" s="7" t="str">
        <f t="shared" si="0"/>
        <v>000D6FBC</v>
      </c>
      <c r="B12" s="23" t="s">
        <v>21</v>
      </c>
      <c r="C12" s="7" t="s">
        <v>11</v>
      </c>
      <c r="D12" s="7" t="s">
        <v>12</v>
      </c>
    </row>
    <row r="13" spans="1:4">
      <c r="A13" s="7" t="str">
        <f t="shared" si="0"/>
        <v>000D6FC0</v>
      </c>
      <c r="B13" s="24" t="s">
        <v>22</v>
      </c>
      <c r="C13" s="7" t="s">
        <v>16</v>
      </c>
      <c r="D13" s="7"/>
    </row>
    <row r="14" spans="1:4">
      <c r="A14" s="7" t="str">
        <f t="shared" si="0"/>
        <v>000D6FC4</v>
      </c>
      <c r="B14" s="24" t="s">
        <v>19</v>
      </c>
      <c r="C14" s="7" t="s">
        <v>10</v>
      </c>
      <c r="D14" s="7"/>
    </row>
    <row r="15" spans="1:4">
      <c r="A15" s="7" t="str">
        <f t="shared" si="0"/>
        <v>000D6FC8</v>
      </c>
      <c r="B15" s="24" t="s">
        <v>24</v>
      </c>
      <c r="C15" s="7" t="str">
        <f>_xlfn.CONCAT("beq 0x",A$17)</f>
        <v>beq 0x000D6FD0</v>
      </c>
      <c r="D15" s="7"/>
    </row>
    <row r="16" spans="1:4">
      <c r="A16" s="2" t="str">
        <f t="shared" si="0"/>
        <v>000D6FCC</v>
      </c>
      <c r="B16" s="25" t="s">
        <v>25</v>
      </c>
      <c r="C16" s="2" t="s">
        <v>13</v>
      </c>
      <c r="D16" s="2" t="s">
        <v>14</v>
      </c>
    </row>
    <row r="17" spans="1:5">
      <c r="A17" s="2" t="str">
        <f t="shared" si="0"/>
        <v>000D6FD0</v>
      </c>
      <c r="B17" s="25" t="s">
        <v>26</v>
      </c>
      <c r="C17" s="3" t="str">
        <f>SUBSTITUTE(SUBSTITUTE(C3,"push","pop"),"lr","pc")</f>
        <v>pop {r4, pc}</v>
      </c>
    </row>
    <row r="18" spans="1:5">
      <c r="B18" s="25"/>
      <c r="C18" s="3"/>
    </row>
    <row r="19" spans="1:5">
      <c r="A19" s="1" t="s">
        <v>61</v>
      </c>
      <c r="B19" s="18"/>
    </row>
    <row r="20" spans="1:5">
      <c r="A20" s="2" t="s">
        <v>60</v>
      </c>
      <c r="B20" s="18" t="s">
        <v>62</v>
      </c>
      <c r="C20" s="2" t="s">
        <v>34</v>
      </c>
      <c r="E20" s="3"/>
    </row>
    <row r="21" spans="1:5">
      <c r="A21" s="2" t="str">
        <f t="shared" ref="A21:A41" si="1">DEC2HEX(HEX2DEC(A20)+4,8)</f>
        <v>000FDC34</v>
      </c>
      <c r="B21" s="25" t="s">
        <v>6</v>
      </c>
      <c r="C21" s="2" t="s">
        <v>4</v>
      </c>
      <c r="E21" s="3"/>
    </row>
    <row r="22" spans="1:5">
      <c r="A22" s="8" t="str">
        <f t="shared" si="1"/>
        <v>000FDC38</v>
      </c>
      <c r="B22" s="26" t="s">
        <v>63</v>
      </c>
      <c r="C22" s="8" t="s">
        <v>15</v>
      </c>
      <c r="D22" s="8" t="s">
        <v>29</v>
      </c>
      <c r="E22" s="3"/>
    </row>
    <row r="23" spans="1:5">
      <c r="A23" s="8" t="str">
        <f t="shared" si="1"/>
        <v>000FDC3C</v>
      </c>
      <c r="B23" s="26" t="s">
        <v>19</v>
      </c>
      <c r="C23" s="8" t="s">
        <v>10</v>
      </c>
      <c r="D23" s="8"/>
      <c r="E23" s="3"/>
    </row>
    <row r="24" spans="1:5">
      <c r="A24" s="8" t="str">
        <f t="shared" si="1"/>
        <v>000FDC40</v>
      </c>
      <c r="B24" s="26" t="s">
        <v>64</v>
      </c>
      <c r="C24" s="9" t="str">
        <f>_xlfn.CONCAT("beq 0x",A40)</f>
        <v>beq 0x000FDC80</v>
      </c>
      <c r="D24" s="8"/>
      <c r="E24" s="3"/>
    </row>
    <row r="25" spans="1:5">
      <c r="A25" s="10" t="str">
        <f t="shared" si="1"/>
        <v>000FDC44</v>
      </c>
      <c r="B25" s="27" t="s">
        <v>65</v>
      </c>
      <c r="C25" s="11" t="s">
        <v>30</v>
      </c>
      <c r="D25" s="10" t="s">
        <v>31</v>
      </c>
      <c r="E25" s="3"/>
    </row>
    <row r="26" spans="1:5">
      <c r="A26" s="10" t="str">
        <f t="shared" si="1"/>
        <v>000FDC48</v>
      </c>
      <c r="B26" s="27" t="s">
        <v>66</v>
      </c>
      <c r="C26" s="10" t="s">
        <v>42</v>
      </c>
      <c r="D26" s="10" t="s">
        <v>43</v>
      </c>
      <c r="E26" s="3"/>
    </row>
    <row r="27" spans="1:5">
      <c r="A27" s="10" t="str">
        <f t="shared" si="1"/>
        <v>000FDC4C</v>
      </c>
      <c r="B27" s="27" t="s">
        <v>80</v>
      </c>
      <c r="C27" s="10" t="str">
        <f>_xlfn.CONCAT("ldr r2, [pc, #",HEX2DEC(A41)-HEX2DEC(A27)-8,"]")</f>
        <v>ldr r2, [pc, #48]</v>
      </c>
      <c r="D27" s="10" t="s">
        <v>33</v>
      </c>
      <c r="E27" s="3"/>
    </row>
    <row r="28" spans="1:5">
      <c r="A28" s="12" t="str">
        <f t="shared" si="1"/>
        <v>000FDC50</v>
      </c>
      <c r="B28" s="28" t="s">
        <v>67</v>
      </c>
      <c r="C28" s="13" t="s">
        <v>41</v>
      </c>
      <c r="D28" s="12" t="s">
        <v>35</v>
      </c>
      <c r="E28" s="3"/>
    </row>
    <row r="29" spans="1:5">
      <c r="A29" s="16" t="str">
        <f t="shared" si="1"/>
        <v>000FDC54</v>
      </c>
      <c r="B29" s="29" t="s">
        <v>68</v>
      </c>
      <c r="C29" s="17" t="s">
        <v>48</v>
      </c>
      <c r="D29" s="16" t="s">
        <v>49</v>
      </c>
      <c r="E29" s="3"/>
    </row>
    <row r="30" spans="1:5">
      <c r="A30" s="16" t="str">
        <f t="shared" si="1"/>
        <v>000FDC58</v>
      </c>
      <c r="B30" s="29" t="s">
        <v>69</v>
      </c>
      <c r="C30" s="17" t="str">
        <f>_xlfn.CONCAT("beq 0x",A39)</f>
        <v>beq 0x000FDC7C</v>
      </c>
      <c r="D30" s="16"/>
      <c r="E30" s="3"/>
    </row>
    <row r="31" spans="1:5">
      <c r="A31" s="12" t="str">
        <f t="shared" si="1"/>
        <v>000FDC5C</v>
      </c>
      <c r="B31" s="28" t="s">
        <v>70</v>
      </c>
      <c r="C31" s="12" t="s">
        <v>36</v>
      </c>
      <c r="D31" s="12"/>
      <c r="E31" s="3"/>
    </row>
    <row r="32" spans="1:5">
      <c r="A32" s="12" t="str">
        <f t="shared" si="1"/>
        <v>000FDC60</v>
      </c>
      <c r="B32" s="28" t="s">
        <v>71</v>
      </c>
      <c r="C32" s="12" t="s">
        <v>37</v>
      </c>
      <c r="D32" s="12" t="s">
        <v>38</v>
      </c>
      <c r="E32" s="3"/>
    </row>
    <row r="33" spans="1:5">
      <c r="A33" s="14" t="str">
        <f t="shared" si="1"/>
        <v>000FDC64</v>
      </c>
      <c r="B33" s="30" t="s">
        <v>72</v>
      </c>
      <c r="C33" s="14" t="s">
        <v>39</v>
      </c>
      <c r="D33" s="14" t="s">
        <v>40</v>
      </c>
      <c r="E33" s="3"/>
    </row>
    <row r="34" spans="1:5">
      <c r="A34" s="14" t="str">
        <f t="shared" si="1"/>
        <v>000FDC68</v>
      </c>
      <c r="B34" s="30" t="s">
        <v>73</v>
      </c>
      <c r="C34" s="14" t="s">
        <v>44</v>
      </c>
      <c r="D34" s="14" t="s">
        <v>45</v>
      </c>
      <c r="E34" s="3"/>
    </row>
    <row r="35" spans="1:5">
      <c r="A35" s="14" t="str">
        <f t="shared" si="1"/>
        <v>000FDC6C</v>
      </c>
      <c r="B35" s="30" t="s">
        <v>74</v>
      </c>
      <c r="C35" s="15" t="s">
        <v>46</v>
      </c>
      <c r="D35" s="14" t="s">
        <v>47</v>
      </c>
      <c r="E35" s="3"/>
    </row>
    <row r="36" spans="1:5">
      <c r="A36" s="14" t="str">
        <f t="shared" si="1"/>
        <v>000FDC70</v>
      </c>
      <c r="B36" s="30" t="s">
        <v>75</v>
      </c>
      <c r="C36" s="15" t="str">
        <f>_xlfn.CONCAT("beq 0x",A40)</f>
        <v>beq 0x000FDC80</v>
      </c>
      <c r="D36" s="14"/>
      <c r="E36" s="3"/>
    </row>
    <row r="37" spans="1:5">
      <c r="A37" s="2" t="str">
        <f t="shared" si="1"/>
        <v>000FDC74</v>
      </c>
      <c r="B37" s="25" t="s">
        <v>76</v>
      </c>
      <c r="C37" s="3" t="s">
        <v>50</v>
      </c>
      <c r="D37" s="2" t="s">
        <v>51</v>
      </c>
      <c r="E37" s="3"/>
    </row>
    <row r="38" spans="1:5">
      <c r="A38" s="2" t="str">
        <f t="shared" si="1"/>
        <v>000FDC78</v>
      </c>
      <c r="B38" s="25" t="s">
        <v>77</v>
      </c>
      <c r="C38" s="3" t="str">
        <f>_xlfn.CONCAT("b 0x",A28)</f>
        <v>b 0x000FDC50</v>
      </c>
      <c r="E38" s="3"/>
    </row>
    <row r="39" spans="1:5">
      <c r="A39" s="2" t="str">
        <f t="shared" si="1"/>
        <v>000FDC7C</v>
      </c>
      <c r="B39" s="25" t="s">
        <v>25</v>
      </c>
      <c r="C39" s="3" t="s">
        <v>13</v>
      </c>
      <c r="E39" s="3"/>
    </row>
    <row r="40" spans="1:5">
      <c r="A40" s="2" t="str">
        <f t="shared" si="1"/>
        <v>000FDC80</v>
      </c>
      <c r="B40" s="25" t="s">
        <v>78</v>
      </c>
      <c r="C40" s="3" t="str">
        <f>SUBSTITUTE(SUBSTITUTE(C20,"push","pop"),"lr","pc")</f>
        <v>pop {r3, r4, r5, pc}</v>
      </c>
      <c r="E40" s="3"/>
    </row>
    <row r="41" spans="1:5">
      <c r="A41" s="2" t="str">
        <f t="shared" si="1"/>
        <v>000FDC84</v>
      </c>
      <c r="B41" s="25" t="s">
        <v>59</v>
      </c>
      <c r="C41" s="3" t="s">
        <v>32</v>
      </c>
      <c r="E41" s="3"/>
    </row>
    <row r="42" spans="1:5">
      <c r="B42" s="25"/>
      <c r="C42" s="3"/>
      <c r="E42" s="3"/>
    </row>
    <row r="43" spans="1:5">
      <c r="A43" s="2" t="s">
        <v>52</v>
      </c>
      <c r="B43" s="25"/>
      <c r="E43" s="3"/>
    </row>
    <row r="44" spans="1:5">
      <c r="A44" s="4" t="s">
        <v>58</v>
      </c>
      <c r="B44" s="25" t="str">
        <f>_xlfn.LET(_xlpm.x,DEC2HEX(_xlfn.XLOOKUP(LEFT(D44,FIND(" ",D44)-1),[1]custom_pokemon_list!$B:$B,[1]custom_pokemon_list!$A:$A),4),RIGHT(_xlpm.x,2)&amp;LEFT(_xlpm.x,2))&amp;DEC2HEX(RIGHT(D44,LEN(D44)-FIND(" ",D44)),2)&amp;"00"</f>
        <v>01000200</v>
      </c>
      <c r="D44" s="2" t="s">
        <v>55</v>
      </c>
      <c r="E44" s="3"/>
    </row>
    <row r="45" spans="1:5">
      <c r="A45" s="2" t="str">
        <f t="shared" ref="A45:A61" si="2">DEC2HEX(HEX2DEC(A44)+4,8)</f>
        <v>00149104</v>
      </c>
      <c r="B45" s="25" t="str">
        <f>_xlfn.LET(_xlpm.x,DEC2HEX(_xlfn.XLOOKUP(LEFT(D45,FIND(" ",D45)-1),[1]custom_pokemon_list!$B:$B,[1]custom_pokemon_list!$A:$A),4),RIGHT(_xlpm.x,2)&amp;LEFT(_xlpm.x,2))&amp;DEC2HEX(RIGHT(D45,LEN(D45)-FIND(" ",D45)),2)&amp;"00"</f>
        <v>92020200</v>
      </c>
      <c r="D45" s="2" t="s">
        <v>54</v>
      </c>
      <c r="E45" s="3"/>
    </row>
    <row r="46" spans="1:5">
      <c r="A46" s="2" t="str">
        <f t="shared" si="2"/>
        <v>00149108</v>
      </c>
      <c r="B46" s="25" t="str">
        <f>_xlfn.LET(_xlpm.x,DEC2HEX(_xlfn.XLOOKUP(LEFT(D46,FIND(" ",D46)-1),[1]custom_pokemon_list!$B:$B,[1]custom_pokemon_list!$A:$A),4),RIGHT(_xlpm.x,2)&amp;LEFT(_xlpm.x,2))&amp;DEC2HEX(RIGHT(D46,LEN(D46)-FIND(" ",D46)),2)&amp;"00"</f>
        <v>96000300</v>
      </c>
      <c r="D46" s="2" t="s">
        <v>57</v>
      </c>
      <c r="E46" s="3"/>
    </row>
    <row r="47" spans="1:5">
      <c r="A47" s="2" t="str">
        <f t="shared" si="2"/>
        <v>0014910C</v>
      </c>
      <c r="B47" s="25" t="str">
        <f>_xlfn.LET(_xlpm.x,DEC2HEX(_xlfn.XLOOKUP(LEFT(D47,FIND(" ",D47)-1),[1]custom_pokemon_list!$B:$B,[1]custom_pokemon_list!$A:$A),4),RIGHT(_xlpm.x,2)&amp;LEFT(_xlpm.x,2))&amp;DEC2HEX(RIGHT(D47,LEN(D47)-FIND(" ",D47)),2)&amp;"00"</f>
        <v>07000200</v>
      </c>
      <c r="D47" s="2" t="s">
        <v>56</v>
      </c>
      <c r="E47" s="3"/>
    </row>
    <row r="48" spans="1:5">
      <c r="A48" s="2" t="str">
        <f t="shared" si="2"/>
        <v>00149110</v>
      </c>
      <c r="B48" s="25" t="str">
        <f>_xlfn.LET(_xlpm.x,DEC2HEX(_xlfn.XLOOKUP(LEFT(D48,FIND(" ",D48)-1),[1]custom_pokemon_list!$B:$B,[1]custom_pokemon_list!$A:$A),4),RIGHT(_xlpm.x,2)&amp;LEFT(_xlpm.x,2))&amp;DEC2HEX(RIGHT(D48,LEN(D48)-FIND(" ",D48)),2)&amp;"00"</f>
        <v>CD020400</v>
      </c>
      <c r="D48" s="2" t="s">
        <v>53</v>
      </c>
      <c r="E48" s="3"/>
    </row>
    <row r="49" spans="1:5">
      <c r="A49" s="2" t="str">
        <f t="shared" si="2"/>
        <v>00149114</v>
      </c>
      <c r="B49" s="25" t="s">
        <v>59</v>
      </c>
      <c r="E49" s="3"/>
    </row>
    <row r="50" spans="1:5">
      <c r="A50" s="2" t="str">
        <f t="shared" si="2"/>
        <v>00149118</v>
      </c>
      <c r="B50" s="25"/>
      <c r="E50" s="3"/>
    </row>
    <row r="51" spans="1:5">
      <c r="A51" s="2" t="str">
        <f t="shared" si="2"/>
        <v>0014911C</v>
      </c>
      <c r="B51" s="25"/>
      <c r="E51" s="3"/>
    </row>
    <row r="52" spans="1:5">
      <c r="A52" s="2" t="str">
        <f t="shared" si="2"/>
        <v>00149120</v>
      </c>
      <c r="B52" s="25"/>
      <c r="E52" s="3"/>
    </row>
    <row r="53" spans="1:5">
      <c r="A53" s="2" t="str">
        <f t="shared" si="2"/>
        <v>00149124</v>
      </c>
      <c r="B53" s="25"/>
      <c r="E53" s="3"/>
    </row>
    <row r="54" spans="1:5">
      <c r="A54" s="2" t="str">
        <f t="shared" si="2"/>
        <v>00149128</v>
      </c>
      <c r="B54" s="25"/>
      <c r="E54" s="3"/>
    </row>
    <row r="55" spans="1:5">
      <c r="A55" s="2" t="str">
        <f t="shared" si="2"/>
        <v>0014912C</v>
      </c>
      <c r="B55" s="25"/>
      <c r="E55" s="3"/>
    </row>
    <row r="56" spans="1:5">
      <c r="A56" s="2" t="str">
        <f t="shared" si="2"/>
        <v>00149130</v>
      </c>
      <c r="B56" s="25"/>
      <c r="E56" s="3"/>
    </row>
    <row r="57" spans="1:5">
      <c r="A57" s="2" t="str">
        <f t="shared" si="2"/>
        <v>00149134</v>
      </c>
      <c r="B57" s="25"/>
      <c r="E57" s="3"/>
    </row>
    <row r="58" spans="1:5">
      <c r="A58" s="2" t="str">
        <f t="shared" si="2"/>
        <v>00149138</v>
      </c>
      <c r="B58" s="25"/>
      <c r="E58" s="3"/>
    </row>
    <row r="59" spans="1:5">
      <c r="A59" s="2" t="str">
        <f t="shared" si="2"/>
        <v>0014913C</v>
      </c>
      <c r="B59" s="25"/>
      <c r="E59" s="3"/>
    </row>
    <row r="60" spans="1:5">
      <c r="A60" s="2" t="str">
        <f t="shared" si="2"/>
        <v>00149140</v>
      </c>
      <c r="B60" s="25"/>
      <c r="E60" s="3"/>
    </row>
    <row r="61" spans="1:5">
      <c r="A61" s="2" t="str">
        <f t="shared" si="2"/>
        <v>00149144</v>
      </c>
      <c r="B61" s="25"/>
      <c r="E61" s="3"/>
    </row>
    <row r="62" spans="1:5">
      <c r="B62" s="25"/>
      <c r="E62" s="3"/>
    </row>
    <row r="63" spans="1:5">
      <c r="B63" s="25"/>
      <c r="E63" s="3"/>
    </row>
    <row r="64" spans="1:5">
      <c r="B64" s="25"/>
      <c r="E64" s="3"/>
    </row>
    <row r="65" spans="2:5">
      <c r="B65" s="25"/>
      <c r="E65" s="3"/>
    </row>
    <row r="66" spans="2:5">
      <c r="B66" s="25"/>
      <c r="E66" s="3"/>
    </row>
    <row r="67" spans="2:5">
      <c r="B67" s="25"/>
      <c r="E67" s="3"/>
    </row>
    <row r="68" spans="2:5">
      <c r="B68" s="25"/>
      <c r="E68" s="3"/>
    </row>
    <row r="69" spans="2:5">
      <c r="B69" s="25"/>
      <c r="E69" s="3"/>
    </row>
    <row r="70" spans="2:5">
      <c r="B70" s="25"/>
      <c r="E70" s="3"/>
    </row>
    <row r="71" spans="2:5">
      <c r="B71" s="25"/>
      <c r="E71" s="3"/>
    </row>
    <row r="72" spans="2:5">
      <c r="B72" s="25"/>
      <c r="E72" s="3"/>
    </row>
    <row r="73" spans="2:5">
      <c r="B73" s="25"/>
      <c r="E73" s="3"/>
    </row>
    <row r="74" spans="2:5">
      <c r="B74" s="25"/>
      <c r="E74" s="3"/>
    </row>
    <row r="75" spans="2:5">
      <c r="B75" s="25"/>
      <c r="E75" s="3"/>
    </row>
    <row r="76" spans="2:5">
      <c r="B76" s="25"/>
      <c r="E76" s="3"/>
    </row>
    <row r="77" spans="2:5">
      <c r="B77" s="25"/>
      <c r="E77" s="3"/>
    </row>
    <row r="78" spans="2:5">
      <c r="B78" s="25"/>
      <c r="E78" s="3"/>
    </row>
    <row r="79" spans="2:5">
      <c r="B79" s="25"/>
      <c r="E79" s="3"/>
    </row>
    <row r="80" spans="2:5">
      <c r="B80" s="25"/>
      <c r="E80" s="3"/>
    </row>
    <row r="81" spans="1:5">
      <c r="B81" s="25"/>
      <c r="E81" s="3"/>
    </row>
    <row r="82" spans="1:5">
      <c r="B82" s="25"/>
      <c r="E82" s="3"/>
    </row>
    <row r="83" spans="1:5">
      <c r="B83" s="25"/>
      <c r="E83" s="3"/>
    </row>
    <row r="84" spans="1:5">
      <c r="B84" s="25"/>
      <c r="E84" s="3"/>
    </row>
    <row r="85" spans="1:5">
      <c r="B85" s="25"/>
      <c r="E85" s="3"/>
    </row>
    <row r="86" spans="1:5">
      <c r="B86" s="25"/>
      <c r="E86" s="3"/>
    </row>
    <row r="87" spans="1:5">
      <c r="B87" s="25"/>
      <c r="E87" s="3"/>
    </row>
    <row r="88" spans="1:5">
      <c r="B88" s="25"/>
      <c r="E88" s="3"/>
    </row>
    <row r="89" spans="1:5">
      <c r="B89" s="25"/>
      <c r="E89" s="3"/>
    </row>
    <row r="90" spans="1:5">
      <c r="B90" s="25"/>
      <c r="E90" s="3"/>
    </row>
    <row r="91" spans="1:5">
      <c r="B91" s="25"/>
    </row>
    <row r="94" spans="1:5">
      <c r="A94" s="2" t="str">
        <f>DEC2HEX(HEX2DEC(A92)+4,8)</f>
        <v>00000004</v>
      </c>
      <c r="B94" s="4"/>
    </row>
    <row r="95" spans="1:5">
      <c r="A95" s="2" t="str">
        <f t="shared" ref="A95:A100" si="3">DEC2HEX(HEX2DEC(A94)+4,8)</f>
        <v>00000008</v>
      </c>
    </row>
    <row r="96" spans="1:5">
      <c r="A96" s="2" t="str">
        <f t="shared" si="3"/>
        <v>0000000C</v>
      </c>
    </row>
    <row r="97" spans="1:2">
      <c r="A97" s="2" t="str">
        <f t="shared" si="3"/>
        <v>00000010</v>
      </c>
      <c r="B97" s="4"/>
    </row>
    <row r="98" spans="1:2">
      <c r="A98" s="2" t="str">
        <f t="shared" si="3"/>
        <v>00000014</v>
      </c>
    </row>
    <row r="99" spans="1:2">
      <c r="A99" s="2" t="str">
        <f t="shared" si="3"/>
        <v>00000018</v>
      </c>
    </row>
    <row r="100" spans="1:2">
      <c r="A100" s="2" t="str">
        <f t="shared" si="3"/>
        <v>0000001C</v>
      </c>
    </row>
  </sheetData>
  <sortState xmlns:xlrd2="http://schemas.microsoft.com/office/spreadsheetml/2017/richdata2" ref="D44:D48">
    <sortCondition ref="D44:D48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Aryeh Baruch</dc:creator>
  <cp:lastModifiedBy>Andrew Baruch</cp:lastModifiedBy>
  <dcterms:created xsi:type="dcterms:W3CDTF">2025-08-01T05:28:01Z</dcterms:created>
  <dcterms:modified xsi:type="dcterms:W3CDTF">2026-05-31T15:59:00Z</dcterms:modified>
</cp:coreProperties>
</file>