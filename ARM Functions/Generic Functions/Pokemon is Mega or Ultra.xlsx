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Generic Functions\"/>
    </mc:Choice>
  </mc:AlternateContent>
  <xr:revisionPtr revIDLastSave="0" documentId="13_ncr:1_{D3E70496-8C8C-4968-9E6A-DE3BCCBE4AE3}" xr6:coauthVersionLast="47" xr6:coauthVersionMax="47" xr10:uidLastSave="{00000000-0000-0000-0000-000000000000}"/>
  <bookViews>
    <workbookView xWindow="16457" yWindow="0" windowWidth="16457" windowHeight="17914" xr2:uid="{EC1A2786-B17C-416B-8893-253177D3BEF4}"/>
  </bookViews>
  <sheets>
    <sheet name="cod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1" l="1"/>
  <c r="A13" i="1" s="1"/>
  <c r="A14" i="1" s="1"/>
  <c r="A15" i="1" s="1"/>
  <c r="A16" i="1" s="1"/>
  <c r="A17" i="1" s="1"/>
  <c r="C17" i="1" l="1"/>
  <c r="A4" i="1" l="1"/>
  <c r="A5" i="1" s="1"/>
  <c r="A6" i="1" s="1"/>
  <c r="A7" i="1" s="1"/>
  <c r="A8" i="1" s="1"/>
  <c r="A9" i="1" s="1"/>
  <c r="A10" i="1" s="1"/>
  <c r="A11" i="1" s="1"/>
  <c r="C15" i="1" l="1"/>
  <c r="C11" i="1"/>
  <c r="C7" i="1"/>
  <c r="A92" i="1"/>
  <c r="A93" i="1" l="1"/>
  <c r="A94" i="1" s="1"/>
  <c r="A95" i="1" s="1"/>
  <c r="A96" i="1" s="1"/>
  <c r="A97" i="1" s="1"/>
  <c r="A98" i="1" s="1"/>
</calcChain>
</file>

<file path=xl/sharedStrings.xml><?xml version="1.0" encoding="utf-8"?>
<sst xmlns="http://schemas.openxmlformats.org/spreadsheetml/2006/main" count="36" uniqueCount="29">
  <si>
    <t>notes</t>
  </si>
  <si>
    <t>instruction</t>
  </si>
  <si>
    <t>Hex</t>
  </si>
  <si>
    <t>Address</t>
  </si>
  <si>
    <t>Pokemon in pointer r0 is mega or ultra</t>
  </si>
  <si>
    <t>mov r4, r0</t>
  </si>
  <si>
    <t>000D6F98</t>
  </si>
  <si>
    <t>0040A0E1</t>
  </si>
  <si>
    <t>push {r4, lr}</t>
  </si>
  <si>
    <t>bl 0x0007B7A0</t>
  </si>
  <si>
    <t>check mega</t>
  </si>
  <si>
    <t>cmp r0, 0x1</t>
  </si>
  <si>
    <t>mov r0, r4</t>
  </si>
  <si>
    <t>check Primal</t>
  </si>
  <si>
    <t>Check Ultra</t>
  </si>
  <si>
    <t>mov r0, 0x0</t>
  </si>
  <si>
    <t>set false return</t>
  </si>
  <si>
    <t>bl 0x000E22D0</t>
  </si>
  <si>
    <t>bl 0x000E22E0</t>
  </si>
  <si>
    <t>10402DE9</t>
  </si>
  <si>
    <t>FE91FEEB</t>
  </si>
  <si>
    <t>010050E3</t>
  </si>
  <si>
    <t>0800000A</t>
  </si>
  <si>
    <t>0400A0E1</t>
  </si>
  <si>
    <t>C62C00EB</t>
  </si>
  <si>
    <t>0400000A</t>
  </si>
  <si>
    <t>0000000A</t>
  </si>
  <si>
    <t>0000A0E3</t>
  </si>
  <si>
    <t>1080BDE8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</si>
</sst>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49" fontId="3" fillId="0" borderId="0" xfId="0" applyNumberFormat="1" applyFont="1" applyAlignment="1">
      <alignment horizontal="left"/>
    </xf>
    <xf numFmtId="0" fontId="3" fillId="0" borderId="0" xfId="0" applyFont="1"/>
    <xf numFmtId="49" fontId="3" fillId="0" borderId="0" xfId="0" quotePrefix="1" applyNumberFormat="1" applyFont="1" applyAlignment="1">
      <alignment horizontal="left"/>
    </xf>
    <xf numFmtId="0" fontId="2" fillId="0" borderId="0" xfId="0" quotePrefix="1" applyFont="1"/>
    <xf numFmtId="49" fontId="3" fillId="0" borderId="0" xfId="0" applyNumberFormat="1" applyFont="1" applyFill="1" applyAlignment="1">
      <alignment horizontal="left"/>
    </xf>
    <xf numFmtId="0" fontId="2" fillId="0" borderId="0" xfId="0" applyFont="1" applyFill="1"/>
    <xf numFmtId="49" fontId="3" fillId="0" borderId="0" xfId="0" quotePrefix="1" applyNumberFormat="1" applyFont="1" applyFill="1" applyAlignment="1">
      <alignment horizontal="left"/>
    </xf>
    <xf numFmtId="0" fontId="2" fillId="2" borderId="0" xfId="0" applyFont="1" applyFill="1"/>
    <xf numFmtId="49" fontId="2" fillId="2" borderId="0" xfId="0" quotePrefix="1" applyNumberFormat="1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0" fontId="2" fillId="3" borderId="0" xfId="0" applyFont="1" applyFill="1"/>
    <xf numFmtId="49" fontId="2" fillId="3" borderId="0" xfId="0" quotePrefix="1" applyNumberFormat="1" applyFont="1" applyFill="1" applyAlignment="1">
      <alignment horizontal="left"/>
    </xf>
    <xf numFmtId="49" fontId="3" fillId="3" borderId="0" xfId="0" quotePrefix="1" applyNumberFormat="1" applyFont="1" applyFill="1" applyAlignment="1">
      <alignment horizontal="left"/>
    </xf>
    <xf numFmtId="0" fontId="2" fillId="4" borderId="0" xfId="0" applyFont="1" applyFill="1"/>
    <xf numFmtId="49" fontId="2" fillId="4" borderId="0" xfId="0" quotePrefix="1" applyNumberFormat="1" applyFont="1" applyFill="1" applyAlignment="1">
      <alignment horizontal="left"/>
    </xf>
    <xf numFmtId="49" fontId="3" fillId="4" borderId="0" xfId="0" quotePrefix="1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69C75-A50C-4C34-980A-9713222BCDBC}">
  <dimension ref="A1:E98"/>
  <sheetViews>
    <sheetView tabSelected="1" workbookViewId="0">
      <selection activeCell="B3" sqref="B3:B17"/>
    </sheetView>
  </sheetViews>
  <sheetFormatPr defaultColWidth="9.2109375" defaultRowHeight="15.9"/>
  <cols>
    <col min="1" max="1" width="10.0703125" style="2" customWidth="1"/>
    <col min="2" max="2" width="10.0703125" style="2" bestFit="1" customWidth="1"/>
    <col min="3" max="3" width="15.85546875" style="2" bestFit="1" customWidth="1"/>
    <col min="4" max="4" width="19.140625" style="2" bestFit="1" customWidth="1"/>
    <col min="5" max="5" width="13" style="2" bestFit="1" customWidth="1"/>
    <col min="6" max="16384" width="9.210937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">
        <v>4</v>
      </c>
      <c r="B2" s="3"/>
      <c r="D2" s="4"/>
    </row>
    <row r="3" spans="1:4">
      <c r="A3" s="2" t="s">
        <v>6</v>
      </c>
      <c r="B3" s="3" t="s">
        <v>19</v>
      </c>
      <c r="C3" s="2" t="s">
        <v>8</v>
      </c>
      <c r="D3" s="4"/>
    </row>
    <row r="4" spans="1:4">
      <c r="A4" s="2" t="str">
        <f t="shared" ref="A4:A17" si="0">DEC2HEX(HEX2DEC(A3)+4,8)</f>
        <v>000D6F9C</v>
      </c>
      <c r="B4" s="7" t="s">
        <v>7</v>
      </c>
      <c r="C4" s="8" t="s">
        <v>5</v>
      </c>
      <c r="D4" s="8"/>
    </row>
    <row r="5" spans="1:4">
      <c r="A5" s="10" t="str">
        <f t="shared" si="0"/>
        <v>000D6FA0</v>
      </c>
      <c r="B5" s="11" t="s">
        <v>20</v>
      </c>
      <c r="C5" s="10" t="s">
        <v>9</v>
      </c>
      <c r="D5" s="10" t="s">
        <v>10</v>
      </c>
    </row>
    <row r="6" spans="1:4">
      <c r="A6" s="10" t="str">
        <f t="shared" si="0"/>
        <v>000D6FA4</v>
      </c>
      <c r="B6" s="12" t="s">
        <v>21</v>
      </c>
      <c r="C6" s="10" t="s">
        <v>11</v>
      </c>
      <c r="D6" s="10"/>
    </row>
    <row r="7" spans="1:4">
      <c r="A7" s="10" t="str">
        <f t="shared" si="0"/>
        <v>000D6FA8</v>
      </c>
      <c r="B7" s="12" t="s">
        <v>22</v>
      </c>
      <c r="C7" s="10" t="str">
        <f>_xlfn.CONCAT("beq 0x",A$17)</f>
        <v>beq 0x000D6FD0</v>
      </c>
      <c r="D7" s="10"/>
    </row>
    <row r="8" spans="1:4">
      <c r="A8" s="13" t="str">
        <f t="shared" si="0"/>
        <v>000D6FAC</v>
      </c>
      <c r="B8" s="14" t="s">
        <v>23</v>
      </c>
      <c r="C8" s="13" t="s">
        <v>12</v>
      </c>
      <c r="D8" s="13" t="s">
        <v>13</v>
      </c>
    </row>
    <row r="9" spans="1:4">
      <c r="A9" s="13" t="str">
        <f t="shared" si="0"/>
        <v>000D6FB0</v>
      </c>
      <c r="B9" s="15" t="s">
        <v>24</v>
      </c>
      <c r="C9" s="13" t="s">
        <v>17</v>
      </c>
      <c r="D9" s="13"/>
    </row>
    <row r="10" spans="1:4">
      <c r="A10" s="13" t="str">
        <f t="shared" si="0"/>
        <v>000D6FB4</v>
      </c>
      <c r="B10" s="15" t="s">
        <v>21</v>
      </c>
      <c r="C10" s="13" t="s">
        <v>11</v>
      </c>
      <c r="D10" s="13"/>
    </row>
    <row r="11" spans="1:4">
      <c r="A11" s="13" t="str">
        <f t="shared" si="0"/>
        <v>000D6FB8</v>
      </c>
      <c r="B11" s="15" t="s">
        <v>25</v>
      </c>
      <c r="C11" s="13" t="str">
        <f>_xlfn.CONCAT("beq 0x",A$17)</f>
        <v>beq 0x000D6FD0</v>
      </c>
      <c r="D11" s="13"/>
    </row>
    <row r="12" spans="1:4">
      <c r="A12" s="16" t="str">
        <f t="shared" si="0"/>
        <v>000D6FBC</v>
      </c>
      <c r="B12" s="17" t="s">
        <v>23</v>
      </c>
      <c r="C12" s="16" t="s">
        <v>12</v>
      </c>
      <c r="D12" s="16" t="s">
        <v>14</v>
      </c>
    </row>
    <row r="13" spans="1:4">
      <c r="A13" s="16" t="str">
        <f t="shared" si="0"/>
        <v>000D6FC0</v>
      </c>
      <c r="B13" s="18" t="s">
        <v>24</v>
      </c>
      <c r="C13" s="16" t="s">
        <v>18</v>
      </c>
      <c r="D13" s="16"/>
    </row>
    <row r="14" spans="1:4">
      <c r="A14" s="16" t="str">
        <f t="shared" si="0"/>
        <v>000D6FC4</v>
      </c>
      <c r="B14" s="18" t="s">
        <v>21</v>
      </c>
      <c r="C14" s="16" t="s">
        <v>11</v>
      </c>
      <c r="D14" s="16"/>
    </row>
    <row r="15" spans="1:4">
      <c r="A15" s="16" t="str">
        <f t="shared" si="0"/>
        <v>000D6FC8</v>
      </c>
      <c r="B15" s="18" t="s">
        <v>26</v>
      </c>
      <c r="C15" s="16" t="str">
        <f>_xlfn.CONCAT("beq 0x",A$17)</f>
        <v>beq 0x000D6FD0</v>
      </c>
      <c r="D15" s="16"/>
    </row>
    <row r="16" spans="1:4">
      <c r="A16" s="2" t="str">
        <f t="shared" si="0"/>
        <v>000D6FCC</v>
      </c>
      <c r="B16" s="9" t="s">
        <v>27</v>
      </c>
      <c r="C16" s="8" t="s">
        <v>15</v>
      </c>
      <c r="D16" s="8" t="s">
        <v>16</v>
      </c>
    </row>
    <row r="17" spans="1:5">
      <c r="A17" s="2" t="str">
        <f t="shared" si="0"/>
        <v>000D6FD0</v>
      </c>
      <c r="B17" s="5" t="s">
        <v>28</v>
      </c>
      <c r="C17" s="4" t="str">
        <f>SUBSTITUTE(SUBSTITUTE(C3,"push","pop"),"lr","pc")</f>
        <v>pop {r4, pc}</v>
      </c>
    </row>
    <row r="18" spans="1:5">
      <c r="B18" s="5"/>
      <c r="C18" s="4"/>
    </row>
    <row r="19" spans="1:5">
      <c r="B19" s="5"/>
      <c r="C19" s="4"/>
    </row>
    <row r="20" spans="1:5">
      <c r="B20" s="5"/>
      <c r="E20" s="4"/>
    </row>
    <row r="21" spans="1:5">
      <c r="B21" s="5"/>
      <c r="E21" s="4"/>
    </row>
    <row r="22" spans="1:5">
      <c r="B22" s="5"/>
      <c r="E22" s="4"/>
    </row>
    <row r="23" spans="1:5">
      <c r="B23" s="5"/>
      <c r="C23" s="4"/>
      <c r="E23" s="4"/>
    </row>
    <row r="24" spans="1:5">
      <c r="B24" s="5"/>
      <c r="C24" s="4"/>
      <c r="E24" s="4"/>
    </row>
    <row r="25" spans="1:5">
      <c r="B25" s="5"/>
      <c r="C25" s="4"/>
      <c r="E25" s="4"/>
    </row>
    <row r="26" spans="1:5">
      <c r="B26" s="5"/>
      <c r="E26" s="4"/>
    </row>
    <row r="27" spans="1:5">
      <c r="B27" s="5"/>
      <c r="E27" s="4"/>
    </row>
    <row r="28" spans="1:5">
      <c r="B28" s="5"/>
      <c r="C28" s="4"/>
      <c r="E28" s="4"/>
    </row>
    <row r="29" spans="1:5">
      <c r="B29" s="5"/>
      <c r="E29" s="4"/>
    </row>
    <row r="30" spans="1:5">
      <c r="B30" s="5"/>
      <c r="E30" s="4"/>
    </row>
    <row r="31" spans="1:5">
      <c r="B31" s="5"/>
      <c r="E31" s="4"/>
    </row>
    <row r="32" spans="1:5">
      <c r="B32" s="5"/>
      <c r="C32" s="4"/>
      <c r="E32" s="4"/>
    </row>
    <row r="33" spans="2:5">
      <c r="B33" s="5"/>
      <c r="C33" s="4"/>
      <c r="E33" s="4"/>
    </row>
    <row r="34" spans="2:5">
      <c r="B34" s="5"/>
      <c r="C34" s="4"/>
      <c r="E34" s="4"/>
    </row>
    <row r="35" spans="2:5">
      <c r="B35" s="5"/>
      <c r="C35" s="4"/>
      <c r="E35" s="4"/>
    </row>
    <row r="36" spans="2:5">
      <c r="B36" s="5"/>
      <c r="C36" s="4"/>
      <c r="E36" s="4"/>
    </row>
    <row r="37" spans="2:5">
      <c r="B37" s="5"/>
      <c r="C37" s="4"/>
      <c r="E37" s="4"/>
    </row>
    <row r="38" spans="2:5">
      <c r="B38" s="5"/>
      <c r="C38" s="4"/>
      <c r="E38" s="4"/>
    </row>
    <row r="39" spans="2:5">
      <c r="B39" s="5"/>
      <c r="C39" s="4"/>
      <c r="E39" s="4"/>
    </row>
    <row r="40" spans="2:5">
      <c r="B40" s="5"/>
      <c r="C40" s="4"/>
      <c r="E40" s="4"/>
    </row>
    <row r="41" spans="2:5">
      <c r="B41" s="5"/>
      <c r="E41" s="4"/>
    </row>
    <row r="42" spans="2:5">
      <c r="B42" s="5"/>
      <c r="E42" s="4"/>
    </row>
    <row r="43" spans="2:5">
      <c r="B43" s="5"/>
      <c r="E43" s="4"/>
    </row>
    <row r="44" spans="2:5">
      <c r="B44" s="5"/>
      <c r="E44" s="4"/>
    </row>
    <row r="45" spans="2:5">
      <c r="B45" s="5"/>
      <c r="E45" s="4"/>
    </row>
    <row r="46" spans="2:5">
      <c r="B46" s="5"/>
      <c r="E46" s="4"/>
    </row>
    <row r="47" spans="2:5">
      <c r="B47" s="5"/>
      <c r="E47" s="4"/>
    </row>
    <row r="48" spans="2:5">
      <c r="B48" s="5"/>
      <c r="E48" s="4"/>
    </row>
    <row r="49" spans="2:5">
      <c r="B49" s="5"/>
      <c r="E49" s="4"/>
    </row>
    <row r="50" spans="2:5">
      <c r="B50" s="5"/>
      <c r="E50" s="4"/>
    </row>
    <row r="51" spans="2:5">
      <c r="B51" s="5"/>
      <c r="E51" s="4"/>
    </row>
    <row r="52" spans="2:5">
      <c r="B52" s="5"/>
      <c r="E52" s="4"/>
    </row>
    <row r="53" spans="2:5">
      <c r="B53" s="5"/>
      <c r="E53" s="4"/>
    </row>
    <row r="54" spans="2:5">
      <c r="B54" s="5"/>
      <c r="E54" s="4"/>
    </row>
    <row r="55" spans="2:5">
      <c r="B55" s="5"/>
      <c r="E55" s="4"/>
    </row>
    <row r="56" spans="2:5">
      <c r="B56" s="5"/>
      <c r="E56" s="4"/>
    </row>
    <row r="57" spans="2:5">
      <c r="B57" s="5"/>
      <c r="E57" s="4"/>
    </row>
    <row r="58" spans="2:5">
      <c r="B58" s="5"/>
      <c r="E58" s="4"/>
    </row>
    <row r="59" spans="2:5">
      <c r="B59" s="5"/>
      <c r="E59" s="4"/>
    </row>
    <row r="60" spans="2:5">
      <c r="B60" s="5"/>
      <c r="E60" s="4"/>
    </row>
    <row r="61" spans="2:5">
      <c r="B61" s="5"/>
      <c r="E61" s="4"/>
    </row>
    <row r="62" spans="2:5">
      <c r="B62" s="5"/>
      <c r="E62" s="4"/>
    </row>
    <row r="63" spans="2:5">
      <c r="B63" s="5"/>
      <c r="E63" s="4"/>
    </row>
    <row r="64" spans="2:5">
      <c r="B64" s="5"/>
      <c r="E64" s="4"/>
    </row>
    <row r="65" spans="2:5">
      <c r="B65" s="5"/>
      <c r="E65" s="4"/>
    </row>
    <row r="66" spans="2:5">
      <c r="B66" s="5"/>
      <c r="E66" s="4"/>
    </row>
    <row r="67" spans="2:5">
      <c r="B67" s="5"/>
      <c r="E67" s="4"/>
    </row>
    <row r="68" spans="2:5">
      <c r="B68" s="5"/>
      <c r="E68" s="4"/>
    </row>
    <row r="69" spans="2:5">
      <c r="B69" s="5"/>
      <c r="E69" s="4"/>
    </row>
    <row r="70" spans="2:5">
      <c r="B70" s="5"/>
      <c r="E70" s="4"/>
    </row>
    <row r="71" spans="2:5">
      <c r="B71" s="5"/>
      <c r="E71" s="4"/>
    </row>
    <row r="72" spans="2:5">
      <c r="B72" s="5"/>
      <c r="E72" s="4"/>
    </row>
    <row r="73" spans="2:5">
      <c r="B73" s="5"/>
      <c r="E73" s="4"/>
    </row>
    <row r="74" spans="2:5">
      <c r="B74" s="5"/>
      <c r="E74" s="4"/>
    </row>
    <row r="75" spans="2:5">
      <c r="B75" s="5"/>
      <c r="E75" s="4"/>
    </row>
    <row r="76" spans="2:5">
      <c r="B76" s="5"/>
      <c r="E76" s="4"/>
    </row>
    <row r="77" spans="2:5">
      <c r="B77" s="5"/>
      <c r="E77" s="4"/>
    </row>
    <row r="78" spans="2:5">
      <c r="B78" s="5"/>
      <c r="E78" s="4"/>
    </row>
    <row r="79" spans="2:5">
      <c r="B79" s="5"/>
      <c r="E79" s="4"/>
    </row>
    <row r="80" spans="2:5">
      <c r="B80" s="5"/>
      <c r="E80" s="4"/>
    </row>
    <row r="81" spans="1:5">
      <c r="B81" s="5"/>
      <c r="E81" s="4"/>
    </row>
    <row r="82" spans="1:5">
      <c r="B82" s="5"/>
      <c r="E82" s="4"/>
    </row>
    <row r="83" spans="1:5">
      <c r="B83" s="5"/>
      <c r="E83" s="4"/>
    </row>
    <row r="84" spans="1:5">
      <c r="B84" s="5"/>
      <c r="E84" s="4"/>
    </row>
    <row r="85" spans="1:5">
      <c r="B85" s="5"/>
      <c r="E85" s="4"/>
    </row>
    <row r="86" spans="1:5">
      <c r="B86" s="5"/>
      <c r="E86" s="4"/>
    </row>
    <row r="87" spans="1:5">
      <c r="B87" s="5"/>
      <c r="E87" s="4"/>
    </row>
    <row r="88" spans="1:5">
      <c r="B88" s="5"/>
      <c r="E88" s="4"/>
    </row>
    <row r="89" spans="1:5">
      <c r="B89" s="5"/>
    </row>
    <row r="92" spans="1:5">
      <c r="A92" s="2" t="str">
        <f>DEC2HEX(HEX2DEC(A90)+4,8)</f>
        <v>00000004</v>
      </c>
      <c r="B92" s="6"/>
    </row>
    <row r="93" spans="1:5">
      <c r="A93" s="2" t="str">
        <f t="shared" ref="A93:A98" si="1">DEC2HEX(HEX2DEC(A92)+4,8)</f>
        <v>00000008</v>
      </c>
    </row>
    <row r="94" spans="1:5">
      <c r="A94" s="2" t="str">
        <f t="shared" si="1"/>
        <v>0000000C</v>
      </c>
    </row>
    <row r="95" spans="1:5">
      <c r="A95" s="2" t="str">
        <f t="shared" si="1"/>
        <v>00000010</v>
      </c>
      <c r="B95" s="6"/>
    </row>
    <row r="96" spans="1:5">
      <c r="A96" s="2" t="str">
        <f t="shared" si="1"/>
        <v>00000014</v>
      </c>
    </row>
    <row r="97" spans="1:1">
      <c r="A97" s="2" t="str">
        <f t="shared" si="1"/>
        <v>00000018</v>
      </c>
    </row>
    <row r="98" spans="1:1">
      <c r="A98" s="2" t="str">
        <f t="shared" si="1"/>
        <v>0000001C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2025-08-01T05:28:01Z</dcterms:created>
  <dcterms:modified xsi:type="dcterms:W3CDTF">2026-05-07T16:58:55Z</dcterms:modified>
</cp:coreProperties>
</file>