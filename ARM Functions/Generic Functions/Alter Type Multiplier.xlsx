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ropbox\ROM\3ds\USUM ARM research\Generic Functions\"/>
    </mc:Choice>
  </mc:AlternateContent>
  <xr:revisionPtr revIDLastSave="0" documentId="13_ncr:1_{0E7F124C-18C0-44FD-9C87-6B715E8BAFCA}" xr6:coauthVersionLast="47" xr6:coauthVersionMax="47" xr10:uidLastSave="{00000000-0000-0000-0000-000000000000}"/>
  <bookViews>
    <workbookView xWindow="0" yWindow="0" windowWidth="16449" windowHeight="17914" xr2:uid="{B799EF1B-5053-4CCB-86FD-9DE61DA537F2}"/>
  </bookViews>
  <sheets>
    <sheet name="Code" sheetId="1" r:id="rId1"/>
    <sheet name="Original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6" i="1" l="1"/>
  <c r="A7" i="1" s="1"/>
  <c r="A8" i="1" s="1"/>
  <c r="A4" i="1"/>
  <c r="A5" i="1" s="1"/>
  <c r="C9" i="2"/>
  <c r="C5" i="2"/>
  <c r="A6" i="2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4" i="2"/>
  <c r="A5" i="2" s="1"/>
  <c r="C8" i="1" l="1"/>
</calcChain>
</file>

<file path=xl/sharedStrings.xml><?xml version="1.0" encoding="utf-8"?>
<sst xmlns="http://schemas.openxmlformats.org/spreadsheetml/2006/main" count="74" uniqueCount="46">
  <si>
    <t>notes</t>
  </si>
  <si>
    <t>instruction</t>
  </si>
  <si>
    <t>Hex</t>
  </si>
  <si>
    <t>Address</t>
  </si>
  <si>
    <t>Type_Effectiveness_on_Target_Damage_Formula_Call</t>
  </si>
  <si>
    <t>00087A38</t>
  </si>
  <si>
    <t>push {r4, lr}</t>
  </si>
  <si>
    <t>add r4, r0, r1, lsl #1</t>
  </si>
  <si>
    <t>ldrb r0, [r4]</t>
  </si>
  <si>
    <t>cmp r0, #0xe</t>
  </si>
  <si>
    <t>mov r3, #0</t>
  </si>
  <si>
    <t>mov r2, r3</t>
  </si>
  <si>
    <t>mov r1, r3</t>
  </si>
  <si>
    <t>mov r0, r3</t>
  </si>
  <si>
    <t>pop {r4, pc}</t>
  </si>
  <si>
    <t>cmp r1, 0x18</t>
  </si>
  <si>
    <t>check party index</t>
  </si>
  <si>
    <t>add 2*index to pointer</t>
  </si>
  <si>
    <t>and load the byte there, this is the type effectiveness</t>
  </si>
  <si>
    <t>A</t>
  </si>
  <si>
    <t>B</t>
  </si>
  <si>
    <t>C</t>
  </si>
  <si>
    <t>D</t>
  </si>
  <si>
    <t>E</t>
  </si>
  <si>
    <t>bl 0x00000188</t>
  </si>
  <si>
    <t>mov r0, 0x7</t>
  </si>
  <si>
    <t>if result &gt; 0xD, set to 0xD</t>
  </si>
  <si>
    <t>movhi r0, 0xD</t>
  </si>
  <si>
    <t>cmp r0, 0xD</t>
  </si>
  <si>
    <t>814080E0</t>
  </si>
  <si>
    <t>0000D4E5</t>
  </si>
  <si>
    <t>0D0050E3</t>
  </si>
  <si>
    <t>0D00A083</t>
  </si>
  <si>
    <t>180051E3</t>
  </si>
  <si>
    <t>10402DE9</t>
  </si>
  <si>
    <t>0A00002A</t>
  </si>
  <si>
    <t>0E0050E3</t>
  </si>
  <si>
    <t>0400001A</t>
  </si>
  <si>
    <t>0030A0E3</t>
  </si>
  <si>
    <t>0320A0E1</t>
  </si>
  <si>
    <t>0310A0E1</t>
  </si>
  <si>
    <t>0300A0E1</t>
  </si>
  <si>
    <t>C7E1FDEB</t>
  </si>
  <si>
    <t>1080BDE8</t>
  </si>
  <si>
    <t>C0E1FDEB</t>
  </si>
  <si>
    <t>0700A0E3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</si>
</sst>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b/>
      <sz val="11"/>
      <color theme="1"/>
      <name val="Cascadia Code"/>
      <family val="3"/>
    </font>
    <font>
      <sz val="11"/>
      <color theme="1"/>
      <name val="Cascadia Code"/>
      <family val="3"/>
    </font>
    <font>
      <sz val="11"/>
      <name val="Cascadia Code"/>
      <family val="3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7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/>
    <xf numFmtId="0" fontId="1" fillId="0" borderId="0" xfId="0" applyFont="1"/>
    <xf numFmtId="0" fontId="3" fillId="0" borderId="0" xfId="0" quotePrefix="1" applyFont="1"/>
    <xf numFmtId="0" fontId="2" fillId="0" borderId="0" xfId="0" quotePrefix="1" applyFont="1"/>
    <xf numFmtId="0" fontId="2" fillId="2" borderId="0" xfId="0" applyFont="1" applyFill="1"/>
    <xf numFmtId="0" fontId="2" fillId="3" borderId="0" xfId="0" applyFont="1" applyFill="1"/>
    <xf numFmtId="0" fontId="2" fillId="2" borderId="0" xfId="0" quotePrefix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31B432-E39A-4DC1-BC73-6DF61E7E1BED}">
  <dimension ref="A1:D8"/>
  <sheetViews>
    <sheetView tabSelected="1" zoomScaleNormal="100" workbookViewId="0">
      <pane ySplit="1" topLeftCell="A2" activePane="bottomLeft" state="frozen"/>
      <selection pane="bottomLeft" activeCell="A8" sqref="A8"/>
    </sheetView>
  </sheetViews>
  <sheetFormatPr defaultRowHeight="15.9"/>
  <cols>
    <col min="1" max="1" width="10.0703125" style="1" customWidth="1"/>
    <col min="2" max="2" width="9.35546875" style="1" bestFit="1" customWidth="1"/>
    <col min="3" max="3" width="43.140625" style="1" bestFit="1" customWidth="1"/>
    <col min="4" max="4" width="58.35546875" style="1" customWidth="1"/>
    <col min="5" max="5" width="9.140625" style="1"/>
    <col min="6" max="6" width="8.85546875" style="1" bestFit="1" customWidth="1"/>
    <col min="7" max="7" width="2.92578125" style="1" bestFit="1" customWidth="1"/>
    <col min="8" max="8" width="13.85546875" style="1" bestFit="1" customWidth="1"/>
    <col min="9" max="9" width="14.5703125" style="1" bestFit="1" customWidth="1"/>
    <col min="10" max="16384" width="9.140625" style="1"/>
  </cols>
  <sheetData>
    <row r="1" spans="1:4">
      <c r="A1" s="2" t="s">
        <v>3</v>
      </c>
      <c r="B1" s="2" t="s">
        <v>2</v>
      </c>
      <c r="C1" s="2" t="s">
        <v>1</v>
      </c>
      <c r="D1" s="2" t="s">
        <v>0</v>
      </c>
    </row>
    <row r="2" spans="1:4">
      <c r="A2" s="2" t="s">
        <v>4</v>
      </c>
      <c r="B2" s="3"/>
      <c r="C2" s="3"/>
    </row>
    <row r="3" spans="1:4">
      <c r="A3" s="4" t="s">
        <v>5</v>
      </c>
      <c r="B3" s="1" t="s">
        <v>34</v>
      </c>
      <c r="C3" s="1" t="s">
        <v>6</v>
      </c>
    </row>
    <row r="4" spans="1:4">
      <c r="A4" s="5" t="str">
        <f t="shared" ref="A4:A8" si="0">DEC2HEX(HEX2DEC(A3)+4,8)</f>
        <v>00087A3C</v>
      </c>
      <c r="B4" s="7" t="s">
        <v>29</v>
      </c>
      <c r="C4" s="5" t="s">
        <v>7</v>
      </c>
      <c r="D4" s="5" t="s">
        <v>17</v>
      </c>
    </row>
    <row r="5" spans="1:4">
      <c r="A5" s="5" t="str">
        <f t="shared" si="0"/>
        <v>00087A40</v>
      </c>
      <c r="B5" s="5" t="s">
        <v>30</v>
      </c>
      <c r="C5" s="5" t="s">
        <v>8</v>
      </c>
      <c r="D5" s="5" t="s">
        <v>18</v>
      </c>
    </row>
    <row r="6" spans="1:4">
      <c r="A6" s="6" t="str">
        <f t="shared" si="0"/>
        <v>00087A44</v>
      </c>
      <c r="B6" s="6" t="s">
        <v>31</v>
      </c>
      <c r="C6" s="6" t="s">
        <v>28</v>
      </c>
      <c r="D6" s="6" t="s">
        <v>26</v>
      </c>
    </row>
    <row r="7" spans="1:4">
      <c r="A7" s="6" t="str">
        <f t="shared" si="0"/>
        <v>00087A48</v>
      </c>
      <c r="B7" s="6" t="s">
        <v>32</v>
      </c>
      <c r="C7" s="6" t="s">
        <v>27</v>
      </c>
      <c r="D7" s="6"/>
    </row>
    <row r="8" spans="1:4">
      <c r="A8" s="1" t="str">
        <f t="shared" si="0"/>
        <v>00087A4C</v>
      </c>
      <c r="B8" s="1" t="s">
        <v>43</v>
      </c>
      <c r="C8" s="1" t="str">
        <f>SUBSTITUTE(SUBSTITUTE(C3,"push","pop"),"lr","pc")</f>
        <v>pop {r4, pc}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CA21A8-88E3-4453-84FE-147DD3873961}">
  <dimension ref="A1:E32"/>
  <sheetViews>
    <sheetView workbookViewId="0">
      <pane ySplit="1" topLeftCell="A2" activePane="bottomLeft" state="frozen"/>
      <selection pane="bottomLeft" activeCell="C6" sqref="C6"/>
    </sheetView>
  </sheetViews>
  <sheetFormatPr defaultRowHeight="15.9"/>
  <cols>
    <col min="1" max="2" width="9.140625" style="1"/>
    <col min="3" max="3" width="23" style="1" customWidth="1"/>
    <col min="4" max="16384" width="9.140625" style="1"/>
  </cols>
  <sheetData>
    <row r="1" spans="1:4">
      <c r="A1" s="2" t="s">
        <v>3</v>
      </c>
      <c r="B1" s="2" t="s">
        <v>2</v>
      </c>
      <c r="C1" s="2" t="s">
        <v>1</v>
      </c>
      <c r="D1" s="2" t="s">
        <v>0</v>
      </c>
    </row>
    <row r="2" spans="1:4">
      <c r="A2" s="2" t="s">
        <v>4</v>
      </c>
      <c r="B2" s="3"/>
      <c r="C2" s="3"/>
    </row>
    <row r="3" spans="1:4">
      <c r="A3" s="4" t="s">
        <v>5</v>
      </c>
      <c r="B3" s="4" t="s">
        <v>33</v>
      </c>
      <c r="C3" s="1" t="s">
        <v>15</v>
      </c>
      <c r="D3" s="1" t="s">
        <v>16</v>
      </c>
    </row>
    <row r="4" spans="1:4">
      <c r="A4" s="1" t="str">
        <f t="shared" ref="A4:A23" si="0">DEC2HEX(HEX2DEC(A3)+4,8)</f>
        <v>00087A3C</v>
      </c>
      <c r="B4" s="1" t="s">
        <v>34</v>
      </c>
      <c r="C4" s="1" t="s">
        <v>6</v>
      </c>
    </row>
    <row r="5" spans="1:4">
      <c r="A5" s="1" t="str">
        <f t="shared" si="0"/>
        <v>00087A40</v>
      </c>
      <c r="B5" s="1" t="s">
        <v>35</v>
      </c>
      <c r="C5" s="1" t="str">
        <f>_xlfn.CONCAT("bhs 0x",A17)</f>
        <v>bhs 0x00087A70</v>
      </c>
    </row>
    <row r="6" spans="1:4">
      <c r="A6" s="1" t="str">
        <f t="shared" si="0"/>
        <v>00087A44</v>
      </c>
      <c r="B6" s="4" t="s">
        <v>29</v>
      </c>
      <c r="C6" s="1" t="s">
        <v>7</v>
      </c>
      <c r="D6" s="1" t="s">
        <v>17</v>
      </c>
    </row>
    <row r="7" spans="1:4">
      <c r="A7" s="1" t="str">
        <f t="shared" si="0"/>
        <v>00087A48</v>
      </c>
      <c r="B7" s="1" t="s">
        <v>30</v>
      </c>
      <c r="C7" s="1" t="s">
        <v>8</v>
      </c>
      <c r="D7" s="1" t="s">
        <v>18</v>
      </c>
    </row>
    <row r="8" spans="1:4">
      <c r="A8" s="1" t="str">
        <f t="shared" si="0"/>
        <v>00087A4C</v>
      </c>
      <c r="B8" s="1" t="s">
        <v>36</v>
      </c>
      <c r="C8" s="1" t="s">
        <v>9</v>
      </c>
    </row>
    <row r="9" spans="1:4">
      <c r="A9" s="1" t="str">
        <f t="shared" si="0"/>
        <v>00087A50</v>
      </c>
      <c r="B9" s="1" t="s">
        <v>37</v>
      </c>
      <c r="C9" s="1" t="str">
        <f>_xlfn.CONCAT("bne 0x",A15)</f>
        <v>bne 0x00087A68</v>
      </c>
    </row>
    <row r="10" spans="1:4">
      <c r="A10" s="1" t="str">
        <f t="shared" si="0"/>
        <v>00087A54</v>
      </c>
      <c r="B10" s="1" t="s">
        <v>38</v>
      </c>
      <c r="C10" s="1" t="s">
        <v>10</v>
      </c>
    </row>
    <row r="11" spans="1:4">
      <c r="A11" s="1" t="str">
        <f t="shared" si="0"/>
        <v>00087A58</v>
      </c>
      <c r="B11" s="1" t="s">
        <v>39</v>
      </c>
      <c r="C11" s="1" t="s">
        <v>11</v>
      </c>
    </row>
    <row r="12" spans="1:4">
      <c r="A12" s="1" t="str">
        <f t="shared" si="0"/>
        <v>00087A5C</v>
      </c>
      <c r="B12" s="1" t="s">
        <v>40</v>
      </c>
      <c r="C12" s="1" t="s">
        <v>12</v>
      </c>
    </row>
    <row r="13" spans="1:4">
      <c r="A13" s="1" t="str">
        <f t="shared" si="0"/>
        <v>00087A60</v>
      </c>
      <c r="B13" s="1" t="s">
        <v>41</v>
      </c>
      <c r="C13" s="1" t="s">
        <v>13</v>
      </c>
    </row>
    <row r="14" spans="1:4">
      <c r="A14" s="1" t="str">
        <f t="shared" si="0"/>
        <v>00087A64</v>
      </c>
      <c r="B14" s="1" t="s">
        <v>42</v>
      </c>
      <c r="C14" s="1" t="s">
        <v>24</v>
      </c>
    </row>
    <row r="15" spans="1:4">
      <c r="A15" s="1" t="str">
        <f t="shared" si="0"/>
        <v>00087A68</v>
      </c>
      <c r="B15" s="1" t="s">
        <v>30</v>
      </c>
      <c r="C15" s="1" t="s">
        <v>8</v>
      </c>
    </row>
    <row r="16" spans="1:4">
      <c r="A16" s="1" t="str">
        <f t="shared" si="0"/>
        <v>00087A6C</v>
      </c>
      <c r="B16" s="1" t="s">
        <v>43</v>
      </c>
      <c r="C16" s="1" t="s">
        <v>14</v>
      </c>
    </row>
    <row r="17" spans="1:5">
      <c r="A17" s="1" t="str">
        <f t="shared" si="0"/>
        <v>00087A70</v>
      </c>
      <c r="B17" s="1" t="s">
        <v>38</v>
      </c>
      <c r="C17" s="1" t="s">
        <v>10</v>
      </c>
    </row>
    <row r="18" spans="1:5">
      <c r="A18" s="1" t="str">
        <f t="shared" si="0"/>
        <v>00087A74</v>
      </c>
      <c r="B18" s="1" t="s">
        <v>39</v>
      </c>
      <c r="C18" s="1" t="s">
        <v>11</v>
      </c>
    </row>
    <row r="19" spans="1:5">
      <c r="A19" s="1" t="str">
        <f t="shared" si="0"/>
        <v>00087A78</v>
      </c>
      <c r="B19" s="1" t="s">
        <v>40</v>
      </c>
      <c r="C19" s="1" t="s">
        <v>12</v>
      </c>
    </row>
    <row r="20" spans="1:5">
      <c r="A20" s="1" t="str">
        <f t="shared" si="0"/>
        <v>00087A7C</v>
      </c>
      <c r="B20" s="1" t="s">
        <v>41</v>
      </c>
      <c r="C20" s="1" t="s">
        <v>13</v>
      </c>
    </row>
    <row r="21" spans="1:5">
      <c r="A21" s="1" t="str">
        <f t="shared" si="0"/>
        <v>00087A80</v>
      </c>
      <c r="B21" s="1" t="s">
        <v>44</v>
      </c>
      <c r="C21" s="1" t="s">
        <v>24</v>
      </c>
    </row>
    <row r="22" spans="1:5">
      <c r="A22" s="1" t="str">
        <f t="shared" si="0"/>
        <v>00087A84</v>
      </c>
      <c r="B22" s="1" t="s">
        <v>45</v>
      </c>
      <c r="C22" s="1" t="s">
        <v>25</v>
      </c>
    </row>
    <row r="23" spans="1:5">
      <c r="A23" s="1" t="str">
        <f t="shared" si="0"/>
        <v>00087A88</v>
      </c>
      <c r="B23" s="1" t="s">
        <v>43</v>
      </c>
      <c r="C23" s="1" t="s">
        <v>14</v>
      </c>
    </row>
    <row r="26" spans="1:5">
      <c r="C26" s="1">
        <v>8</v>
      </c>
      <c r="D26" s="1">
        <v>1</v>
      </c>
      <c r="E26" s="1">
        <v>6</v>
      </c>
    </row>
    <row r="27" spans="1:5">
      <c r="C27" s="1">
        <v>9</v>
      </c>
      <c r="D27" s="1">
        <v>2</v>
      </c>
      <c r="E27" s="1">
        <v>5</v>
      </c>
    </row>
    <row r="28" spans="1:5">
      <c r="C28" s="1" t="s">
        <v>19</v>
      </c>
      <c r="D28" s="1">
        <v>3</v>
      </c>
      <c r="E28" s="1">
        <v>4</v>
      </c>
    </row>
    <row r="29" spans="1:5">
      <c r="C29" s="1" t="s">
        <v>20</v>
      </c>
      <c r="D29" s="1">
        <v>4</v>
      </c>
      <c r="E29" s="1">
        <v>3</v>
      </c>
    </row>
    <row r="30" spans="1:5">
      <c r="C30" s="1" t="s">
        <v>21</v>
      </c>
      <c r="D30" s="1">
        <v>5</v>
      </c>
      <c r="E30" s="1">
        <v>2</v>
      </c>
    </row>
    <row r="31" spans="1:5">
      <c r="C31" s="1" t="s">
        <v>22</v>
      </c>
      <c r="D31" s="1">
        <v>6</v>
      </c>
      <c r="E31" s="1">
        <v>1</v>
      </c>
    </row>
    <row r="32" spans="1:5">
      <c r="C32" s="1" t="s">
        <v>23</v>
      </c>
      <c r="D32" s="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</vt:lpstr>
      <vt:lpstr>Original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Aryeh Baruch</dc:creator>
  <cp:lastModifiedBy>Andrew Baruch</cp:lastModifiedBy>
  <dcterms:created xsi:type="dcterms:W3CDTF">2025-08-01T05:19:20Z</dcterms:created>
  <dcterms:modified xsi:type="dcterms:W3CDTF">2026-05-18T02:01:00Z</dcterms:modified>
</cp:coreProperties>
</file>