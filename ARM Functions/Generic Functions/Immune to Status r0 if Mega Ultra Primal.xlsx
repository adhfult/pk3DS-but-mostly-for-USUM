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E5DFEC86-7D34-46CA-A2C6-24E43855EA39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C12" i="6" s="1"/>
  <c r="A4" i="6"/>
  <c r="A5" i="6" s="1"/>
  <c r="A6" i="6" s="1"/>
  <c r="A7" i="6" s="1"/>
  <c r="A8" i="6" s="1"/>
  <c r="A9" i="6" s="1"/>
  <c r="A10" i="6" s="1"/>
  <c r="A11" i="6" s="1"/>
  <c r="A12" i="6" s="1"/>
  <c r="C9" i="6" s="1"/>
</calcChain>
</file>

<file path=xl/sharedStrings.xml><?xml version="1.0" encoding="utf-8"?>
<sst xmlns="http://schemas.openxmlformats.org/spreadsheetml/2006/main" count="23" uniqueCount="23">
  <si>
    <t>Address</t>
  </si>
  <si>
    <t>Hex</t>
  </si>
  <si>
    <t>instruction</t>
  </si>
  <si>
    <t>notes</t>
  </si>
  <si>
    <t>0100A0E1</t>
  </si>
  <si>
    <t>mov r0, r1</t>
  </si>
  <si>
    <t>0210A0E1</t>
  </si>
  <si>
    <t>mov r1, r2</t>
  </si>
  <si>
    <t>bl 0x00092298</t>
  </si>
  <si>
    <t>bl 0x000D6F98</t>
  </si>
  <si>
    <t>cmp r0, 0x1</t>
  </si>
  <si>
    <t>b 0x00101E8C</t>
  </si>
  <si>
    <t>push {r0, r1, r2, lr}</t>
  </si>
  <si>
    <t>Immune to Status r0 if mega ultra primal 0x7C</t>
  </si>
  <si>
    <t>0010359C</t>
  </si>
  <si>
    <t>07402DE9</t>
  </si>
  <si>
    <t>3A3BFEEB</t>
  </si>
  <si>
    <t>794EFFEB</t>
  </si>
  <si>
    <t>010050E3</t>
  </si>
  <si>
    <t>0100001A</t>
  </si>
  <si>
    <t>0740BDE8</t>
  </si>
  <si>
    <t>32FAFFEA</t>
  </si>
  <si>
    <t>0780BDE8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</si>
</sst>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2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13</v>
      </c>
    </row>
    <row r="3" spans="1:4">
      <c r="A3" s="3" t="s">
        <v>14</v>
      </c>
      <c r="B3" s="2" t="s">
        <v>15</v>
      </c>
      <c r="C3" s="2" t="s">
        <v>12</v>
      </c>
    </row>
    <row r="4" spans="1:4">
      <c r="A4" s="3" t="str">
        <f t="shared" ref="A4:A12" si="0">DEC2HEX(HEX2DEC(A3)+4,8)</f>
        <v>001035A0</v>
      </c>
      <c r="B4" s="2" t="s">
        <v>4</v>
      </c>
      <c r="C4" s="4" t="s">
        <v>5</v>
      </c>
    </row>
    <row r="5" spans="1:4">
      <c r="A5" s="3" t="str">
        <f t="shared" si="0"/>
        <v>001035A4</v>
      </c>
      <c r="B5" s="2" t="s">
        <v>6</v>
      </c>
      <c r="C5" s="4" t="s">
        <v>7</v>
      </c>
    </row>
    <row r="6" spans="1:4">
      <c r="A6" s="3" t="str">
        <f t="shared" si="0"/>
        <v>001035A8</v>
      </c>
      <c r="B6" s="2" t="s">
        <v>16</v>
      </c>
      <c r="C6" s="4" t="s">
        <v>8</v>
      </c>
    </row>
    <row r="7" spans="1:4">
      <c r="A7" s="3" t="str">
        <f t="shared" si="0"/>
        <v>001035AC</v>
      </c>
      <c r="B7" s="2" t="s">
        <v>17</v>
      </c>
      <c r="C7" s="5" t="s">
        <v>9</v>
      </c>
    </row>
    <row r="8" spans="1:4">
      <c r="A8" s="3" t="str">
        <f t="shared" si="0"/>
        <v>001035B0</v>
      </c>
      <c r="B8" s="3" t="s">
        <v>18</v>
      </c>
      <c r="C8" s="5" t="s">
        <v>10</v>
      </c>
    </row>
    <row r="9" spans="1:4">
      <c r="A9" s="3" t="str">
        <f t="shared" si="0"/>
        <v>001035B4</v>
      </c>
      <c r="B9" s="2" t="s">
        <v>19</v>
      </c>
      <c r="C9" s="5" t="str">
        <f>_xlfn.CONCAT("bne 0x",A12)</f>
        <v>bne 0x001035C0</v>
      </c>
    </row>
    <row r="10" spans="1:4">
      <c r="A10" s="3" t="str">
        <f t="shared" si="0"/>
        <v>001035B8</v>
      </c>
      <c r="B10" s="2" t="s">
        <v>20</v>
      </c>
      <c r="C10" s="2" t="str">
        <f>SUBSTITUTE(C3,"push","pop")</f>
        <v>pop {r0, r1, r2, lr}</v>
      </c>
    </row>
    <row r="11" spans="1:4">
      <c r="A11" s="3" t="str">
        <f t="shared" si="0"/>
        <v>001035BC</v>
      </c>
      <c r="B11" s="2" t="s">
        <v>21</v>
      </c>
      <c r="C11" s="2" t="s">
        <v>11</v>
      </c>
    </row>
    <row r="12" spans="1:4">
      <c r="A12" s="3" t="str">
        <f t="shared" si="0"/>
        <v>001035C0</v>
      </c>
      <c r="B12" s="2" t="s">
        <v>22</v>
      </c>
      <c r="C12" s="2" t="str">
        <f>SUBSTITUTE(C10,"lr","pc")</f>
        <v>pop {r0, r1, r2, pc}</v>
      </c>
    </row>
    <row r="13" spans="1:4">
      <c r="A13" s="3"/>
    </row>
    <row r="14" spans="1:4">
      <c r="A14" s="3"/>
    </row>
    <row r="15" spans="1:4">
      <c r="A15" s="3"/>
    </row>
    <row r="16" spans="1:4">
      <c r="A16" s="3"/>
    </row>
    <row r="17" spans="1:2">
      <c r="A17" s="3"/>
    </row>
    <row r="18" spans="1:2">
      <c r="A18" s="3"/>
    </row>
    <row r="19" spans="1:2">
      <c r="A19" s="3"/>
    </row>
    <row r="20" spans="1:2">
      <c r="A20" s="3"/>
    </row>
    <row r="21" spans="1:2">
      <c r="A21" s="3"/>
      <c r="B21" s="3"/>
    </row>
    <row r="22" spans="1:2">
      <c r="A22" s="3"/>
    </row>
    <row r="23" spans="1:2">
      <c r="A23" s="3"/>
    </row>
    <row r="24" spans="1:2" ht="15.45" customHeight="1">
      <c r="A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2026-05-21T02:12:16Z</dcterms:modified>
</cp:coreProperties>
</file>