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Generic Functions\"/>
    </mc:Choice>
  </mc:AlternateContent>
  <xr:revisionPtr revIDLastSave="0" documentId="13_ncr:1_{CF849917-30C4-40C4-A128-9476B86943C1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Edited main" sheetId="6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6" l="1"/>
  <c r="C3" i="6"/>
  <c r="C18" i="6"/>
  <c r="C22" i="6" s="1"/>
  <c r="C5" i="6"/>
  <c r="C16" i="6" s="1"/>
  <c r="A26" i="6"/>
  <c r="C7" i="6" l="1"/>
  <c r="C11" i="6" s="1"/>
  <c r="A27" i="6"/>
  <c r="A28" i="6" s="1"/>
</calcChain>
</file>

<file path=xl/sharedStrings.xml><?xml version="1.0" encoding="utf-8"?>
<sst xmlns="http://schemas.openxmlformats.org/spreadsheetml/2006/main" count="37" uniqueCount="32">
  <si>
    <t>Address</t>
  </si>
  <si>
    <t>Hex</t>
  </si>
  <si>
    <t>instruction</t>
  </si>
  <si>
    <t>notes</t>
  </si>
  <si>
    <t>Table A</t>
  </si>
  <si>
    <t>Table B</t>
  </si>
  <si>
    <t>0008231C</t>
  </si>
  <si>
    <t>000BF78C</t>
  </si>
  <si>
    <t>000BF770</t>
  </si>
  <si>
    <t>push {r4, r5, r6, r7, r8, r9, lr}</t>
  </si>
  <si>
    <t>mov r4, 0x0</t>
  </si>
  <si>
    <t>bx lr</t>
  </si>
  <si>
    <t>ldr r9, [pc]</t>
  </si>
  <si>
    <t>000BF81C</t>
  </si>
  <si>
    <t>Load Item Table Count</t>
  </si>
  <si>
    <t>000BF824</t>
  </si>
  <si>
    <t>000822F8</t>
  </si>
  <si>
    <t>00082388</t>
  </si>
  <si>
    <t>00082390</t>
  </si>
  <si>
    <t>000823A0</t>
  </si>
  <si>
    <t>000BF834</t>
  </si>
  <si>
    <t>F0432DE9</t>
  </si>
  <si>
    <t>F083BDE8</t>
  </si>
  <si>
    <t>000FEC00</t>
  </si>
  <si>
    <t>0040A0E3</t>
  </si>
  <si>
    <t>00909FE5</t>
  </si>
  <si>
    <t>1EFF2FE1</t>
  </si>
  <si>
    <t>1BFD00EB</t>
  </si>
  <si>
    <t>37F201EB</t>
  </si>
  <si>
    <t>84 01 98 E7</t>
  </si>
  <si>
    <t>cmp r4, r9</t>
  </si>
  <si>
    <t>090054E1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</si>
</sst>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G28"/>
  <sheetViews>
    <sheetView tabSelected="1" zoomScaleNormal="100" workbookViewId="0">
      <pane ySplit="1" topLeftCell="A2" activePane="bottomLeft" state="frozen"/>
      <selection pane="bottomLeft" activeCell="A9" sqref="A9"/>
    </sheetView>
  </sheetViews>
  <sheetFormatPr defaultRowHeight="15.9"/>
  <cols>
    <col min="1" max="2" width="9.35546875" style="2" bestFit="1" customWidth="1"/>
    <col min="3" max="3" width="23.5" style="2" bestFit="1" customWidth="1"/>
    <col min="4" max="4" width="24.85546875" style="2" customWidth="1"/>
    <col min="5" max="5" width="18.42578125" style="2" customWidth="1"/>
    <col min="6" max="6" width="14.28515625" style="2" bestFit="1" customWidth="1"/>
    <col min="7" max="7" width="17.5" style="3" customWidth="1"/>
    <col min="8" max="16384" width="9.140625" style="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>
      <c r="A2" s="1" t="s">
        <v>4</v>
      </c>
      <c r="B2" s="1"/>
      <c r="C2" s="1"/>
      <c r="D2" s="1"/>
      <c r="E2" s="1"/>
    </row>
    <row r="3" spans="1:5">
      <c r="A3" s="2" t="s">
        <v>16</v>
      </c>
      <c r="B3" s="2" t="s">
        <v>21</v>
      </c>
      <c r="C3" s="2" t="str">
        <f>C14</f>
        <v>push {r4, r5, r6, r7, r8, r9, lr}</v>
      </c>
      <c r="D3" s="1"/>
      <c r="E3" s="1"/>
    </row>
    <row r="4" spans="1:5">
      <c r="A4" s="1"/>
      <c r="B4" s="1"/>
      <c r="D4" s="1"/>
      <c r="E4" s="1"/>
    </row>
    <row r="5" spans="1:5">
      <c r="A5" s="2" t="s">
        <v>6</v>
      </c>
      <c r="B5" s="2" t="s">
        <v>28</v>
      </c>
      <c r="C5" s="2" t="str">
        <f>_xlfn.CONCAT("bl 0x",A25)</f>
        <v>bl 0x000FEC00</v>
      </c>
      <c r="D5" s="1"/>
      <c r="E5" s="1"/>
    </row>
    <row r="6" spans="1:5">
      <c r="A6" s="1"/>
      <c r="B6" s="1"/>
      <c r="D6" s="1"/>
      <c r="E6" s="1"/>
    </row>
    <row r="7" spans="1:5">
      <c r="A7" s="4" t="s">
        <v>17</v>
      </c>
      <c r="B7" s="2" t="s">
        <v>22</v>
      </c>
      <c r="C7" s="2" t="str">
        <f>C18</f>
        <v>pop {r4, r5, r6, r7, r8, r9, pc}</v>
      </c>
      <c r="D7" s="1"/>
      <c r="E7" s="1"/>
    </row>
    <row r="8" spans="1:5">
      <c r="A8" s="1"/>
      <c r="B8" s="1"/>
      <c r="D8" s="1"/>
      <c r="E8" s="1"/>
    </row>
    <row r="9" spans="1:5">
      <c r="A9" s="4" t="s">
        <v>18</v>
      </c>
      <c r="B9" s="4" t="s">
        <v>31</v>
      </c>
      <c r="C9" s="2" t="str">
        <f>C20</f>
        <v>cmp r4, r9</v>
      </c>
      <c r="D9" s="1"/>
      <c r="E9" s="1"/>
    </row>
    <row r="10" spans="1:5">
      <c r="A10" s="1"/>
      <c r="B10" s="1"/>
      <c r="C10" s="1"/>
      <c r="D10" s="1"/>
      <c r="E10" s="1"/>
    </row>
    <row r="11" spans="1:5">
      <c r="A11" s="4" t="s">
        <v>19</v>
      </c>
      <c r="B11" s="2" t="s">
        <v>22</v>
      </c>
      <c r="C11" s="2" t="str">
        <f>C7</f>
        <v>pop {r4, r5, r6, r7, r8, r9, pc}</v>
      </c>
      <c r="D11" s="1"/>
      <c r="E11" s="1"/>
    </row>
    <row r="12" spans="1:5">
      <c r="A12" s="1"/>
      <c r="B12" s="1"/>
      <c r="C12" s="1"/>
      <c r="D12" s="1"/>
      <c r="E12" s="1"/>
    </row>
    <row r="13" spans="1:5">
      <c r="A13" s="1" t="s">
        <v>5</v>
      </c>
      <c r="B13" s="1"/>
      <c r="C13" s="1"/>
      <c r="D13" s="1"/>
      <c r="E13" s="1"/>
    </row>
    <row r="14" spans="1:5">
      <c r="A14" s="2" t="s">
        <v>8</v>
      </c>
      <c r="B14" s="2" t="s">
        <v>21</v>
      </c>
      <c r="C14" s="2" t="s">
        <v>9</v>
      </c>
      <c r="D14" s="1"/>
      <c r="E14" s="1"/>
    </row>
    <row r="15" spans="1:5">
      <c r="A15" s="1"/>
      <c r="B15" s="1"/>
      <c r="D15" s="1"/>
      <c r="E15" s="1"/>
    </row>
    <row r="16" spans="1:5">
      <c r="A16" s="2" t="s">
        <v>7</v>
      </c>
      <c r="B16" s="2" t="s">
        <v>27</v>
      </c>
      <c r="C16" s="2" t="str">
        <f>C5</f>
        <v>bl 0x000FEC00</v>
      </c>
      <c r="D16" s="1"/>
      <c r="E16" s="1"/>
    </row>
    <row r="17" spans="1:5">
      <c r="A17" s="1" t="s">
        <v>29</v>
      </c>
      <c r="B17" s="1"/>
      <c r="D17" s="1"/>
      <c r="E17" s="1"/>
    </row>
    <row r="18" spans="1:5">
      <c r="A18" s="2" t="s">
        <v>13</v>
      </c>
      <c r="B18" s="2" t="s">
        <v>22</v>
      </c>
      <c r="C18" s="2" t="str">
        <f>SUBSTITUTE(SUBSTITUTE(C14,"push","pop"),"lr","pc")</f>
        <v>pop {r4, r5, r6, r7, r8, r9, pc}</v>
      </c>
      <c r="D18" s="1"/>
      <c r="E18" s="1"/>
    </row>
    <row r="19" spans="1:5">
      <c r="A19" s="1"/>
      <c r="B19" s="1"/>
      <c r="C19" s="1"/>
      <c r="D19" s="1"/>
      <c r="E19" s="1"/>
    </row>
    <row r="20" spans="1:5">
      <c r="A20" s="2" t="s">
        <v>15</v>
      </c>
      <c r="B20" s="4" t="s">
        <v>31</v>
      </c>
      <c r="C20" s="2" t="s">
        <v>30</v>
      </c>
      <c r="D20" s="1"/>
      <c r="E20" s="1"/>
    </row>
    <row r="21" spans="1:5">
      <c r="A21" s="1"/>
      <c r="B21" s="1"/>
      <c r="C21" s="1"/>
      <c r="D21" s="1"/>
      <c r="E21" s="1"/>
    </row>
    <row r="22" spans="1:5">
      <c r="A22" s="2" t="s">
        <v>20</v>
      </c>
      <c r="B22" s="2" t="s">
        <v>22</v>
      </c>
      <c r="C22" s="2" t="str">
        <f>C18</f>
        <v>pop {r4, r5, r6, r7, r8, r9, pc}</v>
      </c>
      <c r="D22" s="1"/>
      <c r="E22" s="1"/>
    </row>
    <row r="23" spans="1:5">
      <c r="A23" s="1"/>
      <c r="B23" s="1"/>
      <c r="C23" s="1"/>
      <c r="D23" s="1"/>
      <c r="E23" s="1"/>
    </row>
    <row r="24" spans="1:5">
      <c r="A24" s="1" t="s">
        <v>14</v>
      </c>
      <c r="B24" s="1"/>
      <c r="C24" s="1"/>
      <c r="D24" s="1"/>
      <c r="E24" s="1"/>
    </row>
    <row r="25" spans="1:5">
      <c r="A25" s="4" t="s">
        <v>23</v>
      </c>
      <c r="B25" s="2" t="s">
        <v>24</v>
      </c>
      <c r="C25" s="2" t="s">
        <v>10</v>
      </c>
    </row>
    <row r="26" spans="1:5">
      <c r="A26" s="2" t="str">
        <f>DEC2HEX(4+HEX2DEC(A25),8)</f>
        <v>000FEC04</v>
      </c>
      <c r="B26" s="2" t="s">
        <v>25</v>
      </c>
      <c r="C26" s="2" t="s">
        <v>12</v>
      </c>
    </row>
    <row r="27" spans="1:5">
      <c r="A27" s="2" t="str">
        <f t="shared" ref="A27:A28" si="0">DEC2HEX(4+HEX2DEC(A26),8)</f>
        <v>000FEC08</v>
      </c>
      <c r="B27" s="2" t="s">
        <v>26</v>
      </c>
      <c r="C27" s="2" t="s">
        <v>11</v>
      </c>
    </row>
    <row r="28" spans="1:5">
      <c r="A28" s="2" t="str">
        <f t="shared" si="0"/>
        <v>000FEC0C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Edited 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2026-05-10T02:59:36Z</dcterms:modified>
</cp:coreProperties>
</file>