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EA0399D4-C6B1-4D8D-9DD1-C8A78550320E}" xr6:coauthVersionLast="47" xr6:coauthVersionMax="47" xr10:uidLastSave="{00000000-0000-0000-0000-000000000000}"/>
  <bookViews>
    <workbookView xWindow="16457" yWindow="17" windowWidth="16449" windowHeight="17897" xr2:uid="{AEC5C284-D465-413A-9E7D-72791E820892}"/>
  </bookViews>
  <sheets>
    <sheet name="Add Offensive 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1" l="1"/>
  <c r="B35" i="1"/>
  <c r="A20" i="1"/>
  <c r="A21" i="1" s="1"/>
  <c r="A22" i="1" s="1"/>
  <c r="A23" i="1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4" i="1" s="1"/>
  <c r="A25" i="1" s="1"/>
  <c r="A26" i="1" s="1"/>
  <c r="A27" i="1" s="1"/>
  <c r="A28" i="1" s="1"/>
  <c r="A29" i="1" s="1"/>
  <c r="A30" i="1" s="1"/>
  <c r="A31" i="1" s="1"/>
  <c r="C22" i="1" s="1"/>
  <c r="C28" i="1"/>
  <c r="C30" i="1" s="1"/>
  <c r="C10" i="1" l="1"/>
  <c r="C15" i="1"/>
</calcChain>
</file>

<file path=xl/sharedStrings.xml><?xml version="1.0" encoding="utf-8"?>
<sst xmlns="http://schemas.openxmlformats.org/spreadsheetml/2006/main" count="65" uniqueCount="64">
  <si>
    <t>cmp r0, r4</t>
  </si>
  <si>
    <t>040050E1</t>
  </si>
  <si>
    <t xml:space="preserve">bl 0x00087B58 </t>
  </si>
  <si>
    <t>Target Type</t>
  </si>
  <si>
    <t>mov r4, r2</t>
  </si>
  <si>
    <t>0240A0E1</t>
  </si>
  <si>
    <t>notes</t>
  </si>
  <si>
    <t>instruction</t>
  </si>
  <si>
    <t>Hex</t>
  </si>
  <si>
    <t>Address</t>
  </si>
  <si>
    <t>Check self</t>
  </si>
  <si>
    <t>mov r0, 0x12</t>
  </si>
  <si>
    <t>bl 0x000001D8</t>
  </si>
  <si>
    <t>get move Type</t>
  </si>
  <si>
    <t>check type for target</t>
  </si>
  <si>
    <t>1200A0E3</t>
  </si>
  <si>
    <t>mov r6, r0</t>
  </si>
  <si>
    <t>push {r4, r5, r6, lr}</t>
  </si>
  <si>
    <t>mov r5, r1</t>
  </si>
  <si>
    <t>bl 0x00092298</t>
  </si>
  <si>
    <t>mov r0, r5</t>
  </si>
  <si>
    <t>mov r1, r4</t>
  </si>
  <si>
    <t>get pointer</t>
  </si>
  <si>
    <t>cmp r0, r6</t>
  </si>
  <si>
    <t>70402DE9</t>
  </si>
  <si>
    <t>0150A0E1</t>
  </si>
  <si>
    <t>0060A0E1</t>
  </si>
  <si>
    <t>0500A0E1</t>
  </si>
  <si>
    <t>0410A0E1</t>
  </si>
  <si>
    <t>060050E1</t>
  </si>
  <si>
    <t>7040BDE8</t>
  </si>
  <si>
    <t>7080BDE8</t>
  </si>
  <si>
    <t>mov r0, 0x03</t>
  </si>
  <si>
    <t>get move</t>
  </si>
  <si>
    <t>bl 0x00088874</t>
  </si>
  <si>
    <t>check if Pokemon has STAB already</t>
  </si>
  <si>
    <t>movne r1, 0x1800</t>
  </si>
  <si>
    <t>b 0x00083108</t>
  </si>
  <si>
    <t>Add STAB Type 0x4A, 0x47, or 0x5B</t>
  </si>
  <si>
    <t>cmp r9, 0x4A</t>
  </si>
  <si>
    <t>cmpne r9, 0x5B</t>
  </si>
  <si>
    <t>moveq r0, 0x39</t>
  </si>
  <si>
    <t>movne r0, 0x35</t>
  </si>
  <si>
    <t>0x47</t>
  </si>
  <si>
    <t>0300A0E3</t>
  </si>
  <si>
    <t>061BA013</t>
  </si>
  <si>
    <t>4A0059E3</t>
  </si>
  <si>
    <t>5B005913</t>
  </si>
  <si>
    <t>3900A003</t>
  </si>
  <si>
    <t>3500A013</t>
  </si>
  <si>
    <t>001032EC</t>
  </si>
  <si>
    <t>1412FEEB</t>
  </si>
  <si>
    <t>1012FEEB</t>
  </si>
  <si>
    <t>AFF3FBEB</t>
  </si>
  <si>
    <t>DA3BFEEB</t>
  </si>
  <si>
    <t>4F15FEEB</t>
  </si>
  <si>
    <t>BC11DF01</t>
  </si>
  <si>
    <t>mov r1, r6</t>
  </si>
  <si>
    <t>0610A0E1</t>
  </si>
  <si>
    <t>cmp r1, 0x1</t>
  </si>
  <si>
    <t>1200001A</t>
  </si>
  <si>
    <t>0D00001A</t>
  </si>
  <si>
    <t>010051E3</t>
  </si>
  <si>
    <t>6BFFFDEA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</si>
</sst>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/>
    <xf numFmtId="0" fontId="2" fillId="0" borderId="0" xfId="0" quotePrefix="1" applyFont="1"/>
    <xf numFmtId="0" fontId="2" fillId="4" borderId="0" xfId="0" applyFont="1" applyFill="1"/>
    <xf numFmtId="0" fontId="2" fillId="4" borderId="0" xfId="0" quotePrefix="1" applyFont="1" applyFill="1"/>
    <xf numFmtId="0" fontId="2" fillId="3" borderId="0" xfId="0" applyFont="1" applyFill="1"/>
    <xf numFmtId="0" fontId="2" fillId="2" borderId="0" xfId="0" applyFont="1" applyFill="1"/>
    <xf numFmtId="0" fontId="2" fillId="2" borderId="0" xfId="0" quotePrefix="1" applyFont="1" applyFill="1"/>
    <xf numFmtId="0" fontId="3" fillId="0" borderId="0" xfId="0" applyFont="1"/>
    <xf numFmtId="0" fontId="2" fillId="3" borderId="0" xfId="0" quotePrefix="1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A5A1-6F9D-4196-A28D-3D11B1A9E25C}">
  <dimension ref="A1:D35"/>
  <sheetViews>
    <sheetView tabSelected="1" zoomScaleNormal="100" workbookViewId="0">
      <pane ySplit="1" topLeftCell="A8" activePane="bottomLeft" state="frozen"/>
      <selection pane="bottomLeft" activeCell="A31" sqref="A31"/>
    </sheetView>
  </sheetViews>
  <sheetFormatPr defaultRowHeight="15.9"/>
  <cols>
    <col min="1" max="2" width="9.35546875" style="2" bestFit="1" customWidth="1"/>
    <col min="3" max="3" width="26.640625" style="2" bestFit="1" customWidth="1"/>
    <col min="4" max="4" width="50.35546875" style="2" bestFit="1" customWidth="1"/>
    <col min="5" max="5" width="9.140625" style="2"/>
    <col min="6" max="6" width="8.78515625" style="2" bestFit="1" customWidth="1"/>
    <col min="7" max="7" width="2.7109375" style="2" bestFit="1" customWidth="1"/>
    <col min="8" max="8" width="13.78515625" style="2" bestFit="1" customWidth="1"/>
    <col min="9" max="9" width="14.5" style="2" bestFit="1" customWidth="1"/>
    <col min="10" max="16384" width="9.140625" style="2"/>
  </cols>
  <sheetData>
    <row r="1" spans="1:4">
      <c r="A1" s="1" t="s">
        <v>9</v>
      </c>
      <c r="B1" s="1" t="s">
        <v>8</v>
      </c>
      <c r="C1" s="1" t="s">
        <v>7</v>
      </c>
      <c r="D1" s="1" t="s">
        <v>6</v>
      </c>
    </row>
    <row r="2" spans="1:4">
      <c r="A2" s="1" t="s">
        <v>38</v>
      </c>
      <c r="B2" s="3"/>
      <c r="C2" s="3"/>
    </row>
    <row r="3" spans="1:4">
      <c r="A3" s="4" t="s">
        <v>50</v>
      </c>
      <c r="B3" s="2" t="s">
        <v>24</v>
      </c>
      <c r="C3" s="2" t="s">
        <v>17</v>
      </c>
    </row>
    <row r="4" spans="1:4">
      <c r="A4" s="2" t="str">
        <f t="shared" ref="A4:A31" si="0">DEC2HEX(HEX2DEC(A3)+4,8)</f>
        <v>001032F0</v>
      </c>
      <c r="B4" s="2" t="s">
        <v>5</v>
      </c>
      <c r="C4" s="2" t="s">
        <v>4</v>
      </c>
    </row>
    <row r="5" spans="1:4">
      <c r="A5" s="2" t="str">
        <f t="shared" si="0"/>
        <v>001032F4</v>
      </c>
      <c r="B5" s="2" t="s">
        <v>25</v>
      </c>
      <c r="C5" s="2" t="s">
        <v>18</v>
      </c>
    </row>
    <row r="6" spans="1:4">
      <c r="A6" s="2" t="str">
        <f t="shared" si="0"/>
        <v>001032F8</v>
      </c>
      <c r="B6" s="2" t="s">
        <v>26</v>
      </c>
      <c r="C6" s="2" t="s">
        <v>16</v>
      </c>
      <c r="D6" s="2" t="s">
        <v>3</v>
      </c>
    </row>
    <row r="7" spans="1:4">
      <c r="A7" s="5" t="str">
        <f t="shared" si="0"/>
        <v>001032FC</v>
      </c>
      <c r="B7" s="5" t="s">
        <v>44</v>
      </c>
      <c r="C7" s="5" t="s">
        <v>32</v>
      </c>
      <c r="D7" s="5" t="s">
        <v>10</v>
      </c>
    </row>
    <row r="8" spans="1:4">
      <c r="A8" s="5" t="str">
        <f t="shared" si="0"/>
        <v>00103300</v>
      </c>
      <c r="B8" s="5" t="s">
        <v>51</v>
      </c>
      <c r="C8" s="5" t="s">
        <v>2</v>
      </c>
      <c r="D8" s="5"/>
    </row>
    <row r="9" spans="1:4">
      <c r="A9" s="5" t="str">
        <f t="shared" si="0"/>
        <v>00103304</v>
      </c>
      <c r="B9" s="6" t="s">
        <v>1</v>
      </c>
      <c r="C9" s="5" t="s">
        <v>0</v>
      </c>
      <c r="D9" s="5"/>
    </row>
    <row r="10" spans="1:4">
      <c r="A10" s="5" t="str">
        <f t="shared" si="0"/>
        <v>00103308</v>
      </c>
      <c r="B10" s="5" t="s">
        <v>60</v>
      </c>
      <c r="C10" s="5" t="str">
        <f>_xlfn.CONCAT("bne 0x",A$30)</f>
        <v>bne 0x00103358</v>
      </c>
      <c r="D10" s="5"/>
    </row>
    <row r="11" spans="1:4">
      <c r="A11" s="7" t="str">
        <f t="shared" si="0"/>
        <v>0010330C</v>
      </c>
      <c r="B11" s="7" t="s">
        <v>15</v>
      </c>
      <c r="C11" s="7" t="s">
        <v>11</v>
      </c>
      <c r="D11" s="7"/>
    </row>
    <row r="12" spans="1:4">
      <c r="A12" s="7" t="str">
        <f t="shared" si="0"/>
        <v>00103310</v>
      </c>
      <c r="B12" s="7" t="s">
        <v>52</v>
      </c>
      <c r="C12" s="7" t="s">
        <v>2</v>
      </c>
      <c r="D12" s="7" t="s">
        <v>33</v>
      </c>
    </row>
    <row r="13" spans="1:4">
      <c r="A13" s="7" t="str">
        <f t="shared" si="0"/>
        <v>00103314</v>
      </c>
      <c r="B13" s="7" t="s">
        <v>53</v>
      </c>
      <c r="C13" s="7" t="s">
        <v>12</v>
      </c>
      <c r="D13" s="7" t="s">
        <v>13</v>
      </c>
    </row>
    <row r="14" spans="1:4">
      <c r="A14" s="7" t="str">
        <f t="shared" si="0"/>
        <v>00103318</v>
      </c>
      <c r="B14" s="11" t="s">
        <v>29</v>
      </c>
      <c r="C14" s="7" t="s">
        <v>23</v>
      </c>
      <c r="D14" s="7" t="s">
        <v>14</v>
      </c>
    </row>
    <row r="15" spans="1:4">
      <c r="A15" s="7" t="str">
        <f t="shared" si="0"/>
        <v>0010331C</v>
      </c>
      <c r="B15" s="7" t="s">
        <v>61</v>
      </c>
      <c r="C15" s="7" t="str">
        <f>_xlfn.CONCAT("bne 0x",A$30)</f>
        <v>bne 0x00103358</v>
      </c>
      <c r="D15" s="7"/>
    </row>
    <row r="16" spans="1:4">
      <c r="A16" s="12" t="str">
        <f t="shared" si="0"/>
        <v>00103320</v>
      </c>
      <c r="B16" s="12" t="s">
        <v>27</v>
      </c>
      <c r="C16" s="12" t="s">
        <v>20</v>
      </c>
      <c r="D16" s="12" t="s">
        <v>22</v>
      </c>
    </row>
    <row r="17" spans="1:4">
      <c r="A17" s="12" t="str">
        <f t="shared" si="0"/>
        <v>00103324</v>
      </c>
      <c r="B17" s="12" t="s">
        <v>28</v>
      </c>
      <c r="C17" s="12" t="s">
        <v>21</v>
      </c>
      <c r="D17" s="12"/>
    </row>
    <row r="18" spans="1:4">
      <c r="A18" s="12" t="str">
        <f t="shared" si="0"/>
        <v>00103328</v>
      </c>
      <c r="B18" s="12" t="s">
        <v>54</v>
      </c>
      <c r="C18" s="12" t="s">
        <v>19</v>
      </c>
      <c r="D18" s="12"/>
    </row>
    <row r="19" spans="1:4">
      <c r="A19" s="8" t="str">
        <f t="shared" si="0"/>
        <v>0010332C</v>
      </c>
      <c r="B19" s="8" t="s">
        <v>58</v>
      </c>
      <c r="C19" s="8" t="s">
        <v>57</v>
      </c>
      <c r="D19" s="8" t="s">
        <v>35</v>
      </c>
    </row>
    <row r="20" spans="1:4">
      <c r="A20" s="8" t="str">
        <f t="shared" si="0"/>
        <v>00103330</v>
      </c>
      <c r="B20" s="8" t="s">
        <v>55</v>
      </c>
      <c r="C20" s="8" t="s">
        <v>34</v>
      </c>
      <c r="D20" s="8"/>
    </row>
    <row r="21" spans="1:4">
      <c r="A21" s="8" t="str">
        <f t="shared" si="0"/>
        <v>00103334</v>
      </c>
      <c r="B21" s="9" t="s">
        <v>62</v>
      </c>
      <c r="C21" s="8" t="s">
        <v>59</v>
      </c>
      <c r="D21" s="8"/>
    </row>
    <row r="22" spans="1:4">
      <c r="A22" s="8" t="str">
        <f t="shared" si="0"/>
        <v>00103338</v>
      </c>
      <c r="B22" s="9" t="s">
        <v>56</v>
      </c>
      <c r="C22" s="8" t="str">
        <f>_xlfn.CONCAT("ldrheq r1, [pc, #",HEX2DEC(A31)-HEX2DEC(A22)-8,"]")</f>
        <v>ldrheq r1, [pc, #28]</v>
      </c>
      <c r="D22" s="8"/>
    </row>
    <row r="23" spans="1:4">
      <c r="A23" s="8" t="str">
        <f t="shared" si="0"/>
        <v>0010333C</v>
      </c>
      <c r="B23" s="8" t="s">
        <v>45</v>
      </c>
      <c r="C23" s="8" t="s">
        <v>36</v>
      </c>
      <c r="D23" s="8"/>
    </row>
    <row r="24" spans="1:4">
      <c r="A24" s="2" t="str">
        <f t="shared" si="0"/>
        <v>00103340</v>
      </c>
      <c r="B24" s="2" t="s">
        <v>46</v>
      </c>
      <c r="C24" s="2" t="s">
        <v>39</v>
      </c>
    </row>
    <row r="25" spans="1:4">
      <c r="A25" s="2" t="str">
        <f t="shared" si="0"/>
        <v>00103344</v>
      </c>
      <c r="B25" s="2" t="s">
        <v>47</v>
      </c>
      <c r="C25" s="2" t="s">
        <v>40</v>
      </c>
    </row>
    <row r="26" spans="1:4">
      <c r="A26" s="2" t="str">
        <f t="shared" si="0"/>
        <v>00103348</v>
      </c>
      <c r="B26" s="2" t="s">
        <v>48</v>
      </c>
      <c r="C26" s="2" t="s">
        <v>41</v>
      </c>
    </row>
    <row r="27" spans="1:4">
      <c r="A27" s="2" t="str">
        <f t="shared" si="0"/>
        <v>0010334C</v>
      </c>
      <c r="B27" s="2" t="s">
        <v>49</v>
      </c>
      <c r="C27" s="2" t="s">
        <v>42</v>
      </c>
      <c r="D27" s="2" t="s">
        <v>43</v>
      </c>
    </row>
    <row r="28" spans="1:4">
      <c r="A28" s="2" t="str">
        <f t="shared" si="0"/>
        <v>00103350</v>
      </c>
      <c r="B28" s="3" t="s">
        <v>30</v>
      </c>
      <c r="C28" s="2" t="str">
        <f>SUBSTITUTE(C3,"push","pop")</f>
        <v>pop {r4, r5, r6, lr}</v>
      </c>
      <c r="D28" s="10"/>
    </row>
    <row r="29" spans="1:4">
      <c r="A29" s="2" t="str">
        <f t="shared" si="0"/>
        <v>00103354</v>
      </c>
      <c r="B29" s="4" t="s">
        <v>63</v>
      </c>
      <c r="C29" s="2" t="s">
        <v>37</v>
      </c>
      <c r="D29" s="10"/>
    </row>
    <row r="30" spans="1:4">
      <c r="A30" s="2" t="str">
        <f t="shared" si="0"/>
        <v>00103358</v>
      </c>
      <c r="B30" s="2" t="s">
        <v>31</v>
      </c>
      <c r="C30" s="2" t="str">
        <f>SUBSTITUTE(C28,"lr","pc")</f>
        <v>pop {r4, r5, r6, pc}</v>
      </c>
      <c r="D30" s="10"/>
    </row>
    <row r="31" spans="1:4">
      <c r="A31" s="2" t="str">
        <f t="shared" si="0"/>
        <v>0010335C</v>
      </c>
      <c r="B31" s="2">
        <v>55110000</v>
      </c>
    </row>
    <row r="35" spans="2:3">
      <c r="B35" s="2">
        <f>4778/4096</f>
        <v>1.16650390625</v>
      </c>
      <c r="C35" s="2">
        <f>1.5*B35</f>
        <v>1.749755859375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Offensive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2026-05-03T19:29:10Z</dcterms:created>
  <dcterms:modified xsi:type="dcterms:W3CDTF">2026-05-28T22:00:15Z</dcterms:modified>
</cp:coreProperties>
</file>