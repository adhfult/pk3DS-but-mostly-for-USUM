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149FF296-71E4-40E8-AF14-8DB145ED05BD}" xr6:coauthVersionLast="47" xr6:coauthVersionMax="47" xr10:uidLastSave="{00000000-0000-0000-0000-000000000000}"/>
  <bookViews>
    <workbookView xWindow="-16457" yWindow="0" windowWidth="16457" windowHeight="17914" xr2:uid="{C46014B0-03CC-45BF-8ACB-1D3B6210C37F}"/>
  </bookViews>
  <sheets>
    <sheet name="get type effective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A18" i="1"/>
  <c r="A19" i="1" s="1"/>
  <c r="A20" i="1" s="1"/>
  <c r="A21" i="1" s="1"/>
  <c r="A22" i="1" s="1"/>
  <c r="B28" i="1"/>
  <c r="B29" i="1" s="1"/>
  <c r="C12" i="1"/>
  <c r="O1" i="1"/>
  <c r="F31" i="1" s="1"/>
  <c r="O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G9" i="1"/>
  <c r="H9" i="1" s="1"/>
  <c r="C18" i="1" l="1"/>
  <c r="I43" i="1"/>
  <c r="I35" i="1"/>
  <c r="H43" i="1"/>
  <c r="H35" i="1"/>
  <c r="G43" i="1"/>
  <c r="G35" i="1"/>
  <c r="F43" i="1"/>
  <c r="F35" i="1"/>
  <c r="E43" i="1"/>
  <c r="C33" i="1"/>
  <c r="C41" i="1"/>
  <c r="G32" i="1"/>
  <c r="S48" i="1"/>
  <c r="B41" i="1"/>
  <c r="F32" i="1"/>
  <c r="R48" i="1"/>
  <c r="S40" i="1"/>
  <c r="E32" i="1"/>
  <c r="Q48" i="1"/>
  <c r="R40" i="1"/>
  <c r="D32" i="1"/>
  <c r="P48" i="1"/>
  <c r="Q40" i="1"/>
  <c r="C32" i="1"/>
  <c r="O48" i="1"/>
  <c r="P40" i="1"/>
  <c r="L46" i="1"/>
  <c r="M38" i="1"/>
  <c r="K46" i="1"/>
  <c r="L38" i="1"/>
  <c r="Q37" i="1"/>
  <c r="M46" i="1"/>
  <c r="C40" i="1"/>
  <c r="J46" i="1"/>
  <c r="I46" i="1"/>
  <c r="P37" i="1"/>
  <c r="H46" i="1"/>
  <c r="O37" i="1"/>
  <c r="N37" i="1"/>
  <c r="E44" i="1"/>
  <c r="K35" i="1"/>
  <c r="M45" i="1"/>
  <c r="D44" i="1"/>
  <c r="J35" i="1"/>
  <c r="C4" i="1"/>
  <c r="E33" i="1"/>
  <c r="M37" i="1"/>
  <c r="K34" i="1"/>
  <c r="B32" i="1"/>
  <c r="N48" i="1"/>
  <c r="L45" i="1"/>
  <c r="D43" i="1"/>
  <c r="B40" i="1"/>
  <c r="L37" i="1"/>
  <c r="J34" i="1"/>
  <c r="S31" i="1"/>
  <c r="M48" i="1"/>
  <c r="K45" i="1"/>
  <c r="C43" i="1"/>
  <c r="S39" i="1"/>
  <c r="K37" i="1"/>
  <c r="I34" i="1"/>
  <c r="E31" i="1"/>
  <c r="L48" i="1"/>
  <c r="J45" i="1"/>
  <c r="B43" i="1"/>
  <c r="R39" i="1"/>
  <c r="J37" i="1"/>
  <c r="H34" i="1"/>
  <c r="D31" i="1"/>
  <c r="Q47" i="1"/>
  <c r="I45" i="1"/>
  <c r="G42" i="1"/>
  <c r="Q39" i="1"/>
  <c r="O36" i="1"/>
  <c r="G34" i="1"/>
  <c r="C31" i="1"/>
  <c r="P47" i="1"/>
  <c r="H45" i="1"/>
  <c r="F42" i="1"/>
  <c r="P39" i="1"/>
  <c r="N36" i="1"/>
  <c r="F34" i="1"/>
  <c r="B31" i="1"/>
  <c r="O47" i="1"/>
  <c r="G45" i="1"/>
  <c r="E42" i="1"/>
  <c r="O39" i="1"/>
  <c r="M36" i="1"/>
  <c r="E34" i="1"/>
  <c r="N47" i="1"/>
  <c r="F45" i="1"/>
  <c r="D42" i="1"/>
  <c r="N39" i="1"/>
  <c r="L36" i="1"/>
  <c r="D34" i="1"/>
  <c r="M47" i="1"/>
  <c r="K44" i="1"/>
  <c r="C42" i="1"/>
  <c r="S38" i="1"/>
  <c r="K36" i="1"/>
  <c r="I33" i="1"/>
  <c r="L47" i="1"/>
  <c r="J44" i="1"/>
  <c r="B42" i="1"/>
  <c r="R38" i="1"/>
  <c r="J36" i="1"/>
  <c r="H33" i="1"/>
  <c r="K47" i="1"/>
  <c r="I44" i="1"/>
  <c r="S41" i="1"/>
  <c r="Q38" i="1"/>
  <c r="I36" i="1"/>
  <c r="G33" i="1"/>
  <c r="J47" i="1"/>
  <c r="H44" i="1"/>
  <c r="R41" i="1"/>
  <c r="P38" i="1"/>
  <c r="H36" i="1"/>
  <c r="F33" i="1"/>
  <c r="O46" i="1"/>
  <c r="G44" i="1"/>
  <c r="E41" i="1"/>
  <c r="O38" i="1"/>
  <c r="M35" i="1"/>
  <c r="N46" i="1"/>
  <c r="F44" i="1"/>
  <c r="D41" i="1"/>
  <c r="N38" i="1"/>
  <c r="L35" i="1"/>
  <c r="D33" i="1"/>
  <c r="J48" i="1"/>
  <c r="B44" i="1"/>
  <c r="J38" i="1"/>
  <c r="G38" i="1"/>
  <c r="I47" i="1"/>
  <c r="C44" i="1"/>
  <c r="O40" i="1"/>
  <c r="I37" i="1"/>
  <c r="E35" i="1"/>
  <c r="C34" i="1"/>
  <c r="F46" i="1"/>
  <c r="P41" i="1"/>
  <c r="L39" i="1"/>
  <c r="D35" i="1"/>
  <c r="I48" i="1"/>
  <c r="E46" i="1"/>
  <c r="C45" i="1"/>
  <c r="S43" i="1"/>
  <c r="O41" i="1"/>
  <c r="M40" i="1"/>
  <c r="K39" i="1"/>
  <c r="I38" i="1"/>
  <c r="E36" i="1"/>
  <c r="C35" i="1"/>
  <c r="S33" i="1"/>
  <c r="Q32" i="1"/>
  <c r="O31" i="1"/>
  <c r="F47" i="1"/>
  <c r="P42" i="1"/>
  <c r="F37" i="1"/>
  <c r="G48" i="1"/>
  <c r="C46" i="1"/>
  <c r="Q43" i="1"/>
  <c r="M41" i="1"/>
  <c r="I39" i="1"/>
  <c r="C36" i="1"/>
  <c r="O32" i="1"/>
  <c r="F48" i="1"/>
  <c r="R44" i="1"/>
  <c r="P43" i="1"/>
  <c r="J40" i="1"/>
  <c r="H39" i="1"/>
  <c r="F38" i="1"/>
  <c r="D37" i="1"/>
  <c r="B36" i="1"/>
  <c r="R34" i="1"/>
  <c r="P33" i="1"/>
  <c r="N32" i="1"/>
  <c r="L31" i="1"/>
  <c r="E48" i="1"/>
  <c r="C47" i="1"/>
  <c r="S45" i="1"/>
  <c r="Q44" i="1"/>
  <c r="O43" i="1"/>
  <c r="M42" i="1"/>
  <c r="K41" i="1"/>
  <c r="I40" i="1"/>
  <c r="G39" i="1"/>
  <c r="E38" i="1"/>
  <c r="C37" i="1"/>
  <c r="S35" i="1"/>
  <c r="Q34" i="1"/>
  <c r="O33" i="1"/>
  <c r="M32" i="1"/>
  <c r="K31" i="1"/>
  <c r="B33" i="1"/>
  <c r="E45" i="1"/>
  <c r="Q41" i="1"/>
  <c r="K38" i="1"/>
  <c r="S32" i="1"/>
  <c r="D47" i="1"/>
  <c r="N42" i="1"/>
  <c r="B47" i="1"/>
  <c r="P44" i="1"/>
  <c r="N43" i="1"/>
  <c r="J41" i="1"/>
  <c r="H40" i="1"/>
  <c r="F39" i="1"/>
  <c r="B37" i="1"/>
  <c r="R35" i="1"/>
  <c r="P34" i="1"/>
  <c r="N33" i="1"/>
  <c r="L32" i="1"/>
  <c r="J31" i="1"/>
  <c r="C48" i="1"/>
  <c r="Q45" i="1"/>
  <c r="M43" i="1"/>
  <c r="I41" i="1"/>
  <c r="S36" i="1"/>
  <c r="R46" i="1"/>
  <c r="N44" i="1"/>
  <c r="J42" i="1"/>
  <c r="D39" i="1"/>
  <c r="R36" i="1"/>
  <c r="N34" i="1"/>
  <c r="J32" i="1"/>
  <c r="S47" i="1"/>
  <c r="Q46" i="1"/>
  <c r="O45" i="1"/>
  <c r="M44" i="1"/>
  <c r="K43" i="1"/>
  <c r="I42" i="1"/>
  <c r="G41" i="1"/>
  <c r="E40" i="1"/>
  <c r="C39" i="1"/>
  <c r="S37" i="1"/>
  <c r="Q36" i="1"/>
  <c r="O35" i="1"/>
  <c r="M34" i="1"/>
  <c r="K33" i="1"/>
  <c r="I32" i="1"/>
  <c r="G31" i="1"/>
  <c r="R31" i="1"/>
  <c r="K48" i="1"/>
  <c r="G46" i="1"/>
  <c r="S42" i="1"/>
  <c r="M39" i="1"/>
  <c r="G36" i="1"/>
  <c r="Q31" i="1"/>
  <c r="H47" i="1"/>
  <c r="D45" i="1"/>
  <c r="R42" i="1"/>
  <c r="N40" i="1"/>
  <c r="H37" i="1"/>
  <c r="F36" i="1"/>
  <c r="B34" i="1"/>
  <c r="R32" i="1"/>
  <c r="P31" i="1"/>
  <c r="G47" i="1"/>
  <c r="Q42" i="1"/>
  <c r="G37" i="1"/>
  <c r="H48" i="1"/>
  <c r="D46" i="1"/>
  <c r="B45" i="1"/>
  <c r="R43" i="1"/>
  <c r="N41" i="1"/>
  <c r="L40" i="1"/>
  <c r="J39" i="1"/>
  <c r="H38" i="1"/>
  <c r="D36" i="1"/>
  <c r="B35" i="1"/>
  <c r="R33" i="1"/>
  <c r="P32" i="1"/>
  <c r="N31" i="1"/>
  <c r="E47" i="1"/>
  <c r="S44" i="1"/>
  <c r="O42" i="1"/>
  <c r="K40" i="1"/>
  <c r="E37" i="1"/>
  <c r="S34" i="1"/>
  <c r="Q33" i="1"/>
  <c r="M31" i="1"/>
  <c r="B46" i="1"/>
  <c r="L41" i="1"/>
  <c r="D48" i="1"/>
  <c r="R45" i="1"/>
  <c r="L42" i="1"/>
  <c r="D38" i="1"/>
  <c r="S46" i="1"/>
  <c r="O44" i="1"/>
  <c r="K42" i="1"/>
  <c r="G40" i="1"/>
  <c r="E39" i="1"/>
  <c r="C38" i="1"/>
  <c r="Q35" i="1"/>
  <c r="O34" i="1"/>
  <c r="M33" i="1"/>
  <c r="K32" i="1"/>
  <c r="I31" i="1"/>
  <c r="B48" i="1"/>
  <c r="P45" i="1"/>
  <c r="L43" i="1"/>
  <c r="H41" i="1"/>
  <c r="F40" i="1"/>
  <c r="B38" i="1"/>
  <c r="P35" i="1"/>
  <c r="L33" i="1"/>
  <c r="H31" i="1"/>
  <c r="R47" i="1"/>
  <c r="P46" i="1"/>
  <c r="N45" i="1"/>
  <c r="L44" i="1"/>
  <c r="J43" i="1"/>
  <c r="H42" i="1"/>
  <c r="F41" i="1"/>
  <c r="D40" i="1"/>
  <c r="B39" i="1"/>
  <c r="R37" i="1"/>
  <c r="P36" i="1"/>
  <c r="N35" i="1"/>
  <c r="L34" i="1"/>
  <c r="J33" i="1"/>
  <c r="H32" i="1"/>
</calcChain>
</file>

<file path=xl/sharedStrings.xml><?xml version="1.0" encoding="utf-8"?>
<sst xmlns="http://schemas.openxmlformats.org/spreadsheetml/2006/main" count="51" uniqueCount="43">
  <si>
    <t>Type Chart</t>
  </si>
  <si>
    <t>0014285E</t>
  </si>
  <si>
    <t>5BB558</t>
  </si>
  <si>
    <t>subseq fp, fp, r8, asr r5</t>
  </si>
  <si>
    <t>58B55B00</t>
  </si>
  <si>
    <t>bx lr</t>
  </si>
  <si>
    <t>1EFF2FE1</t>
  </si>
  <si>
    <t>1040BDE8</t>
  </si>
  <si>
    <t>moveq r0, 0x6</t>
  </si>
  <si>
    <t>0600A003</t>
  </si>
  <si>
    <t>cmp r0, 0x2</t>
  </si>
  <si>
    <t>020050E3</t>
  </si>
  <si>
    <t>moveq r0, 0x7</t>
  </si>
  <si>
    <t>0700A003</t>
  </si>
  <si>
    <t>FE FF FF EA</t>
  </si>
  <si>
    <t>cmp r0, 0x4</t>
  </si>
  <si>
    <t>040050E3</t>
  </si>
  <si>
    <t>load effectiveness</t>
  </si>
  <si>
    <t>ldrb r0, [r4, r1]</t>
  </si>
  <si>
    <t>0100D4E7</t>
  </si>
  <si>
    <t>add 0x02*r0 to r4</t>
  </si>
  <si>
    <t>add r4, r4, r0, lsl #1</t>
  </si>
  <si>
    <t>804084E0</t>
  </si>
  <si>
    <t>add 0x10*r0 to r4</t>
  </si>
  <si>
    <t>add r4, r4, r0, lsl #4</t>
  </si>
  <si>
    <t>004284E0</t>
  </si>
  <si>
    <t>get offset of table</t>
  </si>
  <si>
    <t>20409FE5</t>
  </si>
  <si>
    <t>push {r4, lr}</t>
  </si>
  <si>
    <t>10402DE9</t>
  </si>
  <si>
    <t>000FDEB8</t>
  </si>
  <si>
    <t>^paste from file here</t>
  </si>
  <si>
    <t>Table Start is 0x5BB558 (in load), 0x4BB558 in file</t>
  </si>
  <si>
    <t>Get Type Effectiveness of r0 on r1</t>
  </si>
  <si>
    <t>04 04 04 04 04 02 04 00 02 04 04 04 04 04 04 04 04 04 08 04 02 02 04 08 02 00 08 04 04 04 04 02 08 04 08 02 04 08 04 04 04 02 08 04 02 04 04 08 02 04 04 04 04 04 04 04 04 02 02 02 04 02 00 04 04 08 04 04 04 04 04 08 04 04 00 08 04 08 02 04 08 08 04 02 08 04 04 04 04 04 04 02 08 04 02 04 08 04 02 08 04 04 04 04 08 04 04 04 04 02 02 02 04 04 04 02 02 02 04 08 04 08 04 04 08 02 00 04 04 04 04 04 04 08 04 04 04 04 04 08 04 04 02 04 04 04 04 04 04 08 04 04 02 02 02 04 02 04 08 04 04 08 04 04 04 04 04 02 08 04 08 02 02 08 04 04 08 02 04 04 04 04 04 04 08 08 04 04 04 08 02 02 04 04 04 02 04 04 04 04 02 02 08 08 02 04 02 02 08 02 04 04 04 02 04 04 04 04 08 04 00 04 04 04 04 04 08 02 02 04 04 02 04 04 04 08 04 08 04 04 04 04 02 04 04 04 04 02 04 04 00 04 04 04 08 04 08 04 04 04 02 02 02 08 04 04 02 08 04 04 04 04 04 04 04 04 04 04 02 04 04 04 04 04 04 08 04 00 04 02 04 04 04 04 04 08 04 04 04 04 04 08 04 04 02 02 04 08 04 02 04 04 04 04 02 02 04 04 04 04 04 08 08 04</t>
  </si>
  <si>
    <t>Comment</t>
  </si>
  <si>
    <t>instruction</t>
  </si>
  <si>
    <t>Hex</t>
  </si>
  <si>
    <t>Address</t>
  </si>
  <si>
    <t>Get Type Effectiveness of r0 on r1, raw</t>
  </si>
  <si>
    <t>000FD1A8</t>
  </si>
  <si>
    <t>304D9FE5</t>
  </si>
  <si>
    <t>1080BDE8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</si>
</sst>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5BA8-6FB9-4B26-B00D-CDAB66FF2C3C}">
  <dimension ref="A1:S48"/>
  <sheetViews>
    <sheetView tabSelected="1" workbookViewId="0">
      <selection activeCell="F18" sqref="F18"/>
    </sheetView>
  </sheetViews>
  <sheetFormatPr defaultRowHeight="15.9"/>
  <cols>
    <col min="1" max="1" width="10.35546875" style="2" customWidth="1"/>
    <col min="2" max="2" width="9.7109375" style="2" customWidth="1"/>
    <col min="3" max="3" width="27.85546875" style="2" bestFit="1" customWidth="1"/>
    <col min="4" max="4" width="21.35546875" style="2" bestFit="1" customWidth="1"/>
    <col min="5" max="16384" width="9.140625" style="2"/>
  </cols>
  <sheetData>
    <row r="1" spans="1:16">
      <c r="A1" s="1" t="s">
        <v>38</v>
      </c>
      <c r="B1" s="1" t="s">
        <v>37</v>
      </c>
      <c r="C1" s="1" t="s">
        <v>36</v>
      </c>
      <c r="D1" s="1" t="s">
        <v>35</v>
      </c>
      <c r="O1" s="2" t="str">
        <f>SUBSTITUTE(P1," ","")</f>
        <v>040404040402040002040404040404040404080402020408020008040404040208040802040804040402080402040408020404040404040404020202040200040408040404040408040400080408020408080402080404040404040208040204080402080404040408040404040202020404040202020408040804040802000404040404040804040404040804040204040404040408040402020204020408040408040404040402080408020208040408020404040404040808040404080202040404020404040402020808020402020802040404020404040408040004040404040802020404020404040804080404040402040404040204040004040408040804040402020208040402080404040404040404040402040404040404080400040204040404040804040404040804040202040804020404040402020404040404080804</v>
      </c>
      <c r="P1" s="2" t="s">
        <v>34</v>
      </c>
    </row>
    <row r="2" spans="1:16">
      <c r="A2" s="1" t="s">
        <v>33</v>
      </c>
      <c r="G2" s="2" t="s">
        <v>32</v>
      </c>
      <c r="O2" s="2" t="str">
        <f>SUBSTITUTE(SUBSTITUTE(SUBSTITUTE(SUBSTITUTE(SUBSTITUTE(P1," ",","),"04",1),"00",0),"02",0.5),"08",2)</f>
        <v>1,1,1,1,1,0.5,1,0,0.5,1,1,1,1,1,1,1,1,1,2,1,0.5,0.5,1,2,0.5,0,2,1,1,1,1,0.5,2,1,2,0.5,1,2,1,1,1,0.5,2,1,0.5,1,1,2,0.5,1,1,1,1,1,1,1,1,0.5,0.5,0.5,1,0.5,0,1,1,2,1,1,1,1,1,2,1,1,0,2,1,2,0.5,1,2,2,1,0.5,2,1,1,1,1,1,1,0.5,2,1,0.5,1,2,1,0.5,2,1,1,1,1,2,1,1,1,1,0.5,0.5,0.5,1,1,1,0.5,0.5,0.5,1,2,1,2,1,1,2,0.5,0,1,1,1,1,1,1,2,1,1,1,1,1,2,1,1,0.5,1,1,1,1,1,1,2,1,1,0.5,0.5,0.5,1,0.5,1,2,1,1,2,1,1,1,1,1,0.5,2,1,2,0.5,0.5,2,1,1,2,0.5,1,1,1,1,1,1,2,2,1,1,1,2,0.5,0.5,1,1,1,0.5,1,1,1,1,0.5,0.5,2,2,0.5,1,0.5,0.5,2,0.5,1,1,1,0.5,1,1,1,1,2,1,0,1,1,1,1,1,2,0.5,0.5,1,1,0.5,1,1,1,2,1,2,1,1,1,1,0.5,1,1,1,1,0.5,1,1,0,1,1,1,2,1,2,1,1,1,0.5,0.5,0.5,2,1,1,0.5,2,1,1,1,1,1,1,1,1,1,1,0.5,1,1,1,1,1,1,2,1,0,1,0.5,1,1,1,1,1,2,1,1,1,1,1,2,1,1,0.5,0.5,1,2,1,0.5,1,1,1,1,0.5,0.5,1,1,1,1,1,2,2,1</v>
      </c>
      <c r="P2" s="2" t="s">
        <v>31</v>
      </c>
    </row>
    <row r="3" spans="1:16">
      <c r="A3" s="3" t="s">
        <v>30</v>
      </c>
      <c r="B3" s="2" t="s">
        <v>29</v>
      </c>
      <c r="C3" s="2" t="s">
        <v>28</v>
      </c>
    </row>
    <row r="4" spans="1:16">
      <c r="A4" s="2" t="str">
        <f t="shared" ref="A4:A13" si="0">DEC2HEX(HEX2DEC(A3)+4,8)</f>
        <v>000FDEBC</v>
      </c>
      <c r="B4" s="2" t="s">
        <v>27</v>
      </c>
      <c r="C4" s="2" t="str">
        <f>_xlfn.CONCAT("ldr r4, [pc, 0x",DEC2HEX(HEX2DEC(A$14)-HEX2DEC(A4)-8,3),"]")</f>
        <v>ldr r4, [pc, 0x020]</v>
      </c>
      <c r="D4" s="2" t="s">
        <v>26</v>
      </c>
    </row>
    <row r="5" spans="1:16">
      <c r="A5" s="2" t="str">
        <f t="shared" si="0"/>
        <v>000FDEC0</v>
      </c>
      <c r="B5" s="3" t="s">
        <v>25</v>
      </c>
      <c r="C5" s="2" t="s">
        <v>24</v>
      </c>
      <c r="D5" s="2" t="s">
        <v>23</v>
      </c>
    </row>
    <row r="6" spans="1:16">
      <c r="A6" s="2" t="str">
        <f t="shared" si="0"/>
        <v>000FDEC4</v>
      </c>
      <c r="B6" s="3" t="s">
        <v>22</v>
      </c>
      <c r="C6" s="2" t="s">
        <v>21</v>
      </c>
      <c r="D6" s="2" t="s">
        <v>20</v>
      </c>
    </row>
    <row r="7" spans="1:16">
      <c r="A7" s="2" t="str">
        <f t="shared" si="0"/>
        <v>000FDEC8</v>
      </c>
      <c r="B7" s="2" t="s">
        <v>19</v>
      </c>
      <c r="C7" s="2" t="s">
        <v>18</v>
      </c>
      <c r="D7" s="2" t="s">
        <v>17</v>
      </c>
    </row>
    <row r="8" spans="1:16">
      <c r="A8" s="2" t="str">
        <f t="shared" si="0"/>
        <v>000FDECC</v>
      </c>
      <c r="B8" s="3" t="s">
        <v>16</v>
      </c>
      <c r="C8" s="2" t="s">
        <v>15</v>
      </c>
      <c r="E8" s="2" t="s">
        <v>14</v>
      </c>
    </row>
    <row r="9" spans="1:16">
      <c r="A9" s="2" t="str">
        <f t="shared" si="0"/>
        <v>000FDED0</v>
      </c>
      <c r="B9" s="2" t="s">
        <v>13</v>
      </c>
      <c r="C9" s="2" t="s">
        <v>12</v>
      </c>
      <c r="G9" s="2">
        <f>4+18*12</f>
        <v>220</v>
      </c>
      <c r="H9" s="2" t="str">
        <f>DEC2HEX(G9)</f>
        <v>DC</v>
      </c>
    </row>
    <row r="10" spans="1:16">
      <c r="A10" s="2" t="str">
        <f t="shared" si="0"/>
        <v>000FDED4</v>
      </c>
      <c r="B10" s="3" t="s">
        <v>11</v>
      </c>
      <c r="C10" s="2" t="s">
        <v>10</v>
      </c>
    </row>
    <row r="11" spans="1:16">
      <c r="A11" s="2" t="str">
        <f t="shared" si="0"/>
        <v>000FDED8</v>
      </c>
      <c r="B11" s="2" t="s">
        <v>9</v>
      </c>
      <c r="C11" s="2" t="s">
        <v>8</v>
      </c>
    </row>
    <row r="12" spans="1:16">
      <c r="A12" s="2" t="str">
        <f t="shared" si="0"/>
        <v>000FDEDC</v>
      </c>
      <c r="B12" s="2" t="s">
        <v>7</v>
      </c>
      <c r="C12" s="2" t="str">
        <f>SUBSTITUTE(C3,"push","pop")</f>
        <v>pop {r4, lr}</v>
      </c>
    </row>
    <row r="13" spans="1:16">
      <c r="A13" s="2" t="str">
        <f t="shared" si="0"/>
        <v>000FDEE0</v>
      </c>
      <c r="B13" s="2" t="s">
        <v>6</v>
      </c>
      <c r="C13" s="2" t="s">
        <v>5</v>
      </c>
    </row>
    <row r="14" spans="1:16">
      <c r="A14" s="2" t="str">
        <f>DEC2HEX(HEX2DEC(A13)+4,8)</f>
        <v>000FDEE4</v>
      </c>
      <c r="B14" s="3" t="s">
        <v>4</v>
      </c>
      <c r="C14" s="2" t="s">
        <v>3</v>
      </c>
      <c r="E14" s="2" t="s">
        <v>2</v>
      </c>
    </row>
    <row r="16" spans="1:16">
      <c r="A16" s="1" t="s">
        <v>39</v>
      </c>
    </row>
    <row r="17" spans="1:19">
      <c r="A17" s="3" t="s">
        <v>40</v>
      </c>
      <c r="B17" s="2" t="s">
        <v>29</v>
      </c>
      <c r="C17" s="2" t="s">
        <v>28</v>
      </c>
    </row>
    <row r="18" spans="1:19">
      <c r="A18" s="2" t="str">
        <f t="shared" ref="A18:A22" si="1">DEC2HEX(HEX2DEC(A17)+4,8)</f>
        <v>000FD1AC</v>
      </c>
      <c r="B18" s="2" t="s">
        <v>41</v>
      </c>
      <c r="C18" s="2" t="str">
        <f>_xlfn.CONCAT("ldr r4, [pc, 0x",DEC2HEX(HEX2DEC(A$14)-HEX2DEC(A18)-8,3),"]")</f>
        <v>ldr r4, [pc, 0xD30]</v>
      </c>
    </row>
    <row r="19" spans="1:19">
      <c r="A19" s="2" t="str">
        <f t="shared" si="1"/>
        <v>000FD1B0</v>
      </c>
      <c r="B19" s="3" t="s">
        <v>25</v>
      </c>
      <c r="C19" s="2" t="s">
        <v>24</v>
      </c>
    </row>
    <row r="20" spans="1:19">
      <c r="A20" s="2" t="str">
        <f t="shared" si="1"/>
        <v>000FD1B4</v>
      </c>
      <c r="B20" s="3" t="s">
        <v>22</v>
      </c>
      <c r="C20" s="2" t="s">
        <v>21</v>
      </c>
    </row>
    <row r="21" spans="1:19">
      <c r="A21" s="2" t="str">
        <f t="shared" si="1"/>
        <v>000FD1B8</v>
      </c>
      <c r="B21" s="2" t="s">
        <v>19</v>
      </c>
      <c r="C21" s="2" t="s">
        <v>18</v>
      </c>
    </row>
    <row r="22" spans="1:19">
      <c r="A22" s="2" t="str">
        <f t="shared" si="1"/>
        <v>000FD1BC</v>
      </c>
      <c r="B22" s="2" t="s">
        <v>42</v>
      </c>
      <c r="C22" s="2" t="str">
        <f>SUBSTITUTE(SUBSTITUTE(C17,"push","pop"),"lr","pc")</f>
        <v>pop {r4, pc}</v>
      </c>
    </row>
    <row r="28" spans="1:19">
      <c r="A28" s="2" t="s">
        <v>1</v>
      </c>
      <c r="B28" s="2" t="str">
        <f>SUBSTITUTE(SUBSTITUTE(SUBSTITUTE(P1," ",""),"02","06"),"04","07")</f>
        <v>070707070706070006070707070707070707080706060708060008070707070608070806070807070706080706070708060707070707070707060606070600070708070707070708070700080708060708080706080707070707070608070607080706080707070708070707070606060707070606060708070807070806000707070707070807070707070807070607070707070708070706060607060708070708070707070706080708060608070708060707070707070808070707080606070707060707070706060808060706060806070707060707070708070007070707070806060707060707070807080707070706070707070607070007070708070807070706060608070706080707070707070707070706070707070707080700070607070707070807070707070807070606070807060707070706060707070707080807</v>
      </c>
      <c r="C28" s="2" t="s">
        <v>0</v>
      </c>
    </row>
    <row r="29" spans="1:19">
      <c r="B29" s="2" t="str">
        <f>DEC2HEX(LEN(B28)/2)</f>
        <v>144</v>
      </c>
    </row>
    <row r="30" spans="1:19">
      <c r="B30" s="4">
        <v>0</v>
      </c>
      <c r="C30" s="4">
        <v>1</v>
      </c>
      <c r="D30" s="4">
        <v>2</v>
      </c>
      <c r="E30" s="4">
        <v>3</v>
      </c>
      <c r="F30" s="4">
        <v>4</v>
      </c>
      <c r="G30" s="4">
        <v>5</v>
      </c>
      <c r="H30" s="4">
        <v>6</v>
      </c>
      <c r="I30" s="4">
        <v>7</v>
      </c>
      <c r="J30" s="4">
        <v>8</v>
      </c>
      <c r="K30" s="4">
        <v>9</v>
      </c>
      <c r="L30" s="4">
        <v>10</v>
      </c>
      <c r="M30" s="4">
        <v>11</v>
      </c>
      <c r="N30" s="4">
        <v>12</v>
      </c>
      <c r="O30" s="4">
        <v>13</v>
      </c>
      <c r="P30" s="4">
        <v>14</v>
      </c>
      <c r="Q30" s="4">
        <v>15</v>
      </c>
      <c r="R30" s="4">
        <v>16</v>
      </c>
      <c r="S30" s="4">
        <v>17</v>
      </c>
    </row>
    <row r="31" spans="1:19">
      <c r="A31" s="5">
        <v>0</v>
      </c>
      <c r="B31" s="2" t="str">
        <f t="shared" ref="B31:K40" si="2">MID($O$1,2*($A31+18*B$30)+1,2)</f>
        <v>04</v>
      </c>
      <c r="C31" s="2" t="str">
        <f t="shared" si="2"/>
        <v>08</v>
      </c>
      <c r="D31" s="2" t="str">
        <f t="shared" si="2"/>
        <v>04</v>
      </c>
      <c r="E31" s="2" t="str">
        <f t="shared" si="2"/>
        <v>04</v>
      </c>
      <c r="F31" s="2" t="str">
        <f t="shared" si="2"/>
        <v>04</v>
      </c>
      <c r="G31" s="2" t="str">
        <f t="shared" si="2"/>
        <v>04</v>
      </c>
      <c r="H31" s="2" t="str">
        <f t="shared" si="2"/>
        <v>04</v>
      </c>
      <c r="I31" s="2" t="str">
        <f t="shared" si="2"/>
        <v>00</v>
      </c>
      <c r="J31" s="2" t="str">
        <f t="shared" si="2"/>
        <v>04</v>
      </c>
      <c r="K31" s="2" t="str">
        <f t="shared" si="2"/>
        <v>04</v>
      </c>
      <c r="L31" s="2" t="str">
        <f t="shared" ref="L31:S40" si="3">MID($O$1,2*($A31+18*L$30)+1,2)</f>
        <v>04</v>
      </c>
      <c r="M31" s="2" t="str">
        <f t="shared" si="3"/>
        <v>04</v>
      </c>
      <c r="N31" s="2" t="str">
        <f t="shared" si="3"/>
        <v>04</v>
      </c>
      <c r="O31" s="2" t="str">
        <f t="shared" si="3"/>
        <v>04</v>
      </c>
      <c r="P31" s="2" t="str">
        <f t="shared" si="3"/>
        <v>04</v>
      </c>
      <c r="Q31" s="2" t="str">
        <f t="shared" si="3"/>
        <v>04</v>
      </c>
      <c r="R31" s="2" t="str">
        <f t="shared" si="3"/>
        <v>04</v>
      </c>
      <c r="S31" s="2" t="str">
        <f t="shared" si="3"/>
        <v>04</v>
      </c>
    </row>
    <row r="32" spans="1:19">
      <c r="A32" s="5">
        <v>1</v>
      </c>
      <c r="B32" s="2" t="str">
        <f t="shared" si="2"/>
        <v>04</v>
      </c>
      <c r="C32" s="2" t="str">
        <f t="shared" si="2"/>
        <v>04</v>
      </c>
      <c r="D32" s="2" t="str">
        <f t="shared" si="2"/>
        <v>08</v>
      </c>
      <c r="E32" s="2" t="str">
        <f t="shared" si="2"/>
        <v>04</v>
      </c>
      <c r="F32" s="2" t="str">
        <f t="shared" si="2"/>
        <v>04</v>
      </c>
      <c r="G32" s="2" t="str">
        <f t="shared" si="2"/>
        <v>02</v>
      </c>
      <c r="H32" s="2" t="str">
        <f t="shared" si="2"/>
        <v>02</v>
      </c>
      <c r="I32" s="2" t="str">
        <f t="shared" si="2"/>
        <v>04</v>
      </c>
      <c r="J32" s="2" t="str">
        <f t="shared" si="2"/>
        <v>04</v>
      </c>
      <c r="K32" s="2" t="str">
        <f t="shared" si="2"/>
        <v>04</v>
      </c>
      <c r="L32" s="2" t="str">
        <f t="shared" si="3"/>
        <v>04</v>
      </c>
      <c r="M32" s="2" t="str">
        <f t="shared" si="3"/>
        <v>04</v>
      </c>
      <c r="N32" s="2" t="str">
        <f t="shared" si="3"/>
        <v>04</v>
      </c>
      <c r="O32" s="2" t="str">
        <f t="shared" si="3"/>
        <v>08</v>
      </c>
      <c r="P32" s="2" t="str">
        <f t="shared" si="3"/>
        <v>04</v>
      </c>
      <c r="Q32" s="2" t="str">
        <f t="shared" si="3"/>
        <v>04</v>
      </c>
      <c r="R32" s="2" t="str">
        <f t="shared" si="3"/>
        <v>02</v>
      </c>
      <c r="S32" s="2" t="str">
        <f t="shared" si="3"/>
        <v>08</v>
      </c>
    </row>
    <row r="33" spans="1:19">
      <c r="A33" s="5">
        <v>2</v>
      </c>
      <c r="B33" s="2" t="str">
        <f t="shared" si="2"/>
        <v>04</v>
      </c>
      <c r="C33" s="2" t="str">
        <f t="shared" si="2"/>
        <v>02</v>
      </c>
      <c r="D33" s="2" t="str">
        <f t="shared" si="2"/>
        <v>04</v>
      </c>
      <c r="E33" s="2" t="str">
        <f t="shared" si="2"/>
        <v>04</v>
      </c>
      <c r="F33" s="2" t="str">
        <f t="shared" si="2"/>
        <v>00</v>
      </c>
      <c r="G33" s="2" t="str">
        <f t="shared" si="2"/>
        <v>08</v>
      </c>
      <c r="H33" s="2" t="str">
        <f t="shared" si="2"/>
        <v>02</v>
      </c>
      <c r="I33" s="2" t="str">
        <f t="shared" si="2"/>
        <v>04</v>
      </c>
      <c r="J33" s="2" t="str">
        <f t="shared" si="2"/>
        <v>04</v>
      </c>
      <c r="K33" s="2" t="str">
        <f t="shared" si="2"/>
        <v>04</v>
      </c>
      <c r="L33" s="2" t="str">
        <f t="shared" si="3"/>
        <v>04</v>
      </c>
      <c r="M33" s="2" t="str">
        <f t="shared" si="3"/>
        <v>02</v>
      </c>
      <c r="N33" s="2" t="str">
        <f t="shared" si="3"/>
        <v>08</v>
      </c>
      <c r="O33" s="2" t="str">
        <f t="shared" si="3"/>
        <v>04</v>
      </c>
      <c r="P33" s="2" t="str">
        <f t="shared" si="3"/>
        <v>08</v>
      </c>
      <c r="Q33" s="2" t="str">
        <f t="shared" si="3"/>
        <v>04</v>
      </c>
      <c r="R33" s="2" t="str">
        <f t="shared" si="3"/>
        <v>04</v>
      </c>
      <c r="S33" s="2" t="str">
        <f t="shared" si="3"/>
        <v>04</v>
      </c>
    </row>
    <row r="34" spans="1:19">
      <c r="A34" s="5">
        <v>3</v>
      </c>
      <c r="B34" s="2" t="str">
        <f t="shared" si="2"/>
        <v>04</v>
      </c>
      <c r="C34" s="2" t="str">
        <f t="shared" si="2"/>
        <v>02</v>
      </c>
      <c r="D34" s="2" t="str">
        <f t="shared" si="2"/>
        <v>04</v>
      </c>
      <c r="E34" s="2" t="str">
        <f t="shared" si="2"/>
        <v>02</v>
      </c>
      <c r="F34" s="2" t="str">
        <f t="shared" si="2"/>
        <v>08</v>
      </c>
      <c r="G34" s="2" t="str">
        <f t="shared" si="2"/>
        <v>04</v>
      </c>
      <c r="H34" s="2" t="str">
        <f t="shared" si="2"/>
        <v>02</v>
      </c>
      <c r="I34" s="2" t="str">
        <f t="shared" si="2"/>
        <v>04</v>
      </c>
      <c r="J34" s="2" t="str">
        <f t="shared" si="2"/>
        <v>04</v>
      </c>
      <c r="K34" s="2" t="str">
        <f t="shared" si="2"/>
        <v>04</v>
      </c>
      <c r="L34" s="2" t="str">
        <f t="shared" si="3"/>
        <v>04</v>
      </c>
      <c r="M34" s="2" t="str">
        <f t="shared" si="3"/>
        <v>02</v>
      </c>
      <c r="N34" s="2" t="str">
        <f t="shared" si="3"/>
        <v>04</v>
      </c>
      <c r="O34" s="2" t="str">
        <f t="shared" si="3"/>
        <v>08</v>
      </c>
      <c r="P34" s="2" t="str">
        <f t="shared" si="3"/>
        <v>04</v>
      </c>
      <c r="Q34" s="2" t="str">
        <f t="shared" si="3"/>
        <v>04</v>
      </c>
      <c r="R34" s="2" t="str">
        <f t="shared" si="3"/>
        <v>04</v>
      </c>
      <c r="S34" s="2" t="str">
        <f t="shared" si="3"/>
        <v>02</v>
      </c>
    </row>
    <row r="35" spans="1:19">
      <c r="A35" s="5">
        <v>4</v>
      </c>
      <c r="B35" s="2" t="str">
        <f t="shared" si="2"/>
        <v>04</v>
      </c>
      <c r="C35" s="2" t="str">
        <f t="shared" si="2"/>
        <v>04</v>
      </c>
      <c r="D35" s="2" t="str">
        <f t="shared" si="2"/>
        <v>04</v>
      </c>
      <c r="E35" s="2" t="str">
        <f t="shared" si="2"/>
        <v>02</v>
      </c>
      <c r="F35" s="2" t="str">
        <f t="shared" si="2"/>
        <v>04</v>
      </c>
      <c r="G35" s="2" t="str">
        <f t="shared" si="2"/>
        <v>02</v>
      </c>
      <c r="H35" s="2" t="str">
        <f t="shared" si="2"/>
        <v>04</v>
      </c>
      <c r="I35" s="2" t="str">
        <f t="shared" si="2"/>
        <v>04</v>
      </c>
      <c r="J35" s="2" t="str">
        <f t="shared" si="2"/>
        <v>04</v>
      </c>
      <c r="K35" s="2" t="str">
        <f t="shared" si="2"/>
        <v>04</v>
      </c>
      <c r="L35" s="2" t="str">
        <f t="shared" si="3"/>
        <v>08</v>
      </c>
      <c r="M35" s="2" t="str">
        <f t="shared" si="3"/>
        <v>08</v>
      </c>
      <c r="N35" s="2" t="str">
        <f t="shared" si="3"/>
        <v>00</v>
      </c>
      <c r="O35" s="2" t="str">
        <f t="shared" si="3"/>
        <v>04</v>
      </c>
      <c r="P35" s="2" t="str">
        <f t="shared" si="3"/>
        <v>08</v>
      </c>
      <c r="Q35" s="2" t="str">
        <f t="shared" si="3"/>
        <v>04</v>
      </c>
      <c r="R35" s="2" t="str">
        <f t="shared" si="3"/>
        <v>04</v>
      </c>
      <c r="S35" s="2" t="str">
        <f t="shared" si="3"/>
        <v>04</v>
      </c>
    </row>
    <row r="36" spans="1:19">
      <c r="A36" s="5">
        <v>5</v>
      </c>
      <c r="B36" s="2" t="str">
        <f t="shared" si="2"/>
        <v>02</v>
      </c>
      <c r="C36" s="2" t="str">
        <f t="shared" si="2"/>
        <v>08</v>
      </c>
      <c r="D36" s="2" t="str">
        <f t="shared" si="2"/>
        <v>02</v>
      </c>
      <c r="E36" s="2" t="str">
        <f t="shared" si="2"/>
        <v>02</v>
      </c>
      <c r="F36" s="2" t="str">
        <f t="shared" si="2"/>
        <v>08</v>
      </c>
      <c r="G36" s="2" t="str">
        <f t="shared" si="2"/>
        <v>04</v>
      </c>
      <c r="H36" s="2" t="str">
        <f t="shared" si="2"/>
        <v>04</v>
      </c>
      <c r="I36" s="2" t="str">
        <f t="shared" si="2"/>
        <v>04</v>
      </c>
      <c r="J36" s="2" t="str">
        <f t="shared" si="2"/>
        <v>08</v>
      </c>
      <c r="K36" s="2" t="str">
        <f t="shared" si="2"/>
        <v>02</v>
      </c>
      <c r="L36" s="2" t="str">
        <f t="shared" si="3"/>
        <v>08</v>
      </c>
      <c r="M36" s="2" t="str">
        <f t="shared" si="3"/>
        <v>08</v>
      </c>
      <c r="N36" s="2" t="str">
        <f t="shared" si="3"/>
        <v>04</v>
      </c>
      <c r="O36" s="2" t="str">
        <f t="shared" si="3"/>
        <v>04</v>
      </c>
      <c r="P36" s="2" t="str">
        <f t="shared" si="3"/>
        <v>04</v>
      </c>
      <c r="Q36" s="2" t="str">
        <f t="shared" si="3"/>
        <v>04</v>
      </c>
      <c r="R36" s="2" t="str">
        <f t="shared" si="3"/>
        <v>04</v>
      </c>
      <c r="S36" s="2" t="str">
        <f t="shared" si="3"/>
        <v>04</v>
      </c>
    </row>
    <row r="37" spans="1:19">
      <c r="A37" s="5">
        <v>6</v>
      </c>
      <c r="B37" s="2" t="str">
        <f t="shared" si="2"/>
        <v>04</v>
      </c>
      <c r="C37" s="2" t="str">
        <f t="shared" si="2"/>
        <v>02</v>
      </c>
      <c r="D37" s="2" t="str">
        <f t="shared" si="2"/>
        <v>08</v>
      </c>
      <c r="E37" s="2" t="str">
        <f t="shared" si="2"/>
        <v>04</v>
      </c>
      <c r="F37" s="2" t="str">
        <f t="shared" si="2"/>
        <v>02</v>
      </c>
      <c r="G37" s="2" t="str">
        <f t="shared" si="2"/>
        <v>08</v>
      </c>
      <c r="H37" s="2" t="str">
        <f t="shared" si="2"/>
        <v>04</v>
      </c>
      <c r="I37" s="2" t="str">
        <f t="shared" si="2"/>
        <v>04</v>
      </c>
      <c r="J37" s="2" t="str">
        <f t="shared" si="2"/>
        <v>04</v>
      </c>
      <c r="K37" s="2" t="str">
        <f t="shared" si="2"/>
        <v>08</v>
      </c>
      <c r="L37" s="2" t="str">
        <f t="shared" si="3"/>
        <v>04</v>
      </c>
      <c r="M37" s="2" t="str">
        <f t="shared" si="3"/>
        <v>02</v>
      </c>
      <c r="N37" s="2" t="str">
        <f t="shared" si="3"/>
        <v>04</v>
      </c>
      <c r="O37" s="2" t="str">
        <f t="shared" si="3"/>
        <v>04</v>
      </c>
      <c r="P37" s="2" t="str">
        <f t="shared" si="3"/>
        <v>04</v>
      </c>
      <c r="Q37" s="2" t="str">
        <f t="shared" si="3"/>
        <v>04</v>
      </c>
      <c r="R37" s="2" t="str">
        <f t="shared" si="3"/>
        <v>04</v>
      </c>
      <c r="S37" s="2" t="str">
        <f t="shared" si="3"/>
        <v>04</v>
      </c>
    </row>
    <row r="38" spans="1:19">
      <c r="A38" s="5">
        <v>7</v>
      </c>
      <c r="B38" s="2" t="str">
        <f t="shared" si="2"/>
        <v>00</v>
      </c>
      <c r="C38" s="2" t="str">
        <f t="shared" si="2"/>
        <v>00</v>
      </c>
      <c r="D38" s="2" t="str">
        <f t="shared" si="2"/>
        <v>04</v>
      </c>
      <c r="E38" s="2" t="str">
        <f t="shared" si="2"/>
        <v>02</v>
      </c>
      <c r="F38" s="2" t="str">
        <f t="shared" si="2"/>
        <v>04</v>
      </c>
      <c r="G38" s="2" t="str">
        <f t="shared" si="2"/>
        <v>04</v>
      </c>
      <c r="H38" s="2" t="str">
        <f t="shared" si="2"/>
        <v>02</v>
      </c>
      <c r="I38" s="2" t="str">
        <f t="shared" si="2"/>
        <v>08</v>
      </c>
      <c r="J38" s="2" t="str">
        <f t="shared" si="2"/>
        <v>04</v>
      </c>
      <c r="K38" s="2" t="str">
        <f t="shared" si="2"/>
        <v>04</v>
      </c>
      <c r="L38" s="2" t="str">
        <f t="shared" si="3"/>
        <v>04</v>
      </c>
      <c r="M38" s="2" t="str">
        <f t="shared" si="3"/>
        <v>04</v>
      </c>
      <c r="N38" s="2" t="str">
        <f t="shared" si="3"/>
        <v>04</v>
      </c>
      <c r="O38" s="2" t="str">
        <f t="shared" si="3"/>
        <v>04</v>
      </c>
      <c r="P38" s="2" t="str">
        <f t="shared" si="3"/>
        <v>04</v>
      </c>
      <c r="Q38" s="2" t="str">
        <f t="shared" si="3"/>
        <v>04</v>
      </c>
      <c r="R38" s="2" t="str">
        <f t="shared" si="3"/>
        <v>08</v>
      </c>
      <c r="S38" s="2" t="str">
        <f t="shared" si="3"/>
        <v>04</v>
      </c>
    </row>
    <row r="39" spans="1:19">
      <c r="A39" s="5">
        <v>8</v>
      </c>
      <c r="B39" s="2" t="str">
        <f t="shared" si="2"/>
        <v>02</v>
      </c>
      <c r="C39" s="2" t="str">
        <f t="shared" si="2"/>
        <v>08</v>
      </c>
      <c r="D39" s="2" t="str">
        <f t="shared" si="2"/>
        <v>02</v>
      </c>
      <c r="E39" s="2" t="str">
        <f t="shared" si="2"/>
        <v>00</v>
      </c>
      <c r="F39" s="2" t="str">
        <f t="shared" si="2"/>
        <v>08</v>
      </c>
      <c r="G39" s="2" t="str">
        <f t="shared" si="2"/>
        <v>02</v>
      </c>
      <c r="H39" s="2" t="str">
        <f t="shared" si="2"/>
        <v>02</v>
      </c>
      <c r="I39" s="2" t="str">
        <f t="shared" si="2"/>
        <v>04</v>
      </c>
      <c r="J39" s="2" t="str">
        <f t="shared" si="2"/>
        <v>02</v>
      </c>
      <c r="K39" s="2" t="str">
        <f t="shared" si="2"/>
        <v>08</v>
      </c>
      <c r="L39" s="2" t="str">
        <f t="shared" si="3"/>
        <v>04</v>
      </c>
      <c r="M39" s="2" t="str">
        <f t="shared" si="3"/>
        <v>02</v>
      </c>
      <c r="N39" s="2" t="str">
        <f t="shared" si="3"/>
        <v>04</v>
      </c>
      <c r="O39" s="2" t="str">
        <f t="shared" si="3"/>
        <v>02</v>
      </c>
      <c r="P39" s="2" t="str">
        <f t="shared" si="3"/>
        <v>02</v>
      </c>
      <c r="Q39" s="2" t="str">
        <f t="shared" si="3"/>
        <v>02</v>
      </c>
      <c r="R39" s="2" t="str">
        <f t="shared" si="3"/>
        <v>04</v>
      </c>
      <c r="S39" s="2" t="str">
        <f t="shared" si="3"/>
        <v>02</v>
      </c>
    </row>
    <row r="40" spans="1:19">
      <c r="A40" s="5">
        <v>9</v>
      </c>
      <c r="B40" s="2" t="str">
        <f t="shared" si="2"/>
        <v>04</v>
      </c>
      <c r="C40" s="2" t="str">
        <f t="shared" si="2"/>
        <v>04</v>
      </c>
      <c r="D40" s="2" t="str">
        <f t="shared" si="2"/>
        <v>04</v>
      </c>
      <c r="E40" s="2" t="str">
        <f t="shared" si="2"/>
        <v>04</v>
      </c>
      <c r="F40" s="2" t="str">
        <f t="shared" si="2"/>
        <v>08</v>
      </c>
      <c r="G40" s="2" t="str">
        <f t="shared" si="2"/>
        <v>08</v>
      </c>
      <c r="H40" s="2" t="str">
        <f t="shared" si="2"/>
        <v>02</v>
      </c>
      <c r="I40" s="2" t="str">
        <f t="shared" si="2"/>
        <v>04</v>
      </c>
      <c r="J40" s="2" t="str">
        <f t="shared" si="2"/>
        <v>02</v>
      </c>
      <c r="K40" s="2" t="str">
        <f t="shared" si="2"/>
        <v>02</v>
      </c>
      <c r="L40" s="2" t="str">
        <f t="shared" si="3"/>
        <v>08</v>
      </c>
      <c r="M40" s="2" t="str">
        <f t="shared" si="3"/>
        <v>02</v>
      </c>
      <c r="N40" s="2" t="str">
        <f t="shared" si="3"/>
        <v>04</v>
      </c>
      <c r="O40" s="2" t="str">
        <f t="shared" si="3"/>
        <v>04</v>
      </c>
      <c r="P40" s="2" t="str">
        <f t="shared" si="3"/>
        <v>02</v>
      </c>
      <c r="Q40" s="2" t="str">
        <f t="shared" si="3"/>
        <v>04</v>
      </c>
      <c r="R40" s="2" t="str">
        <f t="shared" si="3"/>
        <v>04</v>
      </c>
      <c r="S40" s="2" t="str">
        <f t="shared" si="3"/>
        <v>02</v>
      </c>
    </row>
    <row r="41" spans="1:19">
      <c r="A41" s="5">
        <v>10</v>
      </c>
      <c r="B41" s="2" t="str">
        <f t="shared" ref="B41:K48" si="4">MID($O$1,2*($A41+18*B$30)+1,2)</f>
        <v>04</v>
      </c>
      <c r="C41" s="2" t="str">
        <f t="shared" si="4"/>
        <v>04</v>
      </c>
      <c r="D41" s="2" t="str">
        <f t="shared" si="4"/>
        <v>04</v>
      </c>
      <c r="E41" s="2" t="str">
        <f t="shared" si="4"/>
        <v>04</v>
      </c>
      <c r="F41" s="2" t="str">
        <f t="shared" si="4"/>
        <v>04</v>
      </c>
      <c r="G41" s="2" t="str">
        <f t="shared" si="4"/>
        <v>04</v>
      </c>
      <c r="H41" s="2" t="str">
        <f t="shared" si="4"/>
        <v>04</v>
      </c>
      <c r="I41" s="2" t="str">
        <f t="shared" si="4"/>
        <v>04</v>
      </c>
      <c r="J41" s="2" t="str">
        <f t="shared" si="4"/>
        <v>02</v>
      </c>
      <c r="K41" s="2" t="str">
        <f t="shared" si="4"/>
        <v>02</v>
      </c>
      <c r="L41" s="2" t="str">
        <f t="shared" ref="L41:S48" si="5">MID($O$1,2*($A41+18*L$30)+1,2)</f>
        <v>02</v>
      </c>
      <c r="M41" s="2" t="str">
        <f t="shared" si="5"/>
        <v>08</v>
      </c>
      <c r="N41" s="2" t="str">
        <f t="shared" si="5"/>
        <v>08</v>
      </c>
      <c r="O41" s="2" t="str">
        <f t="shared" si="5"/>
        <v>04</v>
      </c>
      <c r="P41" s="2" t="str">
        <f t="shared" si="5"/>
        <v>02</v>
      </c>
      <c r="Q41" s="2" t="str">
        <f t="shared" si="5"/>
        <v>04</v>
      </c>
      <c r="R41" s="2" t="str">
        <f t="shared" si="5"/>
        <v>04</v>
      </c>
      <c r="S41" s="2" t="str">
        <f t="shared" si="5"/>
        <v>04</v>
      </c>
    </row>
    <row r="42" spans="1:19">
      <c r="A42" s="5">
        <v>11</v>
      </c>
      <c r="B42" s="2" t="str">
        <f t="shared" si="4"/>
        <v>04</v>
      </c>
      <c r="C42" s="2" t="str">
        <f t="shared" si="4"/>
        <v>04</v>
      </c>
      <c r="D42" s="2" t="str">
        <f t="shared" si="4"/>
        <v>08</v>
      </c>
      <c r="E42" s="2" t="str">
        <f t="shared" si="4"/>
        <v>08</v>
      </c>
      <c r="F42" s="2" t="str">
        <f t="shared" si="4"/>
        <v>02</v>
      </c>
      <c r="G42" s="2" t="str">
        <f t="shared" si="4"/>
        <v>04</v>
      </c>
      <c r="H42" s="2" t="str">
        <f t="shared" si="4"/>
        <v>08</v>
      </c>
      <c r="I42" s="2" t="str">
        <f t="shared" si="4"/>
        <v>04</v>
      </c>
      <c r="J42" s="2" t="str">
        <f t="shared" si="4"/>
        <v>04</v>
      </c>
      <c r="K42" s="2" t="str">
        <f t="shared" si="4"/>
        <v>08</v>
      </c>
      <c r="L42" s="2" t="str">
        <f t="shared" si="5"/>
        <v>02</v>
      </c>
      <c r="M42" s="2" t="str">
        <f t="shared" si="5"/>
        <v>02</v>
      </c>
      <c r="N42" s="2" t="str">
        <f t="shared" si="5"/>
        <v>02</v>
      </c>
      <c r="O42" s="2" t="str">
        <f t="shared" si="5"/>
        <v>04</v>
      </c>
      <c r="P42" s="2" t="str">
        <f t="shared" si="5"/>
        <v>08</v>
      </c>
      <c r="Q42" s="2" t="str">
        <f t="shared" si="5"/>
        <v>04</v>
      </c>
      <c r="R42" s="2" t="str">
        <f t="shared" si="5"/>
        <v>04</v>
      </c>
      <c r="S42" s="2" t="str">
        <f t="shared" si="5"/>
        <v>04</v>
      </c>
    </row>
    <row r="43" spans="1:19">
      <c r="A43" s="5">
        <v>12</v>
      </c>
      <c r="B43" s="2" t="str">
        <f t="shared" si="4"/>
        <v>04</v>
      </c>
      <c r="C43" s="2" t="str">
        <f t="shared" si="4"/>
        <v>04</v>
      </c>
      <c r="D43" s="2" t="str">
        <f t="shared" si="4"/>
        <v>02</v>
      </c>
      <c r="E43" s="2" t="str">
        <f t="shared" si="4"/>
        <v>04</v>
      </c>
      <c r="F43" s="2" t="str">
        <f t="shared" si="4"/>
        <v>08</v>
      </c>
      <c r="G43" s="2" t="str">
        <f t="shared" si="4"/>
        <v>04</v>
      </c>
      <c r="H43" s="2" t="str">
        <f t="shared" si="4"/>
        <v>04</v>
      </c>
      <c r="I43" s="2" t="str">
        <f t="shared" si="4"/>
        <v>04</v>
      </c>
      <c r="J43" s="2" t="str">
        <f t="shared" si="4"/>
        <v>02</v>
      </c>
      <c r="K43" s="2" t="str">
        <f t="shared" si="4"/>
        <v>04</v>
      </c>
      <c r="L43" s="2" t="str">
        <f t="shared" si="5"/>
        <v>04</v>
      </c>
      <c r="M43" s="2" t="str">
        <f t="shared" si="5"/>
        <v>04</v>
      </c>
      <c r="N43" s="2" t="str">
        <f t="shared" si="5"/>
        <v>02</v>
      </c>
      <c r="O43" s="2" t="str">
        <f t="shared" si="5"/>
        <v>04</v>
      </c>
      <c r="P43" s="2" t="str">
        <f t="shared" si="5"/>
        <v>04</v>
      </c>
      <c r="Q43" s="2" t="str">
        <f t="shared" si="5"/>
        <v>04</v>
      </c>
      <c r="R43" s="2" t="str">
        <f t="shared" si="5"/>
        <v>04</v>
      </c>
      <c r="S43" s="2" t="str">
        <f t="shared" si="5"/>
        <v>04</v>
      </c>
    </row>
    <row r="44" spans="1:19">
      <c r="A44" s="5">
        <v>13</v>
      </c>
      <c r="B44" s="2" t="str">
        <f t="shared" si="4"/>
        <v>04</v>
      </c>
      <c r="C44" s="2" t="str">
        <f t="shared" si="4"/>
        <v>02</v>
      </c>
      <c r="D44" s="2" t="str">
        <f t="shared" si="4"/>
        <v>04</v>
      </c>
      <c r="E44" s="2" t="str">
        <f t="shared" si="4"/>
        <v>04</v>
      </c>
      <c r="F44" s="2" t="str">
        <f t="shared" si="4"/>
        <v>04</v>
      </c>
      <c r="G44" s="2" t="str">
        <f t="shared" si="4"/>
        <v>04</v>
      </c>
      <c r="H44" s="2" t="str">
        <f t="shared" si="4"/>
        <v>08</v>
      </c>
      <c r="I44" s="2" t="str">
        <f t="shared" si="4"/>
        <v>08</v>
      </c>
      <c r="J44" s="2" t="str">
        <f t="shared" si="4"/>
        <v>04</v>
      </c>
      <c r="K44" s="2" t="str">
        <f t="shared" si="4"/>
        <v>04</v>
      </c>
      <c r="L44" s="2" t="str">
        <f t="shared" si="5"/>
        <v>04</v>
      </c>
      <c r="M44" s="2" t="str">
        <f t="shared" si="5"/>
        <v>04</v>
      </c>
      <c r="N44" s="2" t="str">
        <f t="shared" si="5"/>
        <v>04</v>
      </c>
      <c r="O44" s="2" t="str">
        <f t="shared" si="5"/>
        <v>02</v>
      </c>
      <c r="P44" s="2" t="str">
        <f t="shared" si="5"/>
        <v>04</v>
      </c>
      <c r="Q44" s="2" t="str">
        <f t="shared" si="5"/>
        <v>04</v>
      </c>
      <c r="R44" s="2" t="str">
        <f t="shared" si="5"/>
        <v>08</v>
      </c>
      <c r="S44" s="2" t="str">
        <f t="shared" si="5"/>
        <v>04</v>
      </c>
    </row>
    <row r="45" spans="1:19">
      <c r="A45" s="5">
        <v>14</v>
      </c>
      <c r="B45" s="2" t="str">
        <f t="shared" si="4"/>
        <v>04</v>
      </c>
      <c r="C45" s="2" t="str">
        <f t="shared" si="4"/>
        <v>08</v>
      </c>
      <c r="D45" s="2" t="str">
        <f t="shared" si="4"/>
        <v>04</v>
      </c>
      <c r="E45" s="2" t="str">
        <f t="shared" si="4"/>
        <v>04</v>
      </c>
      <c r="F45" s="2" t="str">
        <f t="shared" si="4"/>
        <v>04</v>
      </c>
      <c r="G45" s="2" t="str">
        <f t="shared" si="4"/>
        <v>08</v>
      </c>
      <c r="H45" s="2" t="str">
        <f t="shared" si="4"/>
        <v>04</v>
      </c>
      <c r="I45" s="2" t="str">
        <f t="shared" si="4"/>
        <v>04</v>
      </c>
      <c r="J45" s="2" t="str">
        <f t="shared" si="4"/>
        <v>08</v>
      </c>
      <c r="K45" s="2" t="str">
        <f t="shared" si="4"/>
        <v>08</v>
      </c>
      <c r="L45" s="2" t="str">
        <f t="shared" si="5"/>
        <v>04</v>
      </c>
      <c r="M45" s="2" t="str">
        <f t="shared" si="5"/>
        <v>04</v>
      </c>
      <c r="N45" s="2" t="str">
        <f t="shared" si="5"/>
        <v>04</v>
      </c>
      <c r="O45" s="2" t="str">
        <f t="shared" si="5"/>
        <v>04</v>
      </c>
      <c r="P45" s="2" t="str">
        <f t="shared" si="5"/>
        <v>02</v>
      </c>
      <c r="Q45" s="2" t="str">
        <f t="shared" si="5"/>
        <v>04</v>
      </c>
      <c r="R45" s="2" t="str">
        <f t="shared" si="5"/>
        <v>04</v>
      </c>
      <c r="S45" s="2" t="str">
        <f t="shared" si="5"/>
        <v>04</v>
      </c>
    </row>
    <row r="46" spans="1:19">
      <c r="A46" s="5">
        <v>15</v>
      </c>
      <c r="B46" s="2" t="str">
        <f t="shared" si="4"/>
        <v>04</v>
      </c>
      <c r="C46" s="2" t="str">
        <f t="shared" si="4"/>
        <v>04</v>
      </c>
      <c r="D46" s="2" t="str">
        <f t="shared" si="4"/>
        <v>04</v>
      </c>
      <c r="E46" s="2" t="str">
        <f t="shared" si="4"/>
        <v>04</v>
      </c>
      <c r="F46" s="2" t="str">
        <f t="shared" si="4"/>
        <v>04</v>
      </c>
      <c r="G46" s="2" t="str">
        <f t="shared" si="4"/>
        <v>04</v>
      </c>
      <c r="H46" s="2" t="str">
        <f t="shared" si="4"/>
        <v>04</v>
      </c>
      <c r="I46" s="2" t="str">
        <f t="shared" si="4"/>
        <v>04</v>
      </c>
      <c r="J46" s="2" t="str">
        <f t="shared" si="4"/>
        <v>04</v>
      </c>
      <c r="K46" s="2" t="str">
        <f t="shared" si="4"/>
        <v>02</v>
      </c>
      <c r="L46" s="2" t="str">
        <f t="shared" si="5"/>
        <v>02</v>
      </c>
      <c r="M46" s="2" t="str">
        <f t="shared" si="5"/>
        <v>02</v>
      </c>
      <c r="N46" s="2" t="str">
        <f t="shared" si="5"/>
        <v>02</v>
      </c>
      <c r="O46" s="2" t="str">
        <f t="shared" si="5"/>
        <v>04</v>
      </c>
      <c r="P46" s="2" t="str">
        <f t="shared" si="5"/>
        <v>08</v>
      </c>
      <c r="Q46" s="2" t="str">
        <f t="shared" si="5"/>
        <v>08</v>
      </c>
      <c r="R46" s="2" t="str">
        <f t="shared" si="5"/>
        <v>04</v>
      </c>
      <c r="S46" s="2" t="str">
        <f t="shared" si="5"/>
        <v>08</v>
      </c>
    </row>
    <row r="47" spans="1:19">
      <c r="A47" s="5">
        <v>16</v>
      </c>
      <c r="B47" s="2" t="str">
        <f t="shared" si="4"/>
        <v>04</v>
      </c>
      <c r="C47" s="2" t="str">
        <f t="shared" si="4"/>
        <v>08</v>
      </c>
      <c r="D47" s="2" t="str">
        <f t="shared" si="4"/>
        <v>04</v>
      </c>
      <c r="E47" s="2" t="str">
        <f t="shared" si="4"/>
        <v>04</v>
      </c>
      <c r="F47" s="2" t="str">
        <f t="shared" si="4"/>
        <v>04</v>
      </c>
      <c r="G47" s="2" t="str">
        <f t="shared" si="4"/>
        <v>04</v>
      </c>
      <c r="H47" s="2" t="str">
        <f t="shared" si="4"/>
        <v>08</v>
      </c>
      <c r="I47" s="2" t="str">
        <f t="shared" si="4"/>
        <v>02</v>
      </c>
      <c r="J47" s="2" t="str">
        <f t="shared" si="4"/>
        <v>04</v>
      </c>
      <c r="K47" s="2" t="str">
        <f t="shared" si="4"/>
        <v>04</v>
      </c>
      <c r="L47" s="2" t="str">
        <f t="shared" si="5"/>
        <v>04</v>
      </c>
      <c r="M47" s="2" t="str">
        <f t="shared" si="5"/>
        <v>04</v>
      </c>
      <c r="N47" s="2" t="str">
        <f t="shared" si="5"/>
        <v>04</v>
      </c>
      <c r="O47" s="2" t="str">
        <f t="shared" si="5"/>
        <v>00</v>
      </c>
      <c r="P47" s="2" t="str">
        <f t="shared" si="5"/>
        <v>04</v>
      </c>
      <c r="Q47" s="2" t="str">
        <f t="shared" si="5"/>
        <v>04</v>
      </c>
      <c r="R47" s="2" t="str">
        <f t="shared" si="5"/>
        <v>02</v>
      </c>
      <c r="S47" s="2" t="str">
        <f t="shared" si="5"/>
        <v>08</v>
      </c>
    </row>
    <row r="48" spans="1:19">
      <c r="A48" s="5">
        <v>17</v>
      </c>
      <c r="B48" s="2" t="str">
        <f t="shared" si="4"/>
        <v>04</v>
      </c>
      <c r="C48" s="2" t="str">
        <f t="shared" si="4"/>
        <v>02</v>
      </c>
      <c r="D48" s="2" t="str">
        <f t="shared" si="4"/>
        <v>04</v>
      </c>
      <c r="E48" s="2" t="str">
        <f t="shared" si="4"/>
        <v>08</v>
      </c>
      <c r="F48" s="2" t="str">
        <f t="shared" si="4"/>
        <v>04</v>
      </c>
      <c r="G48" s="2" t="str">
        <f t="shared" si="4"/>
        <v>04</v>
      </c>
      <c r="H48" s="2" t="str">
        <f t="shared" si="4"/>
        <v>02</v>
      </c>
      <c r="I48" s="2" t="str">
        <f t="shared" si="4"/>
        <v>04</v>
      </c>
      <c r="J48" s="2" t="str">
        <f t="shared" si="4"/>
        <v>08</v>
      </c>
      <c r="K48" s="2" t="str">
        <f t="shared" si="4"/>
        <v>04</v>
      </c>
      <c r="L48" s="2" t="str">
        <f t="shared" si="5"/>
        <v>04</v>
      </c>
      <c r="M48" s="2" t="str">
        <f t="shared" si="5"/>
        <v>04</v>
      </c>
      <c r="N48" s="2" t="str">
        <f t="shared" si="5"/>
        <v>04</v>
      </c>
      <c r="O48" s="2" t="str">
        <f t="shared" si="5"/>
        <v>04</v>
      </c>
      <c r="P48" s="2" t="str">
        <f t="shared" si="5"/>
        <v>04</v>
      </c>
      <c r="Q48" s="2" t="str">
        <f t="shared" si="5"/>
        <v>00</v>
      </c>
      <c r="R48" s="2" t="str">
        <f t="shared" si="5"/>
        <v>02</v>
      </c>
      <c r="S48" s="2" t="str">
        <f t="shared" si="5"/>
        <v>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type effectiveness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2025-08-01T06:15:45Z</dcterms:created>
  <dcterms:modified xsi:type="dcterms:W3CDTF">2026-05-15T05:12:08Z</dcterms:modified>
</cp:coreProperties>
</file>