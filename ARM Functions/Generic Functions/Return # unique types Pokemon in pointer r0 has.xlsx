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50107797-2D57-459D-85B4-2D8A017327EA}" xr6:coauthVersionLast="47" xr6:coauthVersionMax="47" xr10:uidLastSave="{00000000-0000-0000-0000-000000000000}"/>
  <bookViews>
    <workbookView xWindow="16457" yWindow="0" windowWidth="16457" windowHeight="17914" xr2:uid="{B799EF1B-5053-4CCB-86FD-9DE61DA537F2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C30" i="1"/>
  <c r="A3" i="1"/>
  <c r="A4" i="1" s="1"/>
  <c r="A5" i="1" s="1"/>
  <c r="C28" i="1" l="1"/>
  <c r="C25" i="1" l="1"/>
  <c r="C13" i="1" l="1"/>
  <c r="C10" i="1"/>
  <c r="C17" i="1" l="1"/>
  <c r="C22" i="1"/>
</calcChain>
</file>

<file path=xl/sharedStrings.xml><?xml version="1.0" encoding="utf-8"?>
<sst xmlns="http://schemas.openxmlformats.org/spreadsheetml/2006/main" count="77" uniqueCount="71">
  <si>
    <t>notes</t>
  </si>
  <si>
    <t>instruction</t>
  </si>
  <si>
    <t>Hex</t>
  </si>
  <si>
    <t>Address</t>
  </si>
  <si>
    <t>r0 input is pointer</t>
  </si>
  <si>
    <t>bl 0x0008DFDC</t>
  </si>
  <si>
    <t>and r1, r0, 0x1F</t>
  </si>
  <si>
    <t>Type 1</t>
  </si>
  <si>
    <t>Type 2</t>
  </si>
  <si>
    <t>and r2, r2, 0x1F</t>
  </si>
  <si>
    <t>and r0, r0, 0x1F</t>
  </si>
  <si>
    <t>Type 3</t>
  </si>
  <si>
    <t># Type</t>
  </si>
  <si>
    <t>comb</t>
  </si>
  <si>
    <t>x != y &amp; y != Z &amp; x != z &amp; none == 0x12</t>
  </si>
  <si>
    <t>mov r3, 0x3</t>
  </si>
  <si>
    <t>push {r1, r2, r3, lr}</t>
  </si>
  <si>
    <t>z = type 3 = r0</t>
  </si>
  <si>
    <t>y = type 2 = r2</t>
  </si>
  <si>
    <t>check type 3 exists</t>
  </si>
  <si>
    <t>if it doesn't, only need to check 1 and 2</t>
  </si>
  <si>
    <t>check x not set</t>
  </si>
  <si>
    <t>check y not set</t>
  </si>
  <si>
    <t>mov r3, 0x2</t>
  </si>
  <si>
    <t>at most 2</t>
  </si>
  <si>
    <t>x = y, so subtract 1 if valid, 2 if 0x12</t>
  </si>
  <si>
    <t>x invalid, subtract 1</t>
  </si>
  <si>
    <t>subeq r3, r3, 0x2</t>
  </si>
  <si>
    <t>subeq r3, r3, 0x1</t>
  </si>
  <si>
    <t>mov r0, r3</t>
  </si>
  <si>
    <t>y invalid, subtract 1</t>
  </si>
  <si>
    <t>subne r3, r3, 0x1</t>
  </si>
  <si>
    <t>x == z or y == z</t>
  </si>
  <si>
    <t>so same as 2 type case</t>
  </si>
  <si>
    <t>otherwise z is neither x nor y,</t>
  </si>
  <si>
    <t>and we know z is valid, so run starting with 3</t>
  </si>
  <si>
    <t>cmp r0, 0x12</t>
  </si>
  <si>
    <t>cmp r2, 0x12</t>
  </si>
  <si>
    <t>cmpne r2, r0</t>
  </si>
  <si>
    <t>cmp r1, r2</t>
  </si>
  <si>
    <t>cmp r1, 0x12</t>
  </si>
  <si>
    <t>cmp r1, r0</t>
  </si>
  <si>
    <t>0E402DE9</t>
  </si>
  <si>
    <t>1F1000E2</t>
  </si>
  <si>
    <t>1F2002E2</t>
  </si>
  <si>
    <t>1F0000E2</t>
  </si>
  <si>
    <t>120050E3</t>
  </si>
  <si>
    <t>0B00001A</t>
  </si>
  <si>
    <t>0230A0E3</t>
  </si>
  <si>
    <t>020051E1</t>
  </si>
  <si>
    <t>0300001A</t>
  </si>
  <si>
    <t>120051E3</t>
  </si>
  <si>
    <t>02304302</t>
  </si>
  <si>
    <t>01304312</t>
  </si>
  <si>
    <t>0A0000EA</t>
  </si>
  <si>
    <t>01304302</t>
  </si>
  <si>
    <t>120052E3</t>
  </si>
  <si>
    <t>050000EA</t>
  </si>
  <si>
    <t>000051E1</t>
  </si>
  <si>
    <t>00005211</t>
  </si>
  <si>
    <t>F0FFFF0A</t>
  </si>
  <si>
    <t>0330A0E3</t>
  </si>
  <si>
    <t>EEFFFFEA</t>
  </si>
  <si>
    <t>0300A0E1</t>
  </si>
  <si>
    <t>0E80BDE8</t>
  </si>
  <si>
    <t>00103278</t>
  </si>
  <si>
    <t>562BFEEB</t>
  </si>
  <si>
    <t>mov r2, r0, lsr #0x5</t>
  </si>
  <si>
    <t>lsr r0, #0xA</t>
  </si>
  <si>
    <t>A022A0E1</t>
  </si>
  <si>
    <t>2005A0E1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</si>
</sst>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2" fillId="6" borderId="0" xfId="0" applyFont="1" applyFill="1"/>
    <xf numFmtId="0" fontId="2" fillId="6" borderId="0" xfId="0" quotePrefix="1" applyFont="1" applyFill="1"/>
    <xf numFmtId="0" fontId="2" fillId="7" borderId="0" xfId="0" applyFont="1" applyFill="1"/>
    <xf numFmtId="0" fontId="2" fillId="7" borderId="0" xfId="0" quotePrefix="1" applyFont="1" applyFill="1"/>
    <xf numFmtId="0" fontId="2" fillId="8" borderId="0" xfId="0" applyFont="1" applyFill="1"/>
    <xf numFmtId="0" fontId="2" fillId="8" borderId="0" xfId="0" quotePrefix="1" applyFont="1" applyFill="1"/>
    <xf numFmtId="0" fontId="2" fillId="9" borderId="0" xfId="0" applyFont="1" applyFill="1"/>
    <xf numFmtId="0" fontId="2" fillId="9" borderId="0" xfId="0" quotePrefix="1" applyFont="1" applyFill="1"/>
    <xf numFmtId="11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B432-E39A-4DC1-BC73-6DF61E7E1BED}">
  <dimension ref="A1:E33"/>
  <sheetViews>
    <sheetView tabSelected="1" zoomScaleNormal="100" workbookViewId="0">
      <pane ySplit="1" topLeftCell="A2" activePane="bottomLeft" state="frozen"/>
      <selection pane="bottomLeft" activeCell="B2" sqref="B2:B30"/>
    </sheetView>
  </sheetViews>
  <sheetFormatPr defaultRowHeight="15.9"/>
  <cols>
    <col min="1" max="1" width="10.0703125" style="1" customWidth="1"/>
    <col min="2" max="2" width="9.35546875" style="1" bestFit="1" customWidth="1"/>
    <col min="3" max="3" width="25.5703125" style="1" customWidth="1"/>
    <col min="4" max="4" width="50.78515625" style="1" bestFit="1" customWidth="1"/>
    <col min="5" max="5" width="9.140625" style="1"/>
    <col min="6" max="6" width="8.85546875" style="1" bestFit="1" customWidth="1"/>
    <col min="7" max="7" width="2.92578125" style="1" bestFit="1" customWidth="1"/>
    <col min="8" max="8" width="13.85546875" style="1" bestFit="1" customWidth="1"/>
    <col min="9" max="9" width="14.5703125" style="1" bestFit="1" customWidth="1"/>
    <col min="10" max="16384" width="9.140625" style="1"/>
  </cols>
  <sheetData>
    <row r="1" spans="1:5">
      <c r="A1" s="2" t="s">
        <v>3</v>
      </c>
      <c r="B1" s="2" t="s">
        <v>2</v>
      </c>
      <c r="C1" s="2" t="s">
        <v>1</v>
      </c>
      <c r="D1" s="2" t="s">
        <v>0</v>
      </c>
    </row>
    <row r="2" spans="1:5">
      <c r="A2" s="3" t="s">
        <v>65</v>
      </c>
      <c r="B2" s="20" t="s">
        <v>42</v>
      </c>
      <c r="C2" s="1" t="s">
        <v>16</v>
      </c>
    </row>
    <row r="3" spans="1:5">
      <c r="A3" s="4" t="str">
        <f t="shared" ref="A3:A30" si="0">DEC2HEX(HEX2DEC(A2)+4,8)</f>
        <v>0010327C</v>
      </c>
      <c r="B3" s="5" t="s">
        <v>66</v>
      </c>
      <c r="C3" s="4" t="s">
        <v>5</v>
      </c>
      <c r="D3" s="4" t="s">
        <v>4</v>
      </c>
    </row>
    <row r="4" spans="1:5">
      <c r="A4" s="6" t="str">
        <f t="shared" si="0"/>
        <v>00103280</v>
      </c>
      <c r="B4" s="7" t="s">
        <v>43</v>
      </c>
      <c r="C4" s="6" t="s">
        <v>6</v>
      </c>
      <c r="D4" s="6" t="s">
        <v>7</v>
      </c>
    </row>
    <row r="5" spans="1:5">
      <c r="A5" s="8" t="str">
        <f t="shared" si="0"/>
        <v>00103284</v>
      </c>
      <c r="B5" s="9" t="s">
        <v>69</v>
      </c>
      <c r="C5" s="8" t="s">
        <v>67</v>
      </c>
      <c r="D5" s="8" t="s">
        <v>8</v>
      </c>
    </row>
    <row r="6" spans="1:5">
      <c r="A6" s="8" t="str">
        <f t="shared" si="0"/>
        <v>00103288</v>
      </c>
      <c r="B6" s="9" t="s">
        <v>44</v>
      </c>
      <c r="C6" s="8" t="s">
        <v>9</v>
      </c>
      <c r="D6" s="8"/>
    </row>
    <row r="7" spans="1:5">
      <c r="A7" s="10" t="str">
        <f t="shared" si="0"/>
        <v>0010328C</v>
      </c>
      <c r="B7" s="11" t="s">
        <v>70</v>
      </c>
      <c r="C7" s="10" t="s">
        <v>68</v>
      </c>
      <c r="D7" s="10" t="s">
        <v>11</v>
      </c>
    </row>
    <row r="8" spans="1:5">
      <c r="A8" s="10" t="str">
        <f t="shared" si="0"/>
        <v>00103290</v>
      </c>
      <c r="B8" s="11" t="s">
        <v>45</v>
      </c>
      <c r="C8" s="10" t="s">
        <v>10</v>
      </c>
      <c r="D8" s="10"/>
    </row>
    <row r="9" spans="1:5">
      <c r="A9" s="1" t="str">
        <f t="shared" si="0"/>
        <v>00103294</v>
      </c>
      <c r="B9" s="3" t="s">
        <v>46</v>
      </c>
      <c r="C9" s="1" t="s">
        <v>36</v>
      </c>
      <c r="D9" s="1" t="s">
        <v>19</v>
      </c>
      <c r="E9" s="1" t="s">
        <v>18</v>
      </c>
    </row>
    <row r="10" spans="1:5">
      <c r="A10" s="1" t="str">
        <f t="shared" si="0"/>
        <v>00103298</v>
      </c>
      <c r="B10" s="3" t="s">
        <v>47</v>
      </c>
      <c r="C10" s="1" t="str">
        <f>_xlfn.CONCAT("bne 0x",A23)</f>
        <v>bne 0x001032CC</v>
      </c>
      <c r="E10" s="1" t="s">
        <v>17</v>
      </c>
    </row>
    <row r="11" spans="1:5">
      <c r="A11" s="1" t="str">
        <f t="shared" si="0"/>
        <v>0010329C</v>
      </c>
      <c r="B11" s="3" t="s">
        <v>48</v>
      </c>
      <c r="C11" s="1" t="s">
        <v>23</v>
      </c>
      <c r="D11" s="1" t="s">
        <v>24</v>
      </c>
    </row>
    <row r="12" spans="1:5">
      <c r="A12" s="1" t="str">
        <f t="shared" si="0"/>
        <v>001032A0</v>
      </c>
      <c r="B12" s="3" t="s">
        <v>49</v>
      </c>
      <c r="C12" s="1" t="s">
        <v>39</v>
      </c>
      <c r="D12" s="1" t="s">
        <v>20</v>
      </c>
    </row>
    <row r="13" spans="1:5">
      <c r="A13" s="1" t="str">
        <f t="shared" si="0"/>
        <v>001032A4</v>
      </c>
      <c r="B13" s="3" t="s">
        <v>50</v>
      </c>
      <c r="C13" s="1" t="str">
        <f>_xlfn.CONCAT("bne 0x",A18)</f>
        <v>bne 0x001032B8</v>
      </c>
    </row>
    <row r="14" spans="1:5">
      <c r="A14" s="12" t="str">
        <f t="shared" si="0"/>
        <v>001032A8</v>
      </c>
      <c r="B14" s="13" t="s">
        <v>51</v>
      </c>
      <c r="C14" s="12" t="s">
        <v>40</v>
      </c>
      <c r="D14" s="12" t="s">
        <v>25</v>
      </c>
    </row>
    <row r="15" spans="1:5">
      <c r="A15" s="12" t="str">
        <f t="shared" si="0"/>
        <v>001032AC</v>
      </c>
      <c r="B15" s="13" t="s">
        <v>52</v>
      </c>
      <c r="C15" s="12" t="s">
        <v>27</v>
      </c>
      <c r="D15" s="12"/>
    </row>
    <row r="16" spans="1:5">
      <c r="A16" s="12" t="str">
        <f t="shared" si="0"/>
        <v>001032B0</v>
      </c>
      <c r="B16" s="13" t="s">
        <v>53</v>
      </c>
      <c r="C16" s="12" t="s">
        <v>31</v>
      </c>
      <c r="D16" s="12"/>
    </row>
    <row r="17" spans="1:4">
      <c r="A17" s="12" t="str">
        <f t="shared" si="0"/>
        <v>001032B4</v>
      </c>
      <c r="B17" s="13" t="s">
        <v>54</v>
      </c>
      <c r="C17" s="12" t="str">
        <f>_xlfn.CONCAT("b 0x",A29)</f>
        <v>b 0x001032E4</v>
      </c>
      <c r="D17" s="12"/>
    </row>
    <row r="18" spans="1:4">
      <c r="A18" s="14" t="str">
        <f t="shared" si="0"/>
        <v>001032B8</v>
      </c>
      <c r="B18" s="15" t="s">
        <v>51</v>
      </c>
      <c r="C18" s="14" t="s">
        <v>40</v>
      </c>
      <c r="D18" s="14" t="s">
        <v>21</v>
      </c>
    </row>
    <row r="19" spans="1:4">
      <c r="A19" s="14" t="str">
        <f t="shared" si="0"/>
        <v>001032BC</v>
      </c>
      <c r="B19" s="15" t="s">
        <v>55</v>
      </c>
      <c r="C19" s="14" t="s">
        <v>28</v>
      </c>
      <c r="D19" s="14" t="s">
        <v>26</v>
      </c>
    </row>
    <row r="20" spans="1:4">
      <c r="A20" s="14" t="str">
        <f t="shared" si="0"/>
        <v>001032C0</v>
      </c>
      <c r="B20" s="15" t="s">
        <v>56</v>
      </c>
      <c r="C20" s="14" t="s">
        <v>37</v>
      </c>
      <c r="D20" s="14" t="s">
        <v>22</v>
      </c>
    </row>
    <row r="21" spans="1:4">
      <c r="A21" s="14" t="str">
        <f t="shared" si="0"/>
        <v>001032C4</v>
      </c>
      <c r="B21" s="15" t="s">
        <v>55</v>
      </c>
      <c r="C21" s="14" t="s">
        <v>28</v>
      </c>
      <c r="D21" s="14" t="s">
        <v>30</v>
      </c>
    </row>
    <row r="22" spans="1:4">
      <c r="A22" s="14" t="str">
        <f t="shared" si="0"/>
        <v>001032C8</v>
      </c>
      <c r="B22" s="15" t="s">
        <v>57</v>
      </c>
      <c r="C22" s="14" t="str">
        <f>_xlfn.CONCAT("b 0x",A29)</f>
        <v>b 0x001032E4</v>
      </c>
      <c r="D22" s="14"/>
    </row>
    <row r="23" spans="1:4">
      <c r="A23" s="16" t="str">
        <f t="shared" si="0"/>
        <v>001032CC</v>
      </c>
      <c r="B23" s="17" t="s">
        <v>58</v>
      </c>
      <c r="C23" s="16" t="s">
        <v>41</v>
      </c>
      <c r="D23" s="16" t="s">
        <v>32</v>
      </c>
    </row>
    <row r="24" spans="1:4">
      <c r="A24" s="16" t="str">
        <f t="shared" si="0"/>
        <v>001032D0</v>
      </c>
      <c r="B24" s="17" t="s">
        <v>59</v>
      </c>
      <c r="C24" s="16" t="s">
        <v>38</v>
      </c>
      <c r="D24" s="16"/>
    </row>
    <row r="25" spans="1:4">
      <c r="A25" s="16" t="str">
        <f t="shared" si="0"/>
        <v>001032D4</v>
      </c>
      <c r="B25" s="17" t="s">
        <v>60</v>
      </c>
      <c r="C25" s="16" t="str">
        <f>_xlfn.CONCAT("beq 0x",A11)</f>
        <v>beq 0x0010329C</v>
      </c>
      <c r="D25" s="16" t="s">
        <v>33</v>
      </c>
    </row>
    <row r="26" spans="1:4">
      <c r="A26" s="18" t="str">
        <f t="shared" si="0"/>
        <v>001032D8</v>
      </c>
      <c r="B26" s="19" t="s">
        <v>46</v>
      </c>
      <c r="C26" s="18" t="s">
        <v>36</v>
      </c>
      <c r="D26" s="18" t="s">
        <v>34</v>
      </c>
    </row>
    <row r="27" spans="1:4">
      <c r="A27" s="18" t="str">
        <f t="shared" si="0"/>
        <v>001032DC</v>
      </c>
      <c r="B27" s="19" t="s">
        <v>61</v>
      </c>
      <c r="C27" s="18" t="s">
        <v>15</v>
      </c>
      <c r="D27" s="18" t="s">
        <v>35</v>
      </c>
    </row>
    <row r="28" spans="1:4">
      <c r="A28" s="18" t="str">
        <f t="shared" si="0"/>
        <v>001032E0</v>
      </c>
      <c r="B28" s="19" t="s">
        <v>62</v>
      </c>
      <c r="C28" s="18" t="str">
        <f>_xlfn.CONCAT("b 0x",A12)</f>
        <v>b 0x001032A0</v>
      </c>
      <c r="D28" s="18"/>
    </row>
    <row r="29" spans="1:4">
      <c r="A29" s="1" t="str">
        <f t="shared" si="0"/>
        <v>001032E4</v>
      </c>
      <c r="B29" s="3" t="s">
        <v>63</v>
      </c>
      <c r="C29" s="1" t="s">
        <v>29</v>
      </c>
    </row>
    <row r="30" spans="1:4">
      <c r="A30" s="1" t="str">
        <f t="shared" si="0"/>
        <v>001032E8</v>
      </c>
      <c r="B30" s="1" t="s">
        <v>64</v>
      </c>
      <c r="C30" s="1" t="str">
        <f>SUBSTITUTE(SUBSTITUTE(C2,"push","pop"),"lr","pc")</f>
        <v>pop {r1, r2, r3, pc}</v>
      </c>
    </row>
    <row r="32" spans="1:4">
      <c r="C32" s="1" t="s">
        <v>12</v>
      </c>
      <c r="D32" s="1" t="s">
        <v>13</v>
      </c>
    </row>
    <row r="33" spans="3:4">
      <c r="C33" s="1">
        <v>3</v>
      </c>
      <c r="D33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2025-08-01T05:19:20Z</dcterms:created>
  <dcterms:modified xsi:type="dcterms:W3CDTF">2026-05-17T23:24:27Z</dcterms:modified>
</cp:coreProperties>
</file>