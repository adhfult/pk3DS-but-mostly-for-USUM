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E9FB74B7-636E-4F46-9528-F44BAAB38301}" xr6:coauthVersionLast="47" xr6:coauthVersionMax="47" xr10:uidLastSave="{00000000-0000-0000-0000-000000000000}"/>
  <bookViews>
    <workbookView xWindow="-16449" yWindow="0" windowWidth="16449" windowHeight="17914" xr2:uid="{AEC5C284-D465-413A-9E7D-72791E820892}"/>
  </bookViews>
  <sheets>
    <sheet name="Add Offensive Typ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C26" i="1"/>
  <c r="C29" i="1" s="1"/>
  <c r="C24" i="1" l="1"/>
  <c r="C9" i="1"/>
</calcChain>
</file>

<file path=xl/sharedStrings.xml><?xml version="1.0" encoding="utf-8"?>
<sst xmlns="http://schemas.openxmlformats.org/spreadsheetml/2006/main" count="72" uniqueCount="65">
  <si>
    <t>F080BDE8</t>
  </si>
  <si>
    <t>b 0x00082D44</t>
  </si>
  <si>
    <t>C4E0FEEA</t>
  </si>
  <si>
    <t>mov r0, 0x3D</t>
  </si>
  <si>
    <t>3D00A0E3</t>
  </si>
  <si>
    <t>F040BDE8</t>
  </si>
  <si>
    <t>if alternate greater, use that</t>
  </si>
  <si>
    <t>mov r1, r0</t>
  </si>
  <si>
    <t>0010A0E1</t>
  </si>
  <si>
    <t>if same, or alternate less, do nothing</t>
  </si>
  <si>
    <t>0300009A</t>
  </si>
  <si>
    <t>compare alternate to original</t>
  </si>
  <si>
    <t>cmp r0, r4</t>
  </si>
  <si>
    <t>040050E1</t>
  </si>
  <si>
    <t>Get alternate Move Type effectiveness</t>
  </si>
  <si>
    <t>bl 0x000FDEB8</t>
  </si>
  <si>
    <t>27CD00EB</t>
  </si>
  <si>
    <t>set alternate Move type</t>
  </si>
  <si>
    <t>mov r0, r7</t>
  </si>
  <si>
    <t>0700A0E1</t>
  </si>
  <si>
    <t>Set target type</t>
  </si>
  <si>
    <t>mov r1, r5</t>
  </si>
  <si>
    <t>0510A0E1</t>
  </si>
  <si>
    <t>r4 = unchanged Type Effectiveness</t>
  </si>
  <si>
    <t>mov r4, r0</t>
  </si>
  <si>
    <t>0040A0E1</t>
  </si>
  <si>
    <t>000FDEB8</t>
  </si>
  <si>
    <t>2BCD00EB</t>
  </si>
  <si>
    <t>Get Type Effectiveness of r0 on r1</t>
  </si>
  <si>
    <t>mov r0, r6</t>
  </si>
  <si>
    <t>0600A0E1</t>
  </si>
  <si>
    <t>Get Type Effectiveness</t>
  </si>
  <si>
    <t>r5 = current target type</t>
  </si>
  <si>
    <t>mov r5, r0</t>
  </si>
  <si>
    <t>0050A0E1</t>
  </si>
  <si>
    <t xml:space="preserve">bl 0x00087B58 </t>
  </si>
  <si>
    <t>57F4FEEB</t>
  </si>
  <si>
    <t>get currently being process target type</t>
  </si>
  <si>
    <t>mov r0, 0x18</t>
  </si>
  <si>
    <t>1800A0E3</t>
  </si>
  <si>
    <t>r6 = Type of Move used</t>
  </si>
  <si>
    <t>mov r6, r0</t>
  </si>
  <si>
    <t>0060A0E1</t>
  </si>
  <si>
    <t>5AF4FEEB</t>
  </si>
  <si>
    <t>get move used Type</t>
  </si>
  <si>
    <t>mov r0, 0x19</t>
  </si>
  <si>
    <t>1900A0E3</t>
  </si>
  <si>
    <t>1200001A</t>
  </si>
  <si>
    <t>5EF4FEEB</t>
  </si>
  <si>
    <t>Check Attacking</t>
  </si>
  <si>
    <t>mov r0, 0x03</t>
  </si>
  <si>
    <t>0300A0E3</t>
  </si>
  <si>
    <t>Target Type</t>
  </si>
  <si>
    <t>mov r7, r0</t>
  </si>
  <si>
    <t>0070A0E1</t>
  </si>
  <si>
    <t>mov r4, r2</t>
  </si>
  <si>
    <t>0240A0E1</t>
  </si>
  <si>
    <t>push {r4, r5, r6, r7, lr}</t>
  </si>
  <si>
    <t>F0402DE9</t>
  </si>
  <si>
    <t>000CA9C8</t>
  </si>
  <si>
    <t>Add Offensive Type in r0 (4E/4F)</t>
  </si>
  <si>
    <t>notes</t>
  </si>
  <si>
    <t>instruction</t>
  </si>
  <si>
    <t>Hex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</si>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</sst>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/>
    <xf numFmtId="0" fontId="2" fillId="0" borderId="0" xfId="0" quotePrefix="1" applyFont="1"/>
    <xf numFmtId="0" fontId="2" fillId="6" borderId="0" xfId="0" applyFont="1" applyFill="1"/>
    <xf numFmtId="0" fontId="2" fillId="6" borderId="0" xfId="0" quotePrefix="1" applyFont="1" applyFill="1"/>
    <xf numFmtId="0" fontId="2" fillId="5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2" borderId="0" xfId="0" quotePrefix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A5A1-6F9D-4196-A28D-3D11B1A9E25C}">
  <dimension ref="A1:F29"/>
  <sheetViews>
    <sheetView tabSelected="1" zoomScaleNormal="100" workbookViewId="0">
      <pane ySplit="1" topLeftCell="A2" activePane="bottomLeft" state="frozen"/>
      <selection pane="bottomLeft" activeCell="D14" sqref="D14"/>
    </sheetView>
  </sheetViews>
  <sheetFormatPr defaultRowHeight="15.9"/>
  <cols>
    <col min="1" max="1" width="8.92578125" style="2" customWidth="1"/>
    <col min="2" max="2" width="9.2109375" style="2" bestFit="1" customWidth="1"/>
    <col min="3" max="3" width="26.640625" style="2" bestFit="1" customWidth="1"/>
    <col min="4" max="4" width="50.35546875" style="2" bestFit="1" customWidth="1"/>
    <col min="5" max="5" width="9.140625" style="2"/>
    <col min="6" max="6" width="8.78515625" style="2" bestFit="1" customWidth="1"/>
    <col min="7" max="7" width="2.7109375" style="2" bestFit="1" customWidth="1"/>
    <col min="8" max="8" width="13.78515625" style="2" bestFit="1" customWidth="1"/>
    <col min="9" max="9" width="14.5" style="2" bestFit="1" customWidth="1"/>
    <col min="10" max="16384" width="9.140625" style="2"/>
  </cols>
  <sheetData>
    <row r="1" spans="1:4">
      <c r="A1" s="1" t="s">
        <v>64</v>
      </c>
      <c r="B1" s="1" t="s">
        <v>63</v>
      </c>
      <c r="C1" s="1" t="s">
        <v>62</v>
      </c>
      <c r="D1" s="1" t="s">
        <v>61</v>
      </c>
    </row>
    <row r="2" spans="1:4">
      <c r="A2" s="1" t="s">
        <v>60</v>
      </c>
      <c r="B2" s="3"/>
      <c r="C2" s="3"/>
    </row>
    <row r="3" spans="1:4">
      <c r="A3" s="4" t="s">
        <v>59</v>
      </c>
      <c r="B3" s="2" t="s">
        <v>58</v>
      </c>
      <c r="C3" s="2" t="s">
        <v>57</v>
      </c>
    </row>
    <row r="4" spans="1:4">
      <c r="A4" s="2" t="str">
        <f t="shared" ref="A4:A29" si="0">DEC2HEX(HEX2DEC(A3)+4,8)</f>
        <v>000CA9CC</v>
      </c>
      <c r="B4" s="2" t="s">
        <v>56</v>
      </c>
      <c r="C4" s="2" t="s">
        <v>55</v>
      </c>
    </row>
    <row r="5" spans="1:4">
      <c r="A5" s="2" t="str">
        <f t="shared" si="0"/>
        <v>000CA9D0</v>
      </c>
      <c r="B5" s="2" t="s">
        <v>54</v>
      </c>
      <c r="C5" s="2" t="s">
        <v>53</v>
      </c>
      <c r="D5" s="2" t="s">
        <v>52</v>
      </c>
    </row>
    <row r="6" spans="1:4">
      <c r="A6" s="5" t="str">
        <f t="shared" si="0"/>
        <v>000CA9D4</v>
      </c>
      <c r="B6" s="5" t="s">
        <v>51</v>
      </c>
      <c r="C6" s="5" t="s">
        <v>50</v>
      </c>
      <c r="D6" s="5" t="s">
        <v>49</v>
      </c>
    </row>
    <row r="7" spans="1:4">
      <c r="A7" s="5" t="str">
        <f t="shared" si="0"/>
        <v>000CA9D8</v>
      </c>
      <c r="B7" s="5" t="s">
        <v>48</v>
      </c>
      <c r="C7" s="5" t="s">
        <v>35</v>
      </c>
      <c r="D7" s="5"/>
    </row>
    <row r="8" spans="1:4">
      <c r="A8" s="5" t="str">
        <f t="shared" si="0"/>
        <v>000CA9DC</v>
      </c>
      <c r="B8" s="6" t="s">
        <v>13</v>
      </c>
      <c r="C8" s="5" t="s">
        <v>12</v>
      </c>
      <c r="D8" s="5"/>
    </row>
    <row r="9" spans="1:4">
      <c r="A9" s="5" t="str">
        <f t="shared" si="0"/>
        <v>000CA9E0</v>
      </c>
      <c r="B9" s="5" t="s">
        <v>47</v>
      </c>
      <c r="C9" s="5" t="str">
        <f>_xlfn.CONCAT("bne 0x",A$29)</f>
        <v>bne 0x000CAA30</v>
      </c>
      <c r="D9" s="5"/>
    </row>
    <row r="10" spans="1:4">
      <c r="A10" s="7" t="str">
        <f t="shared" si="0"/>
        <v>000CA9E4</v>
      </c>
      <c r="B10" s="7" t="s">
        <v>46</v>
      </c>
      <c r="C10" s="7" t="s">
        <v>45</v>
      </c>
      <c r="D10" s="7" t="s">
        <v>44</v>
      </c>
    </row>
    <row r="11" spans="1:4">
      <c r="A11" s="7" t="str">
        <f t="shared" si="0"/>
        <v>000CA9E8</v>
      </c>
      <c r="B11" s="7" t="s">
        <v>43</v>
      </c>
      <c r="C11" s="7" t="s">
        <v>35</v>
      </c>
      <c r="D11" s="7"/>
    </row>
    <row r="12" spans="1:4">
      <c r="A12" s="7" t="str">
        <f t="shared" si="0"/>
        <v>000CA9EC</v>
      </c>
      <c r="B12" s="7" t="s">
        <v>42</v>
      </c>
      <c r="C12" s="7" t="s">
        <v>41</v>
      </c>
      <c r="D12" s="7" t="s">
        <v>40</v>
      </c>
    </row>
    <row r="13" spans="1:4">
      <c r="A13" s="8" t="str">
        <f t="shared" si="0"/>
        <v>000CA9F0</v>
      </c>
      <c r="B13" s="8" t="s">
        <v>39</v>
      </c>
      <c r="C13" s="8" t="s">
        <v>38</v>
      </c>
      <c r="D13" s="8" t="s">
        <v>37</v>
      </c>
    </row>
    <row r="14" spans="1:4">
      <c r="A14" s="8" t="str">
        <f t="shared" si="0"/>
        <v>000CA9F4</v>
      </c>
      <c r="B14" s="8" t="s">
        <v>36</v>
      </c>
      <c r="C14" s="8" t="s">
        <v>35</v>
      </c>
      <c r="D14" s="8"/>
    </row>
    <row r="15" spans="1:4">
      <c r="A15" s="8" t="str">
        <f t="shared" si="0"/>
        <v>000CA9F8</v>
      </c>
      <c r="B15" s="8" t="s">
        <v>34</v>
      </c>
      <c r="C15" s="8" t="s">
        <v>33</v>
      </c>
      <c r="D15" s="8" t="s">
        <v>32</v>
      </c>
    </row>
    <row r="16" spans="1:4">
      <c r="A16" s="9" t="str">
        <f t="shared" si="0"/>
        <v>000CA9FC</v>
      </c>
      <c r="B16" s="9" t="s">
        <v>8</v>
      </c>
      <c r="C16" s="9" t="s">
        <v>7</v>
      </c>
      <c r="D16" s="9" t="s">
        <v>31</v>
      </c>
    </row>
    <row r="17" spans="1:6">
      <c r="A17" s="9" t="str">
        <f t="shared" si="0"/>
        <v>000CAA00</v>
      </c>
      <c r="B17" s="10" t="s">
        <v>30</v>
      </c>
      <c r="C17" s="9" t="s">
        <v>29</v>
      </c>
      <c r="D17" s="9"/>
      <c r="F17" s="2" t="s">
        <v>28</v>
      </c>
    </row>
    <row r="18" spans="1:6">
      <c r="A18" s="9" t="str">
        <f t="shared" si="0"/>
        <v>000CAA04</v>
      </c>
      <c r="B18" s="9" t="s">
        <v>27</v>
      </c>
      <c r="C18" s="9" t="s">
        <v>15</v>
      </c>
      <c r="D18" s="9"/>
      <c r="F18" s="2" t="s">
        <v>26</v>
      </c>
    </row>
    <row r="19" spans="1:6">
      <c r="A19" s="9" t="str">
        <f t="shared" si="0"/>
        <v>000CAA08</v>
      </c>
      <c r="B19" s="9" t="s">
        <v>25</v>
      </c>
      <c r="C19" s="9" t="s">
        <v>24</v>
      </c>
      <c r="D19" s="9" t="s">
        <v>23</v>
      </c>
    </row>
    <row r="20" spans="1:6">
      <c r="A20" s="11" t="str">
        <f t="shared" si="0"/>
        <v>000CAA0C</v>
      </c>
      <c r="B20" s="11" t="s">
        <v>22</v>
      </c>
      <c r="C20" s="11" t="s">
        <v>21</v>
      </c>
      <c r="D20" s="11" t="s">
        <v>20</v>
      </c>
    </row>
    <row r="21" spans="1:6">
      <c r="A21" s="11" t="str">
        <f t="shared" si="0"/>
        <v>000CAA10</v>
      </c>
      <c r="B21" s="12" t="s">
        <v>19</v>
      </c>
      <c r="C21" s="11" t="s">
        <v>18</v>
      </c>
      <c r="D21" s="11" t="s">
        <v>17</v>
      </c>
    </row>
    <row r="22" spans="1:6">
      <c r="A22" s="11" t="str">
        <f t="shared" si="0"/>
        <v>000CAA14</v>
      </c>
      <c r="B22" s="12" t="s">
        <v>16</v>
      </c>
      <c r="C22" s="11" t="s">
        <v>15</v>
      </c>
      <c r="D22" s="11" t="s">
        <v>14</v>
      </c>
    </row>
    <row r="23" spans="1:6">
      <c r="A23" s="2" t="str">
        <f t="shared" si="0"/>
        <v>000CAA18</v>
      </c>
      <c r="B23" s="4" t="s">
        <v>13</v>
      </c>
      <c r="C23" s="2" t="s">
        <v>12</v>
      </c>
      <c r="D23" s="2" t="s">
        <v>11</v>
      </c>
    </row>
    <row r="24" spans="1:6">
      <c r="A24" s="2" t="str">
        <f t="shared" si="0"/>
        <v>000CAA1C</v>
      </c>
      <c r="B24" s="4" t="s">
        <v>10</v>
      </c>
      <c r="C24" s="2" t="str">
        <f>_xlfn.CONCAT("bls 0x",A29)</f>
        <v>bls 0x000CAA30</v>
      </c>
      <c r="D24" s="2" t="s">
        <v>9</v>
      </c>
    </row>
    <row r="25" spans="1:6">
      <c r="A25" s="2" t="str">
        <f t="shared" si="0"/>
        <v>000CAA20</v>
      </c>
      <c r="B25" s="4" t="s">
        <v>8</v>
      </c>
      <c r="C25" s="2" t="s">
        <v>7</v>
      </c>
      <c r="D25" s="2" t="s">
        <v>6</v>
      </c>
    </row>
    <row r="26" spans="1:6">
      <c r="A26" s="2" t="str">
        <f t="shared" si="0"/>
        <v>000CAA24</v>
      </c>
      <c r="B26" s="3" t="s">
        <v>5</v>
      </c>
      <c r="C26" s="2" t="str">
        <f>SUBSTITUTE(C3,"push","pop")</f>
        <v>pop {r4, r5, r6, r7, lr}</v>
      </c>
      <c r="D26" s="13"/>
    </row>
    <row r="27" spans="1:6">
      <c r="A27" s="2" t="str">
        <f t="shared" si="0"/>
        <v>000CAA28</v>
      </c>
      <c r="B27" s="2" t="s">
        <v>4</v>
      </c>
      <c r="C27" s="2" t="s">
        <v>3</v>
      </c>
      <c r="D27" s="13"/>
    </row>
    <row r="28" spans="1:6">
      <c r="A28" s="2" t="str">
        <f t="shared" si="0"/>
        <v>000CAA2C</v>
      </c>
      <c r="B28" s="4" t="s">
        <v>2</v>
      </c>
      <c r="C28" s="2" t="s">
        <v>1</v>
      </c>
      <c r="D28" s="13"/>
    </row>
    <row r="29" spans="1:6">
      <c r="A29" s="2" t="str">
        <f t="shared" si="0"/>
        <v>000CAA30</v>
      </c>
      <c r="B29" s="2" t="s">
        <v>0</v>
      </c>
      <c r="C29" s="2" t="str">
        <f>SUBSTITUTE(C26,"lr","pc")</f>
        <v>pop {r4, r5, r6, r7, pc}</v>
      </c>
      <c r="D2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Offensive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2026-05-03T19:29:10Z</dcterms:created>
  <dcterms:modified xsi:type="dcterms:W3CDTF">2026-05-12T03:21:44Z</dcterms:modified>
</cp:coreProperties>
</file>