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Generic Functions\"/>
    </mc:Choice>
  </mc:AlternateContent>
  <xr:revisionPtr revIDLastSave="0" documentId="13_ncr:1_{F2CA3DC3-DD04-4E25-B1D3-8FF0848FA4C0}" xr6:coauthVersionLast="47" xr6:coauthVersionMax="47" xr10:uidLastSave="{00000000-0000-0000-0000-000000000000}"/>
  <bookViews>
    <workbookView xWindow="720" yWindow="720" windowWidth="24686" windowHeight="12497" xr2:uid="{FFF8744C-F0B4-428F-8CA7-718350CADE02}"/>
  </bookViews>
  <sheets>
    <sheet name="Edited main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5" i="6" l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4" i="6" l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l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C33" i="6"/>
  <c r="A36" i="6" l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C30" i="6"/>
  <c r="A52" i="6" l="1"/>
  <c r="A53" i="6" s="1"/>
  <c r="A54" i="6" s="1"/>
  <c r="C21" i="6"/>
  <c r="C34" i="6"/>
  <c r="C50" i="6" l="1"/>
  <c r="C71" i="6" l="1"/>
  <c r="C73" i="6" s="1"/>
</calcChain>
</file>

<file path=xl/sharedStrings.xml><?xml version="1.0" encoding="utf-8"?>
<sst xmlns="http://schemas.openxmlformats.org/spreadsheetml/2006/main" count="167" uniqueCount="144">
  <si>
    <t>Address</t>
  </si>
  <si>
    <t>Hex</t>
  </si>
  <si>
    <t>instruction</t>
  </si>
  <si>
    <t>notes</t>
  </si>
  <si>
    <t>0150A0E1</t>
  </si>
  <si>
    <t>mov r5, r1</t>
  </si>
  <si>
    <t>0240A0E1</t>
  </si>
  <si>
    <t>mov r4, r2</t>
  </si>
  <si>
    <t>bl 0x00092298</t>
  </si>
  <si>
    <t>mov r7, r0</t>
  </si>
  <si>
    <t>0070A0E1</t>
  </si>
  <si>
    <t>mov r2, r4</t>
  </si>
  <si>
    <t>0420A0E1</t>
  </si>
  <si>
    <t>Heal 25% HP or boost random non-lowest stat of pointer Pokemon</t>
  </si>
  <si>
    <t>0500A0E1</t>
  </si>
  <si>
    <t>mov r0, r5</t>
  </si>
  <si>
    <t>pointer to r6</t>
  </si>
  <si>
    <t>0410A0E1</t>
  </si>
  <si>
    <t>mov r1, r4</t>
  </si>
  <si>
    <t>0060A0E1</t>
  </si>
  <si>
    <t>mov r6, r0</t>
  </si>
  <si>
    <t>0600A0E1</t>
  </si>
  <si>
    <t>mov r0, r6</t>
  </si>
  <si>
    <t>bl 0x00092628</t>
  </si>
  <si>
    <t>0090A0E1</t>
  </si>
  <si>
    <t>mov r9, r0</t>
  </si>
  <si>
    <t>0D10A0E3</t>
  </si>
  <si>
    <t>mov r1, 0xD</t>
  </si>
  <si>
    <t>bl 0x000876F8</t>
  </si>
  <si>
    <t>1230D0E5</t>
  </si>
  <si>
    <t>ldrb r3, [r0, 0x12]</t>
  </si>
  <si>
    <t>0010A0E1</t>
  </si>
  <si>
    <t>mov r1, r0</t>
  </si>
  <si>
    <t>0820A0E1</t>
  </si>
  <si>
    <t>mov r2, r8</t>
  </si>
  <si>
    <t>Stat to boost</t>
  </si>
  <si>
    <t>0100A0E3</t>
  </si>
  <si>
    <t>mov r0, 0x1</t>
  </si>
  <si>
    <t>Size of boost</t>
  </si>
  <si>
    <t>0420C1E5</t>
  </si>
  <si>
    <t>strb r2, [r1, 0x4]</t>
  </si>
  <si>
    <t>Write stat to boost</t>
  </si>
  <si>
    <t>1100C1E5</t>
  </si>
  <si>
    <t>strb r0, [r1, 0x11]</t>
  </si>
  <si>
    <t>write size of boost</t>
  </si>
  <si>
    <t>0C40C1E5</t>
  </si>
  <si>
    <t>strb r4, [r1, 0xC]</t>
  </si>
  <si>
    <t>write index of self</t>
  </si>
  <si>
    <t>1000C1E5</t>
  </si>
  <si>
    <t>strb r0, [r1, 0x10]</t>
  </si>
  <si>
    <t>write number of times to apply boost</t>
  </si>
  <si>
    <t>043083E3</t>
  </si>
  <si>
    <t>orr r3, r3, 0x4</t>
  </si>
  <si>
    <t>1230C1E5</t>
  </si>
  <si>
    <t>strb r3, [r1, 0x12]</t>
  </si>
  <si>
    <t>b 0x0007CCF4</t>
  </si>
  <si>
    <t>get max HP</t>
  </si>
  <si>
    <t>mov r1, 0xE</t>
  </si>
  <si>
    <t>get current HP</t>
  </si>
  <si>
    <t>mov r8, r0</t>
  </si>
  <si>
    <t>roll number in [0, Max HP - 1]</t>
  </si>
  <si>
    <t>cmp r0, r8</t>
  </si>
  <si>
    <t>check roll against current HP</t>
  </si>
  <si>
    <t>if roll &lt; current HP, boost stat, otherwise heal</t>
  </si>
  <si>
    <t>get pointer</t>
  </si>
  <si>
    <t>mov r1, 0x4</t>
  </si>
  <si>
    <t>Set self index</t>
  </si>
  <si>
    <t>strb r4, [r9, 0x6]</t>
  </si>
  <si>
    <t>mov r1, r9</t>
  </si>
  <si>
    <t>sub r1, r7, r8</t>
  </si>
  <si>
    <t>get Max - Current HP</t>
  </si>
  <si>
    <t>cmp r0, r1</t>
  </si>
  <si>
    <t>movhi r0, r1</t>
  </si>
  <si>
    <t>set heal amount to missing HP</t>
  </si>
  <si>
    <t>set text for healing if any</t>
  </si>
  <si>
    <t>mov r2, r10</t>
  </si>
  <si>
    <t>mov r1, 0x2</t>
  </si>
  <si>
    <t>add r0, r9, 0x8</t>
  </si>
  <si>
    <t>strh r0, [r9, 0x4]</t>
  </si>
  <si>
    <t>bl 0x00089C6C</t>
  </si>
  <si>
    <t>bl 0x0007F804</t>
  </si>
  <si>
    <t>set text</t>
  </si>
  <si>
    <t>write self index</t>
  </si>
  <si>
    <t>00104218</t>
  </si>
  <si>
    <t>F438FEEB</t>
  </si>
  <si>
    <t>0080A0E1</t>
  </si>
  <si>
    <t>0E10A0E3</t>
  </si>
  <si>
    <t>080050E1</t>
  </si>
  <si>
    <t>0410A0E3</t>
  </si>
  <si>
    <t>0640C9E5</t>
  </si>
  <si>
    <t>081047E0</t>
  </si>
  <si>
    <t>010050E1</t>
  </si>
  <si>
    <t>0100A081</t>
  </si>
  <si>
    <t>B400C9E1</t>
  </si>
  <si>
    <t>0A20A0E1</t>
  </si>
  <si>
    <t>0210A0E3</t>
  </si>
  <si>
    <t>080089E2</t>
  </si>
  <si>
    <t>0910A0E1</t>
  </si>
  <si>
    <t>bl 0x0000084D70</t>
  </si>
  <si>
    <t>mov r10, r0</t>
  </si>
  <si>
    <t>push {r4, r5, r6, r7, r8, r9, r10, lr}</t>
  </si>
  <si>
    <t>mov r7, 0x0</t>
  </si>
  <si>
    <t>mov r0, 0x5</t>
  </si>
  <si>
    <t>get random number in [0,4]</t>
  </si>
  <si>
    <t>add r8, r0, 0x1</t>
  </si>
  <si>
    <t>mov r1, r8</t>
  </si>
  <si>
    <t>cmp r0, 0xC</t>
  </si>
  <si>
    <t>not max stage, use this</t>
  </si>
  <si>
    <t>otherwise, add 1 to r7</t>
  </si>
  <si>
    <t>add r7, r7, 0x1</t>
  </si>
  <si>
    <t>cmp r7, 0x5</t>
  </si>
  <si>
    <t>try 5 times</t>
  </si>
  <si>
    <t>then just do HP instead</t>
  </si>
  <si>
    <t>F0472DE9</t>
  </si>
  <si>
    <t>00A0A0E1</t>
  </si>
  <si>
    <t>1838FEEB</t>
  </si>
  <si>
    <t>F838FEEB</t>
  </si>
  <si>
    <t>C402FEEB</t>
  </si>
  <si>
    <t>1C00002A</t>
  </si>
  <si>
    <t>0070A0E3</t>
  </si>
  <si>
    <t>0500A0E3</t>
  </si>
  <si>
    <t>BF02FEEB</t>
  </si>
  <si>
    <t>018080E2</t>
  </si>
  <si>
    <t>0810A0E1</t>
  </si>
  <si>
    <t>E938FEEB</t>
  </si>
  <si>
    <t>0C0050E3</t>
  </si>
  <si>
    <t>0300003A</t>
  </si>
  <si>
    <t>017087E2</t>
  </si>
  <si>
    <t>050057E3</t>
  </si>
  <si>
    <t>F4FFFF3A</t>
  </si>
  <si>
    <t>0F0000EA</t>
  </si>
  <si>
    <t>130DFEEB</t>
  </si>
  <si>
    <t>030DFEEB</t>
  </si>
  <si>
    <t>F047BDE8</t>
  </si>
  <si>
    <t>F087BDE8</t>
  </si>
  <si>
    <t>bl 0x00084D70</t>
  </si>
  <si>
    <t>130000EA</t>
  </si>
  <si>
    <t>5516FEEB</t>
  </si>
  <si>
    <t>38EDFDEB</t>
  </si>
  <si>
    <t>70E2FDEA</t>
  </si>
  <si>
    <t>Current HP to r0</t>
  </si>
  <si>
    <t>mov r0, r8</t>
  </si>
  <si>
    <t>if Current HP &gt; current missing HP</t>
  </si>
  <si>
    <t>0800A0E1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</si>
</sst>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49" fontId="3" fillId="0" borderId="0" xfId="0" applyNumberFormat="1" applyFont="1" applyAlignment="1">
      <alignment horizontal="left"/>
    </xf>
    <xf numFmtId="0" fontId="3" fillId="0" borderId="0" xfId="0" applyFont="1"/>
    <xf numFmtId="49" fontId="2" fillId="0" borderId="0" xfId="0" quotePrefix="1" applyNumberFormat="1" applyFont="1" applyAlignment="1">
      <alignment horizontal="left"/>
    </xf>
    <xf numFmtId="49" fontId="3" fillId="4" borderId="0" xfId="0" quotePrefix="1" applyNumberFormat="1" applyFont="1" applyFill="1" applyAlignment="1">
      <alignment horizontal="left"/>
    </xf>
    <xf numFmtId="0" fontId="3" fillId="4" borderId="0" xfId="0" applyFont="1" applyFill="1"/>
    <xf numFmtId="49" fontId="2" fillId="0" borderId="0" xfId="0" applyNumberFormat="1" applyFont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3" fillId="2" borderId="0" xfId="0" applyFont="1" applyFill="1"/>
    <xf numFmtId="49" fontId="3" fillId="2" borderId="0" xfId="0" quotePrefix="1" applyNumberFormat="1" applyFont="1" applyFill="1" applyAlignment="1">
      <alignment horizontal="left"/>
    </xf>
    <xf numFmtId="0" fontId="2" fillId="6" borderId="0" xfId="0" applyFont="1" applyFill="1"/>
    <xf numFmtId="49" fontId="3" fillId="6" borderId="0" xfId="0" quotePrefix="1" applyNumberFormat="1" applyFont="1" applyFill="1" applyAlignment="1">
      <alignment horizontal="left"/>
    </xf>
    <xf numFmtId="0" fontId="3" fillId="6" borderId="0" xfId="0" applyFont="1" applyFill="1"/>
    <xf numFmtId="0" fontId="2" fillId="7" borderId="0" xfId="0" applyFont="1" applyFill="1"/>
    <xf numFmtId="49" fontId="3" fillId="7" borderId="0" xfId="0" quotePrefix="1" applyNumberFormat="1" applyFont="1" applyFill="1" applyAlignment="1">
      <alignment horizontal="left"/>
    </xf>
    <xf numFmtId="0" fontId="3" fillId="7" borderId="0" xfId="0" applyFont="1" applyFill="1"/>
    <xf numFmtId="0" fontId="2" fillId="8" borderId="0" xfId="0" applyFont="1" applyFill="1"/>
    <xf numFmtId="49" fontId="3" fillId="8" borderId="0" xfId="0" quotePrefix="1" applyNumberFormat="1" applyFont="1" applyFill="1" applyAlignment="1">
      <alignment horizontal="left"/>
    </xf>
    <xf numFmtId="0" fontId="3" fillId="8" borderId="0" xfId="0" applyFont="1" applyFill="1"/>
    <xf numFmtId="0" fontId="2" fillId="9" borderId="0" xfId="0" applyFont="1" applyFill="1"/>
    <xf numFmtId="49" fontId="3" fillId="9" borderId="0" xfId="0" quotePrefix="1" applyNumberFormat="1" applyFont="1" applyFill="1" applyAlignment="1">
      <alignment horizontal="left"/>
    </xf>
    <xf numFmtId="0" fontId="3" fillId="9" borderId="0" xfId="0" applyFont="1" applyFill="1"/>
    <xf numFmtId="49" fontId="3" fillId="3" borderId="0" xfId="0" quotePrefix="1" applyNumberFormat="1" applyFont="1" applyFill="1" applyAlignment="1">
      <alignment horizontal="left"/>
    </xf>
    <xf numFmtId="0" fontId="3" fillId="3" borderId="0" xfId="0" applyFont="1" applyFill="1"/>
    <xf numFmtId="49" fontId="3" fillId="5" borderId="0" xfId="0" quotePrefix="1" applyNumberFormat="1" applyFont="1" applyFill="1" applyAlignment="1">
      <alignment horizontal="left"/>
    </xf>
    <xf numFmtId="49" fontId="3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D73"/>
  <sheetViews>
    <sheetView tabSelected="1" zoomScaleNormal="100" workbookViewId="0">
      <pane ySplit="1" topLeftCell="A53" activePane="bottomLeft" state="frozen"/>
      <selection pane="bottomLeft" activeCell="B57" sqref="B57"/>
    </sheetView>
  </sheetViews>
  <sheetFormatPr defaultColWidth="9.140625" defaultRowHeight="15.9"/>
  <cols>
    <col min="1" max="2" width="9.5703125" style="2" bestFit="1" customWidth="1"/>
    <col min="3" max="3" width="42.7109375" style="2" bestFit="1" customWidth="1"/>
    <col min="4" max="4" width="114.570312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13</v>
      </c>
      <c r="B2" s="7"/>
    </row>
    <row r="3" spans="1:4">
      <c r="A3" s="2" t="s">
        <v>83</v>
      </c>
      <c r="B3" s="7" t="s">
        <v>113</v>
      </c>
      <c r="C3" s="2" t="s">
        <v>100</v>
      </c>
      <c r="D3" s="8"/>
    </row>
    <row r="4" spans="1:4">
      <c r="A4" s="2" t="str">
        <f t="shared" ref="A4:A73" si="0">DEC2HEX(HEX2DEC(A3)+4,8)</f>
        <v>0010421C</v>
      </c>
      <c r="B4" s="7" t="s">
        <v>114</v>
      </c>
      <c r="C4" s="2" t="s">
        <v>99</v>
      </c>
      <c r="D4" s="8" t="s">
        <v>74</v>
      </c>
    </row>
    <row r="5" spans="1:4">
      <c r="A5" s="2" t="str">
        <f t="shared" si="0"/>
        <v>00104220</v>
      </c>
      <c r="B5" s="7" t="s">
        <v>6</v>
      </c>
      <c r="C5" s="2" t="s">
        <v>7</v>
      </c>
      <c r="D5" s="8"/>
    </row>
    <row r="6" spans="1:4">
      <c r="A6" s="2" t="str">
        <f t="shared" si="0"/>
        <v>00104224</v>
      </c>
      <c r="B6" s="9" t="s">
        <v>4</v>
      </c>
      <c r="C6" s="2" t="s">
        <v>5</v>
      </c>
    </row>
    <row r="7" spans="1:4">
      <c r="A7" s="13" t="str">
        <f t="shared" si="0"/>
        <v>00104228</v>
      </c>
      <c r="B7" s="13" t="s">
        <v>14</v>
      </c>
      <c r="C7" s="3" t="s">
        <v>15</v>
      </c>
      <c r="D7" s="3" t="s">
        <v>16</v>
      </c>
    </row>
    <row r="8" spans="1:4">
      <c r="A8" s="13" t="str">
        <f t="shared" si="0"/>
        <v>0010422C</v>
      </c>
      <c r="B8" s="13" t="s">
        <v>17</v>
      </c>
      <c r="C8" s="14" t="s">
        <v>18</v>
      </c>
      <c r="D8" s="3"/>
    </row>
    <row r="9" spans="1:4">
      <c r="A9" s="13" t="str">
        <f t="shared" si="0"/>
        <v>00104230</v>
      </c>
      <c r="B9" s="13" t="s">
        <v>115</v>
      </c>
      <c r="C9" s="14" t="s">
        <v>8</v>
      </c>
      <c r="D9" s="3"/>
    </row>
    <row r="10" spans="1:4">
      <c r="A10" s="15" t="str">
        <f t="shared" si="0"/>
        <v>00104234</v>
      </c>
      <c r="B10" s="15" t="s">
        <v>19</v>
      </c>
      <c r="C10" s="14" t="s">
        <v>20</v>
      </c>
      <c r="D10" s="3"/>
    </row>
    <row r="11" spans="1:4">
      <c r="A11" s="20" t="str">
        <f t="shared" si="0"/>
        <v>00104238</v>
      </c>
      <c r="B11" s="20" t="s">
        <v>21</v>
      </c>
      <c r="C11" s="21" t="s">
        <v>22</v>
      </c>
      <c r="D11" s="19" t="s">
        <v>58</v>
      </c>
    </row>
    <row r="12" spans="1:4">
      <c r="A12" s="20" t="str">
        <f t="shared" si="0"/>
        <v>0010423C</v>
      </c>
      <c r="B12" s="20" t="s">
        <v>26</v>
      </c>
      <c r="C12" s="21" t="s">
        <v>27</v>
      </c>
      <c r="D12" s="19"/>
    </row>
    <row r="13" spans="1:4">
      <c r="A13" s="20" t="str">
        <f t="shared" si="0"/>
        <v>00104240</v>
      </c>
      <c r="B13" s="20" t="s">
        <v>116</v>
      </c>
      <c r="C13" s="21" t="s">
        <v>23</v>
      </c>
      <c r="D13" s="19"/>
    </row>
    <row r="14" spans="1:4">
      <c r="A14" s="20" t="str">
        <f t="shared" si="0"/>
        <v>00104244</v>
      </c>
      <c r="B14" s="20" t="s">
        <v>85</v>
      </c>
      <c r="C14" s="21" t="s">
        <v>59</v>
      </c>
      <c r="D14" s="19"/>
    </row>
    <row r="15" spans="1:4">
      <c r="A15" s="17" t="str">
        <f t="shared" si="0"/>
        <v>00104248</v>
      </c>
      <c r="B15" s="17" t="s">
        <v>21</v>
      </c>
      <c r="C15" s="18" t="s">
        <v>22</v>
      </c>
      <c r="D15" s="16" t="s">
        <v>56</v>
      </c>
    </row>
    <row r="16" spans="1:4">
      <c r="A16" s="17" t="str">
        <f t="shared" si="0"/>
        <v>0010424C</v>
      </c>
      <c r="B16" s="17" t="s">
        <v>86</v>
      </c>
      <c r="C16" s="18" t="s">
        <v>57</v>
      </c>
      <c r="D16" s="16"/>
    </row>
    <row r="17" spans="1:4">
      <c r="A17" s="17" t="str">
        <f t="shared" si="0"/>
        <v>00104250</v>
      </c>
      <c r="B17" s="17" t="s">
        <v>84</v>
      </c>
      <c r="C17" s="18" t="s">
        <v>23</v>
      </c>
      <c r="D17" s="16"/>
    </row>
    <row r="18" spans="1:4">
      <c r="A18" s="17" t="str">
        <f t="shared" si="0"/>
        <v>00104254</v>
      </c>
      <c r="B18" s="17" t="s">
        <v>10</v>
      </c>
      <c r="C18" s="18" t="s">
        <v>9</v>
      </c>
      <c r="D18" s="16"/>
    </row>
    <row r="19" spans="1:4">
      <c r="A19" s="23" t="str">
        <f t="shared" si="0"/>
        <v>00104258</v>
      </c>
      <c r="B19" s="23" t="s">
        <v>117</v>
      </c>
      <c r="C19" s="24" t="s">
        <v>135</v>
      </c>
      <c r="D19" s="22" t="s">
        <v>60</v>
      </c>
    </row>
    <row r="20" spans="1:4">
      <c r="A20" s="23" t="str">
        <f t="shared" si="0"/>
        <v>0010425C</v>
      </c>
      <c r="B20" s="23" t="s">
        <v>87</v>
      </c>
      <c r="C20" s="24" t="s">
        <v>61</v>
      </c>
      <c r="D20" s="22" t="s">
        <v>62</v>
      </c>
    </row>
    <row r="21" spans="1:4">
      <c r="A21" s="28" t="str">
        <f t="shared" si="0"/>
        <v>00104260</v>
      </c>
      <c r="B21" s="28" t="s">
        <v>118</v>
      </c>
      <c r="C21" s="29" t="str">
        <f>_xlfn.CONCAT("bhs 0x",A51)</f>
        <v>bhs 0x001042D8</v>
      </c>
      <c r="D21" s="4" t="s">
        <v>63</v>
      </c>
    </row>
    <row r="22" spans="1:4">
      <c r="A22" s="26" t="str">
        <f t="shared" si="0"/>
        <v>00104264</v>
      </c>
      <c r="B22" s="26" t="s">
        <v>119</v>
      </c>
      <c r="C22" s="25" t="s">
        <v>101</v>
      </c>
      <c r="D22" s="25"/>
    </row>
    <row r="23" spans="1:4">
      <c r="A23" s="26" t="str">
        <f t="shared" si="0"/>
        <v>00104268</v>
      </c>
      <c r="B23" s="26" t="s">
        <v>120</v>
      </c>
      <c r="C23" s="25" t="s">
        <v>102</v>
      </c>
      <c r="D23" s="25" t="s">
        <v>103</v>
      </c>
    </row>
    <row r="24" spans="1:4">
      <c r="A24" s="26" t="str">
        <f t="shared" si="0"/>
        <v>0010426C</v>
      </c>
      <c r="B24" s="26" t="s">
        <v>121</v>
      </c>
      <c r="C24" s="27" t="s">
        <v>98</v>
      </c>
      <c r="D24" s="25"/>
    </row>
    <row r="25" spans="1:4">
      <c r="A25" s="26" t="str">
        <f t="shared" si="0"/>
        <v>00104270</v>
      </c>
      <c r="B25" s="26" t="s">
        <v>122</v>
      </c>
      <c r="C25" s="27" t="s">
        <v>104</v>
      </c>
      <c r="D25" s="25"/>
    </row>
    <row r="26" spans="1:4">
      <c r="A26" s="26" t="str">
        <f t="shared" si="0"/>
        <v>00104274</v>
      </c>
      <c r="B26" s="26" t="s">
        <v>123</v>
      </c>
      <c r="C26" s="27" t="s">
        <v>105</v>
      </c>
      <c r="D26" s="25"/>
    </row>
    <row r="27" spans="1:4">
      <c r="A27" s="26" t="str">
        <f t="shared" si="0"/>
        <v>00104278</v>
      </c>
      <c r="B27" s="26" t="s">
        <v>21</v>
      </c>
      <c r="C27" s="25" t="s">
        <v>22</v>
      </c>
      <c r="D27" s="25"/>
    </row>
    <row r="28" spans="1:4">
      <c r="A28" s="26" t="str">
        <f t="shared" si="0"/>
        <v>0010427C</v>
      </c>
      <c r="B28" s="26" t="s">
        <v>124</v>
      </c>
      <c r="C28" s="27" t="s">
        <v>23</v>
      </c>
      <c r="D28" s="25"/>
    </row>
    <row r="29" spans="1:4">
      <c r="A29" s="26" t="str">
        <f t="shared" si="0"/>
        <v>00104280</v>
      </c>
      <c r="B29" s="26" t="s">
        <v>125</v>
      </c>
      <c r="C29" s="27" t="s">
        <v>106</v>
      </c>
      <c r="D29" s="25"/>
    </row>
    <row r="30" spans="1:4">
      <c r="A30" s="26" t="str">
        <f t="shared" si="0"/>
        <v>00104284</v>
      </c>
      <c r="B30" s="26" t="s">
        <v>126</v>
      </c>
      <c r="C30" s="27" t="str">
        <f>_xlfn.CONCAT("blo 0x",A35)</f>
        <v>blo 0x00104298</v>
      </c>
      <c r="D30" s="25" t="s">
        <v>107</v>
      </c>
    </row>
    <row r="31" spans="1:4">
      <c r="A31" s="26" t="str">
        <f t="shared" si="0"/>
        <v>00104288</v>
      </c>
      <c r="B31" s="26" t="s">
        <v>127</v>
      </c>
      <c r="C31" s="27" t="s">
        <v>109</v>
      </c>
      <c r="D31" s="25" t="s">
        <v>108</v>
      </c>
    </row>
    <row r="32" spans="1:4">
      <c r="A32" s="26" t="str">
        <f t="shared" si="0"/>
        <v>0010428C</v>
      </c>
      <c r="B32" s="26" t="s">
        <v>128</v>
      </c>
      <c r="C32" s="27" t="s">
        <v>110</v>
      </c>
      <c r="D32" s="25" t="s">
        <v>111</v>
      </c>
    </row>
    <row r="33" spans="1:4">
      <c r="A33" s="26" t="str">
        <f t="shared" si="0"/>
        <v>00104290</v>
      </c>
      <c r="B33" s="26" t="s">
        <v>129</v>
      </c>
      <c r="C33" s="27" t="str">
        <f>_xlfn.CONCAT("blo 0x",A23)</f>
        <v>blo 0x00104268</v>
      </c>
      <c r="D33" s="25"/>
    </row>
    <row r="34" spans="1:4">
      <c r="A34" s="26" t="str">
        <f t="shared" si="0"/>
        <v>00104294</v>
      </c>
      <c r="B34" s="26" t="s">
        <v>130</v>
      </c>
      <c r="C34" s="27" t="str">
        <f>_xlfn.CONCAT("b 0x",A51)</f>
        <v>b 0x001042D8</v>
      </c>
      <c r="D34" s="25" t="s">
        <v>112</v>
      </c>
    </row>
    <row r="35" spans="1:4">
      <c r="A35" s="31" t="str">
        <f t="shared" si="0"/>
        <v>00104298</v>
      </c>
      <c r="B35" s="31" t="s">
        <v>12</v>
      </c>
      <c r="C35" t="s">
        <v>11</v>
      </c>
      <c r="D35"/>
    </row>
    <row r="36" spans="1:4">
      <c r="A36" s="31" t="str">
        <f t="shared" si="0"/>
        <v>0010429C</v>
      </c>
      <c r="B36" s="31" t="s">
        <v>26</v>
      </c>
      <c r="C36" t="s">
        <v>27</v>
      </c>
      <c r="D36"/>
    </row>
    <row r="37" spans="1:4">
      <c r="A37" s="31" t="str">
        <f t="shared" si="0"/>
        <v>001042A0</v>
      </c>
      <c r="B37" s="31" t="s">
        <v>14</v>
      </c>
      <c r="C37" t="s">
        <v>15</v>
      </c>
      <c r="D37"/>
    </row>
    <row r="38" spans="1:4">
      <c r="A38" s="31" t="str">
        <f t="shared" si="0"/>
        <v>001042A4</v>
      </c>
      <c r="B38" s="31" t="s">
        <v>131</v>
      </c>
      <c r="C38" t="s">
        <v>28</v>
      </c>
      <c r="D38"/>
    </row>
    <row r="39" spans="1:4">
      <c r="A39" s="31" t="str">
        <f t="shared" si="0"/>
        <v>001042A8</v>
      </c>
      <c r="B39" s="31" t="s">
        <v>29</v>
      </c>
      <c r="C39" t="s">
        <v>30</v>
      </c>
      <c r="D39"/>
    </row>
    <row r="40" spans="1:4">
      <c r="A40" s="31" t="str">
        <f t="shared" si="0"/>
        <v>001042AC</v>
      </c>
      <c r="B40" s="31" t="s">
        <v>31</v>
      </c>
      <c r="C40" t="s">
        <v>32</v>
      </c>
      <c r="D40"/>
    </row>
    <row r="41" spans="1:4">
      <c r="A41" s="31" t="str">
        <f t="shared" si="0"/>
        <v>001042B0</v>
      </c>
      <c r="B41" s="31" t="s">
        <v>33</v>
      </c>
      <c r="C41" t="s">
        <v>34</v>
      </c>
      <c r="D41" t="s">
        <v>35</v>
      </c>
    </row>
    <row r="42" spans="1:4">
      <c r="A42" s="31" t="str">
        <f t="shared" si="0"/>
        <v>001042B4</v>
      </c>
      <c r="B42" s="31" t="s">
        <v>36</v>
      </c>
      <c r="C42" t="s">
        <v>37</v>
      </c>
      <c r="D42" t="s">
        <v>38</v>
      </c>
    </row>
    <row r="43" spans="1:4">
      <c r="A43" s="31" t="str">
        <f t="shared" si="0"/>
        <v>001042B8</v>
      </c>
      <c r="B43" s="31" t="s">
        <v>39</v>
      </c>
      <c r="C43" t="s">
        <v>40</v>
      </c>
      <c r="D43" t="s">
        <v>41</v>
      </c>
    </row>
    <row r="44" spans="1:4">
      <c r="A44" s="31" t="str">
        <f t="shared" si="0"/>
        <v>001042BC</v>
      </c>
      <c r="B44" s="31" t="s">
        <v>42</v>
      </c>
      <c r="C44" t="s">
        <v>43</v>
      </c>
      <c r="D44" t="s">
        <v>44</v>
      </c>
    </row>
    <row r="45" spans="1:4">
      <c r="A45" s="31" t="str">
        <f t="shared" si="0"/>
        <v>001042C0</v>
      </c>
      <c r="B45" s="31" t="s">
        <v>45</v>
      </c>
      <c r="C45" t="s">
        <v>46</v>
      </c>
      <c r="D45" t="s">
        <v>47</v>
      </c>
    </row>
    <row r="46" spans="1:4">
      <c r="A46" s="31" t="str">
        <f t="shared" si="0"/>
        <v>001042C4</v>
      </c>
      <c r="B46" s="31" t="s">
        <v>48</v>
      </c>
      <c r="C46" t="s">
        <v>49</v>
      </c>
      <c r="D46" t="s">
        <v>50</v>
      </c>
    </row>
    <row r="47" spans="1:4">
      <c r="A47" s="31" t="str">
        <f t="shared" si="0"/>
        <v>001042C8</v>
      </c>
      <c r="B47" s="31" t="s">
        <v>51</v>
      </c>
      <c r="C47" t="s">
        <v>52</v>
      </c>
      <c r="D47"/>
    </row>
    <row r="48" spans="1:4">
      <c r="A48" s="31" t="str">
        <f t="shared" si="0"/>
        <v>001042CC</v>
      </c>
      <c r="B48" s="31" t="s">
        <v>14</v>
      </c>
      <c r="C48" t="s">
        <v>15</v>
      </c>
      <c r="D48"/>
    </row>
    <row r="49" spans="1:4">
      <c r="A49" s="31" t="str">
        <f t="shared" si="0"/>
        <v>001042D0</v>
      </c>
      <c r="B49" s="31" t="s">
        <v>53</v>
      </c>
      <c r="C49" t="s">
        <v>54</v>
      </c>
      <c r="D49"/>
    </row>
    <row r="50" spans="1:4">
      <c r="A50" s="31" t="str">
        <f t="shared" si="0"/>
        <v>001042D4</v>
      </c>
      <c r="B50" s="31" t="s">
        <v>136</v>
      </c>
      <c r="C50" s="8" t="str">
        <f>_xlfn.CONCAT("b 0x",A71)</f>
        <v>b 0x00104328</v>
      </c>
    </row>
    <row r="51" spans="1:4">
      <c r="A51" s="28" t="str">
        <f t="shared" si="0"/>
        <v>001042D8</v>
      </c>
      <c r="B51" s="28" t="s">
        <v>12</v>
      </c>
      <c r="C51" s="29" t="s">
        <v>11</v>
      </c>
      <c r="D51" s="4" t="s">
        <v>64</v>
      </c>
    </row>
    <row r="52" spans="1:4">
      <c r="A52" s="28" t="str">
        <f t="shared" si="0"/>
        <v>001042DC</v>
      </c>
      <c r="B52" s="28" t="s">
        <v>88</v>
      </c>
      <c r="C52" s="29" t="s">
        <v>65</v>
      </c>
      <c r="D52" s="4"/>
    </row>
    <row r="53" spans="1:4">
      <c r="A53" s="28" t="str">
        <f t="shared" si="0"/>
        <v>001042E0</v>
      </c>
      <c r="B53" s="28" t="s">
        <v>14</v>
      </c>
      <c r="C53" s="29" t="s">
        <v>15</v>
      </c>
      <c r="D53" s="4"/>
    </row>
    <row r="54" spans="1:4">
      <c r="A54" s="28" t="str">
        <f t="shared" si="0"/>
        <v>001042E4</v>
      </c>
      <c r="B54" s="28" t="s">
        <v>132</v>
      </c>
      <c r="C54" s="29" t="s">
        <v>28</v>
      </c>
      <c r="D54" s="4"/>
    </row>
    <row r="55" spans="1:4">
      <c r="A55" s="28" t="str">
        <f t="shared" si="0"/>
        <v>001042E8</v>
      </c>
      <c r="B55" s="28" t="s">
        <v>24</v>
      </c>
      <c r="C55" s="29" t="s">
        <v>25</v>
      </c>
      <c r="D55" s="4"/>
    </row>
    <row r="56" spans="1:4">
      <c r="A56" s="10" t="str">
        <f t="shared" si="0"/>
        <v>001042EC</v>
      </c>
      <c r="B56" s="10" t="s">
        <v>89</v>
      </c>
      <c r="C56" s="11" t="s">
        <v>67</v>
      </c>
      <c r="D56" s="5" t="s">
        <v>66</v>
      </c>
    </row>
    <row r="57" spans="1:4">
      <c r="A57" s="10" t="str">
        <f t="shared" si="0"/>
        <v>001042F0</v>
      </c>
      <c r="B57" s="10" t="s">
        <v>143</v>
      </c>
      <c r="C57" s="11" t="s">
        <v>141</v>
      </c>
      <c r="D57" s="5" t="s">
        <v>140</v>
      </c>
    </row>
    <row r="58" spans="1:4">
      <c r="A58" s="10" t="str">
        <f t="shared" si="0"/>
        <v>001042F4</v>
      </c>
      <c r="B58" s="10" t="s">
        <v>90</v>
      </c>
      <c r="C58" s="5" t="s">
        <v>69</v>
      </c>
      <c r="D58" s="5" t="s">
        <v>70</v>
      </c>
    </row>
    <row r="59" spans="1:4">
      <c r="A59" s="10" t="str">
        <f t="shared" si="0"/>
        <v>001042F8</v>
      </c>
      <c r="B59" s="10" t="s">
        <v>91</v>
      </c>
      <c r="C59" s="5" t="s">
        <v>71</v>
      </c>
      <c r="D59" s="5" t="s">
        <v>142</v>
      </c>
    </row>
    <row r="60" spans="1:4">
      <c r="A60" s="10" t="str">
        <f t="shared" si="0"/>
        <v>001042FC</v>
      </c>
      <c r="B60" s="10" t="s">
        <v>92</v>
      </c>
      <c r="C60" s="5" t="s">
        <v>72</v>
      </c>
      <c r="D60" s="5" t="s">
        <v>73</v>
      </c>
    </row>
    <row r="61" spans="1:4">
      <c r="A61" s="10" t="str">
        <f t="shared" si="0"/>
        <v>00104300</v>
      </c>
      <c r="B61" s="10" t="s">
        <v>93</v>
      </c>
      <c r="C61" s="5" t="s">
        <v>78</v>
      </c>
      <c r="D61" s="5"/>
    </row>
    <row r="62" spans="1:4">
      <c r="A62" s="30" t="str">
        <f t="shared" si="0"/>
        <v>00104304</v>
      </c>
      <c r="B62" s="30" t="s">
        <v>94</v>
      </c>
      <c r="C62" s="6" t="s">
        <v>75</v>
      </c>
      <c r="D62" s="6" t="s">
        <v>81</v>
      </c>
    </row>
    <row r="63" spans="1:4">
      <c r="A63" s="30" t="str">
        <f t="shared" si="0"/>
        <v>00104308</v>
      </c>
      <c r="B63" s="30" t="s">
        <v>95</v>
      </c>
      <c r="C63" s="6" t="s">
        <v>76</v>
      </c>
      <c r="D63" s="6"/>
    </row>
    <row r="64" spans="1:4">
      <c r="A64" s="30" t="str">
        <f t="shared" si="0"/>
        <v>0010430C</v>
      </c>
      <c r="B64" s="30" t="s">
        <v>96</v>
      </c>
      <c r="C64" s="6" t="s">
        <v>77</v>
      </c>
      <c r="D64" s="6"/>
    </row>
    <row r="65" spans="1:4">
      <c r="A65" s="30" t="str">
        <f t="shared" si="0"/>
        <v>00104310</v>
      </c>
      <c r="B65" s="30" t="s">
        <v>137</v>
      </c>
      <c r="C65" s="6" t="s">
        <v>79</v>
      </c>
      <c r="D65" s="6"/>
    </row>
    <row r="66" spans="1:4">
      <c r="A66" s="30" t="str">
        <f t="shared" si="0"/>
        <v>00104314</v>
      </c>
      <c r="B66" s="30" t="s">
        <v>17</v>
      </c>
      <c r="C66" s="6" t="s">
        <v>18</v>
      </c>
      <c r="D66" s="6" t="s">
        <v>82</v>
      </c>
    </row>
    <row r="67" spans="1:4">
      <c r="A67" s="30" t="str">
        <f t="shared" si="0"/>
        <v>00104318</v>
      </c>
      <c r="B67" s="30" t="s">
        <v>96</v>
      </c>
      <c r="C67" s="6" t="s">
        <v>77</v>
      </c>
      <c r="D67" s="6"/>
    </row>
    <row r="68" spans="1:4">
      <c r="A68" s="30" t="str">
        <f t="shared" si="0"/>
        <v>0010431C</v>
      </c>
      <c r="B68" s="30" t="s">
        <v>138</v>
      </c>
      <c r="C68" s="6" t="s">
        <v>80</v>
      </c>
      <c r="D68" s="6"/>
    </row>
    <row r="69" spans="1:4">
      <c r="A69" s="30" t="str">
        <f t="shared" si="0"/>
        <v>00104320</v>
      </c>
      <c r="B69" s="30" t="s">
        <v>97</v>
      </c>
      <c r="C69" s="6" t="s">
        <v>68</v>
      </c>
      <c r="D69" s="6"/>
    </row>
    <row r="70" spans="1:4">
      <c r="A70" s="30" t="str">
        <f t="shared" si="0"/>
        <v>00104324</v>
      </c>
      <c r="B70" s="30" t="s">
        <v>14</v>
      </c>
      <c r="C70" s="6" t="s">
        <v>15</v>
      </c>
      <c r="D70" s="6"/>
    </row>
    <row r="71" spans="1:4">
      <c r="A71" s="2" t="str">
        <f t="shared" si="0"/>
        <v>00104328</v>
      </c>
      <c r="B71" s="12" t="s">
        <v>133</v>
      </c>
      <c r="C71" s="2" t="str">
        <f>SUBSTITUTE(C3,"push","pop")</f>
        <v>pop {r4, r5, r6, r7, r8, r9, r10, lr}</v>
      </c>
    </row>
    <row r="72" spans="1:4">
      <c r="A72" s="2" t="str">
        <f t="shared" si="0"/>
        <v>0010432C</v>
      </c>
      <c r="B72" s="12" t="s">
        <v>139</v>
      </c>
      <c r="C72" s="2" t="s">
        <v>55</v>
      </c>
    </row>
    <row r="73" spans="1:4">
      <c r="A73" s="2" t="str">
        <f t="shared" si="0"/>
        <v>00104330</v>
      </c>
      <c r="B73" s="12" t="s">
        <v>134</v>
      </c>
      <c r="C73" s="2" t="str">
        <f>SUBSTITUTE(C71,"lr","pc")</f>
        <v>pop {r4, r5, r6, r7, r8, r9, r10, pc}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Edited 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2026-06-19T20:12:51Z</dcterms:modified>
</cp:coreProperties>
</file>