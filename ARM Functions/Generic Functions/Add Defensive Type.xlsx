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ropbox\ROM\3ds\USUM ARM research\Generic Functions\"/>
    </mc:Choice>
  </mc:AlternateContent>
  <xr:revisionPtr revIDLastSave="0" documentId="13_ncr:1_{4A34E615-13D0-4FC5-B429-651677653A89}" xr6:coauthVersionLast="47" xr6:coauthVersionMax="47" xr10:uidLastSave="{00000000-0000-0000-0000-000000000000}"/>
  <bookViews>
    <workbookView xWindow="0" yWindow="0" windowWidth="16457" windowHeight="17914" xr2:uid="{B799EF1B-5053-4CCB-86FD-9DE61DA537F2}"/>
  </bookViews>
  <sheets>
    <sheet name="Add Defensive Type New" sheetId="3" r:id="rId1"/>
    <sheet name="Add Defensive Type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" i="3" l="1"/>
  <c r="A57" i="3" s="1"/>
  <c r="A58" i="3" s="1"/>
  <c r="A59" i="3" s="1"/>
  <c r="A60" i="3" s="1"/>
  <c r="A61" i="3" s="1"/>
  <c r="A62" i="3" s="1"/>
  <c r="A63" i="3" s="1"/>
  <c r="A64" i="3" s="1"/>
  <c r="C59" i="3" l="1"/>
  <c r="A65" i="3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C83" i="3" l="1"/>
  <c r="A4" i="3" l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l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C96" i="3"/>
  <c r="C27" i="3" l="1"/>
  <c r="A55" i="3"/>
  <c r="C15" i="3" l="1"/>
  <c r="C80" i="3" l="1"/>
  <c r="C77" i="3"/>
  <c r="C46" i="3"/>
  <c r="C49" i="3" s="1"/>
  <c r="C63" i="3" l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C74" i="1"/>
  <c r="C77" i="1" s="1"/>
  <c r="C71" i="3" l="1"/>
  <c r="A48" i="1"/>
  <c r="A49" i="1" s="1"/>
  <c r="A50" i="1" s="1"/>
  <c r="A51" i="1" s="1"/>
  <c r="A52" i="1" s="1"/>
  <c r="C43" i="1"/>
  <c r="C95" i="3" l="1"/>
  <c r="C64" i="3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C37" i="1"/>
  <c r="A65" i="1" l="1"/>
  <c r="A66" i="1" s="1"/>
  <c r="A67" i="1" s="1"/>
  <c r="A68" i="1" s="1"/>
  <c r="A69" i="1" s="1"/>
  <c r="C60" i="1"/>
  <c r="C62" i="1" l="1"/>
  <c r="C58" i="1"/>
  <c r="A70" i="1"/>
  <c r="A71" i="1" s="1"/>
  <c r="C51" i="1"/>
  <c r="C67" i="1" l="1"/>
  <c r="C48" i="1"/>
  <c r="C63" i="1"/>
  <c r="A72" i="1"/>
  <c r="A73" i="1" s="1"/>
  <c r="C50" i="1"/>
  <c r="C46" i="1"/>
  <c r="C65" i="1"/>
  <c r="C10" i="3" l="1"/>
  <c r="C45" i="1"/>
  <c r="A74" i="1"/>
  <c r="C68" i="1"/>
  <c r="C41" i="1"/>
  <c r="C36" i="3" l="1"/>
  <c r="A75" i="1"/>
  <c r="A76" i="1" s="1"/>
  <c r="A77" i="1" s="1"/>
  <c r="C72" i="1"/>
  <c r="C70" i="1"/>
  <c r="C39" i="1" l="1"/>
  <c r="C11" i="1"/>
  <c r="C19" i="1"/>
</calcChain>
</file>

<file path=xl/sharedStrings.xml><?xml version="1.0" encoding="utf-8"?>
<sst xmlns="http://schemas.openxmlformats.org/spreadsheetml/2006/main" count="429" uniqueCount="338">
  <si>
    <t>F08DBDE8</t>
  </si>
  <si>
    <t>b 0x00082D44</t>
  </si>
  <si>
    <t>5110FEEA</t>
  </si>
  <si>
    <t>mov r0, 0x3D</t>
  </si>
  <si>
    <t>3D00A0E3</t>
  </si>
  <si>
    <t>F04DBDE8</t>
  </si>
  <si>
    <t>set SE</t>
  </si>
  <si>
    <t>mov r1, 0x8</t>
  </si>
  <si>
    <t>0810A0E3</t>
  </si>
  <si>
    <t>000000EA</t>
  </si>
  <si>
    <t>Set E</t>
  </si>
  <si>
    <t>mov r1, 0x7</t>
  </si>
  <si>
    <t>0710A0E3</t>
  </si>
  <si>
    <t>020000EA</t>
  </si>
  <si>
    <t>Set NVE</t>
  </si>
  <si>
    <t>mov r1, 0x6</t>
  </si>
  <si>
    <t>0610A0E3</t>
  </si>
  <si>
    <t>0300001A</t>
  </si>
  <si>
    <t>phase 0x4E becomes E, otherwise leave as SE</t>
  </si>
  <si>
    <t>0200000A</t>
  </si>
  <si>
    <t>only case left is 0x10 (both weak)</t>
  </si>
  <si>
    <t>cmp r9, 0x4E</t>
  </si>
  <si>
    <t>4E0059E3</t>
  </si>
  <si>
    <t>E</t>
  </si>
  <si>
    <t>0400000A</t>
  </si>
  <si>
    <t>Case 0xF, change both to E</t>
  </si>
  <si>
    <t>cmp r0, 0xF</t>
  </si>
  <si>
    <t>0F0050E3</t>
  </si>
  <si>
    <t>0600001A</t>
  </si>
  <si>
    <t>NVE</t>
  </si>
  <si>
    <t>0500000A</t>
  </si>
  <si>
    <t>go to handling for case C and D</t>
  </si>
  <si>
    <t>0200001A</t>
  </si>
  <si>
    <t>case 0xE, change to NVE/E</t>
  </si>
  <si>
    <t>cmp r0, 0xE</t>
  </si>
  <si>
    <t>0E0050E3</t>
  </si>
  <si>
    <t>0900000A</t>
  </si>
  <si>
    <t>case single NVE, then modify to be NVE in any case</t>
  </si>
  <si>
    <t>cmpne r0, 0xD</t>
  </si>
  <si>
    <t>0D005013</t>
  </si>
  <si>
    <t>if already double NVE, nothing to do, apply NVE twice for special</t>
  </si>
  <si>
    <t>cmp r0, 0xC</t>
  </si>
  <si>
    <t>0C0050E3</t>
  </si>
  <si>
    <t>set to 0xC</t>
  </si>
  <si>
    <t>movlo r0, 0xC</t>
  </si>
  <si>
    <t>0C00A033</t>
  </si>
  <si>
    <t>if r0 &lt; 0xC</t>
  </si>
  <si>
    <t>treat as one less than it really is if so</t>
  </si>
  <si>
    <t>subeq r0, r0, 0x1</t>
  </si>
  <si>
    <t>01004002</t>
  </si>
  <si>
    <t>check if apply-twice type</t>
  </si>
  <si>
    <t>cmp r6, r11</t>
  </si>
  <si>
    <t>0B0056E1</t>
  </si>
  <si>
    <t>1000001A</t>
  </si>
  <si>
    <t>phase 0x4E becomes E, otherwise leave as NE</t>
  </si>
  <si>
    <t>1300000A</t>
  </si>
  <si>
    <t>only case left is 0xC (both resist)</t>
  </si>
  <si>
    <t>1500000A</t>
  </si>
  <si>
    <t>Case 0xD, change both to E</t>
  </si>
  <si>
    <t>cmp r0, 0xD</t>
  </si>
  <si>
    <t>0D0050E3</t>
  </si>
  <si>
    <t>1700001A</t>
  </si>
  <si>
    <t>SE</t>
  </si>
  <si>
    <t>1A00000A</t>
  </si>
  <si>
    <t>case 0xE, change to SE only in phase 0x4E</t>
  </si>
  <si>
    <t>1E00000A</t>
  </si>
  <si>
    <t>case single SE, then modify to be SE in any case</t>
  </si>
  <si>
    <t>2400000A</t>
  </si>
  <si>
    <t>if already double SE, nothing to do</t>
  </si>
  <si>
    <t>cmp r0, 0x10</t>
  </si>
  <si>
    <t>100050E3</t>
  </si>
  <si>
    <t>Go to NVE handling, otherwise begin SE handling</t>
  </si>
  <si>
    <t>0D00003A</t>
  </si>
  <si>
    <t>Injected Type mod</t>
  </si>
  <si>
    <t>cmp r10, 0x7</t>
  </si>
  <si>
    <t>07005AE3</t>
  </si>
  <si>
    <t>r0 is combined. 12 = 1/4, 13 = NVE, 14 = E, 15 = SE, 16 = 4x</t>
  </si>
  <si>
    <t>add r0, r7, r8</t>
  </si>
  <si>
    <t>080087E0</t>
  </si>
  <si>
    <t>r7 = Eff. On Type 2</t>
  </si>
  <si>
    <t>mov r8, r0</t>
  </si>
  <si>
    <t>0080A0E1</t>
  </si>
  <si>
    <t>Effectiveness of Move on Type 2</t>
  </si>
  <si>
    <t>bl 0x000FDEB8</t>
  </si>
  <si>
    <t>D9FCFFEB</t>
  </si>
  <si>
    <t>mov r1, r2</t>
  </si>
  <si>
    <t>0210A0E1</t>
  </si>
  <si>
    <t>mov r0, r6</t>
  </si>
  <si>
    <t>0600A0E1</t>
  </si>
  <si>
    <t>r7 = Eff. On Type 1</t>
  </si>
  <si>
    <t>mov r7, r0</t>
  </si>
  <si>
    <t>0070A0E1</t>
  </si>
  <si>
    <t>Effectiveness of Move on Type 1</t>
  </si>
  <si>
    <t>DDFCFFEB</t>
  </si>
  <si>
    <t>r2 = Type 2</t>
  </si>
  <si>
    <t>and r2, r2, 0x1F</t>
  </si>
  <si>
    <t>1F2002E2</t>
  </si>
  <si>
    <t>lsr r2, r0, 0x5</t>
  </si>
  <si>
    <t>A022A0E1</t>
  </si>
  <si>
    <t>r1 = Type 1</t>
  </si>
  <si>
    <t>and r1, r0, 0x1F</t>
  </si>
  <si>
    <t>1F1000E2</t>
  </si>
  <si>
    <t>bl 0x0008DFDC</t>
  </si>
  <si>
    <t>2B3DFEEB</t>
  </si>
  <si>
    <t>get pointer</t>
  </si>
  <si>
    <t>bl 0x00092298</t>
  </si>
  <si>
    <t>DB4DFEEB</t>
  </si>
  <si>
    <t>mov r0, r5</t>
  </si>
  <si>
    <t>0500A0E1</t>
  </si>
  <si>
    <t>mov r1, r4</t>
  </si>
  <si>
    <t>0410A0E1</t>
  </si>
  <si>
    <t>save this in r10</t>
  </si>
  <si>
    <t>mov r10, r0</t>
  </si>
  <si>
    <t>00A0A0E1</t>
  </si>
  <si>
    <t>if so do nothing</t>
  </si>
  <si>
    <t>3800000A</t>
  </si>
  <si>
    <t>check if move is neutral on target type</t>
  </si>
  <si>
    <t>cmp r0, 0x7</t>
  </si>
  <si>
    <t>070050E3</t>
  </si>
  <si>
    <t>Effectiveness of Move on Target Type</t>
  </si>
  <si>
    <t>E9FCFFEB</t>
  </si>
  <si>
    <t>invoke target type</t>
  </si>
  <si>
    <t>mov r1, r7</t>
  </si>
  <si>
    <t>0710A0E1</t>
  </si>
  <si>
    <t>r6 = Type of Move used</t>
  </si>
  <si>
    <t>mov r6, r0</t>
  </si>
  <si>
    <t>0060A0E1</t>
  </si>
  <si>
    <t xml:space="preserve">bl 0x00087B58 </t>
  </si>
  <si>
    <t>1524FEEB</t>
  </si>
  <si>
    <t>get move used Type</t>
  </si>
  <si>
    <t>mov r0, 0x19</t>
  </si>
  <si>
    <t>1900A0E3</t>
  </si>
  <si>
    <t>4000001A</t>
  </si>
  <si>
    <t>cmp r0, r4</t>
  </si>
  <si>
    <t>040050E1</t>
  </si>
  <si>
    <t>1924FEEB</t>
  </si>
  <si>
    <t>Check Defending</t>
  </si>
  <si>
    <t>0400A0E3</t>
  </si>
  <si>
    <t>Apply-twice type</t>
  </si>
  <si>
    <t>mov r11, r3</t>
  </si>
  <si>
    <t>03B0A0E1</t>
  </si>
  <si>
    <t>Target Type</t>
  </si>
  <si>
    <t>mov r5, r1</t>
  </si>
  <si>
    <t>0150A0E1</t>
  </si>
  <si>
    <t>mov r4, r2</t>
  </si>
  <si>
    <t>0240A0E1</t>
  </si>
  <si>
    <t>push {r4, r5, r6, r7, r8, r10, r11, lr}</t>
  </si>
  <si>
    <t>F04D2DE9</t>
  </si>
  <si>
    <t>000FEAD4</t>
  </si>
  <si>
    <t>Defensive 0x4E/4F</t>
  </si>
  <si>
    <t>notes</t>
  </si>
  <si>
    <t>instruction</t>
  </si>
  <si>
    <t>Hex</t>
  </si>
  <si>
    <t>Address</t>
  </si>
  <si>
    <t>mov r0, 0x4</t>
  </si>
  <si>
    <t>Per defender index</t>
  </si>
  <si>
    <t>1 Byte per offensive type</t>
  </si>
  <si>
    <t>Target Type to add</t>
  </si>
  <si>
    <t>mov r5, r0</t>
  </si>
  <si>
    <t>mov r1, r5</t>
  </si>
  <si>
    <t>Table of alterations to final Type Effectiveness</t>
  </si>
  <si>
    <t>get table</t>
  </si>
  <si>
    <t>0050A0E1</t>
  </si>
  <si>
    <t>0510A0E1</t>
  </si>
  <si>
    <t>0300000A</t>
  </si>
  <si>
    <t>00000000</t>
  </si>
  <si>
    <t>Effectiveness of Move on current phase's type</t>
  </si>
  <si>
    <t>Check if &gt; 0xD</t>
  </si>
  <si>
    <t>mov r0, r7</t>
  </si>
  <si>
    <t>set attacking Type</t>
  </si>
  <si>
    <t>0700A0E1</t>
  </si>
  <si>
    <t>andeq r0, r0, r0</t>
  </si>
  <si>
    <t>mov r0, 0x2</t>
  </si>
  <si>
    <t>start with Normal attacking</t>
  </si>
  <si>
    <t>Defending Type in r1</t>
  </si>
  <si>
    <t>get effectiveness of r0 on r1 in r0</t>
  </si>
  <si>
    <t>Set Type Effectiveness modifiers on Entry/Forme Change 0x6D/0xA7, reset 0x6A</t>
  </si>
  <si>
    <t>get offset of table</t>
  </si>
  <si>
    <t>cmp r9, 0x6A</t>
  </si>
  <si>
    <t>get current mod byte for this type for this Pokemon</t>
  </si>
  <si>
    <t>need 0x13 bytes per pokemon (laste byte stores the forme)</t>
  </si>
  <si>
    <t>get pointer to self</t>
  </si>
  <si>
    <t>r7 is now at start of this Pokemon</t>
  </si>
  <si>
    <t>ldrb r0, [r0, 0x239]</t>
  </si>
  <si>
    <t>get forme</t>
  </si>
  <si>
    <t>ldrb r1, [r7, 0x12]</t>
  </si>
  <si>
    <t>cmp r9, 0x6D</t>
  </si>
  <si>
    <t>strb r0, [r7, 0x12]</t>
  </si>
  <si>
    <t>cmp r0, r1</t>
  </si>
  <si>
    <t>check if timing is switched-in</t>
  </si>
  <si>
    <t>check if current forme is different from saved forme</t>
  </si>
  <si>
    <t>add current signed alter byte and raw effectiveness</t>
  </si>
  <si>
    <t>subtract 7, to recenter at 0</t>
  </si>
  <si>
    <t>mov r6, r1</t>
  </si>
  <si>
    <t>push {r4, r5, r6, r7, lr}</t>
  </si>
  <si>
    <t>store new modifier</t>
  </si>
  <si>
    <t>mov r3, 0x0</t>
  </si>
  <si>
    <t>mov r0, r3</t>
  </si>
  <si>
    <t>add r3, r3, 0x1</t>
  </si>
  <si>
    <t>add 1 to r3 iterator</t>
  </si>
  <si>
    <t>cmp r3, 0x12</t>
  </si>
  <si>
    <t>check iterator against 0x12</t>
  </si>
  <si>
    <t>if less (so valid type), next loop</t>
  </si>
  <si>
    <t>otherwise, return</t>
  </si>
  <si>
    <t>r6 is now at start of this Pokemon</t>
  </si>
  <si>
    <t>add r1, r1, 0x1</t>
  </si>
  <si>
    <t>ldrsb r1, [r6, r7]</t>
  </si>
  <si>
    <t>load adjustment</t>
  </si>
  <si>
    <t>sum base effectiveness and adjustment</t>
  </si>
  <si>
    <t>check if signed &lt; 0</t>
  </si>
  <si>
    <t>cmp r1, 0x0</t>
  </si>
  <si>
    <t>movlt r1, 0x0</t>
  </si>
  <si>
    <t>if so set to 0</t>
  </si>
  <si>
    <t>cmp r1, 0xD</t>
  </si>
  <si>
    <t>movhi r1, 0xD</t>
  </si>
  <si>
    <t>if so set to D</t>
  </si>
  <si>
    <t>011081E2</t>
  </si>
  <si>
    <t>D71096E1</t>
  </si>
  <si>
    <t>000051E3</t>
  </si>
  <si>
    <t>0010A0B3</t>
  </si>
  <si>
    <t>0D0051E3</t>
  </si>
  <si>
    <t>0D10A083</t>
  </si>
  <si>
    <t>F040BDE8</t>
  </si>
  <si>
    <t>F080BDE8</t>
  </si>
  <si>
    <t>F0402DE9</t>
  </si>
  <si>
    <t>0160A0E1</t>
  </si>
  <si>
    <t>0200A0E3</t>
  </si>
  <si>
    <t>6A0059E3</t>
  </si>
  <si>
    <t>3902D0E5</t>
  </si>
  <si>
    <t>6D0059E3</t>
  </si>
  <si>
    <t>1210D7E5</t>
  </si>
  <si>
    <t>010050E1</t>
  </si>
  <si>
    <t>1200C7E5</t>
  </si>
  <si>
    <t>0030A0E3</t>
  </si>
  <si>
    <t>0300A0E1</t>
  </si>
  <si>
    <t>013083E2</t>
  </si>
  <si>
    <t>120053E3</t>
  </si>
  <si>
    <t>F6FFFF3A</t>
  </si>
  <si>
    <t>and exit</t>
  </si>
  <si>
    <t>ldrsb r2, [r7, r3]</t>
  </si>
  <si>
    <t>D32097E1</t>
  </si>
  <si>
    <t>add r2, r2, r0</t>
  </si>
  <si>
    <t>sub r2, r2, 0x7</t>
  </si>
  <si>
    <t>strb r2, [r7, r3]</t>
  </si>
  <si>
    <t>add r6, r3, r1</t>
  </si>
  <si>
    <t>016083E0</t>
  </si>
  <si>
    <t>add r7, r3, r1</t>
  </si>
  <si>
    <t>017083E0</t>
  </si>
  <si>
    <t>002082E0</t>
  </si>
  <si>
    <t>072042E2</t>
  </si>
  <si>
    <t>0320C7E7</t>
  </si>
  <si>
    <t>lsl r1, r4, #4</t>
  </si>
  <si>
    <t>0412A0E1</t>
  </si>
  <si>
    <t>add r1, r1, r0</t>
  </si>
  <si>
    <t>001081E0</t>
  </si>
  <si>
    <t>mov r0, 0x18</t>
  </si>
  <si>
    <t>Get Defending Type</t>
  </si>
  <si>
    <t>mov r1, r0</t>
  </si>
  <si>
    <t>1800A0E3</t>
  </si>
  <si>
    <t>0010A0E1</t>
  </si>
  <si>
    <t>Defensive 0x4E/0x4F</t>
  </si>
  <si>
    <t>get # types</t>
  </si>
  <si>
    <t>Table of count of applications</t>
  </si>
  <si>
    <t>ldrb r1, [r3, r4]</t>
  </si>
  <si>
    <t>get byte for this Pokemon index</t>
  </si>
  <si>
    <t>handling for Typeless</t>
  </si>
  <si>
    <t>cmp r0, 0x0</t>
  </si>
  <si>
    <t>addeq r0, r0, 0x1</t>
  </si>
  <si>
    <t>treat it as being a monotype</t>
  </si>
  <si>
    <t>cmp r1, r0</t>
  </si>
  <si>
    <t>save new value</t>
  </si>
  <si>
    <t>otherwise exit</t>
  </si>
  <si>
    <t>1A24FEEB</t>
  </si>
  <si>
    <t>E54DFEEB</t>
  </si>
  <si>
    <t>0410D3E7</t>
  </si>
  <si>
    <t>000050E3</t>
  </si>
  <si>
    <t>01008002</t>
  </si>
  <si>
    <t>000051E1</t>
  </si>
  <si>
    <t>0524FEEB</t>
  </si>
  <si>
    <t>bl 0x00103278</t>
  </si>
  <si>
    <t>DC1100EB</t>
  </si>
  <si>
    <t>moveq r1, 0x0</t>
  </si>
  <si>
    <t>strb r1, [r3, r4]</t>
  </si>
  <si>
    <t>0010A003</t>
  </si>
  <si>
    <t>0410C3E7</t>
  </si>
  <si>
    <t>if 0, first for this block</t>
  </si>
  <si>
    <t>moveq r2, 0x1</t>
  </si>
  <si>
    <t>movne r2, 0x0</t>
  </si>
  <si>
    <t>cmp r2, 0x1</t>
  </si>
  <si>
    <t>check if flagged this run as a go</t>
  </si>
  <si>
    <t>increment iterator by 1</t>
  </si>
  <si>
    <t>compare iterator against 1 less than the type-count</t>
  </si>
  <si>
    <t>if equal (e.g. because if 1 type, need to reset now), otherwise we store the incremented value</t>
  </si>
  <si>
    <t>0120A003</t>
  </si>
  <si>
    <t>0020A013</t>
  </si>
  <si>
    <t>010052E3</t>
  </si>
  <si>
    <t>0224FEEB</t>
  </si>
  <si>
    <t>D7FCFFEB</t>
  </si>
  <si>
    <t>need 0x14 bytes per pokemon (0x12 forme, 0x13 done setting)</t>
  </si>
  <si>
    <t>moveq r0, 0x1</t>
  </si>
  <si>
    <t>strbeq r0, [r7, 0x13]</t>
  </si>
  <si>
    <t>if they are, store set-fully byte the 20th byte</t>
  </si>
  <si>
    <t>load check byte</t>
  </si>
  <si>
    <t>cmp r3, 0x0</t>
  </si>
  <si>
    <t>check if self</t>
  </si>
  <si>
    <t>00103274</t>
  </si>
  <si>
    <t>0100A003</t>
  </si>
  <si>
    <t>1300C705</t>
  </si>
  <si>
    <t>000053E3</t>
  </si>
  <si>
    <t>add r1, r1, r4, lsl #2</t>
  </si>
  <si>
    <t>2500001A</t>
  </si>
  <si>
    <t>88309FE5</t>
  </si>
  <si>
    <t>1400001A</t>
  </si>
  <si>
    <t>30309FE5</t>
  </si>
  <si>
    <t>041181E0</t>
  </si>
  <si>
    <t>6D10FEEA</t>
  </si>
  <si>
    <t>new forme, zero out type bytes, write forme, then alter-write</t>
  </si>
  <si>
    <t>check if self is switching out</t>
  </si>
  <si>
    <t>otherwise, pull party index via function to check if self</t>
  </si>
  <si>
    <t>check self switching out again</t>
  </si>
  <si>
    <t>if it's not 0, we already switched out,</t>
  </si>
  <si>
    <t>so don't do anything</t>
  </si>
  <si>
    <t>load the forme byte</t>
  </si>
  <si>
    <t>set new forme (first run on forme change or first entry)</t>
  </si>
  <si>
    <t>0E00001A</t>
  </si>
  <si>
    <t>ldrb r3, [r7, 0x13]</t>
  </si>
  <si>
    <t>timing is 0xA7, skip next check</t>
  </si>
  <si>
    <t>00103924</t>
  </si>
  <si>
    <t>1F00001A</t>
  </si>
  <si>
    <t>1700000A</t>
  </si>
  <si>
    <t>1330D7E5</t>
  </si>
  <si>
    <t>if so, skip the following check</t>
  </si>
  <si>
    <t>if not exit</t>
  </si>
  <si>
    <t>8410FEEB</t>
  </si>
  <si>
    <t>E0361FE5</t>
  </si>
  <si>
    <t>473AFEEB</t>
  </si>
  <si>
    <t>F0F9FF1B</t>
  </si>
  <si>
    <t>41E9FFEB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</si>
</sst>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sz val="11"/>
      <name val="Cascadia Code"/>
      <family val="3"/>
    </font>
    <font>
      <sz val="8"/>
      <name val="Aptos Narrow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63A4F7"/>
        <bgColor indexed="64"/>
      </patternFill>
    </fill>
    <fill>
      <patternFill patternType="solid">
        <fgColor rgb="FF76E3FF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quotePrefix="1" applyFont="1"/>
    <xf numFmtId="0" fontId="2" fillId="0" borderId="0" xfId="0" quotePrefix="1" applyFont="1"/>
    <xf numFmtId="0" fontId="2" fillId="21" borderId="0" xfId="0" applyFont="1" applyFill="1"/>
    <xf numFmtId="0" fontId="2" fillId="21" borderId="0" xfId="0" quotePrefix="1" applyFont="1" applyFill="1"/>
    <xf numFmtId="0" fontId="2" fillId="20" borderId="0" xfId="0" applyFont="1" applyFill="1"/>
    <xf numFmtId="0" fontId="2" fillId="14" borderId="0" xfId="0" applyFont="1" applyFill="1"/>
    <xf numFmtId="11" fontId="2" fillId="14" borderId="0" xfId="0" quotePrefix="1" applyNumberFormat="1" applyFont="1" applyFill="1"/>
    <xf numFmtId="0" fontId="2" fillId="14" borderId="0" xfId="0" quotePrefix="1" applyFont="1" applyFill="1"/>
    <xf numFmtId="0" fontId="2" fillId="19" borderId="0" xfId="0" applyFont="1" applyFill="1"/>
    <xf numFmtId="0" fontId="2" fillId="19" borderId="0" xfId="0" quotePrefix="1" applyFont="1" applyFill="1"/>
    <xf numFmtId="0" fontId="2" fillId="18" borderId="0" xfId="0" applyFont="1" applyFill="1"/>
    <xf numFmtId="0" fontId="2" fillId="18" borderId="0" xfId="0" quotePrefix="1" applyFont="1" applyFill="1"/>
    <xf numFmtId="0" fontId="2" fillId="17" borderId="0" xfId="0" applyFont="1" applyFill="1"/>
    <xf numFmtId="0" fontId="2" fillId="17" borderId="0" xfId="0" quotePrefix="1" applyFont="1" applyFill="1"/>
    <xf numFmtId="0" fontId="2" fillId="16" borderId="0" xfId="0" applyFont="1" applyFill="1"/>
    <xf numFmtId="0" fontId="2" fillId="16" borderId="0" xfId="0" quotePrefix="1" applyFont="1" applyFill="1"/>
    <xf numFmtId="11" fontId="2" fillId="16" borderId="0" xfId="0" quotePrefix="1" applyNumberFormat="1" applyFont="1" applyFill="1"/>
    <xf numFmtId="0" fontId="2" fillId="15" borderId="0" xfId="0" applyFont="1" applyFill="1"/>
    <xf numFmtId="0" fontId="2" fillId="15" borderId="0" xfId="0" quotePrefix="1" applyFont="1" applyFill="1"/>
    <xf numFmtId="0" fontId="2" fillId="13" borderId="0" xfId="0" applyFont="1" applyFill="1"/>
    <xf numFmtId="0" fontId="2" fillId="13" borderId="0" xfId="0" quotePrefix="1" applyFont="1" applyFill="1"/>
    <xf numFmtId="0" fontId="2" fillId="12" borderId="0" xfId="0" applyFont="1" applyFill="1"/>
    <xf numFmtId="0" fontId="2" fillId="12" borderId="0" xfId="0" quotePrefix="1" applyFont="1" applyFill="1"/>
    <xf numFmtId="0" fontId="2" fillId="11" borderId="0" xfId="0" applyFont="1" applyFill="1"/>
    <xf numFmtId="11" fontId="2" fillId="11" borderId="0" xfId="0" quotePrefix="1" applyNumberFormat="1" applyFont="1" applyFill="1"/>
    <xf numFmtId="0" fontId="2" fillId="10" borderId="0" xfId="0" applyFont="1" applyFill="1"/>
    <xf numFmtId="11" fontId="2" fillId="10" borderId="0" xfId="0" quotePrefix="1" applyNumberFormat="1" applyFont="1" applyFill="1"/>
    <xf numFmtId="0" fontId="2" fillId="9" borderId="0" xfId="0" applyFont="1" applyFill="1"/>
    <xf numFmtId="11" fontId="2" fillId="9" borderId="0" xfId="0" quotePrefix="1" applyNumberFormat="1" applyFont="1" applyFill="1"/>
    <xf numFmtId="11" fontId="2" fillId="0" borderId="0" xfId="0" quotePrefix="1" applyNumberFormat="1" applyFont="1"/>
    <xf numFmtId="0" fontId="2" fillId="8" borderId="0" xfId="0" applyFont="1" applyFill="1"/>
    <xf numFmtId="11" fontId="2" fillId="8" borderId="0" xfId="0" quotePrefix="1" applyNumberFormat="1" applyFont="1" applyFill="1"/>
    <xf numFmtId="0" fontId="2" fillId="7" borderId="0" xfId="0" applyFont="1" applyFill="1"/>
    <xf numFmtId="11" fontId="2" fillId="7" borderId="0" xfId="0" quotePrefix="1" applyNumberFormat="1" applyFont="1" applyFill="1"/>
    <xf numFmtId="0" fontId="2" fillId="7" borderId="0" xfId="0" quotePrefix="1" applyFont="1" applyFill="1"/>
    <xf numFmtId="0" fontId="2" fillId="6" borderId="0" xfId="0" applyFont="1" applyFill="1"/>
    <xf numFmtId="0" fontId="2" fillId="6" borderId="0" xfId="0" quotePrefix="1" applyFont="1" applyFill="1"/>
    <xf numFmtId="11" fontId="2" fillId="6" borderId="0" xfId="0" quotePrefix="1" applyNumberFormat="1" applyFont="1" applyFill="1"/>
    <xf numFmtId="0" fontId="2" fillId="5" borderId="0" xfId="0" applyFont="1" applyFill="1"/>
    <xf numFmtId="11" fontId="2" fillId="5" borderId="0" xfId="0" quotePrefix="1" applyNumberFormat="1" applyFont="1" applyFill="1"/>
    <xf numFmtId="0" fontId="2" fillId="4" borderId="0" xfId="0" applyFont="1" applyFill="1"/>
    <xf numFmtId="11" fontId="2" fillId="4" borderId="0" xfId="0" quotePrefix="1" applyNumberFormat="1" applyFont="1" applyFill="1"/>
    <xf numFmtId="0" fontId="2" fillId="3" borderId="0" xfId="0" applyFont="1" applyFill="1"/>
    <xf numFmtId="11" fontId="2" fillId="3" borderId="0" xfId="0" quotePrefix="1" applyNumberFormat="1" applyFont="1" applyFill="1"/>
    <xf numFmtId="0" fontId="2" fillId="2" borderId="0" xfId="0" applyFont="1" applyFill="1"/>
    <xf numFmtId="0" fontId="2" fillId="2" borderId="0" xfId="0" quotePrefix="1" applyFont="1" applyFill="1"/>
    <xf numFmtId="0" fontId="3" fillId="0" borderId="0" xfId="0" applyFont="1"/>
    <xf numFmtId="0" fontId="2" fillId="22" borderId="0" xfId="0" applyFont="1" applyFill="1"/>
    <xf numFmtId="0" fontId="2" fillId="23" borderId="0" xfId="0" applyFont="1" applyFill="1"/>
    <xf numFmtId="0" fontId="2" fillId="23" borderId="0" xfId="0" quotePrefix="1" applyFont="1" applyFill="1"/>
    <xf numFmtId="0" fontId="2" fillId="24" borderId="0" xfId="0" applyFont="1" applyFill="1"/>
    <xf numFmtId="0" fontId="2" fillId="5" borderId="0" xfId="0" quotePrefix="1" applyFont="1" applyFill="1"/>
    <xf numFmtId="0" fontId="2" fillId="8" borderId="0" xfId="0" quotePrefix="1" applyFont="1" applyFill="1"/>
    <xf numFmtId="0" fontId="2" fillId="24" borderId="0" xfId="0" quotePrefix="1" applyFont="1" applyFill="1"/>
    <xf numFmtId="0" fontId="2" fillId="11" borderId="0" xfId="0" quotePrefix="1" applyFont="1" applyFill="1"/>
    <xf numFmtId="0" fontId="2" fillId="25" borderId="0" xfId="0" applyFont="1" applyFill="1"/>
    <xf numFmtId="0" fontId="2" fillId="25" borderId="0" xfId="0" quotePrefix="1" applyFont="1" applyFill="1"/>
    <xf numFmtId="0" fontId="2" fillId="26" borderId="0" xfId="0" applyFont="1" applyFill="1"/>
    <xf numFmtId="0" fontId="2" fillId="26" borderId="0" xfId="0" quotePrefix="1" applyFont="1" applyFill="1"/>
    <xf numFmtId="0" fontId="2" fillId="27" borderId="0" xfId="0" applyFont="1" applyFill="1"/>
    <xf numFmtId="0" fontId="2" fillId="27" borderId="0" xfId="0" quotePrefix="1" applyFont="1" applyFill="1"/>
    <xf numFmtId="0" fontId="2" fillId="28" borderId="0" xfId="0" applyFont="1" applyFill="1"/>
    <xf numFmtId="0" fontId="2" fillId="29" borderId="0" xfId="0" applyFont="1" applyFill="1"/>
    <xf numFmtId="0" fontId="2" fillId="28" borderId="0" xfId="0" quotePrefix="1" applyFont="1" applyFill="1"/>
    <xf numFmtId="0" fontId="2" fillId="30" borderId="0" xfId="0" applyFont="1" applyFill="1"/>
    <xf numFmtId="0" fontId="2" fillId="30" borderId="0" xfId="0" quotePrefix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ropbox\ROM\3ds\USUM%20ARM%20research\Generic%20Functions\Clear%200x12%20bytes%20starting%20from%20input%20r7.xlsx" TargetMode="External"/><Relationship Id="rId1" Type="http://schemas.openxmlformats.org/officeDocument/2006/relationships/externalLinkPath" Target="Clear%200x12%20bytes%20starting%20from%20input%20r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de"/>
    </sheetNames>
    <sheetDataSet>
      <sheetData sheetId="0">
        <row r="3">
          <cell r="A3" t="str">
            <v>00102160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0126-01E5-4155-B974-7C58525B39BE}">
  <dimension ref="A1:I98"/>
  <sheetViews>
    <sheetView tabSelected="1" zoomScaleNormal="100" workbookViewId="0">
      <pane ySplit="1" topLeftCell="A42" activePane="bottomLeft" state="frozen"/>
      <selection pane="bottomLeft" activeCell="D72" sqref="D72"/>
    </sheetView>
  </sheetViews>
  <sheetFormatPr defaultRowHeight="15.9"/>
  <cols>
    <col min="1" max="1" width="10.0703125" style="2" customWidth="1"/>
    <col min="2" max="2" width="9.2109375" style="2" bestFit="1" customWidth="1"/>
    <col min="3" max="3" width="43.140625" style="2" bestFit="1" customWidth="1"/>
    <col min="4" max="4" width="67.140625" style="2" bestFit="1" customWidth="1"/>
    <col min="5" max="5" width="9.140625" style="2"/>
    <col min="6" max="6" width="8.85546875" style="2" bestFit="1" customWidth="1"/>
    <col min="7" max="7" width="2.92578125" style="2" bestFit="1" customWidth="1"/>
    <col min="8" max="8" width="13.85546875" style="2" bestFit="1" customWidth="1"/>
    <col min="9" max="9" width="14.5703125" style="2" bestFit="1" customWidth="1"/>
    <col min="10" max="16384" width="9.140625" style="2"/>
  </cols>
  <sheetData>
    <row r="1" spans="1:4">
      <c r="A1" s="1" t="s">
        <v>153</v>
      </c>
      <c r="B1" s="1" t="s">
        <v>152</v>
      </c>
      <c r="C1" s="1" t="s">
        <v>151</v>
      </c>
      <c r="D1" s="1" t="s">
        <v>150</v>
      </c>
    </row>
    <row r="2" spans="1:4">
      <c r="A2" s="1" t="s">
        <v>260</v>
      </c>
      <c r="B2" s="3"/>
      <c r="C2" s="3"/>
    </row>
    <row r="3" spans="1:4">
      <c r="A3" s="4" t="s">
        <v>148</v>
      </c>
      <c r="B3" s="2" t="s">
        <v>224</v>
      </c>
      <c r="C3" s="2" t="s">
        <v>194</v>
      </c>
    </row>
    <row r="4" spans="1:4">
      <c r="A4" s="4" t="str">
        <f t="shared" ref="A4:A51" si="0">DEC2HEX(HEX2DEC(A3)+4,8)</f>
        <v>000FEAD8</v>
      </c>
      <c r="B4" s="2" t="s">
        <v>145</v>
      </c>
      <c r="C4" s="2" t="s">
        <v>144</v>
      </c>
    </row>
    <row r="5" spans="1:4">
      <c r="A5" s="2" t="str">
        <f t="shared" si="0"/>
        <v>000FEADC</v>
      </c>
      <c r="B5" s="2" t="s">
        <v>225</v>
      </c>
      <c r="C5" s="2" t="s">
        <v>193</v>
      </c>
    </row>
    <row r="6" spans="1:4">
      <c r="A6" s="2" t="str">
        <f t="shared" si="0"/>
        <v>000FEAE0</v>
      </c>
      <c r="B6" s="2" t="s">
        <v>162</v>
      </c>
      <c r="C6" s="2" t="s">
        <v>158</v>
      </c>
      <c r="D6" s="2" t="s">
        <v>157</v>
      </c>
    </row>
    <row r="7" spans="1:4">
      <c r="A7" s="5" t="str">
        <f t="shared" si="0"/>
        <v>000FEAE4</v>
      </c>
      <c r="B7" s="5" t="s">
        <v>137</v>
      </c>
      <c r="C7" s="5" t="s">
        <v>154</v>
      </c>
      <c r="D7" s="5" t="s">
        <v>136</v>
      </c>
    </row>
    <row r="8" spans="1:4">
      <c r="A8" s="5" t="str">
        <f t="shared" si="0"/>
        <v>000FEAE8</v>
      </c>
      <c r="B8" s="5" t="s">
        <v>272</v>
      </c>
      <c r="C8" s="5" t="s">
        <v>127</v>
      </c>
      <c r="D8" s="5"/>
    </row>
    <row r="9" spans="1:4">
      <c r="A9" s="5" t="str">
        <f t="shared" si="0"/>
        <v>000FEAEC</v>
      </c>
      <c r="B9" s="6" t="s">
        <v>134</v>
      </c>
      <c r="C9" s="5" t="s">
        <v>133</v>
      </c>
      <c r="D9" s="5"/>
    </row>
    <row r="10" spans="1:4">
      <c r="A10" s="5" t="str">
        <f t="shared" si="0"/>
        <v>000FEAF0</v>
      </c>
      <c r="B10" s="5" t="s">
        <v>310</v>
      </c>
      <c r="C10" s="5" t="str">
        <f>_xlfn.CONCAT("bne 0x",A$49)</f>
        <v>bne 0x000FEB8C</v>
      </c>
      <c r="D10" s="5"/>
    </row>
    <row r="11" spans="1:4">
      <c r="A11" s="50" t="str">
        <f t="shared" si="0"/>
        <v>000FEAF4</v>
      </c>
      <c r="B11" s="50" t="s">
        <v>110</v>
      </c>
      <c r="C11" s="50" t="s">
        <v>109</v>
      </c>
      <c r="D11" s="50" t="s">
        <v>104</v>
      </c>
    </row>
    <row r="12" spans="1:4">
      <c r="A12" s="50" t="str">
        <f t="shared" si="0"/>
        <v>000FEAF8</v>
      </c>
      <c r="B12" s="50" t="s">
        <v>88</v>
      </c>
      <c r="C12" s="50" t="s">
        <v>87</v>
      </c>
      <c r="D12" s="50"/>
    </row>
    <row r="13" spans="1:4">
      <c r="A13" s="50" t="str">
        <f t="shared" si="0"/>
        <v>000FEAFC</v>
      </c>
      <c r="B13" s="50" t="s">
        <v>273</v>
      </c>
      <c r="C13" s="50" t="s">
        <v>105</v>
      </c>
      <c r="D13" s="50"/>
    </row>
    <row r="14" spans="1:4">
      <c r="A14" s="60" t="str">
        <f t="shared" si="0"/>
        <v>000FEB00</v>
      </c>
      <c r="B14" s="60" t="s">
        <v>280</v>
      </c>
      <c r="C14" s="60" t="s">
        <v>279</v>
      </c>
      <c r="D14" s="60" t="s">
        <v>261</v>
      </c>
    </row>
    <row r="15" spans="1:4">
      <c r="A15" s="20" t="str">
        <f t="shared" si="0"/>
        <v>000FEB04</v>
      </c>
      <c r="B15" s="20" t="s">
        <v>311</v>
      </c>
      <c r="C15" s="20" t="str">
        <f>_xlfn.CONCAT("ldr r3, [pc, #",HEX2DEC(A$51)-HEX2DEC(A15)-8,"]")</f>
        <v>ldr r3, [pc, #136]</v>
      </c>
      <c r="D15" s="20"/>
    </row>
    <row r="16" spans="1:4">
      <c r="A16" s="20" t="str">
        <f t="shared" si="0"/>
        <v>000FEB08</v>
      </c>
      <c r="B16" s="20" t="s">
        <v>274</v>
      </c>
      <c r="C16" s="20" t="s">
        <v>263</v>
      </c>
      <c r="D16" s="20" t="s">
        <v>264</v>
      </c>
    </row>
    <row r="17" spans="1:9">
      <c r="A17" s="64" t="str">
        <f t="shared" si="0"/>
        <v>000FEB0C</v>
      </c>
      <c r="B17" s="66" t="s">
        <v>275</v>
      </c>
      <c r="C17" s="64" t="s">
        <v>266</v>
      </c>
      <c r="D17" s="64" t="s">
        <v>265</v>
      </c>
    </row>
    <row r="18" spans="1:9">
      <c r="A18" s="64" t="str">
        <f t="shared" si="0"/>
        <v>000FEB10</v>
      </c>
      <c r="B18" s="66" t="s">
        <v>276</v>
      </c>
      <c r="C18" s="64" t="s">
        <v>267</v>
      </c>
      <c r="D18" s="64" t="s">
        <v>268</v>
      </c>
    </row>
    <row r="19" spans="1:9">
      <c r="A19" s="67" t="str">
        <f t="shared" si="0"/>
        <v>000FEB14</v>
      </c>
      <c r="B19" s="68" t="s">
        <v>218</v>
      </c>
      <c r="C19" s="67" t="s">
        <v>210</v>
      </c>
      <c r="D19" s="67" t="s">
        <v>285</v>
      </c>
    </row>
    <row r="20" spans="1:9">
      <c r="A20" s="67" t="str">
        <f t="shared" si="0"/>
        <v>000FEB18</v>
      </c>
      <c r="B20" s="68" t="s">
        <v>293</v>
      </c>
      <c r="C20" s="67" t="s">
        <v>286</v>
      </c>
      <c r="D20" s="67"/>
    </row>
    <row r="21" spans="1:9">
      <c r="A21" s="67" t="str">
        <f t="shared" si="0"/>
        <v>000FEB1C</v>
      </c>
      <c r="B21" s="67" t="s">
        <v>294</v>
      </c>
      <c r="C21" s="67" t="s">
        <v>287</v>
      </c>
      <c r="D21" s="67"/>
    </row>
    <row r="22" spans="1:9">
      <c r="A22" s="2" t="str">
        <f t="shared" si="0"/>
        <v>000FEB20</v>
      </c>
      <c r="B22" s="4" t="s">
        <v>216</v>
      </c>
      <c r="C22" s="2" t="s">
        <v>205</v>
      </c>
      <c r="D22" s="2" t="s">
        <v>290</v>
      </c>
    </row>
    <row r="23" spans="1:9">
      <c r="A23" s="2" t="str">
        <f t="shared" si="0"/>
        <v>000FEB24</v>
      </c>
      <c r="B23" s="4" t="s">
        <v>277</v>
      </c>
      <c r="C23" s="2" t="s">
        <v>269</v>
      </c>
      <c r="D23" s="2" t="s">
        <v>291</v>
      </c>
    </row>
    <row r="24" spans="1:9">
      <c r="A24" s="2" t="str">
        <f t="shared" si="0"/>
        <v>000FEB28</v>
      </c>
      <c r="B24" s="2" t="s">
        <v>283</v>
      </c>
      <c r="C24" s="2" t="s">
        <v>281</v>
      </c>
      <c r="D24" s="2" t="s">
        <v>292</v>
      </c>
    </row>
    <row r="25" spans="1:9">
      <c r="A25" s="65" t="str">
        <f t="shared" si="0"/>
        <v>000FEB2C</v>
      </c>
      <c r="B25" s="65" t="s">
        <v>284</v>
      </c>
      <c r="C25" s="65" t="s">
        <v>282</v>
      </c>
      <c r="D25" s="65" t="s">
        <v>270</v>
      </c>
    </row>
    <row r="26" spans="1:9">
      <c r="A26" s="2" t="str">
        <f t="shared" si="0"/>
        <v>000FEB30</v>
      </c>
      <c r="B26" s="4" t="s">
        <v>295</v>
      </c>
      <c r="C26" s="2" t="s">
        <v>288</v>
      </c>
      <c r="D26" s="2" t="s">
        <v>289</v>
      </c>
    </row>
    <row r="27" spans="1:9">
      <c r="A27" s="2" t="str">
        <f t="shared" si="0"/>
        <v>000FEB34</v>
      </c>
      <c r="B27" s="2" t="s">
        <v>312</v>
      </c>
      <c r="C27" s="2" t="str">
        <f>_xlfn.CONCAT("bne 0x",A49)</f>
        <v>bne 0x000FEB8C</v>
      </c>
      <c r="D27" s="2" t="s">
        <v>271</v>
      </c>
    </row>
    <row r="28" spans="1:9">
      <c r="A28" s="7" t="str">
        <f t="shared" si="0"/>
        <v>000FEB38</v>
      </c>
      <c r="B28" s="7" t="s">
        <v>131</v>
      </c>
      <c r="C28" s="7" t="s">
        <v>130</v>
      </c>
      <c r="D28" s="7" t="s">
        <v>129</v>
      </c>
    </row>
    <row r="29" spans="1:9">
      <c r="A29" s="7" t="str">
        <f t="shared" si="0"/>
        <v>000FEB3C</v>
      </c>
      <c r="B29" s="7" t="s">
        <v>278</v>
      </c>
      <c r="C29" s="7" t="s">
        <v>127</v>
      </c>
      <c r="D29" s="7"/>
    </row>
    <row r="30" spans="1:9">
      <c r="A30" s="7" t="str">
        <f t="shared" si="0"/>
        <v>000FEB40</v>
      </c>
      <c r="B30" s="7" t="s">
        <v>91</v>
      </c>
      <c r="C30" s="7" t="s">
        <v>90</v>
      </c>
      <c r="D30" s="7"/>
    </row>
    <row r="31" spans="1:9">
      <c r="A31" s="51" t="str">
        <f t="shared" si="0"/>
        <v>000FEB44</v>
      </c>
      <c r="B31" s="51" t="s">
        <v>258</v>
      </c>
      <c r="C31" s="51" t="s">
        <v>255</v>
      </c>
      <c r="D31" s="51" t="s">
        <v>256</v>
      </c>
      <c r="I31" s="4"/>
    </row>
    <row r="32" spans="1:9">
      <c r="A32" s="51" t="str">
        <f t="shared" si="0"/>
        <v>000FEB48</v>
      </c>
      <c r="B32" s="52" t="s">
        <v>296</v>
      </c>
      <c r="C32" s="51" t="s">
        <v>127</v>
      </c>
      <c r="D32" s="51"/>
      <c r="I32" s="4"/>
    </row>
    <row r="33" spans="1:9">
      <c r="A33" s="51" t="str">
        <f t="shared" si="0"/>
        <v>000FEB4C</v>
      </c>
      <c r="B33" s="52" t="s">
        <v>259</v>
      </c>
      <c r="C33" s="51" t="s">
        <v>257</v>
      </c>
      <c r="D33" s="51"/>
      <c r="I33" s="4"/>
    </row>
    <row r="34" spans="1:9">
      <c r="A34" s="51" t="str">
        <f t="shared" si="0"/>
        <v>000FEB50</v>
      </c>
      <c r="B34" s="52" t="s">
        <v>170</v>
      </c>
      <c r="C34" s="51" t="s">
        <v>168</v>
      </c>
      <c r="D34" s="51" t="s">
        <v>169</v>
      </c>
    </row>
    <row r="35" spans="1:9">
      <c r="A35" s="51" t="str">
        <f t="shared" si="0"/>
        <v>000FEB54</v>
      </c>
      <c r="B35" s="52" t="s">
        <v>297</v>
      </c>
      <c r="C35" s="51" t="s">
        <v>83</v>
      </c>
      <c r="D35" s="51" t="s">
        <v>166</v>
      </c>
    </row>
    <row r="36" spans="1:9">
      <c r="A36" s="47" t="str">
        <f t="shared" si="0"/>
        <v>000FEB58</v>
      </c>
      <c r="B36" s="47" t="s">
        <v>313</v>
      </c>
      <c r="C36" s="47" t="str">
        <f>_xlfn.CONCAT("ldr r3, [pc, #",HEX2DEC(A$50)-HEX2DEC(A36)-8,"]")</f>
        <v>ldr r3, [pc, #48]</v>
      </c>
      <c r="D36" s="47" t="s">
        <v>161</v>
      </c>
    </row>
    <row r="37" spans="1:9">
      <c r="A37" s="47" t="str">
        <f t="shared" si="0"/>
        <v>000FEB5C</v>
      </c>
      <c r="B37" s="47" t="s">
        <v>252</v>
      </c>
      <c r="C37" s="47" t="s">
        <v>251</v>
      </c>
      <c r="D37" s="47" t="s">
        <v>180</v>
      </c>
    </row>
    <row r="38" spans="1:9">
      <c r="A38" s="47" t="str">
        <f t="shared" si="0"/>
        <v>000FEB60</v>
      </c>
      <c r="B38" s="48" t="s">
        <v>314</v>
      </c>
      <c r="C38" s="47" t="s">
        <v>309</v>
      </c>
      <c r="D38" s="47"/>
    </row>
    <row r="39" spans="1:9">
      <c r="A39" s="47" t="str">
        <f t="shared" si="0"/>
        <v>000FEB64</v>
      </c>
      <c r="B39" s="48" t="s">
        <v>245</v>
      </c>
      <c r="C39" s="47" t="s">
        <v>244</v>
      </c>
      <c r="D39" s="47" t="s">
        <v>204</v>
      </c>
    </row>
    <row r="40" spans="1:9">
      <c r="A40" s="2" t="str">
        <f t="shared" si="0"/>
        <v>000FEB68</v>
      </c>
      <c r="B40" s="4" t="s">
        <v>217</v>
      </c>
      <c r="C40" s="2" t="s">
        <v>206</v>
      </c>
      <c r="D40" s="2" t="s">
        <v>207</v>
      </c>
    </row>
    <row r="41" spans="1:9">
      <c r="A41" s="2" t="str">
        <f t="shared" si="0"/>
        <v>000FEB6C</v>
      </c>
      <c r="B41" s="4" t="s">
        <v>254</v>
      </c>
      <c r="C41" s="2" t="s">
        <v>253</v>
      </c>
      <c r="D41" s="2" t="s">
        <v>208</v>
      </c>
    </row>
    <row r="42" spans="1:9">
      <c r="A42" s="35" t="str">
        <f t="shared" si="0"/>
        <v>000FEB70</v>
      </c>
      <c r="B42" s="37" t="s">
        <v>218</v>
      </c>
      <c r="C42" s="35" t="s">
        <v>210</v>
      </c>
      <c r="D42" s="35" t="s">
        <v>209</v>
      </c>
    </row>
    <row r="43" spans="1:9">
      <c r="A43" s="35" t="str">
        <f t="shared" si="0"/>
        <v>000FEB74</v>
      </c>
      <c r="B43" s="37" t="s">
        <v>219</v>
      </c>
      <c r="C43" s="35" t="s">
        <v>211</v>
      </c>
      <c r="D43" s="35" t="s">
        <v>212</v>
      </c>
    </row>
    <row r="44" spans="1:9">
      <c r="A44" s="38" t="str">
        <f t="shared" si="0"/>
        <v>000FEB78</v>
      </c>
      <c r="B44" s="38" t="s">
        <v>220</v>
      </c>
      <c r="C44" s="38" t="s">
        <v>213</v>
      </c>
      <c r="D44" s="38" t="s">
        <v>167</v>
      </c>
    </row>
    <row r="45" spans="1:9">
      <c r="A45" s="38" t="str">
        <f t="shared" si="0"/>
        <v>000FEB7C</v>
      </c>
      <c r="B45" s="38" t="s">
        <v>221</v>
      </c>
      <c r="C45" s="38" t="s">
        <v>214</v>
      </c>
      <c r="D45" s="38" t="s">
        <v>215</v>
      </c>
    </row>
    <row r="46" spans="1:9">
      <c r="A46" s="2" t="str">
        <f t="shared" si="0"/>
        <v>000FEB80</v>
      </c>
      <c r="B46" s="3" t="s">
        <v>222</v>
      </c>
      <c r="C46" s="2" t="str">
        <f>SUBSTITUTE(C3,"push","pop")</f>
        <v>pop {r4, r5, r6, r7, lr}</v>
      </c>
      <c r="D46" s="49"/>
    </row>
    <row r="47" spans="1:9">
      <c r="A47" s="2" t="str">
        <f t="shared" si="0"/>
        <v>000FEB84</v>
      </c>
      <c r="B47" s="2" t="s">
        <v>4</v>
      </c>
      <c r="C47" s="2" t="s">
        <v>3</v>
      </c>
      <c r="D47" s="49"/>
    </row>
    <row r="48" spans="1:9">
      <c r="A48" s="2" t="str">
        <f t="shared" si="0"/>
        <v>000FEB88</v>
      </c>
      <c r="B48" s="4" t="s">
        <v>315</v>
      </c>
      <c r="C48" s="2" t="s">
        <v>1</v>
      </c>
      <c r="D48" s="49"/>
    </row>
    <row r="49" spans="1:4">
      <c r="A49" s="2" t="str">
        <f t="shared" si="0"/>
        <v>000FEB8C</v>
      </c>
      <c r="B49" s="2" t="s">
        <v>223</v>
      </c>
      <c r="C49" s="2" t="str">
        <f>SUBSTITUTE(C46,"lr","pc")</f>
        <v>pop {r4, r5, r6, r7, pc}</v>
      </c>
      <c r="D49" s="49"/>
    </row>
    <row r="50" spans="1:4">
      <c r="A50" s="2" t="str">
        <f t="shared" si="0"/>
        <v>000FEB90</v>
      </c>
      <c r="B50" s="4" t="s">
        <v>165</v>
      </c>
      <c r="C50" s="2" t="s">
        <v>171</v>
      </c>
      <c r="D50" s="2" t="s">
        <v>160</v>
      </c>
    </row>
    <row r="51" spans="1:4">
      <c r="A51" s="2" t="str">
        <f t="shared" si="0"/>
        <v>000FEB94</v>
      </c>
      <c r="B51" s="4" t="s">
        <v>165</v>
      </c>
      <c r="C51" s="2" t="s">
        <v>171</v>
      </c>
      <c r="D51" s="2" t="s">
        <v>262</v>
      </c>
    </row>
    <row r="53" spans="1:4">
      <c r="A53" s="1" t="s">
        <v>176</v>
      </c>
    </row>
    <row r="54" spans="1:4">
      <c r="A54" s="4" t="s">
        <v>327</v>
      </c>
      <c r="B54" s="4" t="s">
        <v>224</v>
      </c>
      <c r="C54" s="2" t="s">
        <v>194</v>
      </c>
    </row>
    <row r="55" spans="1:4">
      <c r="A55" s="2" t="str">
        <f t="shared" ref="A55:A96" si="1">DEC2HEX(HEX2DEC(A54)+4,8)</f>
        <v>00103928</v>
      </c>
      <c r="B55" s="2" t="s">
        <v>145</v>
      </c>
      <c r="C55" s="2" t="s">
        <v>144</v>
      </c>
    </row>
    <row r="56" spans="1:4">
      <c r="A56" s="2" t="str">
        <f t="shared" si="1"/>
        <v>0010392C</v>
      </c>
      <c r="B56" s="2" t="s">
        <v>225</v>
      </c>
      <c r="C56" s="2" t="s">
        <v>193</v>
      </c>
    </row>
    <row r="57" spans="1:4">
      <c r="A57" s="2" t="str">
        <f t="shared" si="1"/>
        <v>00103930</v>
      </c>
      <c r="B57" s="2" t="s">
        <v>162</v>
      </c>
      <c r="C57" s="2" t="s">
        <v>158</v>
      </c>
      <c r="D57" s="2" t="s">
        <v>157</v>
      </c>
    </row>
    <row r="58" spans="1:4">
      <c r="A58" s="26" t="str">
        <f t="shared" si="1"/>
        <v>00103934</v>
      </c>
      <c r="B58" s="57" t="s">
        <v>227</v>
      </c>
      <c r="C58" s="26" t="s">
        <v>178</v>
      </c>
      <c r="D58" s="26" t="s">
        <v>317</v>
      </c>
    </row>
    <row r="59" spans="1:4">
      <c r="A59" s="26" t="str">
        <f t="shared" si="1"/>
        <v>00103938</v>
      </c>
      <c r="B59" s="57" t="s">
        <v>164</v>
      </c>
      <c r="C59" s="26" t="str">
        <f>_xlfn.CONCAT("beq 0x",A64)</f>
        <v>beq 0x0010394C</v>
      </c>
      <c r="D59" s="26" t="s">
        <v>331</v>
      </c>
    </row>
    <row r="60" spans="1:4">
      <c r="A60" s="5" t="str">
        <f t="shared" si="1"/>
        <v>0010393C</v>
      </c>
      <c r="B60" s="5" t="s">
        <v>226</v>
      </c>
      <c r="C60" s="5" t="s">
        <v>172</v>
      </c>
      <c r="D60" s="5" t="s">
        <v>318</v>
      </c>
    </row>
    <row r="61" spans="1:4">
      <c r="A61" s="5" t="str">
        <f t="shared" si="1"/>
        <v>00103940</v>
      </c>
      <c r="B61" s="5" t="s">
        <v>333</v>
      </c>
      <c r="C61" s="5" t="s">
        <v>127</v>
      </c>
      <c r="D61" s="5"/>
    </row>
    <row r="62" spans="1:4">
      <c r="A62" s="5" t="str">
        <f t="shared" si="1"/>
        <v>00103944</v>
      </c>
      <c r="B62" s="6" t="s">
        <v>134</v>
      </c>
      <c r="C62" s="5" t="s">
        <v>133</v>
      </c>
      <c r="D62" s="5" t="s">
        <v>304</v>
      </c>
    </row>
    <row r="63" spans="1:4">
      <c r="A63" s="5" t="str">
        <f t="shared" si="1"/>
        <v>00103948</v>
      </c>
      <c r="B63" s="6" t="s">
        <v>328</v>
      </c>
      <c r="C63" s="5" t="str">
        <f>_xlfn.CONCAT("bne 0x",A96)</f>
        <v>bne 0x001039CC</v>
      </c>
      <c r="D63" s="5" t="s">
        <v>332</v>
      </c>
    </row>
    <row r="64" spans="1:4">
      <c r="A64" s="47" t="str">
        <f t="shared" si="1"/>
        <v>0010394C</v>
      </c>
      <c r="B64" s="47" t="s">
        <v>334</v>
      </c>
      <c r="C64" s="47" t="str">
        <f>_xlfn.CONCAT("ldr r3, [pc, #",HEX2DEC(A$98)-HEX2DEC(A64)-8,"]")</f>
        <v>ldr r3, [pc, #-1760]</v>
      </c>
      <c r="D64" s="47" t="s">
        <v>177</v>
      </c>
    </row>
    <row r="65" spans="1:4">
      <c r="A65" s="47" t="str">
        <f t="shared" si="1"/>
        <v>00103950</v>
      </c>
      <c r="B65" s="47" t="s">
        <v>252</v>
      </c>
      <c r="C65" s="47" t="s">
        <v>251</v>
      </c>
      <c r="D65" s="47" t="s">
        <v>298</v>
      </c>
    </row>
    <row r="66" spans="1:4">
      <c r="A66" s="47" t="str">
        <f t="shared" si="1"/>
        <v>00103954</v>
      </c>
      <c r="B66" s="48" t="s">
        <v>314</v>
      </c>
      <c r="C66" s="47" t="s">
        <v>309</v>
      </c>
      <c r="D66" s="47"/>
    </row>
    <row r="67" spans="1:4">
      <c r="A67" s="47" t="str">
        <f t="shared" si="1"/>
        <v>00103958</v>
      </c>
      <c r="B67" s="48" t="s">
        <v>247</v>
      </c>
      <c r="C67" s="47" t="s">
        <v>246</v>
      </c>
      <c r="D67" s="47" t="s">
        <v>182</v>
      </c>
    </row>
    <row r="68" spans="1:4">
      <c r="A68" s="26" t="str">
        <f t="shared" si="1"/>
        <v>0010395C</v>
      </c>
      <c r="B68" s="57" t="s">
        <v>227</v>
      </c>
      <c r="C68" s="26" t="s">
        <v>178</v>
      </c>
      <c r="D68" s="26" t="s">
        <v>319</v>
      </c>
    </row>
    <row r="69" spans="1:4">
      <c r="A69" s="26" t="str">
        <f t="shared" si="1"/>
        <v>00103960</v>
      </c>
      <c r="B69" s="57" t="s">
        <v>306</v>
      </c>
      <c r="C69" s="26" t="s">
        <v>299</v>
      </c>
      <c r="D69" s="26" t="s">
        <v>301</v>
      </c>
    </row>
    <row r="70" spans="1:4">
      <c r="A70" s="26" t="str">
        <f t="shared" si="1"/>
        <v>00103964</v>
      </c>
      <c r="B70" s="57" t="s">
        <v>307</v>
      </c>
      <c r="C70" s="26" t="s">
        <v>300</v>
      </c>
      <c r="D70" s="26"/>
    </row>
    <row r="71" spans="1:4">
      <c r="A71" s="26" t="str">
        <f t="shared" si="1"/>
        <v>00103968</v>
      </c>
      <c r="B71" s="57" t="s">
        <v>329</v>
      </c>
      <c r="C71" s="26" t="str">
        <f>_xlfn.CONCAT("beq 0x",A96)</f>
        <v>beq 0x001039CC</v>
      </c>
      <c r="D71" s="26" t="s">
        <v>238</v>
      </c>
    </row>
    <row r="72" spans="1:4">
      <c r="A72" s="51" t="str">
        <f t="shared" si="1"/>
        <v>0010396C</v>
      </c>
      <c r="B72" s="51" t="s">
        <v>110</v>
      </c>
      <c r="C72" s="51" t="s">
        <v>109</v>
      </c>
      <c r="D72" s="51" t="s">
        <v>181</v>
      </c>
    </row>
    <row r="73" spans="1:4">
      <c r="A73" s="51" t="str">
        <f t="shared" si="1"/>
        <v>00103970</v>
      </c>
      <c r="B73" s="52" t="s">
        <v>88</v>
      </c>
      <c r="C73" s="51" t="s">
        <v>87</v>
      </c>
      <c r="D73" s="51"/>
    </row>
    <row r="74" spans="1:4">
      <c r="A74" s="51" t="str">
        <f t="shared" si="1"/>
        <v>00103974</v>
      </c>
      <c r="B74" s="52" t="s">
        <v>335</v>
      </c>
      <c r="C74" s="51" t="s">
        <v>105</v>
      </c>
      <c r="D74" s="51"/>
    </row>
    <row r="75" spans="1:4">
      <c r="A75" s="53" t="str">
        <f t="shared" si="1"/>
        <v>00103978</v>
      </c>
      <c r="B75" s="56" t="s">
        <v>228</v>
      </c>
      <c r="C75" s="53" t="s">
        <v>183</v>
      </c>
      <c r="D75" s="53" t="s">
        <v>184</v>
      </c>
    </row>
    <row r="76" spans="1:4">
      <c r="A76" s="33" t="str">
        <f t="shared" si="1"/>
        <v>0010397C</v>
      </c>
      <c r="B76" s="55" t="s">
        <v>229</v>
      </c>
      <c r="C76" s="33" t="s">
        <v>186</v>
      </c>
      <c r="D76" s="33" t="s">
        <v>189</v>
      </c>
    </row>
    <row r="77" spans="1:4">
      <c r="A77" s="33" t="str">
        <f t="shared" si="1"/>
        <v>00103980</v>
      </c>
      <c r="B77" s="55" t="s">
        <v>32</v>
      </c>
      <c r="C77" s="33" t="str">
        <f>_xlfn.CONCAT("bne 0x",A81)</f>
        <v>bne 0x00103990</v>
      </c>
      <c r="D77" s="33" t="s">
        <v>326</v>
      </c>
    </row>
    <row r="78" spans="1:4">
      <c r="A78" s="33" t="str">
        <f t="shared" si="1"/>
        <v>00103984</v>
      </c>
      <c r="B78" s="55" t="s">
        <v>330</v>
      </c>
      <c r="C78" s="33" t="s">
        <v>325</v>
      </c>
      <c r="D78" s="33" t="s">
        <v>302</v>
      </c>
    </row>
    <row r="79" spans="1:4">
      <c r="A79" s="33" t="str">
        <f t="shared" si="1"/>
        <v>00103988</v>
      </c>
      <c r="B79" s="55" t="s">
        <v>308</v>
      </c>
      <c r="C79" s="33" t="s">
        <v>303</v>
      </c>
      <c r="D79" s="33" t="s">
        <v>320</v>
      </c>
    </row>
    <row r="80" spans="1:4">
      <c r="A80" s="33" t="str">
        <f t="shared" si="1"/>
        <v>0010398C</v>
      </c>
      <c r="B80" s="55" t="s">
        <v>324</v>
      </c>
      <c r="C80" s="33" t="str">
        <f>_xlfn.CONCAT("bne 0x",A96)</f>
        <v>bne 0x001039CC</v>
      </c>
      <c r="D80" s="33" t="s">
        <v>321</v>
      </c>
    </row>
    <row r="81" spans="1:4">
      <c r="A81" s="53" t="str">
        <f t="shared" si="1"/>
        <v>00103990</v>
      </c>
      <c r="B81" s="56" t="s">
        <v>230</v>
      </c>
      <c r="C81" s="53" t="s">
        <v>185</v>
      </c>
      <c r="D81" s="53" t="s">
        <v>322</v>
      </c>
    </row>
    <row r="82" spans="1:4">
      <c r="A82" s="38" t="str">
        <f t="shared" si="1"/>
        <v>00103994</v>
      </c>
      <c r="B82" s="39" t="s">
        <v>231</v>
      </c>
      <c r="C82" s="38" t="s">
        <v>188</v>
      </c>
      <c r="D82" s="38" t="s">
        <v>190</v>
      </c>
    </row>
    <row r="83" spans="1:4">
      <c r="A83" s="41" t="str">
        <f t="shared" si="1"/>
        <v>00103998</v>
      </c>
      <c r="B83" s="54" t="s">
        <v>336</v>
      </c>
      <c r="C83" s="41" t="str">
        <f>_xlfn.CONCAT("blne 0x",[1]Code!A$3)</f>
        <v>blne 0x00102160</v>
      </c>
      <c r="D83" s="41" t="s">
        <v>316</v>
      </c>
    </row>
    <row r="84" spans="1:4">
      <c r="A84" s="58" t="str">
        <f t="shared" si="1"/>
        <v>0010399C</v>
      </c>
      <c r="B84" s="59" t="s">
        <v>232</v>
      </c>
      <c r="C84" s="58" t="s">
        <v>187</v>
      </c>
      <c r="D84" s="58" t="s">
        <v>323</v>
      </c>
    </row>
    <row r="85" spans="1:4">
      <c r="A85" s="50" t="str">
        <f t="shared" si="1"/>
        <v>001039A0</v>
      </c>
      <c r="B85" s="50" t="s">
        <v>233</v>
      </c>
      <c r="C85" s="50" t="s">
        <v>196</v>
      </c>
      <c r="D85" s="50" t="s">
        <v>173</v>
      </c>
    </row>
    <row r="86" spans="1:4">
      <c r="A86" s="50" t="str">
        <f t="shared" si="1"/>
        <v>001039A4</v>
      </c>
      <c r="B86" s="50" t="s">
        <v>163</v>
      </c>
      <c r="C86" s="50" t="s">
        <v>159</v>
      </c>
      <c r="D86" s="50" t="s">
        <v>174</v>
      </c>
    </row>
    <row r="87" spans="1:4">
      <c r="A87" s="60" t="str">
        <f t="shared" si="1"/>
        <v>001039A8</v>
      </c>
      <c r="B87" s="60" t="s">
        <v>234</v>
      </c>
      <c r="C87" s="60" t="s">
        <v>197</v>
      </c>
      <c r="D87" s="60"/>
    </row>
    <row r="88" spans="1:4">
      <c r="A88" s="60" t="str">
        <f t="shared" si="1"/>
        <v>001039AC</v>
      </c>
      <c r="B88" s="60" t="s">
        <v>337</v>
      </c>
      <c r="C88" s="60" t="s">
        <v>83</v>
      </c>
      <c r="D88" s="60" t="s">
        <v>175</v>
      </c>
    </row>
    <row r="89" spans="1:4">
      <c r="A89" s="60" t="str">
        <f t="shared" si="1"/>
        <v>001039B0</v>
      </c>
      <c r="B89" s="61" t="s">
        <v>240</v>
      </c>
      <c r="C89" s="60" t="s">
        <v>239</v>
      </c>
      <c r="D89" s="60" t="s">
        <v>179</v>
      </c>
    </row>
    <row r="90" spans="1:4">
      <c r="A90" s="62" t="str">
        <f t="shared" si="1"/>
        <v>001039B4</v>
      </c>
      <c r="B90" s="63" t="s">
        <v>248</v>
      </c>
      <c r="C90" s="62" t="s">
        <v>241</v>
      </c>
      <c r="D90" s="62" t="s">
        <v>191</v>
      </c>
    </row>
    <row r="91" spans="1:4">
      <c r="A91" s="62" t="str">
        <f t="shared" si="1"/>
        <v>001039B8</v>
      </c>
      <c r="B91" s="63" t="s">
        <v>249</v>
      </c>
      <c r="C91" s="62" t="s">
        <v>242</v>
      </c>
      <c r="D91" s="62" t="s">
        <v>192</v>
      </c>
    </row>
    <row r="92" spans="1:4">
      <c r="A92" s="62" t="str">
        <f t="shared" si="1"/>
        <v>001039BC</v>
      </c>
      <c r="B92" s="62" t="s">
        <v>250</v>
      </c>
      <c r="C92" s="62" t="s">
        <v>243</v>
      </c>
      <c r="D92" s="62" t="s">
        <v>195</v>
      </c>
    </row>
    <row r="93" spans="1:4">
      <c r="A93" s="2" t="str">
        <f t="shared" si="1"/>
        <v>001039C0</v>
      </c>
      <c r="B93" s="4" t="s">
        <v>235</v>
      </c>
      <c r="C93" s="2" t="s">
        <v>198</v>
      </c>
      <c r="D93" s="2" t="s">
        <v>199</v>
      </c>
    </row>
    <row r="94" spans="1:4">
      <c r="A94" s="2" t="str">
        <f t="shared" si="1"/>
        <v>001039C4</v>
      </c>
      <c r="B94" s="4" t="s">
        <v>236</v>
      </c>
      <c r="C94" s="2" t="s">
        <v>200</v>
      </c>
      <c r="D94" s="2" t="s">
        <v>201</v>
      </c>
    </row>
    <row r="95" spans="1:4">
      <c r="A95" s="2" t="str">
        <f t="shared" si="1"/>
        <v>001039C8</v>
      </c>
      <c r="B95" s="2" t="s">
        <v>237</v>
      </c>
      <c r="C95" s="2" t="str">
        <f>_xlfn.CONCAT("blo 0x",A87)</f>
        <v>blo 0x001039A8</v>
      </c>
      <c r="D95" s="2" t="s">
        <v>202</v>
      </c>
    </row>
    <row r="96" spans="1:4">
      <c r="A96" s="2" t="str">
        <f t="shared" si="1"/>
        <v>001039CC</v>
      </c>
      <c r="B96" s="2" t="s">
        <v>223</v>
      </c>
      <c r="C96" s="2" t="str">
        <f>SUBSTITUTE(SUBSTITUTE(C54,"push","pop"),"lr","pc")</f>
        <v>pop {r4, r5, r6, r7, pc}</v>
      </c>
      <c r="D96" s="2" t="s">
        <v>203</v>
      </c>
    </row>
    <row r="98" spans="1:4">
      <c r="A98" s="4" t="s">
        <v>305</v>
      </c>
      <c r="B98" s="4" t="s">
        <v>165</v>
      </c>
      <c r="C98" s="2" t="s">
        <v>171</v>
      </c>
      <c r="D98" s="2" t="s">
        <v>160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1B432-E39A-4DC1-BC73-6DF61E7E1BED}">
  <dimension ref="A1:H77"/>
  <sheetViews>
    <sheetView zoomScaleNormal="100" workbookViewId="0">
      <pane ySplit="1" topLeftCell="A2" activePane="bottomLeft" state="frozen"/>
      <selection pane="bottomLeft" activeCell="D21" sqref="A21:D27"/>
    </sheetView>
  </sheetViews>
  <sheetFormatPr defaultRowHeight="15.9"/>
  <cols>
    <col min="1" max="1" width="10.0703125" style="2" customWidth="1"/>
    <col min="2" max="2" width="9.2109375" style="2" bestFit="1" customWidth="1"/>
    <col min="3" max="3" width="43.140625" style="2" bestFit="1" customWidth="1"/>
    <col min="4" max="4" width="50.35546875" style="2" bestFit="1" customWidth="1"/>
    <col min="5" max="5" width="9.140625" style="2"/>
    <col min="6" max="6" width="8.85546875" style="2" bestFit="1" customWidth="1"/>
    <col min="7" max="7" width="2.92578125" style="2" bestFit="1" customWidth="1"/>
    <col min="8" max="8" width="13.85546875" style="2" bestFit="1" customWidth="1"/>
    <col min="9" max="9" width="14.5703125" style="2" bestFit="1" customWidth="1"/>
    <col min="10" max="16384" width="9.140625" style="2"/>
  </cols>
  <sheetData>
    <row r="1" spans="1:8">
      <c r="A1" s="1" t="s">
        <v>153</v>
      </c>
      <c r="B1" s="1" t="s">
        <v>152</v>
      </c>
      <c r="C1" s="1" t="s">
        <v>151</v>
      </c>
      <c r="D1" s="1" t="s">
        <v>150</v>
      </c>
    </row>
    <row r="2" spans="1:8">
      <c r="A2" s="1" t="s">
        <v>149</v>
      </c>
      <c r="B2" s="3"/>
      <c r="C2" s="3"/>
    </row>
    <row r="3" spans="1:8">
      <c r="A3" s="4" t="s">
        <v>148</v>
      </c>
      <c r="B3" s="2" t="s">
        <v>147</v>
      </c>
      <c r="C3" s="2" t="s">
        <v>146</v>
      </c>
    </row>
    <row r="4" spans="1:8">
      <c r="A4" s="2" t="str">
        <f t="shared" ref="A4:A35" si="0">DEC2HEX(HEX2DEC(A3)+4,8)</f>
        <v>000FEAD8</v>
      </c>
      <c r="B4" s="2" t="s">
        <v>145</v>
      </c>
      <c r="C4" s="2" t="s">
        <v>144</v>
      </c>
    </row>
    <row r="5" spans="1:8">
      <c r="A5" s="2" t="str">
        <f t="shared" si="0"/>
        <v>000FEADC</v>
      </c>
      <c r="B5" s="2" t="s">
        <v>143</v>
      </c>
      <c r="C5" s="2" t="s">
        <v>142</v>
      </c>
    </row>
    <row r="6" spans="1:8">
      <c r="A6" s="2" t="str">
        <f t="shared" si="0"/>
        <v>000FEAE0</v>
      </c>
      <c r="B6" s="2" t="s">
        <v>91</v>
      </c>
      <c r="C6" s="2" t="s">
        <v>90</v>
      </c>
      <c r="D6" s="2" t="s">
        <v>141</v>
      </c>
    </row>
    <row r="7" spans="1:8">
      <c r="A7" s="2" t="str">
        <f t="shared" si="0"/>
        <v>000FEAE4</v>
      </c>
      <c r="B7" s="2" t="s">
        <v>140</v>
      </c>
      <c r="C7" s="2" t="s">
        <v>139</v>
      </c>
      <c r="D7" s="2" t="s">
        <v>138</v>
      </c>
      <c r="H7" s="2" t="s">
        <v>155</v>
      </c>
    </row>
    <row r="8" spans="1:8">
      <c r="A8" s="5" t="str">
        <f t="shared" si="0"/>
        <v>000FEAE8</v>
      </c>
      <c r="B8" s="5" t="s">
        <v>137</v>
      </c>
      <c r="C8" s="5" t="s">
        <v>154</v>
      </c>
      <c r="D8" s="5" t="s">
        <v>136</v>
      </c>
      <c r="H8" s="2" t="s">
        <v>156</v>
      </c>
    </row>
    <row r="9" spans="1:8">
      <c r="A9" s="5" t="str">
        <f t="shared" si="0"/>
        <v>000FEAEC</v>
      </c>
      <c r="B9" s="5" t="s">
        <v>135</v>
      </c>
      <c r="C9" s="5" t="s">
        <v>127</v>
      </c>
      <c r="D9" s="5"/>
    </row>
    <row r="10" spans="1:8">
      <c r="A10" s="5" t="str">
        <f t="shared" si="0"/>
        <v>000FEAF0</v>
      </c>
      <c r="B10" s="6" t="s">
        <v>134</v>
      </c>
      <c r="C10" s="5" t="s">
        <v>133</v>
      </c>
      <c r="D10" s="5"/>
    </row>
    <row r="11" spans="1:8">
      <c r="A11" s="5" t="str">
        <f t="shared" si="0"/>
        <v>000FEAF4</v>
      </c>
      <c r="B11" s="5" t="s">
        <v>132</v>
      </c>
      <c r="C11" s="5" t="str">
        <f>_xlfn.CONCAT("bne 0x",A$77)</f>
        <v>bne 0x000FEBFC</v>
      </c>
      <c r="D11" s="5"/>
    </row>
    <row r="12" spans="1:8">
      <c r="A12" s="7" t="str">
        <f t="shared" si="0"/>
        <v>000FEAF8</v>
      </c>
      <c r="B12" s="7" t="s">
        <v>131</v>
      </c>
      <c r="C12" s="7" t="s">
        <v>130</v>
      </c>
      <c r="D12" s="7" t="s">
        <v>129</v>
      </c>
    </row>
    <row r="13" spans="1:8">
      <c r="A13" s="7" t="str">
        <f t="shared" si="0"/>
        <v>000FEAFC</v>
      </c>
      <c r="B13" s="7" t="s">
        <v>128</v>
      </c>
      <c r="C13" s="7" t="s">
        <v>127</v>
      </c>
      <c r="D13" s="7"/>
    </row>
    <row r="14" spans="1:8">
      <c r="A14" s="7" t="str">
        <f t="shared" si="0"/>
        <v>000FEB00</v>
      </c>
      <c r="B14" s="7" t="s">
        <v>126</v>
      </c>
      <c r="C14" s="7" t="s">
        <v>125</v>
      </c>
      <c r="D14" s="7" t="s">
        <v>124</v>
      </c>
    </row>
    <row r="15" spans="1:8">
      <c r="A15" s="8" t="str">
        <f t="shared" si="0"/>
        <v>000FEB04</v>
      </c>
      <c r="B15" s="8" t="s">
        <v>88</v>
      </c>
      <c r="C15" s="8" t="s">
        <v>87</v>
      </c>
      <c r="D15" s="8"/>
    </row>
    <row r="16" spans="1:8">
      <c r="A16" s="8" t="str">
        <f t="shared" si="0"/>
        <v>000FEB08</v>
      </c>
      <c r="B16" s="8" t="s">
        <v>123</v>
      </c>
      <c r="C16" s="8" t="s">
        <v>122</v>
      </c>
      <c r="D16" s="8" t="s">
        <v>121</v>
      </c>
    </row>
    <row r="17" spans="1:4">
      <c r="A17" s="8" t="str">
        <f t="shared" si="0"/>
        <v>000FEB0C</v>
      </c>
      <c r="B17" s="9" t="s">
        <v>120</v>
      </c>
      <c r="C17" s="8" t="s">
        <v>83</v>
      </c>
      <c r="D17" s="8" t="s">
        <v>119</v>
      </c>
    </row>
    <row r="18" spans="1:4">
      <c r="A18" s="8" t="str">
        <f t="shared" si="0"/>
        <v>000FEB10</v>
      </c>
      <c r="B18" s="10" t="s">
        <v>118</v>
      </c>
      <c r="C18" s="8" t="s">
        <v>117</v>
      </c>
      <c r="D18" s="8" t="s">
        <v>116</v>
      </c>
    </row>
    <row r="19" spans="1:4">
      <c r="A19" s="8" t="str">
        <f t="shared" si="0"/>
        <v>000FEB14</v>
      </c>
      <c r="B19" s="8" t="s">
        <v>115</v>
      </c>
      <c r="C19" s="8" t="str">
        <f>_xlfn.CONCAT("beq 0x",A$77)</f>
        <v>beq 0x000FEBFC</v>
      </c>
      <c r="D19" s="8" t="s">
        <v>114</v>
      </c>
    </row>
    <row r="20" spans="1:4">
      <c r="A20" s="8" t="str">
        <f t="shared" si="0"/>
        <v>000FEB18</v>
      </c>
      <c r="B20" s="8" t="s">
        <v>113</v>
      </c>
      <c r="C20" s="8" t="s">
        <v>112</v>
      </c>
      <c r="D20" s="8" t="s">
        <v>111</v>
      </c>
    </row>
    <row r="21" spans="1:4">
      <c r="A21" s="11" t="str">
        <f t="shared" si="0"/>
        <v>000FEB1C</v>
      </c>
      <c r="B21" s="11" t="s">
        <v>110</v>
      </c>
      <c r="C21" s="11" t="s">
        <v>109</v>
      </c>
      <c r="D21" s="11"/>
    </row>
    <row r="22" spans="1:4">
      <c r="A22" s="11" t="str">
        <f t="shared" si="0"/>
        <v>000FEB20</v>
      </c>
      <c r="B22" s="12" t="s">
        <v>108</v>
      </c>
      <c r="C22" s="11" t="s">
        <v>107</v>
      </c>
      <c r="D22" s="11"/>
    </row>
    <row r="23" spans="1:4">
      <c r="A23" s="11" t="str">
        <f t="shared" si="0"/>
        <v>000FEB24</v>
      </c>
      <c r="B23" s="12" t="s">
        <v>106</v>
      </c>
      <c r="C23" s="11" t="s">
        <v>105</v>
      </c>
      <c r="D23" s="11" t="s">
        <v>104</v>
      </c>
    </row>
    <row r="24" spans="1:4">
      <c r="A24" s="13" t="str">
        <f t="shared" si="0"/>
        <v>000FEB28</v>
      </c>
      <c r="B24" s="14" t="s">
        <v>103</v>
      </c>
      <c r="C24" s="13" t="s">
        <v>102</v>
      </c>
      <c r="D24" s="13"/>
    </row>
    <row r="25" spans="1:4">
      <c r="A25" s="13" t="str">
        <f t="shared" si="0"/>
        <v>000FEB2C</v>
      </c>
      <c r="B25" s="14" t="s">
        <v>101</v>
      </c>
      <c r="C25" s="13" t="s">
        <v>100</v>
      </c>
      <c r="D25" s="13" t="s">
        <v>99</v>
      </c>
    </row>
    <row r="26" spans="1:4">
      <c r="A26" s="13" t="str">
        <f t="shared" si="0"/>
        <v>000FEB30</v>
      </c>
      <c r="B26" s="14" t="s">
        <v>98</v>
      </c>
      <c r="C26" s="13" t="s">
        <v>97</v>
      </c>
      <c r="D26" s="13"/>
    </row>
    <row r="27" spans="1:4">
      <c r="A27" s="13" t="str">
        <f t="shared" si="0"/>
        <v>000FEB34</v>
      </c>
      <c r="B27" s="13" t="s">
        <v>96</v>
      </c>
      <c r="C27" s="13" t="s">
        <v>95</v>
      </c>
      <c r="D27" s="13" t="s">
        <v>94</v>
      </c>
    </row>
    <row r="28" spans="1:4">
      <c r="A28" s="15" t="str">
        <f t="shared" si="0"/>
        <v>000FEB38</v>
      </c>
      <c r="B28" s="15" t="s">
        <v>88</v>
      </c>
      <c r="C28" s="15" t="s">
        <v>87</v>
      </c>
      <c r="D28" s="15"/>
    </row>
    <row r="29" spans="1:4">
      <c r="A29" s="15" t="str">
        <f t="shared" si="0"/>
        <v>000FEB3C</v>
      </c>
      <c r="B29" s="16" t="s">
        <v>93</v>
      </c>
      <c r="C29" s="15" t="s">
        <v>83</v>
      </c>
      <c r="D29" s="15" t="s">
        <v>92</v>
      </c>
    </row>
    <row r="30" spans="1:4">
      <c r="A30" s="15" t="str">
        <f t="shared" si="0"/>
        <v>000FEB40</v>
      </c>
      <c r="B30" s="15" t="s">
        <v>91</v>
      </c>
      <c r="C30" s="15" t="s">
        <v>90</v>
      </c>
      <c r="D30" s="15" t="s">
        <v>89</v>
      </c>
    </row>
    <row r="31" spans="1:4">
      <c r="A31" s="17" t="str">
        <f t="shared" si="0"/>
        <v>000FEB44</v>
      </c>
      <c r="B31" s="18" t="s">
        <v>88</v>
      </c>
      <c r="C31" s="17" t="s">
        <v>87</v>
      </c>
      <c r="D31" s="17"/>
    </row>
    <row r="32" spans="1:4">
      <c r="A32" s="17" t="str">
        <f t="shared" si="0"/>
        <v>000FEB48</v>
      </c>
      <c r="B32" s="19" t="s">
        <v>86</v>
      </c>
      <c r="C32" s="17" t="s">
        <v>85</v>
      </c>
      <c r="D32" s="17"/>
    </row>
    <row r="33" spans="1:4">
      <c r="A33" s="17" t="str">
        <f t="shared" si="0"/>
        <v>000FEB4C</v>
      </c>
      <c r="B33" s="17" t="s">
        <v>84</v>
      </c>
      <c r="C33" s="17" t="s">
        <v>83</v>
      </c>
      <c r="D33" s="17" t="s">
        <v>82</v>
      </c>
    </row>
    <row r="34" spans="1:4">
      <c r="A34" s="17" t="str">
        <f t="shared" si="0"/>
        <v>000FEB50</v>
      </c>
      <c r="B34" s="18" t="s">
        <v>81</v>
      </c>
      <c r="C34" s="17" t="s">
        <v>80</v>
      </c>
      <c r="D34" s="17" t="s">
        <v>79</v>
      </c>
    </row>
    <row r="35" spans="1:4">
      <c r="A35" s="20" t="str">
        <f t="shared" si="0"/>
        <v>000FEB54</v>
      </c>
      <c r="B35" s="21" t="s">
        <v>78</v>
      </c>
      <c r="C35" s="20" t="s">
        <v>77</v>
      </c>
      <c r="D35" s="20" t="s">
        <v>76</v>
      </c>
    </row>
    <row r="36" spans="1:4">
      <c r="A36" s="8" t="str">
        <f t="shared" ref="A36:A67" si="1">DEC2HEX(HEX2DEC(A35)+4,8)</f>
        <v>000FEB58</v>
      </c>
      <c r="B36" s="10" t="s">
        <v>75</v>
      </c>
      <c r="C36" s="8" t="s">
        <v>74</v>
      </c>
      <c r="D36" s="8" t="s">
        <v>73</v>
      </c>
    </row>
    <row r="37" spans="1:4">
      <c r="A37" s="8" t="str">
        <f t="shared" si="1"/>
        <v>000FEB5C</v>
      </c>
      <c r="B37" s="8" t="s">
        <v>72</v>
      </c>
      <c r="C37" s="8" t="str">
        <f>_xlfn.CONCAT("blo 0x",A52)</f>
        <v>blo 0x000FEB98</v>
      </c>
      <c r="D37" s="8" t="s">
        <v>71</v>
      </c>
    </row>
    <row r="38" spans="1:4">
      <c r="A38" s="22" t="str">
        <f t="shared" si="1"/>
        <v>000FEB60</v>
      </c>
      <c r="B38" s="23" t="s">
        <v>70</v>
      </c>
      <c r="C38" s="22" t="s">
        <v>69</v>
      </c>
      <c r="D38" s="22" t="s">
        <v>68</v>
      </c>
    </row>
    <row r="39" spans="1:4">
      <c r="A39" s="22" t="str">
        <f t="shared" si="1"/>
        <v>000FEB64</v>
      </c>
      <c r="B39" s="23" t="s">
        <v>67</v>
      </c>
      <c r="C39" s="22" t="str">
        <f>_xlfn.CONCAT("beq 0x",A$77)</f>
        <v>beq 0x000FEBFC</v>
      </c>
      <c r="D39" s="22"/>
    </row>
    <row r="40" spans="1:4">
      <c r="A40" s="24" t="str">
        <f t="shared" si="1"/>
        <v>000FEB68</v>
      </c>
      <c r="B40" s="24" t="s">
        <v>27</v>
      </c>
      <c r="C40" s="24" t="s">
        <v>26</v>
      </c>
      <c r="D40" s="24" t="s">
        <v>66</v>
      </c>
    </row>
    <row r="41" spans="1:4">
      <c r="A41" s="24" t="str">
        <f t="shared" si="1"/>
        <v>000FEB6C</v>
      </c>
      <c r="B41" s="25" t="s">
        <v>65</v>
      </c>
      <c r="C41" s="24" t="str">
        <f>_xlfn.CONCAT("beq 0x",A$73)</f>
        <v>beq 0x000FEBEC</v>
      </c>
      <c r="D41" s="24" t="s">
        <v>62</v>
      </c>
    </row>
    <row r="42" spans="1:4">
      <c r="A42" s="26" t="str">
        <f t="shared" si="1"/>
        <v>000FEB70</v>
      </c>
      <c r="B42" s="27" t="s">
        <v>35</v>
      </c>
      <c r="C42" s="26" t="s">
        <v>34</v>
      </c>
      <c r="D42" s="26" t="s">
        <v>64</v>
      </c>
    </row>
    <row r="43" spans="1:4">
      <c r="A43" s="26" t="str">
        <f t="shared" si="1"/>
        <v>000FEB74</v>
      </c>
      <c r="B43" s="27" t="s">
        <v>32</v>
      </c>
      <c r="C43" s="26" t="str">
        <f>_xlfn.CONCAT("bne 0x",A47)</f>
        <v>bne 0x000FEB84</v>
      </c>
      <c r="D43" s="26" t="s">
        <v>31</v>
      </c>
    </row>
    <row r="44" spans="1:4">
      <c r="A44" s="26" t="str">
        <f t="shared" si="1"/>
        <v>000FEB78</v>
      </c>
      <c r="B44" s="27" t="s">
        <v>22</v>
      </c>
      <c r="C44" s="26" t="s">
        <v>21</v>
      </c>
      <c r="D44" s="26"/>
    </row>
    <row r="45" spans="1:4">
      <c r="A45" s="26" t="str">
        <f t="shared" si="1"/>
        <v>000FEB7C</v>
      </c>
      <c r="B45" s="27" t="s">
        <v>63</v>
      </c>
      <c r="C45" s="26" t="str">
        <f>_xlfn.CONCAT("beq 0x",A$73)</f>
        <v>beq 0x000FEBEC</v>
      </c>
      <c r="D45" s="26" t="s">
        <v>62</v>
      </c>
    </row>
    <row r="46" spans="1:4">
      <c r="A46" s="26" t="str">
        <f t="shared" si="1"/>
        <v>000FEB80</v>
      </c>
      <c r="B46" s="27" t="s">
        <v>61</v>
      </c>
      <c r="C46" s="26" t="str">
        <f>_xlfn.CONCAT("bne 0x",A$71)</f>
        <v>bne 0x000FEBE4</v>
      </c>
      <c r="D46" s="26" t="s">
        <v>23</v>
      </c>
    </row>
    <row r="47" spans="1:4">
      <c r="A47" s="28" t="str">
        <f t="shared" si="1"/>
        <v>000FEB84</v>
      </c>
      <c r="B47" s="29" t="s">
        <v>60</v>
      </c>
      <c r="C47" s="28" t="s">
        <v>59</v>
      </c>
      <c r="D47" s="28" t="s">
        <v>58</v>
      </c>
    </row>
    <row r="48" spans="1:4">
      <c r="A48" s="28" t="str">
        <f t="shared" si="1"/>
        <v>000FEB88</v>
      </c>
      <c r="B48" s="29" t="s">
        <v>57</v>
      </c>
      <c r="C48" s="28" t="str">
        <f>_xlfn.CONCAT("beq 0x",A$71)</f>
        <v>beq 0x000FEBE4</v>
      </c>
      <c r="D48" s="28" t="s">
        <v>23</v>
      </c>
    </row>
    <row r="49" spans="1:4">
      <c r="A49" s="30" t="str">
        <f t="shared" si="1"/>
        <v>000FEB8C</v>
      </c>
      <c r="B49" s="31" t="s">
        <v>22</v>
      </c>
      <c r="C49" s="30" t="s">
        <v>21</v>
      </c>
      <c r="D49" s="30" t="s">
        <v>56</v>
      </c>
    </row>
    <row r="50" spans="1:4">
      <c r="A50" s="30" t="str">
        <f t="shared" si="1"/>
        <v>000FEB90</v>
      </c>
      <c r="B50" s="31" t="s">
        <v>55</v>
      </c>
      <c r="C50" s="30" t="str">
        <f>_xlfn.CONCAT("beq 0x",A$71)</f>
        <v>beq 0x000FEBE4</v>
      </c>
      <c r="D50" s="30" t="s">
        <v>54</v>
      </c>
    </row>
    <row r="51" spans="1:4">
      <c r="A51" s="30" t="str">
        <f t="shared" si="1"/>
        <v>000FEB94</v>
      </c>
      <c r="B51" s="31" t="s">
        <v>53</v>
      </c>
      <c r="C51" s="30" t="str">
        <f>_xlfn.CONCAT("bne 0x",A$69)</f>
        <v>bne 0x000FEBDC</v>
      </c>
      <c r="D51" s="30"/>
    </row>
    <row r="52" spans="1:4">
      <c r="A52" s="2" t="str">
        <f t="shared" si="1"/>
        <v>000FEB98</v>
      </c>
      <c r="B52" s="32" t="s">
        <v>52</v>
      </c>
      <c r="C52" s="2" t="s">
        <v>51</v>
      </c>
      <c r="D52" s="2" t="s">
        <v>50</v>
      </c>
    </row>
    <row r="53" spans="1:4">
      <c r="A53" s="2" t="str">
        <f t="shared" si="1"/>
        <v>000FEB9C</v>
      </c>
      <c r="B53" s="32" t="s">
        <v>49</v>
      </c>
      <c r="C53" s="2" t="s">
        <v>48</v>
      </c>
      <c r="D53" s="2" t="s">
        <v>47</v>
      </c>
    </row>
    <row r="54" spans="1:4">
      <c r="A54" s="2" t="str">
        <f t="shared" si="1"/>
        <v>000FEBA0</v>
      </c>
      <c r="B54" s="32" t="s">
        <v>42</v>
      </c>
      <c r="C54" s="2" t="s">
        <v>41</v>
      </c>
      <c r="D54" s="2" t="s">
        <v>46</v>
      </c>
    </row>
    <row r="55" spans="1:4">
      <c r="A55" s="2" t="str">
        <f t="shared" si="1"/>
        <v>000FEBA4</v>
      </c>
      <c r="B55" s="32" t="s">
        <v>45</v>
      </c>
      <c r="C55" s="2" t="s">
        <v>44</v>
      </c>
      <c r="D55" s="2" t="s">
        <v>43</v>
      </c>
    </row>
    <row r="56" spans="1:4">
      <c r="A56" s="33" t="str">
        <f t="shared" si="1"/>
        <v>000FEBA8</v>
      </c>
      <c r="B56" s="34" t="s">
        <v>42</v>
      </c>
      <c r="C56" s="33" t="s">
        <v>41</v>
      </c>
      <c r="D56" s="33" t="s">
        <v>40</v>
      </c>
    </row>
    <row r="57" spans="1:4">
      <c r="A57" s="35" t="str">
        <f t="shared" si="1"/>
        <v>000FEBAC</v>
      </c>
      <c r="B57" s="36" t="s">
        <v>39</v>
      </c>
      <c r="C57" s="35" t="s">
        <v>38</v>
      </c>
      <c r="D57" s="35" t="s">
        <v>37</v>
      </c>
    </row>
    <row r="58" spans="1:4">
      <c r="A58" s="35" t="str">
        <f t="shared" si="1"/>
        <v>000FEBB0</v>
      </c>
      <c r="B58" s="37" t="s">
        <v>36</v>
      </c>
      <c r="C58" s="35" t="str">
        <f>_xlfn.CONCAT("beq 0x",A$69)</f>
        <v>beq 0x000FEBDC</v>
      </c>
      <c r="D58" s="35" t="s">
        <v>29</v>
      </c>
    </row>
    <row r="59" spans="1:4">
      <c r="A59" s="38" t="str">
        <f t="shared" si="1"/>
        <v>000FEBB4</v>
      </c>
      <c r="B59" s="39" t="s">
        <v>35</v>
      </c>
      <c r="C59" s="38" t="s">
        <v>34</v>
      </c>
      <c r="D59" s="38" t="s">
        <v>33</v>
      </c>
    </row>
    <row r="60" spans="1:4">
      <c r="A60" s="38" t="str">
        <f t="shared" si="1"/>
        <v>000FEBB8</v>
      </c>
      <c r="B60" s="39" t="s">
        <v>32</v>
      </c>
      <c r="C60" s="38" t="str">
        <f>_xlfn.CONCAT("bne 0x",A64)</f>
        <v>bne 0x000FEBC8</v>
      </c>
      <c r="D60" s="38" t="s">
        <v>31</v>
      </c>
    </row>
    <row r="61" spans="1:4">
      <c r="A61" s="38" t="str">
        <f t="shared" si="1"/>
        <v>000FEBBC</v>
      </c>
      <c r="B61" s="40" t="s">
        <v>22</v>
      </c>
      <c r="C61" s="38" t="s">
        <v>21</v>
      </c>
      <c r="D61" s="38"/>
    </row>
    <row r="62" spans="1:4">
      <c r="A62" s="38" t="str">
        <f t="shared" si="1"/>
        <v>000FEBC0</v>
      </c>
      <c r="B62" s="40" t="s">
        <v>30</v>
      </c>
      <c r="C62" s="38" t="str">
        <f>_xlfn.CONCAT("beq 0x",A$69)</f>
        <v>beq 0x000FEBDC</v>
      </c>
      <c r="D62" s="38" t="s">
        <v>29</v>
      </c>
    </row>
    <row r="63" spans="1:4">
      <c r="A63" s="38" t="str">
        <f t="shared" si="1"/>
        <v>000FEBC4</v>
      </c>
      <c r="B63" s="40" t="s">
        <v>28</v>
      </c>
      <c r="C63" s="38" t="str">
        <f>_xlfn.CONCAT("bne 0x",A$71)</f>
        <v>bne 0x000FEBE4</v>
      </c>
      <c r="D63" s="38" t="s">
        <v>23</v>
      </c>
    </row>
    <row r="64" spans="1:4">
      <c r="A64" s="41" t="str">
        <f t="shared" si="1"/>
        <v>000FEBC8</v>
      </c>
      <c r="B64" s="42" t="s">
        <v>27</v>
      </c>
      <c r="C64" s="41" t="s">
        <v>26</v>
      </c>
      <c r="D64" s="41" t="s">
        <v>25</v>
      </c>
    </row>
    <row r="65" spans="1:4">
      <c r="A65" s="41" t="str">
        <f t="shared" si="1"/>
        <v>000FEBCC</v>
      </c>
      <c r="B65" s="42" t="s">
        <v>24</v>
      </c>
      <c r="C65" s="41" t="str">
        <f>_xlfn.CONCAT("beq 0x",A$71)</f>
        <v>beq 0x000FEBE4</v>
      </c>
      <c r="D65" s="41" t="s">
        <v>23</v>
      </c>
    </row>
    <row r="66" spans="1:4">
      <c r="A66" s="2" t="str">
        <f t="shared" si="1"/>
        <v>000FEBD0</v>
      </c>
      <c r="B66" s="32" t="s">
        <v>22</v>
      </c>
      <c r="C66" s="2" t="s">
        <v>21</v>
      </c>
      <c r="D66" s="2" t="s">
        <v>20</v>
      </c>
    </row>
    <row r="67" spans="1:4">
      <c r="A67" s="2" t="str">
        <f t="shared" si="1"/>
        <v>000FEBD4</v>
      </c>
      <c r="B67" s="32" t="s">
        <v>19</v>
      </c>
      <c r="C67" s="2" t="str">
        <f>_xlfn.CONCAT("beq 0x",A$71)</f>
        <v>beq 0x000FEBE4</v>
      </c>
      <c r="D67" s="2" t="s">
        <v>18</v>
      </c>
    </row>
    <row r="68" spans="1:4">
      <c r="A68" s="2" t="str">
        <f t="shared" ref="A68:A77" si="2">DEC2HEX(HEX2DEC(A67)+4,8)</f>
        <v>000FEBD8</v>
      </c>
      <c r="B68" s="32" t="s">
        <v>17</v>
      </c>
      <c r="C68" s="2" t="str">
        <f>_xlfn.CONCAT("bne 0x",A$73)</f>
        <v>bne 0x000FEBEC</v>
      </c>
    </row>
    <row r="69" spans="1:4">
      <c r="A69" s="43" t="str">
        <f t="shared" si="2"/>
        <v>000FEBDC</v>
      </c>
      <c r="B69" s="44" t="s">
        <v>16</v>
      </c>
      <c r="C69" s="43" t="s">
        <v>15</v>
      </c>
      <c r="D69" s="43" t="s">
        <v>14</v>
      </c>
    </row>
    <row r="70" spans="1:4">
      <c r="A70" s="43" t="str">
        <f t="shared" si="2"/>
        <v>000FEBE0</v>
      </c>
      <c r="B70" s="44" t="s">
        <v>13</v>
      </c>
      <c r="C70" s="43" t="str">
        <f>_xlfn.CONCAT("b 0x",A$74)</f>
        <v>b 0x000FEBF0</v>
      </c>
      <c r="D70" s="43"/>
    </row>
    <row r="71" spans="1:4">
      <c r="A71" s="45" t="str">
        <f t="shared" si="2"/>
        <v>000FEBE4</v>
      </c>
      <c r="B71" s="46" t="s">
        <v>12</v>
      </c>
      <c r="C71" s="45" t="s">
        <v>11</v>
      </c>
      <c r="D71" s="45" t="s">
        <v>10</v>
      </c>
    </row>
    <row r="72" spans="1:4">
      <c r="A72" s="45" t="str">
        <f t="shared" si="2"/>
        <v>000FEBE8</v>
      </c>
      <c r="B72" s="46" t="s">
        <v>9</v>
      </c>
      <c r="C72" s="45" t="str">
        <f>_xlfn.CONCAT("b 0x",A$74)</f>
        <v>b 0x000FEBF0</v>
      </c>
      <c r="D72" s="45"/>
    </row>
    <row r="73" spans="1:4">
      <c r="A73" s="47" t="str">
        <f t="shared" si="2"/>
        <v>000FEBEC</v>
      </c>
      <c r="B73" s="48" t="s">
        <v>8</v>
      </c>
      <c r="C73" s="47" t="s">
        <v>7</v>
      </c>
      <c r="D73" s="47" t="s">
        <v>6</v>
      </c>
    </row>
    <row r="74" spans="1:4">
      <c r="A74" s="2" t="str">
        <f t="shared" si="2"/>
        <v>000FEBF0</v>
      </c>
      <c r="B74" s="3" t="s">
        <v>5</v>
      </c>
      <c r="C74" s="2" t="str">
        <f>SUBSTITUTE(C3,"push","pop")</f>
        <v>pop {r4, r5, r6, r7, r8, r10, r11, lr}</v>
      </c>
      <c r="D74" s="49"/>
    </row>
    <row r="75" spans="1:4">
      <c r="A75" s="2" t="str">
        <f t="shared" si="2"/>
        <v>000FEBF4</v>
      </c>
      <c r="B75" s="2" t="s">
        <v>4</v>
      </c>
      <c r="C75" s="2" t="s">
        <v>3</v>
      </c>
      <c r="D75" s="49"/>
    </row>
    <row r="76" spans="1:4">
      <c r="A76" s="2" t="str">
        <f t="shared" si="2"/>
        <v>000FEBF8</v>
      </c>
      <c r="B76" s="4" t="s">
        <v>2</v>
      </c>
      <c r="C76" s="2" t="s">
        <v>1</v>
      </c>
      <c r="D76" s="49"/>
    </row>
    <row r="77" spans="1:4">
      <c r="A77" s="2" t="str">
        <f t="shared" si="2"/>
        <v>000FEBFC</v>
      </c>
      <c r="B77" s="2" t="s">
        <v>0</v>
      </c>
      <c r="C77" s="2" t="str">
        <f>SUBSTITUTE(C74,"lr","pc")</f>
        <v>pop {r4, r5, r6, r7, r8, r10, r11, pc}</v>
      </c>
      <c r="D77" s="49"/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Add Defensive Type New</vt:lpstr>
      <vt:lpstr>Add Defensive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2025-08-01T05:19:20Z</dcterms:created>
  <dcterms:modified xsi:type="dcterms:W3CDTF">2026-05-31T17:44:18Z</dcterms:modified>
</cp:coreProperties>
</file>