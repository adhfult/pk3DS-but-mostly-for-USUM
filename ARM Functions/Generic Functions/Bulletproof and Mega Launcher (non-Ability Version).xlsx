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F3518B59-2006-4E9D-9003-0A71C1D4F431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ed main" sheetId="6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6" l="1"/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C8" i="6" s="1"/>
  <c r="C14" i="6" l="1"/>
</calcChain>
</file>

<file path=xl/sharedStrings.xml><?xml version="1.0" encoding="utf-8"?>
<sst xmlns="http://schemas.openxmlformats.org/spreadsheetml/2006/main" count="44" uniqueCount="44">
  <si>
    <t>Address</t>
  </si>
  <si>
    <t>Hex</t>
  </si>
  <si>
    <t>instruction</t>
  </si>
  <si>
    <t>notes</t>
  </si>
  <si>
    <t>uxth r0, r0</t>
  </si>
  <si>
    <t>1200A0E3</t>
  </si>
  <si>
    <t>7000FFE6</t>
  </si>
  <si>
    <t>000050E3</t>
  </si>
  <si>
    <t>cmp r0, 0x0</t>
  </si>
  <si>
    <t>0300000A</t>
  </si>
  <si>
    <t>push {r4, r5, r6, lr}</t>
  </si>
  <si>
    <t>mov r6, r1</t>
  </si>
  <si>
    <t>mov r5, r2</t>
  </si>
  <si>
    <t>cmp r0, r5</t>
  </si>
  <si>
    <t>pop {r4, r5, r6, lr}</t>
  </si>
  <si>
    <t>pop {r4, r5, r6, pc}</t>
  </si>
  <si>
    <t>70402DE9</t>
  </si>
  <si>
    <t>0160A0E1</t>
  </si>
  <si>
    <t>0250A0E1</t>
  </si>
  <si>
    <t>0400A0E3</t>
  </si>
  <si>
    <t>050050E1</t>
  </si>
  <si>
    <t>0110A0E3</t>
  </si>
  <si>
    <t>4500A0E3</t>
  </si>
  <si>
    <t>7040BDE8</t>
  </si>
  <si>
    <t>7080BDE8</t>
  </si>
  <si>
    <t>mov r0, 0x4</t>
  </si>
  <si>
    <t>bl 0x00087B58</t>
  </si>
  <si>
    <t>mov r0, 0x12</t>
  </si>
  <si>
    <t>bl 0x87b58</t>
  </si>
  <si>
    <t>mov r0, 0x45</t>
  </si>
  <si>
    <t>mov r1, 0x1</t>
  </si>
  <si>
    <t>Check self defender</t>
  </si>
  <si>
    <t>bl 0x000B6A8C</t>
  </si>
  <si>
    <t>Get move</t>
  </si>
  <si>
    <t>Check Bullet move</t>
  </si>
  <si>
    <t>exit if not</t>
  </si>
  <si>
    <t>Negate</t>
  </si>
  <si>
    <t>001029E0</t>
  </si>
  <si>
    <t>b 0x00082D44</t>
  </si>
  <si>
    <t>5814FEEB</t>
  </si>
  <si>
    <t>0900001A</t>
  </si>
  <si>
    <t>5414FEEB</t>
  </si>
  <si>
    <t>1FD0FEEB</t>
  </si>
  <si>
    <t>C700FEEA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</si>
</sst>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  <font>
      <sz val="11"/>
      <color rgb="FFFF0000"/>
      <name val="Cascadia Code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/>
    <xf numFmtId="0" fontId="3" fillId="2" borderId="0" xfId="0" quotePrefix="1" applyFont="1" applyFill="1"/>
    <xf numFmtId="0" fontId="3" fillId="2" borderId="0" xfId="0" applyFont="1" applyFill="1"/>
    <xf numFmtId="0" fontId="2" fillId="3" borderId="0" xfId="0" applyFont="1" applyFill="1"/>
    <xf numFmtId="0" fontId="2" fillId="3" borderId="0" xfId="0" quotePrefix="1" applyFont="1" applyFill="1"/>
    <xf numFmtId="0" fontId="4" fillId="0" borderId="0" xfId="0" applyFont="1"/>
    <xf numFmtId="0" fontId="3" fillId="3" borderId="0" xfId="0" quotePrefix="1" applyFont="1" applyFill="1"/>
    <xf numFmtId="0" fontId="2" fillId="0" borderId="0" xfId="0" quotePrefix="1" applyFont="1" applyFill="1"/>
    <xf numFmtId="0" fontId="2" fillId="0" borderId="0" xfId="0" applyFont="1" applyFill="1"/>
    <xf numFmtId="0" fontId="2" fillId="2" borderId="0" xfId="0" quotePrefix="1" applyFont="1" applyFill="1"/>
    <xf numFmtId="0" fontId="3" fillId="3" borderId="0" xfId="0" applyFont="1" applyFill="1"/>
    <xf numFmtId="0" fontId="2" fillId="4" borderId="0" xfId="0" applyFont="1" applyFill="1"/>
    <xf numFmtId="0" fontId="2" fillId="4" borderId="0" xfId="0" quotePrefix="1" applyFont="1" applyFill="1"/>
    <xf numFmtId="0" fontId="3" fillId="4" borderId="0" xfId="0" quotePrefix="1" applyFont="1" applyFill="1"/>
    <xf numFmtId="0" fontId="2" fillId="5" borderId="0" xfId="0" applyFont="1" applyFill="1"/>
    <xf numFmtId="0" fontId="3" fillId="5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J19"/>
  <sheetViews>
    <sheetView tabSelected="1" zoomScaleNormal="100" workbookViewId="0">
      <pane ySplit="1" topLeftCell="A2" activePane="bottomLeft" state="frozen"/>
      <selection pane="bottomLeft" activeCell="B2" sqref="B2:B19"/>
    </sheetView>
  </sheetViews>
  <sheetFormatPr defaultRowHeight="15.9"/>
  <cols>
    <col min="1" max="2" width="9.35546875" style="2" bestFit="1" customWidth="1"/>
    <col min="3" max="3" width="23.5" style="2" bestFit="1" customWidth="1"/>
    <col min="4" max="4" width="24.85546875" style="2" customWidth="1"/>
    <col min="5" max="5" width="18.42578125" style="2" customWidth="1"/>
    <col min="6" max="6" width="14.28515625" style="2" bestFit="1" customWidth="1"/>
    <col min="7" max="7" width="17.5" style="3" customWidth="1"/>
    <col min="8" max="16384" width="9.140625" style="2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10">
      <c r="A2" s="11" t="s">
        <v>37</v>
      </c>
      <c r="B2" s="12" t="s">
        <v>16</v>
      </c>
      <c r="C2" s="12" t="s">
        <v>10</v>
      </c>
      <c r="D2" s="12"/>
    </row>
    <row r="3" spans="1:10">
      <c r="A3" s="12" t="str">
        <f>DEC2HEX(4+HEX2DEC(A2),8)</f>
        <v>001029E4</v>
      </c>
      <c r="B3" s="12" t="s">
        <v>17</v>
      </c>
      <c r="C3" s="12" t="s">
        <v>11</v>
      </c>
      <c r="D3" s="12"/>
    </row>
    <row r="4" spans="1:10">
      <c r="A4" s="12" t="str">
        <f t="shared" ref="A4:A20" si="0">DEC2HEX(4+HEX2DEC(A3),8)</f>
        <v>001029E8</v>
      </c>
      <c r="B4" s="12" t="s">
        <v>18</v>
      </c>
      <c r="C4" s="12" t="s">
        <v>12</v>
      </c>
      <c r="D4" s="12"/>
    </row>
    <row r="5" spans="1:10">
      <c r="A5" s="4" t="str">
        <f t="shared" si="0"/>
        <v>001029EC</v>
      </c>
      <c r="B5" s="4" t="s">
        <v>19</v>
      </c>
      <c r="C5" s="4" t="s">
        <v>25</v>
      </c>
      <c r="D5" s="4" t="s">
        <v>31</v>
      </c>
    </row>
    <row r="6" spans="1:10">
      <c r="A6" s="4" t="str">
        <f t="shared" si="0"/>
        <v>001029F0</v>
      </c>
      <c r="B6" s="13" t="s">
        <v>39</v>
      </c>
      <c r="C6" s="4" t="s">
        <v>26</v>
      </c>
      <c r="D6" s="4"/>
    </row>
    <row r="7" spans="1:10">
      <c r="A7" s="4" t="str">
        <f t="shared" si="0"/>
        <v>001029F4</v>
      </c>
      <c r="B7" s="5" t="s">
        <v>20</v>
      </c>
      <c r="C7" s="4" t="s">
        <v>13</v>
      </c>
      <c r="D7" s="4"/>
    </row>
    <row r="8" spans="1:10">
      <c r="A8" s="4" t="str">
        <f t="shared" si="0"/>
        <v>001029F8</v>
      </c>
      <c r="B8" s="5" t="s">
        <v>40</v>
      </c>
      <c r="C8" s="6" t="str">
        <f>_xlfn.CONCAT("bne 0x",A19)</f>
        <v>bne 0x00102A24</v>
      </c>
      <c r="D8" s="4"/>
    </row>
    <row r="9" spans="1:10">
      <c r="A9" s="7" t="str">
        <f t="shared" si="0"/>
        <v>001029FC</v>
      </c>
      <c r="B9" s="10" t="s">
        <v>5</v>
      </c>
      <c r="C9" s="14" t="s">
        <v>27</v>
      </c>
      <c r="D9" s="7" t="s">
        <v>33</v>
      </c>
    </row>
    <row r="10" spans="1:10">
      <c r="A10" s="7" t="str">
        <f t="shared" si="0"/>
        <v>00102A00</v>
      </c>
      <c r="B10" s="10" t="s">
        <v>41</v>
      </c>
      <c r="C10" s="14" t="s">
        <v>28</v>
      </c>
      <c r="D10" s="7"/>
    </row>
    <row r="11" spans="1:10">
      <c r="A11" s="7" t="str">
        <f t="shared" si="0"/>
        <v>00102A04</v>
      </c>
      <c r="B11" s="8" t="s">
        <v>6</v>
      </c>
      <c r="C11" s="7" t="s">
        <v>4</v>
      </c>
      <c r="D11" s="7"/>
      <c r="F11" s="9"/>
      <c r="G11" s="9"/>
      <c r="H11" s="9"/>
      <c r="I11" s="9"/>
      <c r="J11" s="9"/>
    </row>
    <row r="12" spans="1:10">
      <c r="A12" s="15" t="str">
        <f t="shared" si="0"/>
        <v>00102A08</v>
      </c>
      <c r="B12" s="15" t="s">
        <v>42</v>
      </c>
      <c r="C12" s="15" t="s">
        <v>32</v>
      </c>
      <c r="D12" s="15" t="s">
        <v>34</v>
      </c>
    </row>
    <row r="13" spans="1:10">
      <c r="A13" s="15" t="str">
        <f t="shared" si="0"/>
        <v>00102A0C</v>
      </c>
      <c r="B13" s="16" t="s">
        <v>7</v>
      </c>
      <c r="C13" s="15" t="s">
        <v>8</v>
      </c>
      <c r="D13" s="15"/>
    </row>
    <row r="14" spans="1:10">
      <c r="A14" s="15" t="str">
        <f t="shared" si="0"/>
        <v>00102A10</v>
      </c>
      <c r="B14" s="15" t="s">
        <v>9</v>
      </c>
      <c r="C14" s="15" t="str">
        <f>_xlfn.CONCAT("beq 0x",A19)</f>
        <v>beq 0x00102A24</v>
      </c>
      <c r="D14" s="17" t="s">
        <v>35</v>
      </c>
    </row>
    <row r="15" spans="1:10">
      <c r="A15" s="18" t="str">
        <f t="shared" si="0"/>
        <v>00102A14</v>
      </c>
      <c r="B15" s="18" t="s">
        <v>21</v>
      </c>
      <c r="C15" s="19" t="s">
        <v>30</v>
      </c>
      <c r="D15" s="18" t="s">
        <v>36</v>
      </c>
    </row>
    <row r="16" spans="1:10">
      <c r="A16" s="18" t="str">
        <f t="shared" si="0"/>
        <v>00102A18</v>
      </c>
      <c r="B16" s="18" t="s">
        <v>22</v>
      </c>
      <c r="C16" s="18" t="s">
        <v>29</v>
      </c>
      <c r="D16" s="18"/>
    </row>
    <row r="17" spans="1:4">
      <c r="A17" s="12" t="str">
        <f t="shared" si="0"/>
        <v>00102A1C</v>
      </c>
      <c r="B17" s="2" t="s">
        <v>23</v>
      </c>
      <c r="C17" s="2" t="s">
        <v>14</v>
      </c>
    </row>
    <row r="18" spans="1:4">
      <c r="A18" s="18" t="str">
        <f t="shared" si="0"/>
        <v>00102A20</v>
      </c>
      <c r="B18" s="18" t="s">
        <v>43</v>
      </c>
      <c r="C18" s="18" t="s">
        <v>38</v>
      </c>
      <c r="D18" s="18"/>
    </row>
    <row r="19" spans="1:4">
      <c r="A19" s="12" t="str">
        <f t="shared" si="0"/>
        <v>00102A24</v>
      </c>
      <c r="B19" s="2" t="s">
        <v>24</v>
      </c>
      <c r="C19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 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2026-05-08T03:25:45Z</dcterms:modified>
</cp:coreProperties>
</file>