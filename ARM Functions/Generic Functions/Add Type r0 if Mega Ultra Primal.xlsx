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75073CBB-1ECE-4359-8ECE-DF222D9A2FF0}" xr6:coauthVersionLast="47" xr6:coauthVersionMax="47" xr10:uidLastSave="{00000000-0000-0000-0000-000000000000}"/>
  <bookViews>
    <workbookView xWindow="-27763" yWindow="2949" windowWidth="24686" windowHeight="12497" xr2:uid="{FFF8744C-F0B4-428F-8CA7-718350CADE02}"/>
  </bookViews>
  <sheets>
    <sheet name="Edited mai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" l="1"/>
  <c r="A33" i="6" l="1"/>
  <c r="A34" i="6" s="1"/>
  <c r="A35" i="6" s="1"/>
  <c r="A36" i="6" s="1"/>
  <c r="A37" i="6" s="1"/>
  <c r="A38" i="6" s="1"/>
  <c r="C20" i="6" l="1"/>
  <c r="A39" i="6" l="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l="1"/>
  <c r="A17" i="6" s="1"/>
  <c r="A18" i="6" s="1"/>
  <c r="A19" i="6" l="1"/>
  <c r="A20" i="6" s="1"/>
  <c r="A21" i="6" s="1"/>
  <c r="A22" i="6" s="1"/>
  <c r="A23" i="6" s="1"/>
  <c r="A24" i="6" s="1"/>
  <c r="A25" i="6" s="1"/>
  <c r="A26" i="6" s="1"/>
  <c r="A27" i="6" s="1"/>
  <c r="A28" i="6" s="1"/>
  <c r="A29" i="6" s="1"/>
</calcChain>
</file>

<file path=xl/sharedStrings.xml><?xml version="1.0" encoding="utf-8"?>
<sst xmlns="http://schemas.openxmlformats.org/spreadsheetml/2006/main" count="85" uniqueCount="72">
  <si>
    <t>Address</t>
  </si>
  <si>
    <t>Hex</t>
  </si>
  <si>
    <t>instruction</t>
  </si>
  <si>
    <t>notes</t>
  </si>
  <si>
    <t>0150A0E1</t>
  </si>
  <si>
    <t>mov r5, r1</t>
  </si>
  <si>
    <t>0240A0E1</t>
  </si>
  <si>
    <t>mov r4, r2</t>
  </si>
  <si>
    <t>bl 0x00092298</t>
  </si>
  <si>
    <t>0100A0E1</t>
  </si>
  <si>
    <t>mov r0, r1</t>
  </si>
  <si>
    <t>Get pointer to self</t>
  </si>
  <si>
    <t>0210A0E1</t>
  </si>
  <si>
    <t>mov r1, r2</t>
  </si>
  <si>
    <t>bl 0x000D6F98</t>
  </si>
  <si>
    <t>010050E3</t>
  </si>
  <si>
    <t>cmp r0, 0x1</t>
  </si>
  <si>
    <t>Check Mega</t>
  </si>
  <si>
    <t>Offensive attempt</t>
  </si>
  <si>
    <t>mov r7, r0</t>
  </si>
  <si>
    <t>mov r0, r7</t>
  </si>
  <si>
    <t>Set Input Type</t>
  </si>
  <si>
    <t>0070A0E1</t>
  </si>
  <si>
    <t>0700A0E1</t>
  </si>
  <si>
    <t>push {r4, r5, r6, r7, lr}</t>
  </si>
  <si>
    <t>F0402DE9</t>
  </si>
  <si>
    <t>cmp r9, 0x6A</t>
  </si>
  <si>
    <t>cmpne r9, 0xA7</t>
  </si>
  <si>
    <t>mov r2, r4</t>
  </si>
  <si>
    <t>mov r1, r5</t>
  </si>
  <si>
    <t>set defensive type mods</t>
  </si>
  <si>
    <t>cmp r9, 0x4E</t>
  </si>
  <si>
    <t>cmpne r9, 0x4F</t>
  </si>
  <si>
    <t>beq 0x000FEAD4</t>
  </si>
  <si>
    <t>Defensive application Attempt</t>
  </si>
  <si>
    <t>00103208</t>
  </si>
  <si>
    <t>0420A0E1</t>
  </si>
  <si>
    <t>0510A0E1</t>
  </si>
  <si>
    <t>6A0059E3</t>
  </si>
  <si>
    <t>A7005913</t>
  </si>
  <si>
    <t>4E0059E3</t>
  </si>
  <si>
    <t>4F005913</t>
  </si>
  <si>
    <t>18EEFF0A</t>
  </si>
  <si>
    <t>cmpne r9, 0x6D</t>
  </si>
  <si>
    <t>bx lr</t>
  </si>
  <si>
    <t>bne 0x000FEAD4</t>
  </si>
  <si>
    <t>set defensive type mods (0x6A/0x6D/0xA7)</t>
  </si>
  <si>
    <t>cmpne r9, 0x6A</t>
  </si>
  <si>
    <t>if not mega and not phase 0x6A, exit</t>
  </si>
  <si>
    <t>1C3CFEEB</t>
  </si>
  <si>
    <t>5B4FFFEB</t>
  </si>
  <si>
    <t>6A005913</t>
  </si>
  <si>
    <t>6D005913</t>
  </si>
  <si>
    <t>cmp r9, 0x5B</t>
  </si>
  <si>
    <t>cmpne r9, 0x47</t>
  </si>
  <si>
    <t>cmpne r9, 0x4A</t>
  </si>
  <si>
    <t>3 options</t>
  </si>
  <si>
    <t>5B0059E3</t>
  </si>
  <si>
    <t>4A005913</t>
  </si>
  <si>
    <t>F040BDE8</t>
  </si>
  <si>
    <t>1EFF2FE1</t>
  </si>
  <si>
    <t>beq 0x001032EC</t>
  </si>
  <si>
    <t>2500000A</t>
  </si>
  <si>
    <t>000DE770</t>
  </si>
  <si>
    <t>Add Type r0 0x4E/0x4F/[0x5B/0x47/0x4A]/0x6A/0x6D/0xA7</t>
  </si>
  <si>
    <t>Add Type r0 if Mega/Ultra/Primal 0x4E/0x4F/[0x5B/0x47/0x4A]/0x6A/0x6D/0xA7</t>
  </si>
  <si>
    <t>DA92000A</t>
  </si>
  <si>
    <t>D180001A</t>
  </si>
  <si>
    <t>beq 0x00103924</t>
  </si>
  <si>
    <t>6494000A</t>
  </si>
  <si>
    <t>AF01000A</t>
  </si>
  <si>
    <t>F080BD18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</si>
</sst>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3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44.21093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65</v>
      </c>
    </row>
    <row r="3" spans="1:4">
      <c r="A3" s="3" t="s">
        <v>35</v>
      </c>
      <c r="B3" s="2" t="s">
        <v>25</v>
      </c>
      <c r="C3" s="2" t="s">
        <v>24</v>
      </c>
    </row>
    <row r="4" spans="1:4">
      <c r="A4" s="2" t="str">
        <f t="shared" ref="A4:A29" si="0">DEC2HEX(HEX2DEC(A3)+4,8)</f>
        <v>0010320C</v>
      </c>
      <c r="B4" s="2" t="s">
        <v>22</v>
      </c>
      <c r="C4" s="2" t="s">
        <v>19</v>
      </c>
    </row>
    <row r="5" spans="1:4">
      <c r="A5" s="2" t="str">
        <f t="shared" si="0"/>
        <v>00103210</v>
      </c>
      <c r="B5" s="2" t="s">
        <v>4</v>
      </c>
      <c r="C5" s="2" t="s">
        <v>5</v>
      </c>
    </row>
    <row r="6" spans="1:4">
      <c r="A6" s="2" t="str">
        <f t="shared" si="0"/>
        <v>00103214</v>
      </c>
      <c r="B6" s="2" t="s">
        <v>6</v>
      </c>
      <c r="C6" s="2" t="s">
        <v>7</v>
      </c>
    </row>
    <row r="7" spans="1:4">
      <c r="A7" s="4" t="str">
        <f t="shared" si="0"/>
        <v>00103218</v>
      </c>
      <c r="B7" s="4" t="s">
        <v>9</v>
      </c>
      <c r="C7" s="4" t="s">
        <v>10</v>
      </c>
      <c r="D7" s="4" t="s">
        <v>11</v>
      </c>
    </row>
    <row r="8" spans="1:4">
      <c r="A8" s="4" t="str">
        <f t="shared" si="0"/>
        <v>0010321C</v>
      </c>
      <c r="B8" s="4" t="s">
        <v>12</v>
      </c>
      <c r="C8" s="4" t="s">
        <v>13</v>
      </c>
      <c r="D8" s="4"/>
    </row>
    <row r="9" spans="1:4">
      <c r="A9" s="4" t="str">
        <f t="shared" si="0"/>
        <v>00103220</v>
      </c>
      <c r="B9" s="5" t="s">
        <v>49</v>
      </c>
      <c r="C9" s="4" t="s">
        <v>8</v>
      </c>
      <c r="D9" s="4"/>
    </row>
    <row r="10" spans="1:4">
      <c r="A10" s="6" t="str">
        <f t="shared" si="0"/>
        <v>00103224</v>
      </c>
      <c r="B10" s="6" t="s">
        <v>50</v>
      </c>
      <c r="C10" s="6" t="s">
        <v>14</v>
      </c>
      <c r="D10" s="6"/>
    </row>
    <row r="11" spans="1:4">
      <c r="A11" s="6" t="str">
        <f t="shared" si="0"/>
        <v>00103228</v>
      </c>
      <c r="B11" s="7" t="s">
        <v>15</v>
      </c>
      <c r="C11" s="6" t="s">
        <v>16</v>
      </c>
      <c r="D11" s="6" t="s">
        <v>17</v>
      </c>
    </row>
    <row r="12" spans="1:4">
      <c r="A12" s="10" t="str">
        <f t="shared" si="0"/>
        <v>0010322C</v>
      </c>
      <c r="B12" s="11" t="s">
        <v>51</v>
      </c>
      <c r="C12" s="10" t="s">
        <v>47</v>
      </c>
      <c r="D12" s="10"/>
    </row>
    <row r="13" spans="1:4">
      <c r="A13" s="6" t="str">
        <f t="shared" si="0"/>
        <v>00103230</v>
      </c>
      <c r="B13" s="7" t="s">
        <v>71</v>
      </c>
      <c r="C13" s="6" t="str">
        <f>SUBSTITUTE(SUBSTITUTE(C3,"push","popne"),"lr","pc")</f>
        <v>popne {r4, r5, r6, r7, pc}</v>
      </c>
      <c r="D13" s="6" t="s">
        <v>48</v>
      </c>
    </row>
    <row r="14" spans="1:4">
      <c r="A14" s="2" t="str">
        <f t="shared" si="0"/>
        <v>00103234</v>
      </c>
      <c r="B14" s="3" t="s">
        <v>36</v>
      </c>
      <c r="C14" s="2" t="s">
        <v>28</v>
      </c>
    </row>
    <row r="15" spans="1:4">
      <c r="A15" s="2" t="str">
        <f t="shared" si="0"/>
        <v>00103238</v>
      </c>
      <c r="B15" s="3" t="s">
        <v>37</v>
      </c>
      <c r="C15" s="2" t="s">
        <v>29</v>
      </c>
    </row>
    <row r="16" spans="1:4">
      <c r="A16" s="2" t="str">
        <f t="shared" si="0"/>
        <v>0010323C</v>
      </c>
      <c r="B16" s="2" t="s">
        <v>23</v>
      </c>
      <c r="C16" s="2" t="s">
        <v>20</v>
      </c>
      <c r="D16" s="2" t="s">
        <v>21</v>
      </c>
    </row>
    <row r="17" spans="1:4">
      <c r="A17" s="8" t="str">
        <f t="shared" si="0"/>
        <v>00103240</v>
      </c>
      <c r="B17" s="9" t="s">
        <v>57</v>
      </c>
      <c r="C17" s="8" t="s">
        <v>53</v>
      </c>
      <c r="D17" s="8" t="s">
        <v>56</v>
      </c>
    </row>
    <row r="18" spans="1:4">
      <c r="A18" s="8" t="str">
        <f t="shared" si="0"/>
        <v>00103244</v>
      </c>
      <c r="B18" s="9">
        <v>47005913</v>
      </c>
      <c r="C18" s="8" t="s">
        <v>54</v>
      </c>
      <c r="D18" s="8"/>
    </row>
    <row r="19" spans="1:4">
      <c r="A19" s="8" t="str">
        <f t="shared" si="0"/>
        <v>00103248</v>
      </c>
      <c r="B19" s="9" t="s">
        <v>58</v>
      </c>
      <c r="C19" s="8" t="s">
        <v>55</v>
      </c>
      <c r="D19" s="8"/>
    </row>
    <row r="20" spans="1:4">
      <c r="A20" s="8" t="str">
        <f t="shared" si="0"/>
        <v>0010324C</v>
      </c>
      <c r="B20" s="9" t="s">
        <v>59</v>
      </c>
      <c r="C20" s="8" t="str">
        <f>SUBSTITUTE(C3,"push","pop")</f>
        <v>pop {r4, r5, r6, r7, lr}</v>
      </c>
      <c r="D20" s="8"/>
    </row>
    <row r="21" spans="1:4">
      <c r="A21" s="8" t="str">
        <f t="shared" si="0"/>
        <v>00103250</v>
      </c>
      <c r="B21" s="8" t="s">
        <v>62</v>
      </c>
      <c r="C21" s="8" t="s">
        <v>61</v>
      </c>
      <c r="D21" s="8" t="s">
        <v>18</v>
      </c>
    </row>
    <row r="22" spans="1:4">
      <c r="A22" s="10" t="str">
        <f t="shared" si="0"/>
        <v>00103254</v>
      </c>
      <c r="B22" s="11" t="s">
        <v>38</v>
      </c>
      <c r="C22" s="10" t="s">
        <v>26</v>
      </c>
      <c r="D22" s="10"/>
    </row>
    <row r="23" spans="1:4">
      <c r="A23" s="10" t="str">
        <f t="shared" si="0"/>
        <v>00103258</v>
      </c>
      <c r="B23" s="11" t="s">
        <v>52</v>
      </c>
      <c r="C23" s="10" t="s">
        <v>43</v>
      </c>
      <c r="D23" s="10"/>
    </row>
    <row r="24" spans="1:4">
      <c r="A24" s="10" t="str">
        <f t="shared" si="0"/>
        <v>0010325C</v>
      </c>
      <c r="B24" s="11" t="s">
        <v>39</v>
      </c>
      <c r="C24" s="10" t="s">
        <v>27</v>
      </c>
      <c r="D24" s="10"/>
    </row>
    <row r="25" spans="1:4">
      <c r="A25" s="10" t="str">
        <f t="shared" si="0"/>
        <v>00103260</v>
      </c>
      <c r="B25" s="10" t="s">
        <v>70</v>
      </c>
      <c r="C25" s="10" t="s">
        <v>68</v>
      </c>
      <c r="D25" s="10" t="s">
        <v>30</v>
      </c>
    </row>
    <row r="26" spans="1:4">
      <c r="A26" s="12" t="str">
        <f t="shared" si="0"/>
        <v>00103264</v>
      </c>
      <c r="B26" s="12" t="s">
        <v>40</v>
      </c>
      <c r="C26" s="12" t="s">
        <v>31</v>
      </c>
      <c r="D26" s="12"/>
    </row>
    <row r="27" spans="1:4">
      <c r="A27" s="12" t="str">
        <f t="shared" si="0"/>
        <v>00103268</v>
      </c>
      <c r="B27" s="12" t="s">
        <v>41</v>
      </c>
      <c r="C27" s="12" t="s">
        <v>32</v>
      </c>
      <c r="D27" s="12"/>
    </row>
    <row r="28" spans="1:4">
      <c r="A28" s="12" t="str">
        <f t="shared" si="0"/>
        <v>0010326C</v>
      </c>
      <c r="B28" s="12" t="s">
        <v>42</v>
      </c>
      <c r="C28" s="13" t="s">
        <v>33</v>
      </c>
      <c r="D28" s="12" t="s">
        <v>34</v>
      </c>
    </row>
    <row r="29" spans="1:4">
      <c r="A29" s="2" t="str">
        <f t="shared" si="0"/>
        <v>00103270</v>
      </c>
      <c r="B29" s="2" t="s">
        <v>60</v>
      </c>
      <c r="C29" s="2" t="s">
        <v>44</v>
      </c>
    </row>
    <row r="30" spans="1:4">
      <c r="C30" s="3"/>
    </row>
    <row r="31" spans="1:4">
      <c r="A31" s="1" t="s">
        <v>64</v>
      </c>
    </row>
    <row r="32" spans="1:4">
      <c r="A32" s="8" t="s">
        <v>63</v>
      </c>
      <c r="B32" s="9" t="s">
        <v>57</v>
      </c>
      <c r="C32" s="8" t="s">
        <v>53</v>
      </c>
      <c r="D32" s="8"/>
    </row>
    <row r="33" spans="1:4">
      <c r="A33" s="8" t="str">
        <f t="shared" ref="A33:A38" si="1">DEC2HEX(HEX2DEC(A32)+4,8)</f>
        <v>000DE774</v>
      </c>
      <c r="B33" s="9">
        <v>47005913</v>
      </c>
      <c r="C33" s="8" t="s">
        <v>54</v>
      </c>
      <c r="D33" s="8"/>
    </row>
    <row r="34" spans="1:4">
      <c r="A34" s="8" t="str">
        <f t="shared" si="1"/>
        <v>000DE778</v>
      </c>
      <c r="B34" s="9" t="s">
        <v>58</v>
      </c>
      <c r="C34" s="8" t="s">
        <v>55</v>
      </c>
      <c r="D34" s="8"/>
    </row>
    <row r="35" spans="1:4">
      <c r="A35" s="8" t="str">
        <f t="shared" si="1"/>
        <v>000DE77C</v>
      </c>
      <c r="B35" s="8" t="s">
        <v>66</v>
      </c>
      <c r="C35" s="8" t="s">
        <v>61</v>
      </c>
      <c r="D35" s="8" t="s">
        <v>18</v>
      </c>
    </row>
    <row r="36" spans="1:4">
      <c r="A36" s="12" t="str">
        <f t="shared" si="1"/>
        <v>000DE780</v>
      </c>
      <c r="B36" s="12" t="s">
        <v>40</v>
      </c>
      <c r="C36" s="13" t="s">
        <v>31</v>
      </c>
      <c r="D36" s="12"/>
    </row>
    <row r="37" spans="1:4">
      <c r="A37" s="12" t="str">
        <f t="shared" si="1"/>
        <v>000DE784</v>
      </c>
      <c r="B37" s="12" t="s">
        <v>41</v>
      </c>
      <c r="C37" s="13" t="s">
        <v>32</v>
      </c>
      <c r="D37" s="12"/>
    </row>
    <row r="38" spans="1:4">
      <c r="A38" s="12" t="str">
        <f t="shared" si="1"/>
        <v>000DE788</v>
      </c>
      <c r="B38" s="12" t="s">
        <v>67</v>
      </c>
      <c r="C38" s="13" t="s">
        <v>45</v>
      </c>
      <c r="D38" s="12" t="s">
        <v>34</v>
      </c>
    </row>
    <row r="39" spans="1:4">
      <c r="A39" s="10" t="str">
        <f t="shared" ref="A39" si="2">DEC2HEX(HEX2DEC(A38)+4,8)</f>
        <v>000DE78C</v>
      </c>
      <c r="B39" s="11" t="s">
        <v>69</v>
      </c>
      <c r="C39" s="10" t="s">
        <v>68</v>
      </c>
      <c r="D39" s="10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2026-06-19T05:17:46Z</dcterms:modified>
</cp:coreProperties>
</file>